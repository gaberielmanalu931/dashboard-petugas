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DB7607FE-8B26-467E-8A9F-C0676A85EC30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0" l="1"/>
  <c r="L4" i="50"/>
  <c r="L5" i="50"/>
  <c r="L6" i="50"/>
  <c r="L7" i="50"/>
  <c r="L8" i="50"/>
  <c r="L9" i="50"/>
  <c r="L10" i="50"/>
  <c r="L11" i="50"/>
  <c r="L12" i="50"/>
  <c r="L13" i="50"/>
  <c r="L14" i="50"/>
  <c r="L15" i="50"/>
  <c r="L16" i="50"/>
  <c r="L17" i="50"/>
  <c r="L18" i="50"/>
  <c r="L19" i="50"/>
  <c r="L20" i="50"/>
  <c r="L21" i="50"/>
  <c r="L22" i="50"/>
  <c r="L23" i="50"/>
  <c r="L24" i="50"/>
  <c r="L25" i="50"/>
  <c r="L26" i="50"/>
  <c r="L27" i="50"/>
  <c r="L28" i="50"/>
  <c r="L29" i="50"/>
  <c r="L30" i="50"/>
  <c r="L31" i="50"/>
  <c r="L32" i="50"/>
  <c r="L33" i="50"/>
  <c r="L34" i="50"/>
  <c r="L35" i="50"/>
  <c r="L36" i="50"/>
  <c r="L37" i="50"/>
  <c r="L38" i="50"/>
  <c r="L39" i="50"/>
  <c r="L40" i="50"/>
  <c r="L41" i="50"/>
  <c r="L42" i="50"/>
  <c r="L43" i="50"/>
  <c r="L44" i="50"/>
  <c r="L45" i="50"/>
  <c r="L46" i="50"/>
  <c r="L47" i="50"/>
  <c r="L48" i="50"/>
  <c r="L49" i="50"/>
  <c r="L50" i="50"/>
  <c r="L51" i="50"/>
  <c r="L52" i="50"/>
  <c r="L53" i="50"/>
  <c r="L54" i="50"/>
  <c r="L55" i="50"/>
  <c r="L56" i="50"/>
  <c r="L57" i="50"/>
  <c r="L58" i="50"/>
  <c r="L59" i="50"/>
  <c r="L60" i="50"/>
  <c r="L61" i="50"/>
  <c r="L62" i="50"/>
  <c r="L63" i="50"/>
  <c r="L64" i="50"/>
  <c r="L65" i="50"/>
  <c r="L66" i="50"/>
  <c r="L67" i="50"/>
  <c r="L68" i="50"/>
  <c r="L69" i="50"/>
  <c r="L70" i="50"/>
  <c r="L71" i="50"/>
  <c r="L72" i="50"/>
  <c r="L73" i="50"/>
  <c r="L74" i="50"/>
  <c r="L75" i="50"/>
  <c r="L76" i="50"/>
  <c r="L77" i="50"/>
  <c r="L78" i="50"/>
  <c r="L79" i="50"/>
  <c r="L80" i="50"/>
  <c r="L81" i="50"/>
  <c r="L82" i="50"/>
  <c r="L83" i="50"/>
  <c r="L84" i="50"/>
  <c r="L85" i="50"/>
  <c r="L86" i="50"/>
  <c r="L87" i="50"/>
  <c r="L88" i="50"/>
  <c r="L89" i="50"/>
  <c r="L90" i="50"/>
  <c r="L91" i="50"/>
  <c r="L92" i="50"/>
  <c r="L93" i="50"/>
  <c r="L94" i="50"/>
  <c r="L95" i="50"/>
  <c r="L96" i="50"/>
  <c r="L97" i="50"/>
  <c r="L98" i="50"/>
  <c r="L99" i="50"/>
  <c r="L100" i="50"/>
  <c r="L101" i="50"/>
  <c r="L102" i="50"/>
  <c r="L103" i="50"/>
  <c r="L104" i="50"/>
  <c r="L105" i="50"/>
  <c r="L106" i="50"/>
  <c r="L107" i="50"/>
  <c r="L108" i="50"/>
  <c r="L109" i="50"/>
  <c r="L110" i="50"/>
  <c r="L111" i="50"/>
  <c r="L112" i="50"/>
  <c r="L113" i="50"/>
  <c r="L114" i="50"/>
  <c r="L115" i="50"/>
  <c r="L116" i="50"/>
  <c r="L117" i="50"/>
  <c r="L118" i="50"/>
  <c r="L119" i="50"/>
  <c r="L120" i="50"/>
  <c r="L121" i="50"/>
  <c r="L122" i="50"/>
  <c r="L123" i="50"/>
  <c r="L124" i="50"/>
  <c r="L125" i="50"/>
  <c r="L126" i="50"/>
  <c r="L127" i="50"/>
  <c r="L128" i="50"/>
  <c r="L129" i="50"/>
  <c r="L130" i="50"/>
  <c r="L131" i="50"/>
  <c r="L132" i="50"/>
  <c r="L133" i="50"/>
  <c r="L134" i="50"/>
  <c r="L135" i="50"/>
  <c r="L136" i="50"/>
  <c r="L137" i="50"/>
  <c r="L138" i="50"/>
  <c r="L139" i="50"/>
  <c r="L140" i="50"/>
  <c r="L141" i="50"/>
  <c r="L142" i="50"/>
  <c r="L143" i="50"/>
  <c r="L144" i="50"/>
  <c r="L145" i="50"/>
  <c r="L146" i="50"/>
  <c r="L147" i="50"/>
  <c r="L148" i="50"/>
  <c r="L149" i="50"/>
  <c r="L150" i="50"/>
  <c r="L151" i="50"/>
  <c r="L152" i="50"/>
  <c r="L153" i="50"/>
  <c r="L154" i="50"/>
  <c r="L155" i="50"/>
  <c r="L156" i="50"/>
  <c r="L157" i="50"/>
  <c r="L158" i="50"/>
  <c r="L159" i="50"/>
  <c r="L160" i="50"/>
  <c r="L161" i="50"/>
  <c r="L162" i="50"/>
  <c r="L163" i="50"/>
  <c r="L164" i="50"/>
  <c r="L165" i="50"/>
  <c r="L166" i="50"/>
  <c r="L167" i="50"/>
  <c r="L168" i="50"/>
  <c r="L169" i="50"/>
  <c r="L170" i="50"/>
  <c r="L171" i="50"/>
  <c r="L172" i="50"/>
  <c r="L173" i="50"/>
  <c r="L174" i="50"/>
  <c r="L175" i="50"/>
  <c r="L176" i="50"/>
  <c r="L177" i="50"/>
  <c r="L178" i="50"/>
  <c r="L179" i="50"/>
  <c r="L180" i="50"/>
  <c r="L181" i="50"/>
  <c r="L182" i="50"/>
  <c r="L183" i="50"/>
  <c r="L184" i="50"/>
  <c r="L185" i="50"/>
  <c r="L186" i="50"/>
  <c r="L187" i="50"/>
  <c r="L188" i="50"/>
  <c r="L189" i="50"/>
  <c r="L190" i="50"/>
  <c r="L191" i="50"/>
  <c r="L192" i="50"/>
  <c r="L193" i="50"/>
  <c r="L194" i="50"/>
  <c r="L195" i="50"/>
  <c r="L196" i="50"/>
  <c r="L197" i="50"/>
  <c r="L198" i="50"/>
  <c r="L199" i="50"/>
  <c r="L200" i="50"/>
  <c r="L201" i="50"/>
  <c r="L202" i="50"/>
  <c r="L203" i="50"/>
  <c r="L204" i="50"/>
  <c r="L205" i="50"/>
  <c r="L206" i="50"/>
  <c r="L207" i="50"/>
  <c r="L208" i="50"/>
  <c r="L209" i="50"/>
  <c r="L210" i="50"/>
  <c r="L211" i="50"/>
  <c r="L212" i="50"/>
  <c r="L213" i="50"/>
  <c r="L214" i="50"/>
  <c r="L215" i="50"/>
  <c r="L216" i="50"/>
  <c r="L217" i="50"/>
  <c r="L218" i="50"/>
  <c r="L219" i="50"/>
  <c r="L220" i="50"/>
  <c r="L221" i="50"/>
  <c r="L222" i="50"/>
  <c r="L223" i="50"/>
  <c r="L224" i="50"/>
  <c r="L225" i="50"/>
  <c r="L226" i="50"/>
  <c r="L227" i="50"/>
  <c r="L228" i="50"/>
  <c r="L229" i="50"/>
  <c r="L230" i="50"/>
  <c r="L231" i="50"/>
  <c r="L232" i="50"/>
  <c r="L233" i="50"/>
  <c r="L234" i="50"/>
  <c r="L235" i="50"/>
  <c r="L236" i="50"/>
  <c r="L237" i="50"/>
  <c r="L238" i="50"/>
  <c r="L239" i="50"/>
  <c r="L240" i="50"/>
  <c r="L241" i="50"/>
  <c r="L242" i="50"/>
  <c r="L243" i="50"/>
  <c r="L244" i="50"/>
  <c r="L245" i="50"/>
  <c r="L246" i="50"/>
  <c r="L247" i="50"/>
  <c r="L248" i="50"/>
  <c r="L249" i="50"/>
  <c r="L250" i="50"/>
  <c r="L251" i="50"/>
  <c r="L252" i="50"/>
  <c r="L253" i="50"/>
  <c r="L254" i="50"/>
  <c r="L255" i="50"/>
  <c r="L256" i="50"/>
  <c r="L257" i="50"/>
  <c r="L258" i="50"/>
  <c r="L259" i="50"/>
  <c r="L260" i="50"/>
  <c r="L261" i="50"/>
  <c r="L262" i="50"/>
  <c r="L263" i="50"/>
  <c r="L264" i="50"/>
  <c r="L265" i="50"/>
  <c r="L266" i="50"/>
  <c r="L267" i="50"/>
  <c r="L268" i="50"/>
  <c r="L269" i="50"/>
  <c r="L270" i="50"/>
  <c r="L271" i="50"/>
  <c r="L272" i="50"/>
  <c r="L273" i="50"/>
  <c r="L274" i="50"/>
  <c r="L275" i="50"/>
  <c r="L276" i="50"/>
  <c r="L277" i="50"/>
  <c r="L278" i="50"/>
  <c r="L279" i="50"/>
  <c r="L280" i="50"/>
  <c r="L281" i="50"/>
  <c r="L282" i="50"/>
  <c r="L283" i="50"/>
  <c r="L284" i="50"/>
  <c r="L285" i="50"/>
  <c r="L286" i="50"/>
  <c r="L287" i="50"/>
  <c r="L288" i="50"/>
  <c r="L289" i="50"/>
  <c r="L290" i="50"/>
  <c r="L291" i="50"/>
  <c r="L292" i="50"/>
  <c r="L293" i="50"/>
  <c r="L294" i="50"/>
  <c r="L295" i="50"/>
  <c r="L296" i="50"/>
  <c r="L297" i="50"/>
  <c r="L298" i="50"/>
  <c r="L299" i="50"/>
  <c r="L300" i="50"/>
  <c r="L301" i="50"/>
  <c r="L302" i="50"/>
  <c r="L303" i="50"/>
  <c r="L304" i="50"/>
  <c r="L305" i="50"/>
  <c r="L306" i="50"/>
  <c r="L307" i="50"/>
  <c r="L308" i="50"/>
  <c r="L309" i="50"/>
  <c r="L310" i="50"/>
  <c r="L311" i="50"/>
  <c r="L312" i="50"/>
  <c r="L313" i="50"/>
  <c r="L314" i="50"/>
  <c r="L315" i="50"/>
  <c r="L316" i="50"/>
  <c r="L317" i="50"/>
  <c r="L318" i="50"/>
  <c r="L319" i="50"/>
  <c r="L320" i="50"/>
  <c r="L321" i="50"/>
  <c r="L322" i="50"/>
  <c r="L323" i="50"/>
  <c r="L324" i="50"/>
  <c r="L325" i="50"/>
  <c r="L326" i="50"/>
  <c r="L327" i="50"/>
  <c r="L328" i="50"/>
  <c r="L329" i="50"/>
  <c r="L330" i="50"/>
  <c r="L331" i="50"/>
  <c r="L332" i="50"/>
  <c r="L333" i="50"/>
  <c r="L334" i="50"/>
  <c r="L335" i="50"/>
  <c r="L336" i="50"/>
  <c r="L337" i="50"/>
  <c r="L338" i="50"/>
  <c r="L339" i="50"/>
  <c r="L340" i="50"/>
  <c r="L341" i="50"/>
  <c r="L342" i="50"/>
  <c r="L343" i="50"/>
  <c r="L344" i="50"/>
  <c r="L345" i="50"/>
  <c r="L346" i="50"/>
  <c r="L347" i="50"/>
  <c r="L348" i="50"/>
  <c r="L349" i="50"/>
  <c r="L350" i="50"/>
  <c r="L351" i="50"/>
  <c r="L352" i="50"/>
  <c r="L353" i="50"/>
  <c r="L354" i="50"/>
  <c r="L355" i="50"/>
  <c r="L356" i="50"/>
  <c r="L357" i="50"/>
  <c r="L358" i="50"/>
  <c r="L359" i="50"/>
  <c r="L360" i="50"/>
  <c r="L361" i="50"/>
  <c r="L362" i="50"/>
  <c r="L363" i="50"/>
  <c r="L364" i="50"/>
  <c r="L365" i="50"/>
  <c r="L366" i="50"/>
  <c r="L367" i="50"/>
  <c r="L368" i="50"/>
  <c r="L369" i="50"/>
  <c r="L370" i="50"/>
  <c r="L371" i="50"/>
  <c r="L372" i="50"/>
  <c r="L373" i="50"/>
  <c r="L374" i="50"/>
  <c r="L375" i="50"/>
  <c r="L376" i="50"/>
  <c r="L377" i="50"/>
  <c r="L378" i="50"/>
  <c r="L379" i="50"/>
  <c r="L380" i="50"/>
  <c r="L381" i="50"/>
  <c r="L382" i="50"/>
  <c r="L383" i="50"/>
  <c r="L384" i="50"/>
  <c r="L385" i="50"/>
  <c r="L386" i="50"/>
  <c r="L387" i="50"/>
  <c r="L388" i="50"/>
  <c r="L389" i="50"/>
  <c r="L390" i="50"/>
  <c r="L391" i="50"/>
  <c r="L392" i="50"/>
  <c r="L393" i="50"/>
  <c r="L394" i="50"/>
  <c r="L395" i="50"/>
  <c r="L396" i="50"/>
  <c r="L397" i="50"/>
  <c r="L398" i="50"/>
  <c r="L399" i="50"/>
  <c r="L400" i="50"/>
  <c r="L401" i="50"/>
  <c r="L402" i="50"/>
  <c r="L403" i="50"/>
  <c r="L404" i="50"/>
  <c r="L405" i="50"/>
  <c r="L406" i="50"/>
  <c r="L407" i="50"/>
  <c r="L408" i="50"/>
  <c r="L409" i="50"/>
  <c r="L410" i="50"/>
  <c r="L411" i="50"/>
  <c r="L412" i="50"/>
  <c r="L413" i="50"/>
  <c r="L414" i="50"/>
  <c r="L415" i="50"/>
  <c r="L416" i="50"/>
  <c r="L417" i="50"/>
  <c r="L418" i="50"/>
  <c r="L419" i="50"/>
  <c r="L420" i="50"/>
  <c r="L421" i="50"/>
  <c r="L422" i="50"/>
  <c r="L423" i="50"/>
  <c r="L424" i="50"/>
  <c r="L425" i="50"/>
  <c r="L426" i="50"/>
  <c r="L427" i="50"/>
  <c r="L428" i="50"/>
  <c r="L429" i="50"/>
  <c r="L430" i="50"/>
  <c r="L431" i="50"/>
  <c r="L432" i="50"/>
  <c r="L433" i="50"/>
  <c r="L434" i="50"/>
  <c r="L435" i="50"/>
  <c r="L436" i="50"/>
  <c r="L437" i="50"/>
  <c r="L438" i="50"/>
  <c r="L439" i="50"/>
  <c r="L440" i="50"/>
  <c r="L441" i="50"/>
  <c r="L442" i="50"/>
  <c r="L443" i="50"/>
  <c r="L444" i="50"/>
  <c r="L445" i="50"/>
  <c r="L446" i="50"/>
  <c r="L447" i="50"/>
  <c r="L448" i="50"/>
  <c r="L449" i="50"/>
  <c r="L450" i="50"/>
  <c r="L451" i="50"/>
  <c r="L452" i="50"/>
  <c r="L453" i="50"/>
  <c r="L454" i="50"/>
  <c r="L455" i="50"/>
  <c r="L456" i="50"/>
  <c r="L457" i="50"/>
  <c r="L458" i="50"/>
  <c r="L459" i="50"/>
  <c r="L460" i="50"/>
  <c r="L461" i="50"/>
  <c r="L462" i="50"/>
  <c r="L463" i="50"/>
  <c r="L464" i="50"/>
  <c r="L465" i="50"/>
  <c r="L466" i="50"/>
  <c r="L467" i="50"/>
  <c r="L468" i="50"/>
  <c r="L469" i="50"/>
  <c r="L470" i="50"/>
  <c r="L471" i="50"/>
  <c r="L472" i="50"/>
  <c r="L473" i="50"/>
  <c r="L474" i="50"/>
  <c r="L475" i="50"/>
  <c r="L476" i="50"/>
  <c r="L477" i="50"/>
  <c r="L478" i="50"/>
  <c r="L479" i="50"/>
  <c r="L480" i="50"/>
  <c r="L481" i="50"/>
  <c r="L482" i="50"/>
  <c r="L483" i="50"/>
  <c r="L484" i="50"/>
  <c r="L485" i="50"/>
  <c r="L486" i="50"/>
  <c r="L487" i="50"/>
  <c r="L488" i="50"/>
  <c r="L489" i="50"/>
  <c r="L490" i="50"/>
  <c r="L491" i="50"/>
  <c r="L492" i="50"/>
  <c r="L493" i="50"/>
  <c r="L494" i="50"/>
  <c r="L495" i="50"/>
  <c r="L496" i="50"/>
  <c r="L497" i="50"/>
  <c r="L498" i="50"/>
  <c r="L499" i="50"/>
  <c r="L500" i="50"/>
  <c r="L501" i="50"/>
  <c r="L502" i="50"/>
  <c r="L503" i="50"/>
  <c r="L504" i="50"/>
  <c r="L505" i="50"/>
  <c r="L506" i="50"/>
  <c r="L507" i="50"/>
  <c r="L508" i="50"/>
  <c r="L509" i="50"/>
  <c r="L510" i="50"/>
  <c r="L511" i="50"/>
  <c r="L512" i="50"/>
  <c r="L513" i="50"/>
  <c r="L514" i="50"/>
  <c r="L515" i="50"/>
  <c r="L516" i="50"/>
  <c r="L517" i="50"/>
  <c r="L518" i="50"/>
  <c r="L519" i="50"/>
  <c r="L520" i="50"/>
  <c r="L521" i="50"/>
  <c r="L522" i="50"/>
  <c r="L523" i="50"/>
  <c r="L524" i="50"/>
  <c r="L525" i="50"/>
  <c r="L526" i="50"/>
  <c r="L527" i="50"/>
  <c r="L528" i="50"/>
  <c r="L529" i="50"/>
  <c r="L530" i="50"/>
  <c r="L531" i="50"/>
  <c r="L532" i="50"/>
  <c r="L533" i="50"/>
  <c r="L534" i="50"/>
  <c r="L535" i="50"/>
  <c r="L536" i="50"/>
  <c r="L537" i="50"/>
  <c r="L538" i="50"/>
  <c r="L539" i="50"/>
  <c r="L540" i="50"/>
  <c r="L541" i="50"/>
  <c r="L542" i="50"/>
  <c r="L543" i="50"/>
  <c r="L544" i="50"/>
  <c r="L545" i="50"/>
  <c r="L546" i="50"/>
  <c r="L547" i="50"/>
  <c r="L548" i="50"/>
  <c r="L549" i="50"/>
  <c r="L550" i="50"/>
  <c r="L551" i="50"/>
  <c r="L552" i="50"/>
  <c r="L553" i="50"/>
  <c r="L554" i="50"/>
  <c r="L555" i="50"/>
  <c r="L556" i="50"/>
  <c r="L557" i="50"/>
  <c r="L558" i="50"/>
  <c r="L559" i="50"/>
  <c r="L560" i="50"/>
  <c r="L561" i="50"/>
  <c r="L562" i="50"/>
  <c r="L563" i="50"/>
  <c r="L564" i="50"/>
  <c r="L565" i="50"/>
  <c r="L566" i="50"/>
  <c r="L567" i="50"/>
  <c r="L568" i="50"/>
  <c r="L569" i="50"/>
  <c r="L570" i="50"/>
  <c r="L571" i="50"/>
  <c r="L572" i="50"/>
  <c r="L573" i="50"/>
  <c r="L574" i="50"/>
  <c r="L575" i="50"/>
  <c r="L576" i="50"/>
  <c r="L577" i="50"/>
  <c r="L578" i="50"/>
  <c r="L579" i="50"/>
  <c r="L580" i="50"/>
  <c r="L581" i="50"/>
  <c r="L582" i="50"/>
  <c r="L583" i="50"/>
  <c r="L584" i="50"/>
  <c r="L585" i="50"/>
  <c r="L586" i="50"/>
  <c r="L587" i="50"/>
  <c r="L588" i="50"/>
  <c r="L589" i="50"/>
  <c r="L590" i="50"/>
  <c r="L591" i="50"/>
  <c r="L592" i="50"/>
  <c r="L593" i="50"/>
  <c r="L594" i="50"/>
  <c r="L595" i="50"/>
  <c r="L596" i="50"/>
  <c r="L597" i="50"/>
  <c r="L598" i="50"/>
  <c r="L599" i="50"/>
  <c r="L600" i="50"/>
  <c r="L601" i="50"/>
  <c r="L602" i="50"/>
  <c r="L603" i="50"/>
  <c r="L604" i="50"/>
  <c r="L605" i="50"/>
  <c r="L606" i="50"/>
  <c r="L607" i="50"/>
  <c r="L608" i="50"/>
  <c r="L609" i="50"/>
  <c r="L610" i="50"/>
  <c r="L611" i="50"/>
  <c r="L612" i="50"/>
  <c r="L613" i="50"/>
  <c r="L614" i="50"/>
  <c r="L615" i="50"/>
  <c r="L616" i="50"/>
  <c r="L617" i="50"/>
  <c r="L618" i="50"/>
  <c r="L619" i="50"/>
  <c r="L620" i="50"/>
  <c r="L621" i="50"/>
  <c r="L622" i="50"/>
  <c r="L623" i="50"/>
  <c r="L624" i="50"/>
  <c r="L625" i="50"/>
  <c r="L626" i="50"/>
  <c r="L627" i="50"/>
  <c r="L628" i="50"/>
  <c r="L629" i="50"/>
  <c r="L630" i="50"/>
  <c r="L631" i="50"/>
  <c r="L632" i="50"/>
  <c r="L633" i="50"/>
  <c r="L634" i="50"/>
  <c r="L635" i="50"/>
  <c r="L636" i="50"/>
  <c r="L637" i="50"/>
  <c r="L638" i="50"/>
  <c r="L639" i="50"/>
  <c r="L640" i="50"/>
  <c r="L641" i="50"/>
  <c r="L642" i="50"/>
  <c r="L643" i="50"/>
  <c r="L644" i="50"/>
  <c r="L645" i="50"/>
  <c r="L646" i="50"/>
  <c r="L647" i="50"/>
  <c r="L648" i="50"/>
  <c r="L649" i="50"/>
  <c r="L650" i="50"/>
  <c r="L651" i="50"/>
  <c r="L652" i="50"/>
  <c r="L653" i="50"/>
  <c r="L654" i="50"/>
  <c r="L655" i="50"/>
  <c r="L656" i="50"/>
  <c r="L657" i="50"/>
  <c r="L658" i="50"/>
  <c r="L659" i="50"/>
  <c r="L660" i="50"/>
  <c r="L661" i="50"/>
  <c r="L662" i="50"/>
  <c r="L663" i="50"/>
  <c r="L664" i="50"/>
  <c r="L665" i="50"/>
  <c r="L666" i="50"/>
  <c r="L667" i="50"/>
  <c r="L668" i="50"/>
  <c r="L669" i="50"/>
  <c r="L670" i="50"/>
  <c r="L671" i="50"/>
  <c r="L672" i="50"/>
  <c r="L673" i="50"/>
  <c r="L674" i="50"/>
  <c r="L675" i="50"/>
  <c r="L676" i="50"/>
  <c r="L677" i="50"/>
  <c r="L678" i="50"/>
  <c r="L679" i="50"/>
  <c r="L680" i="50"/>
  <c r="L681" i="50"/>
  <c r="L682" i="50"/>
  <c r="L683" i="50"/>
  <c r="L684" i="50"/>
  <c r="L685" i="50"/>
  <c r="L686" i="50"/>
  <c r="L687" i="50"/>
  <c r="L688" i="50"/>
  <c r="L689" i="50"/>
  <c r="L690" i="50"/>
  <c r="L691" i="50"/>
  <c r="L692" i="50"/>
  <c r="L693" i="50"/>
  <c r="L694" i="50"/>
  <c r="L695" i="50"/>
  <c r="L696" i="50"/>
  <c r="L697" i="50"/>
  <c r="L698" i="50"/>
  <c r="L699" i="50"/>
  <c r="L700" i="50"/>
  <c r="L701" i="50"/>
  <c r="L702" i="50"/>
  <c r="L703" i="50"/>
  <c r="L704" i="50"/>
  <c r="L705" i="50"/>
  <c r="L706" i="50"/>
  <c r="L707" i="50"/>
  <c r="L708" i="50"/>
  <c r="L709" i="50"/>
  <c r="L710" i="50"/>
  <c r="L711" i="50"/>
  <c r="L712" i="50"/>
  <c r="L713" i="50"/>
  <c r="L714" i="50"/>
  <c r="L715" i="50"/>
  <c r="L716" i="50"/>
  <c r="L717" i="50"/>
  <c r="L718" i="50"/>
  <c r="L719" i="50"/>
  <c r="L720" i="50"/>
  <c r="L721" i="50"/>
  <c r="L722" i="50"/>
  <c r="L723" i="50"/>
  <c r="L724" i="50"/>
  <c r="L725" i="50"/>
  <c r="L726" i="50"/>
  <c r="L727" i="50"/>
  <c r="L728" i="50"/>
  <c r="L729" i="50"/>
  <c r="L730" i="50"/>
  <c r="L731" i="50"/>
  <c r="L732" i="50"/>
  <c r="L733" i="50"/>
  <c r="L734" i="50"/>
  <c r="L735" i="50"/>
  <c r="L736" i="50"/>
  <c r="L737" i="50"/>
  <c r="L738" i="50"/>
  <c r="L739" i="50"/>
  <c r="L740" i="50"/>
  <c r="L741" i="50"/>
  <c r="L742" i="50"/>
  <c r="L743" i="50"/>
  <c r="L744" i="50"/>
  <c r="L745" i="50"/>
  <c r="L746" i="50"/>
  <c r="L747" i="50"/>
  <c r="L748" i="50"/>
  <c r="L749" i="50"/>
  <c r="L750" i="50"/>
  <c r="L751" i="50"/>
  <c r="L752" i="50"/>
  <c r="L753" i="50"/>
  <c r="L754" i="50"/>
  <c r="L755" i="50"/>
  <c r="L756" i="50"/>
  <c r="L757" i="50"/>
  <c r="L758" i="50"/>
  <c r="L759" i="50"/>
  <c r="L760" i="50"/>
  <c r="L761" i="50"/>
  <c r="L762" i="50"/>
  <c r="L763" i="50"/>
  <c r="L764" i="50"/>
  <c r="L765" i="50"/>
  <c r="L766" i="50"/>
  <c r="L767" i="50"/>
  <c r="L768" i="50"/>
  <c r="L769" i="50"/>
  <c r="L770" i="50"/>
  <c r="L771" i="50"/>
  <c r="L772" i="50"/>
  <c r="L773" i="50"/>
  <c r="L774" i="50"/>
  <c r="L775" i="50"/>
  <c r="L776" i="50"/>
  <c r="L777" i="50"/>
  <c r="L778" i="50"/>
  <c r="L779" i="50"/>
  <c r="L780" i="50"/>
  <c r="L781" i="50"/>
  <c r="L782" i="50"/>
  <c r="L783" i="50"/>
  <c r="L784" i="50"/>
  <c r="L785" i="50"/>
  <c r="L786" i="50"/>
  <c r="L787" i="50"/>
  <c r="L788" i="50"/>
  <c r="L789" i="50"/>
  <c r="L790" i="50"/>
  <c r="L791" i="50"/>
  <c r="L792" i="50"/>
  <c r="L793" i="50"/>
  <c r="L794" i="50"/>
  <c r="L795" i="50"/>
  <c r="L796" i="50"/>
  <c r="L797" i="50"/>
  <c r="L798" i="50"/>
  <c r="L799" i="50"/>
  <c r="L800" i="50"/>
  <c r="L801" i="50"/>
  <c r="L802" i="50"/>
  <c r="L803" i="50"/>
  <c r="L804" i="50"/>
  <c r="L805" i="50"/>
  <c r="L806" i="50"/>
  <c r="L807" i="50"/>
  <c r="L808" i="50"/>
  <c r="L809" i="50"/>
  <c r="L810" i="50"/>
  <c r="L811" i="50"/>
  <c r="L812" i="50"/>
  <c r="L813" i="50"/>
  <c r="L814" i="50"/>
  <c r="L815" i="50"/>
  <c r="L816" i="50"/>
  <c r="L817" i="50"/>
  <c r="L818" i="50"/>
  <c r="L819" i="50"/>
  <c r="L820" i="50"/>
  <c r="L821" i="50"/>
  <c r="L822" i="50"/>
  <c r="L823" i="50"/>
  <c r="L824" i="50"/>
  <c r="L825" i="50"/>
  <c r="L826" i="50"/>
  <c r="L827" i="50"/>
  <c r="L828" i="50"/>
  <c r="L829" i="50"/>
  <c r="L830" i="50"/>
  <c r="L831" i="50"/>
  <c r="L832" i="50"/>
  <c r="L833" i="50"/>
  <c r="L834" i="50"/>
  <c r="L835" i="50"/>
  <c r="L836" i="50"/>
  <c r="L837" i="50"/>
  <c r="L838" i="50"/>
  <c r="L839" i="50"/>
  <c r="L840" i="50"/>
  <c r="L841" i="50"/>
  <c r="L842" i="50"/>
  <c r="L843" i="50"/>
  <c r="L844" i="50"/>
  <c r="L845" i="50"/>
  <c r="L846" i="50"/>
  <c r="L847" i="50"/>
  <c r="L848" i="50"/>
  <c r="L849" i="50"/>
  <c r="L850" i="50"/>
  <c r="L851" i="50"/>
  <c r="L852" i="50"/>
  <c r="L853" i="50"/>
  <c r="L854" i="50"/>
  <c r="L855" i="50"/>
  <c r="L856" i="50"/>
  <c r="L857" i="50"/>
  <c r="L858" i="50"/>
  <c r="L859" i="50"/>
  <c r="L860" i="50"/>
  <c r="L861" i="50"/>
  <c r="L862" i="50"/>
  <c r="L863" i="50"/>
  <c r="L864" i="50"/>
  <c r="L865" i="50"/>
  <c r="L866" i="50"/>
  <c r="L867" i="50"/>
  <c r="L868" i="50"/>
  <c r="L869" i="50"/>
  <c r="L870" i="50"/>
  <c r="L871" i="50"/>
  <c r="L872" i="50"/>
  <c r="L873" i="50"/>
  <c r="L874" i="50"/>
  <c r="L875" i="50"/>
  <c r="L876" i="50"/>
  <c r="L877" i="50"/>
  <c r="L878" i="50"/>
  <c r="L879" i="50"/>
  <c r="L880" i="50"/>
  <c r="L881" i="50"/>
  <c r="L882" i="50"/>
  <c r="L883" i="50"/>
  <c r="L884" i="50"/>
  <c r="L885" i="50"/>
  <c r="L886" i="50"/>
  <c r="L887" i="50"/>
  <c r="L888" i="50"/>
  <c r="L889" i="50"/>
  <c r="L890" i="50"/>
  <c r="L891" i="50"/>
  <c r="L892" i="50"/>
  <c r="L893" i="50"/>
  <c r="L894" i="50"/>
  <c r="L895" i="50"/>
  <c r="L896" i="50"/>
  <c r="L897" i="50"/>
  <c r="L898" i="50"/>
  <c r="L899" i="50"/>
  <c r="L900" i="50"/>
  <c r="L901" i="50"/>
  <c r="L902" i="50"/>
  <c r="L903" i="50"/>
  <c r="L904" i="50"/>
  <c r="L905" i="50"/>
  <c r="L906" i="50"/>
  <c r="L907" i="50"/>
  <c r="L908" i="50"/>
  <c r="L909" i="50"/>
  <c r="L910" i="50"/>
  <c r="L911" i="50"/>
  <c r="L912" i="50"/>
  <c r="L913" i="50"/>
  <c r="L914" i="50"/>
  <c r="L915" i="50"/>
  <c r="L916" i="50"/>
  <c r="L917" i="50"/>
  <c r="L918" i="50"/>
  <c r="L919" i="50"/>
  <c r="L920" i="50"/>
  <c r="L921" i="50"/>
  <c r="L922" i="50"/>
  <c r="L923" i="50"/>
  <c r="L924" i="50"/>
  <c r="L925" i="50"/>
  <c r="L926" i="50"/>
  <c r="L927" i="50"/>
  <c r="L928" i="50"/>
  <c r="L929" i="50"/>
  <c r="L930" i="50"/>
  <c r="L931" i="50"/>
  <c r="L932" i="50"/>
  <c r="L933" i="50"/>
  <c r="L934" i="50"/>
  <c r="L935" i="50"/>
  <c r="L936" i="50"/>
  <c r="L937" i="50"/>
  <c r="L938" i="50"/>
  <c r="L939" i="50"/>
  <c r="L940" i="50"/>
  <c r="L941" i="50"/>
  <c r="L942" i="50"/>
  <c r="L943" i="50"/>
  <c r="L944" i="50"/>
  <c r="L945" i="50"/>
  <c r="L946" i="50"/>
  <c r="L947" i="50"/>
  <c r="L948" i="50"/>
  <c r="L949" i="50"/>
  <c r="L950" i="50"/>
  <c r="L951" i="50"/>
  <c r="L952" i="50"/>
  <c r="L953" i="50"/>
  <c r="L954" i="50"/>
  <c r="L955" i="50"/>
  <c r="L956" i="50"/>
  <c r="L957" i="50"/>
  <c r="L958" i="50"/>
  <c r="L959" i="50"/>
  <c r="L960" i="50"/>
  <c r="L961" i="50"/>
  <c r="L962" i="50"/>
  <c r="L963" i="50"/>
  <c r="L964" i="50"/>
  <c r="L965" i="50"/>
  <c r="L966" i="50"/>
  <c r="L967" i="50"/>
  <c r="L968" i="50"/>
  <c r="L969" i="50"/>
  <c r="L970" i="50"/>
  <c r="L971" i="50"/>
  <c r="L972" i="50"/>
  <c r="L973" i="50"/>
  <c r="L974" i="50"/>
  <c r="L975" i="50"/>
  <c r="L976" i="50"/>
  <c r="L977" i="50"/>
  <c r="L978" i="50"/>
  <c r="L979" i="50"/>
  <c r="L980" i="50"/>
  <c r="L981" i="50"/>
  <c r="L982" i="50"/>
  <c r="L983" i="50"/>
  <c r="L984" i="50"/>
  <c r="L985" i="50"/>
  <c r="L986" i="50"/>
  <c r="L987" i="50"/>
  <c r="L988" i="50"/>
  <c r="L989" i="50"/>
  <c r="L990" i="50"/>
  <c r="L991" i="50"/>
  <c r="L992" i="50"/>
  <c r="L993" i="50"/>
  <c r="L994" i="50"/>
  <c r="L995" i="50"/>
  <c r="L996" i="50"/>
  <c r="L997" i="50"/>
  <c r="L998" i="50"/>
  <c r="L999" i="50"/>
  <c r="L1000" i="50"/>
  <c r="L1001" i="50"/>
  <c r="L1002" i="50"/>
  <c r="L1003" i="50"/>
  <c r="L1004" i="50"/>
  <c r="L1005" i="50"/>
  <c r="L1006" i="50"/>
  <c r="L1007" i="50"/>
  <c r="L1008" i="50"/>
  <c r="L1009" i="50"/>
  <c r="L1010" i="50"/>
  <c r="L1011" i="50"/>
  <c r="L1012" i="50"/>
  <c r="L1013" i="50"/>
  <c r="L1014" i="50"/>
  <c r="L1015" i="50"/>
  <c r="L1016" i="50"/>
  <c r="L1017" i="50"/>
  <c r="L1018" i="50"/>
  <c r="L1019" i="50"/>
  <c r="L1020" i="50"/>
  <c r="L1021" i="50"/>
  <c r="L1022" i="50"/>
  <c r="L1023" i="50"/>
  <c r="L1024" i="50"/>
  <c r="L1025" i="50"/>
  <c r="L1026" i="50"/>
  <c r="L1027" i="50"/>
  <c r="L1028" i="50"/>
  <c r="L1029" i="50"/>
  <c r="L1030" i="50"/>
  <c r="L1031" i="50"/>
  <c r="L1032" i="50"/>
  <c r="L1033" i="50"/>
  <c r="L1034" i="50"/>
  <c r="L1035" i="50"/>
  <c r="L1036" i="50"/>
  <c r="L1037" i="50"/>
  <c r="L1038" i="50"/>
  <c r="L1039" i="50"/>
  <c r="L1040" i="50"/>
  <c r="L1041" i="50"/>
  <c r="L1042" i="50"/>
  <c r="L1043" i="50"/>
  <c r="L1044" i="50"/>
  <c r="L1045" i="50"/>
  <c r="L1046" i="50"/>
  <c r="L1047" i="50"/>
  <c r="L1048" i="50"/>
  <c r="L1049" i="50"/>
  <c r="L1050" i="50"/>
  <c r="L1051" i="50"/>
  <c r="L1052" i="50"/>
  <c r="L1053" i="50"/>
  <c r="L1054" i="50"/>
  <c r="L1055" i="50"/>
  <c r="L1056" i="50"/>
  <c r="L1057" i="50"/>
  <c r="L1058" i="50"/>
  <c r="L1059" i="50"/>
  <c r="L1060" i="50"/>
  <c r="L1061" i="50"/>
  <c r="L1062" i="50"/>
  <c r="L2" i="50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<sst xmlns="http://schemas.openxmlformats.org/spreadsheetml/2006/main" count="9523" uniqueCount="2069">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</sst>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J2" sqref="J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102</v>
      </c>
      <c r="E2">
        <f>VLOOKUP(B2,raw!A:K,4,0)</f>
        <v>0</v>
      </c>
      <c r="F2">
        <f>VLOOKUP(B2,raw!A:K,5,0)</f>
        <v>0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88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0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145</v>
      </c>
      <c r="E8">
        <f>VLOOKUP(B8,raw!A:K,4,0)</f>
        <v>0</v>
      </c>
      <c r="F8">
        <f>VLOOKUP(B8,raw!A:K,5,0)</f>
        <v>0</v>
      </c>
      <c r="G8">
        <f>VLOOKUP(B8,raw!A:K,2,0)+VLOOKUP(B8,raw!A:K,10,0)</f>
        <v>1</v>
      </c>
      <c r="H8">
        <f>VLOOKUP(B8,raw!A:K,6,0)</f>
        <v>0</v>
      </c>
      <c r="I8">
        <f>VLOOKUP(B8,raw!A:K,9,0)</f>
        <v>26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154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93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205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144</v>
      </c>
      <c r="E13">
        <f>VLOOKUP(B13,raw!A:K,4,0)</f>
        <v>0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0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65</v>
      </c>
      <c r="E14">
        <f>VLOOKUP(B14,raw!A:K,4,0)</f>
        <v>0</v>
      </c>
      <c r="F14">
        <f>VLOOKUP(B14,raw!A:K,5,0)</f>
        <v>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151</v>
      </c>
      <c r="D15">
        <f>VLOOKUP(B15,raw!A:K,3,0)+VLOOKUP(B15,raw!A:K,7,0)</f>
        <v>104</v>
      </c>
      <c r="E15">
        <f>VLOOKUP(B15,raw!A:K,4,0)</f>
        <v>0</v>
      </c>
      <c r="F15">
        <f>VLOOKUP(B15,raw!A:K,5,0)</f>
        <v>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47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116</v>
      </c>
      <c r="E16">
        <f>VLOOKUP(B16,raw!A:K,4,0)</f>
        <v>0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0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0</v>
      </c>
      <c r="F17">
        <f>VLOOKUP(B17,raw!A:K,5,0)</f>
        <v>0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30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26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51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15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0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16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0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22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75</v>
      </c>
      <c r="E27">
        <f>VLOOKUP(B27,raw!A:K,4,0)</f>
        <v>0</v>
      </c>
      <c r="F27">
        <f>VLOOKUP(B27,raw!A:K,5,0)</f>
        <v>0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34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0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69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0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36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52</v>
      </c>
      <c r="D32">
        <f>VLOOKUP(B32,raw!A:K,3,0)+VLOOKUP(B32,raw!A:K,7,0)</f>
        <v>52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0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62</v>
      </c>
      <c r="E33">
        <f>VLOOKUP(B33,raw!A:K,4,0)</f>
        <v>0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0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68</v>
      </c>
      <c r="D34">
        <f>VLOOKUP(B34,raw!A:K,3,0)+VLOOKUP(B34,raw!A:K,7,0)</f>
        <v>68</v>
      </c>
      <c r="E34">
        <f>VLOOKUP(B34,raw!A:K,4,0)</f>
        <v>0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62</v>
      </c>
      <c r="E35">
        <f>VLOOKUP(B35,raw!A:K,4,0)</f>
        <v>0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71</v>
      </c>
      <c r="D36">
        <f>VLOOKUP(B36,raw!A:K,3,0)+VLOOKUP(B36,raw!A:K,7,0)</f>
        <v>41</v>
      </c>
      <c r="E36">
        <f>VLOOKUP(B36,raw!A:K,4,0)</f>
        <v>0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30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66</v>
      </c>
      <c r="D37">
        <f>VLOOKUP(B37,raw!A:K,3,0)+VLOOKUP(B37,raw!A:K,7,0)</f>
        <v>10</v>
      </c>
      <c r="E37">
        <f>VLOOKUP(B37,raw!A:K,4,0)</f>
        <v>0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56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35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1</v>
      </c>
      <c r="H38">
        <f>VLOOKUP(B38,raw!A:K,6,0)</f>
        <v>0</v>
      </c>
      <c r="I38">
        <f>VLOOKUP(B38,raw!A:K,9,0)</f>
        <v>15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73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73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28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66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66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53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1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86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1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60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1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58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0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92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94</v>
      </c>
      <c r="E49">
        <f>VLOOKUP(B49,raw!A:K,4,0)</f>
        <v>0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0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104</v>
      </c>
      <c r="E50">
        <f>VLOOKUP(B50,raw!A:K,4,0)</f>
        <v>0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0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103</v>
      </c>
      <c r="E51">
        <f>VLOOKUP(B51,raw!A:K,4,0)</f>
        <v>0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110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0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1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0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1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77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2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0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11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0</v>
      </c>
      <c r="F61">
        <f>VLOOKUP(B61,raw!A:K,5,0)</f>
        <v>0</v>
      </c>
      <c r="G61">
        <f>VLOOKUP(B61,raw!A:K,2,0)+VLOOKUP(B61,raw!A:K,10,0)</f>
        <v>1</v>
      </c>
      <c r="H61">
        <f>VLOOKUP(B61,raw!A:K,6,0)</f>
        <v>0</v>
      </c>
      <c r="I61">
        <f>VLOOKUP(B61,raw!A:K,9,0)</f>
        <v>13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28</v>
      </c>
      <c r="E62">
        <f>VLOOKUP(B62,raw!A:K,4,0)</f>
        <v>0</v>
      </c>
      <c r="F62">
        <f>VLOOKUP(B62,raw!A:K,5,0)</f>
        <v>0</v>
      </c>
      <c r="G62">
        <f>VLOOKUP(B62,raw!A:K,2,0)+VLOOKUP(B62,raw!A:K,10,0)</f>
        <v>40</v>
      </c>
      <c r="H62">
        <f>VLOOKUP(B62,raw!A:K,6,0)</f>
        <v>0</v>
      </c>
      <c r="I62">
        <f>VLOOKUP(B62,raw!A:K,9,0)</f>
        <v>4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0</v>
      </c>
      <c r="F63">
        <f>VLOOKUP(B63,raw!A:K,5,0)</f>
        <v>0</v>
      </c>
      <c r="G63">
        <f>VLOOKUP(B63,raw!A:K,2,0)+VLOOKUP(B63,raw!A:K,10,0)</f>
        <v>28</v>
      </c>
      <c r="H63">
        <f>VLOOKUP(B63,raw!A:K,6,0)</f>
        <v>0</v>
      </c>
      <c r="I63">
        <f>VLOOKUP(B63,raw!A:K,9,0)</f>
        <v>1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6</v>
      </c>
      <c r="F64">
        <f>VLOOKUP(B64,raw!A:K,5,0)</f>
        <v>0</v>
      </c>
      <c r="G64">
        <f>VLOOKUP(B64,raw!A:K,2,0)+VLOOKUP(B64,raw!A:K,10,0)</f>
        <v>7</v>
      </c>
      <c r="H64">
        <f>VLOOKUP(B64,raw!A:K,6,0)</f>
        <v>0</v>
      </c>
      <c r="I64">
        <f>VLOOKUP(B64,raw!A:K,9,0)</f>
        <v>22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6</v>
      </c>
      <c r="F66">
        <f>VLOOKUP(B66,raw!A:K,5,0)</f>
        <v>0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85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85</v>
      </c>
      <c r="D70">
        <f>VLOOKUP(B70,raw!A:K,3,0)+VLOOKUP(B70,raw!A:K,7,0)</f>
        <v>79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6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80</v>
      </c>
      <c r="E72">
        <f>VLOOKUP(B72,raw!A:K,4,0)</f>
        <v>0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0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54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40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47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47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49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49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47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47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23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0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35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38</v>
      </c>
      <c r="D85">
        <f>VLOOKUP(B85,raw!A:K,3,0)+VLOOKUP(B85,raw!A:K,7,0)</f>
        <v>33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5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0</v>
      </c>
      <c r="F87">
        <f>VLOOKUP(B87,raw!A:K,5,0)</f>
        <v>0</v>
      </c>
      <c r="G87">
        <f>VLOOKUP(B87,raw!A:K,2,0)+VLOOKUP(B87,raw!A:K,10,0)</f>
        <v>3</v>
      </c>
      <c r="H87">
        <f>VLOOKUP(B87,raw!A:K,6,0)</f>
        <v>0</v>
      </c>
      <c r="I87">
        <f>VLOOKUP(B87,raw!A:K,9,0)</f>
        <v>30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47</v>
      </c>
      <c r="D91">
        <f>VLOOKUP(B91,raw!A:K,3,0)+VLOOKUP(B91,raw!A:K,7,0)</f>
        <v>17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1</v>
      </c>
      <c r="H91">
        <f>VLOOKUP(B91,raw!A:K,6,0)</f>
        <v>0</v>
      </c>
      <c r="I91">
        <f>VLOOKUP(B91,raw!A:K,9,0)</f>
        <v>29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20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2</v>
      </c>
      <c r="H92">
        <f>VLOOKUP(B92,raw!A:K,6,0)</f>
        <v>0</v>
      </c>
      <c r="I92">
        <f>VLOOKUP(B92,raw!A:K,9,0)</f>
        <v>10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0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6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72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41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0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1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49</v>
      </c>
      <c r="E104">
        <f>VLOOKUP(B104,raw!A:K,4,0)</f>
        <v>1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0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40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0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24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0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7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77</v>
      </c>
      <c r="E113">
        <f>VLOOKUP(B113,raw!A:K,4,0)</f>
        <v>0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1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26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46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18</v>
      </c>
      <c r="E118">
        <f>VLOOKUP(B118,raw!A:K,4,0)</f>
        <v>0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46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0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106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27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32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55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87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1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93</v>
      </c>
      <c r="D130">
        <f>VLOOKUP(B130,raw!A:K,3,0)+VLOOKUP(B130,raw!A:K,7,0)</f>
        <v>0</v>
      </c>
      <c r="E130">
        <f>VLOOKUP(B130,raw!A:K,4,0)</f>
        <v>4</v>
      </c>
      <c r="F130">
        <f>VLOOKUP(B130,raw!A:K,5,0)</f>
        <v>0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89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69</v>
      </c>
      <c r="D131">
        <f>VLOOKUP(B131,raw!A:K,3,0)+VLOOKUP(B131,raw!A:K,7,0)</f>
        <v>68</v>
      </c>
      <c r="E131">
        <f>VLOOKUP(B131,raw!A:K,4,0)</f>
        <v>1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218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0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59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16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26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180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21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94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105</v>
      </c>
      <c r="D150">
        <f>VLOOKUP(B150,raw!A:K,3,0)+VLOOKUP(B150,raw!A:K,7,0)</f>
        <v>105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100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0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226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26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6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35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55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55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65</v>
      </c>
      <c r="D161">
        <f>VLOOKUP(B161,raw!A:K,3,0)+VLOOKUP(B161,raw!A:K,7,0)</f>
        <v>1</v>
      </c>
      <c r="E161">
        <f>VLOOKUP(B161,raw!A:K,4,0)</f>
        <v>0</v>
      </c>
      <c r="F161">
        <f>VLOOKUP(B161,raw!A:K,5,0)</f>
        <v>0</v>
      </c>
      <c r="G161">
        <f>VLOOKUP(B161,raw!A:K,2,0)+VLOOKUP(B161,raw!A:K,10,0)</f>
        <v>5</v>
      </c>
      <c r="H161">
        <f>VLOOKUP(B161,raw!A:K,6,0)</f>
        <v>0</v>
      </c>
      <c r="I161">
        <f>VLOOKUP(B161,raw!A:K,9,0)</f>
        <v>59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0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104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91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0</v>
      </c>
      <c r="G163">
        <f>VLOOKUP(B163,raw!A:K,2,0)+VLOOKUP(B163,raw!A:K,10,0)</f>
        <v>1</v>
      </c>
      <c r="H163">
        <f>VLOOKUP(B163,raw!A:K,6,0)</f>
        <v>0</v>
      </c>
      <c r="I163">
        <f>VLOOKUP(B163,raw!A:K,9,0)</f>
        <v>90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14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58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12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0</v>
      </c>
      <c r="F166">
        <f>VLOOKUP(B166,raw!A:K,5,0)</f>
        <v>0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64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43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15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79</v>
      </c>
      <c r="D169">
        <f>VLOOKUP(B169,raw!A:K,3,0)+VLOOKUP(B169,raw!A:K,7,0)</f>
        <v>50</v>
      </c>
      <c r="E169">
        <f>VLOOKUP(B169,raw!A:K,4,0)</f>
        <v>0</v>
      </c>
      <c r="F169">
        <f>VLOOKUP(B169,raw!A:K,5,0)</f>
        <v>0</v>
      </c>
      <c r="G169">
        <f>VLOOKUP(B169,raw!A:K,2,0)+VLOOKUP(B169,raw!A:K,10,0)</f>
        <v>2</v>
      </c>
      <c r="H169">
        <f>VLOOKUP(B169,raw!A:K,6,0)</f>
        <v>0</v>
      </c>
      <c r="I169">
        <f>VLOOKUP(B169,raw!A:K,9,0)</f>
        <v>27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107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1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1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52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1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12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1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72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0</v>
      </c>
      <c r="E175">
        <f>VLOOKUP(B175,raw!A:K,4,0)</f>
        <v>0</v>
      </c>
      <c r="F175">
        <f>VLOOKUP(B175,raw!A:K,5,0)</f>
        <v>0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150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103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103</v>
      </c>
      <c r="D177">
        <f>VLOOKUP(B177,raw!A:K,3,0)+VLOOKUP(B177,raw!A:K,7,0)</f>
        <v>51</v>
      </c>
      <c r="E177">
        <f>VLOOKUP(B177,raw!A:K,4,0)</f>
        <v>0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52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72</v>
      </c>
      <c r="D178">
        <f>VLOOKUP(B178,raw!A:K,3,0)+VLOOKUP(B178,raw!A:K,7,0)</f>
        <v>52</v>
      </c>
      <c r="E178">
        <f>VLOOKUP(B178,raw!A:K,4,0)</f>
        <v>0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71</v>
      </c>
      <c r="E179">
        <f>VLOOKUP(B179,raw!A:K,4,0)</f>
        <v>0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238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1</v>
      </c>
      <c r="H180">
        <f>VLOOKUP(B180,raw!A:K,6,0)</f>
        <v>0</v>
      </c>
      <c r="I180">
        <f>VLOOKUP(B180,raw!A:K,9,0)</f>
        <v>0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106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1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177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0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28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80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102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0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171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139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0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62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43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106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111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81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0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165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0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126</v>
      </c>
      <c r="E205">
        <f>VLOOKUP(B205,raw!A:K,4,0)</f>
        <v>12</v>
      </c>
      <c r="F205">
        <f>VLOOKUP(B205,raw!A:K,5,0)</f>
        <v>0</v>
      </c>
      <c r="G205">
        <f>VLOOKUP(B205,raw!A:K,2,0)+VLOOKUP(B205,raw!A:K,10,0)</f>
        <v>2</v>
      </c>
      <c r="H205">
        <f>VLOOKUP(B205,raw!A:K,6,0)</f>
        <v>2</v>
      </c>
      <c r="I205">
        <f>VLOOKUP(B205,raw!A:K,9,0)</f>
        <v>14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1</v>
      </c>
      <c r="H206">
        <f>VLOOKUP(B206,raw!A:K,6,0)</f>
        <v>0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18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5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1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22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198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123</v>
      </c>
      <c r="D213">
        <f>VLOOKUP(B213,raw!A:K,3,0)+VLOOKUP(B213,raw!A:K,7,0)</f>
        <v>122</v>
      </c>
      <c r="E213">
        <f>VLOOKUP(B213,raw!A:K,4,0)</f>
        <v>1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235</v>
      </c>
      <c r="D214">
        <f>VLOOKUP(B214,raw!A:K,3,0)+VLOOKUP(B214,raw!A:K,7,0)</f>
        <v>196</v>
      </c>
      <c r="E214">
        <f>VLOOKUP(B214,raw!A:K,4,0)</f>
        <v>35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1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119</v>
      </c>
      <c r="D215">
        <f>VLOOKUP(B215,raw!A:K,3,0)+VLOOKUP(B215,raw!A:K,7,0)</f>
        <v>105</v>
      </c>
      <c r="E215">
        <f>VLOOKUP(B215,raw!A:K,4,0)</f>
        <v>7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7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93</v>
      </c>
      <c r="E216">
        <f>VLOOKUP(B216,raw!A:K,4,0)</f>
        <v>3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1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114</v>
      </c>
      <c r="D217">
        <f>VLOOKUP(B217,raw!A:K,3,0)+VLOOKUP(B217,raw!A:K,7,0)</f>
        <v>104</v>
      </c>
      <c r="E217">
        <f>VLOOKUP(B217,raw!A:K,4,0)</f>
        <v>6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4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101</v>
      </c>
      <c r="E218">
        <f>VLOOKUP(B218,raw!A:K,4,0)</f>
        <v>4</v>
      </c>
      <c r="F218">
        <f>VLOOKUP(B218,raw!A:K,5,0)</f>
        <v>0</v>
      </c>
      <c r="G218">
        <f>VLOOKUP(B218,raw!A:K,2,0)+VLOOKUP(B218,raw!A:K,10,0)</f>
        <v>2</v>
      </c>
      <c r="H218">
        <f>VLOOKUP(B218,raw!A:K,6,0)</f>
        <v>0</v>
      </c>
      <c r="I218">
        <f>VLOOKUP(B218,raw!A:K,9,0)</f>
        <v>2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192</v>
      </c>
      <c r="D219">
        <f>VLOOKUP(B219,raw!A:K,3,0)+VLOOKUP(B219,raw!A:K,7,0)</f>
        <v>191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1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8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5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55</v>
      </c>
      <c r="D221">
        <f>VLOOKUP(B221,raw!A:K,3,0)+VLOOKUP(B221,raw!A:K,7,0)</f>
        <v>51</v>
      </c>
      <c r="E221">
        <f>VLOOKUP(B221,raw!A:K,4,0)</f>
        <v>2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190</v>
      </c>
      <c r="E222">
        <f>VLOOKUP(B222,raw!A:K,4,0)</f>
        <v>0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67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75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0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123</v>
      </c>
      <c r="E225">
        <f>VLOOKUP(B225,raw!A:K,4,0)</f>
        <v>2</v>
      </c>
      <c r="F225">
        <f>VLOOKUP(B225,raw!A:K,5,0)</f>
        <v>0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10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85</v>
      </c>
      <c r="E226">
        <f>VLOOKUP(B226,raw!A:K,4,0)</f>
        <v>0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5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116</v>
      </c>
      <c r="E227">
        <f>VLOOKUP(B227,raw!A:K,4,0)</f>
        <v>3</v>
      </c>
      <c r="F227">
        <f>VLOOKUP(B227,raw!A:K,5,0)</f>
        <v>0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8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117</v>
      </c>
      <c r="D228">
        <f>VLOOKUP(B228,raw!A:K,3,0)+VLOOKUP(B228,raw!A:K,7,0)</f>
        <v>117</v>
      </c>
      <c r="E228">
        <f>VLOOKUP(B228,raw!A:K,4,0)</f>
        <v>0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0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137</v>
      </c>
      <c r="E229">
        <f>VLOOKUP(B229,raw!A:K,4,0)</f>
        <v>1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102</v>
      </c>
      <c r="E230">
        <f>VLOOKUP(B230,raw!A:K,4,0)</f>
        <v>0</v>
      </c>
      <c r="F230">
        <f>VLOOKUP(B230,raw!A:K,5,0)</f>
        <v>0</v>
      </c>
      <c r="G230">
        <f>VLOOKUP(B230,raw!A:K,2,0)+VLOOKUP(B230,raw!A:K,10,0)</f>
        <v>23</v>
      </c>
      <c r="H230">
        <f>VLOOKUP(B230,raw!A:K,6,0)</f>
        <v>0</v>
      </c>
      <c r="I230">
        <f>VLOOKUP(B230,raw!A:K,9,0)</f>
        <v>51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80</v>
      </c>
      <c r="E231">
        <f>VLOOKUP(B231,raw!A:K,4,0)</f>
        <v>0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66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118</v>
      </c>
      <c r="E232">
        <f>VLOOKUP(B232,raw!A:K,4,0)</f>
        <v>0</v>
      </c>
      <c r="F232">
        <f>VLOOKUP(B232,raw!A:K,5,0)</f>
        <v>0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87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188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30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143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42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227</v>
      </c>
      <c r="D235">
        <f>VLOOKUP(B235,raw!A:K,3,0)+VLOOKUP(B235,raw!A:K,7,0)</f>
        <v>58</v>
      </c>
      <c r="E235">
        <f>VLOOKUP(B235,raw!A:K,4,0)</f>
        <v>37</v>
      </c>
      <c r="F235">
        <f>VLOOKUP(B235,raw!A:K,5,0)</f>
        <v>0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130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122</v>
      </c>
      <c r="E236">
        <f>VLOOKUP(B236,raw!A:K,4,0)</f>
        <v>12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123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133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1</v>
      </c>
      <c r="H237">
        <f>VLOOKUP(B237,raw!A:K,6,0)</f>
        <v>0</v>
      </c>
      <c r="I237">
        <f>VLOOKUP(B237,raw!A:K,9,0)</f>
        <v>61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154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0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42</v>
      </c>
      <c r="E240">
        <f>VLOOKUP(B240,raw!A:K,4,0)</f>
        <v>16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87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99</v>
      </c>
      <c r="D241">
        <f>VLOOKUP(B241,raw!A:K,3,0)+VLOOKUP(B241,raw!A:K,7,0)</f>
        <v>0</v>
      </c>
      <c r="E241">
        <f>VLOOKUP(B241,raw!A:K,4,0)</f>
        <v>47</v>
      </c>
      <c r="F241">
        <f>VLOOKUP(B241,raw!A:K,5,0)</f>
        <v>0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52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18</v>
      </c>
      <c r="H242">
        <f>VLOOKUP(B242,raw!A:K,6,0)</f>
        <v>0</v>
      </c>
      <c r="I242">
        <f>VLOOKUP(B242,raw!A:K,9,0)</f>
        <v>63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121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0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13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120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109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0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120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0</v>
      </c>
      <c r="I247">
        <f>VLOOKUP(B247,raw!A:K,9,0)</f>
        <v>0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295</v>
      </c>
      <c r="D249">
        <f>VLOOKUP(B249,raw!A:K,3,0)+VLOOKUP(B249,raw!A:K,7,0)</f>
        <v>72</v>
      </c>
      <c r="E249">
        <f>VLOOKUP(B249,raw!A:K,4,0)</f>
        <v>5</v>
      </c>
      <c r="F249">
        <f>VLOOKUP(B249,raw!A:K,5,0)</f>
        <v>0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218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22</v>
      </c>
      <c r="E250">
        <f>VLOOKUP(B250,raw!A:K,4,0)</f>
        <v>4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77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221</v>
      </c>
      <c r="D251">
        <f>VLOOKUP(B251,raw!A:K,3,0)+VLOOKUP(B251,raw!A:K,7,0)</f>
        <v>140</v>
      </c>
      <c r="E251">
        <f>VLOOKUP(B251,raw!A:K,4,0)</f>
        <v>2</v>
      </c>
      <c r="F251">
        <f>VLOOKUP(B251,raw!A:K,5,0)</f>
        <v>0</v>
      </c>
      <c r="G251">
        <f>VLOOKUP(B251,raw!A:K,2,0)+VLOOKUP(B251,raw!A:K,10,0)</f>
        <v>2</v>
      </c>
      <c r="H251">
        <f>VLOOKUP(B251,raw!A:K,6,0)</f>
        <v>0</v>
      </c>
      <c r="I251">
        <f>VLOOKUP(B251,raw!A:K,9,0)</f>
        <v>77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143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50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42</v>
      </c>
      <c r="E253">
        <f>VLOOKUP(B253,raw!A:K,4,0)</f>
        <v>18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96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78</v>
      </c>
      <c r="E254">
        <f>VLOOKUP(B254,raw!A:K,4,0)</f>
        <v>12</v>
      </c>
      <c r="F254">
        <f>VLOOKUP(B254,raw!A:K,5,0)</f>
        <v>0</v>
      </c>
      <c r="G254">
        <f>VLOOKUP(B254,raw!A:K,2,0)+VLOOKUP(B254,raw!A:K,10,0)</f>
        <v>1</v>
      </c>
      <c r="H254">
        <f>VLOOKUP(B254,raw!A:K,6,0)</f>
        <v>0</v>
      </c>
      <c r="I254">
        <f>VLOOKUP(B254,raw!A:K,9,0)</f>
        <v>82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7</v>
      </c>
      <c r="F259">
        <f>VLOOKUP(B259,raw!A:K,5,0)</f>
        <v>0</v>
      </c>
      <c r="G259">
        <f>VLOOKUP(B259,raw!A:K,2,0)+VLOOKUP(B259,raw!A:K,10,0)</f>
        <v>1</v>
      </c>
      <c r="H259">
        <f>VLOOKUP(B259,raw!A:K,6,0)</f>
        <v>0</v>
      </c>
      <c r="I259">
        <f>VLOOKUP(B259,raw!A:K,9,0)</f>
        <v>49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152</v>
      </c>
      <c r="E260">
        <f>VLOOKUP(B260,raw!A:K,4,0)</f>
        <v>1</v>
      </c>
      <c r="F260">
        <f>VLOOKUP(B260,raw!A:K,5,0)</f>
        <v>0</v>
      </c>
      <c r="G260">
        <f>VLOOKUP(B260,raw!A:K,2,0)+VLOOKUP(B260,raw!A:K,10,0)</f>
        <v>18</v>
      </c>
      <c r="H260">
        <f>VLOOKUP(B260,raw!A:K,6,0)</f>
        <v>0</v>
      </c>
      <c r="I260">
        <f>VLOOKUP(B260,raw!A:K,9,0)</f>
        <v>32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177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5</v>
      </c>
      <c r="H261">
        <f>VLOOKUP(B261,raw!A:K,6,0)</f>
        <v>0</v>
      </c>
      <c r="I261">
        <f>VLOOKUP(B261,raw!A:K,9,0)</f>
        <v>31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0</v>
      </c>
      <c r="F262">
        <f>VLOOKUP(B262,raw!A:K,5,0)</f>
        <v>0</v>
      </c>
      <c r="G262">
        <f>VLOOKUP(B262,raw!A:K,2,0)+VLOOKUP(B262,raw!A:K,10,0)</f>
        <v>0</v>
      </c>
      <c r="H262">
        <f>VLOOKUP(B262,raw!A:K,6,0)</f>
        <v>0</v>
      </c>
      <c r="I262">
        <f>VLOOKUP(B262,raw!A:K,9,0)</f>
        <v>81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1</v>
      </c>
      <c r="F264">
        <f>VLOOKUP(B264,raw!A:K,5,0)</f>
        <v>0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33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3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43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125</v>
      </c>
      <c r="D266">
        <f>VLOOKUP(B266,raw!A:K,3,0)+VLOOKUP(B266,raw!A:K,7,0)</f>
        <v>83</v>
      </c>
      <c r="E266">
        <f>VLOOKUP(B266,raw!A:K,4,0)</f>
        <v>1</v>
      </c>
      <c r="F266">
        <f>VLOOKUP(B266,raw!A:K,5,0)</f>
        <v>0</v>
      </c>
      <c r="G266">
        <f>VLOOKUP(B266,raw!A:K,2,0)+VLOOKUP(B266,raw!A:K,10,0)</f>
        <v>2</v>
      </c>
      <c r="H266">
        <f>VLOOKUP(B266,raw!A:K,6,0)</f>
        <v>0</v>
      </c>
      <c r="I266">
        <f>VLOOKUP(B266,raw!A:K,9,0)</f>
        <v>39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0</v>
      </c>
      <c r="F267">
        <f>VLOOKUP(B267,raw!A:K,5,0)</f>
        <v>0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33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2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56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26</v>
      </c>
      <c r="F270">
        <f>VLOOKUP(B270,raw!A:K,5,0)</f>
        <v>0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252</v>
      </c>
      <c r="D271">
        <f>VLOOKUP(B271,raw!A:K,3,0)+VLOOKUP(B271,raw!A:K,7,0)</f>
        <v>140</v>
      </c>
      <c r="E271">
        <f>VLOOKUP(B271,raw!A:K,4,0)</f>
        <v>54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1</v>
      </c>
      <c r="I271">
        <f>VLOOKUP(B271,raw!A:K,9,0)</f>
        <v>57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65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181</v>
      </c>
      <c r="D273">
        <f>VLOOKUP(B273,raw!A:K,3,0)+VLOOKUP(B273,raw!A:K,7,0)</f>
        <v>116</v>
      </c>
      <c r="E273">
        <f>VLOOKUP(B273,raw!A:K,4,0)</f>
        <v>1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64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105</v>
      </c>
      <c r="E275">
        <f>VLOOKUP(B275,raw!A:K,4,0)</f>
        <v>18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28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134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181</v>
      </c>
      <c r="D277">
        <f>VLOOKUP(B277,raw!A:K,3,0)+VLOOKUP(B277,raw!A:K,7,0)</f>
        <v>162</v>
      </c>
      <c r="E277">
        <f>VLOOKUP(B277,raw!A:K,4,0)</f>
        <v>12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5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19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97</v>
      </c>
      <c r="E281">
        <f>VLOOKUP(B281,raw!A:K,4,0)</f>
        <v>34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173</v>
      </c>
      <c r="D282">
        <f>VLOOKUP(B282,raw!A:K,3,0)+VLOOKUP(B282,raw!A:K,7,0)</f>
        <v>85</v>
      </c>
      <c r="E282">
        <f>VLOOKUP(B282,raw!A:K,4,0)</f>
        <v>43</v>
      </c>
      <c r="F282">
        <f>VLOOKUP(B282,raw!A:K,5,0)</f>
        <v>0</v>
      </c>
      <c r="G282">
        <f>VLOOKUP(B282,raw!A:K,2,0)+VLOOKUP(B282,raw!A:K,10,0)</f>
        <v>1</v>
      </c>
      <c r="H282">
        <f>VLOOKUP(B282,raw!A:K,6,0)</f>
        <v>1</v>
      </c>
      <c r="I282">
        <f>VLOOKUP(B282,raw!A:K,9,0)</f>
        <v>43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204</v>
      </c>
      <c r="D285">
        <f>VLOOKUP(B285,raw!A:K,3,0)+VLOOKUP(B285,raw!A:K,7,0)</f>
        <v>104</v>
      </c>
      <c r="E285">
        <f>VLOOKUP(B285,raw!A:K,4,0)</f>
        <v>52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48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49</v>
      </c>
      <c r="E286">
        <f>VLOOKUP(B286,raw!A:K,4,0)</f>
        <v>41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28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76</v>
      </c>
      <c r="D287">
        <f>VLOOKUP(B287,raw!A:K,3,0)+VLOOKUP(B287,raw!A:K,7,0)</f>
        <v>25</v>
      </c>
      <c r="E287">
        <f>VLOOKUP(B287,raw!A:K,4,0)</f>
        <v>51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86</v>
      </c>
      <c r="E290">
        <f>VLOOKUP(B290,raw!A:K,4,0)</f>
        <v>4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3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3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120</v>
      </c>
      <c r="D295">
        <f>VLOOKUP(B295,raw!A:K,3,0)+VLOOKUP(B295,raw!A:K,7,0)</f>
        <v>99</v>
      </c>
      <c r="E295">
        <f>VLOOKUP(B295,raw!A:K,4,0)</f>
        <v>10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11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164</v>
      </c>
      <c r="D296">
        <f>VLOOKUP(B296,raw!A:K,3,0)+VLOOKUP(B296,raw!A:K,7,0)</f>
        <v>94</v>
      </c>
      <c r="E296">
        <f>VLOOKUP(B296,raw!A:K,4,0)</f>
        <v>59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9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68</v>
      </c>
      <c r="E297">
        <f>VLOOKUP(B297,raw!A:K,4,0)</f>
        <v>25</v>
      </c>
      <c r="F297">
        <f>VLOOKUP(B297,raw!A:K,5,0)</f>
        <v>0</v>
      </c>
      <c r="G297">
        <f>VLOOKUP(B297,raw!A:K,2,0)+VLOOKUP(B297,raw!A:K,10,0)</f>
        <v>19</v>
      </c>
      <c r="H297">
        <f>VLOOKUP(B297,raw!A:K,6,0)</f>
        <v>0</v>
      </c>
      <c r="I297">
        <f>VLOOKUP(B297,raw!A:K,9,0)</f>
        <v>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35</v>
      </c>
      <c r="E298">
        <f>VLOOKUP(B298,raw!A:K,4,0)</f>
        <v>0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45</v>
      </c>
      <c r="E299">
        <f>VLOOKUP(B299,raw!A:K,4,0)</f>
        <v>0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4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0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44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96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9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66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4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132</v>
      </c>
      <c r="D312">
        <f>VLOOKUP(B312,raw!A:K,3,0)+VLOOKUP(B312,raw!A:K,7,0)</f>
        <v>1</v>
      </c>
      <c r="E312">
        <f>VLOOKUP(B312,raw!A:K,4,0)</f>
        <v>34</v>
      </c>
      <c r="F312">
        <f>VLOOKUP(B312,raw!A:K,5,0)</f>
        <v>0</v>
      </c>
      <c r="G312">
        <f>VLOOKUP(B312,raw!A:K,2,0)+VLOOKUP(B312,raw!A:K,10,0)</f>
        <v>1</v>
      </c>
      <c r="H312">
        <f>VLOOKUP(B312,raw!A:K,6,0)</f>
        <v>0</v>
      </c>
      <c r="I312">
        <f>VLOOKUP(B312,raw!A:K,9,0)</f>
        <v>96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582</v>
      </c>
      <c r="D313">
        <f>VLOOKUP(B313,raw!A:K,3,0)+VLOOKUP(B313,raw!A:K,7,0)</f>
        <v>182</v>
      </c>
      <c r="E313">
        <f>VLOOKUP(B313,raw!A:K,4,0)</f>
        <v>51</v>
      </c>
      <c r="F313">
        <f>VLOOKUP(B313,raw!A:K,5,0)</f>
        <v>0</v>
      </c>
      <c r="G313">
        <f>VLOOKUP(B313,raw!A:K,2,0)+VLOOKUP(B313,raw!A:K,10,0)</f>
        <v>13</v>
      </c>
      <c r="H313">
        <f>VLOOKUP(B313,raw!A:K,6,0)</f>
        <v>1</v>
      </c>
      <c r="I313">
        <f>VLOOKUP(B313,raw!A:K,9,0)</f>
        <v>335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111</v>
      </c>
      <c r="D316">
        <f>VLOOKUP(B316,raw!A:K,3,0)+VLOOKUP(B316,raw!A:K,7,0)</f>
        <v>81</v>
      </c>
      <c r="E316">
        <f>VLOOKUP(B316,raw!A:K,4,0)</f>
        <v>14</v>
      </c>
      <c r="F316">
        <f>VLOOKUP(B316,raw!A:K,5,0)</f>
        <v>0</v>
      </c>
      <c r="G316">
        <f>VLOOKUP(B316,raw!A:K,2,0)+VLOOKUP(B316,raw!A:K,10,0)</f>
        <v>2</v>
      </c>
      <c r="H316">
        <f>VLOOKUP(B316,raw!A:K,6,0)</f>
        <v>0</v>
      </c>
      <c r="I316">
        <f>VLOOKUP(B316,raw!A:K,9,0)</f>
        <v>14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146</v>
      </c>
      <c r="D317">
        <f>VLOOKUP(B317,raw!A:K,3,0)+VLOOKUP(B317,raw!A:K,7,0)</f>
        <v>104</v>
      </c>
      <c r="E317">
        <f>VLOOKUP(B317,raw!A:K,4,0)</f>
        <v>28</v>
      </c>
      <c r="F317">
        <f>VLOOKUP(B317,raw!A:K,5,0)</f>
        <v>0</v>
      </c>
      <c r="G317">
        <f>VLOOKUP(B317,raw!A:K,2,0)+VLOOKUP(B317,raw!A:K,10,0)</f>
        <v>1</v>
      </c>
      <c r="H317">
        <f>VLOOKUP(B317,raw!A:K,6,0)</f>
        <v>0</v>
      </c>
      <c r="I317">
        <f>VLOOKUP(B317,raw!A:K,9,0)</f>
        <v>13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84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41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107</v>
      </c>
      <c r="D319">
        <f>VLOOKUP(B319,raw!A:K,3,0)+VLOOKUP(B319,raw!A:K,7,0)</f>
        <v>47</v>
      </c>
      <c r="E319">
        <f>VLOOKUP(B319,raw!A:K,4,0)</f>
        <v>25</v>
      </c>
      <c r="F319">
        <f>VLOOKUP(B319,raw!A:K,5,0)</f>
        <v>0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34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66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0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64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53</v>
      </c>
      <c r="D321">
        <f>VLOOKUP(B321,raw!A:K,3,0)+VLOOKUP(B321,raw!A:K,7,0)</f>
        <v>7</v>
      </c>
      <c r="E321">
        <f>VLOOKUP(B321,raw!A:K,4,0)</f>
        <v>0</v>
      </c>
      <c r="F321">
        <f>VLOOKUP(B321,raw!A:K,5,0)</f>
        <v>0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44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185</v>
      </c>
      <c r="D322">
        <f>VLOOKUP(B322,raw!A:K,3,0)+VLOOKUP(B322,raw!A:K,7,0)</f>
        <v>122</v>
      </c>
      <c r="E322">
        <f>VLOOKUP(B322,raw!A:K,4,0)</f>
        <v>10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50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81</v>
      </c>
      <c r="D323">
        <f>VLOOKUP(B323,raw!A:K,3,0)+VLOOKUP(B323,raw!A:K,7,0)</f>
        <v>30</v>
      </c>
      <c r="E323">
        <f>VLOOKUP(B323,raw!A:K,4,0)</f>
        <v>2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49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96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155</v>
      </c>
      <c r="D325">
        <f>VLOOKUP(B325,raw!A:K,3,0)+VLOOKUP(B325,raw!A:K,7,0)</f>
        <v>83</v>
      </c>
      <c r="E325">
        <f>VLOOKUP(B325,raw!A:K,4,0)</f>
        <v>29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41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310</v>
      </c>
      <c r="D326">
        <f>VLOOKUP(B326,raw!A:K,3,0)+VLOOKUP(B326,raw!A:K,7,0)</f>
        <v>194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114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149</v>
      </c>
      <c r="E327">
        <f>VLOOKUP(B327,raw!A:K,4,0)</f>
        <v>1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147</v>
      </c>
      <c r="D328">
        <f>VLOOKUP(B328,raw!A:K,3,0)+VLOOKUP(B328,raw!A:K,7,0)</f>
        <v>140</v>
      </c>
      <c r="E328">
        <f>VLOOKUP(B328,raw!A:K,4,0)</f>
        <v>7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60</v>
      </c>
      <c r="E330">
        <f>VLOOKUP(B330,raw!A:K,4,0)</f>
        <v>1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59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39</v>
      </c>
      <c r="E332">
        <f>VLOOKUP(B332,raw!A:K,4,0)</f>
        <v>8</v>
      </c>
      <c r="F332">
        <f>VLOOKUP(B332,raw!A:K,5,0)</f>
        <v>0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12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41</v>
      </c>
      <c r="D333">
        <f>VLOOKUP(B333,raw!A:K,3,0)+VLOOKUP(B333,raw!A:K,7,0)</f>
        <v>16</v>
      </c>
      <c r="E333">
        <f>VLOOKUP(B333,raw!A:K,4,0)</f>
        <v>13</v>
      </c>
      <c r="F333">
        <f>VLOOKUP(B333,raw!A:K,5,0)</f>
        <v>0</v>
      </c>
      <c r="G333">
        <f>VLOOKUP(B333,raw!A:K,2,0)+VLOOKUP(B333,raw!A:K,10,0)</f>
        <v>2</v>
      </c>
      <c r="H333">
        <f>VLOOKUP(B333,raw!A:K,6,0)</f>
        <v>4</v>
      </c>
      <c r="I333">
        <f>VLOOKUP(B333,raw!A:K,9,0)</f>
        <v>6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30</v>
      </c>
      <c r="E334">
        <f>VLOOKUP(B334,raw!A:K,4,0)</f>
        <v>8</v>
      </c>
      <c r="F334">
        <f>VLOOKUP(B334,raw!A:K,5,0)</f>
        <v>0</v>
      </c>
      <c r="G334">
        <f>VLOOKUP(B334,raw!A:K,2,0)+VLOOKUP(B334,raw!A:K,10,0)</f>
        <v>6</v>
      </c>
      <c r="H334">
        <f>VLOOKUP(B334,raw!A:K,6,0)</f>
        <v>0</v>
      </c>
      <c r="I334">
        <f>VLOOKUP(B334,raw!A:K,9,0)</f>
        <v>42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34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114</v>
      </c>
      <c r="D336">
        <f>VLOOKUP(B336,raw!A:K,3,0)+VLOOKUP(B336,raw!A:K,7,0)</f>
        <v>1</v>
      </c>
      <c r="E336">
        <f>VLOOKUP(B336,raw!A:K,4,0)</f>
        <v>32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81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2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55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24</v>
      </c>
      <c r="F340">
        <f>VLOOKUP(B340,raw!A:K,5,0)</f>
        <v>0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72</v>
      </c>
      <c r="D341">
        <f>VLOOKUP(B341,raw!A:K,3,0)+VLOOKUP(B341,raw!A:K,7,0)</f>
        <v>23</v>
      </c>
      <c r="E341">
        <f>VLOOKUP(B341,raw!A:K,4,0)</f>
        <v>13</v>
      </c>
      <c r="F341">
        <f>VLOOKUP(B341,raw!A:K,5,0)</f>
        <v>0</v>
      </c>
      <c r="G341">
        <f>VLOOKUP(B341,raw!A:K,2,0)+VLOOKUP(B341,raw!A:K,10,0)</f>
        <v>2</v>
      </c>
      <c r="H341">
        <f>VLOOKUP(B341,raw!A:K,6,0)</f>
        <v>0</v>
      </c>
      <c r="I341">
        <f>VLOOKUP(B341,raw!A:K,9,0)</f>
        <v>34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0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1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1</v>
      </c>
      <c r="F344">
        <f>VLOOKUP(B344,raw!A:K,5,0)</f>
        <v>0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4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6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69</v>
      </c>
      <c r="E346">
        <f>VLOOKUP(B346,raw!A:K,4,0)</f>
        <v>3</v>
      </c>
      <c r="F346">
        <f>VLOOKUP(B346,raw!A:K,5,0)</f>
        <v>0</v>
      </c>
      <c r="G346">
        <f>VLOOKUP(B346,raw!A:K,2,0)+VLOOKUP(B346,raw!A:K,10,0)</f>
        <v>0</v>
      </c>
      <c r="H346">
        <f>VLOOKUP(B346,raw!A:K,6,0)</f>
        <v>1</v>
      </c>
      <c r="I346">
        <f>VLOOKUP(B346,raw!A:K,9,0)</f>
        <v>90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40</v>
      </c>
      <c r="E347">
        <f>VLOOKUP(B347,raw!A:K,4,0)</f>
        <v>1</v>
      </c>
      <c r="F347">
        <f>VLOOKUP(B347,raw!A:K,5,0)</f>
        <v>0</v>
      </c>
      <c r="G347">
        <f>VLOOKUP(B347,raw!A:K,2,0)+VLOOKUP(B347,raw!A:K,10,0)</f>
        <v>37</v>
      </c>
      <c r="H347">
        <f>VLOOKUP(B347,raw!A:K,6,0)</f>
        <v>1</v>
      </c>
      <c r="I347">
        <f>VLOOKUP(B347,raw!A:K,9,0)</f>
        <v>87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64</v>
      </c>
      <c r="E348">
        <f>VLOOKUP(B348,raw!A:K,4,0)</f>
        <v>2</v>
      </c>
      <c r="F348">
        <f>VLOOKUP(B348,raw!A:K,5,0)</f>
        <v>0</v>
      </c>
      <c r="G348">
        <f>VLOOKUP(B348,raw!A:K,2,0)+VLOOKUP(B348,raw!A:K,10,0)</f>
        <v>3</v>
      </c>
      <c r="H348">
        <f>VLOOKUP(B348,raw!A:K,6,0)</f>
        <v>0</v>
      </c>
      <c r="I348">
        <f>VLOOKUP(B348,raw!A:K,9,0)</f>
        <v>162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43</v>
      </c>
      <c r="E349">
        <f>VLOOKUP(B349,raw!A:K,4,0)</f>
        <v>3</v>
      </c>
      <c r="F349">
        <f>VLOOKUP(B349,raw!A:K,5,0)</f>
        <v>0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72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7</v>
      </c>
      <c r="F350">
        <f>VLOOKUP(B350,raw!A:K,5,0)</f>
        <v>0</v>
      </c>
      <c r="G350">
        <f>VLOOKUP(B350,raw!A:K,2,0)+VLOOKUP(B350,raw!A:K,10,0)</f>
        <v>2</v>
      </c>
      <c r="H350">
        <f>VLOOKUP(B350,raw!A:K,6,0)</f>
        <v>0</v>
      </c>
      <c r="I350">
        <f>VLOOKUP(B350,raw!A:K,9,0)</f>
        <v>6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121</v>
      </c>
      <c r="E351">
        <f>VLOOKUP(B351,raw!A:K,4,0)</f>
        <v>6</v>
      </c>
      <c r="F351">
        <f>VLOOKUP(B351,raw!A:K,5,0)</f>
        <v>0</v>
      </c>
      <c r="G351">
        <f>VLOOKUP(B351,raw!A:K,2,0)+VLOOKUP(B351,raw!A:K,10,0)</f>
        <v>3</v>
      </c>
      <c r="H351">
        <f>VLOOKUP(B351,raw!A:K,6,0)</f>
        <v>0</v>
      </c>
      <c r="I351">
        <f>VLOOKUP(B351,raw!A:K,9,0)</f>
        <v>66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189</v>
      </c>
      <c r="D352">
        <f>VLOOKUP(B352,raw!A:K,3,0)+VLOOKUP(B352,raw!A:K,7,0)</f>
        <v>86</v>
      </c>
      <c r="E352">
        <f>VLOOKUP(B352,raw!A:K,4,0)</f>
        <v>5</v>
      </c>
      <c r="F352">
        <f>VLOOKUP(B352,raw!A:K,5,0)</f>
        <v>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98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64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0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171</v>
      </c>
      <c r="D354">
        <f>VLOOKUP(B354,raw!A:K,3,0)+VLOOKUP(B354,raw!A:K,7,0)</f>
        <v>12</v>
      </c>
      <c r="E354">
        <f>VLOOKUP(B354,raw!A:K,4,0)</f>
        <v>16</v>
      </c>
      <c r="F354">
        <f>VLOOKUP(B354,raw!A:K,5,0)</f>
        <v>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143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15</v>
      </c>
      <c r="F355">
        <f>VLOOKUP(B355,raw!A:K,5,0)</f>
        <v>0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8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218</v>
      </c>
      <c r="D356">
        <f>VLOOKUP(B356,raw!A:K,3,0)+VLOOKUP(B356,raw!A:K,7,0)</f>
        <v>179</v>
      </c>
      <c r="E356">
        <f>VLOOKUP(B356,raw!A:K,4,0)</f>
        <v>21</v>
      </c>
      <c r="F356">
        <f>VLOOKUP(B356,raw!A:K,5,0)</f>
        <v>0</v>
      </c>
      <c r="G356">
        <f>VLOOKUP(B356,raw!A:K,2,0)+VLOOKUP(B356,raw!A:K,10,0)</f>
        <v>1</v>
      </c>
      <c r="H356">
        <f>VLOOKUP(B356,raw!A:K,6,0)</f>
        <v>0</v>
      </c>
      <c r="I356">
        <f>VLOOKUP(B356,raw!A:K,9,0)</f>
        <v>17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241</v>
      </c>
      <c r="D357">
        <f>VLOOKUP(B357,raw!A:K,3,0)+VLOOKUP(B357,raw!A:K,7,0)</f>
        <v>211</v>
      </c>
      <c r="E357">
        <f>VLOOKUP(B357,raw!A:K,4,0)</f>
        <v>15</v>
      </c>
      <c r="F357">
        <f>VLOOKUP(B357,raw!A:K,5,0)</f>
        <v>0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12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220</v>
      </c>
      <c r="D358">
        <f>VLOOKUP(B358,raw!A:K,3,0)+VLOOKUP(B358,raw!A:K,7,0)</f>
        <v>75</v>
      </c>
      <c r="E358">
        <f>VLOOKUP(B358,raw!A:K,4,0)</f>
        <v>35</v>
      </c>
      <c r="F358">
        <f>VLOOKUP(B358,raw!A:K,5,0)</f>
        <v>0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110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16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25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169</v>
      </c>
      <c r="D366">
        <f>VLOOKUP(B366,raw!A:K,3,0)+VLOOKUP(B366,raw!A:K,7,0)</f>
        <v>50</v>
      </c>
      <c r="E366">
        <f>VLOOKUP(B366,raw!A:K,4,0)</f>
        <v>3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116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243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0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201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159</v>
      </c>
      <c r="D368">
        <f>VLOOKUP(B368,raw!A:K,3,0)+VLOOKUP(B368,raw!A:K,7,0)</f>
        <v>10</v>
      </c>
      <c r="E368">
        <f>VLOOKUP(B368,raw!A:K,4,0)</f>
        <v>0</v>
      </c>
      <c r="F368">
        <f>VLOOKUP(B368,raw!A:K,5,0)</f>
        <v>0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149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192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0</v>
      </c>
      <c r="I369">
        <f>VLOOKUP(B369,raw!A:K,9,0)</f>
        <v>3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190</v>
      </c>
      <c r="E370">
        <f>VLOOKUP(B370,raw!A:K,4,0)</f>
        <v>0</v>
      </c>
      <c r="F370">
        <f>VLOOKUP(B370,raw!A:K,5,0)</f>
        <v>0</v>
      </c>
      <c r="G370">
        <f>VLOOKUP(B370,raw!A:K,2,0)+VLOOKUP(B370,raw!A:K,10,0)</f>
        <v>1</v>
      </c>
      <c r="H370">
        <f>VLOOKUP(B370,raw!A:K,6,0)</f>
        <v>0</v>
      </c>
      <c r="I370">
        <f>VLOOKUP(B370,raw!A:K,9,0)</f>
        <v>22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323</v>
      </c>
      <c r="D372">
        <f>VLOOKUP(B372,raw!A:K,3,0)+VLOOKUP(B372,raw!A:K,7,0)</f>
        <v>320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21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166</v>
      </c>
      <c r="D376">
        <f>VLOOKUP(B376,raw!A:K,3,0)+VLOOKUP(B376,raw!A:K,7,0)</f>
        <v>18</v>
      </c>
      <c r="E376">
        <f>VLOOKUP(B376,raw!A:K,4,0)</f>
        <v>7</v>
      </c>
      <c r="F376">
        <f>VLOOKUP(B376,raw!A:K,5,0)</f>
        <v>2</v>
      </c>
      <c r="G376">
        <f>VLOOKUP(B376,raw!A:K,2,0)+VLOOKUP(B376,raw!A:K,10,0)</f>
        <v>6</v>
      </c>
      <c r="H376">
        <f>VLOOKUP(B376,raw!A:K,6,0)</f>
        <v>0</v>
      </c>
      <c r="I376">
        <f>VLOOKUP(B376,raw!A:K,9,0)</f>
        <v>133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125</v>
      </c>
      <c r="D377">
        <f>VLOOKUP(B377,raw!A:K,3,0)+VLOOKUP(B377,raw!A:K,7,0)</f>
        <v>71</v>
      </c>
      <c r="E377">
        <f>VLOOKUP(B377,raw!A:K,4,0)</f>
        <v>54</v>
      </c>
      <c r="F377">
        <f>VLOOKUP(B377,raw!A:K,5,0)</f>
        <v>0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9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92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1</v>
      </c>
      <c r="I381">
        <f>VLOOKUP(B381,raw!A:K,9,0)</f>
        <v>17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83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64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23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94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179</v>
      </c>
      <c r="D384">
        <f>VLOOKUP(B384,raw!A:K,3,0)+VLOOKUP(B384,raw!A:K,7,0)</f>
        <v>47</v>
      </c>
      <c r="E384">
        <f>VLOOKUP(B384,raw!A:K,4,0)</f>
        <v>47</v>
      </c>
      <c r="F384">
        <f>VLOOKUP(B384,raw!A:K,5,0)</f>
        <v>0</v>
      </c>
      <c r="G384">
        <f>VLOOKUP(B384,raw!A:K,2,0)+VLOOKUP(B384,raw!A:K,10,0)</f>
        <v>9</v>
      </c>
      <c r="H384">
        <f>VLOOKUP(B384,raw!A:K,6,0)</f>
        <v>0</v>
      </c>
      <c r="I384">
        <f>VLOOKUP(B384,raw!A:K,9,0)</f>
        <v>76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90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140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21</v>
      </c>
      <c r="H389">
        <f>VLOOKUP(B389,raw!A:K,6,0)</f>
        <v>0</v>
      </c>
      <c r="I389">
        <f>VLOOKUP(B389,raw!A:K,9,0)</f>
        <v>96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90</v>
      </c>
      <c r="E392">
        <f>VLOOKUP(B392,raw!A:K,4,0)</f>
        <v>11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79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130</v>
      </c>
      <c r="E393">
        <f>VLOOKUP(B393,raw!A:K,4,0)</f>
        <v>7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24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117</v>
      </c>
      <c r="D394">
        <f>VLOOKUP(B394,raw!A:K,3,0)+VLOOKUP(B394,raw!A:K,7,0)</f>
        <v>13</v>
      </c>
      <c r="E394">
        <f>VLOOKUP(B394,raw!A:K,4,0)</f>
        <v>9</v>
      </c>
      <c r="F394">
        <f>VLOOKUP(B394,raw!A:K,5,0)</f>
        <v>0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95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29</v>
      </c>
      <c r="F395">
        <f>VLOOKUP(B395,raw!A:K,5,0)</f>
        <v>0</v>
      </c>
      <c r="G395">
        <f>VLOOKUP(B395,raw!A:K,2,0)+VLOOKUP(B395,raw!A:K,10,0)</f>
        <v>2</v>
      </c>
      <c r="H395">
        <f>VLOOKUP(B395,raw!A:K,6,0)</f>
        <v>0</v>
      </c>
      <c r="I395">
        <f>VLOOKUP(B395,raw!A:K,9,0)</f>
        <v>89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140</v>
      </c>
      <c r="D397">
        <f>VLOOKUP(B397,raw!A:K,3,0)+VLOOKUP(B397,raw!A:K,7,0)</f>
        <v>17</v>
      </c>
      <c r="E397">
        <f>VLOOKUP(B397,raw!A:K,4,0)</f>
        <v>12</v>
      </c>
      <c r="F397">
        <f>VLOOKUP(B397,raw!A:K,5,0)</f>
        <v>0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109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63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3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77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137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3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68</v>
      </c>
      <c r="E403">
        <f>VLOOKUP(B403,raw!A:K,4,0)</f>
        <v>5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2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87</v>
      </c>
      <c r="E404">
        <f>VLOOKUP(B404,raw!A:K,4,0)</f>
        <v>2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73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0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156</v>
      </c>
      <c r="E406">
        <f>VLOOKUP(B406,raw!A:K,4,0)</f>
        <v>5</v>
      </c>
      <c r="F406">
        <f>VLOOKUP(B406,raw!A:K,5,0)</f>
        <v>0</v>
      </c>
      <c r="G406">
        <f>VLOOKUP(B406,raw!A:K,2,0)+VLOOKUP(B406,raw!A:K,10,0)</f>
        <v>4</v>
      </c>
      <c r="H406">
        <f>VLOOKUP(B406,raw!A:K,6,0)</f>
        <v>0</v>
      </c>
      <c r="I406">
        <f>VLOOKUP(B406,raw!A:K,9,0)</f>
        <v>20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2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37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115</v>
      </c>
      <c r="D410">
        <f>VLOOKUP(B410,raw!A:K,3,0)+VLOOKUP(B410,raw!A:K,7,0)</f>
        <v>62</v>
      </c>
      <c r="E410">
        <f>VLOOKUP(B410,raw!A:K,4,0)</f>
        <v>15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31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38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35</v>
      </c>
      <c r="E412">
        <f>VLOOKUP(B412,raw!A:K,4,0)</f>
        <v>3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66</v>
      </c>
      <c r="E414">
        <f>VLOOKUP(B414,raw!A:K,4,0)</f>
        <v>2</v>
      </c>
      <c r="F414">
        <f>VLOOKUP(B414,raw!A:K,5,0)</f>
        <v>0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106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2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129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53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0</v>
      </c>
      <c r="H425">
        <f>VLOOKUP(B425,raw!A:K,6,0)</f>
        <v>1</v>
      </c>
      <c r="I425">
        <f>VLOOKUP(B425,raw!A:K,9,0)</f>
        <v>44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156</v>
      </c>
      <c r="D426">
        <f>VLOOKUP(B426,raw!A:K,3,0)+VLOOKUP(B426,raw!A:K,7,0)</f>
        <v>139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17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162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22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125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13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4</v>
      </c>
      <c r="H438">
        <f>VLOOKUP(B438,raw!A:K,6,0)</f>
        <v>0</v>
      </c>
      <c r="I438">
        <f>VLOOKUP(B438,raw!A:K,9,0)</f>
        <v>105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187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109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12</v>
      </c>
      <c r="H441">
        <f>VLOOKUP(B441,raw!A:K,6,0)</f>
        <v>0</v>
      </c>
      <c r="I441">
        <f>VLOOKUP(B441,raw!A:K,9,0)</f>
        <v>17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109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1</v>
      </c>
      <c r="H449">
        <f>VLOOKUP(B449,raw!A:K,6,0)</f>
        <v>1</v>
      </c>
      <c r="I449">
        <f>VLOOKUP(B449,raw!A:K,9,0)</f>
        <v>2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2</v>
      </c>
      <c r="H450">
        <f>VLOOKUP(B450,raw!A:K,6,0)</f>
        <v>0</v>
      </c>
      <c r="I450">
        <f>VLOOKUP(B450,raw!A:K,9,0)</f>
        <v>3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0</v>
      </c>
      <c r="G451">
        <f>VLOOKUP(B451,raw!A:K,2,0)+VLOOKUP(B451,raw!A:K,10,0)</f>
        <v>3</v>
      </c>
      <c r="H451">
        <f>VLOOKUP(B451,raw!A:K,6,0)</f>
        <v>0</v>
      </c>
      <c r="I451">
        <f>VLOOKUP(B451,raw!A:K,9,0)</f>
        <v>3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47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5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190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0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66</v>
      </c>
      <c r="E457">
        <f>VLOOKUP(B457,raw!A:K,4,0)</f>
        <v>0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53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188</v>
      </c>
      <c r="E459">
        <f>VLOOKUP(B459,raw!A:K,4,0)</f>
        <v>0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7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157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2</v>
      </c>
      <c r="H460">
        <f>VLOOKUP(B460,raw!A:K,6,0)</f>
        <v>0</v>
      </c>
      <c r="I460">
        <f>VLOOKUP(B460,raw!A:K,9,0)</f>
        <v>7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58</v>
      </c>
      <c r="E461">
        <f>VLOOKUP(B461,raw!A:K,4,0)</f>
        <v>0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102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0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79</v>
      </c>
      <c r="D463">
        <f>VLOOKUP(B463,raw!A:K,3,0)+VLOOKUP(B463,raw!A:K,7,0)</f>
        <v>79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0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149</v>
      </c>
      <c r="D464">
        <f>VLOOKUP(B464,raw!A:K,3,0)+VLOOKUP(B464,raw!A:K,7,0)</f>
        <v>65</v>
      </c>
      <c r="E464">
        <f>VLOOKUP(B464,raw!A:K,4,0)</f>
        <v>4</v>
      </c>
      <c r="F464">
        <f>VLOOKUP(B464,raw!A:K,5,0)</f>
        <v>0</v>
      </c>
      <c r="G464">
        <f>VLOOKUP(B464,raw!A:K,2,0)+VLOOKUP(B464,raw!A:K,10,0)</f>
        <v>18</v>
      </c>
      <c r="H464">
        <f>VLOOKUP(B464,raw!A:K,6,0)</f>
        <v>0</v>
      </c>
      <c r="I464">
        <f>VLOOKUP(B464,raw!A:K,9,0)</f>
        <v>62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2</v>
      </c>
      <c r="H465">
        <f>VLOOKUP(B465,raw!A:K,6,0)</f>
        <v>0</v>
      </c>
      <c r="I465">
        <f>VLOOKUP(B465,raw!A:K,9,0)</f>
        <v>0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39</v>
      </c>
      <c r="E466">
        <f>VLOOKUP(B466,raw!A:K,4,0)</f>
        <v>0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16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26</v>
      </c>
      <c r="E470">
        <f>VLOOKUP(B470,raw!A:K,4,0)</f>
        <v>12</v>
      </c>
      <c r="F470">
        <f>VLOOKUP(B470,raw!A:K,5,0)</f>
        <v>0</v>
      </c>
      <c r="G470">
        <f>VLOOKUP(B470,raw!A:K,2,0)+VLOOKUP(B470,raw!A:K,10,0)</f>
        <v>1</v>
      </c>
      <c r="H470">
        <f>VLOOKUP(B470,raw!A:K,6,0)</f>
        <v>0</v>
      </c>
      <c r="I470">
        <f>VLOOKUP(B470,raw!A:K,9,0)</f>
        <v>82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3</v>
      </c>
      <c r="E471">
        <f>VLOOKUP(B471,raw!A:K,4,0)</f>
        <v>0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60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13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54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6</v>
      </c>
      <c r="E473">
        <f>VLOOKUP(B473,raw!A:K,4,0)</f>
        <v>0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92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75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108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4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6</v>
      </c>
      <c r="F476">
        <f>VLOOKUP(B476,raw!A:K,5,0)</f>
        <v>0</v>
      </c>
      <c r="G476">
        <f>VLOOKUP(B476,raw!A:K,2,0)+VLOOKUP(B476,raw!A:K,10,0)</f>
        <v>32</v>
      </c>
      <c r="H476">
        <f>VLOOKUP(B476,raw!A:K,6,0)</f>
        <v>0</v>
      </c>
      <c r="I476">
        <f>VLOOKUP(B476,raw!A:K,9,0)</f>
        <v>21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168</v>
      </c>
      <c r="D477">
        <f>VLOOKUP(B477,raw!A:K,3,0)+VLOOKUP(B477,raw!A:K,7,0)</f>
        <v>138</v>
      </c>
      <c r="E477">
        <f>VLOOKUP(B477,raw!A:K,4,0)</f>
        <v>7</v>
      </c>
      <c r="F477">
        <f>VLOOKUP(B477,raw!A:K,5,0)</f>
        <v>0</v>
      </c>
      <c r="G477">
        <f>VLOOKUP(B477,raw!A:K,2,0)+VLOOKUP(B477,raw!A:K,10,0)</f>
        <v>13</v>
      </c>
      <c r="H477">
        <f>VLOOKUP(B477,raw!A:K,6,0)</f>
        <v>0</v>
      </c>
      <c r="I477">
        <f>VLOOKUP(B477,raw!A:K,9,0)</f>
        <v>10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36</v>
      </c>
      <c r="E479">
        <f>VLOOKUP(B479,raw!A:K,4,0)</f>
        <v>5</v>
      </c>
      <c r="F479">
        <f>VLOOKUP(B479,raw!A:K,5,0)</f>
        <v>0</v>
      </c>
      <c r="G479">
        <f>VLOOKUP(B479,raw!A:K,2,0)+VLOOKUP(B479,raw!A:K,10,0)</f>
        <v>4</v>
      </c>
      <c r="H479">
        <f>VLOOKUP(B479,raw!A:K,6,0)</f>
        <v>0</v>
      </c>
      <c r="I479">
        <f>VLOOKUP(B479,raw!A:K,9,0)</f>
        <v>117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189</v>
      </c>
      <c r="D480">
        <f>VLOOKUP(B480,raw!A:K,3,0)+VLOOKUP(B480,raw!A:K,7,0)</f>
        <v>33</v>
      </c>
      <c r="E480">
        <f>VLOOKUP(B480,raw!A:K,4,0)</f>
        <v>5</v>
      </c>
      <c r="F480">
        <f>VLOOKUP(B480,raw!A:K,5,0)</f>
        <v>0</v>
      </c>
      <c r="G480">
        <f>VLOOKUP(B480,raw!A:K,2,0)+VLOOKUP(B480,raw!A:K,10,0)</f>
        <v>22</v>
      </c>
      <c r="H480">
        <f>VLOOKUP(B480,raw!A:K,6,0)</f>
        <v>0</v>
      </c>
      <c r="I480">
        <f>VLOOKUP(B480,raw!A:K,9,0)</f>
        <v>129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134</v>
      </c>
      <c r="D481">
        <f>VLOOKUP(B481,raw!A:K,3,0)+VLOOKUP(B481,raw!A:K,7,0)</f>
        <v>2</v>
      </c>
      <c r="E481">
        <f>VLOOKUP(B481,raw!A:K,4,0)</f>
        <v>12</v>
      </c>
      <c r="F481">
        <f>VLOOKUP(B481,raw!A:K,5,0)</f>
        <v>0</v>
      </c>
      <c r="G481">
        <f>VLOOKUP(B481,raw!A:K,2,0)+VLOOKUP(B481,raw!A:K,10,0)</f>
        <v>16</v>
      </c>
      <c r="H481">
        <f>VLOOKUP(B481,raw!A:K,6,0)</f>
        <v>0</v>
      </c>
      <c r="I481">
        <f>VLOOKUP(B481,raw!A:K,9,0)</f>
        <v>104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56</v>
      </c>
      <c r="E482">
        <f>VLOOKUP(B482,raw!A:K,4,0)</f>
        <v>9</v>
      </c>
      <c r="F482">
        <f>VLOOKUP(B482,raw!A:K,5,0)</f>
        <v>0</v>
      </c>
      <c r="G482">
        <f>VLOOKUP(B482,raw!A:K,2,0)+VLOOKUP(B482,raw!A:K,10,0)</f>
        <v>4</v>
      </c>
      <c r="H482">
        <f>VLOOKUP(B482,raw!A:K,6,0)</f>
        <v>0</v>
      </c>
      <c r="I482">
        <f>VLOOKUP(B482,raw!A:K,9,0)</f>
        <v>46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3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91</v>
      </c>
      <c r="D484">
        <f>VLOOKUP(B484,raw!A:K,3,0)+VLOOKUP(B484,raw!A:K,7,0)</f>
        <v>22</v>
      </c>
      <c r="E484">
        <f>VLOOKUP(B484,raw!A:K,4,0)</f>
        <v>6</v>
      </c>
      <c r="F484">
        <f>VLOOKUP(B484,raw!A:K,5,0)</f>
        <v>0</v>
      </c>
      <c r="G484">
        <f>VLOOKUP(B484,raw!A:K,2,0)+VLOOKUP(B484,raw!A:K,10,0)</f>
        <v>2</v>
      </c>
      <c r="H484">
        <f>VLOOKUP(B484,raw!A:K,6,0)</f>
        <v>0</v>
      </c>
      <c r="I484">
        <f>VLOOKUP(B484,raw!A:K,9,0)</f>
        <v>61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122</v>
      </c>
      <c r="D485">
        <f>VLOOKUP(B485,raw!A:K,3,0)+VLOOKUP(B485,raw!A:K,7,0)</f>
        <v>46</v>
      </c>
      <c r="E485">
        <f>VLOOKUP(B485,raw!A:K,4,0)</f>
        <v>8</v>
      </c>
      <c r="F485">
        <f>VLOOKUP(B485,raw!A:K,5,0)</f>
        <v>0</v>
      </c>
      <c r="G485">
        <f>VLOOKUP(B485,raw!A:K,2,0)+VLOOKUP(B485,raw!A:K,10,0)</f>
        <v>1</v>
      </c>
      <c r="H485">
        <f>VLOOKUP(B485,raw!A:K,6,0)</f>
        <v>0</v>
      </c>
      <c r="I485">
        <f>VLOOKUP(B485,raw!A:K,9,0)</f>
        <v>67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3</v>
      </c>
      <c r="F487">
        <f>VLOOKUP(B487,raw!A:K,5,0)</f>
        <v>0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47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0</v>
      </c>
      <c r="G488">
        <f>VLOOKUP(B488,raw!A:K,2,0)+VLOOKUP(B488,raw!A:K,10,0)</f>
        <v>27</v>
      </c>
      <c r="H488">
        <f>VLOOKUP(B488,raw!A:K,6,0)</f>
        <v>0</v>
      </c>
      <c r="I488">
        <f>VLOOKUP(B488,raw!A:K,9,0)</f>
        <v>15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188</v>
      </c>
      <c r="D489">
        <f>VLOOKUP(B489,raw!A:K,3,0)+VLOOKUP(B489,raw!A:K,7,0)</f>
        <v>23</v>
      </c>
      <c r="E489">
        <f>VLOOKUP(B489,raw!A:K,4,0)</f>
        <v>0</v>
      </c>
      <c r="F489">
        <f>VLOOKUP(B489,raw!A:K,5,0)</f>
        <v>0</v>
      </c>
      <c r="G489">
        <f>VLOOKUP(B489,raw!A:K,2,0)+VLOOKUP(B489,raw!A:K,10,0)</f>
        <v>7</v>
      </c>
      <c r="H489">
        <f>VLOOKUP(B489,raw!A:K,6,0)</f>
        <v>0</v>
      </c>
      <c r="I489">
        <f>VLOOKUP(B489,raw!A:K,9,0)</f>
        <v>158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153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1</v>
      </c>
      <c r="I490">
        <f>VLOOKUP(B490,raw!A:K,9,0)</f>
        <v>9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138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212</v>
      </c>
      <c r="D492">
        <f>VLOOKUP(B492,raw!A:K,3,0)+VLOOKUP(B492,raw!A:K,7,0)</f>
        <v>175</v>
      </c>
      <c r="E492">
        <f>VLOOKUP(B492,raw!A:K,4,0)</f>
        <v>3</v>
      </c>
      <c r="F492">
        <f>VLOOKUP(B492,raw!A:K,5,0)</f>
        <v>0</v>
      </c>
      <c r="G492">
        <f>VLOOKUP(B492,raw!A:K,2,0)+VLOOKUP(B492,raw!A:K,10,0)</f>
        <v>6</v>
      </c>
      <c r="H492">
        <f>VLOOKUP(B492,raw!A:K,6,0)</f>
        <v>0</v>
      </c>
      <c r="I492">
        <f>VLOOKUP(B492,raw!A:K,9,0)</f>
        <v>28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140</v>
      </c>
      <c r="E494">
        <f>VLOOKUP(B494,raw!A:K,4,0)</f>
        <v>8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5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291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92</v>
      </c>
      <c r="E501">
        <f>VLOOKUP(B501,raw!A:K,4,0)</f>
        <v>0</v>
      </c>
      <c r="F501">
        <f>VLOOKUP(B501,raw!A:K,5,0)</f>
        <v>0</v>
      </c>
      <c r="G501">
        <f>VLOOKUP(B501,raw!A:K,2,0)+VLOOKUP(B501,raw!A:K,10,0)</f>
        <v>4</v>
      </c>
      <c r="H501">
        <f>VLOOKUP(B501,raw!A:K,6,0)</f>
        <v>2</v>
      </c>
      <c r="I501">
        <f>VLOOKUP(B501,raw!A:K,9,0)</f>
        <v>6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212</v>
      </c>
      <c r="D502">
        <f>VLOOKUP(B502,raw!A:K,3,0)+VLOOKUP(B502,raw!A:K,7,0)</f>
        <v>117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34</v>
      </c>
      <c r="H502">
        <f>VLOOKUP(B502,raw!A:K,6,0)</f>
        <v>0</v>
      </c>
      <c r="I502">
        <f>VLOOKUP(B502,raw!A:K,9,0)</f>
        <v>61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49</v>
      </c>
      <c r="E503">
        <f>VLOOKUP(B503,raw!A:K,4,0)</f>
        <v>11</v>
      </c>
      <c r="F503">
        <f>VLOOKUP(B503,raw!A:K,5,0)</f>
        <v>0</v>
      </c>
      <c r="G503">
        <f>VLOOKUP(B503,raw!A:K,2,0)+VLOOKUP(B503,raw!A:K,10,0)</f>
        <v>25</v>
      </c>
      <c r="H503">
        <f>VLOOKUP(B503,raw!A:K,6,0)</f>
        <v>0</v>
      </c>
      <c r="I503">
        <f>VLOOKUP(B503,raw!A:K,9,0)</f>
        <v>40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120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53</v>
      </c>
      <c r="H504">
        <f>VLOOKUP(B504,raw!A:K,6,0)</f>
        <v>3</v>
      </c>
      <c r="I504">
        <f>VLOOKUP(B504,raw!A:K,9,0)</f>
        <v>5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113</v>
      </c>
      <c r="D507">
        <f>VLOOKUP(B507,raw!A:K,3,0)+VLOOKUP(B507,raw!A:K,7,0)</f>
        <v>70</v>
      </c>
      <c r="E507">
        <f>VLOOKUP(B507,raw!A:K,4,0)</f>
        <v>16</v>
      </c>
      <c r="F507">
        <f>VLOOKUP(B507,raw!A:K,5,0)</f>
        <v>0</v>
      </c>
      <c r="G507">
        <f>VLOOKUP(B507,raw!A:K,2,0)+VLOOKUP(B507,raw!A:K,10,0)</f>
        <v>27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159</v>
      </c>
      <c r="D508">
        <f>VLOOKUP(B508,raw!A:K,3,0)+VLOOKUP(B508,raw!A:K,7,0)</f>
        <v>114</v>
      </c>
      <c r="E508">
        <f>VLOOKUP(B508,raw!A:K,4,0)</f>
        <v>1</v>
      </c>
      <c r="F508">
        <f>VLOOKUP(B508,raw!A:K,5,0)</f>
        <v>0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40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118</v>
      </c>
      <c r="E509">
        <f>VLOOKUP(B509,raw!A:K,4,0)</f>
        <v>0</v>
      </c>
      <c r="F509">
        <f>VLOOKUP(B509,raw!A:K,5,0)</f>
        <v>0</v>
      </c>
      <c r="G509">
        <f>VLOOKUP(B509,raw!A:K,2,0)+VLOOKUP(B509,raw!A:K,10,0)</f>
        <v>17</v>
      </c>
      <c r="H509">
        <f>VLOOKUP(B509,raw!A:K,6,0)</f>
        <v>0</v>
      </c>
      <c r="I509">
        <f>VLOOKUP(B509,raw!A:K,9,0)</f>
        <v>7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98</v>
      </c>
      <c r="D510">
        <f>VLOOKUP(B510,raw!A:K,3,0)+VLOOKUP(B510,raw!A:K,7,0)</f>
        <v>46</v>
      </c>
      <c r="E510">
        <f>VLOOKUP(B510,raw!A:K,4,0)</f>
        <v>15</v>
      </c>
      <c r="F510">
        <f>VLOOKUP(B510,raw!A:K,5,0)</f>
        <v>0</v>
      </c>
      <c r="G510">
        <f>VLOOKUP(B510,raw!A:K,2,0)+VLOOKUP(B510,raw!A:K,10,0)</f>
        <v>24</v>
      </c>
      <c r="H510">
        <f>VLOOKUP(B510,raw!A:K,6,0)</f>
        <v>0</v>
      </c>
      <c r="I510">
        <f>VLOOKUP(B510,raw!A:K,9,0)</f>
        <v>13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125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2</v>
      </c>
      <c r="H511">
        <f>VLOOKUP(B511,raw!A:K,6,0)</f>
        <v>0</v>
      </c>
      <c r="I511">
        <f>VLOOKUP(B511,raw!A:K,9,0)</f>
        <v>4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115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2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42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2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89</v>
      </c>
      <c r="D519">
        <f>VLOOKUP(B519,raw!A:K,3,0)+VLOOKUP(B519,raw!A:K,7,0)</f>
        <v>87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2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36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2</v>
      </c>
      <c r="H520">
        <f>VLOOKUP(B520,raw!A:K,6,0)</f>
        <v>0</v>
      </c>
      <c r="I520">
        <f>VLOOKUP(B520,raw!A:K,9,0)</f>
        <v>1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17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54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128</v>
      </c>
      <c r="D523">
        <f>VLOOKUP(B523,raw!A:K,3,0)+VLOOKUP(B523,raw!A:K,7,0)</f>
        <v>57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2</v>
      </c>
      <c r="H523">
        <f>VLOOKUP(B523,raw!A:K,6,0)</f>
        <v>0</v>
      </c>
      <c r="I523">
        <f>VLOOKUP(B523,raw!A:K,9,0)</f>
        <v>69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113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1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15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66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103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1</v>
      </c>
      <c r="H527">
        <f>VLOOKUP(B527,raw!A:K,6,0)</f>
        <v>0</v>
      </c>
      <c r="I527">
        <f>VLOOKUP(B527,raw!A:K,9,0)</f>
        <v>4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60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0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124</v>
      </c>
      <c r="D530">
        <f>VLOOKUP(B530,raw!A:K,3,0)+VLOOKUP(B530,raw!A:K,7,0)</f>
        <v>98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0</v>
      </c>
      <c r="H530">
        <f>VLOOKUP(B530,raw!A:K,6,0)</f>
        <v>3</v>
      </c>
      <c r="I530">
        <f>VLOOKUP(B530,raw!A:K,9,0)</f>
        <v>23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21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14</v>
      </c>
      <c r="H531">
        <f>VLOOKUP(B531,raw!A:K,6,0)</f>
        <v>0</v>
      </c>
      <c r="I531">
        <f>VLOOKUP(B531,raw!A:K,9,0)</f>
        <v>43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60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4</v>
      </c>
      <c r="H532">
        <f>VLOOKUP(B532,raw!A:K,6,0)</f>
        <v>0</v>
      </c>
      <c r="I532">
        <f>VLOOKUP(B532,raw!A:K,9,0)</f>
        <v>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119</v>
      </c>
      <c r="D533">
        <f>VLOOKUP(B533,raw!A:K,3,0)+VLOOKUP(B533,raw!A:K,7,0)</f>
        <v>30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16</v>
      </c>
      <c r="H533">
        <f>VLOOKUP(B533,raw!A:K,6,0)</f>
        <v>0</v>
      </c>
      <c r="I533">
        <f>VLOOKUP(B533,raw!A:K,9,0)</f>
        <v>73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28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51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80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111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86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1</v>
      </c>
      <c r="H540">
        <f>VLOOKUP(B540,raw!A:K,6,0)</f>
        <v>0</v>
      </c>
      <c r="I540">
        <f>VLOOKUP(B540,raw!A:K,9,0)</f>
        <v>6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99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38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48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1</v>
      </c>
      <c r="H543">
        <f>VLOOKUP(B543,raw!A:K,6,0)</f>
        <v>0</v>
      </c>
      <c r="I543">
        <f>VLOOKUP(B543,raw!A:K,9,0)</f>
        <v>55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33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7</v>
      </c>
      <c r="H545">
        <f>VLOOKUP(B545,raw!A:K,6,0)</f>
        <v>0</v>
      </c>
      <c r="I545">
        <f>VLOOKUP(B545,raw!A:K,9,0)</f>
        <v>82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97</v>
      </c>
      <c r="D546">
        <f>VLOOKUP(B546,raw!A:K,3,0)+VLOOKUP(B546,raw!A:K,7,0)</f>
        <v>43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1</v>
      </c>
      <c r="H546">
        <f>VLOOKUP(B546,raw!A:K,6,0)</f>
        <v>0</v>
      </c>
      <c r="I546">
        <f>VLOOKUP(B546,raw!A:K,9,0)</f>
        <v>53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54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64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2</v>
      </c>
      <c r="H548">
        <f>VLOOKUP(B548,raw!A:K,6,0)</f>
        <v>0</v>
      </c>
      <c r="I548">
        <f>VLOOKUP(B548,raw!A:K,9,0)</f>
        <v>34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33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23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41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5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42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35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69</v>
      </c>
      <c r="D552">
        <f>VLOOKUP(B552,raw!A:K,3,0)+VLOOKUP(B552,raw!A:K,7,0)</f>
        <v>68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1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69</v>
      </c>
      <c r="D553">
        <f>VLOOKUP(B553,raw!A:K,3,0)+VLOOKUP(B553,raw!A:K,7,0)</f>
        <v>69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71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5</v>
      </c>
      <c r="H554">
        <f>VLOOKUP(B554,raw!A:K,6,0)</f>
        <v>0</v>
      </c>
      <c r="I554">
        <f>VLOOKUP(B554,raw!A:K,9,0)</f>
        <v>46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61</v>
      </c>
      <c r="D555">
        <f>VLOOKUP(B555,raw!A:K,3,0)+VLOOKUP(B555,raw!A:K,7,0)</f>
        <v>29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1</v>
      </c>
      <c r="H555">
        <f>VLOOKUP(B555,raw!A:K,6,0)</f>
        <v>0</v>
      </c>
      <c r="I555">
        <f>VLOOKUP(B555,raw!A:K,9,0)</f>
        <v>31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147</v>
      </c>
      <c r="D556">
        <f>VLOOKUP(B556,raw!A:K,3,0)+VLOOKUP(B556,raw!A:K,7,0)</f>
        <v>99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1</v>
      </c>
      <c r="H556">
        <f>VLOOKUP(B556,raw!A:K,6,0)</f>
        <v>0</v>
      </c>
      <c r="I556">
        <f>VLOOKUP(B556,raw!A:K,9,0)</f>
        <v>47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45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0</v>
      </c>
      <c r="I557">
        <f>VLOOKUP(B557,raw!A:K,9,0)</f>
        <v>0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92</v>
      </c>
      <c r="D558">
        <f>VLOOKUP(B558,raw!A:K,3,0)+VLOOKUP(B558,raw!A:K,7,0)</f>
        <v>59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7</v>
      </c>
      <c r="H558">
        <f>VLOOKUP(B558,raw!A:K,6,0)</f>
        <v>0</v>
      </c>
      <c r="I558">
        <f>VLOOKUP(B558,raw!A:K,9,0)</f>
        <v>26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90</v>
      </c>
      <c r="D559">
        <f>VLOOKUP(B559,raw!A:K,3,0)+VLOOKUP(B559,raw!A:K,7,0)</f>
        <v>47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43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59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8</v>
      </c>
      <c r="H560">
        <f>VLOOKUP(B560,raw!A:K,6,0)</f>
        <v>0</v>
      </c>
      <c r="I560">
        <f>VLOOKUP(B560,raw!A:K,9,0)</f>
        <v>9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38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4</v>
      </c>
      <c r="H561">
        <f>VLOOKUP(B561,raw!A:K,6,0)</f>
        <v>0</v>
      </c>
      <c r="I561">
        <f>VLOOKUP(B561,raw!A:K,9,0)</f>
        <v>3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29</v>
      </c>
      <c r="H562">
        <f>VLOOKUP(B562,raw!A:K,6,0)</f>
        <v>0</v>
      </c>
      <c r="I562">
        <f>VLOOKUP(B562,raw!A:K,9,0)</f>
        <v>23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55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6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3</v>
      </c>
      <c r="H565">
        <f>VLOOKUP(B565,raw!A:K,6,0)</f>
        <v>0</v>
      </c>
      <c r="I565">
        <f>VLOOKUP(B565,raw!A:K,9,0)</f>
        <v>38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18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9</v>
      </c>
      <c r="H566">
        <f>VLOOKUP(B566,raw!A:K,6,0)</f>
        <v>0</v>
      </c>
      <c r="I566">
        <f>VLOOKUP(B566,raw!A:K,9,0)</f>
        <v>60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44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3</v>
      </c>
      <c r="H567">
        <f>VLOOKUP(B567,raw!A:K,6,0)</f>
        <v>0</v>
      </c>
      <c r="I567">
        <f>VLOOKUP(B567,raw!A:K,9,0)</f>
        <v>6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25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11</v>
      </c>
      <c r="H568">
        <f>VLOOKUP(B568,raw!A:K,6,0)</f>
        <v>0</v>
      </c>
      <c r="I568">
        <f>VLOOKUP(B568,raw!A:K,9,0)</f>
        <v>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28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9</v>
      </c>
      <c r="H569">
        <f>VLOOKUP(B569,raw!A:K,6,0)</f>
        <v>0</v>
      </c>
      <c r="I569">
        <f>VLOOKUP(B569,raw!A:K,9,0)</f>
        <v>6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93</v>
      </c>
      <c r="D570">
        <f>VLOOKUP(B570,raw!A:K,3,0)+VLOOKUP(B570,raw!A:K,7,0)</f>
        <v>21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32</v>
      </c>
      <c r="H570">
        <f>VLOOKUP(B570,raw!A:K,6,0)</f>
        <v>0</v>
      </c>
      <c r="I570">
        <f>VLOOKUP(B570,raw!A:K,9,0)</f>
        <v>40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3</v>
      </c>
      <c r="H571">
        <f>VLOOKUP(B571,raw!A:K,6,0)</f>
        <v>0</v>
      </c>
      <c r="I571">
        <f>VLOOKUP(B571,raw!A:K,9,0)</f>
        <v>38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39</v>
      </c>
      <c r="D572">
        <f>VLOOKUP(B572,raw!A:K,3,0)+VLOOKUP(B572,raw!A:K,7,0)</f>
        <v>16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8</v>
      </c>
      <c r="H572">
        <f>VLOOKUP(B572,raw!A:K,6,0)</f>
        <v>0</v>
      </c>
      <c r="I572">
        <f>VLOOKUP(B572,raw!A:K,9,0)</f>
        <v>15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105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1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111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1</v>
      </c>
      <c r="H576">
        <f>VLOOKUP(B576,raw!A:K,6,0)</f>
        <v>0</v>
      </c>
      <c r="I576">
        <f>VLOOKUP(B576,raw!A:K,9,0)</f>
        <v>1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73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67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6</v>
      </c>
      <c r="H579">
        <f>VLOOKUP(B579,raw!A:K,6,0)</f>
        <v>0</v>
      </c>
      <c r="I579">
        <f>VLOOKUP(B579,raw!A:K,9,0)</f>
        <v>0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66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10</v>
      </c>
      <c r="H580">
        <f>VLOOKUP(B580,raw!A:K,6,0)</f>
        <v>0</v>
      </c>
      <c r="I580">
        <f>VLOOKUP(B580,raw!A:K,9,0)</f>
        <v>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31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44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36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26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34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20</v>
      </c>
      <c r="H584">
        <f>VLOOKUP(B584,raw!A:K,6,0)</f>
        <v>0</v>
      </c>
      <c r="I584">
        <f>VLOOKUP(B584,raw!A:K,9,0)</f>
        <v>3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92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0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1</v>
      </c>
      <c r="H586">
        <f>VLOOKUP(B586,raw!A:K,6,0)</f>
        <v>0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53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41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11</v>
      </c>
      <c r="H590">
        <f>VLOOKUP(B590,raw!A:K,6,0)</f>
        <v>0</v>
      </c>
      <c r="I590">
        <f>VLOOKUP(B590,raw!A:K,9,0)</f>
        <v>2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55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2</v>
      </c>
      <c r="H591">
        <f>VLOOKUP(B591,raw!A:K,6,0)</f>
        <v>0</v>
      </c>
      <c r="I591">
        <f>VLOOKUP(B591,raw!A:K,9,0)</f>
        <v>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47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56</v>
      </c>
      <c r="D593">
        <f>VLOOKUP(B593,raw!A:K,3,0)+VLOOKUP(B593,raw!A:K,7,0)</f>
        <v>52</v>
      </c>
      <c r="E593">
        <f>VLOOKUP(B593,raw!A:K,4,0)</f>
        <v>2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2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112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73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0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50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0</v>
      </c>
      <c r="I597">
        <f>VLOOKUP(B597,raw!A:K,9,0)</f>
        <v>0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32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59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1</v>
      </c>
      <c r="H607">
        <f>VLOOKUP(B607,raw!A:K,6,0)</f>
        <v>0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49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0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57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0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78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0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99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0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48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122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4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80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0</v>
      </c>
      <c r="I623">
        <f>VLOOKUP(B623,raw!A:K,9,0)</f>
        <v>2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61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0</v>
      </c>
      <c r="I625">
        <f>VLOOKUP(B625,raw!A:K,9,0)</f>
        <v>1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45</v>
      </c>
      <c r="E629">
        <f>VLOOKUP(B629,raw!A:K,4,0)</f>
        <v>0</v>
      </c>
      <c r="F629">
        <f>VLOOKUP(B629,raw!A:K,5,0)</f>
        <v>0</v>
      </c>
      <c r="G629">
        <f>VLOOKUP(B629,raw!A:K,2,0)+VLOOKUP(B629,raw!A:K,10,0)</f>
        <v>1</v>
      </c>
      <c r="H629">
        <f>VLOOKUP(B629,raw!A:K,6,0)</f>
        <v>0</v>
      </c>
      <c r="I629">
        <f>VLOOKUP(B629,raw!A:K,9,0)</f>
        <v>1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40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0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48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1</v>
      </c>
      <c r="H631">
        <f>VLOOKUP(B631,raw!A:K,6,0)</f>
        <v>0</v>
      </c>
      <c r="I631">
        <f>VLOOKUP(B631,raw!A:K,9,0)</f>
        <v>0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57</v>
      </c>
      <c r="E633">
        <f>VLOOKUP(B633,raw!A:K,4,0)</f>
        <v>1</v>
      </c>
      <c r="F633">
        <f>VLOOKUP(B633,raw!A:K,5,0)</f>
        <v>0</v>
      </c>
      <c r="G633">
        <f>VLOOKUP(B633,raw!A:K,2,0)+VLOOKUP(B633,raw!A:K,10,0)</f>
        <v>1</v>
      </c>
      <c r="H633">
        <f>VLOOKUP(B633,raw!A:K,6,0)</f>
        <v>1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169</v>
      </c>
      <c r="D634">
        <f>VLOOKUP(B634,raw!A:K,3,0)+VLOOKUP(B634,raw!A:K,7,0)</f>
        <v>164</v>
      </c>
      <c r="E634">
        <f>VLOOKUP(B634,raw!A:K,4,0)</f>
        <v>5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97</v>
      </c>
      <c r="D635">
        <f>VLOOKUP(B635,raw!A:K,3,0)+VLOOKUP(B635,raw!A:K,7,0)</f>
        <v>85</v>
      </c>
      <c r="E635">
        <f>VLOOKUP(B635,raw!A:K,4,0)</f>
        <v>1</v>
      </c>
      <c r="F635">
        <f>VLOOKUP(B635,raw!A:K,5,0)</f>
        <v>0</v>
      </c>
      <c r="G635">
        <f>VLOOKUP(B635,raw!A:K,2,0)+VLOOKUP(B635,raw!A:K,10,0)</f>
        <v>8</v>
      </c>
      <c r="H635">
        <f>VLOOKUP(B635,raw!A:K,6,0)</f>
        <v>0</v>
      </c>
      <c r="I635">
        <f>VLOOKUP(B635,raw!A:K,9,0)</f>
        <v>3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52</v>
      </c>
      <c r="D638">
        <f>VLOOKUP(B638,raw!A:K,3,0)+VLOOKUP(B638,raw!A:K,7,0)</f>
        <v>51</v>
      </c>
      <c r="E638">
        <f>VLOOKUP(B638,raw!A:K,4,0)</f>
        <v>1</v>
      </c>
      <c r="F638">
        <f>VLOOKUP(B638,raw!A:K,5,0)</f>
        <v>0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111</v>
      </c>
      <c r="E639">
        <f>VLOOKUP(B639,raw!A:K,4,0)</f>
        <v>2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0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78</v>
      </c>
      <c r="D640">
        <f>VLOOKUP(B640,raw!A:K,3,0)+VLOOKUP(B640,raw!A:K,7,0)</f>
        <v>78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0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93</v>
      </c>
      <c r="E642">
        <f>VLOOKUP(B642,raw!A:K,4,0)</f>
        <v>0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0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97</v>
      </c>
      <c r="E643">
        <f>VLOOKUP(B643,raw!A:K,4,0)</f>
        <v>1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114</v>
      </c>
      <c r="D644">
        <f>VLOOKUP(B644,raw!A:K,3,0)+VLOOKUP(B644,raw!A:K,7,0)</f>
        <v>113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1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129</v>
      </c>
      <c r="D645">
        <f>VLOOKUP(B645,raw!A:K,3,0)+VLOOKUP(B645,raw!A:K,7,0)</f>
        <v>102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27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48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0</v>
      </c>
      <c r="H646">
        <f>VLOOKUP(B646,raw!A:K,6,0)</f>
        <v>1</v>
      </c>
      <c r="I646">
        <f>VLOOKUP(B646,raw!A:K,9,0)</f>
        <v>32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35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23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49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2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67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2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54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6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45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1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64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218</v>
      </c>
      <c r="D656">
        <f>VLOOKUP(B656,raw!A:K,3,0)+VLOOKUP(B656,raw!A:K,7,0)</f>
        <v>204</v>
      </c>
      <c r="E656">
        <f>VLOOKUP(B656,raw!A:K,4,0)</f>
        <v>10</v>
      </c>
      <c r="F656">
        <f>VLOOKUP(B656,raw!A:K,5,0)</f>
        <v>0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4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91</v>
      </c>
      <c r="D657">
        <f>VLOOKUP(B657,raw!A:K,3,0)+VLOOKUP(B657,raw!A:K,7,0)</f>
        <v>81</v>
      </c>
      <c r="E657">
        <f>VLOOKUP(B657,raw!A:K,4,0)</f>
        <v>10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8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88</v>
      </c>
      <c r="E660">
        <f>VLOOKUP(B660,raw!A:K,4,0)</f>
        <v>8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1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56</v>
      </c>
      <c r="D664">
        <f>VLOOKUP(B664,raw!A:K,3,0)+VLOOKUP(B664,raw!A:K,7,0)</f>
        <v>54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32</v>
      </c>
      <c r="E666">
        <f>VLOOKUP(B666,raw!A:K,4,0)</f>
        <v>5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10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28</v>
      </c>
      <c r="E667">
        <f>VLOOKUP(B667,raw!A:K,4,0)</f>
        <v>12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52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25</v>
      </c>
      <c r="E668">
        <f>VLOOKUP(B668,raw!A:K,4,0)</f>
        <v>8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38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26</v>
      </c>
      <c r="E669">
        <f>VLOOKUP(B669,raw!A:K,4,0)</f>
        <v>5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71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27</v>
      </c>
      <c r="E670">
        <f>VLOOKUP(B670,raw!A:K,4,0)</f>
        <v>10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65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6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82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83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67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51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0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51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3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152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0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15</v>
      </c>
      <c r="H683">
        <f>VLOOKUP(B683,raw!A:K,6,0)</f>
        <v>0</v>
      </c>
      <c r="I683">
        <f>VLOOKUP(B683,raw!A:K,9,0)</f>
        <v>121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24</v>
      </c>
      <c r="F687">
        <f>VLOOKUP(B687,raw!A:K,5,0)</f>
        <v>0</v>
      </c>
      <c r="G687">
        <f>VLOOKUP(B687,raw!A:K,2,0)+VLOOKUP(B687,raw!A:K,10,0)</f>
        <v>3</v>
      </c>
      <c r="H687">
        <f>VLOOKUP(B687,raw!A:K,6,0)</f>
        <v>4</v>
      </c>
      <c r="I687">
        <f>VLOOKUP(B687,raw!A:K,9,0)</f>
        <v>34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12</v>
      </c>
      <c r="E688">
        <f>VLOOKUP(B688,raw!A:K,4,0)</f>
        <v>16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27</v>
      </c>
      <c r="D689">
        <f>VLOOKUP(B689,raw!A:K,3,0)+VLOOKUP(B689,raw!A:K,7,0)</f>
        <v>0</v>
      </c>
      <c r="E689">
        <f>VLOOKUP(B689,raw!A:K,4,0)</f>
        <v>11</v>
      </c>
      <c r="F689">
        <f>VLOOKUP(B689,raw!A:K,5,0)</f>
        <v>0</v>
      </c>
      <c r="G689">
        <f>VLOOKUP(B689,raw!A:K,2,0)+VLOOKUP(B689,raw!A:K,10,0)</f>
        <v>7</v>
      </c>
      <c r="H689">
        <f>VLOOKUP(B689,raw!A:K,6,0)</f>
        <v>0</v>
      </c>
      <c r="I689">
        <f>VLOOKUP(B689,raw!A:K,9,0)</f>
        <v>9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52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52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95</v>
      </c>
      <c r="D692">
        <f>VLOOKUP(B692,raw!A:K,3,0)+VLOOKUP(B692,raw!A:K,7,0)</f>
        <v>52</v>
      </c>
      <c r="E692">
        <f>VLOOKUP(B692,raw!A:K,4,0)</f>
        <v>13</v>
      </c>
      <c r="F692">
        <f>VLOOKUP(B692,raw!A:K,5,0)</f>
        <v>0</v>
      </c>
      <c r="G692">
        <f>VLOOKUP(B692,raw!A:K,2,0)+VLOOKUP(B692,raw!A:K,10,0)</f>
        <v>2</v>
      </c>
      <c r="H692">
        <f>VLOOKUP(B692,raw!A:K,6,0)</f>
        <v>0</v>
      </c>
      <c r="I692">
        <f>VLOOKUP(B692,raw!A:K,9,0)</f>
        <v>28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6</v>
      </c>
      <c r="F693">
        <f>VLOOKUP(B693,raw!A:K,5,0)</f>
        <v>0</v>
      </c>
      <c r="G693">
        <f>VLOOKUP(B693,raw!A:K,2,0)+VLOOKUP(B693,raw!A:K,10,0)</f>
        <v>1</v>
      </c>
      <c r="H693">
        <f>VLOOKUP(B693,raw!A:K,6,0)</f>
        <v>0</v>
      </c>
      <c r="I693">
        <f>VLOOKUP(B693,raw!A:K,9,0)</f>
        <v>95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3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52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78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27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112</v>
      </c>
      <c r="D697">
        <f>VLOOKUP(B697,raw!A:K,3,0)+VLOOKUP(B697,raw!A:K,7,0)</f>
        <v>65</v>
      </c>
      <c r="E697">
        <f>VLOOKUP(B697,raw!A:K,4,0)</f>
        <v>10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37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7</v>
      </c>
      <c r="F699">
        <f>VLOOKUP(B699,raw!A:K,5,0)</f>
        <v>0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63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108</v>
      </c>
      <c r="D700">
        <f>VLOOKUP(B700,raw!A:K,3,0)+VLOOKUP(B700,raw!A:K,7,0)</f>
        <v>76</v>
      </c>
      <c r="E700">
        <f>VLOOKUP(B700,raw!A:K,4,0)</f>
        <v>8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24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1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31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48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26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30</v>
      </c>
      <c r="E703">
        <f>VLOOKUP(B703,raw!A:K,4,0)</f>
        <v>4</v>
      </c>
      <c r="F703">
        <f>VLOOKUP(B703,raw!A:K,5,0)</f>
        <v>0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34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123</v>
      </c>
      <c r="D704">
        <f>VLOOKUP(B704,raw!A:K,3,0)+VLOOKUP(B704,raw!A:K,7,0)</f>
        <v>63</v>
      </c>
      <c r="E704">
        <f>VLOOKUP(B704,raw!A:K,4,0)</f>
        <v>1</v>
      </c>
      <c r="F704">
        <f>VLOOKUP(B704,raw!A:K,5,0)</f>
        <v>0</v>
      </c>
      <c r="G704">
        <f>VLOOKUP(B704,raw!A:K,2,0)+VLOOKUP(B704,raw!A:K,10,0)</f>
        <v>5</v>
      </c>
      <c r="H704">
        <f>VLOOKUP(B704,raw!A:K,6,0)</f>
        <v>0</v>
      </c>
      <c r="I704">
        <f>VLOOKUP(B704,raw!A:K,9,0)</f>
        <v>54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58</v>
      </c>
      <c r="D705">
        <f>VLOOKUP(B705,raw!A:K,3,0)+VLOOKUP(B705,raw!A:K,7,0)</f>
        <v>44</v>
      </c>
      <c r="E705">
        <f>VLOOKUP(B705,raw!A:K,4,0)</f>
        <v>4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9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61</v>
      </c>
      <c r="D706">
        <f>VLOOKUP(B706,raw!A:K,3,0)+VLOOKUP(B706,raw!A:K,7,0)</f>
        <v>42</v>
      </c>
      <c r="E706">
        <f>VLOOKUP(B706,raw!A:K,4,0)</f>
        <v>7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9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81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18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5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30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4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44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4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25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24</v>
      </c>
      <c r="F711">
        <f>VLOOKUP(B711,raw!A:K,5,0)</f>
        <v>0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136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76</v>
      </c>
      <c r="D714">
        <f>VLOOKUP(B714,raw!A:K,3,0)+VLOOKUP(B714,raw!A:K,7,0)</f>
        <v>15</v>
      </c>
      <c r="E714">
        <f>VLOOKUP(B714,raw!A:K,4,0)</f>
        <v>33</v>
      </c>
      <c r="F714">
        <f>VLOOKUP(B714,raw!A:K,5,0)</f>
        <v>0</v>
      </c>
      <c r="G714">
        <f>VLOOKUP(B714,raw!A:K,2,0)+VLOOKUP(B714,raw!A:K,10,0)</f>
        <v>5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53</v>
      </c>
      <c r="F715">
        <f>VLOOKUP(B715,raw!A:K,5,0)</f>
        <v>0</v>
      </c>
      <c r="G715">
        <f>VLOOKUP(B715,raw!A:K,2,0)+VLOOKUP(B715,raw!A:K,10,0)</f>
        <v>8</v>
      </c>
      <c r="H715">
        <f>VLOOKUP(B715,raw!A:K,6,0)</f>
        <v>8</v>
      </c>
      <c r="I715">
        <f>VLOOKUP(B715,raw!A:K,9,0)</f>
        <v>12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116</v>
      </c>
      <c r="D716">
        <f>VLOOKUP(B716,raw!A:K,3,0)+VLOOKUP(B716,raw!A:K,7,0)</f>
        <v>32</v>
      </c>
      <c r="E716">
        <f>VLOOKUP(B716,raw!A:K,4,0)</f>
        <v>6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77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55</v>
      </c>
      <c r="D717">
        <f>VLOOKUP(B717,raw!A:K,3,0)+VLOOKUP(B717,raw!A:K,7,0)</f>
        <v>0</v>
      </c>
      <c r="E717">
        <f>VLOOKUP(B717,raw!A:K,4,0)</f>
        <v>21</v>
      </c>
      <c r="F717">
        <f>VLOOKUP(B717,raw!A:K,5,0)</f>
        <v>0</v>
      </c>
      <c r="G717">
        <f>VLOOKUP(B717,raw!A:K,2,0)+VLOOKUP(B717,raw!A:K,10,0)</f>
        <v>9</v>
      </c>
      <c r="H717">
        <f>VLOOKUP(B717,raw!A:K,6,0)</f>
        <v>0</v>
      </c>
      <c r="I717">
        <f>VLOOKUP(B717,raw!A:K,9,0)</f>
        <v>25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60</v>
      </c>
      <c r="D718">
        <f>VLOOKUP(B718,raw!A:K,3,0)+VLOOKUP(B718,raw!A:K,7,0)</f>
        <v>2</v>
      </c>
      <c r="E718">
        <f>VLOOKUP(B718,raw!A:K,4,0)</f>
        <v>24</v>
      </c>
      <c r="F718">
        <f>VLOOKUP(B718,raw!A:K,5,0)</f>
        <v>0</v>
      </c>
      <c r="G718">
        <f>VLOOKUP(B718,raw!A:K,2,0)+VLOOKUP(B718,raw!A:K,10,0)</f>
        <v>3</v>
      </c>
      <c r="H718">
        <f>VLOOKUP(B718,raw!A:K,6,0)</f>
        <v>0</v>
      </c>
      <c r="I718">
        <f>VLOOKUP(B718,raw!A:K,9,0)</f>
        <v>31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71</v>
      </c>
      <c r="D719">
        <f>VLOOKUP(B719,raw!A:K,3,0)+VLOOKUP(B719,raw!A:K,7,0)</f>
        <v>5</v>
      </c>
      <c r="E719">
        <f>VLOOKUP(B719,raw!A:K,4,0)</f>
        <v>55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9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82</v>
      </c>
      <c r="F720">
        <f>VLOOKUP(B720,raw!A:K,5,0)</f>
        <v>0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32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8</v>
      </c>
      <c r="E721">
        <f>VLOOKUP(B721,raw!A:K,4,0)</f>
        <v>0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70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130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8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34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51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70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0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35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98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1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84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60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44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69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248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89</v>
      </c>
      <c r="D739">
        <f>VLOOKUP(B739,raw!A:K,3,0)+VLOOKUP(B739,raw!A:K,7,0)</f>
        <v>89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125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0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93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0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69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3</v>
      </c>
      <c r="H743">
        <f>VLOOKUP(B743,raw!A:K,6,0)</f>
        <v>0</v>
      </c>
      <c r="I743">
        <f>VLOOKUP(B743,raw!A:K,9,0)</f>
        <v>0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50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3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62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2</v>
      </c>
      <c r="H745">
        <f>VLOOKUP(B745,raw!A:K,6,0)</f>
        <v>1</v>
      </c>
      <c r="I745">
        <f>VLOOKUP(B745,raw!A:K,9,0)</f>
        <v>0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252</v>
      </c>
      <c r="D746">
        <f>VLOOKUP(B746,raw!A:K,3,0)+VLOOKUP(B746,raw!A:K,7,0)</f>
        <v>202</v>
      </c>
      <c r="E746">
        <f>VLOOKUP(B746,raw!A:K,4,0)</f>
        <v>3</v>
      </c>
      <c r="F746">
        <f>VLOOKUP(B746,raw!A:K,5,0)</f>
        <v>0</v>
      </c>
      <c r="G746">
        <f>VLOOKUP(B746,raw!A:K,2,0)+VLOOKUP(B746,raw!A:K,10,0)</f>
        <v>1</v>
      </c>
      <c r="H746">
        <f>VLOOKUP(B746,raw!A:K,6,0)</f>
        <v>2</v>
      </c>
      <c r="I746">
        <f>VLOOKUP(B746,raw!A:K,9,0)</f>
        <v>44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0</v>
      </c>
      <c r="F754">
        <f>VLOOKUP(B754,raw!A:K,5,0)</f>
        <v>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115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143</v>
      </c>
      <c r="D755">
        <f>VLOOKUP(B755,raw!A:K,3,0)+VLOOKUP(B755,raw!A:K,7,0)</f>
        <v>79</v>
      </c>
      <c r="E755">
        <f>VLOOKUP(B755,raw!A:K,4,0)</f>
        <v>2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62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281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90</v>
      </c>
      <c r="E758">
        <f>VLOOKUP(B758,raw!A:K,4,0)</f>
        <v>0</v>
      </c>
      <c r="F758">
        <f>VLOOKUP(B758,raw!A:K,5,0)</f>
        <v>0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81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3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28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5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5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58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60</v>
      </c>
      <c r="D765">
        <f>VLOOKUP(B765,raw!A:K,3,0)+VLOOKUP(B765,raw!A:K,7,0)</f>
        <v>18</v>
      </c>
      <c r="E765">
        <f>VLOOKUP(B765,raw!A:K,4,0)</f>
        <v>4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34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6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38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106</v>
      </c>
      <c r="D767">
        <f>VLOOKUP(B767,raw!A:K,3,0)+VLOOKUP(B767,raw!A:K,7,0)</f>
        <v>3</v>
      </c>
      <c r="E767">
        <f>VLOOKUP(B767,raw!A:K,4,0)</f>
        <v>14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89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118</v>
      </c>
      <c r="E771">
        <f>VLOOKUP(B771,raw!A:K,4,0)</f>
        <v>7</v>
      </c>
      <c r="F771">
        <f>VLOOKUP(B771,raw!A:K,5,0)</f>
        <v>0</v>
      </c>
      <c r="G771">
        <f>VLOOKUP(B771,raw!A:K,2,0)+VLOOKUP(B771,raw!A:K,10,0)</f>
        <v>3</v>
      </c>
      <c r="H771">
        <f>VLOOKUP(B771,raw!A:K,6,0)</f>
        <v>0</v>
      </c>
      <c r="I771">
        <f>VLOOKUP(B771,raw!A:K,9,0)</f>
        <v>6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82</v>
      </c>
      <c r="E773">
        <f>VLOOKUP(B773,raw!A:K,4,0)</f>
        <v>17</v>
      </c>
      <c r="F773">
        <f>VLOOKUP(B773,raw!A:K,5,0)</f>
        <v>0</v>
      </c>
      <c r="G773">
        <f>VLOOKUP(B773,raw!A:K,2,0)+VLOOKUP(B773,raw!A:K,10,0)</f>
        <v>3</v>
      </c>
      <c r="H773">
        <f>VLOOKUP(B773,raw!A:K,6,0)</f>
        <v>0</v>
      </c>
      <c r="I773">
        <f>VLOOKUP(B773,raw!A:K,9,0)</f>
        <v>5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123</v>
      </c>
      <c r="D774">
        <f>VLOOKUP(B774,raw!A:K,3,0)+VLOOKUP(B774,raw!A:K,7,0)</f>
        <v>100</v>
      </c>
      <c r="E774">
        <f>VLOOKUP(B774,raw!A:K,4,0)</f>
        <v>12</v>
      </c>
      <c r="F774">
        <f>VLOOKUP(B774,raw!A:K,5,0)</f>
        <v>0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3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48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0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52</v>
      </c>
      <c r="E776">
        <f>VLOOKUP(B776,raw!A:K,4,0)</f>
        <v>2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2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69</v>
      </c>
      <c r="D777">
        <f>VLOOKUP(B777,raw!A:K,3,0)+VLOOKUP(B777,raw!A:K,7,0)</f>
        <v>45</v>
      </c>
      <c r="E777">
        <f>VLOOKUP(B777,raw!A:K,4,0)</f>
        <v>22</v>
      </c>
      <c r="F777">
        <f>VLOOKUP(B777,raw!A:K,5,0)</f>
        <v>0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34</v>
      </c>
      <c r="E778">
        <f>VLOOKUP(B778,raw!A:K,4,0)</f>
        <v>15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0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46</v>
      </c>
      <c r="E779">
        <f>VLOOKUP(B779,raw!A:K,4,0)</f>
        <v>0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4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37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0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46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1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18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108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21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50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151</v>
      </c>
      <c r="D786">
        <f>VLOOKUP(B786,raw!A:K,3,0)+VLOOKUP(B786,raw!A:K,7,0)</f>
        <v>78</v>
      </c>
      <c r="E786">
        <f>VLOOKUP(B786,raw!A:K,4,0)</f>
        <v>29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44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128</v>
      </c>
      <c r="D787">
        <f>VLOOKUP(B787,raw!A:K,3,0)+VLOOKUP(B787,raw!A:K,7,0)</f>
        <v>56</v>
      </c>
      <c r="E787">
        <f>VLOOKUP(B787,raw!A:K,4,0)</f>
        <v>49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23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152</v>
      </c>
      <c r="D788">
        <f>VLOOKUP(B788,raw!A:K,3,0)+VLOOKUP(B788,raw!A:K,7,0)</f>
        <v>88</v>
      </c>
      <c r="E788">
        <f>VLOOKUP(B788,raw!A:K,4,0)</f>
        <v>44</v>
      </c>
      <c r="F788">
        <f>VLOOKUP(B788,raw!A:K,5,0)</f>
        <v>0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20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29</v>
      </c>
      <c r="E789">
        <f>VLOOKUP(B789,raw!A:K,4,0)</f>
        <v>0</v>
      </c>
      <c r="F789">
        <f>VLOOKUP(B789,raw!A:K,5,0)</f>
        <v>0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7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38</v>
      </c>
      <c r="E790">
        <f>VLOOKUP(B790,raw!A:K,4,0)</f>
        <v>0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7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42</v>
      </c>
      <c r="D791">
        <f>VLOOKUP(B791,raw!A:K,3,0)+VLOOKUP(B791,raw!A:K,7,0)</f>
        <v>34</v>
      </c>
      <c r="E791">
        <f>VLOOKUP(B791,raw!A:K,4,0)</f>
        <v>2</v>
      </c>
      <c r="F791">
        <f>VLOOKUP(B791,raw!A:K,5,0)</f>
        <v>0</v>
      </c>
      <c r="G791">
        <f>VLOOKUP(B791,raw!A:K,2,0)+VLOOKUP(B791,raw!A:K,10,0)</f>
        <v>2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53</v>
      </c>
      <c r="D792">
        <f>VLOOKUP(B792,raw!A:K,3,0)+VLOOKUP(B792,raw!A:K,7,0)</f>
        <v>40</v>
      </c>
      <c r="E792">
        <f>VLOOKUP(B792,raw!A:K,4,0)</f>
        <v>0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13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53</v>
      </c>
      <c r="D793">
        <f>VLOOKUP(B793,raw!A:K,3,0)+VLOOKUP(B793,raw!A:K,7,0)</f>
        <v>40</v>
      </c>
      <c r="E793">
        <f>VLOOKUP(B793,raw!A:K,4,0)</f>
        <v>0</v>
      </c>
      <c r="F793">
        <f>VLOOKUP(B793,raw!A:K,5,0)</f>
        <v>0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12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40</v>
      </c>
      <c r="E794">
        <f>VLOOKUP(B794,raw!A:K,4,0)</f>
        <v>1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109</v>
      </c>
      <c r="D795">
        <f>VLOOKUP(B795,raw!A:K,3,0)+VLOOKUP(B795,raw!A:K,7,0)</f>
        <v>81</v>
      </c>
      <c r="E795">
        <f>VLOOKUP(B795,raw!A:K,4,0)</f>
        <v>0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28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61</v>
      </c>
      <c r="D796">
        <f>VLOOKUP(B796,raw!A:K,3,0)+VLOOKUP(B796,raw!A:K,7,0)</f>
        <v>54</v>
      </c>
      <c r="E796">
        <f>VLOOKUP(B796,raw!A:K,4,0)</f>
        <v>0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7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32</v>
      </c>
      <c r="D797">
        <f>VLOOKUP(B797,raw!A:K,3,0)+VLOOKUP(B797,raw!A:K,7,0)</f>
        <v>31</v>
      </c>
      <c r="E797">
        <f>VLOOKUP(B797,raw!A:K,4,0)</f>
        <v>0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0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6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77</v>
      </c>
      <c r="D799">
        <f>VLOOKUP(B799,raw!A:K,3,0)+VLOOKUP(B799,raw!A:K,7,0)</f>
        <v>56</v>
      </c>
      <c r="E799">
        <f>VLOOKUP(B799,raw!A:K,4,0)</f>
        <v>1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20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3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25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0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57</v>
      </c>
      <c r="D802">
        <f>VLOOKUP(B802,raw!A:K,3,0)+VLOOKUP(B802,raw!A:K,7,0)</f>
        <v>50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85</v>
      </c>
      <c r="E803">
        <f>VLOOKUP(B803,raw!A:K,4,0)</f>
        <v>3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233</v>
      </c>
      <c r="D804">
        <f>VLOOKUP(B804,raw!A:K,3,0)+VLOOKUP(B804,raw!A:K,7,0)</f>
        <v>217</v>
      </c>
      <c r="E804">
        <f>VLOOKUP(B804,raw!A:K,4,0)</f>
        <v>0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196</v>
      </c>
      <c r="D805">
        <f>VLOOKUP(B805,raw!A:K,3,0)+VLOOKUP(B805,raw!A:K,7,0)</f>
        <v>192</v>
      </c>
      <c r="E805">
        <f>VLOOKUP(B805,raw!A:K,4,0)</f>
        <v>0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156</v>
      </c>
      <c r="D806">
        <f>VLOOKUP(B806,raw!A:K,3,0)+VLOOKUP(B806,raw!A:K,7,0)</f>
        <v>139</v>
      </c>
      <c r="E806">
        <f>VLOOKUP(B806,raw!A:K,4,0)</f>
        <v>0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17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103</v>
      </c>
      <c r="D807">
        <f>VLOOKUP(B807,raw!A:K,3,0)+VLOOKUP(B807,raw!A:K,7,0)</f>
        <v>103</v>
      </c>
      <c r="E807">
        <f>VLOOKUP(B807,raw!A:K,4,0)</f>
        <v>0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172</v>
      </c>
      <c r="D808">
        <f>VLOOKUP(B808,raw!A:K,3,0)+VLOOKUP(B808,raw!A:K,7,0)</f>
        <v>157</v>
      </c>
      <c r="E808">
        <f>VLOOKUP(B808,raw!A:K,4,0)</f>
        <v>0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81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113</v>
      </c>
      <c r="D810">
        <f>VLOOKUP(B810,raw!A:K,3,0)+VLOOKUP(B810,raw!A:K,7,0)</f>
        <v>99</v>
      </c>
      <c r="E810">
        <f>VLOOKUP(B810,raw!A:K,4,0)</f>
        <v>0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154</v>
      </c>
      <c r="D814">
        <f>VLOOKUP(B814,raw!A:K,3,0)+VLOOKUP(B814,raw!A:K,7,0)</f>
        <v>120</v>
      </c>
      <c r="E814">
        <f>VLOOKUP(B814,raw!A:K,4,0)</f>
        <v>0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181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5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42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79</v>
      </c>
      <c r="D819">
        <f>VLOOKUP(B819,raw!A:K,3,0)+VLOOKUP(B819,raw!A:K,7,0)</f>
        <v>33</v>
      </c>
      <c r="E819">
        <f>VLOOKUP(B819,raw!A:K,4,0)</f>
        <v>0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68</v>
      </c>
      <c r="D821">
        <f>VLOOKUP(B821,raw!A:K,3,0)+VLOOKUP(B821,raw!A:K,7,0)</f>
        <v>45</v>
      </c>
      <c r="E821">
        <f>VLOOKUP(B821,raw!A:K,4,0)</f>
        <v>1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77</v>
      </c>
      <c r="E824">
        <f>VLOOKUP(B824,raw!A:K,4,0)</f>
        <v>1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46</v>
      </c>
      <c r="E825">
        <f>VLOOKUP(B825,raw!A:K,4,0)</f>
        <v>0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1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47</v>
      </c>
      <c r="E826">
        <f>VLOOKUP(B826,raw!A:K,4,0)</f>
        <v>0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2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39</v>
      </c>
      <c r="E830">
        <f>VLOOKUP(B830,raw!A:K,4,0)</f>
        <v>1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76</v>
      </c>
      <c r="E835">
        <f>VLOOKUP(B835,raw!A:K,4,0)</f>
        <v>1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117</v>
      </c>
      <c r="E836">
        <f>VLOOKUP(B836,raw!A:K,4,0)</f>
        <v>22</v>
      </c>
      <c r="F836">
        <f>VLOOKUP(B836,raw!A:K,5,0)</f>
        <v>0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32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77</v>
      </c>
      <c r="D841">
        <f>VLOOKUP(B841,raw!A:K,3,0)+VLOOKUP(B841,raw!A:K,7,0)</f>
        <v>77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7</v>
      </c>
      <c r="F853">
        <f>VLOOKUP(B853,raw!A:K,5,0)</f>
        <v>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115</v>
      </c>
      <c r="E854">
        <f>VLOOKUP(B854,raw!A:K,4,0)</f>
        <v>25</v>
      </c>
      <c r="F854">
        <f>VLOOKUP(B854,raw!A:K,5,0)</f>
        <v>0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9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151</v>
      </c>
      <c r="D860">
        <f>VLOOKUP(B860,raw!A:K,3,0)+VLOOKUP(B860,raw!A:K,7,0)</f>
        <v>122</v>
      </c>
      <c r="E860">
        <f>VLOOKUP(B860,raw!A:K,4,0)</f>
        <v>19</v>
      </c>
      <c r="F860">
        <f>VLOOKUP(B860,raw!A:K,5,0)</f>
        <v>0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10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16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53</v>
      </c>
      <c r="E864">
        <f>VLOOKUP(B864,raw!A:K,4,0)</f>
        <v>44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2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52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44</v>
      </c>
      <c r="E871">
        <f>VLOOKUP(B871,raw!A:K,4,0)</f>
        <v>4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50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34</v>
      </c>
      <c r="E875">
        <f>VLOOKUP(B875,raw!A:K,4,0)</f>
        <v>9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57</v>
      </c>
      <c r="E877">
        <f>VLOOKUP(B877,raw!A:K,4,0)</f>
        <v>15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155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0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178</v>
      </c>
      <c r="D887">
        <f>VLOOKUP(B887,raw!A:K,3,0)+VLOOKUP(B887,raw!A:K,7,0)</f>
        <v>94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84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180</v>
      </c>
      <c r="D888">
        <f>VLOOKUP(B888,raw!A:K,3,0)+VLOOKUP(B888,raw!A:K,7,0)</f>
        <v>131</v>
      </c>
      <c r="E888">
        <f>VLOOKUP(B888,raw!A:K,4,0)</f>
        <v>2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47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56</v>
      </c>
      <c r="E891">
        <f>VLOOKUP(B891,raw!A:K,4,0)</f>
        <v>15</v>
      </c>
      <c r="F891">
        <f>VLOOKUP(B891,raw!A:K,5,0)</f>
        <v>0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32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210</v>
      </c>
      <c r="E892">
        <f>VLOOKUP(B892,raw!A:K,4,0)</f>
        <v>3</v>
      </c>
      <c r="F892">
        <f>VLOOKUP(B892,raw!A:K,5,0)</f>
        <v>1</v>
      </c>
      <c r="G892">
        <f>VLOOKUP(B892,raw!A:K,2,0)+VLOOKUP(B892,raw!A:K,10,0)</f>
        <v>3</v>
      </c>
      <c r="H892">
        <f>VLOOKUP(B892,raw!A:K,6,0)</f>
        <v>0</v>
      </c>
      <c r="I892">
        <f>VLOOKUP(B892,raw!A:K,9,0)</f>
        <v>2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165</v>
      </c>
      <c r="E893">
        <f>VLOOKUP(B893,raw!A:K,4,0)</f>
        <v>20</v>
      </c>
      <c r="F893">
        <f>VLOOKUP(B893,raw!A:K,5,0)</f>
        <v>0</v>
      </c>
      <c r="G893">
        <f>VLOOKUP(B893,raw!A:K,2,0)+VLOOKUP(B893,raw!A:K,10,0)</f>
        <v>19</v>
      </c>
      <c r="H893">
        <f>VLOOKUP(B893,raw!A:K,6,0)</f>
        <v>1</v>
      </c>
      <c r="I893">
        <f>VLOOKUP(B893,raw!A:K,9,0)</f>
        <v>13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127</v>
      </c>
      <c r="D894">
        <f>VLOOKUP(B894,raw!A:K,3,0)+VLOOKUP(B894,raw!A:K,7,0)</f>
        <v>64</v>
      </c>
      <c r="E894">
        <f>VLOOKUP(B894,raw!A:K,4,0)</f>
        <v>15</v>
      </c>
      <c r="F894">
        <f>VLOOKUP(B894,raw!A:K,5,0)</f>
        <v>0</v>
      </c>
      <c r="G894">
        <f>VLOOKUP(B894,raw!A:K,2,0)+VLOOKUP(B894,raw!A:K,10,0)</f>
        <v>3</v>
      </c>
      <c r="H894">
        <f>VLOOKUP(B894,raw!A:K,6,0)</f>
        <v>0</v>
      </c>
      <c r="I894">
        <f>VLOOKUP(B894,raw!A:K,9,0)</f>
        <v>45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83</v>
      </c>
      <c r="E896">
        <f>VLOOKUP(B896,raw!A:K,4,0)</f>
        <v>10</v>
      </c>
      <c r="F896">
        <f>VLOOKUP(B896,raw!A:K,5,0)</f>
        <v>0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76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109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2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218</v>
      </c>
      <c r="D899">
        <f>VLOOKUP(B899,raw!A:K,3,0)+VLOOKUP(B899,raw!A:K,7,0)</f>
        <v>213</v>
      </c>
      <c r="E899">
        <f>VLOOKUP(B899,raw!A:K,4,0)</f>
        <v>5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129</v>
      </c>
      <c r="D902">
        <f>VLOOKUP(B902,raw!A:K,3,0)+VLOOKUP(B902,raw!A:K,7,0)</f>
        <v>126</v>
      </c>
      <c r="E902">
        <f>VLOOKUP(B902,raw!A:K,4,0)</f>
        <v>3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218</v>
      </c>
      <c r="E903">
        <f>VLOOKUP(B903,raw!A:K,4,0)</f>
        <v>28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176</v>
      </c>
      <c r="D904">
        <f>VLOOKUP(B904,raw!A:K,3,0)+VLOOKUP(B904,raw!A:K,7,0)</f>
        <v>172</v>
      </c>
      <c r="E904">
        <f>VLOOKUP(B904,raw!A:K,4,0)</f>
        <v>4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127</v>
      </c>
      <c r="E905">
        <f>VLOOKUP(B905,raw!A:K,4,0)</f>
        <v>0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1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8</v>
      </c>
      <c r="F906">
        <f>VLOOKUP(B906,raw!A:K,5,0)</f>
        <v>0</v>
      </c>
      <c r="G906">
        <f>VLOOKUP(B906,raw!A:K,2,0)+VLOOKUP(B906,raw!A:K,10,0)</f>
        <v>1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100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1</v>
      </c>
      <c r="H912">
        <f>VLOOKUP(B912,raw!A:K,6,0)</f>
        <v>0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102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7</v>
      </c>
      <c r="E915">
        <f>VLOOKUP(B915,raw!A:K,4,0)</f>
        <v>84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5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92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98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26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81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7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95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2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164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0</v>
      </c>
      <c r="I921">
        <f>VLOOKUP(B921,raw!A:K,9,0)</f>
        <v>0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94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116</v>
      </c>
      <c r="E923">
        <f>VLOOKUP(B923,raw!A:K,4,0)</f>
        <v>8</v>
      </c>
      <c r="F923">
        <f>VLOOKUP(B923,raw!A:K,5,0)</f>
        <v>0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5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61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65</v>
      </c>
      <c r="E925">
        <f>VLOOKUP(B925,raw!A:K,4,0)</f>
        <v>8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12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104</v>
      </c>
      <c r="E926">
        <f>VLOOKUP(B926,raw!A:K,4,0)</f>
        <v>8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54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0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2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46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25</v>
      </c>
      <c r="E938">
        <f>VLOOKUP(B938,raw!A:K,4,0)</f>
        <v>1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53</v>
      </c>
      <c r="E941">
        <f>VLOOKUP(B941,raw!A:K,4,0)</f>
        <v>54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77</v>
      </c>
      <c r="D942">
        <f>VLOOKUP(B942,raw!A:K,3,0)+VLOOKUP(B942,raw!A:K,7,0)</f>
        <v>53</v>
      </c>
      <c r="E942">
        <f>VLOOKUP(B942,raw!A:K,4,0)</f>
        <v>23</v>
      </c>
      <c r="F942">
        <f>VLOOKUP(B942,raw!A:K,5,0)</f>
        <v>0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118</v>
      </c>
      <c r="E943">
        <f>VLOOKUP(B943,raw!A:K,4,0)</f>
        <v>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64</v>
      </c>
      <c r="E944">
        <f>VLOOKUP(B944,raw!A:K,4,0)</f>
        <v>24</v>
      </c>
      <c r="F944">
        <f>VLOOKUP(B944,raw!A:K,5,0)</f>
        <v>0</v>
      </c>
      <c r="G944">
        <f>VLOOKUP(B944,raw!A:K,2,0)+VLOOKUP(B944,raw!A:K,10,0)</f>
        <v>1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92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29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1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84</v>
      </c>
      <c r="D948">
        <f>VLOOKUP(B948,raw!A:K,3,0)+VLOOKUP(B948,raw!A:K,7,0)</f>
        <v>26</v>
      </c>
      <c r="E948">
        <f>VLOOKUP(B948,raw!A:K,4,0)</f>
        <v>48</v>
      </c>
      <c r="F948">
        <f>VLOOKUP(B948,raw!A:K,5,0)</f>
        <v>0</v>
      </c>
      <c r="G948">
        <f>VLOOKUP(B948,raw!A:K,2,0)+VLOOKUP(B948,raw!A:K,10,0)</f>
        <v>10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95</v>
      </c>
      <c r="D949">
        <f>VLOOKUP(B949,raw!A:K,3,0)+VLOOKUP(B949,raw!A:K,7,0)</f>
        <v>61</v>
      </c>
      <c r="E949">
        <f>VLOOKUP(B949,raw!A:K,4,0)</f>
        <v>14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20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50</v>
      </c>
      <c r="D950">
        <f>VLOOKUP(B950,raw!A:K,3,0)+VLOOKUP(B950,raw!A:K,7,0)</f>
        <v>37</v>
      </c>
      <c r="E950">
        <f>VLOOKUP(B950,raw!A:K,4,0)</f>
        <v>7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6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174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0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97</v>
      </c>
      <c r="D966">
        <f>VLOOKUP(B966,raw!A:K,3,0)+VLOOKUP(B966,raw!A:K,7,0)</f>
        <v>96</v>
      </c>
      <c r="E966">
        <f>VLOOKUP(B966,raw!A:K,4,0)</f>
        <v>1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165</v>
      </c>
      <c r="D971">
        <f>VLOOKUP(B971,raw!A:K,3,0)+VLOOKUP(B971,raw!A:K,7,0)</f>
        <v>163</v>
      </c>
      <c r="E971">
        <f>VLOOKUP(B971,raw!A:K,4,0)</f>
        <v>1</v>
      </c>
      <c r="F971">
        <f>VLOOKUP(B971,raw!A:K,5,0)</f>
        <v>0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80</v>
      </c>
      <c r="D972">
        <f>VLOOKUP(B972,raw!A:K,3,0)+VLOOKUP(B972,raw!A:K,7,0)</f>
        <v>80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120</v>
      </c>
      <c r="D973">
        <f>VLOOKUP(B973,raw!A:K,3,0)+VLOOKUP(B973,raw!A:K,7,0)</f>
        <v>118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2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273</v>
      </c>
      <c r="E974">
        <f>VLOOKUP(B974,raw!A:K,4,0)</f>
        <v>1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281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62</v>
      </c>
      <c r="D982">
        <f>VLOOKUP(B982,raw!A:K,3,0)+VLOOKUP(B982,raw!A:K,7,0)</f>
        <v>61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1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203</v>
      </c>
      <c r="D983">
        <f>VLOOKUP(B983,raw!A:K,3,0)+VLOOKUP(B983,raw!A:K,7,0)</f>
        <v>203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50</v>
      </c>
      <c r="D984">
        <f>VLOOKUP(B984,raw!A:K,3,0)+VLOOKUP(B984,raw!A:K,7,0)</f>
        <v>44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5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119</v>
      </c>
      <c r="D985">
        <f>VLOOKUP(B985,raw!A:K,3,0)+VLOOKUP(B985,raw!A:K,7,0)</f>
        <v>89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30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8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0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7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48</v>
      </c>
      <c r="D989">
        <f>VLOOKUP(B989,raw!A:K,3,0)+VLOOKUP(B989,raw!A:K,7,0)</f>
        <v>35</v>
      </c>
      <c r="E989">
        <f>VLOOKUP(B989,raw!A:K,4,0)</f>
        <v>1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12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54</v>
      </c>
      <c r="E990">
        <f>VLOOKUP(B990,raw!A:K,4,0)</f>
        <v>1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5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48</v>
      </c>
      <c r="E991">
        <f>VLOOKUP(B991,raw!A:K,4,0)</f>
        <v>1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54</v>
      </c>
      <c r="E992">
        <f>VLOOKUP(B992,raw!A:K,4,0)</f>
        <v>1</v>
      </c>
      <c r="F992">
        <f>VLOOKUP(B992,raw!A:K,5,0)</f>
        <v>0</v>
      </c>
      <c r="G992">
        <f>VLOOKUP(B992,raw!A:K,2,0)+VLOOKUP(B992,raw!A:K,10,0)</f>
        <v>1</v>
      </c>
      <c r="H992">
        <f>VLOOKUP(B992,raw!A:K,6,0)</f>
        <v>0</v>
      </c>
      <c r="I992">
        <f>VLOOKUP(B992,raw!A:K,9,0)</f>
        <v>3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122</v>
      </c>
      <c r="D993">
        <f>VLOOKUP(B993,raw!A:K,3,0)+VLOOKUP(B993,raw!A:K,7,0)</f>
        <v>41</v>
      </c>
      <c r="E993">
        <f>VLOOKUP(B993,raw!A:K,4,0)</f>
        <v>0</v>
      </c>
      <c r="F993">
        <f>VLOOKUP(B993,raw!A:K,5,0)</f>
        <v>0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80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88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183</v>
      </c>
      <c r="D999">
        <f>VLOOKUP(B999,raw!A:K,3,0)+VLOOKUP(B999,raw!A:K,7,0)</f>
        <v>183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155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87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5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84</v>
      </c>
      <c r="D1005">
        <f>VLOOKUP(B1005,raw!A:K,3,0)+VLOOKUP(B1005,raw!A:K,7,0)</f>
        <v>76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5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77</v>
      </c>
      <c r="D1006">
        <f>VLOOKUP(B1006,raw!A:K,3,0)+VLOOKUP(B1006,raw!A:K,7,0)</f>
        <v>65</v>
      </c>
      <c r="E1006">
        <f>VLOOKUP(B1006,raw!A:K,4,0)</f>
        <v>0</v>
      </c>
      <c r="F1006">
        <f>VLOOKUP(B1006,raw!A:K,5,0)</f>
        <v>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11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15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94</v>
      </c>
      <c r="D1008">
        <f>VLOOKUP(B1008,raw!A:K,3,0)+VLOOKUP(B1008,raw!A:K,7,0)</f>
        <v>53</v>
      </c>
      <c r="E1008">
        <f>VLOOKUP(B1008,raw!A:K,4,0)</f>
        <v>0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1</v>
      </c>
      <c r="I1008">
        <f>VLOOKUP(B1008,raw!A:K,9,0)</f>
        <v>40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100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57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9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82</v>
      </c>
      <c r="E1019">
        <f>VLOOKUP(B1019,raw!A:K,4,0)</f>
        <v>6</v>
      </c>
      <c r="F1019">
        <f>VLOOKUP(B1019,raw!A:K,5,0)</f>
        <v>0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6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69</v>
      </c>
      <c r="D1020">
        <f>VLOOKUP(B1020,raw!A:K,3,0)+VLOOKUP(B1020,raw!A:K,7,0)</f>
        <v>53</v>
      </c>
      <c r="E1020">
        <f>VLOOKUP(B1020,raw!A:K,4,0)</f>
        <v>4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12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65</v>
      </c>
      <c r="D1021">
        <f>VLOOKUP(B1021,raw!A:K,3,0)+VLOOKUP(B1021,raw!A:K,7,0)</f>
        <v>56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1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101</v>
      </c>
      <c r="D1022">
        <f>VLOOKUP(B1022,raw!A:K,3,0)+VLOOKUP(B1022,raw!A:K,7,0)</f>
        <v>78</v>
      </c>
      <c r="E1022">
        <f>VLOOKUP(B1022,raw!A:K,4,0)</f>
        <v>3</v>
      </c>
      <c r="F1022">
        <f>VLOOKUP(B1022,raw!A:K,5,0)</f>
        <v>0</v>
      </c>
      <c r="G1022">
        <f>VLOOKUP(B1022,raw!A:K,2,0)+VLOOKUP(B1022,raw!A:K,10,0)</f>
        <v>2</v>
      </c>
      <c r="H1022">
        <f>VLOOKUP(B1022,raw!A:K,6,0)</f>
        <v>0</v>
      </c>
      <c r="I1022">
        <f>VLOOKUP(B1022,raw!A:K,9,0)</f>
        <v>18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89</v>
      </c>
      <c r="D1023">
        <f>VLOOKUP(B1023,raw!A:K,3,0)+VLOOKUP(B1023,raw!A:K,7,0)</f>
        <v>52</v>
      </c>
      <c r="E1023">
        <f>VLOOKUP(B1023,raw!A:K,4,0)</f>
        <v>5</v>
      </c>
      <c r="F1023">
        <f>VLOOKUP(B1023,raw!A:K,5,0)</f>
        <v>0</v>
      </c>
      <c r="G1023">
        <f>VLOOKUP(B1023,raw!A:K,2,0)+VLOOKUP(B1023,raw!A:K,10,0)</f>
        <v>13</v>
      </c>
      <c r="H1023">
        <f>VLOOKUP(B1023,raw!A:K,6,0)</f>
        <v>0</v>
      </c>
      <c r="I1023">
        <f>VLOOKUP(B1023,raw!A:K,9,0)</f>
        <v>19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50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0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50</v>
      </c>
      <c r="D1025">
        <f>VLOOKUP(B1025,raw!A:K,3,0)+VLOOKUP(B1025,raw!A:K,7,0)</f>
        <v>48</v>
      </c>
      <c r="E1025">
        <f>VLOOKUP(B1025,raw!A:K,4,0)</f>
        <v>0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1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30</v>
      </c>
      <c r="E1026">
        <f>VLOOKUP(B1026,raw!A:K,4,0)</f>
        <v>5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6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43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1</v>
      </c>
      <c r="H1027">
        <f>VLOOKUP(B1027,raw!A:K,6,0)</f>
        <v>0</v>
      </c>
      <c r="I1027">
        <f>VLOOKUP(B1027,raw!A:K,9,0)</f>
        <v>2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105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1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102</v>
      </c>
      <c r="E1029">
        <f>VLOOKUP(B1029,raw!A:K,4,0)</f>
        <v>0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53</v>
      </c>
      <c r="D1030">
        <f>VLOOKUP(B1030,raw!A:K,3,0)+VLOOKUP(B1030,raw!A:K,7,0)</f>
        <v>53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102</v>
      </c>
      <c r="D1032">
        <f>VLOOKUP(B1032,raw!A:K,3,0)+VLOOKUP(B1032,raw!A:K,7,0)</f>
        <v>38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1</v>
      </c>
      <c r="H1032">
        <f>VLOOKUP(B1032,raw!A:K,6,0)</f>
        <v>0</v>
      </c>
      <c r="I1032">
        <f>VLOOKUP(B1032,raw!A:K,9,0)</f>
        <v>63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113</v>
      </c>
      <c r="D1033">
        <f>VLOOKUP(B1033,raw!A:K,3,0)+VLOOKUP(B1033,raw!A:K,7,0)</f>
        <v>102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0</v>
      </c>
      <c r="I1033">
        <f>VLOOKUP(B1033,raw!A:K,9,0)</f>
        <v>11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110</v>
      </c>
      <c r="D1034">
        <f>VLOOKUP(B1034,raw!A:K,3,0)+VLOOKUP(B1034,raw!A:K,7,0)</f>
        <v>103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7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81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6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53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0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37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7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37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12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61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25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34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18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48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8</v>
      </c>
      <c r="H1043">
        <f>VLOOKUP(B1043,raw!A:K,6,0)</f>
        <v>0</v>
      </c>
      <c r="I1043">
        <f>VLOOKUP(B1043,raw!A:K,9,0)</f>
        <v>34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69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62</v>
      </c>
      <c r="D1045">
        <f>VLOOKUP(B1045,raw!A:K,3,0)+VLOOKUP(B1045,raw!A:K,7,0)</f>
        <v>60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1</v>
      </c>
      <c r="H1045">
        <f>VLOOKUP(B1045,raw!A:K,6,0)</f>
        <v>0</v>
      </c>
      <c r="I1045">
        <f>VLOOKUP(B1045,raw!A:K,9,0)</f>
        <v>1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62</v>
      </c>
      <c r="D1046">
        <f>VLOOKUP(B1046,raw!A:K,3,0)+VLOOKUP(B1046,raw!A:K,7,0)</f>
        <v>22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7</v>
      </c>
      <c r="H1046">
        <f>VLOOKUP(B1046,raw!A:K,6,0)</f>
        <v>0</v>
      </c>
      <c r="I1046">
        <f>VLOOKUP(B1046,raw!A:K,9,0)</f>
        <v>33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72</v>
      </c>
      <c r="E1049">
        <f>VLOOKUP(B1049,raw!A:K,4,0)</f>
        <v>3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0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74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0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59</v>
      </c>
      <c r="D1051">
        <f>VLOOKUP(B1051,raw!A:K,3,0)+VLOOKUP(B1051,raw!A:K,7,0)</f>
        <v>53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0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126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1</v>
      </c>
      <c r="H1052">
        <f>VLOOKUP(B1052,raw!A:K,6,0)</f>
        <v>0</v>
      </c>
      <c r="I1052">
        <f>VLOOKUP(B1052,raw!A:K,9,0)</f>
        <v>5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62</v>
      </c>
      <c r="D1053">
        <f>VLOOKUP(B1053,raw!A:K,3,0)+VLOOKUP(B1053,raw!A:K,7,0)</f>
        <v>28</v>
      </c>
      <c r="E1053">
        <f>VLOOKUP(B1053,raw!A:K,4,0)</f>
        <v>10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22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67</v>
      </c>
      <c r="D1055">
        <f>VLOOKUP(B1055,raw!A:K,3,0)+VLOOKUP(B1055,raw!A:K,7,0)</f>
        <v>62</v>
      </c>
      <c r="E1055">
        <f>VLOOKUP(B1055,raw!A:K,4,0)</f>
        <v>0</v>
      </c>
      <c r="F1055">
        <f>VLOOKUP(B1055,raw!A:K,5,0)</f>
        <v>0</v>
      </c>
      <c r="G1055">
        <f>VLOOKUP(B1055,raw!A:K,2,0)+VLOOKUP(B1055,raw!A:K,10,0)</f>
        <v>1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55</v>
      </c>
      <c r="D1056">
        <f>VLOOKUP(B1056,raw!A:K,3,0)+VLOOKUP(B1056,raw!A:K,7,0)</f>
        <v>41</v>
      </c>
      <c r="E1056">
        <f>VLOOKUP(B1056,raw!A:K,4,0)</f>
        <v>4</v>
      </c>
      <c r="F1056">
        <f>VLOOKUP(B1056,raw!A:K,5,0)</f>
        <v>0</v>
      </c>
      <c r="G1056">
        <f>VLOOKUP(B1056,raw!A:K,2,0)+VLOOKUP(B1056,raw!A:K,10,0)</f>
        <v>2</v>
      </c>
      <c r="H1056">
        <f>VLOOKUP(B1056,raw!A:K,6,0)</f>
        <v>0</v>
      </c>
      <c r="I1056">
        <f>VLOOKUP(B1056,raw!A:K,9,0)</f>
        <v>8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59</v>
      </c>
      <c r="D1057">
        <f>VLOOKUP(B1057,raw!A:K,3,0)+VLOOKUP(B1057,raw!A:K,7,0)</f>
        <v>58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1</v>
      </c>
      <c r="H1057">
        <f>VLOOKUP(B1057,raw!A:K,6,0)</f>
        <v>0</v>
      </c>
      <c r="I1057">
        <f>VLOOKUP(B1057,raw!A:K,9,0)</f>
        <v>0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66</v>
      </c>
      <c r="D1058">
        <f>VLOOKUP(B1058,raw!A:K,3,0)+VLOOKUP(B1058,raw!A:K,7,0)</f>
        <v>63</v>
      </c>
      <c r="E1058">
        <f>VLOOKUP(B1058,raw!A:K,4,0)</f>
        <v>0</v>
      </c>
      <c r="F1058">
        <f>VLOOKUP(B1058,raw!A:K,5,0)</f>
        <v>0</v>
      </c>
      <c r="G1058">
        <f>VLOOKUP(B1058,raw!A:K,2,0)+VLOOKUP(B1058,raw!A:K,10,0)</f>
        <v>3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L1062"/>
  <sheetViews>
    <sheetView tabSelected="1" workbookViewId="0">
      <selection activeCell="I1" sqref="I1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2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2" x14ac:dyDescent="0.25">
      <c r="A2" s="7" t="s">
        <v>2056</v>
      </c>
      <c r="B2" s="7">
        <v>0</v>
      </c>
      <c r="C2" s="7">
        <v>0</v>
      </c>
      <c r="D2" s="7">
        <v>4</v>
      </c>
      <c r="E2" s="7">
        <v>5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21</v>
      </c>
      <c r="L2" t="b">
        <f>K2=SUM(B2:J2)</f>
        <v>1</v>
      </c>
    </row>
    <row r="3" spans="1:12" x14ac:dyDescent="0.25">
      <c r="A3" s="7" t="s">
        <v>999</v>
      </c>
      <c r="B3" s="7">
        <v>0</v>
      </c>
      <c r="C3" s="7">
        <v>102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102</v>
      </c>
      <c r="L3" s="7" t="b">
        <f t="shared" ref="L3:L66" si="0">K3=SUM(B3:J3)</f>
        <v>1</v>
      </c>
    </row>
    <row r="4" spans="1:12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  <c r="L4" s="7" t="b">
        <f t="shared" si="0"/>
        <v>1</v>
      </c>
    </row>
    <row r="5" spans="1:12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  <c r="L5" s="7" t="b">
        <f t="shared" si="0"/>
        <v>1</v>
      </c>
    </row>
    <row r="6" spans="1:12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  <c r="L6" s="7" t="b">
        <f t="shared" si="0"/>
        <v>1</v>
      </c>
    </row>
    <row r="7" spans="1:12" x14ac:dyDescent="0.25">
      <c r="A7" s="7" t="s">
        <v>1003</v>
      </c>
      <c r="B7" s="7">
        <v>0</v>
      </c>
      <c r="C7" s="7">
        <v>87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0</v>
      </c>
      <c r="J7" s="7">
        <v>0</v>
      </c>
      <c r="K7" s="7">
        <v>88</v>
      </c>
      <c r="L7" s="7" t="b">
        <f t="shared" si="0"/>
        <v>1</v>
      </c>
    </row>
    <row r="8" spans="1:12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  <c r="L8" s="7" t="b">
        <f t="shared" si="0"/>
        <v>1</v>
      </c>
    </row>
    <row r="9" spans="1:12" x14ac:dyDescent="0.25">
      <c r="A9" s="7" t="s">
        <v>1005</v>
      </c>
      <c r="B9" s="7">
        <v>0</v>
      </c>
      <c r="C9" s="7">
        <v>145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26</v>
      </c>
      <c r="J9" s="7">
        <v>1</v>
      </c>
      <c r="K9" s="7">
        <v>172</v>
      </c>
      <c r="L9" s="7" t="b">
        <f t="shared" si="0"/>
        <v>1</v>
      </c>
    </row>
    <row r="10" spans="1:12" x14ac:dyDescent="0.25">
      <c r="A10" s="7" t="s">
        <v>1006</v>
      </c>
      <c r="B10" s="7">
        <v>0</v>
      </c>
      <c r="C10" s="7">
        <v>153</v>
      </c>
      <c r="D10" s="7">
        <v>0</v>
      </c>
      <c r="E10" s="7">
        <v>0</v>
      </c>
      <c r="F10" s="7">
        <v>0</v>
      </c>
      <c r="G10" s="7">
        <v>1</v>
      </c>
      <c r="H10" s="7">
        <v>0</v>
      </c>
      <c r="I10" s="7">
        <v>0</v>
      </c>
      <c r="J10" s="7">
        <v>0</v>
      </c>
      <c r="K10" s="7">
        <v>154</v>
      </c>
      <c r="L10" s="7" t="b">
        <f t="shared" si="0"/>
        <v>1</v>
      </c>
    </row>
    <row r="11" spans="1:12" x14ac:dyDescent="0.25">
      <c r="A11" s="7" t="s">
        <v>1007</v>
      </c>
      <c r="B11" s="7">
        <v>0</v>
      </c>
      <c r="C11" s="7">
        <v>92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7">
        <v>0</v>
      </c>
      <c r="K11" s="7">
        <v>93</v>
      </c>
      <c r="L11" s="7" t="b">
        <f t="shared" si="0"/>
        <v>1</v>
      </c>
    </row>
    <row r="12" spans="1:12" x14ac:dyDescent="0.25">
      <c r="A12" s="7" t="s">
        <v>1008</v>
      </c>
      <c r="B12" s="7">
        <v>0</v>
      </c>
      <c r="C12" s="7">
        <v>201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0</v>
      </c>
      <c r="J12" s="7">
        <v>0</v>
      </c>
      <c r="K12" s="7">
        <v>205</v>
      </c>
      <c r="L12" s="7" t="b">
        <f t="shared" si="0"/>
        <v>1</v>
      </c>
    </row>
    <row r="13" spans="1:12" x14ac:dyDescent="0.25">
      <c r="A13" s="7" t="s">
        <v>1009</v>
      </c>
      <c r="B13" s="7">
        <v>0</v>
      </c>
      <c r="C13" s="7">
        <v>189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0</v>
      </c>
      <c r="J13" s="7">
        <v>0</v>
      </c>
      <c r="K13" s="7">
        <v>191</v>
      </c>
      <c r="L13" s="7" t="b">
        <f t="shared" si="0"/>
        <v>1</v>
      </c>
    </row>
    <row r="14" spans="1:12" x14ac:dyDescent="0.25">
      <c r="A14" s="7" t="s">
        <v>1010</v>
      </c>
      <c r="B14" s="7">
        <v>0</v>
      </c>
      <c r="C14" s="7">
        <v>130</v>
      </c>
      <c r="D14" s="7">
        <v>0</v>
      </c>
      <c r="E14" s="7">
        <v>0</v>
      </c>
      <c r="F14" s="7">
        <v>0</v>
      </c>
      <c r="G14" s="7">
        <v>14</v>
      </c>
      <c r="H14" s="7">
        <v>0</v>
      </c>
      <c r="I14" s="7">
        <v>0</v>
      </c>
      <c r="J14" s="7">
        <v>0</v>
      </c>
      <c r="K14" s="7">
        <v>144</v>
      </c>
      <c r="L14" s="7" t="b">
        <f t="shared" si="0"/>
        <v>1</v>
      </c>
    </row>
    <row r="15" spans="1:12" x14ac:dyDescent="0.25">
      <c r="A15" s="7" t="s">
        <v>1011</v>
      </c>
      <c r="B15" s="7">
        <v>0</v>
      </c>
      <c r="C15" s="7">
        <v>65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65</v>
      </c>
      <c r="L15" s="7" t="b">
        <f t="shared" si="0"/>
        <v>1</v>
      </c>
    </row>
    <row r="16" spans="1:12" x14ac:dyDescent="0.25">
      <c r="A16" s="7" t="s">
        <v>1012</v>
      </c>
      <c r="B16" s="7">
        <v>0</v>
      </c>
      <c r="C16" s="7">
        <v>99</v>
      </c>
      <c r="D16" s="7">
        <v>0</v>
      </c>
      <c r="E16" s="7">
        <v>0</v>
      </c>
      <c r="F16" s="7">
        <v>0</v>
      </c>
      <c r="G16" s="7">
        <v>5</v>
      </c>
      <c r="H16" s="7">
        <v>0</v>
      </c>
      <c r="I16" s="7">
        <v>47</v>
      </c>
      <c r="J16" s="7">
        <v>0</v>
      </c>
      <c r="K16" s="7">
        <v>151</v>
      </c>
      <c r="L16" s="7" t="b">
        <f t="shared" si="0"/>
        <v>1</v>
      </c>
    </row>
    <row r="17" spans="1:12" x14ac:dyDescent="0.25">
      <c r="A17" s="7" t="s">
        <v>1013</v>
      </c>
      <c r="B17" s="7">
        <v>0</v>
      </c>
      <c r="C17" s="7">
        <v>107</v>
      </c>
      <c r="D17" s="7">
        <v>0</v>
      </c>
      <c r="E17" s="7">
        <v>0</v>
      </c>
      <c r="F17" s="7">
        <v>0</v>
      </c>
      <c r="G17" s="7">
        <v>9</v>
      </c>
      <c r="H17" s="7">
        <v>0</v>
      </c>
      <c r="I17" s="7">
        <v>0</v>
      </c>
      <c r="J17" s="7">
        <v>0</v>
      </c>
      <c r="K17" s="7">
        <v>116</v>
      </c>
      <c r="L17" s="7" t="b">
        <f t="shared" si="0"/>
        <v>1</v>
      </c>
    </row>
    <row r="18" spans="1:12" x14ac:dyDescent="0.25">
      <c r="A18" s="7" t="s">
        <v>1014</v>
      </c>
      <c r="B18" s="7">
        <v>0</v>
      </c>
      <c r="C18" s="7">
        <v>76</v>
      </c>
      <c r="D18" s="7">
        <v>0</v>
      </c>
      <c r="E18" s="7">
        <v>0</v>
      </c>
      <c r="F18" s="7">
        <v>0</v>
      </c>
      <c r="G18" s="7">
        <v>1</v>
      </c>
      <c r="H18" s="7">
        <v>0</v>
      </c>
      <c r="I18" s="7">
        <v>30</v>
      </c>
      <c r="J18" s="7">
        <v>0</v>
      </c>
      <c r="K18" s="7">
        <v>107</v>
      </c>
      <c r="L18" s="7" t="b">
        <f t="shared" si="0"/>
        <v>1</v>
      </c>
    </row>
    <row r="19" spans="1:12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  <c r="L19" s="7" t="b">
        <f t="shared" si="0"/>
        <v>1</v>
      </c>
    </row>
    <row r="20" spans="1:12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26</v>
      </c>
      <c r="J20" s="7">
        <v>0</v>
      </c>
      <c r="K20" s="7">
        <v>56</v>
      </c>
      <c r="L20" s="7" t="b">
        <f t="shared" si="0"/>
        <v>1</v>
      </c>
    </row>
    <row r="21" spans="1:12" x14ac:dyDescent="0.25">
      <c r="A21" s="7" t="s">
        <v>1017</v>
      </c>
      <c r="B21" s="7">
        <v>0</v>
      </c>
      <c r="C21" s="7">
        <v>51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51</v>
      </c>
      <c r="L21" s="7" t="b">
        <f t="shared" si="0"/>
        <v>1</v>
      </c>
    </row>
    <row r="22" spans="1:12" x14ac:dyDescent="0.25">
      <c r="A22" s="7" t="s">
        <v>1018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15</v>
      </c>
      <c r="J22" s="7">
        <v>0</v>
      </c>
      <c r="K22" s="7">
        <v>15</v>
      </c>
      <c r="L22" s="7" t="b">
        <f t="shared" si="0"/>
        <v>1</v>
      </c>
    </row>
    <row r="23" spans="1:12" x14ac:dyDescent="0.25">
      <c r="A23" s="7" t="s">
        <v>1019</v>
      </c>
      <c r="B23" s="7">
        <v>0</v>
      </c>
      <c r="C23" s="7">
        <v>19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16</v>
      </c>
      <c r="J23" s="7">
        <v>0</v>
      </c>
      <c r="K23" s="7">
        <v>35</v>
      </c>
      <c r="L23" s="7" t="b">
        <f t="shared" si="0"/>
        <v>1</v>
      </c>
    </row>
    <row r="24" spans="1:12" x14ac:dyDescent="0.25">
      <c r="A24" s="7" t="s">
        <v>1020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22</v>
      </c>
      <c r="J24" s="7">
        <v>0</v>
      </c>
      <c r="K24" s="7">
        <v>22</v>
      </c>
      <c r="L24" s="7" t="b">
        <f t="shared" si="0"/>
        <v>1</v>
      </c>
    </row>
    <row r="25" spans="1:12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  <c r="L25" s="7" t="b">
        <f t="shared" si="0"/>
        <v>1</v>
      </c>
    </row>
    <row r="26" spans="1:12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  <c r="L26" s="7" t="b">
        <f t="shared" si="0"/>
        <v>1</v>
      </c>
    </row>
    <row r="27" spans="1:12" x14ac:dyDescent="0.25">
      <c r="A27" s="7" t="s">
        <v>1023</v>
      </c>
      <c r="B27" s="7">
        <v>0</v>
      </c>
      <c r="C27" s="7">
        <v>83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0</v>
      </c>
      <c r="K27" s="7">
        <v>87</v>
      </c>
      <c r="L27" s="7" t="b">
        <f t="shared" si="0"/>
        <v>1</v>
      </c>
    </row>
    <row r="28" spans="1:12" x14ac:dyDescent="0.25">
      <c r="A28" s="7" t="s">
        <v>1024</v>
      </c>
      <c r="B28" s="7">
        <v>0</v>
      </c>
      <c r="C28" s="7">
        <v>71</v>
      </c>
      <c r="D28" s="7">
        <v>0</v>
      </c>
      <c r="E28" s="7">
        <v>0</v>
      </c>
      <c r="F28" s="7">
        <v>0</v>
      </c>
      <c r="G28" s="7">
        <v>4</v>
      </c>
      <c r="H28" s="7">
        <v>0</v>
      </c>
      <c r="I28" s="7">
        <v>0</v>
      </c>
      <c r="J28" s="7">
        <v>0</v>
      </c>
      <c r="K28" s="7">
        <v>75</v>
      </c>
      <c r="L28" s="7" t="b">
        <f t="shared" si="0"/>
        <v>1</v>
      </c>
    </row>
    <row r="29" spans="1:12" x14ac:dyDescent="0.25">
      <c r="A29" s="7" t="s">
        <v>1025</v>
      </c>
      <c r="B29" s="7">
        <v>0</v>
      </c>
      <c r="C29" s="7">
        <v>33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0</v>
      </c>
      <c r="J29" s="7">
        <v>0</v>
      </c>
      <c r="K29" s="7">
        <v>34</v>
      </c>
      <c r="L29" s="7" t="b">
        <f t="shared" si="0"/>
        <v>1</v>
      </c>
    </row>
    <row r="30" spans="1:12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  <c r="L30" s="7" t="b">
        <f t="shared" si="0"/>
        <v>1</v>
      </c>
    </row>
    <row r="31" spans="1:12" x14ac:dyDescent="0.25">
      <c r="A31" s="7" t="s">
        <v>1027</v>
      </c>
      <c r="B31" s="7">
        <v>0</v>
      </c>
      <c r="C31" s="7">
        <v>69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69</v>
      </c>
      <c r="L31" s="7" t="b">
        <f t="shared" si="0"/>
        <v>1</v>
      </c>
    </row>
    <row r="32" spans="1:12" x14ac:dyDescent="0.25">
      <c r="A32" s="7" t="s">
        <v>1028</v>
      </c>
      <c r="B32" s="7">
        <v>0</v>
      </c>
      <c r="C32" s="7">
        <v>34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0</v>
      </c>
      <c r="J32" s="7">
        <v>0</v>
      </c>
      <c r="K32" s="7">
        <v>36</v>
      </c>
      <c r="L32" s="7" t="b">
        <f t="shared" si="0"/>
        <v>1</v>
      </c>
    </row>
    <row r="33" spans="1:12" x14ac:dyDescent="0.25">
      <c r="A33" s="7" t="s">
        <v>1029</v>
      </c>
      <c r="B33" s="7">
        <v>0</v>
      </c>
      <c r="C33" s="7">
        <v>52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52</v>
      </c>
      <c r="L33" s="7" t="b">
        <f t="shared" si="0"/>
        <v>1</v>
      </c>
    </row>
    <row r="34" spans="1:12" x14ac:dyDescent="0.25">
      <c r="A34" s="7" t="s">
        <v>1030</v>
      </c>
      <c r="B34" s="7">
        <v>0</v>
      </c>
      <c r="C34" s="7">
        <v>61</v>
      </c>
      <c r="D34" s="7">
        <v>0</v>
      </c>
      <c r="E34" s="7">
        <v>0</v>
      </c>
      <c r="F34" s="7">
        <v>0</v>
      </c>
      <c r="G34" s="7">
        <v>1</v>
      </c>
      <c r="H34" s="7">
        <v>0</v>
      </c>
      <c r="I34" s="7">
        <v>0</v>
      </c>
      <c r="J34" s="7">
        <v>0</v>
      </c>
      <c r="K34" s="7">
        <v>62</v>
      </c>
      <c r="L34" s="7" t="b">
        <f t="shared" si="0"/>
        <v>1</v>
      </c>
    </row>
    <row r="35" spans="1:12" x14ac:dyDescent="0.25">
      <c r="A35" s="7" t="s">
        <v>1031</v>
      </c>
      <c r="B35" s="7">
        <v>0</v>
      </c>
      <c r="C35" s="7">
        <v>68</v>
      </c>
      <c r="D35" s="7">
        <v>0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68</v>
      </c>
      <c r="L35" s="7" t="b">
        <f t="shared" si="0"/>
        <v>1</v>
      </c>
    </row>
    <row r="36" spans="1:12" x14ac:dyDescent="0.25">
      <c r="A36" s="7" t="s">
        <v>1032</v>
      </c>
      <c r="B36" s="7">
        <v>0</v>
      </c>
      <c r="C36" s="7">
        <v>61</v>
      </c>
      <c r="D36" s="7">
        <v>0</v>
      </c>
      <c r="E36" s="7">
        <v>0</v>
      </c>
      <c r="F36" s="7">
        <v>0</v>
      </c>
      <c r="G36" s="7">
        <v>1</v>
      </c>
      <c r="H36" s="7">
        <v>0</v>
      </c>
      <c r="I36" s="7">
        <v>0</v>
      </c>
      <c r="J36" s="7">
        <v>0</v>
      </c>
      <c r="K36" s="7">
        <v>62</v>
      </c>
      <c r="L36" s="7" t="b">
        <f t="shared" si="0"/>
        <v>1</v>
      </c>
    </row>
    <row r="37" spans="1:12" x14ac:dyDescent="0.25">
      <c r="A37" s="7" t="s">
        <v>1033</v>
      </c>
      <c r="B37" s="7">
        <v>0</v>
      </c>
      <c r="C37" s="7">
        <v>41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30</v>
      </c>
      <c r="J37" s="7">
        <v>0</v>
      </c>
      <c r="K37" s="7">
        <v>71</v>
      </c>
      <c r="L37" s="7" t="b">
        <f t="shared" si="0"/>
        <v>1</v>
      </c>
    </row>
    <row r="38" spans="1:12" x14ac:dyDescent="0.25">
      <c r="A38" s="7" t="s">
        <v>1034</v>
      </c>
      <c r="B38" s="7">
        <v>0</v>
      </c>
      <c r="C38" s="7">
        <v>10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56</v>
      </c>
      <c r="J38" s="7">
        <v>0</v>
      </c>
      <c r="K38" s="7">
        <v>66</v>
      </c>
      <c r="L38" s="7" t="b">
        <f t="shared" si="0"/>
        <v>1</v>
      </c>
    </row>
    <row r="39" spans="1:12" x14ac:dyDescent="0.25">
      <c r="A39" s="7" t="s">
        <v>1035</v>
      </c>
      <c r="B39" s="7">
        <v>0</v>
      </c>
      <c r="C39" s="7">
        <v>35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15</v>
      </c>
      <c r="J39" s="7">
        <v>1</v>
      </c>
      <c r="K39" s="7">
        <v>51</v>
      </c>
      <c r="L39" s="7" t="b">
        <f t="shared" si="0"/>
        <v>1</v>
      </c>
    </row>
    <row r="40" spans="1:12" x14ac:dyDescent="0.25">
      <c r="A40" s="7" t="s">
        <v>1036</v>
      </c>
      <c r="B40" s="7">
        <v>0</v>
      </c>
      <c r="C40" s="7">
        <v>12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45</v>
      </c>
      <c r="J40" s="7">
        <v>0</v>
      </c>
      <c r="K40" s="7">
        <v>57</v>
      </c>
      <c r="L40" s="7" t="b">
        <f t="shared" si="0"/>
        <v>1</v>
      </c>
    </row>
    <row r="41" spans="1:12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73</v>
      </c>
      <c r="J41" s="7">
        <v>0</v>
      </c>
      <c r="K41" s="7">
        <v>73</v>
      </c>
      <c r="L41" s="7" t="b">
        <f t="shared" si="0"/>
        <v>1</v>
      </c>
    </row>
    <row r="42" spans="1:12" x14ac:dyDescent="0.25">
      <c r="A42" s="7" t="s">
        <v>1038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28</v>
      </c>
      <c r="J42" s="7">
        <v>0</v>
      </c>
      <c r="K42" s="7">
        <v>28</v>
      </c>
      <c r="L42" s="7" t="b">
        <f t="shared" si="0"/>
        <v>1</v>
      </c>
    </row>
    <row r="43" spans="1:12" x14ac:dyDescent="0.25">
      <c r="A43" s="7" t="s">
        <v>1039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66</v>
      </c>
      <c r="J43" s="7">
        <v>0</v>
      </c>
      <c r="K43" s="7">
        <v>66</v>
      </c>
      <c r="L43" s="7" t="b">
        <f t="shared" si="0"/>
        <v>1</v>
      </c>
    </row>
    <row r="44" spans="1:12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53</v>
      </c>
      <c r="J44" s="7">
        <v>0</v>
      </c>
      <c r="K44" s="7">
        <v>53</v>
      </c>
      <c r="L44" s="7" t="b">
        <f t="shared" si="0"/>
        <v>1</v>
      </c>
    </row>
    <row r="45" spans="1:12" x14ac:dyDescent="0.25">
      <c r="A45" s="7" t="s">
        <v>1041</v>
      </c>
      <c r="B45" s="7">
        <v>0</v>
      </c>
      <c r="C45" s="7">
        <v>0</v>
      </c>
      <c r="D45" s="7">
        <v>1</v>
      </c>
      <c r="E45" s="7">
        <v>0</v>
      </c>
      <c r="F45" s="7">
        <v>0</v>
      </c>
      <c r="G45" s="7">
        <v>0</v>
      </c>
      <c r="H45" s="7">
        <v>0</v>
      </c>
      <c r="I45" s="7">
        <v>86</v>
      </c>
      <c r="J45" s="7">
        <v>0</v>
      </c>
      <c r="K45" s="7">
        <v>87</v>
      </c>
      <c r="L45" s="7" t="b">
        <f t="shared" si="0"/>
        <v>1</v>
      </c>
    </row>
    <row r="46" spans="1:12" x14ac:dyDescent="0.25">
      <c r="A46" s="7" t="s">
        <v>1042</v>
      </c>
      <c r="B46" s="7">
        <v>0</v>
      </c>
      <c r="C46" s="7">
        <v>0</v>
      </c>
      <c r="D46" s="7">
        <v>1</v>
      </c>
      <c r="E46" s="7">
        <v>0</v>
      </c>
      <c r="F46" s="7">
        <v>0</v>
      </c>
      <c r="G46" s="7">
        <v>0</v>
      </c>
      <c r="H46" s="7">
        <v>0</v>
      </c>
      <c r="I46" s="7">
        <v>60</v>
      </c>
      <c r="J46" s="7">
        <v>0</v>
      </c>
      <c r="K46" s="7">
        <v>61</v>
      </c>
      <c r="L46" s="7" t="b">
        <f t="shared" si="0"/>
        <v>1</v>
      </c>
    </row>
    <row r="47" spans="1:12" x14ac:dyDescent="0.25">
      <c r="A47" s="7" t="s">
        <v>1043</v>
      </c>
      <c r="B47" s="7">
        <v>0</v>
      </c>
      <c r="C47" s="7">
        <v>0</v>
      </c>
      <c r="D47" s="7">
        <v>1</v>
      </c>
      <c r="E47" s="7">
        <v>0</v>
      </c>
      <c r="F47" s="7">
        <v>0</v>
      </c>
      <c r="G47" s="7">
        <v>0</v>
      </c>
      <c r="H47" s="7">
        <v>0</v>
      </c>
      <c r="I47" s="7">
        <v>58</v>
      </c>
      <c r="J47" s="7">
        <v>0</v>
      </c>
      <c r="K47" s="7">
        <v>59</v>
      </c>
      <c r="L47" s="7" t="b">
        <f t="shared" si="0"/>
        <v>1</v>
      </c>
    </row>
    <row r="48" spans="1:12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  <c r="L48" s="7" t="b">
        <f t="shared" si="0"/>
        <v>1</v>
      </c>
    </row>
    <row r="49" spans="1:12" x14ac:dyDescent="0.25">
      <c r="A49" s="7" t="s">
        <v>1045</v>
      </c>
      <c r="B49" s="7">
        <v>0</v>
      </c>
      <c r="C49" s="7">
        <v>2</v>
      </c>
      <c r="D49" s="7">
        <v>0</v>
      </c>
      <c r="E49" s="7">
        <v>0</v>
      </c>
      <c r="F49" s="7">
        <v>0</v>
      </c>
      <c r="G49" s="7">
        <v>0</v>
      </c>
      <c r="H49" s="7">
        <v>0</v>
      </c>
      <c r="I49" s="7">
        <v>92</v>
      </c>
      <c r="J49" s="7">
        <v>0</v>
      </c>
      <c r="K49" s="7">
        <v>94</v>
      </c>
      <c r="L49" s="7" t="b">
        <f t="shared" si="0"/>
        <v>1</v>
      </c>
    </row>
    <row r="50" spans="1:12" x14ac:dyDescent="0.25">
      <c r="A50" s="7" t="s">
        <v>1046</v>
      </c>
      <c r="B50" s="7">
        <v>0</v>
      </c>
      <c r="C50" s="7">
        <v>93</v>
      </c>
      <c r="D50" s="7">
        <v>0</v>
      </c>
      <c r="E50" s="7">
        <v>0</v>
      </c>
      <c r="F50" s="7">
        <v>0</v>
      </c>
      <c r="G50" s="7">
        <v>1</v>
      </c>
      <c r="H50" s="7">
        <v>0</v>
      </c>
      <c r="I50" s="7">
        <v>0</v>
      </c>
      <c r="J50" s="7">
        <v>0</v>
      </c>
      <c r="K50" s="7">
        <v>94</v>
      </c>
      <c r="L50" s="7" t="b">
        <f t="shared" si="0"/>
        <v>1</v>
      </c>
    </row>
    <row r="51" spans="1:12" x14ac:dyDescent="0.25">
      <c r="A51" s="7" t="s">
        <v>1047</v>
      </c>
      <c r="B51" s="7">
        <v>0</v>
      </c>
      <c r="C51" s="7">
        <v>101</v>
      </c>
      <c r="D51" s="7">
        <v>0</v>
      </c>
      <c r="E51" s="7">
        <v>0</v>
      </c>
      <c r="F51" s="7">
        <v>0</v>
      </c>
      <c r="G51" s="7">
        <v>3</v>
      </c>
      <c r="H51" s="7">
        <v>0</v>
      </c>
      <c r="I51" s="7">
        <v>0</v>
      </c>
      <c r="J51" s="7">
        <v>0</v>
      </c>
      <c r="K51" s="7">
        <v>104</v>
      </c>
      <c r="L51" s="7" t="b">
        <f t="shared" si="0"/>
        <v>1</v>
      </c>
    </row>
    <row r="52" spans="1:12" x14ac:dyDescent="0.25">
      <c r="A52" s="7" t="s">
        <v>1048</v>
      </c>
      <c r="B52" s="7">
        <v>0</v>
      </c>
      <c r="C52" s="7">
        <v>101</v>
      </c>
      <c r="D52" s="7">
        <v>0</v>
      </c>
      <c r="E52" s="7">
        <v>0</v>
      </c>
      <c r="F52" s="7">
        <v>0</v>
      </c>
      <c r="G52" s="7">
        <v>2</v>
      </c>
      <c r="H52" s="7">
        <v>0</v>
      </c>
      <c r="I52" s="7">
        <v>0</v>
      </c>
      <c r="J52" s="7">
        <v>0</v>
      </c>
      <c r="K52" s="7">
        <v>103</v>
      </c>
      <c r="L52" s="7" t="b">
        <f t="shared" si="0"/>
        <v>1</v>
      </c>
    </row>
    <row r="53" spans="1:12" x14ac:dyDescent="0.25">
      <c r="A53" s="7" t="s">
        <v>1049</v>
      </c>
      <c r="B53" s="7">
        <v>0</v>
      </c>
      <c r="C53" s="7">
        <v>109</v>
      </c>
      <c r="D53" s="7">
        <v>0</v>
      </c>
      <c r="E53" s="7">
        <v>0</v>
      </c>
      <c r="F53" s="7">
        <v>0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  <c r="L53" s="7" t="b">
        <f t="shared" si="0"/>
        <v>1</v>
      </c>
    </row>
    <row r="54" spans="1:12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  <c r="L54" s="7" t="b">
        <f t="shared" si="0"/>
        <v>1</v>
      </c>
    </row>
    <row r="55" spans="1:12" x14ac:dyDescent="0.25">
      <c r="A55" s="7" t="s">
        <v>1051</v>
      </c>
      <c r="B55" s="7">
        <v>0</v>
      </c>
      <c r="C55" s="7">
        <v>100</v>
      </c>
      <c r="D55" s="7">
        <v>0</v>
      </c>
      <c r="E55" s="7">
        <v>0</v>
      </c>
      <c r="F55" s="7">
        <v>0</v>
      </c>
      <c r="G55" s="7">
        <v>1</v>
      </c>
      <c r="H55" s="7">
        <v>0</v>
      </c>
      <c r="I55" s="7">
        <v>1</v>
      </c>
      <c r="J55" s="7">
        <v>0</v>
      </c>
      <c r="K55" s="7">
        <v>102</v>
      </c>
      <c r="L55" s="7" t="b">
        <f t="shared" si="0"/>
        <v>1</v>
      </c>
    </row>
    <row r="56" spans="1:12" x14ac:dyDescent="0.25">
      <c r="A56" s="7" t="s">
        <v>1052</v>
      </c>
      <c r="B56" s="7">
        <v>0</v>
      </c>
      <c r="C56" s="7">
        <v>96</v>
      </c>
      <c r="D56" s="7">
        <v>0</v>
      </c>
      <c r="E56" s="7">
        <v>0</v>
      </c>
      <c r="F56" s="7">
        <v>0</v>
      </c>
      <c r="G56" s="7">
        <v>1</v>
      </c>
      <c r="H56" s="7">
        <v>0</v>
      </c>
      <c r="I56" s="7">
        <v>1</v>
      </c>
      <c r="J56" s="7">
        <v>0</v>
      </c>
      <c r="K56" s="7">
        <v>98</v>
      </c>
      <c r="L56" s="7" t="b">
        <f t="shared" si="0"/>
        <v>1</v>
      </c>
    </row>
    <row r="57" spans="1:12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  <c r="L57" s="7" t="b">
        <f t="shared" si="0"/>
        <v>1</v>
      </c>
    </row>
    <row r="58" spans="1:12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  <c r="L58" s="7" t="b">
        <f t="shared" si="0"/>
        <v>1</v>
      </c>
    </row>
    <row r="59" spans="1:12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  <c r="L59" s="7" t="b">
        <f t="shared" si="0"/>
        <v>1</v>
      </c>
    </row>
    <row r="60" spans="1:12" x14ac:dyDescent="0.25">
      <c r="A60" s="7" t="s">
        <v>1056</v>
      </c>
      <c r="B60" s="7">
        <v>0</v>
      </c>
      <c r="C60" s="7">
        <v>77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2</v>
      </c>
      <c r="J60" s="7">
        <v>0</v>
      </c>
      <c r="K60" s="7">
        <v>79</v>
      </c>
      <c r="L60" s="7" t="b">
        <f t="shared" si="0"/>
        <v>1</v>
      </c>
    </row>
    <row r="61" spans="1:12" x14ac:dyDescent="0.25">
      <c r="A61" s="7" t="s">
        <v>1057</v>
      </c>
      <c r="B61" s="7">
        <v>0</v>
      </c>
      <c r="C61" s="7">
        <v>79</v>
      </c>
      <c r="D61" s="7">
        <v>0</v>
      </c>
      <c r="E61" s="7">
        <v>0</v>
      </c>
      <c r="F61" s="7">
        <v>0</v>
      </c>
      <c r="G61" s="7">
        <v>1</v>
      </c>
      <c r="H61" s="7">
        <v>0</v>
      </c>
      <c r="I61" s="7">
        <v>11</v>
      </c>
      <c r="J61" s="7">
        <v>0</v>
      </c>
      <c r="K61" s="7">
        <v>91</v>
      </c>
      <c r="L61" s="7" t="b">
        <f t="shared" si="0"/>
        <v>1</v>
      </c>
    </row>
    <row r="62" spans="1:12" x14ac:dyDescent="0.25">
      <c r="A62" s="7" t="s">
        <v>1058</v>
      </c>
      <c r="B62" s="7">
        <v>0</v>
      </c>
      <c r="C62" s="7">
        <v>53</v>
      </c>
      <c r="D62" s="7">
        <v>0</v>
      </c>
      <c r="E62" s="7">
        <v>0</v>
      </c>
      <c r="F62" s="7">
        <v>0</v>
      </c>
      <c r="G62" s="7">
        <v>2</v>
      </c>
      <c r="H62" s="7">
        <v>0</v>
      </c>
      <c r="I62" s="7">
        <v>13</v>
      </c>
      <c r="J62" s="7">
        <v>1</v>
      </c>
      <c r="K62" s="7">
        <v>69</v>
      </c>
      <c r="L62" s="7" t="b">
        <f t="shared" si="0"/>
        <v>1</v>
      </c>
    </row>
    <row r="63" spans="1:12" x14ac:dyDescent="0.25">
      <c r="A63" s="7" t="s">
        <v>1059</v>
      </c>
      <c r="B63" s="7">
        <v>0</v>
      </c>
      <c r="C63" s="7">
        <v>28</v>
      </c>
      <c r="D63" s="7">
        <v>0</v>
      </c>
      <c r="E63" s="7">
        <v>0</v>
      </c>
      <c r="F63" s="7">
        <v>0</v>
      </c>
      <c r="G63" s="7">
        <v>0</v>
      </c>
      <c r="H63" s="7">
        <v>0</v>
      </c>
      <c r="I63" s="7">
        <v>4</v>
      </c>
      <c r="J63" s="7">
        <v>40</v>
      </c>
      <c r="K63" s="7">
        <v>72</v>
      </c>
      <c r="L63" s="7" t="b">
        <f t="shared" si="0"/>
        <v>1</v>
      </c>
    </row>
    <row r="64" spans="1:12" x14ac:dyDescent="0.25">
      <c r="A64" s="7" t="s">
        <v>1060</v>
      </c>
      <c r="B64" s="7">
        <v>0</v>
      </c>
      <c r="C64" s="7">
        <v>3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1</v>
      </c>
      <c r="J64" s="7">
        <v>28</v>
      </c>
      <c r="K64" s="7">
        <v>32</v>
      </c>
      <c r="L64" s="7" t="b">
        <f t="shared" si="0"/>
        <v>1</v>
      </c>
    </row>
    <row r="65" spans="1:12" x14ac:dyDescent="0.25">
      <c r="A65" s="7" t="s">
        <v>1061</v>
      </c>
      <c r="B65" s="7">
        <v>0</v>
      </c>
      <c r="C65" s="7">
        <v>0</v>
      </c>
      <c r="D65" s="7">
        <v>6</v>
      </c>
      <c r="E65" s="7">
        <v>0</v>
      </c>
      <c r="F65" s="7">
        <v>0</v>
      </c>
      <c r="G65" s="7">
        <v>0</v>
      </c>
      <c r="H65" s="7">
        <v>0</v>
      </c>
      <c r="I65" s="7">
        <v>22</v>
      </c>
      <c r="J65" s="7">
        <v>7</v>
      </c>
      <c r="K65" s="7">
        <v>35</v>
      </c>
      <c r="L65" s="7" t="b">
        <f t="shared" si="0"/>
        <v>1</v>
      </c>
    </row>
    <row r="66" spans="1:12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7</v>
      </c>
      <c r="J66" s="7">
        <v>0</v>
      </c>
      <c r="K66" s="7">
        <v>54</v>
      </c>
      <c r="L66" s="7" t="b">
        <f t="shared" si="0"/>
        <v>1</v>
      </c>
    </row>
    <row r="67" spans="1:12" x14ac:dyDescent="0.25">
      <c r="A67" s="7" t="s">
        <v>1063</v>
      </c>
      <c r="B67" s="7">
        <v>0</v>
      </c>
      <c r="C67" s="7">
        <v>0</v>
      </c>
      <c r="D67" s="7">
        <v>6</v>
      </c>
      <c r="E67" s="7">
        <v>0</v>
      </c>
      <c r="F67" s="7">
        <v>0</v>
      </c>
      <c r="G67" s="7">
        <v>0</v>
      </c>
      <c r="H67" s="7">
        <v>0</v>
      </c>
      <c r="I67" s="7">
        <v>85</v>
      </c>
      <c r="J67" s="7">
        <v>1</v>
      </c>
      <c r="K67" s="7">
        <v>92</v>
      </c>
      <c r="L67" s="7" t="b">
        <f t="shared" ref="L67:L130" si="1">K67=SUM(B67:J67)</f>
        <v>1</v>
      </c>
    </row>
    <row r="68" spans="1:12" x14ac:dyDescent="0.25">
      <c r="A68" s="7" t="s">
        <v>1064</v>
      </c>
      <c r="B68" s="7">
        <v>0</v>
      </c>
      <c r="C68" s="7">
        <v>47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12</v>
      </c>
      <c r="J68" s="7">
        <v>0</v>
      </c>
      <c r="K68" s="7">
        <v>60</v>
      </c>
      <c r="L68" s="7" t="b">
        <f t="shared" si="1"/>
        <v>1</v>
      </c>
    </row>
    <row r="69" spans="1:12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  <c r="L69" s="7" t="b">
        <f t="shared" si="1"/>
        <v>1</v>
      </c>
    </row>
    <row r="70" spans="1:12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6</v>
      </c>
      <c r="J70" s="7">
        <v>0</v>
      </c>
      <c r="K70" s="7">
        <v>76</v>
      </c>
      <c r="L70" s="7" t="b">
        <f t="shared" si="1"/>
        <v>1</v>
      </c>
    </row>
    <row r="71" spans="1:12" x14ac:dyDescent="0.25">
      <c r="A71" s="7" t="s">
        <v>1067</v>
      </c>
      <c r="B71" s="7">
        <v>0</v>
      </c>
      <c r="C71" s="7">
        <v>77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6</v>
      </c>
      <c r="J71" s="7">
        <v>0</v>
      </c>
      <c r="K71" s="7">
        <v>85</v>
      </c>
      <c r="L71" s="7" t="b">
        <f t="shared" si="1"/>
        <v>1</v>
      </c>
    </row>
    <row r="72" spans="1:12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  <c r="L72" s="7" t="b">
        <f t="shared" si="1"/>
        <v>1</v>
      </c>
    </row>
    <row r="73" spans="1:12" x14ac:dyDescent="0.25">
      <c r="A73" s="7" t="s">
        <v>1069</v>
      </c>
      <c r="B73" s="7">
        <v>0</v>
      </c>
      <c r="C73" s="7">
        <v>75</v>
      </c>
      <c r="D73" s="7">
        <v>0</v>
      </c>
      <c r="E73" s="7">
        <v>0</v>
      </c>
      <c r="F73" s="7">
        <v>0</v>
      </c>
      <c r="G73" s="7">
        <v>5</v>
      </c>
      <c r="H73" s="7">
        <v>0</v>
      </c>
      <c r="I73" s="7">
        <v>2</v>
      </c>
      <c r="J73" s="7">
        <v>0</v>
      </c>
      <c r="K73" s="7">
        <v>82</v>
      </c>
      <c r="L73" s="7" t="b">
        <f t="shared" si="1"/>
        <v>1</v>
      </c>
    </row>
    <row r="74" spans="1:12" x14ac:dyDescent="0.25">
      <c r="A74" s="7" t="s">
        <v>1070</v>
      </c>
      <c r="B74" s="7">
        <v>0</v>
      </c>
      <c r="C74" s="7">
        <v>56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21</v>
      </c>
      <c r="J74" s="7">
        <v>0</v>
      </c>
      <c r="K74" s="7">
        <v>78</v>
      </c>
      <c r="L74" s="7" t="b">
        <f t="shared" si="1"/>
        <v>1</v>
      </c>
    </row>
    <row r="75" spans="1:12" x14ac:dyDescent="0.25">
      <c r="A75" s="7" t="s">
        <v>1071</v>
      </c>
      <c r="B75" s="7">
        <v>0</v>
      </c>
      <c r="C75" s="7">
        <v>20</v>
      </c>
      <c r="D75" s="7">
        <v>0</v>
      </c>
      <c r="E75" s="7">
        <v>0</v>
      </c>
      <c r="F75" s="7">
        <v>0</v>
      </c>
      <c r="G75" s="7">
        <v>0</v>
      </c>
      <c r="H75" s="7">
        <v>0</v>
      </c>
      <c r="I75" s="7">
        <v>54</v>
      </c>
      <c r="J75" s="7">
        <v>0</v>
      </c>
      <c r="K75" s="7">
        <v>74</v>
      </c>
      <c r="L75" s="7" t="b">
        <f t="shared" si="1"/>
        <v>1</v>
      </c>
    </row>
    <row r="76" spans="1:12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  <c r="L76" s="7" t="b">
        <f t="shared" si="1"/>
        <v>1</v>
      </c>
    </row>
    <row r="77" spans="1:12" x14ac:dyDescent="0.25">
      <c r="A77" s="7" t="s">
        <v>1073</v>
      </c>
      <c r="B77" s="7">
        <v>0</v>
      </c>
      <c r="C77" s="7">
        <v>37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0</v>
      </c>
      <c r="K77" s="7">
        <v>40</v>
      </c>
      <c r="L77" s="7" t="b">
        <f t="shared" si="1"/>
        <v>1</v>
      </c>
    </row>
    <row r="78" spans="1:12" x14ac:dyDescent="0.25">
      <c r="A78" s="7" t="s">
        <v>1074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47</v>
      </c>
      <c r="J78" s="7">
        <v>0</v>
      </c>
      <c r="K78" s="7">
        <v>47</v>
      </c>
      <c r="L78" s="7" t="b">
        <f t="shared" si="1"/>
        <v>1</v>
      </c>
    </row>
    <row r="79" spans="1:12" x14ac:dyDescent="0.25">
      <c r="A79" s="7" t="s">
        <v>1075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49</v>
      </c>
      <c r="J79" s="7">
        <v>0</v>
      </c>
      <c r="K79" s="7">
        <v>49</v>
      </c>
      <c r="L79" s="7" t="b">
        <f t="shared" si="1"/>
        <v>1</v>
      </c>
    </row>
    <row r="80" spans="1:12" x14ac:dyDescent="0.25">
      <c r="A80" s="7" t="s">
        <v>1076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47</v>
      </c>
      <c r="J80" s="7">
        <v>0</v>
      </c>
      <c r="K80" s="7">
        <v>47</v>
      </c>
      <c r="L80" s="7" t="b">
        <f t="shared" si="1"/>
        <v>1</v>
      </c>
    </row>
    <row r="81" spans="1:12" x14ac:dyDescent="0.25">
      <c r="A81" s="7" t="s">
        <v>1077</v>
      </c>
      <c r="B81" s="7">
        <v>0</v>
      </c>
      <c r="C81" s="7">
        <v>22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0</v>
      </c>
      <c r="J81" s="7">
        <v>0</v>
      </c>
      <c r="K81" s="7">
        <v>23</v>
      </c>
      <c r="L81" s="7" t="b">
        <f t="shared" si="1"/>
        <v>1</v>
      </c>
    </row>
    <row r="82" spans="1:12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  <c r="L82" s="7" t="b">
        <f t="shared" si="1"/>
        <v>1</v>
      </c>
    </row>
    <row r="83" spans="1:12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35</v>
      </c>
      <c r="J83" s="7">
        <v>0</v>
      </c>
      <c r="K83" s="7">
        <v>53</v>
      </c>
      <c r="L83" s="7" t="b">
        <f t="shared" si="1"/>
        <v>1</v>
      </c>
    </row>
    <row r="84" spans="1:12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  <c r="L84" s="7" t="b">
        <f t="shared" si="1"/>
        <v>1</v>
      </c>
    </row>
    <row r="85" spans="1:12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  <c r="L85" s="7" t="b">
        <f t="shared" si="1"/>
        <v>1</v>
      </c>
    </row>
    <row r="86" spans="1:12" x14ac:dyDescent="0.25">
      <c r="A86" s="7" t="s">
        <v>1082</v>
      </c>
      <c r="B86" s="7">
        <v>0</v>
      </c>
      <c r="C86" s="7">
        <v>33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5</v>
      </c>
      <c r="J86" s="7">
        <v>0</v>
      </c>
      <c r="K86" s="7">
        <v>38</v>
      </c>
      <c r="L86" s="7" t="b">
        <f t="shared" si="1"/>
        <v>1</v>
      </c>
    </row>
    <row r="87" spans="1:12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  <c r="L87" s="7" t="b">
        <f t="shared" si="1"/>
        <v>1</v>
      </c>
    </row>
    <row r="88" spans="1:12" x14ac:dyDescent="0.25">
      <c r="A88" s="7" t="s">
        <v>1084</v>
      </c>
      <c r="B88" s="7">
        <v>0</v>
      </c>
      <c r="C88" s="7">
        <v>11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30</v>
      </c>
      <c r="J88" s="7">
        <v>3</v>
      </c>
      <c r="K88" s="7">
        <v>44</v>
      </c>
      <c r="L88" s="7" t="b">
        <f t="shared" si="1"/>
        <v>1</v>
      </c>
    </row>
    <row r="89" spans="1:12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  <c r="L89" s="7" t="b">
        <f t="shared" si="1"/>
        <v>1</v>
      </c>
    </row>
    <row r="90" spans="1:12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  <c r="L90" s="7" t="b">
        <f t="shared" si="1"/>
        <v>1</v>
      </c>
    </row>
    <row r="91" spans="1:12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  <c r="L91" s="7" t="b">
        <f t="shared" si="1"/>
        <v>1</v>
      </c>
    </row>
    <row r="92" spans="1:12" x14ac:dyDescent="0.25">
      <c r="A92" s="7" t="s">
        <v>1088</v>
      </c>
      <c r="B92" s="7">
        <v>0</v>
      </c>
      <c r="C92" s="7">
        <v>17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29</v>
      </c>
      <c r="J92" s="7">
        <v>1</v>
      </c>
      <c r="K92" s="7">
        <v>47</v>
      </c>
      <c r="L92" s="7" t="b">
        <f t="shared" si="1"/>
        <v>1</v>
      </c>
    </row>
    <row r="93" spans="1:12" x14ac:dyDescent="0.25">
      <c r="A93" s="7" t="s">
        <v>1089</v>
      </c>
      <c r="B93" s="7">
        <v>0</v>
      </c>
      <c r="C93" s="7">
        <v>20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10</v>
      </c>
      <c r="J93" s="7">
        <v>2</v>
      </c>
      <c r="K93" s="7">
        <v>32</v>
      </c>
      <c r="L93" s="7" t="b">
        <f t="shared" si="1"/>
        <v>1</v>
      </c>
    </row>
    <row r="94" spans="1:12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  <c r="L94" s="7" t="b">
        <f t="shared" si="1"/>
        <v>1</v>
      </c>
    </row>
    <row r="95" spans="1:12" x14ac:dyDescent="0.25">
      <c r="A95" s="7" t="s">
        <v>1091</v>
      </c>
      <c r="B95" s="7">
        <v>0</v>
      </c>
      <c r="C95" s="7">
        <v>60</v>
      </c>
      <c r="D95" s="7">
        <v>0</v>
      </c>
      <c r="E95" s="7">
        <v>0</v>
      </c>
      <c r="F95" s="7">
        <v>0</v>
      </c>
      <c r="G95" s="7">
        <v>0</v>
      </c>
      <c r="H95" s="7">
        <v>0</v>
      </c>
      <c r="I95" s="7">
        <v>6</v>
      </c>
      <c r="J95" s="7">
        <v>0</v>
      </c>
      <c r="K95" s="7">
        <v>66</v>
      </c>
      <c r="L95" s="7" t="b">
        <f t="shared" si="1"/>
        <v>1</v>
      </c>
    </row>
    <row r="96" spans="1:12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41</v>
      </c>
      <c r="J96" s="7">
        <v>0</v>
      </c>
      <c r="K96" s="7">
        <v>72</v>
      </c>
      <c r="L96" s="7" t="b">
        <f t="shared" si="1"/>
        <v>1</v>
      </c>
    </row>
    <row r="97" spans="1:12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  <c r="L97" s="7" t="b">
        <f t="shared" si="1"/>
        <v>1</v>
      </c>
    </row>
    <row r="98" spans="1:12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  <c r="L98" s="7" t="b">
        <f t="shared" si="1"/>
        <v>1</v>
      </c>
    </row>
    <row r="99" spans="1:12" x14ac:dyDescent="0.25">
      <c r="A99" s="7" t="s">
        <v>1095</v>
      </c>
      <c r="B99" s="7">
        <v>0</v>
      </c>
      <c r="C99" s="7">
        <v>86</v>
      </c>
      <c r="D99" s="7">
        <v>0</v>
      </c>
      <c r="E99" s="7">
        <v>0</v>
      </c>
      <c r="F99" s="7">
        <v>0</v>
      </c>
      <c r="G99" s="7">
        <v>2</v>
      </c>
      <c r="H99" s="7">
        <v>0</v>
      </c>
      <c r="I99" s="7">
        <v>1</v>
      </c>
      <c r="J99" s="7">
        <v>0</v>
      </c>
      <c r="K99" s="7">
        <v>89</v>
      </c>
      <c r="L99" s="7" t="b">
        <f t="shared" si="1"/>
        <v>1</v>
      </c>
    </row>
    <row r="100" spans="1:12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  <c r="L100" s="7" t="b">
        <f t="shared" si="1"/>
        <v>1</v>
      </c>
    </row>
    <row r="101" spans="1:12" x14ac:dyDescent="0.25">
      <c r="A101" s="7" t="s">
        <v>1097</v>
      </c>
      <c r="B101" s="7">
        <v>0</v>
      </c>
      <c r="C101" s="7">
        <v>47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0</v>
      </c>
      <c r="J101" s="7">
        <v>0</v>
      </c>
      <c r="K101" s="7">
        <v>48</v>
      </c>
      <c r="L101" s="7" t="b">
        <f t="shared" si="1"/>
        <v>1</v>
      </c>
    </row>
    <row r="102" spans="1:12" x14ac:dyDescent="0.25">
      <c r="A102" s="7" t="s">
        <v>1098</v>
      </c>
      <c r="B102" s="7">
        <v>0</v>
      </c>
      <c r="C102" s="7">
        <v>77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0</v>
      </c>
      <c r="J102" s="7">
        <v>0</v>
      </c>
      <c r="K102" s="7">
        <v>82</v>
      </c>
      <c r="L102" s="7" t="b">
        <f t="shared" si="1"/>
        <v>1</v>
      </c>
    </row>
    <row r="103" spans="1:12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  <c r="L103" s="7" t="b">
        <f t="shared" si="1"/>
        <v>1</v>
      </c>
    </row>
    <row r="104" spans="1:12" x14ac:dyDescent="0.25">
      <c r="A104" s="7" t="s">
        <v>1100</v>
      </c>
      <c r="B104" s="7">
        <v>0</v>
      </c>
      <c r="C104" s="7">
        <v>60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0</v>
      </c>
      <c r="K104" s="7">
        <v>71</v>
      </c>
      <c r="L104" s="7" t="b">
        <f t="shared" si="1"/>
        <v>1</v>
      </c>
    </row>
    <row r="105" spans="1:12" x14ac:dyDescent="0.25">
      <c r="A105" s="7" t="s">
        <v>1101</v>
      </c>
      <c r="B105" s="7">
        <v>0</v>
      </c>
      <c r="C105" s="7">
        <v>49</v>
      </c>
      <c r="D105" s="7">
        <v>1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50</v>
      </c>
      <c r="L105" s="7" t="b">
        <f t="shared" si="1"/>
        <v>1</v>
      </c>
    </row>
    <row r="106" spans="1:12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  <c r="L106" s="7" t="b">
        <f t="shared" si="1"/>
        <v>1</v>
      </c>
    </row>
    <row r="107" spans="1:12" x14ac:dyDescent="0.25">
      <c r="A107" s="7" t="s">
        <v>1103</v>
      </c>
      <c r="B107" s="7">
        <v>0</v>
      </c>
      <c r="C107" s="7">
        <v>40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40</v>
      </c>
      <c r="L107" s="7" t="b">
        <f t="shared" si="1"/>
        <v>1</v>
      </c>
    </row>
    <row r="108" spans="1:12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24</v>
      </c>
      <c r="J108" s="7">
        <v>0</v>
      </c>
      <c r="K108" s="7">
        <v>47</v>
      </c>
      <c r="L108" s="7" t="b">
        <f t="shared" si="1"/>
        <v>1</v>
      </c>
    </row>
    <row r="109" spans="1:12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  <c r="L109" s="7" t="b">
        <f t="shared" si="1"/>
        <v>1</v>
      </c>
    </row>
    <row r="110" spans="1:12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  <c r="L110" s="7" t="b">
        <f t="shared" si="1"/>
        <v>1</v>
      </c>
    </row>
    <row r="111" spans="1:12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39</v>
      </c>
      <c r="J111" s="7">
        <v>0</v>
      </c>
      <c r="K111" s="7">
        <v>55</v>
      </c>
      <c r="L111" s="7" t="b">
        <f t="shared" si="1"/>
        <v>1</v>
      </c>
    </row>
    <row r="112" spans="1:12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  <c r="L112" s="7" t="b">
        <f t="shared" si="1"/>
        <v>1</v>
      </c>
    </row>
    <row r="113" spans="1:12" x14ac:dyDescent="0.25">
      <c r="A113" s="7" t="s">
        <v>1109</v>
      </c>
      <c r="B113" s="7">
        <v>0</v>
      </c>
      <c r="C113" s="7">
        <v>55</v>
      </c>
      <c r="D113" s="7">
        <v>0</v>
      </c>
      <c r="E113" s="7">
        <v>0</v>
      </c>
      <c r="F113" s="7">
        <v>0</v>
      </c>
      <c r="G113" s="7">
        <v>3</v>
      </c>
      <c r="H113" s="7">
        <v>0</v>
      </c>
      <c r="I113" s="7">
        <v>7</v>
      </c>
      <c r="J113" s="7">
        <v>0</v>
      </c>
      <c r="K113" s="7">
        <v>65</v>
      </c>
      <c r="L113" s="7" t="b">
        <f t="shared" si="1"/>
        <v>1</v>
      </c>
    </row>
    <row r="114" spans="1:12" x14ac:dyDescent="0.25">
      <c r="A114" s="7" t="s">
        <v>1110</v>
      </c>
      <c r="B114" s="7">
        <v>0</v>
      </c>
      <c r="C114" s="7">
        <v>77</v>
      </c>
      <c r="D114" s="7">
        <v>0</v>
      </c>
      <c r="E114" s="7">
        <v>0</v>
      </c>
      <c r="F114" s="7">
        <v>0</v>
      </c>
      <c r="G114" s="7">
        <v>0</v>
      </c>
      <c r="H114" s="7">
        <v>0</v>
      </c>
      <c r="I114" s="7">
        <v>1</v>
      </c>
      <c r="J114" s="7">
        <v>0</v>
      </c>
      <c r="K114" s="7">
        <v>78</v>
      </c>
      <c r="L114" s="7" t="b">
        <f t="shared" si="1"/>
        <v>1</v>
      </c>
    </row>
    <row r="115" spans="1:12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  <c r="L115" s="7" t="b">
        <f t="shared" si="1"/>
        <v>1</v>
      </c>
    </row>
    <row r="116" spans="1:12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  <c r="L116" s="7" t="b">
        <f t="shared" si="1"/>
        <v>1</v>
      </c>
    </row>
    <row r="117" spans="1:12" x14ac:dyDescent="0.25">
      <c r="A117" s="7" t="s">
        <v>1113</v>
      </c>
      <c r="B117" s="7">
        <v>0</v>
      </c>
      <c r="C117" s="7">
        <v>26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46</v>
      </c>
      <c r="J117" s="7">
        <v>0</v>
      </c>
      <c r="K117" s="7">
        <v>72</v>
      </c>
      <c r="L117" s="7" t="b">
        <f t="shared" si="1"/>
        <v>1</v>
      </c>
    </row>
    <row r="118" spans="1:12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  <c r="L118" s="7" t="b">
        <f t="shared" si="1"/>
        <v>1</v>
      </c>
    </row>
    <row r="119" spans="1:12" x14ac:dyDescent="0.25">
      <c r="A119" s="7" t="s">
        <v>1115</v>
      </c>
      <c r="B119" s="7">
        <v>0</v>
      </c>
      <c r="C119" s="7">
        <v>18</v>
      </c>
      <c r="D119" s="7">
        <v>0</v>
      </c>
      <c r="E119" s="7">
        <v>0</v>
      </c>
      <c r="F119" s="7">
        <v>0</v>
      </c>
      <c r="G119" s="7">
        <v>0</v>
      </c>
      <c r="H119" s="7">
        <v>0</v>
      </c>
      <c r="I119" s="7">
        <v>46</v>
      </c>
      <c r="J119" s="7">
        <v>0</v>
      </c>
      <c r="K119" s="7">
        <v>64</v>
      </c>
      <c r="L119" s="7" t="b">
        <f t="shared" si="1"/>
        <v>1</v>
      </c>
    </row>
    <row r="120" spans="1:12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  <c r="L120" s="7" t="b">
        <f t="shared" si="1"/>
        <v>1</v>
      </c>
    </row>
    <row r="121" spans="1:12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  <c r="L121" s="7" t="b">
        <f t="shared" si="1"/>
        <v>1</v>
      </c>
    </row>
    <row r="122" spans="1:12" x14ac:dyDescent="0.25">
      <c r="A122" s="7" t="s">
        <v>1118</v>
      </c>
      <c r="B122" s="7">
        <v>0</v>
      </c>
      <c r="C122" s="7">
        <v>9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106</v>
      </c>
      <c r="J122" s="7">
        <v>0</v>
      </c>
      <c r="K122" s="7">
        <v>115</v>
      </c>
      <c r="L122" s="7" t="b">
        <f t="shared" si="1"/>
        <v>1</v>
      </c>
    </row>
    <row r="123" spans="1:12" x14ac:dyDescent="0.25">
      <c r="A123" s="7" t="s">
        <v>1119</v>
      </c>
      <c r="B123" s="7">
        <v>0</v>
      </c>
      <c r="C123" s="7">
        <v>27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32</v>
      </c>
      <c r="J123" s="7">
        <v>0</v>
      </c>
      <c r="K123" s="7">
        <v>59</v>
      </c>
      <c r="L123" s="7" t="b">
        <f t="shared" si="1"/>
        <v>1</v>
      </c>
    </row>
    <row r="124" spans="1:12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  <c r="L124" s="7" t="b">
        <f t="shared" si="1"/>
        <v>1</v>
      </c>
    </row>
    <row r="125" spans="1:12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  <c r="L125" s="7" t="b">
        <f t="shared" si="1"/>
        <v>1</v>
      </c>
    </row>
    <row r="126" spans="1:12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  <c r="L126" s="7" t="b">
        <f t="shared" si="1"/>
        <v>1</v>
      </c>
    </row>
    <row r="127" spans="1:12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80</v>
      </c>
      <c r="L127" s="7" t="b">
        <f t="shared" si="1"/>
        <v>1</v>
      </c>
    </row>
    <row r="128" spans="1:12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  <c r="L128" s="7" t="b">
        <f t="shared" si="1"/>
        <v>1</v>
      </c>
    </row>
    <row r="129" spans="1:12" x14ac:dyDescent="0.25">
      <c r="A129" s="7" t="s">
        <v>1125</v>
      </c>
      <c r="B129" s="7">
        <v>0</v>
      </c>
      <c r="C129" s="7">
        <v>54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56</v>
      </c>
      <c r="L129" s="7" t="b">
        <f t="shared" si="1"/>
        <v>1</v>
      </c>
    </row>
    <row r="130" spans="1:12" x14ac:dyDescent="0.25">
      <c r="A130" s="7" t="s">
        <v>1126</v>
      </c>
      <c r="B130" s="7">
        <v>0</v>
      </c>
      <c r="C130" s="7">
        <v>87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1</v>
      </c>
      <c r="K130" s="7">
        <v>88</v>
      </c>
      <c r="L130" s="7" t="b">
        <f t="shared" si="1"/>
        <v>1</v>
      </c>
    </row>
    <row r="131" spans="1:12" x14ac:dyDescent="0.25">
      <c r="A131" s="7" t="s">
        <v>1127</v>
      </c>
      <c r="B131" s="7">
        <v>0</v>
      </c>
      <c r="C131" s="7">
        <v>0</v>
      </c>
      <c r="D131" s="7">
        <v>4</v>
      </c>
      <c r="E131" s="7">
        <v>0</v>
      </c>
      <c r="F131" s="7">
        <v>0</v>
      </c>
      <c r="G131" s="7">
        <v>0</v>
      </c>
      <c r="H131" s="7">
        <v>0</v>
      </c>
      <c r="I131" s="7">
        <v>89</v>
      </c>
      <c r="J131" s="7">
        <v>0</v>
      </c>
      <c r="K131" s="7">
        <v>93</v>
      </c>
      <c r="L131" s="7" t="b">
        <f t="shared" ref="L131:L194" si="2">K131=SUM(B131:J131)</f>
        <v>1</v>
      </c>
    </row>
    <row r="132" spans="1:12" x14ac:dyDescent="0.25">
      <c r="A132" s="7" t="s">
        <v>1128</v>
      </c>
      <c r="B132" s="7">
        <v>0</v>
      </c>
      <c r="C132" s="7">
        <v>68</v>
      </c>
      <c r="D132" s="7">
        <v>1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69</v>
      </c>
      <c r="L132" s="7" t="b">
        <f t="shared" si="2"/>
        <v>1</v>
      </c>
    </row>
    <row r="133" spans="1:12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  <c r="L133" s="7" t="b">
        <f t="shared" si="2"/>
        <v>1</v>
      </c>
    </row>
    <row r="134" spans="1:12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  <c r="L134" s="7" t="b">
        <f t="shared" si="2"/>
        <v>1</v>
      </c>
    </row>
    <row r="135" spans="1:12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  <c r="L135" s="7" t="b">
        <f t="shared" si="2"/>
        <v>1</v>
      </c>
    </row>
    <row r="136" spans="1:12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  <c r="L136" s="7" t="b">
        <f t="shared" si="2"/>
        <v>1</v>
      </c>
    </row>
    <row r="137" spans="1:12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  <c r="L137" s="7" t="b">
        <f t="shared" si="2"/>
        <v>1</v>
      </c>
    </row>
    <row r="138" spans="1:12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  <c r="L138" s="7" t="b">
        <f t="shared" si="2"/>
        <v>1</v>
      </c>
    </row>
    <row r="139" spans="1:12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  <c r="L139" s="7" t="b">
        <f t="shared" si="2"/>
        <v>1</v>
      </c>
    </row>
    <row r="140" spans="1:12" x14ac:dyDescent="0.25">
      <c r="A140" s="7" t="s">
        <v>1136</v>
      </c>
      <c r="B140" s="7">
        <v>0</v>
      </c>
      <c r="C140" s="7">
        <v>218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218</v>
      </c>
      <c r="L140" s="7" t="b">
        <f t="shared" si="2"/>
        <v>1</v>
      </c>
    </row>
    <row r="141" spans="1:12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  <c r="L141" s="7" t="b">
        <f t="shared" si="2"/>
        <v>1</v>
      </c>
    </row>
    <row r="142" spans="1:12" x14ac:dyDescent="0.25">
      <c r="A142" s="7" t="s">
        <v>1138</v>
      </c>
      <c r="B142" s="7">
        <v>0</v>
      </c>
      <c r="C142" s="7">
        <v>59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16</v>
      </c>
      <c r="J142" s="7">
        <v>0</v>
      </c>
      <c r="K142" s="7">
        <v>75</v>
      </c>
      <c r="L142" s="7" t="b">
        <f t="shared" si="2"/>
        <v>1</v>
      </c>
    </row>
    <row r="143" spans="1:12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  <c r="L143" s="7" t="b">
        <f t="shared" si="2"/>
        <v>1</v>
      </c>
    </row>
    <row r="144" spans="1:12" x14ac:dyDescent="0.25">
      <c r="A144" s="7" t="s">
        <v>1140</v>
      </c>
      <c r="B144" s="7">
        <v>0</v>
      </c>
      <c r="C144" s="7">
        <v>99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26</v>
      </c>
      <c r="J144" s="7">
        <v>0</v>
      </c>
      <c r="K144" s="7">
        <v>125</v>
      </c>
      <c r="L144" s="7" t="b">
        <f t="shared" si="2"/>
        <v>1</v>
      </c>
    </row>
    <row r="145" spans="1:12" x14ac:dyDescent="0.25">
      <c r="A145" s="7" t="s">
        <v>1141</v>
      </c>
      <c r="B145" s="7">
        <v>0</v>
      </c>
      <c r="C145" s="7">
        <v>150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42</v>
      </c>
      <c r="J145" s="7">
        <v>0</v>
      </c>
      <c r="K145" s="7">
        <v>193</v>
      </c>
      <c r="L145" s="7" t="b">
        <f t="shared" si="2"/>
        <v>1</v>
      </c>
    </row>
    <row r="146" spans="1:12" x14ac:dyDescent="0.25">
      <c r="A146" s="7" t="s">
        <v>1142</v>
      </c>
      <c r="B146" s="7">
        <v>0</v>
      </c>
      <c r="C146" s="7">
        <v>68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23</v>
      </c>
      <c r="J146" s="7">
        <v>0</v>
      </c>
      <c r="K146" s="7">
        <v>91</v>
      </c>
      <c r="L146" s="7" t="b">
        <f t="shared" si="2"/>
        <v>1</v>
      </c>
    </row>
    <row r="147" spans="1:12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  <c r="L147" s="7" t="b">
        <f t="shared" si="2"/>
        <v>1</v>
      </c>
    </row>
    <row r="148" spans="1:12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40</v>
      </c>
      <c r="J148" s="7">
        <v>0</v>
      </c>
      <c r="K148" s="7">
        <v>125</v>
      </c>
      <c r="L148" s="7" t="b">
        <f t="shared" si="2"/>
        <v>1</v>
      </c>
    </row>
    <row r="149" spans="1:12" x14ac:dyDescent="0.25">
      <c r="A149" s="7" t="s">
        <v>1145</v>
      </c>
      <c r="B149" s="7">
        <v>0</v>
      </c>
      <c r="C149" s="7">
        <v>179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21</v>
      </c>
      <c r="J149" s="7">
        <v>0</v>
      </c>
      <c r="K149" s="7">
        <v>201</v>
      </c>
      <c r="L149" s="7" t="b">
        <f t="shared" si="2"/>
        <v>1</v>
      </c>
    </row>
    <row r="150" spans="1:12" x14ac:dyDescent="0.25">
      <c r="A150" s="7" t="s">
        <v>1146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94</v>
      </c>
      <c r="J150" s="7">
        <v>0</v>
      </c>
      <c r="K150" s="7">
        <v>94</v>
      </c>
      <c r="L150" s="7" t="b">
        <f t="shared" si="2"/>
        <v>1</v>
      </c>
    </row>
    <row r="151" spans="1:12" x14ac:dyDescent="0.25">
      <c r="A151" s="7" t="s">
        <v>1147</v>
      </c>
      <c r="B151" s="7">
        <v>0</v>
      </c>
      <c r="C151" s="7">
        <v>105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105</v>
      </c>
      <c r="L151" s="7" t="b">
        <f t="shared" si="2"/>
        <v>1</v>
      </c>
    </row>
    <row r="152" spans="1:12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  <c r="L152" s="7" t="b">
        <f t="shared" si="2"/>
        <v>1</v>
      </c>
    </row>
    <row r="153" spans="1:12" x14ac:dyDescent="0.25">
      <c r="A153" s="7" t="s">
        <v>1149</v>
      </c>
      <c r="B153" s="7">
        <v>0</v>
      </c>
      <c r="C153" s="7">
        <v>100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0</v>
      </c>
      <c r="J153" s="7">
        <v>0</v>
      </c>
      <c r="K153" s="7">
        <v>100</v>
      </c>
      <c r="L153" s="7" t="b">
        <f t="shared" si="2"/>
        <v>1</v>
      </c>
    </row>
    <row r="154" spans="1:12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  <c r="L154" s="7" t="b">
        <f t="shared" si="2"/>
        <v>1</v>
      </c>
    </row>
    <row r="155" spans="1:12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  <c r="L155" s="7" t="b">
        <f t="shared" si="2"/>
        <v>1</v>
      </c>
    </row>
    <row r="156" spans="1:12" x14ac:dyDescent="0.25">
      <c r="A156" s="7" t="s">
        <v>1152</v>
      </c>
      <c r="B156" s="7">
        <v>0</v>
      </c>
      <c r="C156" s="7">
        <v>207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20</v>
      </c>
      <c r="J156" s="7">
        <v>0</v>
      </c>
      <c r="K156" s="7">
        <v>229</v>
      </c>
      <c r="L156" s="7" t="b">
        <f t="shared" si="2"/>
        <v>1</v>
      </c>
    </row>
    <row r="157" spans="1:12" x14ac:dyDescent="0.25">
      <c r="A157" s="7" t="s">
        <v>1153</v>
      </c>
      <c r="B157" s="7">
        <v>0</v>
      </c>
      <c r="C157" s="7">
        <v>225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26</v>
      </c>
      <c r="J157" s="7">
        <v>0</v>
      </c>
      <c r="K157" s="7">
        <v>252</v>
      </c>
      <c r="L157" s="7" t="b">
        <f t="shared" si="2"/>
        <v>1</v>
      </c>
    </row>
    <row r="158" spans="1:12" x14ac:dyDescent="0.25">
      <c r="A158" s="7" t="s">
        <v>1154</v>
      </c>
      <c r="B158" s="7">
        <v>0</v>
      </c>
      <c r="C158" s="7">
        <v>223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6</v>
      </c>
      <c r="J158" s="7">
        <v>0</v>
      </c>
      <c r="K158" s="7">
        <v>235</v>
      </c>
      <c r="L158" s="7" t="b">
        <f t="shared" si="2"/>
        <v>1</v>
      </c>
    </row>
    <row r="159" spans="1:12" x14ac:dyDescent="0.25">
      <c r="A159" s="7" t="s">
        <v>1155</v>
      </c>
      <c r="B159" s="7">
        <v>0</v>
      </c>
      <c r="C159" s="7">
        <v>35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35</v>
      </c>
      <c r="L159" s="7" t="b">
        <f t="shared" si="2"/>
        <v>1</v>
      </c>
    </row>
    <row r="160" spans="1:12" x14ac:dyDescent="0.25">
      <c r="A160" s="7" t="s">
        <v>1156</v>
      </c>
      <c r="B160" s="7">
        <v>0</v>
      </c>
      <c r="C160" s="7">
        <v>55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55</v>
      </c>
      <c r="L160" s="7" t="b">
        <f t="shared" si="2"/>
        <v>1</v>
      </c>
    </row>
    <row r="161" spans="1:12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55</v>
      </c>
      <c r="J161" s="7">
        <v>0</v>
      </c>
      <c r="K161" s="7">
        <v>55</v>
      </c>
      <c r="L161" s="7" t="b">
        <f t="shared" si="2"/>
        <v>1</v>
      </c>
    </row>
    <row r="162" spans="1:12" x14ac:dyDescent="0.25">
      <c r="A162" s="7" t="s">
        <v>1158</v>
      </c>
      <c r="B162" s="7">
        <v>0</v>
      </c>
      <c r="C162" s="7">
        <v>1</v>
      </c>
      <c r="D162" s="7">
        <v>0</v>
      </c>
      <c r="E162" s="7">
        <v>0</v>
      </c>
      <c r="F162" s="7">
        <v>0</v>
      </c>
      <c r="G162" s="7">
        <v>0</v>
      </c>
      <c r="H162" s="7">
        <v>0</v>
      </c>
      <c r="I162" s="7">
        <v>59</v>
      </c>
      <c r="J162" s="7">
        <v>5</v>
      </c>
      <c r="K162" s="7">
        <v>65</v>
      </c>
      <c r="L162" s="7" t="b">
        <f t="shared" si="2"/>
        <v>1</v>
      </c>
    </row>
    <row r="163" spans="1:12" x14ac:dyDescent="0.25">
      <c r="A163" s="7" t="s">
        <v>1159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104</v>
      </c>
      <c r="J163" s="7">
        <v>0</v>
      </c>
      <c r="K163" s="7">
        <v>104</v>
      </c>
      <c r="L163" s="7" t="b">
        <f t="shared" si="2"/>
        <v>1</v>
      </c>
    </row>
    <row r="164" spans="1:12" x14ac:dyDescent="0.25">
      <c r="A164" s="7" t="s">
        <v>1160</v>
      </c>
      <c r="B164" s="7">
        <v>0</v>
      </c>
      <c r="C164" s="7">
        <v>0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90</v>
      </c>
      <c r="J164" s="7">
        <v>1</v>
      </c>
      <c r="K164" s="7">
        <v>91</v>
      </c>
      <c r="L164" s="7" t="b">
        <f t="shared" si="2"/>
        <v>1</v>
      </c>
    </row>
    <row r="165" spans="1:12" x14ac:dyDescent="0.25">
      <c r="A165" s="7" t="s">
        <v>1161</v>
      </c>
      <c r="B165" s="7">
        <v>0</v>
      </c>
      <c r="C165" s="7">
        <v>68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14</v>
      </c>
      <c r="J165" s="7">
        <v>0</v>
      </c>
      <c r="K165" s="7">
        <v>82</v>
      </c>
      <c r="L165" s="7" t="b">
        <f t="shared" si="2"/>
        <v>1</v>
      </c>
    </row>
    <row r="166" spans="1:12" x14ac:dyDescent="0.25">
      <c r="A166" s="7" t="s">
        <v>1162</v>
      </c>
      <c r="B166" s="7">
        <v>0</v>
      </c>
      <c r="C166" s="7">
        <v>57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12</v>
      </c>
      <c r="J166" s="7">
        <v>0</v>
      </c>
      <c r="K166" s="7">
        <v>70</v>
      </c>
      <c r="L166" s="7" t="b">
        <f t="shared" si="2"/>
        <v>1</v>
      </c>
    </row>
    <row r="167" spans="1:12" x14ac:dyDescent="0.25">
      <c r="A167" s="7" t="s">
        <v>1163</v>
      </c>
      <c r="B167" s="7">
        <v>0</v>
      </c>
      <c r="C167" s="7">
        <v>0</v>
      </c>
      <c r="D167" s="7">
        <v>0</v>
      </c>
      <c r="E167" s="7">
        <v>0</v>
      </c>
      <c r="F167" s="7">
        <v>0</v>
      </c>
      <c r="G167" s="7">
        <v>0</v>
      </c>
      <c r="H167" s="7">
        <v>0</v>
      </c>
      <c r="I167" s="7">
        <v>64</v>
      </c>
      <c r="J167" s="7">
        <v>0</v>
      </c>
      <c r="K167" s="7">
        <v>64</v>
      </c>
      <c r="L167" s="7" t="b">
        <f t="shared" si="2"/>
        <v>1</v>
      </c>
    </row>
    <row r="168" spans="1:12" x14ac:dyDescent="0.25">
      <c r="A168" s="7" t="s">
        <v>1164</v>
      </c>
      <c r="B168" s="7">
        <v>0</v>
      </c>
      <c r="C168" s="7">
        <v>42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15</v>
      </c>
      <c r="J168" s="7">
        <v>0</v>
      </c>
      <c r="K168" s="7">
        <v>58</v>
      </c>
      <c r="L168" s="7" t="b">
        <f t="shared" si="2"/>
        <v>1</v>
      </c>
    </row>
    <row r="169" spans="1:12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33</v>
      </c>
      <c r="J169" s="7">
        <v>0</v>
      </c>
      <c r="K169" s="7">
        <v>41</v>
      </c>
      <c r="L169" s="7" t="b">
        <f t="shared" si="2"/>
        <v>1</v>
      </c>
    </row>
    <row r="170" spans="1:12" x14ac:dyDescent="0.25">
      <c r="A170" s="7" t="s">
        <v>1166</v>
      </c>
      <c r="B170" s="7">
        <v>0</v>
      </c>
      <c r="C170" s="7">
        <v>50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27</v>
      </c>
      <c r="J170" s="7">
        <v>2</v>
      </c>
      <c r="K170" s="7">
        <v>79</v>
      </c>
      <c r="L170" s="7" t="b">
        <f t="shared" si="2"/>
        <v>1</v>
      </c>
    </row>
    <row r="171" spans="1:12" x14ac:dyDescent="0.25">
      <c r="A171" s="7" t="s">
        <v>1167</v>
      </c>
      <c r="B171" s="7">
        <v>0</v>
      </c>
      <c r="C171" s="7">
        <v>105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0</v>
      </c>
      <c r="J171" s="7">
        <v>1</v>
      </c>
      <c r="K171" s="7">
        <v>108</v>
      </c>
      <c r="L171" s="7" t="b">
        <f t="shared" si="2"/>
        <v>1</v>
      </c>
    </row>
    <row r="172" spans="1:12" x14ac:dyDescent="0.25">
      <c r="A172" s="7" t="s">
        <v>1168</v>
      </c>
      <c r="B172" s="7">
        <v>0</v>
      </c>
      <c r="C172" s="7">
        <v>0</v>
      </c>
      <c r="D172" s="7">
        <v>1</v>
      </c>
      <c r="E172" s="7">
        <v>0</v>
      </c>
      <c r="F172" s="7">
        <v>0</v>
      </c>
      <c r="G172" s="7">
        <v>0</v>
      </c>
      <c r="H172" s="7">
        <v>0</v>
      </c>
      <c r="I172" s="7">
        <v>52</v>
      </c>
      <c r="J172" s="7">
        <v>0</v>
      </c>
      <c r="K172" s="7">
        <v>53</v>
      </c>
      <c r="L172" s="7" t="b">
        <f t="shared" si="2"/>
        <v>1</v>
      </c>
    </row>
    <row r="173" spans="1:12" x14ac:dyDescent="0.25">
      <c r="A173" s="7" t="s">
        <v>1169</v>
      </c>
      <c r="B173" s="7">
        <v>0</v>
      </c>
      <c r="C173" s="7">
        <v>30</v>
      </c>
      <c r="D173" s="7">
        <v>1</v>
      </c>
      <c r="E173" s="7">
        <v>0</v>
      </c>
      <c r="F173" s="7">
        <v>0</v>
      </c>
      <c r="G173" s="7">
        <v>8</v>
      </c>
      <c r="H173" s="7">
        <v>0</v>
      </c>
      <c r="I173" s="7">
        <v>12</v>
      </c>
      <c r="J173" s="7">
        <v>0</v>
      </c>
      <c r="K173" s="7">
        <v>51</v>
      </c>
      <c r="L173" s="7" t="b">
        <f t="shared" si="2"/>
        <v>1</v>
      </c>
    </row>
    <row r="174" spans="1:12" x14ac:dyDescent="0.25">
      <c r="A174" s="7" t="s">
        <v>1170</v>
      </c>
      <c r="B174" s="7">
        <v>0</v>
      </c>
      <c r="C174" s="7">
        <v>4</v>
      </c>
      <c r="D174" s="7">
        <v>1</v>
      </c>
      <c r="E174" s="7">
        <v>0</v>
      </c>
      <c r="F174" s="7">
        <v>0</v>
      </c>
      <c r="G174" s="7">
        <v>0</v>
      </c>
      <c r="H174" s="7">
        <v>0</v>
      </c>
      <c r="I174" s="7">
        <v>72</v>
      </c>
      <c r="J174" s="7">
        <v>0</v>
      </c>
      <c r="K174" s="7">
        <v>77</v>
      </c>
      <c r="L174" s="7" t="b">
        <f t="shared" si="2"/>
        <v>1</v>
      </c>
    </row>
    <row r="175" spans="1:12" x14ac:dyDescent="0.25">
      <c r="A175" s="7" t="s">
        <v>1171</v>
      </c>
      <c r="B175" s="7">
        <v>0</v>
      </c>
      <c r="C175" s="7">
        <v>87</v>
      </c>
      <c r="D175" s="7">
        <v>0</v>
      </c>
      <c r="E175" s="7">
        <v>0</v>
      </c>
      <c r="F175" s="7">
        <v>0</v>
      </c>
      <c r="G175" s="7">
        <v>5</v>
      </c>
      <c r="H175" s="7">
        <v>0</v>
      </c>
      <c r="I175" s="7">
        <v>27</v>
      </c>
      <c r="J175" s="7">
        <v>0</v>
      </c>
      <c r="K175" s="7">
        <v>119</v>
      </c>
      <c r="L175" s="7" t="b">
        <f t="shared" si="2"/>
        <v>1</v>
      </c>
    </row>
    <row r="176" spans="1:12" x14ac:dyDescent="0.25">
      <c r="A176" s="7" t="s">
        <v>1172</v>
      </c>
      <c r="B176" s="7">
        <v>0</v>
      </c>
      <c r="C176" s="7">
        <v>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150</v>
      </c>
      <c r="J176" s="7">
        <v>0</v>
      </c>
      <c r="K176" s="7">
        <v>150</v>
      </c>
      <c r="L176" s="7" t="b">
        <f t="shared" si="2"/>
        <v>1</v>
      </c>
    </row>
    <row r="177" spans="1:12" x14ac:dyDescent="0.25">
      <c r="A177" s="7" t="s">
        <v>1173</v>
      </c>
      <c r="B177" s="7">
        <v>0</v>
      </c>
      <c r="C177" s="7">
        <v>103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  <c r="L177" s="7" t="b">
        <f t="shared" si="2"/>
        <v>1</v>
      </c>
    </row>
    <row r="178" spans="1:12" x14ac:dyDescent="0.25">
      <c r="A178" s="7" t="s">
        <v>1174</v>
      </c>
      <c r="B178" s="7">
        <v>0</v>
      </c>
      <c r="C178" s="7">
        <v>47</v>
      </c>
      <c r="D178" s="7">
        <v>0</v>
      </c>
      <c r="E178" s="7">
        <v>0</v>
      </c>
      <c r="F178" s="7">
        <v>0</v>
      </c>
      <c r="G178" s="7">
        <v>4</v>
      </c>
      <c r="H178" s="7">
        <v>0</v>
      </c>
      <c r="I178" s="7">
        <v>52</v>
      </c>
      <c r="J178" s="7">
        <v>0</v>
      </c>
      <c r="K178" s="7">
        <v>103</v>
      </c>
      <c r="L178" s="7" t="b">
        <f t="shared" si="2"/>
        <v>1</v>
      </c>
    </row>
    <row r="179" spans="1:12" x14ac:dyDescent="0.25">
      <c r="A179" s="7" t="s">
        <v>1175</v>
      </c>
      <c r="B179" s="7">
        <v>0</v>
      </c>
      <c r="C179" s="7">
        <v>50</v>
      </c>
      <c r="D179" s="7">
        <v>0</v>
      </c>
      <c r="E179" s="7">
        <v>0</v>
      </c>
      <c r="F179" s="7">
        <v>0</v>
      </c>
      <c r="G179" s="7">
        <v>2</v>
      </c>
      <c r="H179" s="7">
        <v>0</v>
      </c>
      <c r="I179" s="7">
        <v>20</v>
      </c>
      <c r="J179" s="7">
        <v>0</v>
      </c>
      <c r="K179" s="7">
        <v>72</v>
      </c>
      <c r="L179" s="7" t="b">
        <f t="shared" si="2"/>
        <v>1</v>
      </c>
    </row>
    <row r="180" spans="1:12" x14ac:dyDescent="0.25">
      <c r="A180" s="7" t="s">
        <v>1176</v>
      </c>
      <c r="B180" s="7">
        <v>0</v>
      </c>
      <c r="C180" s="7">
        <v>67</v>
      </c>
      <c r="D180" s="7">
        <v>0</v>
      </c>
      <c r="E180" s="7">
        <v>0</v>
      </c>
      <c r="F180" s="7">
        <v>0</v>
      </c>
      <c r="G180" s="7">
        <v>4</v>
      </c>
      <c r="H180" s="7">
        <v>0</v>
      </c>
      <c r="I180" s="7">
        <v>0</v>
      </c>
      <c r="J180" s="7">
        <v>0</v>
      </c>
      <c r="K180" s="7">
        <v>71</v>
      </c>
      <c r="L180" s="7" t="b">
        <f t="shared" si="2"/>
        <v>1</v>
      </c>
    </row>
    <row r="181" spans="1:12" x14ac:dyDescent="0.25">
      <c r="A181" s="7" t="s">
        <v>1177</v>
      </c>
      <c r="B181" s="7">
        <v>0</v>
      </c>
      <c r="C181" s="7">
        <v>238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1</v>
      </c>
      <c r="K181" s="7">
        <v>239</v>
      </c>
      <c r="L181" s="7" t="b">
        <f t="shared" si="2"/>
        <v>1</v>
      </c>
    </row>
    <row r="182" spans="1:12" x14ac:dyDescent="0.25">
      <c r="A182" s="7" t="s">
        <v>1178</v>
      </c>
      <c r="B182" s="7">
        <v>0</v>
      </c>
      <c r="C182" s="7">
        <v>97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0</v>
      </c>
      <c r="J182" s="7">
        <v>1</v>
      </c>
      <c r="K182" s="7">
        <v>107</v>
      </c>
      <c r="L182" s="7" t="b">
        <f t="shared" si="2"/>
        <v>1</v>
      </c>
    </row>
    <row r="183" spans="1:12" x14ac:dyDescent="0.25">
      <c r="A183" s="7" t="s">
        <v>1179</v>
      </c>
      <c r="B183" s="7">
        <v>0</v>
      </c>
      <c r="C183" s="7">
        <v>177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0</v>
      </c>
      <c r="J183" s="7">
        <v>0</v>
      </c>
      <c r="K183" s="7">
        <v>178</v>
      </c>
      <c r="L183" s="7" t="b">
        <f t="shared" si="2"/>
        <v>1</v>
      </c>
    </row>
    <row r="184" spans="1:12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  <c r="L184" s="7" t="b">
        <f t="shared" si="2"/>
        <v>1</v>
      </c>
    </row>
    <row r="185" spans="1:12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  <c r="L185" s="7" t="b">
        <f t="shared" si="2"/>
        <v>1</v>
      </c>
    </row>
    <row r="186" spans="1:12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  <c r="L186" s="7" t="b">
        <f t="shared" si="2"/>
        <v>1</v>
      </c>
    </row>
    <row r="187" spans="1:12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  <c r="L187" s="7" t="b">
        <f t="shared" si="2"/>
        <v>1</v>
      </c>
    </row>
    <row r="188" spans="1:12" x14ac:dyDescent="0.25">
      <c r="A188" s="7" t="s">
        <v>1184</v>
      </c>
      <c r="B188" s="7">
        <v>0</v>
      </c>
      <c r="C188" s="7">
        <v>80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47</v>
      </c>
      <c r="J188" s="7">
        <v>0</v>
      </c>
      <c r="K188" s="7">
        <v>129</v>
      </c>
      <c r="L188" s="7" t="b">
        <f t="shared" si="2"/>
        <v>1</v>
      </c>
    </row>
    <row r="189" spans="1:12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61</v>
      </c>
      <c r="J189" s="7">
        <v>0</v>
      </c>
      <c r="K189" s="7">
        <v>103</v>
      </c>
      <c r="L189" s="7" t="b">
        <f t="shared" si="2"/>
        <v>1</v>
      </c>
    </row>
    <row r="190" spans="1:12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22</v>
      </c>
      <c r="J190" s="7">
        <v>0</v>
      </c>
      <c r="K190" s="7">
        <v>51</v>
      </c>
      <c r="L190" s="7" t="b">
        <f t="shared" si="2"/>
        <v>1</v>
      </c>
    </row>
    <row r="191" spans="1:12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41</v>
      </c>
      <c r="J191" s="7">
        <v>0</v>
      </c>
      <c r="K191" s="7">
        <v>65</v>
      </c>
      <c r="L191" s="7" t="b">
        <f t="shared" si="2"/>
        <v>1</v>
      </c>
    </row>
    <row r="192" spans="1:12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  <c r="L192" s="7" t="b">
        <f t="shared" si="2"/>
        <v>1</v>
      </c>
    </row>
    <row r="193" spans="1:12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28</v>
      </c>
      <c r="J193" s="7">
        <v>0</v>
      </c>
      <c r="K193" s="7">
        <v>65</v>
      </c>
      <c r="L193" s="7" t="b">
        <f t="shared" si="2"/>
        <v>1</v>
      </c>
    </row>
    <row r="194" spans="1:12" x14ac:dyDescent="0.25">
      <c r="A194" s="7" t="s">
        <v>1190</v>
      </c>
      <c r="B194" s="7">
        <v>0</v>
      </c>
      <c r="C194" s="7">
        <v>80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80</v>
      </c>
      <c r="L194" s="7" t="b">
        <f t="shared" si="2"/>
        <v>1</v>
      </c>
    </row>
    <row r="195" spans="1:12" x14ac:dyDescent="0.25">
      <c r="A195" s="7" t="s">
        <v>1191</v>
      </c>
      <c r="B195" s="7">
        <v>0</v>
      </c>
      <c r="C195" s="7">
        <v>102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103</v>
      </c>
      <c r="L195" s="7" t="b">
        <f t="shared" ref="L195:L258" si="3">K195=SUM(B195:J195)</f>
        <v>1</v>
      </c>
    </row>
    <row r="196" spans="1:12" x14ac:dyDescent="0.25">
      <c r="A196" s="7" t="s">
        <v>1192</v>
      </c>
      <c r="B196" s="7">
        <v>0</v>
      </c>
      <c r="C196" s="7">
        <v>170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0</v>
      </c>
      <c r="J196" s="7">
        <v>0</v>
      </c>
      <c r="K196" s="7">
        <v>172</v>
      </c>
      <c r="L196" s="7" t="b">
        <f t="shared" si="3"/>
        <v>1</v>
      </c>
    </row>
    <row r="197" spans="1:12" x14ac:dyDescent="0.25">
      <c r="A197" s="7" t="s">
        <v>1193</v>
      </c>
      <c r="B197" s="7">
        <v>0</v>
      </c>
      <c r="C197" s="7">
        <v>138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0</v>
      </c>
      <c r="K197" s="7">
        <v>139</v>
      </c>
      <c r="L197" s="7" t="b">
        <f t="shared" si="3"/>
        <v>1</v>
      </c>
    </row>
    <row r="198" spans="1:12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62</v>
      </c>
      <c r="J198" s="7">
        <v>0</v>
      </c>
      <c r="K198" s="7">
        <v>95</v>
      </c>
      <c r="L198" s="7" t="b">
        <f t="shared" si="3"/>
        <v>1</v>
      </c>
    </row>
    <row r="199" spans="1:12" x14ac:dyDescent="0.25">
      <c r="A199" s="7" t="s">
        <v>1195</v>
      </c>
      <c r="B199" s="7">
        <v>0</v>
      </c>
      <c r="C199" s="7">
        <v>62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43</v>
      </c>
      <c r="J199" s="7">
        <v>0</v>
      </c>
      <c r="K199" s="7">
        <v>106</v>
      </c>
      <c r="L199" s="7" t="b">
        <f t="shared" si="3"/>
        <v>1</v>
      </c>
    </row>
    <row r="200" spans="1:12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  <c r="L200" s="7" t="b">
        <f t="shared" si="3"/>
        <v>1</v>
      </c>
    </row>
    <row r="201" spans="1:12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  <c r="L201" s="7" t="b">
        <f t="shared" si="3"/>
        <v>1</v>
      </c>
    </row>
    <row r="202" spans="1:12" x14ac:dyDescent="0.25">
      <c r="A202" s="7" t="s">
        <v>1198</v>
      </c>
      <c r="B202" s="7">
        <v>0</v>
      </c>
      <c r="C202" s="7">
        <v>105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0</v>
      </c>
      <c r="J202" s="7">
        <v>0</v>
      </c>
      <c r="K202" s="7">
        <v>107</v>
      </c>
      <c r="L202" s="7" t="b">
        <f t="shared" si="3"/>
        <v>1</v>
      </c>
    </row>
    <row r="203" spans="1:12" x14ac:dyDescent="0.25">
      <c r="A203" s="7" t="s">
        <v>1199</v>
      </c>
      <c r="B203" s="7">
        <v>0</v>
      </c>
      <c r="C203" s="7">
        <v>110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0</v>
      </c>
      <c r="J203" s="7">
        <v>0</v>
      </c>
      <c r="K203" s="7">
        <v>111</v>
      </c>
      <c r="L203" s="7" t="b">
        <f t="shared" si="3"/>
        <v>1</v>
      </c>
    </row>
    <row r="204" spans="1:12" x14ac:dyDescent="0.25">
      <c r="A204" s="7" t="s">
        <v>1200</v>
      </c>
      <c r="B204" s="7">
        <v>0</v>
      </c>
      <c r="C204" s="7">
        <v>80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0</v>
      </c>
      <c r="J204" s="7">
        <v>0</v>
      </c>
      <c r="K204" s="7">
        <v>81</v>
      </c>
      <c r="L204" s="7" t="b">
        <f t="shared" si="3"/>
        <v>1</v>
      </c>
    </row>
    <row r="205" spans="1:12" x14ac:dyDescent="0.25">
      <c r="A205" s="7" t="s">
        <v>1201</v>
      </c>
      <c r="B205" s="7">
        <v>0</v>
      </c>
      <c r="C205" s="7">
        <v>165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167</v>
      </c>
      <c r="L205" s="7" t="b">
        <f t="shared" si="3"/>
        <v>1</v>
      </c>
    </row>
    <row r="206" spans="1:12" x14ac:dyDescent="0.25">
      <c r="A206" s="7" t="s">
        <v>1202</v>
      </c>
      <c r="B206" s="7">
        <v>0</v>
      </c>
      <c r="C206" s="7">
        <v>120</v>
      </c>
      <c r="D206" s="7">
        <v>12</v>
      </c>
      <c r="E206" s="7">
        <v>0</v>
      </c>
      <c r="F206" s="7">
        <v>2</v>
      </c>
      <c r="G206" s="7">
        <v>6</v>
      </c>
      <c r="H206" s="7">
        <v>0</v>
      </c>
      <c r="I206" s="7">
        <v>14</v>
      </c>
      <c r="J206" s="7">
        <v>2</v>
      </c>
      <c r="K206" s="7">
        <v>156</v>
      </c>
      <c r="L206" s="7" t="b">
        <f t="shared" si="3"/>
        <v>1</v>
      </c>
    </row>
    <row r="207" spans="1:12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0</v>
      </c>
      <c r="G207" s="7">
        <v>3</v>
      </c>
      <c r="H207" s="7">
        <v>0</v>
      </c>
      <c r="I207" s="7">
        <v>3</v>
      </c>
      <c r="J207" s="7">
        <v>1</v>
      </c>
      <c r="K207" s="7">
        <v>98</v>
      </c>
      <c r="L207" s="7" t="b">
        <f t="shared" si="3"/>
        <v>1</v>
      </c>
    </row>
    <row r="208" spans="1:12" x14ac:dyDescent="0.25">
      <c r="A208" s="7" t="s">
        <v>1204</v>
      </c>
      <c r="B208" s="7">
        <v>0</v>
      </c>
      <c r="C208" s="7">
        <v>93</v>
      </c>
      <c r="D208" s="7">
        <v>18</v>
      </c>
      <c r="E208" s="7">
        <v>0</v>
      </c>
      <c r="F208" s="7">
        <v>0</v>
      </c>
      <c r="G208" s="7">
        <v>0</v>
      </c>
      <c r="H208" s="7">
        <v>0</v>
      </c>
      <c r="I208" s="7">
        <v>13</v>
      </c>
      <c r="J208" s="7">
        <v>2</v>
      </c>
      <c r="K208" s="7">
        <v>126</v>
      </c>
      <c r="L208" s="7" t="b">
        <f t="shared" si="3"/>
        <v>1</v>
      </c>
    </row>
    <row r="209" spans="1:12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0</v>
      </c>
      <c r="F209" s="7">
        <v>0</v>
      </c>
      <c r="G209" s="7">
        <v>0</v>
      </c>
      <c r="H209" s="7">
        <v>0</v>
      </c>
      <c r="I209" s="7">
        <v>22</v>
      </c>
      <c r="J209" s="7">
        <v>0</v>
      </c>
      <c r="K209" s="7">
        <v>82</v>
      </c>
      <c r="L209" s="7" t="b">
        <f t="shared" si="3"/>
        <v>1</v>
      </c>
    </row>
    <row r="210" spans="1:12" x14ac:dyDescent="0.25">
      <c r="A210" s="7" t="s">
        <v>1206</v>
      </c>
      <c r="B210" s="7">
        <v>0</v>
      </c>
      <c r="C210" s="7">
        <v>62</v>
      </c>
      <c r="D210" s="7">
        <v>5</v>
      </c>
      <c r="E210" s="7">
        <v>0</v>
      </c>
      <c r="F210" s="7">
        <v>3</v>
      </c>
      <c r="G210" s="7">
        <v>0</v>
      </c>
      <c r="H210" s="7">
        <v>0</v>
      </c>
      <c r="I210" s="7">
        <v>1</v>
      </c>
      <c r="J210" s="7">
        <v>0</v>
      </c>
      <c r="K210" s="7">
        <v>71</v>
      </c>
      <c r="L210" s="7" t="b">
        <f t="shared" si="3"/>
        <v>1</v>
      </c>
    </row>
    <row r="211" spans="1:12" x14ac:dyDescent="0.25">
      <c r="A211" s="7" t="s">
        <v>1207</v>
      </c>
      <c r="B211" s="7">
        <v>0</v>
      </c>
      <c r="C211" s="7">
        <v>76</v>
      </c>
      <c r="D211" s="7">
        <v>22</v>
      </c>
      <c r="E211" s="7">
        <v>0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  <c r="L211" s="7" t="b">
        <f t="shared" si="3"/>
        <v>1</v>
      </c>
    </row>
    <row r="212" spans="1:12" x14ac:dyDescent="0.25">
      <c r="A212" s="7" t="s">
        <v>1208</v>
      </c>
      <c r="B212" s="7">
        <v>0</v>
      </c>
      <c r="C212" s="7">
        <v>192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199</v>
      </c>
      <c r="L212" s="7" t="b">
        <f t="shared" si="3"/>
        <v>1</v>
      </c>
    </row>
    <row r="213" spans="1:12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  <c r="L213" s="7" t="b">
        <f t="shared" si="3"/>
        <v>1</v>
      </c>
    </row>
    <row r="214" spans="1:12" x14ac:dyDescent="0.25">
      <c r="A214" s="7" t="s">
        <v>1210</v>
      </c>
      <c r="B214" s="7">
        <v>0</v>
      </c>
      <c r="C214" s="7">
        <v>121</v>
      </c>
      <c r="D214" s="7">
        <v>1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123</v>
      </c>
      <c r="L214" s="7" t="b">
        <f t="shared" si="3"/>
        <v>1</v>
      </c>
    </row>
    <row r="215" spans="1:12" x14ac:dyDescent="0.25">
      <c r="A215" s="7" t="s">
        <v>1211</v>
      </c>
      <c r="B215" s="7">
        <v>0</v>
      </c>
      <c r="C215" s="7">
        <v>196</v>
      </c>
      <c r="D215" s="7">
        <v>35</v>
      </c>
      <c r="E215" s="7">
        <v>0</v>
      </c>
      <c r="F215" s="7">
        <v>0</v>
      </c>
      <c r="G215" s="7">
        <v>0</v>
      </c>
      <c r="H215" s="7">
        <v>0</v>
      </c>
      <c r="I215" s="7">
        <v>1</v>
      </c>
      <c r="J215" s="7">
        <v>3</v>
      </c>
      <c r="K215" s="7">
        <v>235</v>
      </c>
      <c r="L215" s="7" t="b">
        <f t="shared" si="3"/>
        <v>1</v>
      </c>
    </row>
    <row r="216" spans="1:12" x14ac:dyDescent="0.25">
      <c r="A216" s="7" t="s">
        <v>1212</v>
      </c>
      <c r="B216" s="7">
        <v>0</v>
      </c>
      <c r="C216" s="7">
        <v>105</v>
      </c>
      <c r="D216" s="7">
        <v>7</v>
      </c>
      <c r="E216" s="7">
        <v>0</v>
      </c>
      <c r="F216" s="7">
        <v>0</v>
      </c>
      <c r="G216" s="7">
        <v>0</v>
      </c>
      <c r="H216" s="7">
        <v>0</v>
      </c>
      <c r="I216" s="7">
        <v>7</v>
      </c>
      <c r="J216" s="7">
        <v>0</v>
      </c>
      <c r="K216" s="7">
        <v>119</v>
      </c>
      <c r="L216" s="7" t="b">
        <f t="shared" si="3"/>
        <v>1</v>
      </c>
    </row>
    <row r="217" spans="1:12" x14ac:dyDescent="0.25">
      <c r="A217" s="7" t="s">
        <v>1213</v>
      </c>
      <c r="B217" s="7">
        <v>0</v>
      </c>
      <c r="C217" s="7">
        <v>93</v>
      </c>
      <c r="D217" s="7">
        <v>3</v>
      </c>
      <c r="E217" s="7">
        <v>0</v>
      </c>
      <c r="F217" s="7">
        <v>0</v>
      </c>
      <c r="G217" s="7">
        <v>0</v>
      </c>
      <c r="H217" s="7">
        <v>0</v>
      </c>
      <c r="I217" s="7">
        <v>1</v>
      </c>
      <c r="J217" s="7">
        <v>3</v>
      </c>
      <c r="K217" s="7">
        <v>100</v>
      </c>
      <c r="L217" s="7" t="b">
        <f t="shared" si="3"/>
        <v>1</v>
      </c>
    </row>
    <row r="218" spans="1:12" x14ac:dyDescent="0.25">
      <c r="A218" s="7" t="s">
        <v>1214</v>
      </c>
      <c r="B218" s="7">
        <v>0</v>
      </c>
      <c r="C218" s="7">
        <v>104</v>
      </c>
      <c r="D218" s="7">
        <v>6</v>
      </c>
      <c r="E218" s="7">
        <v>0</v>
      </c>
      <c r="F218" s="7">
        <v>0</v>
      </c>
      <c r="G218" s="7">
        <v>0</v>
      </c>
      <c r="H218" s="7">
        <v>0</v>
      </c>
      <c r="I218" s="7">
        <v>4</v>
      </c>
      <c r="J218" s="7">
        <v>0</v>
      </c>
      <c r="K218" s="7">
        <v>114</v>
      </c>
      <c r="L218" s="7" t="b">
        <f t="shared" si="3"/>
        <v>1</v>
      </c>
    </row>
    <row r="219" spans="1:12" x14ac:dyDescent="0.25">
      <c r="A219" s="7" t="s">
        <v>1215</v>
      </c>
      <c r="B219" s="7">
        <v>0</v>
      </c>
      <c r="C219" s="7">
        <v>92</v>
      </c>
      <c r="D219" s="7">
        <v>4</v>
      </c>
      <c r="E219" s="7">
        <v>0</v>
      </c>
      <c r="F219" s="7">
        <v>0</v>
      </c>
      <c r="G219" s="7">
        <v>9</v>
      </c>
      <c r="H219" s="7">
        <v>0</v>
      </c>
      <c r="I219" s="7">
        <v>2</v>
      </c>
      <c r="J219" s="7">
        <v>2</v>
      </c>
      <c r="K219" s="7">
        <v>109</v>
      </c>
      <c r="L219" s="7" t="b">
        <f t="shared" si="3"/>
        <v>1</v>
      </c>
    </row>
    <row r="220" spans="1:12" x14ac:dyDescent="0.25">
      <c r="A220" s="7" t="s">
        <v>1216</v>
      </c>
      <c r="B220" s="7">
        <v>0</v>
      </c>
      <c r="C220" s="7">
        <v>182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1</v>
      </c>
      <c r="J220" s="7">
        <v>0</v>
      </c>
      <c r="K220" s="7">
        <v>192</v>
      </c>
      <c r="L220" s="7" t="b">
        <f t="shared" si="3"/>
        <v>1</v>
      </c>
    </row>
    <row r="221" spans="1:12" x14ac:dyDescent="0.25">
      <c r="A221" s="7" t="s">
        <v>1217</v>
      </c>
      <c r="B221" s="7">
        <v>0</v>
      </c>
      <c r="C221" s="7">
        <v>102</v>
      </c>
      <c r="D221" s="7">
        <v>8</v>
      </c>
      <c r="E221" s="7">
        <v>0</v>
      </c>
      <c r="F221" s="7">
        <v>0</v>
      </c>
      <c r="G221" s="7">
        <v>1</v>
      </c>
      <c r="H221" s="7">
        <v>0</v>
      </c>
      <c r="I221" s="7">
        <v>5</v>
      </c>
      <c r="J221" s="7">
        <v>0</v>
      </c>
      <c r="K221" s="7">
        <v>116</v>
      </c>
      <c r="L221" s="7" t="b">
        <f t="shared" si="3"/>
        <v>1</v>
      </c>
    </row>
    <row r="222" spans="1:12" x14ac:dyDescent="0.25">
      <c r="A222" s="7" t="s">
        <v>1218</v>
      </c>
      <c r="B222" s="7">
        <v>0</v>
      </c>
      <c r="C222" s="7">
        <v>51</v>
      </c>
      <c r="D222" s="7">
        <v>2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</v>
      </c>
      <c r="K222" s="7">
        <v>55</v>
      </c>
      <c r="L222" s="7" t="b">
        <f t="shared" si="3"/>
        <v>1</v>
      </c>
    </row>
    <row r="223" spans="1:12" x14ac:dyDescent="0.25">
      <c r="A223" s="7" t="s">
        <v>1219</v>
      </c>
      <c r="B223" s="7">
        <v>0</v>
      </c>
      <c r="C223" s="7">
        <v>185</v>
      </c>
      <c r="D223" s="7">
        <v>0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0</v>
      </c>
      <c r="K223" s="7">
        <v>190</v>
      </c>
      <c r="L223" s="7" t="b">
        <f t="shared" si="3"/>
        <v>1</v>
      </c>
    </row>
    <row r="224" spans="1:12" x14ac:dyDescent="0.25">
      <c r="A224" s="7" t="s">
        <v>1220</v>
      </c>
      <c r="B224" s="7">
        <v>0</v>
      </c>
      <c r="C224" s="7">
        <v>67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0</v>
      </c>
      <c r="K224" s="7">
        <v>67</v>
      </c>
      <c r="L224" s="7" t="b">
        <f t="shared" si="3"/>
        <v>1</v>
      </c>
    </row>
    <row r="225" spans="1:12" x14ac:dyDescent="0.25">
      <c r="A225" s="7" t="s">
        <v>1221</v>
      </c>
      <c r="B225" s="7">
        <v>0</v>
      </c>
      <c r="C225" s="7">
        <v>75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1</v>
      </c>
      <c r="K225" s="7">
        <v>76</v>
      </c>
      <c r="L225" s="7" t="b">
        <f t="shared" si="3"/>
        <v>1</v>
      </c>
    </row>
    <row r="226" spans="1:12" x14ac:dyDescent="0.25">
      <c r="A226" s="7" t="s">
        <v>1222</v>
      </c>
      <c r="B226" s="7">
        <v>0</v>
      </c>
      <c r="C226" s="7">
        <v>122</v>
      </c>
      <c r="D226" s="7">
        <v>2</v>
      </c>
      <c r="E226" s="7">
        <v>0</v>
      </c>
      <c r="F226" s="7">
        <v>0</v>
      </c>
      <c r="G226" s="7">
        <v>1</v>
      </c>
      <c r="H226" s="7">
        <v>0</v>
      </c>
      <c r="I226" s="7">
        <v>10</v>
      </c>
      <c r="J226" s="7">
        <v>0</v>
      </c>
      <c r="K226" s="7">
        <v>135</v>
      </c>
      <c r="L226" s="7" t="b">
        <f t="shared" si="3"/>
        <v>1</v>
      </c>
    </row>
    <row r="227" spans="1:12" x14ac:dyDescent="0.25">
      <c r="A227" s="7" t="s">
        <v>1223</v>
      </c>
      <c r="B227" s="7">
        <v>0</v>
      </c>
      <c r="C227" s="7">
        <v>84</v>
      </c>
      <c r="D227" s="7">
        <v>0</v>
      </c>
      <c r="E227" s="7">
        <v>0</v>
      </c>
      <c r="F227" s="7">
        <v>0</v>
      </c>
      <c r="G227" s="7">
        <v>1</v>
      </c>
      <c r="H227" s="7">
        <v>0</v>
      </c>
      <c r="I227" s="7">
        <v>5</v>
      </c>
      <c r="J227" s="7">
        <v>0</v>
      </c>
      <c r="K227" s="7">
        <v>90</v>
      </c>
      <c r="L227" s="7" t="b">
        <f t="shared" si="3"/>
        <v>1</v>
      </c>
    </row>
    <row r="228" spans="1:12" x14ac:dyDescent="0.25">
      <c r="A228" s="7" t="s">
        <v>1224</v>
      </c>
      <c r="B228" s="7">
        <v>0</v>
      </c>
      <c r="C228" s="7">
        <v>115</v>
      </c>
      <c r="D228" s="7">
        <v>3</v>
      </c>
      <c r="E228" s="7">
        <v>0</v>
      </c>
      <c r="F228" s="7">
        <v>0</v>
      </c>
      <c r="G228" s="7">
        <v>1</v>
      </c>
      <c r="H228" s="7">
        <v>0</v>
      </c>
      <c r="I228" s="7">
        <v>8</v>
      </c>
      <c r="J228" s="7">
        <v>0</v>
      </c>
      <c r="K228" s="7">
        <v>127</v>
      </c>
      <c r="L228" s="7" t="b">
        <f t="shared" si="3"/>
        <v>1</v>
      </c>
    </row>
    <row r="229" spans="1:12" x14ac:dyDescent="0.25">
      <c r="A229" s="7" t="s">
        <v>1225</v>
      </c>
      <c r="B229" s="7">
        <v>0</v>
      </c>
      <c r="C229" s="7">
        <v>117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0</v>
      </c>
      <c r="K229" s="7">
        <v>117</v>
      </c>
      <c r="L229" s="7" t="b">
        <f t="shared" si="3"/>
        <v>1</v>
      </c>
    </row>
    <row r="230" spans="1:12" x14ac:dyDescent="0.25">
      <c r="A230" s="7" t="s">
        <v>1226</v>
      </c>
      <c r="B230" s="7">
        <v>5</v>
      </c>
      <c r="C230" s="7">
        <v>134</v>
      </c>
      <c r="D230" s="7">
        <v>1</v>
      </c>
      <c r="E230" s="7">
        <v>0</v>
      </c>
      <c r="F230" s="7">
        <v>0</v>
      </c>
      <c r="G230" s="7">
        <v>3</v>
      </c>
      <c r="H230" s="7">
        <v>0</v>
      </c>
      <c r="I230" s="7">
        <v>0</v>
      </c>
      <c r="J230" s="7">
        <v>0</v>
      </c>
      <c r="K230" s="7">
        <v>143</v>
      </c>
      <c r="L230" s="7" t="b">
        <f t="shared" si="3"/>
        <v>1</v>
      </c>
    </row>
    <row r="231" spans="1:12" x14ac:dyDescent="0.25">
      <c r="A231" s="7" t="s">
        <v>1227</v>
      </c>
      <c r="B231" s="7">
        <v>0</v>
      </c>
      <c r="C231" s="7">
        <v>102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51</v>
      </c>
      <c r="J231" s="7">
        <v>23</v>
      </c>
      <c r="K231" s="7">
        <v>176</v>
      </c>
      <c r="L231" s="7" t="b">
        <f t="shared" si="3"/>
        <v>1</v>
      </c>
    </row>
    <row r="232" spans="1:12" x14ac:dyDescent="0.25">
      <c r="A232" s="7" t="s">
        <v>1228</v>
      </c>
      <c r="B232" s="7">
        <v>0</v>
      </c>
      <c r="C232" s="7">
        <v>80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66</v>
      </c>
      <c r="J232" s="7">
        <v>0</v>
      </c>
      <c r="K232" s="7">
        <v>146</v>
      </c>
      <c r="L232" s="7" t="b">
        <f t="shared" si="3"/>
        <v>1</v>
      </c>
    </row>
    <row r="233" spans="1:12" x14ac:dyDescent="0.25">
      <c r="A233" s="7" t="s">
        <v>1229</v>
      </c>
      <c r="B233" s="7">
        <v>0</v>
      </c>
      <c r="C233" s="7">
        <v>118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87</v>
      </c>
      <c r="J233" s="7">
        <v>0</v>
      </c>
      <c r="K233" s="7">
        <v>205</v>
      </c>
      <c r="L233" s="7" t="b">
        <f t="shared" si="3"/>
        <v>1</v>
      </c>
    </row>
    <row r="234" spans="1:12" x14ac:dyDescent="0.25">
      <c r="A234" s="7" t="s">
        <v>1230</v>
      </c>
      <c r="B234" s="7">
        <v>0</v>
      </c>
      <c r="C234" s="7">
        <v>188</v>
      </c>
      <c r="D234" s="7">
        <v>5</v>
      </c>
      <c r="E234" s="7">
        <v>0</v>
      </c>
      <c r="F234" s="7">
        <v>0</v>
      </c>
      <c r="G234" s="7">
        <v>0</v>
      </c>
      <c r="H234" s="7">
        <v>0</v>
      </c>
      <c r="I234" s="7">
        <v>30</v>
      </c>
      <c r="J234" s="7">
        <v>0</v>
      </c>
      <c r="K234" s="7">
        <v>223</v>
      </c>
      <c r="L234" s="7" t="b">
        <f t="shared" si="3"/>
        <v>1</v>
      </c>
    </row>
    <row r="235" spans="1:12" x14ac:dyDescent="0.25">
      <c r="A235" s="7" t="s">
        <v>1231</v>
      </c>
      <c r="B235" s="7">
        <v>0</v>
      </c>
      <c r="C235" s="7">
        <v>143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42</v>
      </c>
      <c r="J235" s="7">
        <v>0</v>
      </c>
      <c r="K235" s="7">
        <v>186</v>
      </c>
      <c r="L235" s="7" t="b">
        <f t="shared" si="3"/>
        <v>1</v>
      </c>
    </row>
    <row r="236" spans="1:12" x14ac:dyDescent="0.25">
      <c r="A236" s="7" t="s">
        <v>1232</v>
      </c>
      <c r="B236" s="7">
        <v>0</v>
      </c>
      <c r="C236" s="7">
        <v>58</v>
      </c>
      <c r="D236" s="7">
        <v>37</v>
      </c>
      <c r="E236" s="7">
        <v>0</v>
      </c>
      <c r="F236" s="7">
        <v>0</v>
      </c>
      <c r="G236" s="7">
        <v>0</v>
      </c>
      <c r="H236" s="7">
        <v>0</v>
      </c>
      <c r="I236" s="7">
        <v>130</v>
      </c>
      <c r="J236" s="7">
        <v>2</v>
      </c>
      <c r="K236" s="7">
        <v>227</v>
      </c>
      <c r="L236" s="7" t="b">
        <f t="shared" si="3"/>
        <v>1</v>
      </c>
    </row>
    <row r="237" spans="1:12" x14ac:dyDescent="0.25">
      <c r="A237" s="7" t="s">
        <v>1233</v>
      </c>
      <c r="B237" s="7">
        <v>0</v>
      </c>
      <c r="C237" s="7">
        <v>122</v>
      </c>
      <c r="D237" s="7">
        <v>12</v>
      </c>
      <c r="E237" s="7">
        <v>0</v>
      </c>
      <c r="F237" s="7">
        <v>0</v>
      </c>
      <c r="G237" s="7">
        <v>0</v>
      </c>
      <c r="H237" s="7">
        <v>0</v>
      </c>
      <c r="I237" s="7">
        <v>123</v>
      </c>
      <c r="J237" s="7">
        <v>0</v>
      </c>
      <c r="K237" s="7">
        <v>257</v>
      </c>
      <c r="L237" s="7" t="b">
        <f t="shared" si="3"/>
        <v>1</v>
      </c>
    </row>
    <row r="238" spans="1:12" x14ac:dyDescent="0.25">
      <c r="A238" s="7" t="s">
        <v>1234</v>
      </c>
      <c r="B238" s="7">
        <v>0</v>
      </c>
      <c r="C238" s="7">
        <v>133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61</v>
      </c>
      <c r="J238" s="7">
        <v>1</v>
      </c>
      <c r="K238" s="7">
        <v>195</v>
      </c>
      <c r="L238" s="7" t="b">
        <f t="shared" si="3"/>
        <v>1</v>
      </c>
    </row>
    <row r="239" spans="1:12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  <c r="L239" s="7" t="b">
        <f t="shared" si="3"/>
        <v>1</v>
      </c>
    </row>
    <row r="240" spans="1:12" x14ac:dyDescent="0.25">
      <c r="A240" s="7" t="s">
        <v>1236</v>
      </c>
      <c r="B240" s="7">
        <v>0</v>
      </c>
      <c r="C240" s="7">
        <v>154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4</v>
      </c>
      <c r="K240" s="7">
        <v>161</v>
      </c>
      <c r="L240" s="7" t="b">
        <f t="shared" si="3"/>
        <v>1</v>
      </c>
    </row>
    <row r="241" spans="1:12" x14ac:dyDescent="0.25">
      <c r="A241" s="7" t="s">
        <v>1237</v>
      </c>
      <c r="B241" s="7">
        <v>0</v>
      </c>
      <c r="C241" s="7">
        <v>42</v>
      </c>
      <c r="D241" s="7">
        <v>16</v>
      </c>
      <c r="E241" s="7">
        <v>0</v>
      </c>
      <c r="F241" s="7">
        <v>0</v>
      </c>
      <c r="G241" s="7">
        <v>0</v>
      </c>
      <c r="H241" s="7">
        <v>0</v>
      </c>
      <c r="I241" s="7">
        <v>87</v>
      </c>
      <c r="J241" s="7">
        <v>0</v>
      </c>
      <c r="K241" s="7">
        <v>145</v>
      </c>
      <c r="L241" s="7" t="b">
        <f t="shared" si="3"/>
        <v>1</v>
      </c>
    </row>
    <row r="242" spans="1:12" x14ac:dyDescent="0.25">
      <c r="A242" s="7" t="s">
        <v>1238</v>
      </c>
      <c r="B242" s="7">
        <v>0</v>
      </c>
      <c r="C242" s="7">
        <v>0</v>
      </c>
      <c r="D242" s="7">
        <v>47</v>
      </c>
      <c r="E242" s="7">
        <v>0</v>
      </c>
      <c r="F242" s="7">
        <v>0</v>
      </c>
      <c r="G242" s="7">
        <v>0</v>
      </c>
      <c r="H242" s="7">
        <v>0</v>
      </c>
      <c r="I242" s="7">
        <v>52</v>
      </c>
      <c r="J242" s="7">
        <v>0</v>
      </c>
      <c r="K242" s="7">
        <v>99</v>
      </c>
      <c r="L242" s="7" t="b">
        <f t="shared" si="3"/>
        <v>1</v>
      </c>
    </row>
    <row r="243" spans="1:12" x14ac:dyDescent="0.25">
      <c r="A243" s="7" t="s">
        <v>1239</v>
      </c>
      <c r="B243" s="7">
        <v>0</v>
      </c>
      <c r="C243" s="7">
        <v>195</v>
      </c>
      <c r="D243" s="7">
        <v>0</v>
      </c>
      <c r="E243" s="7">
        <v>0</v>
      </c>
      <c r="F243" s="7">
        <v>0</v>
      </c>
      <c r="G243" s="7">
        <v>1</v>
      </c>
      <c r="H243" s="7">
        <v>0</v>
      </c>
      <c r="I243" s="7">
        <v>63</v>
      </c>
      <c r="J243" s="7">
        <v>18</v>
      </c>
      <c r="K243" s="7">
        <v>277</v>
      </c>
      <c r="L243" s="7" t="b">
        <f t="shared" si="3"/>
        <v>1</v>
      </c>
    </row>
    <row r="244" spans="1:12" x14ac:dyDescent="0.25">
      <c r="A244" s="7" t="s">
        <v>1240</v>
      </c>
      <c r="B244" s="7">
        <v>0</v>
      </c>
      <c r="C244" s="7">
        <v>120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0</v>
      </c>
      <c r="J244" s="7">
        <v>1</v>
      </c>
      <c r="K244" s="7">
        <v>122</v>
      </c>
      <c r="L244" s="7" t="b">
        <f t="shared" si="3"/>
        <v>1</v>
      </c>
    </row>
    <row r="245" spans="1:12" x14ac:dyDescent="0.25">
      <c r="A245" s="7" t="s">
        <v>1241</v>
      </c>
      <c r="B245" s="7">
        <v>0</v>
      </c>
      <c r="C245" s="7">
        <v>62</v>
      </c>
      <c r="D245" s="7">
        <v>1</v>
      </c>
      <c r="E245" s="7">
        <v>0</v>
      </c>
      <c r="F245" s="7">
        <v>0</v>
      </c>
      <c r="G245" s="7">
        <v>1</v>
      </c>
      <c r="H245" s="7">
        <v>0</v>
      </c>
      <c r="I245" s="7">
        <v>13</v>
      </c>
      <c r="J245" s="7">
        <v>0</v>
      </c>
      <c r="K245" s="7">
        <v>77</v>
      </c>
      <c r="L245" s="7" t="b">
        <f t="shared" si="3"/>
        <v>1</v>
      </c>
    </row>
    <row r="246" spans="1:12" x14ac:dyDescent="0.25">
      <c r="A246" s="7" t="s">
        <v>1242</v>
      </c>
      <c r="B246" s="7">
        <v>0</v>
      </c>
      <c r="C246" s="7">
        <v>118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0</v>
      </c>
      <c r="J246" s="7">
        <v>0</v>
      </c>
      <c r="K246" s="7">
        <v>121</v>
      </c>
      <c r="L246" s="7" t="b">
        <f t="shared" si="3"/>
        <v>1</v>
      </c>
    </row>
    <row r="247" spans="1:12" x14ac:dyDescent="0.25">
      <c r="A247" s="7" t="s">
        <v>1243</v>
      </c>
      <c r="B247" s="7">
        <v>0</v>
      </c>
      <c r="C247" s="7">
        <v>104</v>
      </c>
      <c r="D247" s="7">
        <v>7</v>
      </c>
      <c r="E247" s="7">
        <v>0</v>
      </c>
      <c r="F247" s="7">
        <v>0</v>
      </c>
      <c r="G247" s="7">
        <v>5</v>
      </c>
      <c r="H247" s="7">
        <v>0</v>
      </c>
      <c r="I247" s="7">
        <v>0</v>
      </c>
      <c r="J247" s="7">
        <v>0</v>
      </c>
      <c r="K247" s="7">
        <v>116</v>
      </c>
      <c r="L247" s="7" t="b">
        <f t="shared" si="3"/>
        <v>1</v>
      </c>
    </row>
    <row r="248" spans="1:12" x14ac:dyDescent="0.25">
      <c r="A248" s="7" t="s">
        <v>1244</v>
      </c>
      <c r="B248" s="7">
        <v>0</v>
      </c>
      <c r="C248" s="7">
        <v>118</v>
      </c>
      <c r="D248" s="7">
        <v>0</v>
      </c>
      <c r="E248" s="7">
        <v>0</v>
      </c>
      <c r="F248" s="7">
        <v>0</v>
      </c>
      <c r="G248" s="7">
        <v>2</v>
      </c>
      <c r="H248" s="7">
        <v>0</v>
      </c>
      <c r="I248" s="7">
        <v>0</v>
      </c>
      <c r="J248" s="7">
        <v>1</v>
      </c>
      <c r="K248" s="7">
        <v>121</v>
      </c>
      <c r="L248" s="7" t="b">
        <f t="shared" si="3"/>
        <v>1</v>
      </c>
    </row>
    <row r="249" spans="1:12" x14ac:dyDescent="0.25">
      <c r="A249" s="7" t="s">
        <v>1245</v>
      </c>
      <c r="B249" s="7">
        <v>0</v>
      </c>
      <c r="C249" s="7">
        <v>66</v>
      </c>
      <c r="D249" s="7">
        <v>12</v>
      </c>
      <c r="E249" s="7">
        <v>0</v>
      </c>
      <c r="F249" s="7">
        <v>0</v>
      </c>
      <c r="G249" s="7">
        <v>0</v>
      </c>
      <c r="H249" s="7">
        <v>0</v>
      </c>
      <c r="I249" s="7">
        <v>28</v>
      </c>
      <c r="J249" s="7">
        <v>0</v>
      </c>
      <c r="K249" s="7">
        <v>106</v>
      </c>
      <c r="L249" s="7" t="b">
        <f t="shared" si="3"/>
        <v>1</v>
      </c>
    </row>
    <row r="250" spans="1:12" x14ac:dyDescent="0.25">
      <c r="A250" s="7" t="s">
        <v>1246</v>
      </c>
      <c r="B250" s="7">
        <v>0</v>
      </c>
      <c r="C250" s="7">
        <v>72</v>
      </c>
      <c r="D250" s="7">
        <v>5</v>
      </c>
      <c r="E250" s="7">
        <v>0</v>
      </c>
      <c r="F250" s="7">
        <v>0</v>
      </c>
      <c r="G250" s="7">
        <v>0</v>
      </c>
      <c r="H250" s="7">
        <v>0</v>
      </c>
      <c r="I250" s="7">
        <v>218</v>
      </c>
      <c r="J250" s="7">
        <v>0</v>
      </c>
      <c r="K250" s="7">
        <v>295</v>
      </c>
      <c r="L250" s="7" t="b">
        <f t="shared" si="3"/>
        <v>1</v>
      </c>
    </row>
    <row r="251" spans="1:12" x14ac:dyDescent="0.25">
      <c r="A251" s="7" t="s">
        <v>1247</v>
      </c>
      <c r="B251" s="7">
        <v>0</v>
      </c>
      <c r="C251" s="7">
        <v>22</v>
      </c>
      <c r="D251" s="7">
        <v>4</v>
      </c>
      <c r="E251" s="7">
        <v>0</v>
      </c>
      <c r="F251" s="7">
        <v>0</v>
      </c>
      <c r="G251" s="7">
        <v>0</v>
      </c>
      <c r="H251" s="7">
        <v>0</v>
      </c>
      <c r="I251" s="7">
        <v>77</v>
      </c>
      <c r="J251" s="7">
        <v>0</v>
      </c>
      <c r="K251" s="7">
        <v>103</v>
      </c>
      <c r="L251" s="7" t="b">
        <f t="shared" si="3"/>
        <v>1</v>
      </c>
    </row>
    <row r="252" spans="1:12" x14ac:dyDescent="0.25">
      <c r="A252" s="7" t="s">
        <v>1248</v>
      </c>
      <c r="B252" s="7">
        <v>0</v>
      </c>
      <c r="C252" s="7">
        <v>136</v>
      </c>
      <c r="D252" s="7">
        <v>2</v>
      </c>
      <c r="E252" s="7">
        <v>0</v>
      </c>
      <c r="F252" s="7">
        <v>0</v>
      </c>
      <c r="G252" s="7">
        <v>4</v>
      </c>
      <c r="H252" s="7">
        <v>0</v>
      </c>
      <c r="I252" s="7">
        <v>77</v>
      </c>
      <c r="J252" s="7">
        <v>2</v>
      </c>
      <c r="K252" s="7">
        <v>221</v>
      </c>
      <c r="L252" s="7" t="b">
        <f t="shared" si="3"/>
        <v>1</v>
      </c>
    </row>
    <row r="253" spans="1:12" x14ac:dyDescent="0.25">
      <c r="A253" s="7" t="s">
        <v>1249</v>
      </c>
      <c r="B253" s="7">
        <v>0</v>
      </c>
      <c r="C253" s="7">
        <v>92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50</v>
      </c>
      <c r="J253" s="7">
        <v>0</v>
      </c>
      <c r="K253" s="7">
        <v>143</v>
      </c>
      <c r="L253" s="7" t="b">
        <f t="shared" si="3"/>
        <v>1</v>
      </c>
    </row>
    <row r="254" spans="1:12" x14ac:dyDescent="0.25">
      <c r="A254" s="7" t="s">
        <v>1250</v>
      </c>
      <c r="B254" s="7">
        <v>0</v>
      </c>
      <c r="C254" s="7">
        <v>41</v>
      </c>
      <c r="D254" s="7">
        <v>18</v>
      </c>
      <c r="E254" s="7">
        <v>0</v>
      </c>
      <c r="F254" s="7">
        <v>1</v>
      </c>
      <c r="G254" s="7">
        <v>1</v>
      </c>
      <c r="H254" s="7">
        <v>0</v>
      </c>
      <c r="I254" s="7">
        <v>96</v>
      </c>
      <c r="J254" s="7">
        <v>0</v>
      </c>
      <c r="K254" s="7">
        <v>157</v>
      </c>
      <c r="L254" s="7" t="b">
        <f t="shared" si="3"/>
        <v>1</v>
      </c>
    </row>
    <row r="255" spans="1:12" x14ac:dyDescent="0.25">
      <c r="A255" s="7" t="s">
        <v>1251</v>
      </c>
      <c r="B255" s="7">
        <v>0</v>
      </c>
      <c r="C255" s="7">
        <v>78</v>
      </c>
      <c r="D255" s="7">
        <v>12</v>
      </c>
      <c r="E255" s="7">
        <v>0</v>
      </c>
      <c r="F255" s="7">
        <v>0</v>
      </c>
      <c r="G255" s="7">
        <v>0</v>
      </c>
      <c r="H255" s="7">
        <v>0</v>
      </c>
      <c r="I255" s="7">
        <v>82</v>
      </c>
      <c r="J255" s="7">
        <v>1</v>
      </c>
      <c r="K255" s="7">
        <v>173</v>
      </c>
      <c r="L255" s="7" t="b">
        <f t="shared" si="3"/>
        <v>1</v>
      </c>
    </row>
    <row r="256" spans="1:12" x14ac:dyDescent="0.25">
      <c r="A256" s="7" t="s">
        <v>1252</v>
      </c>
      <c r="B256" s="7">
        <v>0</v>
      </c>
      <c r="C256" s="7">
        <v>20</v>
      </c>
      <c r="D256" s="7">
        <v>3</v>
      </c>
      <c r="E256" s="7">
        <v>0</v>
      </c>
      <c r="F256" s="7">
        <v>0</v>
      </c>
      <c r="G256" s="7">
        <v>0</v>
      </c>
      <c r="H256" s="7">
        <v>0</v>
      </c>
      <c r="I256" s="7">
        <v>82</v>
      </c>
      <c r="J256" s="7">
        <v>0</v>
      </c>
      <c r="K256" s="7">
        <v>105</v>
      </c>
      <c r="L256" s="7" t="b">
        <f t="shared" si="3"/>
        <v>1</v>
      </c>
    </row>
    <row r="257" spans="1:12" x14ac:dyDescent="0.25">
      <c r="A257" s="7" t="s">
        <v>1253</v>
      </c>
      <c r="B257" s="7">
        <v>0</v>
      </c>
      <c r="C257" s="7">
        <v>68</v>
      </c>
      <c r="D257" s="7">
        <v>4</v>
      </c>
      <c r="E257" s="7">
        <v>0</v>
      </c>
      <c r="F257" s="7">
        <v>0</v>
      </c>
      <c r="G257" s="7">
        <v>0</v>
      </c>
      <c r="H257" s="7">
        <v>0</v>
      </c>
      <c r="I257" s="7">
        <v>72</v>
      </c>
      <c r="J257" s="7">
        <v>0</v>
      </c>
      <c r="K257" s="7">
        <v>144</v>
      </c>
      <c r="L257" s="7" t="b">
        <f t="shared" si="3"/>
        <v>1</v>
      </c>
    </row>
    <row r="258" spans="1:12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  <c r="L258" s="7" t="b">
        <f t="shared" si="3"/>
        <v>1</v>
      </c>
    </row>
    <row r="259" spans="1:12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  <c r="L259" s="7" t="b">
        <f t="shared" ref="L259:L322" si="4">K259=SUM(B259:J259)</f>
        <v>1</v>
      </c>
    </row>
    <row r="260" spans="1:12" x14ac:dyDescent="0.25">
      <c r="A260" s="7" t="s">
        <v>1256</v>
      </c>
      <c r="B260" s="7">
        <v>0</v>
      </c>
      <c r="C260" s="7">
        <v>0</v>
      </c>
      <c r="D260" s="7">
        <v>7</v>
      </c>
      <c r="E260" s="7">
        <v>0</v>
      </c>
      <c r="F260" s="7">
        <v>0</v>
      </c>
      <c r="G260" s="7">
        <v>0</v>
      </c>
      <c r="H260" s="7">
        <v>0</v>
      </c>
      <c r="I260" s="7">
        <v>49</v>
      </c>
      <c r="J260" s="7">
        <v>1</v>
      </c>
      <c r="K260" s="7">
        <v>57</v>
      </c>
      <c r="L260" s="7" t="b">
        <f t="shared" si="4"/>
        <v>1</v>
      </c>
    </row>
    <row r="261" spans="1:12" x14ac:dyDescent="0.25">
      <c r="A261" s="7" t="s">
        <v>1257</v>
      </c>
      <c r="B261" s="7">
        <v>0</v>
      </c>
      <c r="C261" s="7">
        <v>150</v>
      </c>
      <c r="D261" s="7">
        <v>1</v>
      </c>
      <c r="E261" s="7">
        <v>0</v>
      </c>
      <c r="F261" s="7">
        <v>0</v>
      </c>
      <c r="G261" s="7">
        <v>2</v>
      </c>
      <c r="H261" s="7">
        <v>0</v>
      </c>
      <c r="I261" s="7">
        <v>32</v>
      </c>
      <c r="J261" s="7">
        <v>18</v>
      </c>
      <c r="K261" s="7">
        <v>203</v>
      </c>
      <c r="L261" s="7" t="b">
        <f t="shared" si="4"/>
        <v>1</v>
      </c>
    </row>
    <row r="262" spans="1:12" x14ac:dyDescent="0.25">
      <c r="A262" s="7" t="s">
        <v>1258</v>
      </c>
      <c r="B262" s="7">
        <v>0</v>
      </c>
      <c r="C262" s="7">
        <v>177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31</v>
      </c>
      <c r="J262" s="7">
        <v>5</v>
      </c>
      <c r="K262" s="7">
        <v>213</v>
      </c>
      <c r="L262" s="7" t="b">
        <f t="shared" si="4"/>
        <v>1</v>
      </c>
    </row>
    <row r="263" spans="1:12" x14ac:dyDescent="0.25">
      <c r="A263" s="7" t="s">
        <v>1259</v>
      </c>
      <c r="B263" s="7">
        <v>0</v>
      </c>
      <c r="C263" s="7">
        <v>160</v>
      </c>
      <c r="D263" s="7">
        <v>0</v>
      </c>
      <c r="E263" s="7">
        <v>0</v>
      </c>
      <c r="F263" s="7">
        <v>0</v>
      </c>
      <c r="G263" s="7">
        <v>2</v>
      </c>
      <c r="H263" s="7">
        <v>0</v>
      </c>
      <c r="I263" s="7">
        <v>81</v>
      </c>
      <c r="J263" s="7">
        <v>0</v>
      </c>
      <c r="K263" s="7">
        <v>243</v>
      </c>
      <c r="L263" s="7" t="b">
        <f t="shared" si="4"/>
        <v>1</v>
      </c>
    </row>
    <row r="264" spans="1:12" x14ac:dyDescent="0.25">
      <c r="A264" s="7" t="s">
        <v>1260</v>
      </c>
      <c r="B264" s="7">
        <v>0</v>
      </c>
      <c r="C264" s="7">
        <v>28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75</v>
      </c>
      <c r="J264" s="7">
        <v>0</v>
      </c>
      <c r="K264" s="7">
        <v>103</v>
      </c>
      <c r="L264" s="7" t="b">
        <f t="shared" si="4"/>
        <v>1</v>
      </c>
    </row>
    <row r="265" spans="1:12" x14ac:dyDescent="0.25">
      <c r="A265" s="7" t="s">
        <v>1261</v>
      </c>
      <c r="B265" s="7">
        <v>0</v>
      </c>
      <c r="C265" s="7">
        <v>115</v>
      </c>
      <c r="D265" s="7">
        <v>1</v>
      </c>
      <c r="E265" s="7">
        <v>0</v>
      </c>
      <c r="F265" s="7">
        <v>0</v>
      </c>
      <c r="G265" s="7">
        <v>0</v>
      </c>
      <c r="H265" s="7">
        <v>0</v>
      </c>
      <c r="I265" s="7">
        <v>33</v>
      </c>
      <c r="J265" s="7">
        <v>0</v>
      </c>
      <c r="K265" s="7">
        <v>149</v>
      </c>
      <c r="L265" s="7" t="b">
        <f t="shared" si="4"/>
        <v>1</v>
      </c>
    </row>
    <row r="266" spans="1:12" x14ac:dyDescent="0.25">
      <c r="A266" s="7" t="s">
        <v>1262</v>
      </c>
      <c r="B266" s="7">
        <v>0</v>
      </c>
      <c r="C266" s="7">
        <v>92</v>
      </c>
      <c r="D266" s="7">
        <v>3</v>
      </c>
      <c r="E266" s="7">
        <v>0</v>
      </c>
      <c r="F266" s="7">
        <v>0</v>
      </c>
      <c r="G266" s="7">
        <v>0</v>
      </c>
      <c r="H266" s="7">
        <v>0</v>
      </c>
      <c r="I266" s="7">
        <v>43</v>
      </c>
      <c r="J266" s="7">
        <v>0</v>
      </c>
      <c r="K266" s="7">
        <v>138</v>
      </c>
      <c r="L266" s="7" t="b">
        <f t="shared" si="4"/>
        <v>1</v>
      </c>
    </row>
    <row r="267" spans="1:12" x14ac:dyDescent="0.25">
      <c r="A267" s="7" t="s">
        <v>1263</v>
      </c>
      <c r="B267" s="7">
        <v>0</v>
      </c>
      <c r="C267" s="7">
        <v>82</v>
      </c>
      <c r="D267" s="7">
        <v>1</v>
      </c>
      <c r="E267" s="7">
        <v>0</v>
      </c>
      <c r="F267" s="7">
        <v>0</v>
      </c>
      <c r="G267" s="7">
        <v>1</v>
      </c>
      <c r="H267" s="7">
        <v>0</v>
      </c>
      <c r="I267" s="7">
        <v>39</v>
      </c>
      <c r="J267" s="7">
        <v>2</v>
      </c>
      <c r="K267" s="7">
        <v>125</v>
      </c>
      <c r="L267" s="7" t="b">
        <f t="shared" si="4"/>
        <v>1</v>
      </c>
    </row>
    <row r="268" spans="1:12" x14ac:dyDescent="0.25">
      <c r="A268" s="7" t="s">
        <v>1264</v>
      </c>
      <c r="B268" s="7">
        <v>0</v>
      </c>
      <c r="C268" s="7">
        <v>79</v>
      </c>
      <c r="D268" s="7">
        <v>0</v>
      </c>
      <c r="E268" s="7">
        <v>0</v>
      </c>
      <c r="F268" s="7">
        <v>0</v>
      </c>
      <c r="G268" s="7">
        <v>1</v>
      </c>
      <c r="H268" s="7">
        <v>0</v>
      </c>
      <c r="I268" s="7">
        <v>33</v>
      </c>
      <c r="J268" s="7">
        <v>0</v>
      </c>
      <c r="K268" s="7">
        <v>113</v>
      </c>
      <c r="L268" s="7" t="b">
        <f t="shared" si="4"/>
        <v>1</v>
      </c>
    </row>
    <row r="269" spans="1:12" x14ac:dyDescent="0.25">
      <c r="A269" s="7" t="s">
        <v>1265</v>
      </c>
      <c r="B269" s="7">
        <v>0</v>
      </c>
      <c r="C269" s="7">
        <v>86</v>
      </c>
      <c r="D269" s="7">
        <v>2</v>
      </c>
      <c r="E269" s="7">
        <v>0</v>
      </c>
      <c r="F269" s="7">
        <v>0</v>
      </c>
      <c r="G269" s="7">
        <v>0</v>
      </c>
      <c r="H269" s="7">
        <v>0</v>
      </c>
      <c r="I269" s="7">
        <v>56</v>
      </c>
      <c r="J269" s="7">
        <v>0</v>
      </c>
      <c r="K269" s="7">
        <v>144</v>
      </c>
      <c r="L269" s="7" t="b">
        <f t="shared" si="4"/>
        <v>1</v>
      </c>
    </row>
    <row r="270" spans="1:12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0</v>
      </c>
      <c r="F270" s="7">
        <v>0</v>
      </c>
      <c r="G270" s="7">
        <v>2</v>
      </c>
      <c r="H270" s="7">
        <v>0</v>
      </c>
      <c r="I270" s="7">
        <v>44</v>
      </c>
      <c r="J270" s="7">
        <v>0</v>
      </c>
      <c r="K270" s="7">
        <v>211</v>
      </c>
      <c r="L270" s="7" t="b">
        <f t="shared" si="4"/>
        <v>1</v>
      </c>
    </row>
    <row r="271" spans="1:12" x14ac:dyDescent="0.25">
      <c r="A271" s="7" t="s">
        <v>1267</v>
      </c>
      <c r="B271" s="7">
        <v>0</v>
      </c>
      <c r="C271" s="7">
        <v>124</v>
      </c>
      <c r="D271" s="7">
        <v>26</v>
      </c>
      <c r="E271" s="7">
        <v>0</v>
      </c>
      <c r="F271" s="7">
        <v>0</v>
      </c>
      <c r="G271" s="7">
        <v>0</v>
      </c>
      <c r="H271" s="7">
        <v>0</v>
      </c>
      <c r="I271" s="7">
        <v>7</v>
      </c>
      <c r="J271" s="7">
        <v>0</v>
      </c>
      <c r="K271" s="7">
        <v>157</v>
      </c>
      <c r="L271" s="7" t="b">
        <f t="shared" si="4"/>
        <v>1</v>
      </c>
    </row>
    <row r="272" spans="1:12" x14ac:dyDescent="0.25">
      <c r="A272" s="7" t="s">
        <v>1268</v>
      </c>
      <c r="B272" s="7">
        <v>0</v>
      </c>
      <c r="C272" s="7">
        <v>139</v>
      </c>
      <c r="D272" s="7">
        <v>54</v>
      </c>
      <c r="E272" s="7">
        <v>0</v>
      </c>
      <c r="F272" s="7">
        <v>1</v>
      </c>
      <c r="G272" s="7">
        <v>1</v>
      </c>
      <c r="H272" s="7">
        <v>0</v>
      </c>
      <c r="I272" s="7">
        <v>57</v>
      </c>
      <c r="J272" s="7">
        <v>0</v>
      </c>
      <c r="K272" s="7">
        <v>252</v>
      </c>
      <c r="L272" s="7" t="b">
        <f t="shared" si="4"/>
        <v>1</v>
      </c>
    </row>
    <row r="273" spans="1:12" x14ac:dyDescent="0.25">
      <c r="A273" s="7" t="s">
        <v>1269</v>
      </c>
      <c r="B273" s="7">
        <v>0</v>
      </c>
      <c r="C273" s="7">
        <v>65</v>
      </c>
      <c r="D273" s="7">
        <v>18</v>
      </c>
      <c r="E273" s="7">
        <v>0</v>
      </c>
      <c r="F273" s="7">
        <v>1</v>
      </c>
      <c r="G273" s="7">
        <v>0</v>
      </c>
      <c r="H273" s="7">
        <v>0</v>
      </c>
      <c r="I273" s="7">
        <v>9</v>
      </c>
      <c r="J273" s="7">
        <v>0</v>
      </c>
      <c r="K273" s="7">
        <v>93</v>
      </c>
      <c r="L273" s="7" t="b">
        <f t="shared" si="4"/>
        <v>1</v>
      </c>
    </row>
    <row r="274" spans="1:12" x14ac:dyDescent="0.25">
      <c r="A274" s="7" t="s">
        <v>1270</v>
      </c>
      <c r="B274" s="7">
        <v>0</v>
      </c>
      <c r="C274" s="7">
        <v>116</v>
      </c>
      <c r="D274" s="7">
        <v>1</v>
      </c>
      <c r="E274" s="7">
        <v>0</v>
      </c>
      <c r="F274" s="7">
        <v>0</v>
      </c>
      <c r="G274" s="7">
        <v>0</v>
      </c>
      <c r="H274" s="7">
        <v>0</v>
      </c>
      <c r="I274" s="7">
        <v>64</v>
      </c>
      <c r="J274" s="7">
        <v>0</v>
      </c>
      <c r="K274" s="7">
        <v>181</v>
      </c>
      <c r="L274" s="7" t="b">
        <f t="shared" si="4"/>
        <v>1</v>
      </c>
    </row>
    <row r="275" spans="1:12" x14ac:dyDescent="0.25">
      <c r="A275" s="7" t="s">
        <v>1271</v>
      </c>
      <c r="B275" s="7">
        <v>0</v>
      </c>
      <c r="C275" s="7">
        <v>62</v>
      </c>
      <c r="D275" s="7">
        <v>8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0</v>
      </c>
      <c r="K275" s="7">
        <v>73</v>
      </c>
      <c r="L275" s="7" t="b">
        <f t="shared" si="4"/>
        <v>1</v>
      </c>
    </row>
    <row r="276" spans="1:12" x14ac:dyDescent="0.25">
      <c r="A276" s="7" t="s">
        <v>1272</v>
      </c>
      <c r="B276" s="7">
        <v>0</v>
      </c>
      <c r="C276" s="7">
        <v>101</v>
      </c>
      <c r="D276" s="7">
        <v>18</v>
      </c>
      <c r="E276" s="7">
        <v>0</v>
      </c>
      <c r="F276" s="7">
        <v>0</v>
      </c>
      <c r="G276" s="7">
        <v>4</v>
      </c>
      <c r="H276" s="7">
        <v>0</v>
      </c>
      <c r="I276" s="7">
        <v>28</v>
      </c>
      <c r="J276" s="7">
        <v>0</v>
      </c>
      <c r="K276" s="7">
        <v>151</v>
      </c>
      <c r="L276" s="7" t="b">
        <f t="shared" si="4"/>
        <v>1</v>
      </c>
    </row>
    <row r="277" spans="1:12" x14ac:dyDescent="0.25">
      <c r="A277" s="7" t="s">
        <v>1273</v>
      </c>
      <c r="B277" s="7">
        <v>0</v>
      </c>
      <c r="C277" s="7">
        <v>130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134</v>
      </c>
      <c r="J277" s="7">
        <v>0</v>
      </c>
      <c r="K277" s="7">
        <v>265</v>
      </c>
      <c r="L277" s="7" t="b">
        <f t="shared" si="4"/>
        <v>1</v>
      </c>
    </row>
    <row r="278" spans="1:12" x14ac:dyDescent="0.25">
      <c r="A278" s="7" t="s">
        <v>1274</v>
      </c>
      <c r="B278" s="7">
        <v>0</v>
      </c>
      <c r="C278" s="7">
        <v>160</v>
      </c>
      <c r="D278" s="7">
        <v>12</v>
      </c>
      <c r="E278" s="7">
        <v>0</v>
      </c>
      <c r="F278" s="7">
        <v>0</v>
      </c>
      <c r="G278" s="7">
        <v>2</v>
      </c>
      <c r="H278" s="7">
        <v>0</v>
      </c>
      <c r="I278" s="7">
        <v>5</v>
      </c>
      <c r="J278" s="7">
        <v>2</v>
      </c>
      <c r="K278" s="7">
        <v>181</v>
      </c>
      <c r="L278" s="7" t="b">
        <f t="shared" si="4"/>
        <v>1</v>
      </c>
    </row>
    <row r="279" spans="1:12" x14ac:dyDescent="0.25">
      <c r="A279" s="7" t="s">
        <v>1275</v>
      </c>
      <c r="B279" s="7">
        <v>0</v>
      </c>
      <c r="C279" s="7">
        <v>103</v>
      </c>
      <c r="D279" s="7">
        <v>19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124</v>
      </c>
      <c r="L279" s="7" t="b">
        <f t="shared" si="4"/>
        <v>1</v>
      </c>
    </row>
    <row r="280" spans="1:12" x14ac:dyDescent="0.25">
      <c r="A280" s="7" t="s">
        <v>1276</v>
      </c>
      <c r="B280" s="7">
        <v>0</v>
      </c>
      <c r="C280" s="7">
        <v>71</v>
      </c>
      <c r="D280" s="7">
        <v>6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  <c r="L280" s="7" t="b">
        <f t="shared" si="4"/>
        <v>1</v>
      </c>
    </row>
    <row r="281" spans="1:12" x14ac:dyDescent="0.25">
      <c r="A281" s="7" t="s">
        <v>1277</v>
      </c>
      <c r="B281" s="7">
        <v>0</v>
      </c>
      <c r="C281" s="7">
        <v>96</v>
      </c>
      <c r="D281" s="7">
        <v>2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  <c r="L281" s="7" t="b">
        <f t="shared" si="4"/>
        <v>1</v>
      </c>
    </row>
    <row r="282" spans="1:12" x14ac:dyDescent="0.25">
      <c r="A282" s="7" t="s">
        <v>1278</v>
      </c>
      <c r="B282" s="7">
        <v>0</v>
      </c>
      <c r="C282" s="7">
        <v>97</v>
      </c>
      <c r="D282" s="7">
        <v>34</v>
      </c>
      <c r="E282" s="7">
        <v>0</v>
      </c>
      <c r="F282" s="7">
        <v>0</v>
      </c>
      <c r="G282" s="7">
        <v>0</v>
      </c>
      <c r="H282" s="7">
        <v>0</v>
      </c>
      <c r="I282" s="7">
        <v>6</v>
      </c>
      <c r="J282" s="7">
        <v>2</v>
      </c>
      <c r="K282" s="7">
        <v>139</v>
      </c>
      <c r="L282" s="7" t="b">
        <f t="shared" si="4"/>
        <v>1</v>
      </c>
    </row>
    <row r="283" spans="1:12" x14ac:dyDescent="0.25">
      <c r="A283" s="7" t="s">
        <v>1279</v>
      </c>
      <c r="B283" s="7">
        <v>0</v>
      </c>
      <c r="C283" s="7">
        <v>85</v>
      </c>
      <c r="D283" s="7">
        <v>43</v>
      </c>
      <c r="E283" s="7">
        <v>0</v>
      </c>
      <c r="F283" s="7">
        <v>1</v>
      </c>
      <c r="G283" s="7">
        <v>0</v>
      </c>
      <c r="H283" s="7">
        <v>0</v>
      </c>
      <c r="I283" s="7">
        <v>43</v>
      </c>
      <c r="J283" s="7">
        <v>1</v>
      </c>
      <c r="K283" s="7">
        <v>173</v>
      </c>
      <c r="L283" s="7" t="b">
        <f t="shared" si="4"/>
        <v>1</v>
      </c>
    </row>
    <row r="284" spans="1:12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  <c r="L284" s="7" t="b">
        <f t="shared" si="4"/>
        <v>1</v>
      </c>
    </row>
    <row r="285" spans="1:12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  <c r="L285" s="7" t="b">
        <f t="shared" si="4"/>
        <v>1</v>
      </c>
    </row>
    <row r="286" spans="1:12" x14ac:dyDescent="0.25">
      <c r="A286" s="7" t="s">
        <v>1282</v>
      </c>
      <c r="B286" s="7">
        <v>0</v>
      </c>
      <c r="C286" s="7">
        <v>104</v>
      </c>
      <c r="D286" s="7">
        <v>52</v>
      </c>
      <c r="E286" s="7">
        <v>0</v>
      </c>
      <c r="F286" s="7">
        <v>0</v>
      </c>
      <c r="G286" s="7">
        <v>0</v>
      </c>
      <c r="H286" s="7">
        <v>0</v>
      </c>
      <c r="I286" s="7">
        <v>48</v>
      </c>
      <c r="J286" s="7">
        <v>0</v>
      </c>
      <c r="K286" s="7">
        <v>204</v>
      </c>
      <c r="L286" s="7" t="b">
        <f t="shared" si="4"/>
        <v>1</v>
      </c>
    </row>
    <row r="287" spans="1:12" x14ac:dyDescent="0.25">
      <c r="A287" s="7" t="s">
        <v>1283</v>
      </c>
      <c r="B287" s="7">
        <v>0</v>
      </c>
      <c r="C287" s="7">
        <v>48</v>
      </c>
      <c r="D287" s="7">
        <v>41</v>
      </c>
      <c r="E287" s="7">
        <v>0</v>
      </c>
      <c r="F287" s="7">
        <v>0</v>
      </c>
      <c r="G287" s="7">
        <v>1</v>
      </c>
      <c r="H287" s="7">
        <v>0</v>
      </c>
      <c r="I287" s="7">
        <v>28</v>
      </c>
      <c r="J287" s="7">
        <v>0</v>
      </c>
      <c r="K287" s="7">
        <v>118</v>
      </c>
      <c r="L287" s="7" t="b">
        <f t="shared" si="4"/>
        <v>1</v>
      </c>
    </row>
    <row r="288" spans="1:12" x14ac:dyDescent="0.25">
      <c r="A288" s="7" t="s">
        <v>1284</v>
      </c>
      <c r="B288" s="7">
        <v>0</v>
      </c>
      <c r="C288" s="7">
        <v>25</v>
      </c>
      <c r="D288" s="7">
        <v>51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76</v>
      </c>
      <c r="L288" s="7" t="b">
        <f t="shared" si="4"/>
        <v>1</v>
      </c>
    </row>
    <row r="289" spans="1:12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  <c r="L289" s="7" t="b">
        <f t="shared" si="4"/>
        <v>1</v>
      </c>
    </row>
    <row r="290" spans="1:12" x14ac:dyDescent="0.25">
      <c r="A290" s="7" t="s">
        <v>1286</v>
      </c>
      <c r="B290" s="7">
        <v>0</v>
      </c>
      <c r="C290" s="7">
        <v>130</v>
      </c>
      <c r="D290" s="7">
        <v>12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  <c r="L290" s="7" t="b">
        <f t="shared" si="4"/>
        <v>1</v>
      </c>
    </row>
    <row r="291" spans="1:12" x14ac:dyDescent="0.25">
      <c r="A291" s="7" t="s">
        <v>1287</v>
      </c>
      <c r="B291" s="7">
        <v>0</v>
      </c>
      <c r="C291" s="7">
        <v>86</v>
      </c>
      <c r="D291" s="7">
        <v>4</v>
      </c>
      <c r="E291" s="7">
        <v>0</v>
      </c>
      <c r="F291" s="7">
        <v>0</v>
      </c>
      <c r="G291" s="7">
        <v>0</v>
      </c>
      <c r="H291" s="7">
        <v>0</v>
      </c>
      <c r="I291" s="7">
        <v>1</v>
      </c>
      <c r="J291" s="7">
        <v>0</v>
      </c>
      <c r="K291" s="7">
        <v>91</v>
      </c>
      <c r="L291" s="7" t="b">
        <f t="shared" si="4"/>
        <v>1</v>
      </c>
    </row>
    <row r="292" spans="1:12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  <c r="L292" s="7" t="b">
        <f t="shared" si="4"/>
        <v>1</v>
      </c>
    </row>
    <row r="293" spans="1:12" x14ac:dyDescent="0.25">
      <c r="A293" s="7" t="s">
        <v>1289</v>
      </c>
      <c r="B293" s="7">
        <v>0</v>
      </c>
      <c r="C293" s="7">
        <v>110</v>
      </c>
      <c r="D293" s="7">
        <v>3</v>
      </c>
      <c r="E293" s="7">
        <v>0</v>
      </c>
      <c r="F293" s="7">
        <v>0</v>
      </c>
      <c r="G293" s="7">
        <v>1</v>
      </c>
      <c r="H293" s="7">
        <v>0</v>
      </c>
      <c r="I293" s="7">
        <v>9</v>
      </c>
      <c r="J293" s="7">
        <v>0</v>
      </c>
      <c r="K293" s="7">
        <v>123</v>
      </c>
      <c r="L293" s="7" t="b">
        <f t="shared" si="4"/>
        <v>1</v>
      </c>
    </row>
    <row r="294" spans="1:12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  <c r="L294" s="7" t="b">
        <f t="shared" si="4"/>
        <v>1</v>
      </c>
    </row>
    <row r="295" spans="1:12" x14ac:dyDescent="0.25">
      <c r="A295" s="7" t="s">
        <v>1291</v>
      </c>
      <c r="B295" s="7">
        <v>0</v>
      </c>
      <c r="C295" s="7">
        <v>279</v>
      </c>
      <c r="D295" s="7">
        <v>3</v>
      </c>
      <c r="E295" s="7">
        <v>0</v>
      </c>
      <c r="F295" s="7">
        <v>0</v>
      </c>
      <c r="G295" s="7">
        <v>1</v>
      </c>
      <c r="H295" s="7">
        <v>0</v>
      </c>
      <c r="I295" s="7">
        <v>3</v>
      </c>
      <c r="J295" s="7">
        <v>1</v>
      </c>
      <c r="K295" s="7">
        <v>287</v>
      </c>
      <c r="L295" s="7" t="b">
        <f t="shared" si="4"/>
        <v>1</v>
      </c>
    </row>
    <row r="296" spans="1:12" x14ac:dyDescent="0.25">
      <c r="A296" s="7" t="s">
        <v>1292</v>
      </c>
      <c r="B296" s="7">
        <v>0</v>
      </c>
      <c r="C296" s="7">
        <v>97</v>
      </c>
      <c r="D296" s="7">
        <v>10</v>
      </c>
      <c r="E296" s="7">
        <v>0</v>
      </c>
      <c r="F296" s="7">
        <v>0</v>
      </c>
      <c r="G296" s="7">
        <v>2</v>
      </c>
      <c r="H296" s="7">
        <v>0</v>
      </c>
      <c r="I296" s="7">
        <v>11</v>
      </c>
      <c r="J296" s="7">
        <v>0</v>
      </c>
      <c r="K296" s="7">
        <v>120</v>
      </c>
      <c r="L296" s="7" t="b">
        <f t="shared" si="4"/>
        <v>1</v>
      </c>
    </row>
    <row r="297" spans="1:12" x14ac:dyDescent="0.25">
      <c r="A297" s="7" t="s">
        <v>1293</v>
      </c>
      <c r="B297" s="7">
        <v>0</v>
      </c>
      <c r="C297" s="7">
        <v>93</v>
      </c>
      <c r="D297" s="7">
        <v>59</v>
      </c>
      <c r="E297" s="7">
        <v>0</v>
      </c>
      <c r="F297" s="7">
        <v>0</v>
      </c>
      <c r="G297" s="7">
        <v>1</v>
      </c>
      <c r="H297" s="7">
        <v>0</v>
      </c>
      <c r="I297" s="7">
        <v>9</v>
      </c>
      <c r="J297" s="7">
        <v>2</v>
      </c>
      <c r="K297" s="7">
        <v>164</v>
      </c>
      <c r="L297" s="7" t="b">
        <f t="shared" si="4"/>
        <v>1</v>
      </c>
    </row>
    <row r="298" spans="1:12" x14ac:dyDescent="0.25">
      <c r="A298" s="7" t="s">
        <v>1294</v>
      </c>
      <c r="B298" s="7">
        <v>0</v>
      </c>
      <c r="C298" s="7">
        <v>68</v>
      </c>
      <c r="D298" s="7">
        <v>25</v>
      </c>
      <c r="E298" s="7">
        <v>0</v>
      </c>
      <c r="F298" s="7">
        <v>0</v>
      </c>
      <c r="G298" s="7">
        <v>0</v>
      </c>
      <c r="H298" s="7">
        <v>0</v>
      </c>
      <c r="I298" s="7">
        <v>3</v>
      </c>
      <c r="J298" s="7">
        <v>19</v>
      </c>
      <c r="K298" s="7">
        <v>115</v>
      </c>
      <c r="L298" s="7" t="b">
        <f t="shared" si="4"/>
        <v>1</v>
      </c>
    </row>
    <row r="299" spans="1:12" x14ac:dyDescent="0.25">
      <c r="A299" s="7" t="s">
        <v>1295</v>
      </c>
      <c r="B299" s="7">
        <v>0</v>
      </c>
      <c r="C299" s="7">
        <v>35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1</v>
      </c>
      <c r="J299" s="7">
        <v>0</v>
      </c>
      <c r="K299" s="7">
        <v>36</v>
      </c>
      <c r="L299" s="7" t="b">
        <f t="shared" si="4"/>
        <v>1</v>
      </c>
    </row>
    <row r="300" spans="1:12" x14ac:dyDescent="0.25">
      <c r="A300" s="7" t="s">
        <v>1296</v>
      </c>
      <c r="B300" s="7">
        <v>0</v>
      </c>
      <c r="C300" s="7">
        <v>44</v>
      </c>
      <c r="D300" s="7">
        <v>0</v>
      </c>
      <c r="E300" s="7">
        <v>0</v>
      </c>
      <c r="F300" s="7">
        <v>0</v>
      </c>
      <c r="G300" s="7">
        <v>1</v>
      </c>
      <c r="H300" s="7">
        <v>0</v>
      </c>
      <c r="I300" s="7">
        <v>4</v>
      </c>
      <c r="J300" s="7">
        <v>0</v>
      </c>
      <c r="K300" s="7">
        <v>49</v>
      </c>
      <c r="L300" s="7" t="b">
        <f t="shared" si="4"/>
        <v>1</v>
      </c>
    </row>
    <row r="301" spans="1:12" x14ac:dyDescent="0.25">
      <c r="A301" s="7" t="s">
        <v>1297</v>
      </c>
      <c r="B301" s="7">
        <v>0</v>
      </c>
      <c r="C301" s="7">
        <v>25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44</v>
      </c>
      <c r="J301" s="7">
        <v>0</v>
      </c>
      <c r="K301" s="7">
        <v>69</v>
      </c>
      <c r="L301" s="7" t="b">
        <f t="shared" si="4"/>
        <v>1</v>
      </c>
    </row>
    <row r="302" spans="1:12" x14ac:dyDescent="0.25">
      <c r="A302" s="7" t="s">
        <v>1298</v>
      </c>
      <c r="B302" s="7">
        <v>0</v>
      </c>
      <c r="C302" s="7">
        <v>0</v>
      </c>
      <c r="D302" s="7">
        <v>0</v>
      </c>
      <c r="E302" s="7">
        <v>0</v>
      </c>
      <c r="F302" s="7">
        <v>0</v>
      </c>
      <c r="G302" s="7">
        <v>0</v>
      </c>
      <c r="H302" s="7">
        <v>0</v>
      </c>
      <c r="I302" s="7">
        <v>96</v>
      </c>
      <c r="J302" s="7">
        <v>0</v>
      </c>
      <c r="K302" s="7">
        <v>96</v>
      </c>
      <c r="L302" s="7" t="b">
        <f t="shared" si="4"/>
        <v>1</v>
      </c>
    </row>
    <row r="303" spans="1:12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4</v>
      </c>
      <c r="J303" s="7">
        <v>0</v>
      </c>
      <c r="K303" s="7">
        <v>89</v>
      </c>
      <c r="L303" s="7" t="b">
        <f t="shared" si="4"/>
        <v>1</v>
      </c>
    </row>
    <row r="304" spans="1:12" x14ac:dyDescent="0.25">
      <c r="A304" s="7" t="s">
        <v>1300</v>
      </c>
      <c r="B304" s="7">
        <v>0</v>
      </c>
      <c r="C304" s="7">
        <v>57</v>
      </c>
      <c r="D304" s="7">
        <v>13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  <c r="L304" s="7" t="b">
        <f t="shared" si="4"/>
        <v>1</v>
      </c>
    </row>
    <row r="305" spans="1:12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  <c r="L305" s="7" t="b">
        <f t="shared" si="4"/>
        <v>1</v>
      </c>
    </row>
    <row r="306" spans="1:12" x14ac:dyDescent="0.25">
      <c r="A306" s="7" t="s">
        <v>1302</v>
      </c>
      <c r="B306" s="7">
        <v>0</v>
      </c>
      <c r="C306" s="7">
        <v>40</v>
      </c>
      <c r="D306" s="7">
        <v>9</v>
      </c>
      <c r="E306" s="7">
        <v>0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63</v>
      </c>
      <c r="L306" s="7" t="b">
        <f t="shared" si="4"/>
        <v>1</v>
      </c>
    </row>
    <row r="307" spans="1:12" x14ac:dyDescent="0.25">
      <c r="A307" s="7" t="s">
        <v>1303</v>
      </c>
      <c r="B307" s="7">
        <v>0</v>
      </c>
      <c r="C307" s="7">
        <v>52</v>
      </c>
      <c r="D307" s="7">
        <v>10</v>
      </c>
      <c r="E307" s="7">
        <v>0</v>
      </c>
      <c r="F307" s="7">
        <v>0</v>
      </c>
      <c r="G307" s="7">
        <v>0</v>
      </c>
      <c r="H307" s="7">
        <v>0</v>
      </c>
      <c r="I307" s="7">
        <v>4</v>
      </c>
      <c r="J307" s="7">
        <v>0</v>
      </c>
      <c r="K307" s="7">
        <v>66</v>
      </c>
      <c r="L307" s="7" t="b">
        <f t="shared" si="4"/>
        <v>1</v>
      </c>
    </row>
    <row r="308" spans="1:12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  <c r="L308" s="7" t="b">
        <f t="shared" si="4"/>
        <v>1</v>
      </c>
    </row>
    <row r="309" spans="1:12" x14ac:dyDescent="0.25">
      <c r="A309" s="7" t="s">
        <v>1305</v>
      </c>
      <c r="B309" s="7">
        <v>0</v>
      </c>
      <c r="C309" s="7">
        <v>18</v>
      </c>
      <c r="D309" s="7">
        <v>24</v>
      </c>
      <c r="E309" s="7">
        <v>0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  <c r="L309" s="7" t="b">
        <f t="shared" si="4"/>
        <v>1</v>
      </c>
    </row>
    <row r="310" spans="1:12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0</v>
      </c>
      <c r="F310" s="7">
        <v>0</v>
      </c>
      <c r="G310" s="7">
        <v>1</v>
      </c>
      <c r="H310" s="7">
        <v>0</v>
      </c>
      <c r="I310" s="7">
        <v>35</v>
      </c>
      <c r="J310" s="7">
        <v>0</v>
      </c>
      <c r="K310" s="7">
        <v>48</v>
      </c>
      <c r="L310" s="7" t="b">
        <f t="shared" si="4"/>
        <v>1</v>
      </c>
    </row>
    <row r="311" spans="1:12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  <c r="L311" s="7" t="b">
        <f t="shared" si="4"/>
        <v>1</v>
      </c>
    </row>
    <row r="312" spans="1:12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  <c r="L312" s="7" t="b">
        <f t="shared" si="4"/>
        <v>1</v>
      </c>
    </row>
    <row r="313" spans="1:12" x14ac:dyDescent="0.25">
      <c r="A313" s="7" t="s">
        <v>1309</v>
      </c>
      <c r="B313" s="7">
        <v>0</v>
      </c>
      <c r="C313" s="7">
        <v>1</v>
      </c>
      <c r="D313" s="7">
        <v>34</v>
      </c>
      <c r="E313" s="7">
        <v>0</v>
      </c>
      <c r="F313" s="7">
        <v>0</v>
      </c>
      <c r="G313" s="7">
        <v>0</v>
      </c>
      <c r="H313" s="7">
        <v>0</v>
      </c>
      <c r="I313" s="7">
        <v>96</v>
      </c>
      <c r="J313" s="7">
        <v>1</v>
      </c>
      <c r="K313" s="7">
        <v>132</v>
      </c>
      <c r="L313" s="7" t="b">
        <f t="shared" si="4"/>
        <v>1</v>
      </c>
    </row>
    <row r="314" spans="1:12" x14ac:dyDescent="0.25">
      <c r="A314" s="7" t="s">
        <v>1310</v>
      </c>
      <c r="B314" s="7">
        <v>1</v>
      </c>
      <c r="C314" s="7">
        <v>177</v>
      </c>
      <c r="D314" s="7">
        <v>51</v>
      </c>
      <c r="E314" s="7">
        <v>0</v>
      </c>
      <c r="F314" s="7">
        <v>1</v>
      </c>
      <c r="G314" s="7">
        <v>5</v>
      </c>
      <c r="H314" s="7">
        <v>0</v>
      </c>
      <c r="I314" s="7">
        <v>335</v>
      </c>
      <c r="J314" s="7">
        <v>12</v>
      </c>
      <c r="K314" s="7">
        <v>582</v>
      </c>
      <c r="L314" s="7" t="b">
        <f t="shared" si="4"/>
        <v>1</v>
      </c>
    </row>
    <row r="315" spans="1:12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  <c r="L315" s="7" t="b">
        <f t="shared" si="4"/>
        <v>1</v>
      </c>
    </row>
    <row r="316" spans="1:12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  <c r="L316" s="7" t="b">
        <f t="shared" si="4"/>
        <v>1</v>
      </c>
    </row>
    <row r="317" spans="1:12" x14ac:dyDescent="0.25">
      <c r="A317" s="7" t="s">
        <v>1313</v>
      </c>
      <c r="B317" s="7">
        <v>0</v>
      </c>
      <c r="C317" s="7">
        <v>81</v>
      </c>
      <c r="D317" s="7">
        <v>14</v>
      </c>
      <c r="E317" s="7">
        <v>0</v>
      </c>
      <c r="F317" s="7">
        <v>0</v>
      </c>
      <c r="G317" s="7">
        <v>0</v>
      </c>
      <c r="H317" s="7">
        <v>0</v>
      </c>
      <c r="I317" s="7">
        <v>14</v>
      </c>
      <c r="J317" s="7">
        <v>2</v>
      </c>
      <c r="K317" s="7">
        <v>111</v>
      </c>
      <c r="L317" s="7" t="b">
        <f t="shared" si="4"/>
        <v>1</v>
      </c>
    </row>
    <row r="318" spans="1:12" x14ac:dyDescent="0.25">
      <c r="A318" s="7" t="s">
        <v>1314</v>
      </c>
      <c r="B318" s="7">
        <v>0</v>
      </c>
      <c r="C318" s="7">
        <v>101</v>
      </c>
      <c r="D318" s="7">
        <v>28</v>
      </c>
      <c r="E318" s="7">
        <v>0</v>
      </c>
      <c r="F318" s="7">
        <v>0</v>
      </c>
      <c r="G318" s="7">
        <v>3</v>
      </c>
      <c r="H318" s="7">
        <v>0</v>
      </c>
      <c r="I318" s="7">
        <v>13</v>
      </c>
      <c r="J318" s="7">
        <v>1</v>
      </c>
      <c r="K318" s="7">
        <v>146</v>
      </c>
      <c r="L318" s="7" t="b">
        <f t="shared" si="4"/>
        <v>1</v>
      </c>
    </row>
    <row r="319" spans="1:12" x14ac:dyDescent="0.25">
      <c r="A319" s="7" t="s">
        <v>1315</v>
      </c>
      <c r="B319" s="7">
        <v>0</v>
      </c>
      <c r="C319" s="7">
        <v>41</v>
      </c>
      <c r="D319" s="7">
        <v>0</v>
      </c>
      <c r="E319" s="7">
        <v>0</v>
      </c>
      <c r="F319" s="7">
        <v>0</v>
      </c>
      <c r="G319" s="7">
        <v>1</v>
      </c>
      <c r="H319" s="7">
        <v>0</v>
      </c>
      <c r="I319" s="7">
        <v>41</v>
      </c>
      <c r="J319" s="7">
        <v>1</v>
      </c>
      <c r="K319" s="7">
        <v>84</v>
      </c>
      <c r="L319" s="7" t="b">
        <f t="shared" si="4"/>
        <v>1</v>
      </c>
    </row>
    <row r="320" spans="1:12" x14ac:dyDescent="0.25">
      <c r="A320" s="7" t="s">
        <v>1316</v>
      </c>
      <c r="B320" s="7">
        <v>0</v>
      </c>
      <c r="C320" s="7">
        <v>47</v>
      </c>
      <c r="D320" s="7">
        <v>25</v>
      </c>
      <c r="E320" s="7">
        <v>0</v>
      </c>
      <c r="F320" s="7">
        <v>0</v>
      </c>
      <c r="G320" s="7">
        <v>0</v>
      </c>
      <c r="H320" s="7">
        <v>0</v>
      </c>
      <c r="I320" s="7">
        <v>34</v>
      </c>
      <c r="J320" s="7">
        <v>1</v>
      </c>
      <c r="K320" s="7">
        <v>107</v>
      </c>
      <c r="L320" s="7" t="b">
        <f t="shared" si="4"/>
        <v>1</v>
      </c>
    </row>
    <row r="321" spans="1:12" x14ac:dyDescent="0.25">
      <c r="A321" s="7" t="s">
        <v>1317</v>
      </c>
      <c r="B321" s="7">
        <v>0</v>
      </c>
      <c r="C321" s="7">
        <v>2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64</v>
      </c>
      <c r="J321" s="7">
        <v>0</v>
      </c>
      <c r="K321" s="7">
        <v>66</v>
      </c>
      <c r="L321" s="7" t="b">
        <f t="shared" si="4"/>
        <v>1</v>
      </c>
    </row>
    <row r="322" spans="1:12" x14ac:dyDescent="0.25">
      <c r="A322" s="7" t="s">
        <v>1318</v>
      </c>
      <c r="B322" s="7">
        <v>0</v>
      </c>
      <c r="C322" s="7">
        <v>7</v>
      </c>
      <c r="D322" s="7">
        <v>0</v>
      </c>
      <c r="E322" s="7">
        <v>0</v>
      </c>
      <c r="F322" s="7">
        <v>0</v>
      </c>
      <c r="G322" s="7">
        <v>0</v>
      </c>
      <c r="H322" s="7">
        <v>0</v>
      </c>
      <c r="I322" s="7">
        <v>44</v>
      </c>
      <c r="J322" s="7">
        <v>2</v>
      </c>
      <c r="K322" s="7">
        <v>53</v>
      </c>
      <c r="L322" s="7" t="b">
        <f t="shared" si="4"/>
        <v>1</v>
      </c>
    </row>
    <row r="323" spans="1:12" x14ac:dyDescent="0.25">
      <c r="A323" s="7" t="s">
        <v>1319</v>
      </c>
      <c r="B323" s="7">
        <v>0</v>
      </c>
      <c r="C323" s="7">
        <v>118</v>
      </c>
      <c r="D323" s="7">
        <v>10</v>
      </c>
      <c r="E323" s="7">
        <v>0</v>
      </c>
      <c r="F323" s="7">
        <v>0</v>
      </c>
      <c r="G323" s="7">
        <v>4</v>
      </c>
      <c r="H323" s="7">
        <v>0</v>
      </c>
      <c r="I323" s="7">
        <v>50</v>
      </c>
      <c r="J323" s="7">
        <v>3</v>
      </c>
      <c r="K323" s="7">
        <v>185</v>
      </c>
      <c r="L323" s="7" t="b">
        <f t="shared" ref="L323:L386" si="5">K323=SUM(B323:J323)</f>
        <v>1</v>
      </c>
    </row>
    <row r="324" spans="1:12" x14ac:dyDescent="0.25">
      <c r="A324" s="7" t="s">
        <v>1320</v>
      </c>
      <c r="B324" s="7">
        <v>0</v>
      </c>
      <c r="C324" s="7">
        <v>29</v>
      </c>
      <c r="D324" s="7">
        <v>2</v>
      </c>
      <c r="E324" s="7">
        <v>0</v>
      </c>
      <c r="F324" s="7">
        <v>0</v>
      </c>
      <c r="G324" s="7">
        <v>1</v>
      </c>
      <c r="H324" s="7">
        <v>0</v>
      </c>
      <c r="I324" s="7">
        <v>49</v>
      </c>
      <c r="J324" s="7">
        <v>0</v>
      </c>
      <c r="K324" s="7">
        <v>81</v>
      </c>
      <c r="L324" s="7" t="b">
        <f t="shared" si="5"/>
        <v>1</v>
      </c>
    </row>
    <row r="325" spans="1:12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96</v>
      </c>
      <c r="J325" s="7">
        <v>0</v>
      </c>
      <c r="K325" s="7">
        <v>98</v>
      </c>
      <c r="L325" s="7" t="b">
        <f t="shared" si="5"/>
        <v>1</v>
      </c>
    </row>
    <row r="326" spans="1:12" x14ac:dyDescent="0.25">
      <c r="A326" s="7" t="s">
        <v>1322</v>
      </c>
      <c r="B326" s="7">
        <v>0</v>
      </c>
      <c r="C326" s="7">
        <v>83</v>
      </c>
      <c r="D326" s="7">
        <v>29</v>
      </c>
      <c r="E326" s="7">
        <v>0</v>
      </c>
      <c r="F326" s="7">
        <v>0</v>
      </c>
      <c r="G326" s="7">
        <v>0</v>
      </c>
      <c r="H326" s="7">
        <v>2</v>
      </c>
      <c r="I326" s="7">
        <v>41</v>
      </c>
      <c r="J326" s="7">
        <v>0</v>
      </c>
      <c r="K326" s="7">
        <v>155</v>
      </c>
      <c r="L326" s="7" t="b">
        <f t="shared" si="5"/>
        <v>1</v>
      </c>
    </row>
    <row r="327" spans="1:12" x14ac:dyDescent="0.25">
      <c r="A327" s="7" t="s">
        <v>1323</v>
      </c>
      <c r="B327" s="7">
        <v>0</v>
      </c>
      <c r="C327" s="7">
        <v>194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114</v>
      </c>
      <c r="J327" s="7">
        <v>0</v>
      </c>
      <c r="K327" s="7">
        <v>310</v>
      </c>
      <c r="L327" s="7" t="b">
        <f t="shared" si="5"/>
        <v>1</v>
      </c>
    </row>
    <row r="328" spans="1:12" x14ac:dyDescent="0.25">
      <c r="A328" s="7" t="s">
        <v>1324</v>
      </c>
      <c r="B328" s="7">
        <v>0</v>
      </c>
      <c r="C328" s="7">
        <v>148</v>
      </c>
      <c r="D328" s="7">
        <v>1</v>
      </c>
      <c r="E328" s="7">
        <v>0</v>
      </c>
      <c r="F328" s="7">
        <v>0</v>
      </c>
      <c r="G328" s="7">
        <v>1</v>
      </c>
      <c r="H328" s="7">
        <v>0</v>
      </c>
      <c r="I328" s="7">
        <v>0</v>
      </c>
      <c r="J328" s="7">
        <v>0</v>
      </c>
      <c r="K328" s="7">
        <v>150</v>
      </c>
      <c r="L328" s="7" t="b">
        <f t="shared" si="5"/>
        <v>1</v>
      </c>
    </row>
    <row r="329" spans="1:12" x14ac:dyDescent="0.25">
      <c r="A329" s="7" t="s">
        <v>1325</v>
      </c>
      <c r="B329" s="7">
        <v>0</v>
      </c>
      <c r="C329" s="7">
        <v>138</v>
      </c>
      <c r="D329" s="7">
        <v>7</v>
      </c>
      <c r="E329" s="7">
        <v>0</v>
      </c>
      <c r="F329" s="7">
        <v>0</v>
      </c>
      <c r="G329" s="7">
        <v>2</v>
      </c>
      <c r="H329" s="7">
        <v>0</v>
      </c>
      <c r="I329" s="7">
        <v>0</v>
      </c>
      <c r="J329" s="7">
        <v>0</v>
      </c>
      <c r="K329" s="7">
        <v>147</v>
      </c>
      <c r="L329" s="7" t="b">
        <f t="shared" si="5"/>
        <v>1</v>
      </c>
    </row>
    <row r="330" spans="1:12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  <c r="L330" s="7" t="b">
        <f t="shared" si="5"/>
        <v>1</v>
      </c>
    </row>
    <row r="331" spans="1:12" x14ac:dyDescent="0.25">
      <c r="A331" s="7" t="s">
        <v>1327</v>
      </c>
      <c r="B331" s="7">
        <v>0</v>
      </c>
      <c r="C331" s="7">
        <v>55</v>
      </c>
      <c r="D331" s="7">
        <v>1</v>
      </c>
      <c r="E331" s="7">
        <v>0</v>
      </c>
      <c r="F331" s="7">
        <v>0</v>
      </c>
      <c r="G331" s="7">
        <v>5</v>
      </c>
      <c r="H331" s="7">
        <v>0</v>
      </c>
      <c r="I331" s="7">
        <v>0</v>
      </c>
      <c r="J331" s="7">
        <v>0</v>
      </c>
      <c r="K331" s="7">
        <v>61</v>
      </c>
      <c r="L331" s="7" t="b">
        <f t="shared" si="5"/>
        <v>1</v>
      </c>
    </row>
    <row r="332" spans="1:12" x14ac:dyDescent="0.25">
      <c r="A332" s="7" t="s">
        <v>1328</v>
      </c>
      <c r="B332" s="7">
        <v>1</v>
      </c>
      <c r="C332" s="7">
        <v>54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0</v>
      </c>
      <c r="J332" s="7">
        <v>0</v>
      </c>
      <c r="K332" s="7">
        <v>60</v>
      </c>
      <c r="L332" s="7" t="b">
        <f t="shared" si="5"/>
        <v>1</v>
      </c>
    </row>
    <row r="333" spans="1:12" x14ac:dyDescent="0.25">
      <c r="A333" s="7" t="s">
        <v>1329</v>
      </c>
      <c r="B333" s="7">
        <v>0</v>
      </c>
      <c r="C333" s="7">
        <v>39</v>
      </c>
      <c r="D333" s="7">
        <v>8</v>
      </c>
      <c r="E333" s="7">
        <v>0</v>
      </c>
      <c r="F333" s="7">
        <v>0</v>
      </c>
      <c r="G333" s="7">
        <v>0</v>
      </c>
      <c r="H333" s="7">
        <v>0</v>
      </c>
      <c r="I333" s="7">
        <v>12</v>
      </c>
      <c r="J333" s="7">
        <v>2</v>
      </c>
      <c r="K333" s="7">
        <v>61</v>
      </c>
      <c r="L333" s="7" t="b">
        <f t="shared" si="5"/>
        <v>1</v>
      </c>
    </row>
    <row r="334" spans="1:12" x14ac:dyDescent="0.25">
      <c r="A334" s="7" t="s">
        <v>1330</v>
      </c>
      <c r="B334" s="7">
        <v>0</v>
      </c>
      <c r="C334" s="7">
        <v>16</v>
      </c>
      <c r="D334" s="7">
        <v>13</v>
      </c>
      <c r="E334" s="7">
        <v>0</v>
      </c>
      <c r="F334" s="7">
        <v>4</v>
      </c>
      <c r="G334" s="7">
        <v>0</v>
      </c>
      <c r="H334" s="7">
        <v>0</v>
      </c>
      <c r="I334" s="7">
        <v>6</v>
      </c>
      <c r="J334" s="7">
        <v>2</v>
      </c>
      <c r="K334" s="7">
        <v>41</v>
      </c>
      <c r="L334" s="7" t="b">
        <f t="shared" si="5"/>
        <v>1</v>
      </c>
    </row>
    <row r="335" spans="1:12" x14ac:dyDescent="0.25">
      <c r="A335" s="7" t="s">
        <v>1331</v>
      </c>
      <c r="B335" s="7">
        <v>0</v>
      </c>
      <c r="C335" s="7">
        <v>30</v>
      </c>
      <c r="D335" s="7">
        <v>8</v>
      </c>
      <c r="E335" s="7">
        <v>0</v>
      </c>
      <c r="F335" s="7">
        <v>0</v>
      </c>
      <c r="G335" s="7">
        <v>0</v>
      </c>
      <c r="H335" s="7">
        <v>0</v>
      </c>
      <c r="I335" s="7">
        <v>42</v>
      </c>
      <c r="J335" s="7">
        <v>6</v>
      </c>
      <c r="K335" s="7">
        <v>86</v>
      </c>
      <c r="L335" s="7" t="b">
        <f t="shared" si="5"/>
        <v>1</v>
      </c>
    </row>
    <row r="336" spans="1:12" x14ac:dyDescent="0.25">
      <c r="A336" s="7" t="s">
        <v>1332</v>
      </c>
      <c r="B336" s="7">
        <v>0</v>
      </c>
      <c r="C336" s="7">
        <v>33</v>
      </c>
      <c r="D336" s="7">
        <v>25</v>
      </c>
      <c r="E336" s="7">
        <v>0</v>
      </c>
      <c r="F336" s="7">
        <v>1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  <c r="L336" s="7" t="b">
        <f t="shared" si="5"/>
        <v>1</v>
      </c>
    </row>
    <row r="337" spans="1:12" x14ac:dyDescent="0.25">
      <c r="A337" s="7" t="s">
        <v>1333</v>
      </c>
      <c r="B337" s="7">
        <v>0</v>
      </c>
      <c r="C337" s="7">
        <v>1</v>
      </c>
      <c r="D337" s="7">
        <v>32</v>
      </c>
      <c r="E337" s="7">
        <v>0</v>
      </c>
      <c r="F337" s="7">
        <v>0</v>
      </c>
      <c r="G337" s="7">
        <v>0</v>
      </c>
      <c r="H337" s="7">
        <v>0</v>
      </c>
      <c r="I337" s="7">
        <v>81</v>
      </c>
      <c r="J337" s="7">
        <v>0</v>
      </c>
      <c r="K337" s="7">
        <v>114</v>
      </c>
      <c r="L337" s="7" t="b">
        <f t="shared" si="5"/>
        <v>1</v>
      </c>
    </row>
    <row r="338" spans="1:12" x14ac:dyDescent="0.25">
      <c r="A338" s="7" t="s">
        <v>1334</v>
      </c>
      <c r="B338" s="7">
        <v>0</v>
      </c>
      <c r="C338" s="7">
        <v>70</v>
      </c>
      <c r="D338" s="7">
        <v>20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  <c r="L338" s="7" t="b">
        <f t="shared" si="5"/>
        <v>1</v>
      </c>
    </row>
    <row r="339" spans="1:12" x14ac:dyDescent="0.25">
      <c r="A339" s="7" t="s">
        <v>1335</v>
      </c>
      <c r="B339" s="7">
        <v>0</v>
      </c>
      <c r="C339" s="7">
        <v>74</v>
      </c>
      <c r="D339" s="7">
        <v>3</v>
      </c>
      <c r="E339" s="7">
        <v>0</v>
      </c>
      <c r="F339" s="7">
        <v>0</v>
      </c>
      <c r="G339" s="7">
        <v>1</v>
      </c>
      <c r="H339" s="7">
        <v>0</v>
      </c>
      <c r="I339" s="7">
        <v>2</v>
      </c>
      <c r="J339" s="7">
        <v>2</v>
      </c>
      <c r="K339" s="7">
        <v>82</v>
      </c>
      <c r="L339" s="7" t="b">
        <f t="shared" si="5"/>
        <v>1</v>
      </c>
    </row>
    <row r="340" spans="1:12" x14ac:dyDescent="0.25">
      <c r="A340" s="7" t="s">
        <v>1336</v>
      </c>
      <c r="B340" s="7">
        <v>0</v>
      </c>
      <c r="C340" s="7">
        <v>0</v>
      </c>
      <c r="D340" s="7">
        <v>33</v>
      </c>
      <c r="E340" s="7">
        <v>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55</v>
      </c>
      <c r="L340" s="7" t="b">
        <f t="shared" si="5"/>
        <v>1</v>
      </c>
    </row>
    <row r="341" spans="1:12" x14ac:dyDescent="0.25">
      <c r="A341" s="7" t="s">
        <v>1337</v>
      </c>
      <c r="B341" s="7">
        <v>0</v>
      </c>
      <c r="C341" s="7">
        <v>16</v>
      </c>
      <c r="D341" s="7">
        <v>24</v>
      </c>
      <c r="E341" s="7">
        <v>0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  <c r="L341" s="7" t="b">
        <f t="shared" si="5"/>
        <v>1</v>
      </c>
    </row>
    <row r="342" spans="1:12" x14ac:dyDescent="0.25">
      <c r="A342" s="7" t="s">
        <v>1338</v>
      </c>
      <c r="B342" s="7">
        <v>0</v>
      </c>
      <c r="C342" s="7">
        <v>23</v>
      </c>
      <c r="D342" s="7">
        <v>13</v>
      </c>
      <c r="E342" s="7">
        <v>0</v>
      </c>
      <c r="F342" s="7">
        <v>0</v>
      </c>
      <c r="G342" s="7">
        <v>0</v>
      </c>
      <c r="H342" s="7">
        <v>0</v>
      </c>
      <c r="I342" s="7">
        <v>34</v>
      </c>
      <c r="J342" s="7">
        <v>2</v>
      </c>
      <c r="K342" s="7">
        <v>72</v>
      </c>
      <c r="L342" s="7" t="b">
        <f t="shared" si="5"/>
        <v>1</v>
      </c>
    </row>
    <row r="343" spans="1:12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  <c r="L343" s="7" t="b">
        <f t="shared" si="5"/>
        <v>1</v>
      </c>
    </row>
    <row r="344" spans="1:12" x14ac:dyDescent="0.25">
      <c r="A344" s="7" t="s">
        <v>1340</v>
      </c>
      <c r="B344" s="7">
        <v>0</v>
      </c>
      <c r="C344" s="7">
        <v>36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1</v>
      </c>
      <c r="J344" s="7">
        <v>0</v>
      </c>
      <c r="K344" s="7">
        <v>37</v>
      </c>
      <c r="L344" s="7" t="b">
        <f t="shared" si="5"/>
        <v>1</v>
      </c>
    </row>
    <row r="345" spans="1:12" x14ac:dyDescent="0.25">
      <c r="A345" s="7" t="s">
        <v>1341</v>
      </c>
      <c r="B345" s="7">
        <v>0</v>
      </c>
      <c r="C345" s="7">
        <v>0</v>
      </c>
      <c r="D345" s="7">
        <v>1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  <c r="L345" s="7" t="b">
        <f t="shared" si="5"/>
        <v>1</v>
      </c>
    </row>
    <row r="346" spans="1:12" x14ac:dyDescent="0.25">
      <c r="A346" s="7" t="s">
        <v>1342</v>
      </c>
      <c r="B346" s="7">
        <v>0</v>
      </c>
      <c r="C346" s="7">
        <v>0</v>
      </c>
      <c r="D346" s="7">
        <v>4</v>
      </c>
      <c r="E346" s="7">
        <v>0</v>
      </c>
      <c r="F346" s="7">
        <v>0</v>
      </c>
      <c r="G346" s="7">
        <v>0</v>
      </c>
      <c r="H346" s="7">
        <v>0</v>
      </c>
      <c r="I346" s="7">
        <v>6</v>
      </c>
      <c r="J346" s="7">
        <v>0</v>
      </c>
      <c r="K346" s="7">
        <v>10</v>
      </c>
      <c r="L346" s="7" t="b">
        <f t="shared" si="5"/>
        <v>1</v>
      </c>
    </row>
    <row r="347" spans="1:12" x14ac:dyDescent="0.25">
      <c r="A347" s="7" t="s">
        <v>2067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  <c r="L347" s="7" t="b">
        <f t="shared" si="5"/>
        <v>1</v>
      </c>
    </row>
    <row r="348" spans="1:12" x14ac:dyDescent="0.25">
      <c r="A348" s="7" t="s">
        <v>1343</v>
      </c>
      <c r="B348" s="7">
        <v>0</v>
      </c>
      <c r="C348" s="7">
        <v>69</v>
      </c>
      <c r="D348" s="7">
        <v>3</v>
      </c>
      <c r="E348" s="7">
        <v>0</v>
      </c>
      <c r="F348" s="7">
        <v>1</v>
      </c>
      <c r="G348" s="7">
        <v>0</v>
      </c>
      <c r="H348" s="7">
        <v>0</v>
      </c>
      <c r="I348" s="7">
        <v>90</v>
      </c>
      <c r="J348" s="7">
        <v>0</v>
      </c>
      <c r="K348" s="7">
        <v>163</v>
      </c>
      <c r="L348" s="7" t="b">
        <f t="shared" si="5"/>
        <v>1</v>
      </c>
    </row>
    <row r="349" spans="1:12" x14ac:dyDescent="0.25">
      <c r="A349" s="7" t="s">
        <v>1344</v>
      </c>
      <c r="B349" s="7">
        <v>0</v>
      </c>
      <c r="C349" s="7">
        <v>40</v>
      </c>
      <c r="D349" s="7">
        <v>1</v>
      </c>
      <c r="E349" s="7">
        <v>0</v>
      </c>
      <c r="F349" s="7">
        <v>1</v>
      </c>
      <c r="G349" s="7">
        <v>0</v>
      </c>
      <c r="H349" s="7">
        <v>0</v>
      </c>
      <c r="I349" s="7">
        <v>87</v>
      </c>
      <c r="J349" s="7">
        <v>37</v>
      </c>
      <c r="K349" s="7">
        <v>166</v>
      </c>
      <c r="L349" s="7" t="b">
        <f t="shared" si="5"/>
        <v>1</v>
      </c>
    </row>
    <row r="350" spans="1:12" x14ac:dyDescent="0.25">
      <c r="A350" s="7" t="s">
        <v>1345</v>
      </c>
      <c r="B350" s="7">
        <v>0</v>
      </c>
      <c r="C350" s="7">
        <v>64</v>
      </c>
      <c r="D350" s="7">
        <v>2</v>
      </c>
      <c r="E350" s="7">
        <v>0</v>
      </c>
      <c r="F350" s="7">
        <v>0</v>
      </c>
      <c r="G350" s="7">
        <v>0</v>
      </c>
      <c r="H350" s="7">
        <v>1</v>
      </c>
      <c r="I350" s="7">
        <v>162</v>
      </c>
      <c r="J350" s="7">
        <v>3</v>
      </c>
      <c r="K350" s="7">
        <v>232</v>
      </c>
      <c r="L350" s="7" t="b">
        <f t="shared" si="5"/>
        <v>1</v>
      </c>
    </row>
    <row r="351" spans="1:12" x14ac:dyDescent="0.25">
      <c r="A351" s="7" t="s">
        <v>1346</v>
      </c>
      <c r="B351" s="7">
        <v>0</v>
      </c>
      <c r="C351" s="7">
        <v>43</v>
      </c>
      <c r="D351" s="7">
        <v>3</v>
      </c>
      <c r="E351" s="7">
        <v>0</v>
      </c>
      <c r="F351" s="7">
        <v>0</v>
      </c>
      <c r="G351" s="7">
        <v>0</v>
      </c>
      <c r="H351" s="7">
        <v>0</v>
      </c>
      <c r="I351" s="7">
        <v>72</v>
      </c>
      <c r="J351" s="7">
        <v>0</v>
      </c>
      <c r="K351" s="7">
        <v>118</v>
      </c>
      <c r="L351" s="7" t="b">
        <f t="shared" si="5"/>
        <v>1</v>
      </c>
    </row>
    <row r="352" spans="1:12" x14ac:dyDescent="0.25">
      <c r="A352" s="7" t="s">
        <v>1347</v>
      </c>
      <c r="B352" s="7">
        <v>0</v>
      </c>
      <c r="C352" s="7">
        <v>96</v>
      </c>
      <c r="D352" s="7">
        <v>7</v>
      </c>
      <c r="E352" s="7">
        <v>0</v>
      </c>
      <c r="F352" s="7">
        <v>0</v>
      </c>
      <c r="G352" s="7">
        <v>1</v>
      </c>
      <c r="H352" s="7">
        <v>0</v>
      </c>
      <c r="I352" s="7">
        <v>6</v>
      </c>
      <c r="J352" s="7">
        <v>2</v>
      </c>
      <c r="K352" s="7">
        <v>112</v>
      </c>
      <c r="L352" s="7" t="b">
        <f t="shared" si="5"/>
        <v>1</v>
      </c>
    </row>
    <row r="353" spans="1:12" x14ac:dyDescent="0.25">
      <c r="A353" s="7" t="s">
        <v>1348</v>
      </c>
      <c r="B353" s="7">
        <v>0</v>
      </c>
      <c r="C353" s="7">
        <v>121</v>
      </c>
      <c r="D353" s="7">
        <v>6</v>
      </c>
      <c r="E353" s="7">
        <v>0</v>
      </c>
      <c r="F353" s="7">
        <v>0</v>
      </c>
      <c r="G353" s="7">
        <v>0</v>
      </c>
      <c r="H353" s="7">
        <v>0</v>
      </c>
      <c r="I353" s="7">
        <v>66</v>
      </c>
      <c r="J353" s="7">
        <v>3</v>
      </c>
      <c r="K353" s="7">
        <v>196</v>
      </c>
      <c r="L353" s="7" t="b">
        <f t="shared" si="5"/>
        <v>1</v>
      </c>
    </row>
    <row r="354" spans="1:12" x14ac:dyDescent="0.25">
      <c r="A354" s="7" t="s">
        <v>1349</v>
      </c>
      <c r="B354" s="7">
        <v>0</v>
      </c>
      <c r="C354" s="7">
        <v>85</v>
      </c>
      <c r="D354" s="7">
        <v>5</v>
      </c>
      <c r="E354" s="7">
        <v>0</v>
      </c>
      <c r="F354" s="7">
        <v>0</v>
      </c>
      <c r="G354" s="7">
        <v>1</v>
      </c>
      <c r="H354" s="7">
        <v>0</v>
      </c>
      <c r="I354" s="7">
        <v>98</v>
      </c>
      <c r="J354" s="7">
        <v>0</v>
      </c>
      <c r="K354" s="7">
        <v>189</v>
      </c>
      <c r="L354" s="7" t="b">
        <f t="shared" si="5"/>
        <v>1</v>
      </c>
    </row>
    <row r="355" spans="1:12" x14ac:dyDescent="0.25">
      <c r="A355" s="7" t="s">
        <v>1350</v>
      </c>
      <c r="B355" s="7">
        <v>0</v>
      </c>
      <c r="C355" s="7">
        <v>64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4</v>
      </c>
      <c r="K355" s="7">
        <v>70</v>
      </c>
      <c r="L355" s="7" t="b">
        <f t="shared" si="5"/>
        <v>1</v>
      </c>
    </row>
    <row r="356" spans="1:12" x14ac:dyDescent="0.25">
      <c r="A356" s="7" t="s">
        <v>1351</v>
      </c>
      <c r="B356" s="7">
        <v>0</v>
      </c>
      <c r="C356" s="7">
        <v>12</v>
      </c>
      <c r="D356" s="7">
        <v>16</v>
      </c>
      <c r="E356" s="7">
        <v>0</v>
      </c>
      <c r="F356" s="7">
        <v>0</v>
      </c>
      <c r="G356" s="7">
        <v>0</v>
      </c>
      <c r="H356" s="7">
        <v>0</v>
      </c>
      <c r="I356" s="7">
        <v>143</v>
      </c>
      <c r="J356" s="7">
        <v>0</v>
      </c>
      <c r="K356" s="7">
        <v>171</v>
      </c>
      <c r="L356" s="7" t="b">
        <f t="shared" si="5"/>
        <v>1</v>
      </c>
    </row>
    <row r="357" spans="1:12" x14ac:dyDescent="0.25">
      <c r="A357" s="7" t="s">
        <v>1352</v>
      </c>
      <c r="B357" s="7">
        <v>0</v>
      </c>
      <c r="C357" s="7">
        <v>60</v>
      </c>
      <c r="D357" s="7">
        <v>15</v>
      </c>
      <c r="E357" s="7">
        <v>0</v>
      </c>
      <c r="F357" s="7">
        <v>0</v>
      </c>
      <c r="G357" s="7">
        <v>1</v>
      </c>
      <c r="H357" s="7">
        <v>0</v>
      </c>
      <c r="I357" s="7">
        <v>8</v>
      </c>
      <c r="J357" s="7">
        <v>0</v>
      </c>
      <c r="K357" s="7">
        <v>84</v>
      </c>
      <c r="L357" s="7" t="b">
        <f t="shared" si="5"/>
        <v>1</v>
      </c>
    </row>
    <row r="358" spans="1:12" x14ac:dyDescent="0.25">
      <c r="A358" s="7" t="s">
        <v>1353</v>
      </c>
      <c r="B358" s="7">
        <v>0</v>
      </c>
      <c r="C358" s="7">
        <v>176</v>
      </c>
      <c r="D358" s="7">
        <v>21</v>
      </c>
      <c r="E358" s="7">
        <v>0</v>
      </c>
      <c r="F358" s="7">
        <v>0</v>
      </c>
      <c r="G358" s="7">
        <v>3</v>
      </c>
      <c r="H358" s="7">
        <v>0</v>
      </c>
      <c r="I358" s="7">
        <v>17</v>
      </c>
      <c r="J358" s="7">
        <v>1</v>
      </c>
      <c r="K358" s="7">
        <v>218</v>
      </c>
      <c r="L358" s="7" t="b">
        <f t="shared" si="5"/>
        <v>1</v>
      </c>
    </row>
    <row r="359" spans="1:12" x14ac:dyDescent="0.25">
      <c r="A359" s="7" t="s">
        <v>1354</v>
      </c>
      <c r="B359" s="7">
        <v>0</v>
      </c>
      <c r="C359" s="7">
        <v>204</v>
      </c>
      <c r="D359" s="7">
        <v>15</v>
      </c>
      <c r="E359" s="7">
        <v>0</v>
      </c>
      <c r="F359" s="7">
        <v>3</v>
      </c>
      <c r="G359" s="7">
        <v>7</v>
      </c>
      <c r="H359" s="7">
        <v>0</v>
      </c>
      <c r="I359" s="7">
        <v>12</v>
      </c>
      <c r="J359" s="7">
        <v>0</v>
      </c>
      <c r="K359" s="7">
        <v>241</v>
      </c>
      <c r="L359" s="7" t="b">
        <f t="shared" si="5"/>
        <v>1</v>
      </c>
    </row>
    <row r="360" spans="1:12" x14ac:dyDescent="0.25">
      <c r="A360" s="7" t="s">
        <v>1355</v>
      </c>
      <c r="B360" s="7">
        <v>0</v>
      </c>
      <c r="C360" s="7">
        <v>74</v>
      </c>
      <c r="D360" s="7">
        <v>35</v>
      </c>
      <c r="E360" s="7">
        <v>0</v>
      </c>
      <c r="F360" s="7">
        <v>0</v>
      </c>
      <c r="G360" s="7">
        <v>1</v>
      </c>
      <c r="H360" s="7">
        <v>0</v>
      </c>
      <c r="I360" s="7">
        <v>110</v>
      </c>
      <c r="J360" s="7">
        <v>0</v>
      </c>
      <c r="K360" s="7">
        <v>220</v>
      </c>
      <c r="L360" s="7" t="b">
        <f t="shared" si="5"/>
        <v>1</v>
      </c>
    </row>
    <row r="361" spans="1:12" x14ac:dyDescent="0.25">
      <c r="A361" s="7" t="s">
        <v>1356</v>
      </c>
      <c r="B361" s="7">
        <v>0</v>
      </c>
      <c r="C361" s="7">
        <v>90</v>
      </c>
      <c r="D361" s="7">
        <v>16</v>
      </c>
      <c r="E361" s="7">
        <v>0</v>
      </c>
      <c r="F361" s="7">
        <v>0</v>
      </c>
      <c r="G361" s="7">
        <v>1</v>
      </c>
      <c r="H361" s="7">
        <v>0</v>
      </c>
      <c r="I361" s="7">
        <v>25</v>
      </c>
      <c r="J361" s="7">
        <v>0</v>
      </c>
      <c r="K361" s="7">
        <v>132</v>
      </c>
      <c r="L361" s="7" t="b">
        <f t="shared" si="5"/>
        <v>1</v>
      </c>
    </row>
    <row r="362" spans="1:12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  <c r="L362" s="7" t="b">
        <f t="shared" si="5"/>
        <v>1</v>
      </c>
    </row>
    <row r="363" spans="1:12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  <c r="L363" s="7" t="b">
        <f t="shared" si="5"/>
        <v>1</v>
      </c>
    </row>
    <row r="364" spans="1:12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  <c r="L364" s="7" t="b">
        <f t="shared" si="5"/>
        <v>1</v>
      </c>
    </row>
    <row r="365" spans="1:12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  <c r="L365" s="7" t="b">
        <f t="shared" si="5"/>
        <v>1</v>
      </c>
    </row>
    <row r="366" spans="1:12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  <c r="L366" s="7" t="b">
        <f t="shared" si="5"/>
        <v>1</v>
      </c>
    </row>
    <row r="367" spans="1:12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  <c r="L367" s="7" t="b">
        <f t="shared" si="5"/>
        <v>1</v>
      </c>
    </row>
    <row r="368" spans="1:12" x14ac:dyDescent="0.25">
      <c r="A368" s="7" t="s">
        <v>1363</v>
      </c>
      <c r="B368" s="7">
        <v>0</v>
      </c>
      <c r="C368" s="7">
        <v>50</v>
      </c>
      <c r="D368" s="7">
        <v>3</v>
      </c>
      <c r="E368" s="7">
        <v>0</v>
      </c>
      <c r="F368" s="7">
        <v>0</v>
      </c>
      <c r="G368" s="7">
        <v>0</v>
      </c>
      <c r="H368" s="7">
        <v>0</v>
      </c>
      <c r="I368" s="7">
        <v>116</v>
      </c>
      <c r="J368" s="7">
        <v>0</v>
      </c>
      <c r="K368" s="7">
        <v>169</v>
      </c>
      <c r="L368" s="7" t="b">
        <f t="shared" si="5"/>
        <v>1</v>
      </c>
    </row>
    <row r="369" spans="1:12" x14ac:dyDescent="0.25">
      <c r="A369" s="7" t="s">
        <v>1364</v>
      </c>
      <c r="B369" s="7">
        <v>0</v>
      </c>
      <c r="C369" s="7">
        <v>41</v>
      </c>
      <c r="D369" s="7">
        <v>1</v>
      </c>
      <c r="E369" s="7">
        <v>0</v>
      </c>
      <c r="F369" s="7">
        <v>0</v>
      </c>
      <c r="G369" s="7">
        <v>0</v>
      </c>
      <c r="H369" s="7">
        <v>0</v>
      </c>
      <c r="I369" s="7">
        <v>201</v>
      </c>
      <c r="J369" s="7">
        <v>0</v>
      </c>
      <c r="K369" s="7">
        <v>243</v>
      </c>
      <c r="L369" s="7" t="b">
        <f t="shared" si="5"/>
        <v>1</v>
      </c>
    </row>
    <row r="370" spans="1:12" x14ac:dyDescent="0.25">
      <c r="A370" s="7" t="s">
        <v>1365</v>
      </c>
      <c r="B370" s="7">
        <v>0</v>
      </c>
      <c r="C370" s="7">
        <v>10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149</v>
      </c>
      <c r="J370" s="7">
        <v>0</v>
      </c>
      <c r="K370" s="7">
        <v>159</v>
      </c>
      <c r="L370" s="7" t="b">
        <f t="shared" si="5"/>
        <v>1</v>
      </c>
    </row>
    <row r="371" spans="1:12" x14ac:dyDescent="0.25">
      <c r="A371" s="7" t="s">
        <v>1366</v>
      </c>
      <c r="B371" s="7">
        <v>0</v>
      </c>
      <c r="C371" s="7">
        <v>191</v>
      </c>
      <c r="D371" s="7">
        <v>0</v>
      </c>
      <c r="E371" s="7">
        <v>0</v>
      </c>
      <c r="F371" s="7">
        <v>0</v>
      </c>
      <c r="G371" s="7">
        <v>1</v>
      </c>
      <c r="H371" s="7">
        <v>0</v>
      </c>
      <c r="I371" s="7">
        <v>3</v>
      </c>
      <c r="J371" s="7">
        <v>0</v>
      </c>
      <c r="K371" s="7">
        <v>195</v>
      </c>
      <c r="L371" s="7" t="b">
        <f t="shared" si="5"/>
        <v>1</v>
      </c>
    </row>
    <row r="372" spans="1:12" x14ac:dyDescent="0.25">
      <c r="A372" s="7" t="s">
        <v>1367</v>
      </c>
      <c r="B372" s="7">
        <v>0</v>
      </c>
      <c r="C372" s="7">
        <v>190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22</v>
      </c>
      <c r="J372" s="7">
        <v>1</v>
      </c>
      <c r="K372" s="7">
        <v>213</v>
      </c>
      <c r="L372" s="7" t="b">
        <f t="shared" si="5"/>
        <v>1</v>
      </c>
    </row>
    <row r="373" spans="1:12" x14ac:dyDescent="0.25">
      <c r="A373" s="7" t="s">
        <v>1368</v>
      </c>
      <c r="B373" s="7">
        <v>0</v>
      </c>
      <c r="C373" s="7">
        <v>333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1</v>
      </c>
      <c r="K373" s="7">
        <v>336</v>
      </c>
      <c r="L373" s="7" t="b">
        <f t="shared" si="5"/>
        <v>1</v>
      </c>
    </row>
    <row r="374" spans="1:12" x14ac:dyDescent="0.25">
      <c r="A374" s="7" t="s">
        <v>1369</v>
      </c>
      <c r="B374" s="7">
        <v>0</v>
      </c>
      <c r="C374" s="7">
        <v>316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0</v>
      </c>
      <c r="J374" s="7">
        <v>0</v>
      </c>
      <c r="K374" s="7">
        <v>323</v>
      </c>
      <c r="L374" s="7" t="b">
        <f t="shared" si="5"/>
        <v>1</v>
      </c>
    </row>
    <row r="375" spans="1:12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0</v>
      </c>
      <c r="K375" s="7">
        <v>124</v>
      </c>
      <c r="L375" s="7" t="b">
        <f t="shared" si="5"/>
        <v>1</v>
      </c>
    </row>
    <row r="376" spans="1:12" x14ac:dyDescent="0.25">
      <c r="A376" s="7" t="s">
        <v>1371</v>
      </c>
      <c r="B376" s="7">
        <v>0</v>
      </c>
      <c r="C376" s="7">
        <v>101</v>
      </c>
      <c r="D376" s="7">
        <v>2</v>
      </c>
      <c r="E376" s="7">
        <v>0</v>
      </c>
      <c r="F376" s="7">
        <v>0</v>
      </c>
      <c r="G376" s="7">
        <v>3</v>
      </c>
      <c r="H376" s="7">
        <v>0</v>
      </c>
      <c r="I376" s="7">
        <v>37</v>
      </c>
      <c r="J376" s="7">
        <v>0</v>
      </c>
      <c r="K376" s="7">
        <v>143</v>
      </c>
      <c r="L376" s="7" t="b">
        <f t="shared" si="5"/>
        <v>1</v>
      </c>
    </row>
    <row r="377" spans="1:12" x14ac:dyDescent="0.25">
      <c r="A377" s="7" t="s">
        <v>1372</v>
      </c>
      <c r="B377" s="7">
        <v>0</v>
      </c>
      <c r="C377" s="7">
        <v>182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21</v>
      </c>
      <c r="J377" s="7">
        <v>0</v>
      </c>
      <c r="K377" s="7">
        <v>203</v>
      </c>
      <c r="L377" s="7" t="b">
        <f t="shared" si="5"/>
        <v>1</v>
      </c>
    </row>
    <row r="378" spans="1:12" x14ac:dyDescent="0.25">
      <c r="A378" s="7" t="s">
        <v>1373</v>
      </c>
      <c r="B378" s="7">
        <v>0</v>
      </c>
      <c r="C378" s="7">
        <v>18</v>
      </c>
      <c r="D378" s="7">
        <v>7</v>
      </c>
      <c r="E378" s="7">
        <v>2</v>
      </c>
      <c r="F378" s="7">
        <v>0</v>
      </c>
      <c r="G378" s="7">
        <v>0</v>
      </c>
      <c r="H378" s="7">
        <v>0</v>
      </c>
      <c r="I378" s="7">
        <v>133</v>
      </c>
      <c r="J378" s="7">
        <v>6</v>
      </c>
      <c r="K378" s="7">
        <v>166</v>
      </c>
      <c r="L378" s="7" t="b">
        <f t="shared" si="5"/>
        <v>1</v>
      </c>
    </row>
    <row r="379" spans="1:12" x14ac:dyDescent="0.25">
      <c r="A379" s="7" t="s">
        <v>1374</v>
      </c>
      <c r="B379" s="7">
        <v>0</v>
      </c>
      <c r="C379" s="7">
        <v>71</v>
      </c>
      <c r="D379" s="7">
        <v>54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125</v>
      </c>
      <c r="L379" s="7" t="b">
        <f t="shared" si="5"/>
        <v>1</v>
      </c>
    </row>
    <row r="380" spans="1:12" x14ac:dyDescent="0.25">
      <c r="A380" s="7" t="s">
        <v>1375</v>
      </c>
      <c r="B380" s="7">
        <v>0</v>
      </c>
      <c r="C380" s="7">
        <v>84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  <c r="L380" s="7" t="b">
        <f t="shared" si="5"/>
        <v>1</v>
      </c>
    </row>
    <row r="381" spans="1:12" x14ac:dyDescent="0.25">
      <c r="A381" s="7" t="s">
        <v>1376</v>
      </c>
      <c r="B381" s="7">
        <v>0</v>
      </c>
      <c r="C381" s="7">
        <v>9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56</v>
      </c>
      <c r="J381" s="7">
        <v>2</v>
      </c>
      <c r="K381" s="7">
        <v>92</v>
      </c>
      <c r="L381" s="7" t="b">
        <f t="shared" si="5"/>
        <v>1</v>
      </c>
    </row>
    <row r="382" spans="1:12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  <c r="L382" s="7" t="b">
        <f t="shared" si="5"/>
        <v>1</v>
      </c>
    </row>
    <row r="383" spans="1:12" x14ac:dyDescent="0.25">
      <c r="A383" s="7" t="s">
        <v>1378</v>
      </c>
      <c r="B383" s="7">
        <v>0</v>
      </c>
      <c r="C383" s="7">
        <v>92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17</v>
      </c>
      <c r="J383" s="7">
        <v>0</v>
      </c>
      <c r="K383" s="7">
        <v>110</v>
      </c>
      <c r="L383" s="7" t="b">
        <f t="shared" si="5"/>
        <v>1</v>
      </c>
    </row>
    <row r="384" spans="1:12" x14ac:dyDescent="0.25">
      <c r="A384" s="7" t="s">
        <v>1379</v>
      </c>
      <c r="B384" s="7">
        <v>0</v>
      </c>
      <c r="C384" s="7">
        <v>83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64</v>
      </c>
      <c r="J384" s="7">
        <v>0</v>
      </c>
      <c r="K384" s="7">
        <v>147</v>
      </c>
      <c r="L384" s="7" t="b">
        <f t="shared" si="5"/>
        <v>1</v>
      </c>
    </row>
    <row r="385" spans="1:12" x14ac:dyDescent="0.25">
      <c r="A385" s="7" t="s">
        <v>1380</v>
      </c>
      <c r="B385" s="7">
        <v>0</v>
      </c>
      <c r="C385" s="7">
        <v>23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94</v>
      </c>
      <c r="J385" s="7">
        <v>0</v>
      </c>
      <c r="K385" s="7">
        <v>117</v>
      </c>
      <c r="L385" s="7" t="b">
        <f t="shared" si="5"/>
        <v>1</v>
      </c>
    </row>
    <row r="386" spans="1:12" x14ac:dyDescent="0.25">
      <c r="A386" s="7" t="s">
        <v>1381</v>
      </c>
      <c r="B386" s="7">
        <v>0</v>
      </c>
      <c r="C386" s="7">
        <v>47</v>
      </c>
      <c r="D386" s="7">
        <v>47</v>
      </c>
      <c r="E386" s="7">
        <v>0</v>
      </c>
      <c r="F386" s="7">
        <v>0</v>
      </c>
      <c r="G386" s="7">
        <v>0</v>
      </c>
      <c r="H386" s="7">
        <v>0</v>
      </c>
      <c r="I386" s="7">
        <v>76</v>
      </c>
      <c r="J386" s="7">
        <v>9</v>
      </c>
      <c r="K386" s="7">
        <v>179</v>
      </c>
      <c r="L386" s="7" t="b">
        <f t="shared" si="5"/>
        <v>1</v>
      </c>
    </row>
    <row r="387" spans="1:12" x14ac:dyDescent="0.25">
      <c r="A387" s="7" t="s">
        <v>1382</v>
      </c>
      <c r="B387" s="7">
        <v>0</v>
      </c>
      <c r="C387" s="7">
        <v>114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17</v>
      </c>
      <c r="J387" s="7">
        <v>0</v>
      </c>
      <c r="K387" s="7">
        <v>133</v>
      </c>
      <c r="L387" s="7" t="b">
        <f t="shared" ref="L387:L450" si="6">K387=SUM(B387:J387)</f>
        <v>1</v>
      </c>
    </row>
    <row r="388" spans="1:12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49</v>
      </c>
      <c r="J388" s="7">
        <v>0</v>
      </c>
      <c r="K388" s="7">
        <v>101</v>
      </c>
      <c r="L388" s="7" t="b">
        <f t="shared" si="6"/>
        <v>1</v>
      </c>
    </row>
    <row r="389" spans="1:12" x14ac:dyDescent="0.25">
      <c r="A389" s="7" t="s">
        <v>1384</v>
      </c>
      <c r="B389" s="7">
        <v>0</v>
      </c>
      <c r="C389" s="7">
        <v>27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90</v>
      </c>
      <c r="J389" s="7">
        <v>0</v>
      </c>
      <c r="K389" s="7">
        <v>118</v>
      </c>
      <c r="L389" s="7" t="b">
        <f t="shared" si="6"/>
        <v>1</v>
      </c>
    </row>
    <row r="390" spans="1:12" x14ac:dyDescent="0.25">
      <c r="A390" s="7" t="s">
        <v>1385</v>
      </c>
      <c r="B390" s="7">
        <v>0</v>
      </c>
      <c r="C390" s="7">
        <v>139</v>
      </c>
      <c r="D390" s="7">
        <v>1</v>
      </c>
      <c r="E390" s="7">
        <v>0</v>
      </c>
      <c r="F390" s="7">
        <v>0</v>
      </c>
      <c r="G390" s="7">
        <v>1</v>
      </c>
      <c r="H390" s="7">
        <v>0</v>
      </c>
      <c r="I390" s="7">
        <v>4</v>
      </c>
      <c r="J390" s="7">
        <v>3</v>
      </c>
      <c r="K390" s="7">
        <v>148</v>
      </c>
      <c r="L390" s="7" t="b">
        <f t="shared" si="6"/>
        <v>1</v>
      </c>
    </row>
    <row r="391" spans="1:12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96</v>
      </c>
      <c r="J391" s="7">
        <v>21</v>
      </c>
      <c r="K391" s="7">
        <v>135</v>
      </c>
      <c r="L391" s="7" t="b">
        <f t="shared" si="6"/>
        <v>1</v>
      </c>
    </row>
    <row r="392" spans="1:12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  <c r="L392" s="7" t="b">
        <f t="shared" si="6"/>
        <v>1</v>
      </c>
    </row>
    <row r="393" spans="1:12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  <c r="L393" s="7" t="b">
        <f t="shared" si="6"/>
        <v>1</v>
      </c>
    </row>
    <row r="394" spans="1:12" x14ac:dyDescent="0.25">
      <c r="A394" s="7" t="s">
        <v>1389</v>
      </c>
      <c r="B394" s="7">
        <v>0</v>
      </c>
      <c r="C394" s="7">
        <v>90</v>
      </c>
      <c r="D394" s="7">
        <v>11</v>
      </c>
      <c r="E394" s="7">
        <v>0</v>
      </c>
      <c r="F394" s="7">
        <v>0</v>
      </c>
      <c r="G394" s="7">
        <v>0</v>
      </c>
      <c r="H394" s="7">
        <v>0</v>
      </c>
      <c r="I394" s="7">
        <v>79</v>
      </c>
      <c r="J394" s="7">
        <v>2</v>
      </c>
      <c r="K394" s="7">
        <v>182</v>
      </c>
      <c r="L394" s="7" t="b">
        <f t="shared" si="6"/>
        <v>1</v>
      </c>
    </row>
    <row r="395" spans="1:12" x14ac:dyDescent="0.25">
      <c r="A395" s="7" t="s">
        <v>1390</v>
      </c>
      <c r="B395" s="7">
        <v>0</v>
      </c>
      <c r="C395" s="7">
        <v>126</v>
      </c>
      <c r="D395" s="7">
        <v>7</v>
      </c>
      <c r="E395" s="7">
        <v>0</v>
      </c>
      <c r="F395" s="7">
        <v>0</v>
      </c>
      <c r="G395" s="7">
        <v>4</v>
      </c>
      <c r="H395" s="7">
        <v>0</v>
      </c>
      <c r="I395" s="7">
        <v>24</v>
      </c>
      <c r="J395" s="7">
        <v>0</v>
      </c>
      <c r="K395" s="7">
        <v>161</v>
      </c>
      <c r="L395" s="7" t="b">
        <f t="shared" si="6"/>
        <v>1</v>
      </c>
    </row>
    <row r="396" spans="1:12" x14ac:dyDescent="0.25">
      <c r="A396" s="7" t="s">
        <v>1391</v>
      </c>
      <c r="B396" s="7">
        <v>0</v>
      </c>
      <c r="C396" s="7">
        <v>13</v>
      </c>
      <c r="D396" s="7">
        <v>9</v>
      </c>
      <c r="E396" s="7">
        <v>0</v>
      </c>
      <c r="F396" s="7">
        <v>0</v>
      </c>
      <c r="G396" s="7">
        <v>0</v>
      </c>
      <c r="H396" s="7">
        <v>0</v>
      </c>
      <c r="I396" s="7">
        <v>95</v>
      </c>
      <c r="J396" s="7">
        <v>0</v>
      </c>
      <c r="K396" s="7">
        <v>117</v>
      </c>
      <c r="L396" s="7" t="b">
        <f t="shared" si="6"/>
        <v>1</v>
      </c>
    </row>
    <row r="397" spans="1:12" x14ac:dyDescent="0.25">
      <c r="A397" s="7" t="s">
        <v>1392</v>
      </c>
      <c r="B397" s="7">
        <v>0</v>
      </c>
      <c r="C397" s="7">
        <v>12</v>
      </c>
      <c r="D397" s="7">
        <v>29</v>
      </c>
      <c r="E397" s="7">
        <v>0</v>
      </c>
      <c r="F397" s="7">
        <v>0</v>
      </c>
      <c r="G397" s="7">
        <v>0</v>
      </c>
      <c r="H397" s="7">
        <v>0</v>
      </c>
      <c r="I397" s="7">
        <v>89</v>
      </c>
      <c r="J397" s="7">
        <v>2</v>
      </c>
      <c r="K397" s="7">
        <v>132</v>
      </c>
      <c r="L397" s="7" t="b">
        <f t="shared" si="6"/>
        <v>1</v>
      </c>
    </row>
    <row r="398" spans="1:12" x14ac:dyDescent="0.25">
      <c r="A398" s="7" t="s">
        <v>1393</v>
      </c>
      <c r="B398" s="7">
        <v>0</v>
      </c>
      <c r="C398" s="7">
        <v>64</v>
      </c>
      <c r="D398" s="7">
        <v>3</v>
      </c>
      <c r="E398" s="7">
        <v>0</v>
      </c>
      <c r="F398" s="7">
        <v>1</v>
      </c>
      <c r="G398" s="7">
        <v>0</v>
      </c>
      <c r="H398" s="7">
        <v>0</v>
      </c>
      <c r="I398" s="7">
        <v>41</v>
      </c>
      <c r="J398" s="7">
        <v>15</v>
      </c>
      <c r="K398" s="7">
        <v>124</v>
      </c>
      <c r="L398" s="7" t="b">
        <f t="shared" si="6"/>
        <v>1</v>
      </c>
    </row>
    <row r="399" spans="1:12" x14ac:dyDescent="0.25">
      <c r="A399" s="7" t="s">
        <v>1394</v>
      </c>
      <c r="B399" s="7">
        <v>0</v>
      </c>
      <c r="C399" s="7">
        <v>17</v>
      </c>
      <c r="D399" s="7">
        <v>12</v>
      </c>
      <c r="E399" s="7">
        <v>0</v>
      </c>
      <c r="F399" s="7">
        <v>0</v>
      </c>
      <c r="G399" s="7">
        <v>0</v>
      </c>
      <c r="H399" s="7">
        <v>0</v>
      </c>
      <c r="I399" s="7">
        <v>109</v>
      </c>
      <c r="J399" s="7">
        <v>2</v>
      </c>
      <c r="K399" s="7">
        <v>140</v>
      </c>
      <c r="L399" s="7" t="b">
        <f t="shared" si="6"/>
        <v>1</v>
      </c>
    </row>
    <row r="400" spans="1:12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73</v>
      </c>
      <c r="J400" s="7">
        <v>0</v>
      </c>
      <c r="K400" s="7">
        <v>85</v>
      </c>
      <c r="L400" s="7" t="b">
        <f t="shared" si="6"/>
        <v>1</v>
      </c>
    </row>
    <row r="401" spans="1:12" x14ac:dyDescent="0.25">
      <c r="A401" s="7" t="s">
        <v>1396</v>
      </c>
      <c r="B401" s="7">
        <v>0</v>
      </c>
      <c r="C401" s="7">
        <v>56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57</v>
      </c>
      <c r="L401" s="7" t="b">
        <f t="shared" si="6"/>
        <v>1</v>
      </c>
    </row>
    <row r="402" spans="1:12" x14ac:dyDescent="0.25">
      <c r="A402" s="7" t="s">
        <v>1397</v>
      </c>
      <c r="B402" s="7">
        <v>0</v>
      </c>
      <c r="C402" s="7">
        <v>62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3</v>
      </c>
      <c r="J402" s="7">
        <v>0</v>
      </c>
      <c r="K402" s="7">
        <v>66</v>
      </c>
      <c r="L402" s="7" t="b">
        <f t="shared" si="6"/>
        <v>1</v>
      </c>
    </row>
    <row r="403" spans="1:12" x14ac:dyDescent="0.25">
      <c r="A403" s="7" t="s">
        <v>1398</v>
      </c>
      <c r="B403" s="7">
        <v>0</v>
      </c>
      <c r="C403" s="7">
        <v>77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1</v>
      </c>
      <c r="K403" s="7">
        <v>78</v>
      </c>
      <c r="L403" s="7" t="b">
        <f t="shared" si="6"/>
        <v>1</v>
      </c>
    </row>
    <row r="404" spans="1:12" x14ac:dyDescent="0.25">
      <c r="A404" s="7" t="s">
        <v>1399</v>
      </c>
      <c r="B404" s="7">
        <v>0</v>
      </c>
      <c r="C404" s="7">
        <v>135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3</v>
      </c>
      <c r="J404" s="7">
        <v>0</v>
      </c>
      <c r="K404" s="7">
        <v>141</v>
      </c>
      <c r="L404" s="7" t="b">
        <f t="shared" si="6"/>
        <v>1</v>
      </c>
    </row>
    <row r="405" spans="1:12" x14ac:dyDescent="0.25">
      <c r="A405" s="7" t="s">
        <v>1400</v>
      </c>
      <c r="B405" s="7">
        <v>0</v>
      </c>
      <c r="C405" s="7">
        <v>67</v>
      </c>
      <c r="D405" s="7">
        <v>5</v>
      </c>
      <c r="E405" s="7">
        <v>0</v>
      </c>
      <c r="F405" s="7">
        <v>0</v>
      </c>
      <c r="G405" s="7">
        <v>1</v>
      </c>
      <c r="H405" s="7">
        <v>0</v>
      </c>
      <c r="I405" s="7">
        <v>2</v>
      </c>
      <c r="J405" s="7">
        <v>1</v>
      </c>
      <c r="K405" s="7">
        <v>76</v>
      </c>
      <c r="L405" s="7" t="b">
        <f t="shared" si="6"/>
        <v>1</v>
      </c>
    </row>
    <row r="406" spans="1:12" x14ac:dyDescent="0.25">
      <c r="A406" s="7" t="s">
        <v>1401</v>
      </c>
      <c r="B406" s="7">
        <v>0</v>
      </c>
      <c r="C406" s="7">
        <v>87</v>
      </c>
      <c r="D406" s="7">
        <v>2</v>
      </c>
      <c r="E406" s="7">
        <v>0</v>
      </c>
      <c r="F406" s="7">
        <v>0</v>
      </c>
      <c r="G406" s="7">
        <v>0</v>
      </c>
      <c r="H406" s="7">
        <v>0</v>
      </c>
      <c r="I406" s="7">
        <v>1</v>
      </c>
      <c r="J406" s="7">
        <v>1</v>
      </c>
      <c r="K406" s="7">
        <v>91</v>
      </c>
      <c r="L406" s="7" t="b">
        <f t="shared" si="6"/>
        <v>1</v>
      </c>
    </row>
    <row r="407" spans="1:12" x14ac:dyDescent="0.25">
      <c r="A407" s="7" t="s">
        <v>1402</v>
      </c>
      <c r="B407" s="7">
        <v>0</v>
      </c>
      <c r="C407" s="7">
        <v>72</v>
      </c>
      <c r="D407" s="7">
        <v>1</v>
      </c>
      <c r="E407" s="7">
        <v>0</v>
      </c>
      <c r="F407" s="7">
        <v>0</v>
      </c>
      <c r="G407" s="7">
        <v>1</v>
      </c>
      <c r="H407" s="7">
        <v>0</v>
      </c>
      <c r="I407" s="7">
        <v>0</v>
      </c>
      <c r="J407" s="7">
        <v>0</v>
      </c>
      <c r="K407" s="7">
        <v>74</v>
      </c>
      <c r="L407" s="7" t="b">
        <f t="shared" si="6"/>
        <v>1</v>
      </c>
    </row>
    <row r="408" spans="1:12" x14ac:dyDescent="0.25">
      <c r="A408" s="7" t="s">
        <v>1403</v>
      </c>
      <c r="B408" s="7">
        <v>0</v>
      </c>
      <c r="C408" s="7">
        <v>156</v>
      </c>
      <c r="D408" s="7">
        <v>5</v>
      </c>
      <c r="E408" s="7">
        <v>0</v>
      </c>
      <c r="F408" s="7">
        <v>0</v>
      </c>
      <c r="G408" s="7">
        <v>0</v>
      </c>
      <c r="H408" s="7">
        <v>0</v>
      </c>
      <c r="I408" s="7">
        <v>20</v>
      </c>
      <c r="J408" s="7">
        <v>4</v>
      </c>
      <c r="K408" s="7">
        <v>185</v>
      </c>
      <c r="L408" s="7" t="b">
        <f t="shared" si="6"/>
        <v>1</v>
      </c>
    </row>
    <row r="409" spans="1:12" x14ac:dyDescent="0.25">
      <c r="A409" s="7" t="s">
        <v>1404</v>
      </c>
      <c r="B409" s="7">
        <v>0</v>
      </c>
      <c r="C409" s="7">
        <v>45</v>
      </c>
      <c r="D409" s="7">
        <v>2</v>
      </c>
      <c r="E409" s="7">
        <v>0</v>
      </c>
      <c r="F409" s="7">
        <v>0</v>
      </c>
      <c r="G409" s="7">
        <v>0</v>
      </c>
      <c r="H409" s="7">
        <v>0</v>
      </c>
      <c r="I409" s="7">
        <v>37</v>
      </c>
      <c r="J409" s="7">
        <v>1</v>
      </c>
      <c r="K409" s="7">
        <v>85</v>
      </c>
      <c r="L409" s="7" t="b">
        <f t="shared" si="6"/>
        <v>1</v>
      </c>
    </row>
    <row r="410" spans="1:12" x14ac:dyDescent="0.25">
      <c r="A410" s="7" t="s">
        <v>1405</v>
      </c>
      <c r="B410" s="7">
        <v>0</v>
      </c>
      <c r="C410" s="7">
        <v>57</v>
      </c>
      <c r="D410" s="7">
        <v>7</v>
      </c>
      <c r="E410" s="7">
        <v>0</v>
      </c>
      <c r="F410" s="7">
        <v>0</v>
      </c>
      <c r="G410" s="7">
        <v>0</v>
      </c>
      <c r="H410" s="7">
        <v>0</v>
      </c>
      <c r="I410" s="7">
        <v>24</v>
      </c>
      <c r="J410" s="7">
        <v>0</v>
      </c>
      <c r="K410" s="7">
        <v>88</v>
      </c>
      <c r="L410" s="7" t="b">
        <f t="shared" si="6"/>
        <v>1</v>
      </c>
    </row>
    <row r="411" spans="1:12" x14ac:dyDescent="0.25">
      <c r="A411" s="7" t="s">
        <v>1406</v>
      </c>
      <c r="B411" s="7">
        <v>0</v>
      </c>
      <c r="C411" s="7">
        <v>97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27</v>
      </c>
      <c r="J411" s="7">
        <v>3</v>
      </c>
      <c r="K411" s="7">
        <v>130</v>
      </c>
      <c r="L411" s="7" t="b">
        <f t="shared" si="6"/>
        <v>1</v>
      </c>
    </row>
    <row r="412" spans="1:12" x14ac:dyDescent="0.25">
      <c r="A412" s="7" t="s">
        <v>1407</v>
      </c>
      <c r="B412" s="7">
        <v>0</v>
      </c>
      <c r="C412" s="7">
        <v>62</v>
      </c>
      <c r="D412" s="7">
        <v>15</v>
      </c>
      <c r="E412" s="7">
        <v>0</v>
      </c>
      <c r="F412" s="7">
        <v>0</v>
      </c>
      <c r="G412" s="7">
        <v>0</v>
      </c>
      <c r="H412" s="7">
        <v>0</v>
      </c>
      <c r="I412" s="7">
        <v>31</v>
      </c>
      <c r="J412" s="7">
        <v>7</v>
      </c>
      <c r="K412" s="7">
        <v>115</v>
      </c>
      <c r="L412" s="7" t="b">
        <f t="shared" si="6"/>
        <v>1</v>
      </c>
    </row>
    <row r="413" spans="1:12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38</v>
      </c>
      <c r="J413" s="7">
        <v>37</v>
      </c>
      <c r="K413" s="7">
        <v>125</v>
      </c>
      <c r="L413" s="7" t="b">
        <f t="shared" si="6"/>
        <v>1</v>
      </c>
    </row>
    <row r="414" spans="1:12" x14ac:dyDescent="0.25">
      <c r="A414" s="7" t="s">
        <v>1409</v>
      </c>
      <c r="B414" s="7">
        <v>0</v>
      </c>
      <c r="C414" s="7">
        <v>35</v>
      </c>
      <c r="D414" s="7">
        <v>3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2</v>
      </c>
      <c r="K414" s="7">
        <v>79</v>
      </c>
      <c r="L414" s="7" t="b">
        <f t="shared" si="6"/>
        <v>1</v>
      </c>
    </row>
    <row r="415" spans="1:12" x14ac:dyDescent="0.25">
      <c r="A415" s="7" t="s">
        <v>1410</v>
      </c>
      <c r="B415" s="7">
        <v>0</v>
      </c>
      <c r="C415" s="7">
        <v>51</v>
      </c>
      <c r="D415" s="7">
        <v>3</v>
      </c>
      <c r="E415" s="7">
        <v>0</v>
      </c>
      <c r="F415" s="7">
        <v>0</v>
      </c>
      <c r="G415" s="7">
        <v>0</v>
      </c>
      <c r="H415" s="7">
        <v>0</v>
      </c>
      <c r="I415" s="7">
        <v>55</v>
      </c>
      <c r="J415" s="7">
        <v>3</v>
      </c>
      <c r="K415" s="7">
        <v>112</v>
      </c>
      <c r="L415" s="7" t="b">
        <f t="shared" si="6"/>
        <v>1</v>
      </c>
    </row>
    <row r="416" spans="1:12" x14ac:dyDescent="0.25">
      <c r="A416" s="7" t="s">
        <v>1411</v>
      </c>
      <c r="B416" s="7">
        <v>0</v>
      </c>
      <c r="C416" s="7">
        <v>66</v>
      </c>
      <c r="D416" s="7">
        <v>2</v>
      </c>
      <c r="E416" s="7">
        <v>0</v>
      </c>
      <c r="F416" s="7">
        <v>0</v>
      </c>
      <c r="G416" s="7">
        <v>0</v>
      </c>
      <c r="H416" s="7">
        <v>0</v>
      </c>
      <c r="I416" s="7">
        <v>106</v>
      </c>
      <c r="J416" s="7">
        <v>0</v>
      </c>
      <c r="K416" s="7">
        <v>174</v>
      </c>
      <c r="L416" s="7" t="b">
        <f t="shared" si="6"/>
        <v>1</v>
      </c>
    </row>
    <row r="417" spans="1:12" x14ac:dyDescent="0.25">
      <c r="A417" s="7" t="s">
        <v>1412</v>
      </c>
      <c r="B417" s="7">
        <v>0</v>
      </c>
      <c r="C417" s="7">
        <v>147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0</v>
      </c>
      <c r="K417" s="7">
        <v>234</v>
      </c>
      <c r="L417" s="7" t="b">
        <f t="shared" si="6"/>
        <v>1</v>
      </c>
    </row>
    <row r="418" spans="1:12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  <c r="L418" s="7" t="b">
        <f t="shared" si="6"/>
        <v>1</v>
      </c>
    </row>
    <row r="419" spans="1:12" x14ac:dyDescent="0.25">
      <c r="A419" s="7" t="s">
        <v>1414</v>
      </c>
      <c r="B419" s="7">
        <v>0</v>
      </c>
      <c r="C419" s="7">
        <v>87</v>
      </c>
      <c r="D419" s="7">
        <v>2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  <c r="L419" s="7" t="b">
        <f t="shared" si="6"/>
        <v>1</v>
      </c>
    </row>
    <row r="420" spans="1:12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17</v>
      </c>
      <c r="J420" s="7">
        <v>0</v>
      </c>
      <c r="K420" s="7">
        <v>79</v>
      </c>
      <c r="L420" s="7" t="b">
        <f t="shared" si="6"/>
        <v>1</v>
      </c>
    </row>
    <row r="421" spans="1:12" x14ac:dyDescent="0.25">
      <c r="A421" s="7" t="s">
        <v>1416</v>
      </c>
      <c r="B421" s="7">
        <v>0</v>
      </c>
      <c r="C421" s="7">
        <v>129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53</v>
      </c>
      <c r="J421" s="7">
        <v>3</v>
      </c>
      <c r="K421" s="7">
        <v>185</v>
      </c>
      <c r="L421" s="7" t="b">
        <f t="shared" si="6"/>
        <v>1</v>
      </c>
    </row>
    <row r="422" spans="1:12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  <c r="L422" s="7" t="b">
        <f t="shared" si="6"/>
        <v>1</v>
      </c>
    </row>
    <row r="423" spans="1:12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  <c r="L423" s="7" t="b">
        <f t="shared" si="6"/>
        <v>1</v>
      </c>
    </row>
    <row r="424" spans="1:12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  <c r="L424" s="7" t="b">
        <f t="shared" si="6"/>
        <v>1</v>
      </c>
    </row>
    <row r="425" spans="1:12" x14ac:dyDescent="0.25">
      <c r="A425" s="7" t="s">
        <v>1420</v>
      </c>
      <c r="B425" s="7">
        <v>0</v>
      </c>
      <c r="C425" s="7">
        <v>139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38</v>
      </c>
      <c r="J425" s="7">
        <v>0</v>
      </c>
      <c r="K425" s="7">
        <v>181</v>
      </c>
      <c r="L425" s="7" t="b">
        <f t="shared" si="6"/>
        <v>1</v>
      </c>
    </row>
    <row r="426" spans="1:12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57</v>
      </c>
      <c r="J426" s="7">
        <v>1</v>
      </c>
      <c r="K426" s="7">
        <v>239</v>
      </c>
      <c r="L426" s="7" t="b">
        <f t="shared" si="6"/>
        <v>1</v>
      </c>
    </row>
    <row r="427" spans="1:12" x14ac:dyDescent="0.25">
      <c r="A427" s="7" t="s">
        <v>1422</v>
      </c>
      <c r="B427" s="7">
        <v>0</v>
      </c>
      <c r="C427" s="7">
        <v>94</v>
      </c>
      <c r="D427" s="7">
        <v>0</v>
      </c>
      <c r="E427" s="7">
        <v>0</v>
      </c>
      <c r="F427" s="7">
        <v>1</v>
      </c>
      <c r="G427" s="7">
        <v>2</v>
      </c>
      <c r="H427" s="7">
        <v>0</v>
      </c>
      <c r="I427" s="7">
        <v>44</v>
      </c>
      <c r="J427" s="7">
        <v>0</v>
      </c>
      <c r="K427" s="7">
        <v>141</v>
      </c>
      <c r="L427" s="7" t="b">
        <f t="shared" si="6"/>
        <v>1</v>
      </c>
    </row>
    <row r="428" spans="1:12" x14ac:dyDescent="0.25">
      <c r="A428" s="7" t="s">
        <v>1423</v>
      </c>
      <c r="B428" s="7">
        <v>0</v>
      </c>
      <c r="C428" s="7">
        <v>138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17</v>
      </c>
      <c r="J428" s="7">
        <v>0</v>
      </c>
      <c r="K428" s="7">
        <v>156</v>
      </c>
      <c r="L428" s="7" t="b">
        <f t="shared" si="6"/>
        <v>1</v>
      </c>
    </row>
    <row r="429" spans="1:12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  <c r="L429" s="7" t="b">
        <f t="shared" si="6"/>
        <v>1</v>
      </c>
    </row>
    <row r="430" spans="1:12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  <c r="L430" s="7" t="b">
        <f t="shared" si="6"/>
        <v>1</v>
      </c>
    </row>
    <row r="431" spans="1:12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  <c r="L431" s="7" t="b">
        <f t="shared" si="6"/>
        <v>1</v>
      </c>
    </row>
    <row r="432" spans="1:12" x14ac:dyDescent="0.25">
      <c r="A432" s="7" t="s">
        <v>1427</v>
      </c>
      <c r="B432" s="7">
        <v>0</v>
      </c>
      <c r="C432" s="7">
        <v>116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138</v>
      </c>
      <c r="J432" s="7">
        <v>0</v>
      </c>
      <c r="K432" s="7">
        <v>255</v>
      </c>
      <c r="L432" s="7" t="b">
        <f t="shared" si="6"/>
        <v>1</v>
      </c>
    </row>
    <row r="433" spans="1:12" x14ac:dyDescent="0.25">
      <c r="A433" s="7" t="s">
        <v>1428</v>
      </c>
      <c r="B433" s="7">
        <v>0</v>
      </c>
      <c r="C433" s="7">
        <v>154</v>
      </c>
      <c r="D433" s="7">
        <v>25</v>
      </c>
      <c r="E433" s="7">
        <v>0</v>
      </c>
      <c r="F433" s="7">
        <v>1</v>
      </c>
      <c r="G433" s="7">
        <v>8</v>
      </c>
      <c r="H433" s="7">
        <v>0</v>
      </c>
      <c r="I433" s="7">
        <v>144</v>
      </c>
      <c r="J433" s="7">
        <v>22</v>
      </c>
      <c r="K433" s="7">
        <v>354</v>
      </c>
      <c r="L433" s="7" t="b">
        <f t="shared" si="6"/>
        <v>1</v>
      </c>
    </row>
    <row r="434" spans="1:12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  <c r="L434" s="7" t="b">
        <f t="shared" si="6"/>
        <v>1</v>
      </c>
    </row>
    <row r="435" spans="1:12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125</v>
      </c>
      <c r="J435" s="7">
        <v>0</v>
      </c>
      <c r="K435" s="7">
        <v>164</v>
      </c>
      <c r="L435" s="7" t="b">
        <f t="shared" si="6"/>
        <v>1</v>
      </c>
    </row>
    <row r="436" spans="1:12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  <c r="L436" s="7" t="b">
        <f t="shared" si="6"/>
        <v>1</v>
      </c>
    </row>
    <row r="437" spans="1:12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2</v>
      </c>
      <c r="J437" s="7">
        <v>0</v>
      </c>
      <c r="K437" s="7">
        <v>180</v>
      </c>
      <c r="L437" s="7" t="b">
        <f t="shared" si="6"/>
        <v>1</v>
      </c>
    </row>
    <row r="438" spans="1:12" x14ac:dyDescent="0.25">
      <c r="A438" s="7" t="s">
        <v>1433</v>
      </c>
      <c r="B438" s="7">
        <v>0</v>
      </c>
      <c r="C438" s="7">
        <v>17</v>
      </c>
      <c r="D438" s="7">
        <v>8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229</v>
      </c>
      <c r="L438" s="7" t="b">
        <f t="shared" si="6"/>
        <v>1</v>
      </c>
    </row>
    <row r="439" spans="1:12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104</v>
      </c>
      <c r="L439" s="7" t="b">
        <f t="shared" si="6"/>
        <v>1</v>
      </c>
    </row>
    <row r="440" spans="1:12" x14ac:dyDescent="0.25">
      <c r="A440" s="7" t="s">
        <v>1435</v>
      </c>
      <c r="B440" s="7">
        <v>0</v>
      </c>
      <c r="C440" s="7">
        <v>13</v>
      </c>
      <c r="D440" s="7">
        <v>1</v>
      </c>
      <c r="E440" s="7">
        <v>0</v>
      </c>
      <c r="F440" s="7">
        <v>0</v>
      </c>
      <c r="G440" s="7">
        <v>0</v>
      </c>
      <c r="H440" s="7">
        <v>0</v>
      </c>
      <c r="I440" s="7">
        <v>105</v>
      </c>
      <c r="J440" s="7">
        <v>4</v>
      </c>
      <c r="K440" s="7">
        <v>123</v>
      </c>
      <c r="L440" s="7" t="b">
        <f t="shared" si="6"/>
        <v>1</v>
      </c>
    </row>
    <row r="441" spans="1:12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109</v>
      </c>
      <c r="J441" s="7">
        <v>13</v>
      </c>
      <c r="K441" s="7">
        <v>187</v>
      </c>
      <c r="L441" s="7" t="b">
        <f t="shared" si="6"/>
        <v>1</v>
      </c>
    </row>
    <row r="442" spans="1:12" x14ac:dyDescent="0.25">
      <c r="A442" s="7" t="s">
        <v>1437</v>
      </c>
      <c r="B442" s="7">
        <v>0</v>
      </c>
      <c r="C442" s="7">
        <v>105</v>
      </c>
      <c r="D442" s="7">
        <v>3</v>
      </c>
      <c r="E442" s="7">
        <v>0</v>
      </c>
      <c r="F442" s="7">
        <v>0</v>
      </c>
      <c r="G442" s="7">
        <v>0</v>
      </c>
      <c r="H442" s="7">
        <v>0</v>
      </c>
      <c r="I442" s="7">
        <v>118</v>
      </c>
      <c r="J442" s="7">
        <v>2</v>
      </c>
      <c r="K442" s="7">
        <v>228</v>
      </c>
      <c r="L442" s="7" t="b">
        <f t="shared" si="6"/>
        <v>1</v>
      </c>
    </row>
    <row r="443" spans="1:12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17</v>
      </c>
      <c r="J443" s="7">
        <v>12</v>
      </c>
      <c r="K443" s="7">
        <v>146</v>
      </c>
      <c r="L443" s="7" t="b">
        <f t="shared" si="6"/>
        <v>1</v>
      </c>
    </row>
    <row r="444" spans="1:12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  <c r="L444" s="7" t="b">
        <f t="shared" si="6"/>
        <v>1</v>
      </c>
    </row>
    <row r="445" spans="1:12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  <c r="L445" s="7" t="b">
        <f t="shared" si="6"/>
        <v>1</v>
      </c>
    </row>
    <row r="446" spans="1:12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78</v>
      </c>
      <c r="J446" s="7">
        <v>4</v>
      </c>
      <c r="K446" s="7">
        <v>172</v>
      </c>
      <c r="L446" s="7" t="b">
        <f t="shared" si="6"/>
        <v>1</v>
      </c>
    </row>
    <row r="447" spans="1:12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  <c r="L447" s="7" t="b">
        <f t="shared" si="6"/>
        <v>1</v>
      </c>
    </row>
    <row r="448" spans="1:12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  <c r="L448" s="7" t="b">
        <f t="shared" si="6"/>
        <v>1</v>
      </c>
    </row>
    <row r="449" spans="1:12" x14ac:dyDescent="0.25">
      <c r="A449" s="7" t="s">
        <v>1443</v>
      </c>
      <c r="B449" s="7">
        <v>0</v>
      </c>
      <c r="C449" s="7">
        <v>109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109</v>
      </c>
      <c r="L449" s="7" t="b">
        <f t="shared" si="6"/>
        <v>1</v>
      </c>
    </row>
    <row r="450" spans="1:12" x14ac:dyDescent="0.25">
      <c r="A450" s="7" t="s">
        <v>1444</v>
      </c>
      <c r="B450" s="7">
        <v>0</v>
      </c>
      <c r="C450" s="7">
        <v>53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  <c r="L450" s="7" t="b">
        <f t="shared" si="6"/>
        <v>1</v>
      </c>
    </row>
    <row r="451" spans="1:12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  <c r="L451" s="7" t="b">
        <f t="shared" ref="L451:L514" si="7">K451=SUM(B451:J451)</f>
        <v>1</v>
      </c>
    </row>
    <row r="452" spans="1:12" x14ac:dyDescent="0.25">
      <c r="A452" s="7" t="s">
        <v>1446</v>
      </c>
      <c r="B452" s="7">
        <v>0</v>
      </c>
      <c r="C452" s="7">
        <v>59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2</v>
      </c>
      <c r="J452" s="7">
        <v>1</v>
      </c>
      <c r="K452" s="7">
        <v>63</v>
      </c>
      <c r="L452" s="7" t="b">
        <f t="shared" si="7"/>
        <v>1</v>
      </c>
    </row>
    <row r="453" spans="1:12" x14ac:dyDescent="0.25">
      <c r="A453" s="7" t="s">
        <v>1447</v>
      </c>
      <c r="B453" s="7">
        <v>0</v>
      </c>
      <c r="C453" s="7">
        <v>52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3</v>
      </c>
      <c r="J453" s="7">
        <v>2</v>
      </c>
      <c r="K453" s="7">
        <v>57</v>
      </c>
      <c r="L453" s="7" t="b">
        <f t="shared" si="7"/>
        <v>1</v>
      </c>
    </row>
    <row r="454" spans="1:12" x14ac:dyDescent="0.25">
      <c r="A454" s="7" t="s">
        <v>1448</v>
      </c>
      <c r="B454" s="7">
        <v>0</v>
      </c>
      <c r="C454" s="7">
        <v>52</v>
      </c>
      <c r="D454" s="7">
        <v>0</v>
      </c>
      <c r="E454" s="7">
        <v>0</v>
      </c>
      <c r="F454" s="7">
        <v>0</v>
      </c>
      <c r="G454" s="7">
        <v>2</v>
      </c>
      <c r="H454" s="7">
        <v>0</v>
      </c>
      <c r="I454" s="7">
        <v>3</v>
      </c>
      <c r="J454" s="7">
        <v>3</v>
      </c>
      <c r="K454" s="7">
        <v>60</v>
      </c>
      <c r="L454" s="7" t="b">
        <f t="shared" si="7"/>
        <v>1</v>
      </c>
    </row>
    <row r="455" spans="1:12" x14ac:dyDescent="0.25">
      <c r="A455" s="7" t="s">
        <v>1449</v>
      </c>
      <c r="B455" s="7">
        <v>0</v>
      </c>
      <c r="C455" s="7">
        <v>41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41</v>
      </c>
      <c r="L455" s="7" t="b">
        <f t="shared" si="7"/>
        <v>1</v>
      </c>
    </row>
    <row r="456" spans="1:12" x14ac:dyDescent="0.25">
      <c r="A456" s="7" t="s">
        <v>1450</v>
      </c>
      <c r="B456" s="7">
        <v>0</v>
      </c>
      <c r="C456" s="7">
        <v>47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5</v>
      </c>
      <c r="J456" s="7">
        <v>0</v>
      </c>
      <c r="K456" s="7">
        <v>52</v>
      </c>
      <c r="L456" s="7" t="b">
        <f t="shared" si="7"/>
        <v>1</v>
      </c>
    </row>
    <row r="457" spans="1:12" x14ac:dyDescent="0.25">
      <c r="A457" s="7" t="s">
        <v>1451</v>
      </c>
      <c r="B457" s="7">
        <v>0</v>
      </c>
      <c r="C457" s="7">
        <v>189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0</v>
      </c>
      <c r="J457" s="7">
        <v>0</v>
      </c>
      <c r="K457" s="7">
        <v>190</v>
      </c>
      <c r="L457" s="7" t="b">
        <f t="shared" si="7"/>
        <v>1</v>
      </c>
    </row>
    <row r="458" spans="1:12" x14ac:dyDescent="0.25">
      <c r="A458" s="7" t="s">
        <v>1452</v>
      </c>
      <c r="B458" s="7">
        <v>0</v>
      </c>
      <c r="C458" s="7">
        <v>129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  <c r="L458" s="7" t="b">
        <f t="shared" si="7"/>
        <v>1</v>
      </c>
    </row>
    <row r="459" spans="1:12" x14ac:dyDescent="0.25">
      <c r="A459" s="7" t="s">
        <v>1453</v>
      </c>
      <c r="B459" s="7">
        <v>0</v>
      </c>
      <c r="C459" s="7">
        <v>87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88</v>
      </c>
      <c r="L459" s="7" t="b">
        <f t="shared" si="7"/>
        <v>1</v>
      </c>
    </row>
    <row r="460" spans="1:12" x14ac:dyDescent="0.25">
      <c r="A460" s="7" t="s">
        <v>1454</v>
      </c>
      <c r="B460" s="7">
        <v>0</v>
      </c>
      <c r="C460" s="7">
        <v>66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7</v>
      </c>
      <c r="J460" s="7">
        <v>0</v>
      </c>
      <c r="K460" s="7">
        <v>73</v>
      </c>
      <c r="L460" s="7" t="b">
        <f t="shared" si="7"/>
        <v>1</v>
      </c>
    </row>
    <row r="461" spans="1:12" x14ac:dyDescent="0.25">
      <c r="A461" s="7" t="s">
        <v>1455</v>
      </c>
      <c r="B461" s="7">
        <v>0</v>
      </c>
      <c r="C461" s="7">
        <v>53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1</v>
      </c>
      <c r="K461" s="7">
        <v>54</v>
      </c>
      <c r="L461" s="7" t="b">
        <f t="shared" si="7"/>
        <v>1</v>
      </c>
    </row>
    <row r="462" spans="1:12" x14ac:dyDescent="0.25">
      <c r="A462" s="7" t="s">
        <v>1456</v>
      </c>
      <c r="B462" s="7">
        <v>0</v>
      </c>
      <c r="C462" s="7">
        <v>188</v>
      </c>
      <c r="D462" s="7">
        <v>0</v>
      </c>
      <c r="E462" s="7">
        <v>0</v>
      </c>
      <c r="F462" s="7">
        <v>0</v>
      </c>
      <c r="G462" s="7">
        <v>0</v>
      </c>
      <c r="H462" s="7">
        <v>0</v>
      </c>
      <c r="I462" s="7">
        <v>7</v>
      </c>
      <c r="J462" s="7">
        <v>0</v>
      </c>
      <c r="K462" s="7">
        <v>195</v>
      </c>
      <c r="L462" s="7" t="b">
        <f t="shared" si="7"/>
        <v>1</v>
      </c>
    </row>
    <row r="463" spans="1:12" x14ac:dyDescent="0.25">
      <c r="A463" s="7" t="s">
        <v>1457</v>
      </c>
      <c r="B463" s="7">
        <v>0</v>
      </c>
      <c r="C463" s="7">
        <v>157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7</v>
      </c>
      <c r="J463" s="7">
        <v>2</v>
      </c>
      <c r="K463" s="7">
        <v>166</v>
      </c>
      <c r="L463" s="7" t="b">
        <f t="shared" si="7"/>
        <v>1</v>
      </c>
    </row>
    <row r="464" spans="1:12" x14ac:dyDescent="0.25">
      <c r="A464" s="7" t="s">
        <v>1458</v>
      </c>
      <c r="B464" s="7">
        <v>0</v>
      </c>
      <c r="C464" s="7">
        <v>58</v>
      </c>
      <c r="D464" s="7">
        <v>0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0</v>
      </c>
      <c r="K464" s="7">
        <v>58</v>
      </c>
      <c r="L464" s="7" t="b">
        <f t="shared" si="7"/>
        <v>1</v>
      </c>
    </row>
    <row r="465" spans="1:12" x14ac:dyDescent="0.25">
      <c r="A465" s="7" t="s">
        <v>1459</v>
      </c>
      <c r="B465" s="7">
        <v>0</v>
      </c>
      <c r="C465" s="7">
        <v>102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102</v>
      </c>
      <c r="L465" s="7" t="b">
        <f t="shared" si="7"/>
        <v>1</v>
      </c>
    </row>
    <row r="466" spans="1:12" x14ac:dyDescent="0.25">
      <c r="A466" s="7" t="s">
        <v>1460</v>
      </c>
      <c r="B466" s="7">
        <v>0</v>
      </c>
      <c r="C466" s="7">
        <v>79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79</v>
      </c>
      <c r="L466" s="7" t="b">
        <f t="shared" si="7"/>
        <v>1</v>
      </c>
    </row>
    <row r="467" spans="1:12" x14ac:dyDescent="0.25">
      <c r="A467" s="7" t="s">
        <v>1461</v>
      </c>
      <c r="B467" s="7">
        <v>0</v>
      </c>
      <c r="C467" s="7">
        <v>65</v>
      </c>
      <c r="D467" s="7">
        <v>4</v>
      </c>
      <c r="E467" s="7">
        <v>0</v>
      </c>
      <c r="F467" s="7">
        <v>0</v>
      </c>
      <c r="G467" s="7">
        <v>0</v>
      </c>
      <c r="H467" s="7">
        <v>0</v>
      </c>
      <c r="I467" s="7">
        <v>62</v>
      </c>
      <c r="J467" s="7">
        <v>18</v>
      </c>
      <c r="K467" s="7">
        <v>149</v>
      </c>
      <c r="L467" s="7" t="b">
        <f t="shared" si="7"/>
        <v>1</v>
      </c>
    </row>
    <row r="468" spans="1:12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0</v>
      </c>
      <c r="J468" s="7">
        <v>2</v>
      </c>
      <c r="K468" s="7">
        <v>35</v>
      </c>
      <c r="L468" s="7" t="b">
        <f t="shared" si="7"/>
        <v>1</v>
      </c>
    </row>
    <row r="469" spans="1:12" x14ac:dyDescent="0.25">
      <c r="A469" s="7" t="s">
        <v>1463</v>
      </c>
      <c r="B469" s="7">
        <v>0</v>
      </c>
      <c r="C469" s="7">
        <v>39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1</v>
      </c>
      <c r="J469" s="7">
        <v>1</v>
      </c>
      <c r="K469" s="7">
        <v>41</v>
      </c>
      <c r="L469" s="7" t="b">
        <f t="shared" si="7"/>
        <v>1</v>
      </c>
    </row>
    <row r="470" spans="1:12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54</v>
      </c>
      <c r="L470" s="7" t="b">
        <f t="shared" si="7"/>
        <v>1</v>
      </c>
    </row>
    <row r="471" spans="1:12" x14ac:dyDescent="0.25">
      <c r="A471" s="7" t="s">
        <v>1465</v>
      </c>
      <c r="B471" s="7">
        <v>0</v>
      </c>
      <c r="C471" s="7">
        <v>41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16</v>
      </c>
      <c r="J471" s="7">
        <v>0</v>
      </c>
      <c r="K471" s="7">
        <v>58</v>
      </c>
      <c r="L471" s="7" t="b">
        <f t="shared" si="7"/>
        <v>1</v>
      </c>
    </row>
    <row r="472" spans="1:12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3</v>
      </c>
      <c r="J472" s="7">
        <v>0</v>
      </c>
      <c r="K472" s="7">
        <v>60</v>
      </c>
      <c r="L472" s="7" t="b">
        <f t="shared" si="7"/>
        <v>1</v>
      </c>
    </row>
    <row r="473" spans="1:12" x14ac:dyDescent="0.25">
      <c r="A473" s="7" t="s">
        <v>1467</v>
      </c>
      <c r="B473" s="7">
        <v>0</v>
      </c>
      <c r="C473" s="7">
        <v>26</v>
      </c>
      <c r="D473" s="7">
        <v>12</v>
      </c>
      <c r="E473" s="7">
        <v>0</v>
      </c>
      <c r="F473" s="7">
        <v>0</v>
      </c>
      <c r="G473" s="7">
        <v>0</v>
      </c>
      <c r="H473" s="7">
        <v>0</v>
      </c>
      <c r="I473" s="7">
        <v>82</v>
      </c>
      <c r="J473" s="7">
        <v>1</v>
      </c>
      <c r="K473" s="7">
        <v>121</v>
      </c>
      <c r="L473" s="7" t="b">
        <f t="shared" si="7"/>
        <v>1</v>
      </c>
    </row>
    <row r="474" spans="1:12" x14ac:dyDescent="0.25">
      <c r="A474" s="7" t="s">
        <v>1468</v>
      </c>
      <c r="B474" s="7">
        <v>0</v>
      </c>
      <c r="C474" s="7">
        <v>3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60</v>
      </c>
      <c r="J474" s="7">
        <v>0</v>
      </c>
      <c r="K474" s="7">
        <v>63</v>
      </c>
      <c r="L474" s="7" t="b">
        <f t="shared" si="7"/>
        <v>1</v>
      </c>
    </row>
    <row r="475" spans="1:12" x14ac:dyDescent="0.25">
      <c r="A475" s="7" t="s">
        <v>1469</v>
      </c>
      <c r="B475" s="7">
        <v>0</v>
      </c>
      <c r="C475" s="7">
        <v>13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54</v>
      </c>
      <c r="J475" s="7">
        <v>0</v>
      </c>
      <c r="K475" s="7">
        <v>67</v>
      </c>
      <c r="L475" s="7" t="b">
        <f t="shared" si="7"/>
        <v>1</v>
      </c>
    </row>
    <row r="476" spans="1:12" x14ac:dyDescent="0.25">
      <c r="A476" s="7" t="s">
        <v>1470</v>
      </c>
      <c r="B476" s="7">
        <v>0</v>
      </c>
      <c r="C476" s="7">
        <v>6</v>
      </c>
      <c r="D476" s="7">
        <v>0</v>
      </c>
      <c r="E476" s="7">
        <v>0</v>
      </c>
      <c r="F476" s="7">
        <v>0</v>
      </c>
      <c r="G476" s="7">
        <v>0</v>
      </c>
      <c r="H476" s="7">
        <v>0</v>
      </c>
      <c r="I476" s="7">
        <v>92</v>
      </c>
      <c r="J476" s="7">
        <v>0</v>
      </c>
      <c r="K476" s="7">
        <v>98</v>
      </c>
      <c r="L476" s="7" t="b">
        <f t="shared" si="7"/>
        <v>1</v>
      </c>
    </row>
    <row r="477" spans="1:12" x14ac:dyDescent="0.25">
      <c r="A477" s="7" t="s">
        <v>1471</v>
      </c>
      <c r="B477" s="7">
        <v>0</v>
      </c>
      <c r="C477" s="7">
        <v>70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0</v>
      </c>
      <c r="J477" s="7">
        <v>0</v>
      </c>
      <c r="K477" s="7">
        <v>75</v>
      </c>
      <c r="L477" s="7" t="b">
        <f t="shared" si="7"/>
        <v>1</v>
      </c>
    </row>
    <row r="478" spans="1:12" x14ac:dyDescent="0.25">
      <c r="A478" s="7" t="s">
        <v>1472</v>
      </c>
      <c r="B478" s="7">
        <v>0</v>
      </c>
      <c r="C478" s="7">
        <v>107</v>
      </c>
      <c r="D478" s="7">
        <v>7</v>
      </c>
      <c r="E478" s="7">
        <v>0</v>
      </c>
      <c r="F478" s="7">
        <v>0</v>
      </c>
      <c r="G478" s="7">
        <v>1</v>
      </c>
      <c r="H478" s="7">
        <v>0</v>
      </c>
      <c r="I478" s="7">
        <v>4</v>
      </c>
      <c r="J478" s="7">
        <v>2</v>
      </c>
      <c r="K478" s="7">
        <v>121</v>
      </c>
      <c r="L478" s="7" t="b">
        <f t="shared" si="7"/>
        <v>1</v>
      </c>
    </row>
    <row r="479" spans="1:12" x14ac:dyDescent="0.25">
      <c r="A479" s="7" t="s">
        <v>1473</v>
      </c>
      <c r="B479" s="7">
        <v>0</v>
      </c>
      <c r="C479" s="7">
        <v>124</v>
      </c>
      <c r="D479" s="7">
        <v>6</v>
      </c>
      <c r="E479" s="7">
        <v>0</v>
      </c>
      <c r="F479" s="7">
        <v>0</v>
      </c>
      <c r="G479" s="7">
        <v>2</v>
      </c>
      <c r="H479" s="7">
        <v>0</v>
      </c>
      <c r="I479" s="7">
        <v>21</v>
      </c>
      <c r="J479" s="7">
        <v>32</v>
      </c>
      <c r="K479" s="7">
        <v>185</v>
      </c>
      <c r="L479" s="7" t="b">
        <f t="shared" si="7"/>
        <v>1</v>
      </c>
    </row>
    <row r="480" spans="1:12" x14ac:dyDescent="0.25">
      <c r="A480" s="7" t="s">
        <v>1474</v>
      </c>
      <c r="B480" s="7">
        <v>0</v>
      </c>
      <c r="C480" s="7">
        <v>137</v>
      </c>
      <c r="D480" s="7">
        <v>7</v>
      </c>
      <c r="E480" s="7">
        <v>0</v>
      </c>
      <c r="F480" s="7">
        <v>0</v>
      </c>
      <c r="G480" s="7">
        <v>1</v>
      </c>
      <c r="H480" s="7">
        <v>0</v>
      </c>
      <c r="I480" s="7">
        <v>10</v>
      </c>
      <c r="J480" s="7">
        <v>13</v>
      </c>
      <c r="K480" s="7">
        <v>168</v>
      </c>
      <c r="L480" s="7" t="b">
        <f t="shared" si="7"/>
        <v>1</v>
      </c>
    </row>
    <row r="481" spans="1:12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5</v>
      </c>
      <c r="J481" s="7">
        <v>0</v>
      </c>
      <c r="K481" s="7">
        <v>122</v>
      </c>
      <c r="L481" s="7" t="b">
        <f t="shared" si="7"/>
        <v>1</v>
      </c>
    </row>
    <row r="482" spans="1:12" x14ac:dyDescent="0.25">
      <c r="A482" s="7" t="s">
        <v>1476</v>
      </c>
      <c r="B482" s="7">
        <v>0</v>
      </c>
      <c r="C482" s="7">
        <v>36</v>
      </c>
      <c r="D482" s="7">
        <v>5</v>
      </c>
      <c r="E482" s="7">
        <v>0</v>
      </c>
      <c r="F482" s="7">
        <v>0</v>
      </c>
      <c r="G482" s="7">
        <v>0</v>
      </c>
      <c r="H482" s="7">
        <v>0</v>
      </c>
      <c r="I482" s="7">
        <v>117</v>
      </c>
      <c r="J482" s="7">
        <v>4</v>
      </c>
      <c r="K482" s="7">
        <v>162</v>
      </c>
      <c r="L482" s="7" t="b">
        <f t="shared" si="7"/>
        <v>1</v>
      </c>
    </row>
    <row r="483" spans="1:12" x14ac:dyDescent="0.25">
      <c r="A483" s="7" t="s">
        <v>1477</v>
      </c>
      <c r="B483" s="7">
        <v>0</v>
      </c>
      <c r="C483" s="7">
        <v>33</v>
      </c>
      <c r="D483" s="7">
        <v>5</v>
      </c>
      <c r="E483" s="7">
        <v>0</v>
      </c>
      <c r="F483" s="7">
        <v>0</v>
      </c>
      <c r="G483" s="7">
        <v>0</v>
      </c>
      <c r="H483" s="7">
        <v>0</v>
      </c>
      <c r="I483" s="7">
        <v>129</v>
      </c>
      <c r="J483" s="7">
        <v>22</v>
      </c>
      <c r="K483" s="7">
        <v>189</v>
      </c>
      <c r="L483" s="7" t="b">
        <f t="shared" si="7"/>
        <v>1</v>
      </c>
    </row>
    <row r="484" spans="1:12" x14ac:dyDescent="0.25">
      <c r="A484" s="7" t="s">
        <v>1478</v>
      </c>
      <c r="B484" s="7">
        <v>0</v>
      </c>
      <c r="C484" s="7">
        <v>2</v>
      </c>
      <c r="D484" s="7">
        <v>12</v>
      </c>
      <c r="E484" s="7">
        <v>0</v>
      </c>
      <c r="F484" s="7">
        <v>0</v>
      </c>
      <c r="G484" s="7">
        <v>0</v>
      </c>
      <c r="H484" s="7">
        <v>0</v>
      </c>
      <c r="I484" s="7">
        <v>104</v>
      </c>
      <c r="J484" s="7">
        <v>16</v>
      </c>
      <c r="K484" s="7">
        <v>134</v>
      </c>
      <c r="L484" s="7" t="b">
        <f t="shared" si="7"/>
        <v>1</v>
      </c>
    </row>
    <row r="485" spans="1:12" x14ac:dyDescent="0.25">
      <c r="A485" s="7" t="s">
        <v>1479</v>
      </c>
      <c r="B485" s="7">
        <v>0</v>
      </c>
      <c r="C485" s="7">
        <v>56</v>
      </c>
      <c r="D485" s="7">
        <v>9</v>
      </c>
      <c r="E485" s="7">
        <v>0</v>
      </c>
      <c r="F485" s="7">
        <v>0</v>
      </c>
      <c r="G485" s="7">
        <v>0</v>
      </c>
      <c r="H485" s="7">
        <v>0</v>
      </c>
      <c r="I485" s="7">
        <v>46</v>
      </c>
      <c r="J485" s="7">
        <v>4</v>
      </c>
      <c r="K485" s="7">
        <v>115</v>
      </c>
      <c r="L485" s="7" t="b">
        <f t="shared" si="7"/>
        <v>1</v>
      </c>
    </row>
    <row r="486" spans="1:12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3</v>
      </c>
      <c r="J486" s="7">
        <v>0</v>
      </c>
      <c r="K486" s="7">
        <v>50</v>
      </c>
      <c r="L486" s="7" t="b">
        <f t="shared" si="7"/>
        <v>1</v>
      </c>
    </row>
    <row r="487" spans="1:12" x14ac:dyDescent="0.25">
      <c r="A487" s="7" t="s">
        <v>1481</v>
      </c>
      <c r="B487" s="7">
        <v>0</v>
      </c>
      <c r="C487" s="7">
        <v>22</v>
      </c>
      <c r="D487" s="7">
        <v>6</v>
      </c>
      <c r="E487" s="7">
        <v>0</v>
      </c>
      <c r="F487" s="7">
        <v>0</v>
      </c>
      <c r="G487" s="7">
        <v>0</v>
      </c>
      <c r="H487" s="7">
        <v>0</v>
      </c>
      <c r="I487" s="7">
        <v>61</v>
      </c>
      <c r="J487" s="7">
        <v>2</v>
      </c>
      <c r="K487" s="7">
        <v>91</v>
      </c>
      <c r="L487" s="7" t="b">
        <f t="shared" si="7"/>
        <v>1</v>
      </c>
    </row>
    <row r="488" spans="1:12" x14ac:dyDescent="0.25">
      <c r="A488" s="7" t="s">
        <v>1482</v>
      </c>
      <c r="B488" s="7">
        <v>0</v>
      </c>
      <c r="C488" s="7">
        <v>46</v>
      </c>
      <c r="D488" s="7">
        <v>8</v>
      </c>
      <c r="E488" s="7">
        <v>0</v>
      </c>
      <c r="F488" s="7">
        <v>0</v>
      </c>
      <c r="G488" s="7">
        <v>0</v>
      </c>
      <c r="H488" s="7">
        <v>0</v>
      </c>
      <c r="I488" s="7">
        <v>67</v>
      </c>
      <c r="J488" s="7">
        <v>1</v>
      </c>
      <c r="K488" s="7">
        <v>122</v>
      </c>
      <c r="L488" s="7" t="b">
        <f t="shared" si="7"/>
        <v>1</v>
      </c>
    </row>
    <row r="489" spans="1:12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  <c r="L489" s="7" t="b">
        <f t="shared" si="7"/>
        <v>1</v>
      </c>
    </row>
    <row r="490" spans="1:12" x14ac:dyDescent="0.25">
      <c r="A490" s="7" t="s">
        <v>1484</v>
      </c>
      <c r="B490" s="7">
        <v>0</v>
      </c>
      <c r="C490" s="7">
        <v>48</v>
      </c>
      <c r="D490" s="7">
        <v>3</v>
      </c>
      <c r="E490" s="7">
        <v>0</v>
      </c>
      <c r="F490" s="7">
        <v>0</v>
      </c>
      <c r="G490" s="7">
        <v>2</v>
      </c>
      <c r="H490" s="7">
        <v>0</v>
      </c>
      <c r="I490" s="7">
        <v>47</v>
      </c>
      <c r="J490" s="7">
        <v>1</v>
      </c>
      <c r="K490" s="7">
        <v>101</v>
      </c>
      <c r="L490" s="7" t="b">
        <f t="shared" si="7"/>
        <v>1</v>
      </c>
    </row>
    <row r="491" spans="1:12" x14ac:dyDescent="0.25">
      <c r="A491" s="7" t="s">
        <v>1485</v>
      </c>
      <c r="B491" s="7">
        <v>0</v>
      </c>
      <c r="C491" s="7">
        <v>77</v>
      </c>
      <c r="D491" s="7">
        <v>2</v>
      </c>
      <c r="E491" s="7">
        <v>0</v>
      </c>
      <c r="F491" s="7">
        <v>0</v>
      </c>
      <c r="G491" s="7">
        <v>3</v>
      </c>
      <c r="H491" s="7">
        <v>0</v>
      </c>
      <c r="I491" s="7">
        <v>15</v>
      </c>
      <c r="J491" s="7">
        <v>27</v>
      </c>
      <c r="K491" s="7">
        <v>124</v>
      </c>
      <c r="L491" s="7" t="b">
        <f t="shared" si="7"/>
        <v>1</v>
      </c>
    </row>
    <row r="492" spans="1:12" x14ac:dyDescent="0.25">
      <c r="A492" s="7" t="s">
        <v>1486</v>
      </c>
      <c r="B492" s="7">
        <v>0</v>
      </c>
      <c r="C492" s="7">
        <v>23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158</v>
      </c>
      <c r="J492" s="7">
        <v>7</v>
      </c>
      <c r="K492" s="7">
        <v>188</v>
      </c>
      <c r="L492" s="7" t="b">
        <f t="shared" si="7"/>
        <v>1</v>
      </c>
    </row>
    <row r="493" spans="1:12" x14ac:dyDescent="0.25">
      <c r="A493" s="7" t="s">
        <v>1487</v>
      </c>
      <c r="B493" s="7">
        <v>0</v>
      </c>
      <c r="C493" s="7">
        <v>153</v>
      </c>
      <c r="D493" s="7">
        <v>0</v>
      </c>
      <c r="E493" s="7">
        <v>0</v>
      </c>
      <c r="F493" s="7">
        <v>1</v>
      </c>
      <c r="G493" s="7">
        <v>0</v>
      </c>
      <c r="H493" s="7">
        <v>0</v>
      </c>
      <c r="I493" s="7">
        <v>9</v>
      </c>
      <c r="J493" s="7">
        <v>0</v>
      </c>
      <c r="K493" s="7">
        <v>163</v>
      </c>
      <c r="L493" s="7" t="b">
        <f t="shared" si="7"/>
        <v>1</v>
      </c>
    </row>
    <row r="494" spans="1:12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138</v>
      </c>
      <c r="J494" s="7">
        <v>4</v>
      </c>
      <c r="K494" s="7">
        <v>182</v>
      </c>
      <c r="L494" s="7" t="b">
        <f t="shared" si="7"/>
        <v>1</v>
      </c>
    </row>
    <row r="495" spans="1:12" x14ac:dyDescent="0.25">
      <c r="A495" s="7" t="s">
        <v>1489</v>
      </c>
      <c r="B495" s="7">
        <v>0</v>
      </c>
      <c r="C495" s="7">
        <v>175</v>
      </c>
      <c r="D495" s="7">
        <v>3</v>
      </c>
      <c r="E495" s="7">
        <v>0</v>
      </c>
      <c r="F495" s="7">
        <v>0</v>
      </c>
      <c r="G495" s="7">
        <v>0</v>
      </c>
      <c r="H495" s="7">
        <v>0</v>
      </c>
      <c r="I495" s="7">
        <v>28</v>
      </c>
      <c r="J495" s="7">
        <v>6</v>
      </c>
      <c r="K495" s="7">
        <v>212</v>
      </c>
      <c r="L495" s="7" t="b">
        <f t="shared" si="7"/>
        <v>1</v>
      </c>
    </row>
    <row r="496" spans="1:12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  <c r="L496" s="7" t="b">
        <f t="shared" si="7"/>
        <v>1</v>
      </c>
    </row>
    <row r="497" spans="1:12" x14ac:dyDescent="0.25">
      <c r="A497" s="7" t="s">
        <v>1491</v>
      </c>
      <c r="B497" s="7">
        <v>0</v>
      </c>
      <c r="C497" s="7">
        <v>138</v>
      </c>
      <c r="D497" s="7">
        <v>8</v>
      </c>
      <c r="E497" s="7">
        <v>0</v>
      </c>
      <c r="F497" s="7">
        <v>0</v>
      </c>
      <c r="G497" s="7">
        <v>2</v>
      </c>
      <c r="H497" s="7">
        <v>0</v>
      </c>
      <c r="I497" s="7">
        <v>5</v>
      </c>
      <c r="J497" s="7">
        <v>0</v>
      </c>
      <c r="K497" s="7">
        <v>153</v>
      </c>
      <c r="L497" s="7" t="b">
        <f t="shared" si="7"/>
        <v>1</v>
      </c>
    </row>
    <row r="498" spans="1:12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  <c r="L498" s="7" t="b">
        <f t="shared" si="7"/>
        <v>1</v>
      </c>
    </row>
    <row r="499" spans="1:12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  <c r="L499" s="7" t="b">
        <f t="shared" si="7"/>
        <v>1</v>
      </c>
    </row>
    <row r="500" spans="1:12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10</v>
      </c>
      <c r="J500" s="7">
        <v>0</v>
      </c>
      <c r="K500" s="7">
        <v>291</v>
      </c>
      <c r="L500" s="7" t="b">
        <f t="shared" si="7"/>
        <v>1</v>
      </c>
    </row>
    <row r="501" spans="1:12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5</v>
      </c>
      <c r="J501" s="7">
        <v>0</v>
      </c>
      <c r="K501" s="7">
        <v>226</v>
      </c>
      <c r="L501" s="7" t="b">
        <f t="shared" si="7"/>
        <v>1</v>
      </c>
    </row>
    <row r="502" spans="1:12" x14ac:dyDescent="0.25">
      <c r="A502" s="7" t="s">
        <v>1496</v>
      </c>
      <c r="B502" s="7">
        <v>0</v>
      </c>
      <c r="C502" s="7">
        <v>88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34</v>
      </c>
      <c r="J502" s="7">
        <v>49</v>
      </c>
      <c r="K502" s="7">
        <v>173</v>
      </c>
      <c r="L502" s="7" t="b">
        <f t="shared" si="7"/>
        <v>1</v>
      </c>
    </row>
    <row r="503" spans="1:12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  <c r="L503" s="7" t="b">
        <f t="shared" si="7"/>
        <v>1</v>
      </c>
    </row>
    <row r="504" spans="1:12" x14ac:dyDescent="0.25">
      <c r="A504" s="7" t="s">
        <v>1498</v>
      </c>
      <c r="B504" s="7">
        <v>0</v>
      </c>
      <c r="C504" s="7">
        <v>92</v>
      </c>
      <c r="D504" s="7">
        <v>0</v>
      </c>
      <c r="E504" s="7">
        <v>0</v>
      </c>
      <c r="F504" s="7">
        <v>2</v>
      </c>
      <c r="G504" s="7">
        <v>0</v>
      </c>
      <c r="H504" s="7">
        <v>0</v>
      </c>
      <c r="I504" s="7">
        <v>6</v>
      </c>
      <c r="J504" s="7">
        <v>4</v>
      </c>
      <c r="K504" s="7">
        <v>104</v>
      </c>
      <c r="L504" s="7" t="b">
        <f t="shared" si="7"/>
        <v>1</v>
      </c>
    </row>
    <row r="505" spans="1:12" x14ac:dyDescent="0.25">
      <c r="A505" s="7" t="s">
        <v>1499</v>
      </c>
      <c r="B505" s="7">
        <v>0</v>
      </c>
      <c r="C505" s="7">
        <v>117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61</v>
      </c>
      <c r="J505" s="7">
        <v>34</v>
      </c>
      <c r="K505" s="7">
        <v>212</v>
      </c>
      <c r="L505" s="7" t="b">
        <f t="shared" si="7"/>
        <v>1</v>
      </c>
    </row>
    <row r="506" spans="1:12" x14ac:dyDescent="0.25">
      <c r="A506" s="7" t="s">
        <v>1500</v>
      </c>
      <c r="B506" s="7">
        <v>0</v>
      </c>
      <c r="C506" s="7">
        <v>49</v>
      </c>
      <c r="D506" s="7">
        <v>11</v>
      </c>
      <c r="E506" s="7">
        <v>0</v>
      </c>
      <c r="F506" s="7">
        <v>0</v>
      </c>
      <c r="G506" s="7">
        <v>0</v>
      </c>
      <c r="H506" s="7">
        <v>0</v>
      </c>
      <c r="I506" s="7">
        <v>40</v>
      </c>
      <c r="J506" s="7">
        <v>25</v>
      </c>
      <c r="K506" s="7">
        <v>125</v>
      </c>
      <c r="L506" s="7" t="b">
        <f t="shared" si="7"/>
        <v>1</v>
      </c>
    </row>
    <row r="507" spans="1:12" x14ac:dyDescent="0.25">
      <c r="A507" s="7" t="s">
        <v>1501</v>
      </c>
      <c r="B507" s="7">
        <v>0</v>
      </c>
      <c r="C507" s="7">
        <v>118</v>
      </c>
      <c r="D507" s="7">
        <v>7</v>
      </c>
      <c r="E507" s="7">
        <v>0</v>
      </c>
      <c r="F507" s="7">
        <v>3</v>
      </c>
      <c r="G507" s="7">
        <v>2</v>
      </c>
      <c r="H507" s="7">
        <v>0</v>
      </c>
      <c r="I507" s="7">
        <v>5</v>
      </c>
      <c r="J507" s="7">
        <v>53</v>
      </c>
      <c r="K507" s="7">
        <v>188</v>
      </c>
      <c r="L507" s="7" t="b">
        <f t="shared" si="7"/>
        <v>1</v>
      </c>
    </row>
    <row r="508" spans="1:12" x14ac:dyDescent="0.25">
      <c r="A508" s="7" t="s">
        <v>1502</v>
      </c>
      <c r="B508" s="7">
        <v>0</v>
      </c>
      <c r="C508" s="7">
        <v>74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126</v>
      </c>
      <c r="L508" s="7" t="b">
        <f t="shared" si="7"/>
        <v>1</v>
      </c>
    </row>
    <row r="509" spans="1:12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  <c r="L509" s="7" t="b">
        <f t="shared" si="7"/>
        <v>1</v>
      </c>
    </row>
    <row r="510" spans="1:12" x14ac:dyDescent="0.25">
      <c r="A510" s="7" t="s">
        <v>1504</v>
      </c>
      <c r="B510" s="7">
        <v>0</v>
      </c>
      <c r="C510" s="7">
        <v>70</v>
      </c>
      <c r="D510" s="7">
        <v>16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27</v>
      </c>
      <c r="K510" s="7">
        <v>113</v>
      </c>
      <c r="L510" s="7" t="b">
        <f t="shared" si="7"/>
        <v>1</v>
      </c>
    </row>
    <row r="511" spans="1:12" x14ac:dyDescent="0.25">
      <c r="A511" s="7" t="s">
        <v>1505</v>
      </c>
      <c r="B511" s="7">
        <v>0</v>
      </c>
      <c r="C511" s="7">
        <v>114</v>
      </c>
      <c r="D511" s="7">
        <v>1</v>
      </c>
      <c r="E511" s="7">
        <v>0</v>
      </c>
      <c r="F511" s="7">
        <v>0</v>
      </c>
      <c r="G511" s="7">
        <v>0</v>
      </c>
      <c r="H511" s="7">
        <v>0</v>
      </c>
      <c r="I511" s="7">
        <v>40</v>
      </c>
      <c r="J511" s="7">
        <v>4</v>
      </c>
      <c r="K511" s="7">
        <v>159</v>
      </c>
      <c r="L511" s="7" t="b">
        <f t="shared" si="7"/>
        <v>1</v>
      </c>
    </row>
    <row r="512" spans="1:12" x14ac:dyDescent="0.25">
      <c r="A512" s="7" t="s">
        <v>1506</v>
      </c>
      <c r="B512" s="7">
        <v>0</v>
      </c>
      <c r="C512" s="7">
        <v>116</v>
      </c>
      <c r="D512" s="7">
        <v>0</v>
      </c>
      <c r="E512" s="7">
        <v>0</v>
      </c>
      <c r="F512" s="7">
        <v>0</v>
      </c>
      <c r="G512" s="7">
        <v>2</v>
      </c>
      <c r="H512" s="7">
        <v>0</v>
      </c>
      <c r="I512" s="7">
        <v>7</v>
      </c>
      <c r="J512" s="7">
        <v>17</v>
      </c>
      <c r="K512" s="7">
        <v>142</v>
      </c>
      <c r="L512" s="7" t="b">
        <f t="shared" si="7"/>
        <v>1</v>
      </c>
    </row>
    <row r="513" spans="1:12" x14ac:dyDescent="0.25">
      <c r="A513" s="7" t="s">
        <v>1507</v>
      </c>
      <c r="B513" s="7">
        <v>0</v>
      </c>
      <c r="C513" s="7">
        <v>46</v>
      </c>
      <c r="D513" s="7">
        <v>15</v>
      </c>
      <c r="E513" s="7">
        <v>0</v>
      </c>
      <c r="F513" s="7">
        <v>0</v>
      </c>
      <c r="G513" s="7">
        <v>0</v>
      </c>
      <c r="H513" s="7">
        <v>0</v>
      </c>
      <c r="I513" s="7">
        <v>13</v>
      </c>
      <c r="J513" s="7">
        <v>24</v>
      </c>
      <c r="K513" s="7">
        <v>98</v>
      </c>
      <c r="L513" s="7" t="b">
        <f t="shared" si="7"/>
        <v>1</v>
      </c>
    </row>
    <row r="514" spans="1:12" x14ac:dyDescent="0.25">
      <c r="A514" s="7" t="s">
        <v>1508</v>
      </c>
      <c r="B514" s="7">
        <v>0</v>
      </c>
      <c r="C514" s="7">
        <v>124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4</v>
      </c>
      <c r="J514" s="7">
        <v>2</v>
      </c>
      <c r="K514" s="7">
        <v>131</v>
      </c>
      <c r="L514" s="7" t="b">
        <f t="shared" si="7"/>
        <v>1</v>
      </c>
    </row>
    <row r="515" spans="1:12" x14ac:dyDescent="0.25">
      <c r="A515" s="7" t="s">
        <v>1509</v>
      </c>
      <c r="B515" s="7">
        <v>0</v>
      </c>
      <c r="C515" s="7">
        <v>114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2</v>
      </c>
      <c r="J515" s="7">
        <v>0</v>
      </c>
      <c r="K515" s="7">
        <v>117</v>
      </c>
      <c r="L515" s="7" t="b">
        <f t="shared" ref="L515:L578" si="8">K515=SUM(B515:J515)</f>
        <v>1</v>
      </c>
    </row>
    <row r="516" spans="1:12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  <c r="L516" s="7" t="b">
        <f t="shared" si="8"/>
        <v>1</v>
      </c>
    </row>
    <row r="517" spans="1:12" x14ac:dyDescent="0.25">
      <c r="A517" s="7" t="s">
        <v>1511</v>
      </c>
      <c r="B517" s="7">
        <v>0</v>
      </c>
      <c r="C517" s="7">
        <v>42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2</v>
      </c>
      <c r="J517" s="7">
        <v>0</v>
      </c>
      <c r="K517" s="7">
        <v>44</v>
      </c>
      <c r="L517" s="7" t="b">
        <f t="shared" si="8"/>
        <v>1</v>
      </c>
    </row>
    <row r="518" spans="1:12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  <c r="L518" s="7" t="b">
        <f t="shared" si="8"/>
        <v>1</v>
      </c>
    </row>
    <row r="519" spans="1:12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  <c r="L519" s="7" t="b">
        <f t="shared" si="8"/>
        <v>1</v>
      </c>
    </row>
    <row r="520" spans="1:12" x14ac:dyDescent="0.25">
      <c r="A520" s="7" t="s">
        <v>1514</v>
      </c>
      <c r="B520" s="7">
        <v>0</v>
      </c>
      <c r="C520" s="7">
        <v>65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2</v>
      </c>
      <c r="J520" s="7">
        <v>0</v>
      </c>
      <c r="K520" s="7">
        <v>67</v>
      </c>
      <c r="L520" s="7" t="b">
        <f t="shared" si="8"/>
        <v>1</v>
      </c>
    </row>
    <row r="521" spans="1:12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  <c r="L521" s="7" t="b">
        <f t="shared" si="8"/>
        <v>1</v>
      </c>
    </row>
    <row r="522" spans="1:12" x14ac:dyDescent="0.25">
      <c r="A522" s="7" t="s">
        <v>1516</v>
      </c>
      <c r="B522" s="7">
        <v>0</v>
      </c>
      <c r="C522" s="7">
        <v>87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2</v>
      </c>
      <c r="J522" s="7">
        <v>0</v>
      </c>
      <c r="K522" s="7">
        <v>89</v>
      </c>
      <c r="L522" s="7" t="b">
        <f t="shared" si="8"/>
        <v>1</v>
      </c>
    </row>
    <row r="523" spans="1:12" x14ac:dyDescent="0.25">
      <c r="A523" s="7" t="s">
        <v>1517</v>
      </c>
      <c r="B523" s="7">
        <v>0</v>
      </c>
      <c r="C523" s="7">
        <v>36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1</v>
      </c>
      <c r="J523" s="7">
        <v>2</v>
      </c>
      <c r="K523" s="7">
        <v>39</v>
      </c>
      <c r="L523" s="7" t="b">
        <f t="shared" si="8"/>
        <v>1</v>
      </c>
    </row>
    <row r="524" spans="1:12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  <c r="L524" s="7" t="b">
        <f t="shared" si="8"/>
        <v>1</v>
      </c>
    </row>
    <row r="525" spans="1:12" x14ac:dyDescent="0.25">
      <c r="A525" s="7" t="s">
        <v>1519</v>
      </c>
      <c r="B525" s="7">
        <v>0</v>
      </c>
      <c r="C525" s="7">
        <v>17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54</v>
      </c>
      <c r="J525" s="7">
        <v>0</v>
      </c>
      <c r="K525" s="7">
        <v>71</v>
      </c>
      <c r="L525" s="7" t="b">
        <f t="shared" si="8"/>
        <v>1</v>
      </c>
    </row>
    <row r="526" spans="1:12" x14ac:dyDescent="0.25">
      <c r="A526" s="7" t="s">
        <v>1520</v>
      </c>
      <c r="B526" s="7">
        <v>0</v>
      </c>
      <c r="C526" s="7">
        <v>57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69</v>
      </c>
      <c r="J526" s="7">
        <v>2</v>
      </c>
      <c r="K526" s="7">
        <v>128</v>
      </c>
      <c r="L526" s="7" t="b">
        <f t="shared" si="8"/>
        <v>1</v>
      </c>
    </row>
    <row r="527" spans="1:12" x14ac:dyDescent="0.25">
      <c r="A527" s="7" t="s">
        <v>1521</v>
      </c>
      <c r="B527" s="7">
        <v>0</v>
      </c>
      <c r="C527" s="7">
        <v>109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1</v>
      </c>
      <c r="J527" s="7">
        <v>0</v>
      </c>
      <c r="K527" s="7">
        <v>114</v>
      </c>
      <c r="L527" s="7" t="b">
        <f t="shared" si="8"/>
        <v>1</v>
      </c>
    </row>
    <row r="528" spans="1:12" x14ac:dyDescent="0.25">
      <c r="A528" s="7" t="s">
        <v>1522</v>
      </c>
      <c r="B528" s="7">
        <v>0</v>
      </c>
      <c r="C528" s="7">
        <v>15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66</v>
      </c>
      <c r="J528" s="7">
        <v>0</v>
      </c>
      <c r="K528" s="7">
        <v>81</v>
      </c>
      <c r="L528" s="7" t="b">
        <f t="shared" si="8"/>
        <v>1</v>
      </c>
    </row>
    <row r="529" spans="1:12" x14ac:dyDescent="0.25">
      <c r="A529" s="7" t="s">
        <v>1523</v>
      </c>
      <c r="B529" s="7">
        <v>0</v>
      </c>
      <c r="C529" s="7">
        <v>124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0</v>
      </c>
      <c r="J529" s="7">
        <v>0</v>
      </c>
      <c r="K529" s="7">
        <v>126</v>
      </c>
      <c r="L529" s="7" t="b">
        <f t="shared" si="8"/>
        <v>1</v>
      </c>
    </row>
    <row r="530" spans="1:12" x14ac:dyDescent="0.25">
      <c r="A530" s="7" t="s">
        <v>1524</v>
      </c>
      <c r="B530" s="7">
        <v>0</v>
      </c>
      <c r="C530" s="7">
        <v>102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4</v>
      </c>
      <c r="J530" s="7">
        <v>1</v>
      </c>
      <c r="K530" s="7">
        <v>108</v>
      </c>
      <c r="L530" s="7" t="b">
        <f t="shared" si="8"/>
        <v>1</v>
      </c>
    </row>
    <row r="531" spans="1:12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  <c r="L531" s="7" t="b">
        <f t="shared" si="8"/>
        <v>1</v>
      </c>
    </row>
    <row r="532" spans="1:12" x14ac:dyDescent="0.25">
      <c r="A532" s="7" t="s">
        <v>1526</v>
      </c>
      <c r="B532" s="7">
        <v>0</v>
      </c>
      <c r="C532" s="7">
        <v>60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60</v>
      </c>
      <c r="L532" s="7" t="b">
        <f t="shared" si="8"/>
        <v>1</v>
      </c>
    </row>
    <row r="533" spans="1:12" x14ac:dyDescent="0.25">
      <c r="A533" s="7" t="s">
        <v>1527</v>
      </c>
      <c r="B533" s="7">
        <v>0</v>
      </c>
      <c r="C533" s="7">
        <v>98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23</v>
      </c>
      <c r="J533" s="7">
        <v>0</v>
      </c>
      <c r="K533" s="7">
        <v>124</v>
      </c>
      <c r="L533" s="7" t="b">
        <f t="shared" si="8"/>
        <v>1</v>
      </c>
    </row>
    <row r="534" spans="1:12" x14ac:dyDescent="0.25">
      <c r="A534" s="7" t="s">
        <v>1528</v>
      </c>
      <c r="B534" s="7">
        <v>0</v>
      </c>
      <c r="C534" s="7">
        <v>21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43</v>
      </c>
      <c r="J534" s="7">
        <v>14</v>
      </c>
      <c r="K534" s="7">
        <v>78</v>
      </c>
      <c r="L534" s="7" t="b">
        <f t="shared" si="8"/>
        <v>1</v>
      </c>
    </row>
    <row r="535" spans="1:12" x14ac:dyDescent="0.25">
      <c r="A535" s="7" t="s">
        <v>1529</v>
      </c>
      <c r="B535" s="7">
        <v>0</v>
      </c>
      <c r="C535" s="7">
        <v>60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0</v>
      </c>
      <c r="J535" s="7">
        <v>4</v>
      </c>
      <c r="K535" s="7">
        <v>64</v>
      </c>
      <c r="L535" s="7" t="b">
        <f t="shared" si="8"/>
        <v>1</v>
      </c>
    </row>
    <row r="536" spans="1:12" x14ac:dyDescent="0.25">
      <c r="A536" s="7" t="s">
        <v>1530</v>
      </c>
      <c r="B536" s="7">
        <v>0</v>
      </c>
      <c r="C536" s="7">
        <v>30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73</v>
      </c>
      <c r="J536" s="7">
        <v>16</v>
      </c>
      <c r="K536" s="7">
        <v>119</v>
      </c>
      <c r="L536" s="7" t="b">
        <f t="shared" si="8"/>
        <v>1</v>
      </c>
    </row>
    <row r="537" spans="1:12" x14ac:dyDescent="0.25">
      <c r="A537" s="7" t="s">
        <v>1531</v>
      </c>
      <c r="B537" s="7">
        <v>0</v>
      </c>
      <c r="C537" s="7">
        <v>28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51</v>
      </c>
      <c r="J537" s="7">
        <v>0</v>
      </c>
      <c r="K537" s="7">
        <v>79</v>
      </c>
      <c r="L537" s="7" t="b">
        <f t="shared" si="8"/>
        <v>1</v>
      </c>
    </row>
    <row r="538" spans="1:12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  <c r="L538" s="7" t="b">
        <f t="shared" si="8"/>
        <v>1</v>
      </c>
    </row>
    <row r="539" spans="1:12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  <c r="L539" s="7" t="b">
        <f t="shared" si="8"/>
        <v>1</v>
      </c>
    </row>
    <row r="540" spans="1:12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  <c r="L540" s="7" t="b">
        <f t="shared" si="8"/>
        <v>1</v>
      </c>
    </row>
    <row r="541" spans="1:12" x14ac:dyDescent="0.25">
      <c r="A541" s="7" t="s">
        <v>1535</v>
      </c>
      <c r="B541" s="7">
        <v>0</v>
      </c>
      <c r="C541" s="7">
        <v>80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2</v>
      </c>
      <c r="J541" s="7">
        <v>0</v>
      </c>
      <c r="K541" s="7">
        <v>82</v>
      </c>
      <c r="L541" s="7" t="b">
        <f t="shared" si="8"/>
        <v>1</v>
      </c>
    </row>
    <row r="542" spans="1:12" x14ac:dyDescent="0.25">
      <c r="A542" s="7" t="s">
        <v>1536</v>
      </c>
      <c r="B542" s="7">
        <v>0</v>
      </c>
      <c r="C542" s="7">
        <v>111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111</v>
      </c>
      <c r="L542" s="7" t="b">
        <f t="shared" si="8"/>
        <v>1</v>
      </c>
    </row>
    <row r="543" spans="1:12" x14ac:dyDescent="0.25">
      <c r="A543" s="7" t="s">
        <v>1537</v>
      </c>
      <c r="B543" s="7">
        <v>0</v>
      </c>
      <c r="C543" s="7">
        <v>86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6</v>
      </c>
      <c r="J543" s="7">
        <v>1</v>
      </c>
      <c r="K543" s="7">
        <v>93</v>
      </c>
      <c r="L543" s="7" t="b">
        <f t="shared" si="8"/>
        <v>1</v>
      </c>
    </row>
    <row r="544" spans="1:12" x14ac:dyDescent="0.25">
      <c r="A544" s="7" t="s">
        <v>1538</v>
      </c>
      <c r="B544" s="7">
        <v>0</v>
      </c>
      <c r="C544" s="7">
        <v>95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0</v>
      </c>
      <c r="J544" s="7">
        <v>0</v>
      </c>
      <c r="K544" s="7">
        <v>99</v>
      </c>
      <c r="L544" s="7" t="b">
        <f t="shared" si="8"/>
        <v>1</v>
      </c>
    </row>
    <row r="545" spans="1:12" x14ac:dyDescent="0.25">
      <c r="A545" s="7" t="s">
        <v>1539</v>
      </c>
      <c r="B545" s="7">
        <v>0</v>
      </c>
      <c r="C545" s="7">
        <v>38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48</v>
      </c>
      <c r="J545" s="7">
        <v>0</v>
      </c>
      <c r="K545" s="7">
        <v>86</v>
      </c>
      <c r="L545" s="7" t="b">
        <f t="shared" si="8"/>
        <v>1</v>
      </c>
    </row>
    <row r="546" spans="1:12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55</v>
      </c>
      <c r="J546" s="7">
        <v>1</v>
      </c>
      <c r="K546" s="7">
        <v>61</v>
      </c>
      <c r="L546" s="7" t="b">
        <f t="shared" si="8"/>
        <v>1</v>
      </c>
    </row>
    <row r="547" spans="1:12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  <c r="L547" s="7" t="b">
        <f t="shared" si="8"/>
        <v>1</v>
      </c>
    </row>
    <row r="548" spans="1:12" x14ac:dyDescent="0.25">
      <c r="A548" s="7" t="s">
        <v>1542</v>
      </c>
      <c r="B548" s="7">
        <v>0</v>
      </c>
      <c r="C548" s="7">
        <v>33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82</v>
      </c>
      <c r="J548" s="7">
        <v>7</v>
      </c>
      <c r="K548" s="7">
        <v>122</v>
      </c>
      <c r="L548" s="7" t="b">
        <f t="shared" si="8"/>
        <v>1</v>
      </c>
    </row>
    <row r="549" spans="1:12" x14ac:dyDescent="0.25">
      <c r="A549" s="7" t="s">
        <v>1543</v>
      </c>
      <c r="B549" s="7">
        <v>0</v>
      </c>
      <c r="C549" s="7">
        <v>43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53</v>
      </c>
      <c r="J549" s="7">
        <v>1</v>
      </c>
      <c r="K549" s="7">
        <v>97</v>
      </c>
      <c r="L549" s="7" t="b">
        <f t="shared" si="8"/>
        <v>1</v>
      </c>
    </row>
    <row r="550" spans="1:12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54</v>
      </c>
      <c r="J550" s="7">
        <v>0</v>
      </c>
      <c r="K550" s="7">
        <v>100</v>
      </c>
      <c r="L550" s="7" t="b">
        <f t="shared" si="8"/>
        <v>1</v>
      </c>
    </row>
    <row r="551" spans="1:12" x14ac:dyDescent="0.25">
      <c r="A551" s="7" t="s">
        <v>1545</v>
      </c>
      <c r="B551" s="7">
        <v>0</v>
      </c>
      <c r="C551" s="7">
        <v>64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34</v>
      </c>
      <c r="J551" s="7">
        <v>2</v>
      </c>
      <c r="K551" s="7">
        <v>100</v>
      </c>
      <c r="L551" s="7" t="b">
        <f t="shared" si="8"/>
        <v>1</v>
      </c>
    </row>
    <row r="552" spans="1:12" x14ac:dyDescent="0.25">
      <c r="A552" s="7" t="s">
        <v>1546</v>
      </c>
      <c r="B552" s="7">
        <v>0</v>
      </c>
      <c r="C552" s="7">
        <v>33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23</v>
      </c>
      <c r="J552" s="7">
        <v>0</v>
      </c>
      <c r="K552" s="7">
        <v>56</v>
      </c>
      <c r="L552" s="7" t="b">
        <f t="shared" si="8"/>
        <v>1</v>
      </c>
    </row>
    <row r="553" spans="1:12" x14ac:dyDescent="0.25">
      <c r="A553" s="7" t="s">
        <v>1547</v>
      </c>
      <c r="B553" s="7">
        <v>0</v>
      </c>
      <c r="C553" s="7">
        <v>41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1</v>
      </c>
      <c r="J553" s="7">
        <v>5</v>
      </c>
      <c r="K553" s="7">
        <v>47</v>
      </c>
      <c r="L553" s="7" t="b">
        <f t="shared" si="8"/>
        <v>1</v>
      </c>
    </row>
    <row r="554" spans="1:12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35</v>
      </c>
      <c r="J554" s="7">
        <v>0</v>
      </c>
      <c r="K554" s="7">
        <v>42</v>
      </c>
      <c r="L554" s="7" t="b">
        <f t="shared" si="8"/>
        <v>1</v>
      </c>
    </row>
    <row r="555" spans="1:12" x14ac:dyDescent="0.25">
      <c r="A555" s="7" t="s">
        <v>1549</v>
      </c>
      <c r="B555" s="7">
        <v>0</v>
      </c>
      <c r="C555" s="7">
        <v>67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0</v>
      </c>
      <c r="J555" s="7">
        <v>1</v>
      </c>
      <c r="K555" s="7">
        <v>69</v>
      </c>
      <c r="L555" s="7" t="b">
        <f t="shared" si="8"/>
        <v>1</v>
      </c>
    </row>
    <row r="556" spans="1:12" x14ac:dyDescent="0.25">
      <c r="A556" s="7" t="s">
        <v>1550</v>
      </c>
      <c r="B556" s="7">
        <v>0</v>
      </c>
      <c r="C556" s="7">
        <v>69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0</v>
      </c>
      <c r="J556" s="7">
        <v>0</v>
      </c>
      <c r="K556" s="7">
        <v>69</v>
      </c>
      <c r="L556" s="7" t="b">
        <f t="shared" si="8"/>
        <v>1</v>
      </c>
    </row>
    <row r="557" spans="1:12" x14ac:dyDescent="0.25">
      <c r="A557" s="7" t="s">
        <v>1551</v>
      </c>
      <c r="B557" s="7">
        <v>0</v>
      </c>
      <c r="C557" s="7">
        <v>20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46</v>
      </c>
      <c r="J557" s="7">
        <v>5</v>
      </c>
      <c r="K557" s="7">
        <v>71</v>
      </c>
      <c r="L557" s="7" t="b">
        <f t="shared" si="8"/>
        <v>1</v>
      </c>
    </row>
    <row r="558" spans="1:12" x14ac:dyDescent="0.25">
      <c r="A558" s="7" t="s">
        <v>1552</v>
      </c>
      <c r="B558" s="7">
        <v>0</v>
      </c>
      <c r="C558" s="7">
        <v>29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31</v>
      </c>
      <c r="J558" s="7">
        <v>1</v>
      </c>
      <c r="K558" s="7">
        <v>61</v>
      </c>
      <c r="L558" s="7" t="b">
        <f t="shared" si="8"/>
        <v>1</v>
      </c>
    </row>
    <row r="559" spans="1:12" x14ac:dyDescent="0.25">
      <c r="A559" s="7" t="s">
        <v>1553</v>
      </c>
      <c r="B559" s="7">
        <v>0</v>
      </c>
      <c r="C559" s="7">
        <v>99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47</v>
      </c>
      <c r="J559" s="7">
        <v>1</v>
      </c>
      <c r="K559" s="7">
        <v>147</v>
      </c>
      <c r="L559" s="7" t="b">
        <f t="shared" si="8"/>
        <v>1</v>
      </c>
    </row>
    <row r="560" spans="1:12" x14ac:dyDescent="0.25">
      <c r="A560" s="7" t="s">
        <v>1554</v>
      </c>
      <c r="B560" s="7">
        <v>0</v>
      </c>
      <c r="C560" s="7">
        <v>45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0</v>
      </c>
      <c r="K560" s="7">
        <v>45</v>
      </c>
      <c r="L560" s="7" t="b">
        <f t="shared" si="8"/>
        <v>1</v>
      </c>
    </row>
    <row r="561" spans="1:12" x14ac:dyDescent="0.25">
      <c r="A561" s="7" t="s">
        <v>1555</v>
      </c>
      <c r="B561" s="7">
        <v>0</v>
      </c>
      <c r="C561" s="7">
        <v>59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26</v>
      </c>
      <c r="J561" s="7">
        <v>7</v>
      </c>
      <c r="K561" s="7">
        <v>92</v>
      </c>
      <c r="L561" s="7" t="b">
        <f t="shared" si="8"/>
        <v>1</v>
      </c>
    </row>
    <row r="562" spans="1:12" x14ac:dyDescent="0.25">
      <c r="A562" s="7" t="s">
        <v>1556</v>
      </c>
      <c r="B562" s="7">
        <v>0</v>
      </c>
      <c r="C562" s="7">
        <v>45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43</v>
      </c>
      <c r="J562" s="7">
        <v>0</v>
      </c>
      <c r="K562" s="7">
        <v>90</v>
      </c>
      <c r="L562" s="7" t="b">
        <f t="shared" si="8"/>
        <v>1</v>
      </c>
    </row>
    <row r="563" spans="1:12" x14ac:dyDescent="0.25">
      <c r="A563" s="7" t="s">
        <v>1557</v>
      </c>
      <c r="B563" s="7">
        <v>0</v>
      </c>
      <c r="C563" s="7">
        <v>58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9</v>
      </c>
      <c r="J563" s="7">
        <v>8</v>
      </c>
      <c r="K563" s="7">
        <v>76</v>
      </c>
      <c r="L563" s="7" t="b">
        <f t="shared" si="8"/>
        <v>1</v>
      </c>
    </row>
    <row r="564" spans="1:12" x14ac:dyDescent="0.25">
      <c r="A564" s="7" t="s">
        <v>1558</v>
      </c>
      <c r="B564" s="7">
        <v>0</v>
      </c>
      <c r="C564" s="7">
        <v>37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3</v>
      </c>
      <c r="J564" s="7">
        <v>4</v>
      </c>
      <c r="K564" s="7">
        <v>45</v>
      </c>
      <c r="L564" s="7" t="b">
        <f t="shared" si="8"/>
        <v>1</v>
      </c>
    </row>
    <row r="565" spans="1:12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23</v>
      </c>
      <c r="J565" s="7">
        <v>29</v>
      </c>
      <c r="K565" s="7">
        <v>64</v>
      </c>
      <c r="L565" s="7" t="b">
        <f t="shared" si="8"/>
        <v>1</v>
      </c>
    </row>
    <row r="566" spans="1:12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48</v>
      </c>
      <c r="J566" s="7">
        <v>0</v>
      </c>
      <c r="K566" s="7">
        <v>84</v>
      </c>
      <c r="L566" s="7" t="b">
        <f t="shared" si="8"/>
        <v>1</v>
      </c>
    </row>
    <row r="567" spans="1:12" x14ac:dyDescent="0.25">
      <c r="A567" s="7" t="s">
        <v>1561</v>
      </c>
      <c r="B567" s="7">
        <v>0</v>
      </c>
      <c r="C567" s="7">
        <v>54</v>
      </c>
      <c r="D567" s="7">
        <v>0</v>
      </c>
      <c r="E567" s="7">
        <v>0</v>
      </c>
      <c r="F567" s="7">
        <v>0</v>
      </c>
      <c r="G567" s="7">
        <v>1</v>
      </c>
      <c r="H567" s="7">
        <v>0</v>
      </c>
      <c r="I567" s="7">
        <v>6</v>
      </c>
      <c r="J567" s="7">
        <v>0</v>
      </c>
      <c r="K567" s="7">
        <v>61</v>
      </c>
      <c r="L567" s="7" t="b">
        <f t="shared" si="8"/>
        <v>1</v>
      </c>
    </row>
    <row r="568" spans="1:12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38</v>
      </c>
      <c r="J568" s="7">
        <v>3</v>
      </c>
      <c r="K568" s="7">
        <v>65</v>
      </c>
      <c r="L568" s="7" t="b">
        <f t="shared" si="8"/>
        <v>1</v>
      </c>
    </row>
    <row r="569" spans="1:12" x14ac:dyDescent="0.25">
      <c r="A569" s="7" t="s">
        <v>1563</v>
      </c>
      <c r="B569" s="7">
        <v>0</v>
      </c>
      <c r="C569" s="7">
        <v>18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60</v>
      </c>
      <c r="J569" s="7">
        <v>9</v>
      </c>
      <c r="K569" s="7">
        <v>87</v>
      </c>
      <c r="L569" s="7" t="b">
        <f t="shared" si="8"/>
        <v>1</v>
      </c>
    </row>
    <row r="570" spans="1:12" x14ac:dyDescent="0.25">
      <c r="A570" s="7" t="s">
        <v>1564</v>
      </c>
      <c r="B570" s="7">
        <v>0</v>
      </c>
      <c r="C570" s="7">
        <v>44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6</v>
      </c>
      <c r="J570" s="7">
        <v>3</v>
      </c>
      <c r="K570" s="7">
        <v>53</v>
      </c>
      <c r="L570" s="7" t="b">
        <f t="shared" si="8"/>
        <v>1</v>
      </c>
    </row>
    <row r="571" spans="1:12" x14ac:dyDescent="0.25">
      <c r="A571" s="7" t="s">
        <v>1565</v>
      </c>
      <c r="B571" s="7">
        <v>0</v>
      </c>
      <c r="C571" s="7">
        <v>25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7</v>
      </c>
      <c r="J571" s="7">
        <v>11</v>
      </c>
      <c r="K571" s="7">
        <v>43</v>
      </c>
      <c r="L571" s="7" t="b">
        <f t="shared" si="8"/>
        <v>1</v>
      </c>
    </row>
    <row r="572" spans="1:12" x14ac:dyDescent="0.25">
      <c r="A572" s="7" t="s">
        <v>1566</v>
      </c>
      <c r="B572" s="7">
        <v>0</v>
      </c>
      <c r="C572" s="7">
        <v>27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6</v>
      </c>
      <c r="J572" s="7">
        <v>9</v>
      </c>
      <c r="K572" s="7">
        <v>43</v>
      </c>
      <c r="L572" s="7" t="b">
        <f t="shared" si="8"/>
        <v>1</v>
      </c>
    </row>
    <row r="573" spans="1:12" x14ac:dyDescent="0.25">
      <c r="A573" s="7" t="s">
        <v>1567</v>
      </c>
      <c r="B573" s="7">
        <v>0</v>
      </c>
      <c r="C573" s="7">
        <v>21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40</v>
      </c>
      <c r="J573" s="7">
        <v>32</v>
      </c>
      <c r="K573" s="7">
        <v>93</v>
      </c>
      <c r="L573" s="7" t="b">
        <f t="shared" si="8"/>
        <v>1</v>
      </c>
    </row>
    <row r="574" spans="1:12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38</v>
      </c>
      <c r="J574" s="7">
        <v>3</v>
      </c>
      <c r="K574" s="7">
        <v>51</v>
      </c>
      <c r="L574" s="7" t="b">
        <f t="shared" si="8"/>
        <v>1</v>
      </c>
    </row>
    <row r="575" spans="1:12" x14ac:dyDescent="0.25">
      <c r="A575" s="7" t="s">
        <v>1569</v>
      </c>
      <c r="B575" s="7">
        <v>0</v>
      </c>
      <c r="C575" s="7">
        <v>16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15</v>
      </c>
      <c r="J575" s="7">
        <v>8</v>
      </c>
      <c r="K575" s="7">
        <v>39</v>
      </c>
      <c r="L575" s="7" t="b">
        <f t="shared" si="8"/>
        <v>1</v>
      </c>
    </row>
    <row r="576" spans="1:12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  <c r="L576" s="7" t="b">
        <f t="shared" si="8"/>
        <v>1</v>
      </c>
    </row>
    <row r="577" spans="1:12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  <c r="L577" s="7" t="b">
        <f t="shared" si="8"/>
        <v>1</v>
      </c>
    </row>
    <row r="578" spans="1:12" x14ac:dyDescent="0.25">
      <c r="A578" s="7" t="s">
        <v>1572</v>
      </c>
      <c r="B578" s="7">
        <v>0</v>
      </c>
      <c r="C578" s="7">
        <v>104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1</v>
      </c>
      <c r="K578" s="7">
        <v>106</v>
      </c>
      <c r="L578" s="7" t="b">
        <f t="shared" si="8"/>
        <v>1</v>
      </c>
    </row>
    <row r="579" spans="1:12" x14ac:dyDescent="0.25">
      <c r="A579" s="7" t="s">
        <v>1573</v>
      </c>
      <c r="B579" s="7">
        <v>0</v>
      </c>
      <c r="C579" s="7">
        <v>109</v>
      </c>
      <c r="D579" s="7">
        <v>3</v>
      </c>
      <c r="E579" s="7">
        <v>0</v>
      </c>
      <c r="F579" s="7">
        <v>0</v>
      </c>
      <c r="G579" s="7">
        <v>2</v>
      </c>
      <c r="H579" s="7">
        <v>0</v>
      </c>
      <c r="I579" s="7">
        <v>1</v>
      </c>
      <c r="J579" s="7">
        <v>1</v>
      </c>
      <c r="K579" s="7">
        <v>116</v>
      </c>
      <c r="L579" s="7" t="b">
        <f t="shared" ref="L579:L642" si="9">K579=SUM(B579:J579)</f>
        <v>1</v>
      </c>
    </row>
    <row r="580" spans="1:12" x14ac:dyDescent="0.25">
      <c r="A580" s="7" t="s">
        <v>1574</v>
      </c>
      <c r="B580" s="7">
        <v>0</v>
      </c>
      <c r="C580" s="7">
        <v>100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  <c r="L580" s="7" t="b">
        <f t="shared" si="9"/>
        <v>1</v>
      </c>
    </row>
    <row r="581" spans="1:12" x14ac:dyDescent="0.25">
      <c r="A581" s="7" t="s">
        <v>1575</v>
      </c>
      <c r="B581" s="7">
        <v>0</v>
      </c>
      <c r="C581" s="7">
        <v>73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3</v>
      </c>
      <c r="K581" s="7">
        <v>76</v>
      </c>
      <c r="L581" s="7" t="b">
        <f t="shared" si="9"/>
        <v>1</v>
      </c>
    </row>
    <row r="582" spans="1:12" x14ac:dyDescent="0.25">
      <c r="A582" s="7" t="s">
        <v>1576</v>
      </c>
      <c r="B582" s="7">
        <v>0</v>
      </c>
      <c r="C582" s="7">
        <v>67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6</v>
      </c>
      <c r="K582" s="7">
        <v>73</v>
      </c>
      <c r="L582" s="7" t="b">
        <f t="shared" si="9"/>
        <v>1</v>
      </c>
    </row>
    <row r="583" spans="1:12" x14ac:dyDescent="0.25">
      <c r="A583" s="7" t="s">
        <v>1577</v>
      </c>
      <c r="B583" s="7">
        <v>0</v>
      </c>
      <c r="C583" s="7">
        <v>66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10</v>
      </c>
      <c r="K583" s="7">
        <v>76</v>
      </c>
      <c r="L583" s="7" t="b">
        <f t="shared" si="9"/>
        <v>1</v>
      </c>
    </row>
    <row r="584" spans="1:12" x14ac:dyDescent="0.25">
      <c r="A584" s="7" t="s">
        <v>1578</v>
      </c>
      <c r="B584" s="7">
        <v>0</v>
      </c>
      <c r="C584" s="7">
        <v>31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0</v>
      </c>
      <c r="J584" s="7">
        <v>44</v>
      </c>
      <c r="K584" s="7">
        <v>75</v>
      </c>
      <c r="L584" s="7" t="b">
        <f t="shared" si="9"/>
        <v>1</v>
      </c>
    </row>
    <row r="585" spans="1:12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  <c r="L585" s="7" t="b">
        <f t="shared" si="9"/>
        <v>1</v>
      </c>
    </row>
    <row r="586" spans="1:12" x14ac:dyDescent="0.25">
      <c r="A586" s="7" t="s">
        <v>1580</v>
      </c>
      <c r="B586" s="7">
        <v>0</v>
      </c>
      <c r="C586" s="7">
        <v>36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0</v>
      </c>
      <c r="J586" s="7">
        <v>26</v>
      </c>
      <c r="K586" s="7">
        <v>62</v>
      </c>
      <c r="L586" s="7" t="b">
        <f t="shared" si="9"/>
        <v>1</v>
      </c>
    </row>
    <row r="587" spans="1:12" x14ac:dyDescent="0.25">
      <c r="A587" s="7" t="s">
        <v>1581</v>
      </c>
      <c r="B587" s="7">
        <v>0</v>
      </c>
      <c r="C587" s="7">
        <v>34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3</v>
      </c>
      <c r="J587" s="7">
        <v>20</v>
      </c>
      <c r="K587" s="7">
        <v>57</v>
      </c>
      <c r="L587" s="7" t="b">
        <f t="shared" si="9"/>
        <v>1</v>
      </c>
    </row>
    <row r="588" spans="1:12" x14ac:dyDescent="0.25">
      <c r="A588" s="7" t="s">
        <v>1582</v>
      </c>
      <c r="B588" s="7">
        <v>0</v>
      </c>
      <c r="C588" s="7">
        <v>90</v>
      </c>
      <c r="D588" s="7">
        <v>0</v>
      </c>
      <c r="E588" s="7">
        <v>0</v>
      </c>
      <c r="F588" s="7">
        <v>0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  <c r="L588" s="7" t="b">
        <f t="shared" si="9"/>
        <v>1</v>
      </c>
    </row>
    <row r="589" spans="1:12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1</v>
      </c>
      <c r="K589" s="7">
        <v>68</v>
      </c>
      <c r="L589" s="7" t="b">
        <f t="shared" si="9"/>
        <v>1</v>
      </c>
    </row>
    <row r="590" spans="1:12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  <c r="L590" s="7" t="b">
        <f t="shared" si="9"/>
        <v>1</v>
      </c>
    </row>
    <row r="591" spans="1:12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  <c r="L591" s="7" t="b">
        <f t="shared" si="9"/>
        <v>1</v>
      </c>
    </row>
    <row r="592" spans="1:12" x14ac:dyDescent="0.25">
      <c r="A592" s="7" t="s">
        <v>1586</v>
      </c>
      <c r="B592" s="7">
        <v>0</v>
      </c>
      <c r="C592" s="7">
        <v>53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53</v>
      </c>
      <c r="L592" s="7" t="b">
        <f t="shared" si="9"/>
        <v>1</v>
      </c>
    </row>
    <row r="593" spans="1:12" x14ac:dyDescent="0.25">
      <c r="A593" s="7" t="s">
        <v>1587</v>
      </c>
      <c r="B593" s="7">
        <v>0</v>
      </c>
      <c r="C593" s="7">
        <v>41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2</v>
      </c>
      <c r="J593" s="7">
        <v>11</v>
      </c>
      <c r="K593" s="7">
        <v>54</v>
      </c>
      <c r="L593" s="7" t="b">
        <f t="shared" si="9"/>
        <v>1</v>
      </c>
    </row>
    <row r="594" spans="1:12" x14ac:dyDescent="0.25">
      <c r="A594" s="7" t="s">
        <v>1588</v>
      </c>
      <c r="B594" s="7">
        <v>0</v>
      </c>
      <c r="C594" s="7">
        <v>55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1</v>
      </c>
      <c r="J594" s="7">
        <v>2</v>
      </c>
      <c r="K594" s="7">
        <v>58</v>
      </c>
      <c r="L594" s="7" t="b">
        <f t="shared" si="9"/>
        <v>1</v>
      </c>
    </row>
    <row r="595" spans="1:12" x14ac:dyDescent="0.25">
      <c r="A595" s="7" t="s">
        <v>1589</v>
      </c>
      <c r="B595" s="7">
        <v>0</v>
      </c>
      <c r="C595" s="7">
        <v>47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0</v>
      </c>
      <c r="J595" s="7">
        <v>0</v>
      </c>
      <c r="K595" s="7">
        <v>48</v>
      </c>
      <c r="L595" s="7" t="b">
        <f t="shared" si="9"/>
        <v>1</v>
      </c>
    </row>
    <row r="596" spans="1:12" x14ac:dyDescent="0.25">
      <c r="A596" s="7" t="s">
        <v>1590</v>
      </c>
      <c r="B596" s="7">
        <v>0</v>
      </c>
      <c r="C596" s="7">
        <v>52</v>
      </c>
      <c r="D596" s="7">
        <v>2</v>
      </c>
      <c r="E596" s="7">
        <v>0</v>
      </c>
      <c r="F596" s="7">
        <v>0</v>
      </c>
      <c r="G596" s="7">
        <v>0</v>
      </c>
      <c r="H596" s="7">
        <v>0</v>
      </c>
      <c r="I596" s="7">
        <v>2</v>
      </c>
      <c r="J596" s="7">
        <v>0</v>
      </c>
      <c r="K596" s="7">
        <v>56</v>
      </c>
      <c r="L596" s="7" t="b">
        <f t="shared" si="9"/>
        <v>1</v>
      </c>
    </row>
    <row r="597" spans="1:12" x14ac:dyDescent="0.25">
      <c r="A597" s="7" t="s">
        <v>1591</v>
      </c>
      <c r="B597" s="7">
        <v>0</v>
      </c>
      <c r="C597" s="7">
        <v>112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1</v>
      </c>
      <c r="K597" s="7">
        <v>113</v>
      </c>
      <c r="L597" s="7" t="b">
        <f t="shared" si="9"/>
        <v>1</v>
      </c>
    </row>
    <row r="598" spans="1:12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  <c r="L598" s="7" t="b">
        <f t="shared" si="9"/>
        <v>1</v>
      </c>
    </row>
    <row r="599" spans="1:12" x14ac:dyDescent="0.25">
      <c r="A599" s="7" t="s">
        <v>1593</v>
      </c>
      <c r="B599" s="7">
        <v>0</v>
      </c>
      <c r="C599" s="7">
        <v>72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0</v>
      </c>
      <c r="J599" s="7">
        <v>0</v>
      </c>
      <c r="K599" s="7">
        <v>74</v>
      </c>
      <c r="L599" s="7" t="b">
        <f t="shared" si="9"/>
        <v>1</v>
      </c>
    </row>
    <row r="600" spans="1:12" x14ac:dyDescent="0.25">
      <c r="A600" s="7" t="s">
        <v>1594</v>
      </c>
      <c r="B600" s="7">
        <v>0</v>
      </c>
      <c r="C600" s="7">
        <v>50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0</v>
      </c>
      <c r="K600" s="7">
        <v>50</v>
      </c>
      <c r="L600" s="7" t="b">
        <f t="shared" si="9"/>
        <v>1</v>
      </c>
    </row>
    <row r="601" spans="1:12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  <c r="L601" s="7" t="b">
        <f t="shared" si="9"/>
        <v>1</v>
      </c>
    </row>
    <row r="602" spans="1:12" x14ac:dyDescent="0.25">
      <c r="A602" s="7" t="s">
        <v>1596</v>
      </c>
      <c r="B602" s="7">
        <v>0</v>
      </c>
      <c r="C602" s="7">
        <v>40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41</v>
      </c>
      <c r="L602" s="7" t="b">
        <f t="shared" si="9"/>
        <v>1</v>
      </c>
    </row>
    <row r="603" spans="1:12" x14ac:dyDescent="0.25">
      <c r="A603" s="7" t="s">
        <v>1597</v>
      </c>
      <c r="B603" s="7">
        <v>0</v>
      </c>
      <c r="C603" s="7">
        <v>49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  <c r="L603" s="7" t="b">
        <f t="shared" si="9"/>
        <v>1</v>
      </c>
    </row>
    <row r="604" spans="1:12" x14ac:dyDescent="0.25">
      <c r="A604" s="7" t="s">
        <v>1598</v>
      </c>
      <c r="B604" s="7">
        <v>0</v>
      </c>
      <c r="C604" s="7">
        <v>29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  <c r="L604" s="7" t="b">
        <f t="shared" si="9"/>
        <v>1</v>
      </c>
    </row>
    <row r="605" spans="1:12" x14ac:dyDescent="0.25">
      <c r="A605" s="7" t="s">
        <v>1599</v>
      </c>
      <c r="B605" s="7">
        <v>0</v>
      </c>
      <c r="C605" s="7">
        <v>32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32</v>
      </c>
      <c r="L605" s="7" t="b">
        <f t="shared" si="9"/>
        <v>1</v>
      </c>
    </row>
    <row r="606" spans="1:12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  <c r="L606" s="7" t="b">
        <f t="shared" si="9"/>
        <v>1</v>
      </c>
    </row>
    <row r="607" spans="1:12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  <c r="L607" s="7" t="b">
        <f t="shared" si="9"/>
        <v>1</v>
      </c>
    </row>
    <row r="608" spans="1:12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  <c r="L608" s="7" t="b">
        <f t="shared" si="9"/>
        <v>1</v>
      </c>
    </row>
    <row r="609" spans="1:12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  <c r="L609" s="7" t="b">
        <f t="shared" si="9"/>
        <v>1</v>
      </c>
    </row>
    <row r="610" spans="1:12" x14ac:dyDescent="0.25">
      <c r="A610" s="7" t="s">
        <v>1604</v>
      </c>
      <c r="B610" s="7">
        <v>0</v>
      </c>
      <c r="C610" s="7">
        <v>58</v>
      </c>
      <c r="D610" s="7">
        <v>0</v>
      </c>
      <c r="E610" s="7">
        <v>0</v>
      </c>
      <c r="F610" s="7">
        <v>0</v>
      </c>
      <c r="G610" s="7">
        <v>1</v>
      </c>
      <c r="H610" s="7">
        <v>0</v>
      </c>
      <c r="I610" s="7">
        <v>0</v>
      </c>
      <c r="J610" s="7">
        <v>1</v>
      </c>
      <c r="K610" s="7">
        <v>60</v>
      </c>
      <c r="L610" s="7" t="b">
        <f t="shared" si="9"/>
        <v>1</v>
      </c>
    </row>
    <row r="611" spans="1:12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  <c r="L611" s="7" t="b">
        <f t="shared" si="9"/>
        <v>1</v>
      </c>
    </row>
    <row r="612" spans="1:12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  <c r="L612" s="7" t="b">
        <f t="shared" si="9"/>
        <v>1</v>
      </c>
    </row>
    <row r="613" spans="1:12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  <c r="L613" s="7" t="b">
        <f t="shared" si="9"/>
        <v>1</v>
      </c>
    </row>
    <row r="614" spans="1:12" x14ac:dyDescent="0.25">
      <c r="A614" s="7" t="s">
        <v>1608</v>
      </c>
      <c r="B614" s="7">
        <v>0</v>
      </c>
      <c r="C614" s="7">
        <v>49</v>
      </c>
      <c r="D614" s="7">
        <v>0</v>
      </c>
      <c r="E614" s="7">
        <v>0</v>
      </c>
      <c r="F614" s="7">
        <v>0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  <c r="L614" s="7" t="b">
        <f t="shared" si="9"/>
        <v>1</v>
      </c>
    </row>
    <row r="615" spans="1:12" x14ac:dyDescent="0.25">
      <c r="A615" s="7" t="s">
        <v>1609</v>
      </c>
      <c r="B615" s="7">
        <v>0</v>
      </c>
      <c r="C615" s="7">
        <v>56</v>
      </c>
      <c r="D615" s="7">
        <v>0</v>
      </c>
      <c r="E615" s="7">
        <v>0</v>
      </c>
      <c r="F615" s="7">
        <v>0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  <c r="L615" s="7" t="b">
        <f t="shared" si="9"/>
        <v>1</v>
      </c>
    </row>
    <row r="616" spans="1:12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  <c r="L616" s="7" t="b">
        <f t="shared" si="9"/>
        <v>1</v>
      </c>
    </row>
    <row r="617" spans="1:12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  <c r="L617" s="7" t="b">
        <f t="shared" si="9"/>
        <v>1</v>
      </c>
    </row>
    <row r="618" spans="1:12" x14ac:dyDescent="0.25">
      <c r="A618" s="7" t="s">
        <v>1612</v>
      </c>
      <c r="B618" s="7">
        <v>0</v>
      </c>
      <c r="C618" s="7">
        <v>76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0</v>
      </c>
      <c r="J618" s="7">
        <v>0</v>
      </c>
      <c r="K618" s="7">
        <v>78</v>
      </c>
      <c r="L618" s="7" t="b">
        <f t="shared" si="9"/>
        <v>1</v>
      </c>
    </row>
    <row r="619" spans="1:12" x14ac:dyDescent="0.25">
      <c r="A619" s="7" t="s">
        <v>1613</v>
      </c>
      <c r="B619" s="7">
        <v>0</v>
      </c>
      <c r="C619" s="7">
        <v>80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80</v>
      </c>
      <c r="L619" s="7" t="b">
        <f t="shared" si="9"/>
        <v>1</v>
      </c>
    </row>
    <row r="620" spans="1:12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  <c r="L620" s="7" t="b">
        <f t="shared" si="9"/>
        <v>1</v>
      </c>
    </row>
    <row r="621" spans="1:12" x14ac:dyDescent="0.25">
      <c r="A621" s="7" t="s">
        <v>1615</v>
      </c>
      <c r="B621" s="7">
        <v>0</v>
      </c>
      <c r="C621" s="7">
        <v>51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52</v>
      </c>
      <c r="L621" s="7" t="b">
        <f t="shared" si="9"/>
        <v>1</v>
      </c>
    </row>
    <row r="622" spans="1:12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  <c r="L622" s="7" t="b">
        <f t="shared" si="9"/>
        <v>1</v>
      </c>
    </row>
    <row r="623" spans="1:12" x14ac:dyDescent="0.25">
      <c r="A623" s="7" t="s">
        <v>1617</v>
      </c>
      <c r="B623" s="7">
        <v>0</v>
      </c>
      <c r="C623" s="7">
        <v>99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99</v>
      </c>
      <c r="L623" s="7" t="b">
        <f t="shared" si="9"/>
        <v>1</v>
      </c>
    </row>
    <row r="624" spans="1:12" x14ac:dyDescent="0.25">
      <c r="A624" s="7" t="s">
        <v>1618</v>
      </c>
      <c r="B624" s="7">
        <v>0</v>
      </c>
      <c r="C624" s="7">
        <v>48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0</v>
      </c>
      <c r="J624" s="7">
        <v>0</v>
      </c>
      <c r="K624" s="7">
        <v>48</v>
      </c>
      <c r="L624" s="7" t="b">
        <f t="shared" si="9"/>
        <v>1</v>
      </c>
    </row>
    <row r="625" spans="1:12" x14ac:dyDescent="0.25">
      <c r="A625" s="7" t="s">
        <v>1619</v>
      </c>
      <c r="B625" s="7">
        <v>0</v>
      </c>
      <c r="C625" s="7">
        <v>122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4</v>
      </c>
      <c r="J625" s="7">
        <v>0</v>
      </c>
      <c r="K625" s="7">
        <v>126</v>
      </c>
      <c r="L625" s="7" t="b">
        <f t="shared" si="9"/>
        <v>1</v>
      </c>
    </row>
    <row r="626" spans="1:12" x14ac:dyDescent="0.25">
      <c r="A626" s="7" t="s">
        <v>1620</v>
      </c>
      <c r="B626" s="7">
        <v>0</v>
      </c>
      <c r="C626" s="7">
        <v>80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2</v>
      </c>
      <c r="J626" s="7">
        <v>1</v>
      </c>
      <c r="K626" s="7">
        <v>83</v>
      </c>
      <c r="L626" s="7" t="b">
        <f t="shared" si="9"/>
        <v>1</v>
      </c>
    </row>
    <row r="627" spans="1:12" x14ac:dyDescent="0.25">
      <c r="A627" s="7" t="s">
        <v>1621</v>
      </c>
      <c r="B627" s="7">
        <v>0</v>
      </c>
      <c r="C627" s="7">
        <v>49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  <c r="L627" s="7" t="b">
        <f t="shared" si="9"/>
        <v>1</v>
      </c>
    </row>
    <row r="628" spans="1:12" x14ac:dyDescent="0.25">
      <c r="A628" s="7" t="s">
        <v>1622</v>
      </c>
      <c r="B628" s="7">
        <v>0</v>
      </c>
      <c r="C628" s="7">
        <v>60</v>
      </c>
      <c r="D628" s="7">
        <v>2</v>
      </c>
      <c r="E628" s="7">
        <v>0</v>
      </c>
      <c r="F628" s="7">
        <v>0</v>
      </c>
      <c r="G628" s="7">
        <v>1</v>
      </c>
      <c r="H628" s="7">
        <v>0</v>
      </c>
      <c r="I628" s="7">
        <v>1</v>
      </c>
      <c r="J628" s="7">
        <v>0</v>
      </c>
      <c r="K628" s="7">
        <v>64</v>
      </c>
      <c r="L628" s="7" t="b">
        <f t="shared" si="9"/>
        <v>1</v>
      </c>
    </row>
    <row r="629" spans="1:12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  <c r="L629" s="7" t="b">
        <f t="shared" si="9"/>
        <v>1</v>
      </c>
    </row>
    <row r="630" spans="1:12" x14ac:dyDescent="0.25">
      <c r="A630" s="7" t="s">
        <v>1624</v>
      </c>
      <c r="B630" s="7">
        <v>0</v>
      </c>
      <c r="C630" s="7">
        <v>43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46</v>
      </c>
      <c r="L630" s="7" t="b">
        <f t="shared" si="9"/>
        <v>1</v>
      </c>
    </row>
    <row r="631" spans="1:12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  <c r="L631" s="7" t="b">
        <f t="shared" si="9"/>
        <v>1</v>
      </c>
    </row>
    <row r="632" spans="1:12" x14ac:dyDescent="0.25">
      <c r="A632" s="7" t="s">
        <v>1626</v>
      </c>
      <c r="B632" s="7">
        <v>0</v>
      </c>
      <c r="C632" s="7">
        <v>45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1</v>
      </c>
      <c r="J632" s="7">
        <v>1</v>
      </c>
      <c r="K632" s="7">
        <v>47</v>
      </c>
      <c r="L632" s="7" t="b">
        <f t="shared" si="9"/>
        <v>1</v>
      </c>
    </row>
    <row r="633" spans="1:12" x14ac:dyDescent="0.25">
      <c r="A633" s="7" t="s">
        <v>1627</v>
      </c>
      <c r="B633" s="7">
        <v>0</v>
      </c>
      <c r="C633" s="7">
        <v>40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40</v>
      </c>
      <c r="L633" s="7" t="b">
        <f t="shared" si="9"/>
        <v>1</v>
      </c>
    </row>
    <row r="634" spans="1:12" x14ac:dyDescent="0.25">
      <c r="A634" s="7" t="s">
        <v>1628</v>
      </c>
      <c r="B634" s="7">
        <v>0</v>
      </c>
      <c r="C634" s="7">
        <v>48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1</v>
      </c>
      <c r="K634" s="7">
        <v>49</v>
      </c>
      <c r="L634" s="7" t="b">
        <f t="shared" si="9"/>
        <v>1</v>
      </c>
    </row>
    <row r="635" spans="1:12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  <c r="L635" s="7" t="b">
        <f t="shared" si="9"/>
        <v>1</v>
      </c>
    </row>
    <row r="636" spans="1:12" x14ac:dyDescent="0.25">
      <c r="A636" s="7" t="s">
        <v>1630</v>
      </c>
      <c r="B636" s="7">
        <v>0</v>
      </c>
      <c r="C636" s="7">
        <v>57</v>
      </c>
      <c r="D636" s="7">
        <v>1</v>
      </c>
      <c r="E636" s="7">
        <v>0</v>
      </c>
      <c r="F636" s="7">
        <v>1</v>
      </c>
      <c r="G636" s="7">
        <v>0</v>
      </c>
      <c r="H636" s="7">
        <v>0</v>
      </c>
      <c r="I636" s="7">
        <v>0</v>
      </c>
      <c r="J636" s="7">
        <v>1</v>
      </c>
      <c r="K636" s="7">
        <v>60</v>
      </c>
      <c r="L636" s="7" t="b">
        <f t="shared" si="9"/>
        <v>1</v>
      </c>
    </row>
    <row r="637" spans="1:12" x14ac:dyDescent="0.25">
      <c r="A637" s="7" t="s">
        <v>1631</v>
      </c>
      <c r="B637" s="7">
        <v>0</v>
      </c>
      <c r="C637" s="7">
        <v>164</v>
      </c>
      <c r="D637" s="7">
        <v>5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169</v>
      </c>
      <c r="L637" s="7" t="b">
        <f t="shared" si="9"/>
        <v>1</v>
      </c>
    </row>
    <row r="638" spans="1:12" x14ac:dyDescent="0.25">
      <c r="A638" s="7" t="s">
        <v>1632</v>
      </c>
      <c r="B638" s="7">
        <v>0</v>
      </c>
      <c r="C638" s="7">
        <v>85</v>
      </c>
      <c r="D638" s="7">
        <v>1</v>
      </c>
      <c r="E638" s="7">
        <v>0</v>
      </c>
      <c r="F638" s="7">
        <v>0</v>
      </c>
      <c r="G638" s="7">
        <v>0</v>
      </c>
      <c r="H638" s="7">
        <v>0</v>
      </c>
      <c r="I638" s="7">
        <v>3</v>
      </c>
      <c r="J638" s="7">
        <v>8</v>
      </c>
      <c r="K638" s="7">
        <v>97</v>
      </c>
      <c r="L638" s="7" t="b">
        <f t="shared" si="9"/>
        <v>1</v>
      </c>
    </row>
    <row r="639" spans="1:12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  <c r="L639" s="7" t="b">
        <f t="shared" si="9"/>
        <v>1</v>
      </c>
    </row>
    <row r="640" spans="1:12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  <c r="L640" s="7" t="b">
        <f t="shared" si="9"/>
        <v>1</v>
      </c>
    </row>
    <row r="641" spans="1:12" x14ac:dyDescent="0.25">
      <c r="A641" s="7" t="s">
        <v>1635</v>
      </c>
      <c r="B641" s="7">
        <v>0</v>
      </c>
      <c r="C641" s="7">
        <v>50</v>
      </c>
      <c r="D641" s="7">
        <v>1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0</v>
      </c>
      <c r="K641" s="7">
        <v>52</v>
      </c>
      <c r="L641" s="7" t="b">
        <f t="shared" si="9"/>
        <v>1</v>
      </c>
    </row>
    <row r="642" spans="1:12" x14ac:dyDescent="0.25">
      <c r="A642" s="7" t="s">
        <v>1636</v>
      </c>
      <c r="B642" s="7">
        <v>0</v>
      </c>
      <c r="C642" s="7">
        <v>110</v>
      </c>
      <c r="D642" s="7">
        <v>2</v>
      </c>
      <c r="E642" s="7">
        <v>0</v>
      </c>
      <c r="F642" s="7">
        <v>0</v>
      </c>
      <c r="G642" s="7">
        <v>1</v>
      </c>
      <c r="H642" s="7">
        <v>0</v>
      </c>
      <c r="I642" s="7">
        <v>0</v>
      </c>
      <c r="J642" s="7">
        <v>0</v>
      </c>
      <c r="K642" s="7">
        <v>113</v>
      </c>
      <c r="L642" s="7" t="b">
        <f t="shared" si="9"/>
        <v>1</v>
      </c>
    </row>
    <row r="643" spans="1:12" x14ac:dyDescent="0.25">
      <c r="A643" s="7" t="s">
        <v>1637</v>
      </c>
      <c r="B643" s="7">
        <v>0</v>
      </c>
      <c r="C643" s="7">
        <v>77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0</v>
      </c>
      <c r="J643" s="7">
        <v>0</v>
      </c>
      <c r="K643" s="7">
        <v>78</v>
      </c>
      <c r="L643" s="7" t="b">
        <f t="shared" ref="L643:L706" si="10">K643=SUM(B643:J643)</f>
        <v>1</v>
      </c>
    </row>
    <row r="644" spans="1:12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86</v>
      </c>
      <c r="L644" s="7" t="b">
        <f t="shared" si="10"/>
        <v>1</v>
      </c>
    </row>
    <row r="645" spans="1:12" x14ac:dyDescent="0.25">
      <c r="A645" s="7" t="s">
        <v>1639</v>
      </c>
      <c r="B645" s="7">
        <v>0</v>
      </c>
      <c r="C645" s="7">
        <v>92</v>
      </c>
      <c r="D645" s="7">
        <v>0</v>
      </c>
      <c r="E645" s="7">
        <v>0</v>
      </c>
      <c r="F645" s="7">
        <v>0</v>
      </c>
      <c r="G645" s="7">
        <v>1</v>
      </c>
      <c r="H645" s="7">
        <v>0</v>
      </c>
      <c r="I645" s="7">
        <v>0</v>
      </c>
      <c r="J645" s="7">
        <v>0</v>
      </c>
      <c r="K645" s="7">
        <v>93</v>
      </c>
      <c r="L645" s="7" t="b">
        <f t="shared" si="10"/>
        <v>1</v>
      </c>
    </row>
    <row r="646" spans="1:12" x14ac:dyDescent="0.25">
      <c r="A646" s="7" t="s">
        <v>1640</v>
      </c>
      <c r="B646" s="7">
        <v>0</v>
      </c>
      <c r="C646" s="7">
        <v>93</v>
      </c>
      <c r="D646" s="7">
        <v>1</v>
      </c>
      <c r="E646" s="7">
        <v>0</v>
      </c>
      <c r="F646" s="7">
        <v>0</v>
      </c>
      <c r="G646" s="7">
        <v>4</v>
      </c>
      <c r="H646" s="7">
        <v>0</v>
      </c>
      <c r="I646" s="7">
        <v>0</v>
      </c>
      <c r="J646" s="7">
        <v>0</v>
      </c>
      <c r="K646" s="7">
        <v>98</v>
      </c>
      <c r="L646" s="7" t="b">
        <f t="shared" si="10"/>
        <v>1</v>
      </c>
    </row>
    <row r="647" spans="1:12" x14ac:dyDescent="0.25">
      <c r="A647" s="7" t="s">
        <v>1641</v>
      </c>
      <c r="B647" s="7">
        <v>0</v>
      </c>
      <c r="C647" s="7">
        <v>113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1</v>
      </c>
      <c r="J647" s="7">
        <v>0</v>
      </c>
      <c r="K647" s="7">
        <v>114</v>
      </c>
      <c r="L647" s="7" t="b">
        <f t="shared" si="10"/>
        <v>1</v>
      </c>
    </row>
    <row r="648" spans="1:12" x14ac:dyDescent="0.25">
      <c r="A648" s="7" t="s">
        <v>1642</v>
      </c>
      <c r="B648" s="7">
        <v>0</v>
      </c>
      <c r="C648" s="7">
        <v>102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27</v>
      </c>
      <c r="J648" s="7">
        <v>0</v>
      </c>
      <c r="K648" s="7">
        <v>129</v>
      </c>
      <c r="L648" s="7" t="b">
        <f t="shared" si="10"/>
        <v>1</v>
      </c>
    </row>
    <row r="649" spans="1:12" x14ac:dyDescent="0.25">
      <c r="A649" s="7" t="s">
        <v>1643</v>
      </c>
      <c r="B649" s="7">
        <v>0</v>
      </c>
      <c r="C649" s="7">
        <v>48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32</v>
      </c>
      <c r="J649" s="7">
        <v>0</v>
      </c>
      <c r="K649" s="7">
        <v>81</v>
      </c>
      <c r="L649" s="7" t="b">
        <f t="shared" si="10"/>
        <v>1</v>
      </c>
    </row>
    <row r="650" spans="1:12" x14ac:dyDescent="0.25">
      <c r="A650" s="7" t="s">
        <v>1644</v>
      </c>
      <c r="B650" s="7">
        <v>0</v>
      </c>
      <c r="C650" s="7">
        <v>34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23</v>
      </c>
      <c r="J650" s="7">
        <v>0</v>
      </c>
      <c r="K650" s="7">
        <v>58</v>
      </c>
      <c r="L650" s="7" t="b">
        <f t="shared" si="10"/>
        <v>1</v>
      </c>
    </row>
    <row r="651" spans="1:12" x14ac:dyDescent="0.25">
      <c r="A651" s="7" t="s">
        <v>1645</v>
      </c>
      <c r="B651" s="7">
        <v>0</v>
      </c>
      <c r="C651" s="7">
        <v>48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2</v>
      </c>
      <c r="J651" s="7">
        <v>0</v>
      </c>
      <c r="K651" s="7">
        <v>51</v>
      </c>
      <c r="L651" s="7" t="b">
        <f t="shared" si="10"/>
        <v>1</v>
      </c>
    </row>
    <row r="652" spans="1:12" x14ac:dyDescent="0.25">
      <c r="A652" s="7" t="s">
        <v>1646</v>
      </c>
      <c r="B652" s="7">
        <v>0</v>
      </c>
      <c r="C652" s="7">
        <v>67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2</v>
      </c>
      <c r="J652" s="7">
        <v>0</v>
      </c>
      <c r="K652" s="7">
        <v>69</v>
      </c>
      <c r="L652" s="7" t="b">
        <f t="shared" si="10"/>
        <v>1</v>
      </c>
    </row>
    <row r="653" spans="1:12" x14ac:dyDescent="0.25">
      <c r="A653" s="7" t="s">
        <v>1647</v>
      </c>
      <c r="B653" s="7">
        <v>0</v>
      </c>
      <c r="C653" s="7">
        <v>54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6</v>
      </c>
      <c r="J653" s="7">
        <v>0</v>
      </c>
      <c r="K653" s="7">
        <v>60</v>
      </c>
      <c r="L653" s="7" t="b">
        <f t="shared" si="10"/>
        <v>1</v>
      </c>
    </row>
    <row r="654" spans="1:12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  <c r="L654" s="7" t="b">
        <f t="shared" si="10"/>
        <v>1</v>
      </c>
    </row>
    <row r="655" spans="1:12" x14ac:dyDescent="0.25">
      <c r="A655" s="7" t="s">
        <v>1649</v>
      </c>
      <c r="B655" s="7">
        <v>0</v>
      </c>
      <c r="C655" s="7">
        <v>45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1</v>
      </c>
      <c r="J655" s="7">
        <v>0</v>
      </c>
      <c r="K655" s="7">
        <v>47</v>
      </c>
      <c r="L655" s="7" t="b">
        <f t="shared" si="10"/>
        <v>1</v>
      </c>
    </row>
    <row r="656" spans="1:12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  <c r="L656" s="7" t="b">
        <f t="shared" si="10"/>
        <v>1</v>
      </c>
    </row>
    <row r="657" spans="1:12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0</v>
      </c>
      <c r="F657" s="7">
        <v>0</v>
      </c>
      <c r="G657" s="7">
        <v>13</v>
      </c>
      <c r="H657" s="7">
        <v>0</v>
      </c>
      <c r="I657" s="7">
        <v>64</v>
      </c>
      <c r="J657" s="7">
        <v>0</v>
      </c>
      <c r="K657" s="7">
        <v>155</v>
      </c>
      <c r="L657" s="7" t="b">
        <f t="shared" si="10"/>
        <v>1</v>
      </c>
    </row>
    <row r="658" spans="1:12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  <c r="L658" s="7" t="b">
        <f t="shared" si="10"/>
        <v>1</v>
      </c>
    </row>
    <row r="659" spans="1:12" x14ac:dyDescent="0.25">
      <c r="A659" s="7" t="s">
        <v>1653</v>
      </c>
      <c r="B659" s="7">
        <v>0</v>
      </c>
      <c r="C659" s="7">
        <v>204</v>
      </c>
      <c r="D659" s="7">
        <v>10</v>
      </c>
      <c r="E659" s="7">
        <v>0</v>
      </c>
      <c r="F659" s="7">
        <v>0</v>
      </c>
      <c r="G659" s="7">
        <v>0</v>
      </c>
      <c r="H659" s="7">
        <v>0</v>
      </c>
      <c r="I659" s="7">
        <v>4</v>
      </c>
      <c r="J659" s="7">
        <v>0</v>
      </c>
      <c r="K659" s="7">
        <v>218</v>
      </c>
      <c r="L659" s="7" t="b">
        <f t="shared" si="10"/>
        <v>1</v>
      </c>
    </row>
    <row r="660" spans="1:12" x14ac:dyDescent="0.25">
      <c r="A660" s="7" t="s">
        <v>1654</v>
      </c>
      <c r="B660" s="7">
        <v>0</v>
      </c>
      <c r="C660" s="7">
        <v>81</v>
      </c>
      <c r="D660" s="7">
        <v>10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91</v>
      </c>
      <c r="L660" s="7" t="b">
        <f t="shared" si="10"/>
        <v>1</v>
      </c>
    </row>
    <row r="661" spans="1:12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  <c r="L661" s="7" t="b">
        <f t="shared" si="10"/>
        <v>1</v>
      </c>
    </row>
    <row r="662" spans="1:12" x14ac:dyDescent="0.25">
      <c r="A662" s="7" t="s">
        <v>1656</v>
      </c>
      <c r="B662" s="7">
        <v>0</v>
      </c>
      <c r="C662" s="7">
        <v>69</v>
      </c>
      <c r="D662" s="7">
        <v>8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77</v>
      </c>
      <c r="L662" s="7" t="b">
        <f t="shared" si="10"/>
        <v>1</v>
      </c>
    </row>
    <row r="663" spans="1:12" x14ac:dyDescent="0.25">
      <c r="A663" s="7" t="s">
        <v>1657</v>
      </c>
      <c r="B663" s="7">
        <v>0</v>
      </c>
      <c r="C663" s="7">
        <v>87</v>
      </c>
      <c r="D663" s="7">
        <v>8</v>
      </c>
      <c r="E663" s="7">
        <v>0</v>
      </c>
      <c r="F663" s="7">
        <v>0</v>
      </c>
      <c r="G663" s="7">
        <v>1</v>
      </c>
      <c r="H663" s="7">
        <v>0</v>
      </c>
      <c r="I663" s="7">
        <v>1</v>
      </c>
      <c r="J663" s="7">
        <v>1</v>
      </c>
      <c r="K663" s="7">
        <v>98</v>
      </c>
      <c r="L663" s="7" t="b">
        <f t="shared" si="10"/>
        <v>1</v>
      </c>
    </row>
    <row r="664" spans="1:12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  <c r="L664" s="7" t="b">
        <f t="shared" si="10"/>
        <v>1</v>
      </c>
    </row>
    <row r="665" spans="1:12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  <c r="L665" s="7" t="b">
        <f t="shared" si="10"/>
        <v>1</v>
      </c>
    </row>
    <row r="666" spans="1:12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  <c r="L666" s="7" t="b">
        <f t="shared" si="10"/>
        <v>1</v>
      </c>
    </row>
    <row r="667" spans="1:12" x14ac:dyDescent="0.25">
      <c r="A667" s="7" t="s">
        <v>1661</v>
      </c>
      <c r="B667" s="7">
        <v>0</v>
      </c>
      <c r="C667" s="7">
        <v>53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0</v>
      </c>
      <c r="J667" s="7">
        <v>0</v>
      </c>
      <c r="K667" s="7">
        <v>56</v>
      </c>
      <c r="L667" s="7" t="b">
        <f t="shared" si="10"/>
        <v>1</v>
      </c>
    </row>
    <row r="668" spans="1:12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  <c r="L668" s="7" t="b">
        <f t="shared" si="10"/>
        <v>1</v>
      </c>
    </row>
    <row r="669" spans="1:12" x14ac:dyDescent="0.25">
      <c r="A669" s="7" t="s">
        <v>1663</v>
      </c>
      <c r="B669" s="7">
        <v>0</v>
      </c>
      <c r="C669" s="7">
        <v>32</v>
      </c>
      <c r="D669" s="7">
        <v>5</v>
      </c>
      <c r="E669" s="7">
        <v>0</v>
      </c>
      <c r="F669" s="7">
        <v>0</v>
      </c>
      <c r="G669" s="7">
        <v>0</v>
      </c>
      <c r="H669" s="7">
        <v>0</v>
      </c>
      <c r="I669" s="7">
        <v>10</v>
      </c>
      <c r="J669" s="7">
        <v>0</v>
      </c>
      <c r="K669" s="7">
        <v>47</v>
      </c>
      <c r="L669" s="7" t="b">
        <f t="shared" si="10"/>
        <v>1</v>
      </c>
    </row>
    <row r="670" spans="1:12" x14ac:dyDescent="0.25">
      <c r="A670" s="7" t="s">
        <v>1664</v>
      </c>
      <c r="B670" s="7">
        <v>0</v>
      </c>
      <c r="C670" s="7">
        <v>28</v>
      </c>
      <c r="D670" s="7">
        <v>12</v>
      </c>
      <c r="E670" s="7">
        <v>0</v>
      </c>
      <c r="F670" s="7">
        <v>0</v>
      </c>
      <c r="G670" s="7">
        <v>0</v>
      </c>
      <c r="H670" s="7">
        <v>0</v>
      </c>
      <c r="I670" s="7">
        <v>52</v>
      </c>
      <c r="J670" s="7">
        <v>0</v>
      </c>
      <c r="K670" s="7">
        <v>92</v>
      </c>
      <c r="L670" s="7" t="b">
        <f t="shared" si="10"/>
        <v>1</v>
      </c>
    </row>
    <row r="671" spans="1:12" x14ac:dyDescent="0.25">
      <c r="A671" s="7" t="s">
        <v>1665</v>
      </c>
      <c r="B671" s="7">
        <v>0</v>
      </c>
      <c r="C671" s="7">
        <v>25</v>
      </c>
      <c r="D671" s="7">
        <v>8</v>
      </c>
      <c r="E671" s="7">
        <v>0</v>
      </c>
      <c r="F671" s="7">
        <v>0</v>
      </c>
      <c r="G671" s="7">
        <v>0</v>
      </c>
      <c r="H671" s="7">
        <v>0</v>
      </c>
      <c r="I671" s="7">
        <v>38</v>
      </c>
      <c r="J671" s="7">
        <v>0</v>
      </c>
      <c r="K671" s="7">
        <v>71</v>
      </c>
      <c r="L671" s="7" t="b">
        <f t="shared" si="10"/>
        <v>1</v>
      </c>
    </row>
    <row r="672" spans="1:12" x14ac:dyDescent="0.25">
      <c r="A672" s="7" t="s">
        <v>1666</v>
      </c>
      <c r="B672" s="7">
        <v>0</v>
      </c>
      <c r="C672" s="7">
        <v>26</v>
      </c>
      <c r="D672" s="7">
        <v>5</v>
      </c>
      <c r="E672" s="7">
        <v>0</v>
      </c>
      <c r="F672" s="7">
        <v>0</v>
      </c>
      <c r="G672" s="7">
        <v>0</v>
      </c>
      <c r="H672" s="7">
        <v>0</v>
      </c>
      <c r="I672" s="7">
        <v>71</v>
      </c>
      <c r="J672" s="7">
        <v>0</v>
      </c>
      <c r="K672" s="7">
        <v>102</v>
      </c>
      <c r="L672" s="7" t="b">
        <f t="shared" si="10"/>
        <v>1</v>
      </c>
    </row>
    <row r="673" spans="1:12" x14ac:dyDescent="0.25">
      <c r="A673" s="7" t="s">
        <v>1667</v>
      </c>
      <c r="B673" s="7">
        <v>0</v>
      </c>
      <c r="C673" s="7">
        <v>26</v>
      </c>
      <c r="D673" s="7">
        <v>10</v>
      </c>
      <c r="E673" s="7">
        <v>0</v>
      </c>
      <c r="F673" s="7">
        <v>0</v>
      </c>
      <c r="G673" s="7">
        <v>1</v>
      </c>
      <c r="H673" s="7">
        <v>0</v>
      </c>
      <c r="I673" s="7">
        <v>65</v>
      </c>
      <c r="J673" s="7">
        <v>0</v>
      </c>
      <c r="K673" s="7">
        <v>102</v>
      </c>
      <c r="L673" s="7" t="b">
        <f t="shared" si="10"/>
        <v>1</v>
      </c>
    </row>
    <row r="674" spans="1:12" x14ac:dyDescent="0.25">
      <c r="A674" s="7" t="s">
        <v>1668</v>
      </c>
      <c r="B674" s="7">
        <v>0</v>
      </c>
      <c r="C674" s="7">
        <v>16</v>
      </c>
      <c r="D674" s="7">
        <v>6</v>
      </c>
      <c r="E674" s="7">
        <v>0</v>
      </c>
      <c r="F674" s="7">
        <v>0</v>
      </c>
      <c r="G674" s="7">
        <v>0</v>
      </c>
      <c r="H674" s="7">
        <v>0</v>
      </c>
      <c r="I674" s="7">
        <v>82</v>
      </c>
      <c r="J674" s="7">
        <v>1</v>
      </c>
      <c r="K674" s="7">
        <v>105</v>
      </c>
      <c r="L674" s="7" t="b">
        <f t="shared" si="10"/>
        <v>1</v>
      </c>
    </row>
    <row r="675" spans="1:12" x14ac:dyDescent="0.25">
      <c r="A675" s="7" t="s">
        <v>1669</v>
      </c>
      <c r="B675" s="7">
        <v>0</v>
      </c>
      <c r="C675" s="7">
        <v>83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83</v>
      </c>
      <c r="L675" s="7" t="b">
        <f t="shared" si="10"/>
        <v>1</v>
      </c>
    </row>
    <row r="676" spans="1:12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0</v>
      </c>
      <c r="J676" s="7">
        <v>0</v>
      </c>
      <c r="K676" s="7">
        <v>67</v>
      </c>
      <c r="L676" s="7" t="b">
        <f t="shared" si="10"/>
        <v>1</v>
      </c>
    </row>
    <row r="677" spans="1:12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  <c r="L677" s="7" t="b">
        <f t="shared" si="10"/>
        <v>1</v>
      </c>
    </row>
    <row r="678" spans="1:12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  <c r="L678" s="7" t="b">
        <f t="shared" si="10"/>
        <v>1</v>
      </c>
    </row>
    <row r="679" spans="1:12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  <c r="L679" s="7" t="b">
        <f t="shared" si="10"/>
        <v>1</v>
      </c>
    </row>
    <row r="680" spans="1:12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  <c r="L680" s="7" t="b">
        <f t="shared" si="10"/>
        <v>1</v>
      </c>
    </row>
    <row r="681" spans="1:12" x14ac:dyDescent="0.25">
      <c r="A681" s="7" t="s">
        <v>1675</v>
      </c>
      <c r="B681" s="7">
        <v>0</v>
      </c>
      <c r="C681" s="7">
        <v>51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0</v>
      </c>
      <c r="J681" s="7">
        <v>0</v>
      </c>
      <c r="K681" s="7">
        <v>51</v>
      </c>
      <c r="L681" s="7" t="b">
        <f t="shared" si="10"/>
        <v>1</v>
      </c>
    </row>
    <row r="682" spans="1:12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  <c r="L682" s="7" t="b">
        <f t="shared" si="10"/>
        <v>1</v>
      </c>
    </row>
    <row r="683" spans="1:12" x14ac:dyDescent="0.25">
      <c r="A683" s="7" t="s">
        <v>1677</v>
      </c>
      <c r="B683" s="7">
        <v>0</v>
      </c>
      <c r="C683" s="7">
        <v>51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3</v>
      </c>
      <c r="J683" s="7">
        <v>0</v>
      </c>
      <c r="K683" s="7">
        <v>54</v>
      </c>
      <c r="L683" s="7" t="b">
        <f t="shared" si="10"/>
        <v>1</v>
      </c>
    </row>
    <row r="684" spans="1:12" x14ac:dyDescent="0.25">
      <c r="A684" s="7" t="s">
        <v>1678</v>
      </c>
      <c r="B684" s="7">
        <v>0</v>
      </c>
      <c r="C684" s="7">
        <v>149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0</v>
      </c>
      <c r="J684" s="7">
        <v>0</v>
      </c>
      <c r="K684" s="7">
        <v>152</v>
      </c>
      <c r="L684" s="7" t="b">
        <f t="shared" si="10"/>
        <v>1</v>
      </c>
    </row>
    <row r="685" spans="1:12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  <c r="L685" s="7" t="b">
        <f t="shared" si="10"/>
        <v>1</v>
      </c>
    </row>
    <row r="686" spans="1:12" x14ac:dyDescent="0.25">
      <c r="A686" s="7" t="s">
        <v>1680</v>
      </c>
      <c r="B686" s="7">
        <v>0</v>
      </c>
      <c r="C686" s="7">
        <v>0</v>
      </c>
      <c r="D686" s="7">
        <v>7</v>
      </c>
      <c r="E686" s="7">
        <v>0</v>
      </c>
      <c r="F686" s="7">
        <v>0</v>
      </c>
      <c r="G686" s="7">
        <v>0</v>
      </c>
      <c r="H686" s="7">
        <v>0</v>
      </c>
      <c r="I686" s="7">
        <v>121</v>
      </c>
      <c r="J686" s="7">
        <v>15</v>
      </c>
      <c r="K686" s="7">
        <v>143</v>
      </c>
      <c r="L686" s="7" t="b">
        <f t="shared" si="10"/>
        <v>1</v>
      </c>
    </row>
    <row r="687" spans="1:12" x14ac:dyDescent="0.25">
      <c r="A687" s="7" t="s">
        <v>1681</v>
      </c>
      <c r="B687" s="7">
        <v>0</v>
      </c>
      <c r="C687" s="7">
        <v>8</v>
      </c>
      <c r="D687" s="7">
        <v>41</v>
      </c>
      <c r="E687" s="7">
        <v>0</v>
      </c>
      <c r="F687" s="7">
        <v>0</v>
      </c>
      <c r="G687" s="7">
        <v>0</v>
      </c>
      <c r="H687" s="7">
        <v>0</v>
      </c>
      <c r="I687" s="7">
        <v>22</v>
      </c>
      <c r="J687" s="7">
        <v>0</v>
      </c>
      <c r="K687" s="7">
        <v>71</v>
      </c>
      <c r="L687" s="7" t="b">
        <f t="shared" si="10"/>
        <v>1</v>
      </c>
    </row>
    <row r="688" spans="1:12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  <c r="L688" s="7" t="b">
        <f t="shared" si="10"/>
        <v>1</v>
      </c>
    </row>
    <row r="689" spans="1:12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  <c r="L689" s="7" t="b">
        <f t="shared" si="10"/>
        <v>1</v>
      </c>
    </row>
    <row r="690" spans="1:12" x14ac:dyDescent="0.25">
      <c r="A690" s="7" t="s">
        <v>1684</v>
      </c>
      <c r="B690" s="7">
        <v>0</v>
      </c>
      <c r="C690" s="7">
        <v>6</v>
      </c>
      <c r="D690" s="7">
        <v>24</v>
      </c>
      <c r="E690" s="7">
        <v>0</v>
      </c>
      <c r="F690" s="7">
        <v>4</v>
      </c>
      <c r="G690" s="7">
        <v>0</v>
      </c>
      <c r="H690" s="7">
        <v>0</v>
      </c>
      <c r="I690" s="7">
        <v>34</v>
      </c>
      <c r="J690" s="7">
        <v>3</v>
      </c>
      <c r="K690" s="7">
        <v>71</v>
      </c>
      <c r="L690" s="7" t="b">
        <f t="shared" si="10"/>
        <v>1</v>
      </c>
    </row>
    <row r="691" spans="1:12" x14ac:dyDescent="0.25">
      <c r="A691" s="7" t="s">
        <v>1685</v>
      </c>
      <c r="B691" s="7">
        <v>0</v>
      </c>
      <c r="C691" s="7">
        <v>12</v>
      </c>
      <c r="D691" s="7">
        <v>16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  <c r="L691" s="7" t="b">
        <f t="shared" si="10"/>
        <v>1</v>
      </c>
    </row>
    <row r="692" spans="1:12" x14ac:dyDescent="0.25">
      <c r="A692" s="7" t="s">
        <v>1686</v>
      </c>
      <c r="B692" s="7">
        <v>0</v>
      </c>
      <c r="C692" s="7">
        <v>0</v>
      </c>
      <c r="D692" s="7">
        <v>11</v>
      </c>
      <c r="E692" s="7">
        <v>0</v>
      </c>
      <c r="F692" s="7">
        <v>0</v>
      </c>
      <c r="G692" s="7">
        <v>0</v>
      </c>
      <c r="H692" s="7">
        <v>0</v>
      </c>
      <c r="I692" s="7">
        <v>9</v>
      </c>
      <c r="J692" s="7">
        <v>7</v>
      </c>
      <c r="K692" s="7">
        <v>27</v>
      </c>
      <c r="L692" s="7" t="b">
        <f t="shared" si="10"/>
        <v>1</v>
      </c>
    </row>
    <row r="693" spans="1:12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52</v>
      </c>
      <c r="J693" s="7">
        <v>0</v>
      </c>
      <c r="K693" s="7">
        <v>52</v>
      </c>
      <c r="L693" s="7" t="b">
        <f t="shared" si="10"/>
        <v>1</v>
      </c>
    </row>
    <row r="694" spans="1:12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  <c r="L694" s="7" t="b">
        <f t="shared" si="10"/>
        <v>1</v>
      </c>
    </row>
    <row r="695" spans="1:12" x14ac:dyDescent="0.25">
      <c r="A695" s="7" t="s">
        <v>1689</v>
      </c>
      <c r="B695" s="7">
        <v>0</v>
      </c>
      <c r="C695" s="7">
        <v>52</v>
      </c>
      <c r="D695" s="7">
        <v>13</v>
      </c>
      <c r="E695" s="7">
        <v>0</v>
      </c>
      <c r="F695" s="7">
        <v>0</v>
      </c>
      <c r="G695" s="7">
        <v>0</v>
      </c>
      <c r="H695" s="7">
        <v>0</v>
      </c>
      <c r="I695" s="7">
        <v>28</v>
      </c>
      <c r="J695" s="7">
        <v>2</v>
      </c>
      <c r="K695" s="7">
        <v>95</v>
      </c>
      <c r="L695" s="7" t="b">
        <f t="shared" si="10"/>
        <v>1</v>
      </c>
    </row>
    <row r="696" spans="1:12" x14ac:dyDescent="0.25">
      <c r="A696" s="7" t="s">
        <v>1690</v>
      </c>
      <c r="B696" s="7">
        <v>0</v>
      </c>
      <c r="C696" s="7">
        <v>44</v>
      </c>
      <c r="D696" s="7">
        <v>6</v>
      </c>
      <c r="E696" s="7">
        <v>0</v>
      </c>
      <c r="F696" s="7">
        <v>0</v>
      </c>
      <c r="G696" s="7">
        <v>0</v>
      </c>
      <c r="H696" s="7">
        <v>0</v>
      </c>
      <c r="I696" s="7">
        <v>95</v>
      </c>
      <c r="J696" s="7">
        <v>1</v>
      </c>
      <c r="K696" s="7">
        <v>146</v>
      </c>
      <c r="L696" s="7" t="b">
        <f t="shared" si="10"/>
        <v>1</v>
      </c>
    </row>
    <row r="697" spans="1:12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  <c r="L697" s="7" t="b">
        <f t="shared" si="10"/>
        <v>1</v>
      </c>
    </row>
    <row r="698" spans="1:12" x14ac:dyDescent="0.25">
      <c r="A698" s="7" t="s">
        <v>1692</v>
      </c>
      <c r="B698" s="7">
        <v>0</v>
      </c>
      <c r="C698" s="7">
        <v>18</v>
      </c>
      <c r="D698" s="7">
        <v>3</v>
      </c>
      <c r="E698" s="7">
        <v>0</v>
      </c>
      <c r="F698" s="7">
        <v>0</v>
      </c>
      <c r="G698" s="7">
        <v>0</v>
      </c>
      <c r="H698" s="7">
        <v>0</v>
      </c>
      <c r="I698" s="7">
        <v>52</v>
      </c>
      <c r="J698" s="7">
        <v>0</v>
      </c>
      <c r="K698" s="7">
        <v>73</v>
      </c>
      <c r="L698" s="7" t="b">
        <f t="shared" si="10"/>
        <v>1</v>
      </c>
    </row>
    <row r="699" spans="1:12" x14ac:dyDescent="0.25">
      <c r="A699" s="7" t="s">
        <v>1693</v>
      </c>
      <c r="B699" s="7">
        <v>0</v>
      </c>
      <c r="C699" s="7">
        <v>78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27</v>
      </c>
      <c r="J699" s="7">
        <v>0</v>
      </c>
      <c r="K699" s="7">
        <v>107</v>
      </c>
      <c r="L699" s="7" t="b">
        <f t="shared" si="10"/>
        <v>1</v>
      </c>
    </row>
    <row r="700" spans="1:12" x14ac:dyDescent="0.25">
      <c r="A700" s="7" t="s">
        <v>1694</v>
      </c>
      <c r="B700" s="7">
        <v>0</v>
      </c>
      <c r="C700" s="7">
        <v>65</v>
      </c>
      <c r="D700" s="7">
        <v>10</v>
      </c>
      <c r="E700" s="7">
        <v>0</v>
      </c>
      <c r="F700" s="7">
        <v>0</v>
      </c>
      <c r="G700" s="7">
        <v>0</v>
      </c>
      <c r="H700" s="7">
        <v>0</v>
      </c>
      <c r="I700" s="7">
        <v>37</v>
      </c>
      <c r="J700" s="7">
        <v>0</v>
      </c>
      <c r="K700" s="7">
        <v>112</v>
      </c>
      <c r="L700" s="7" t="b">
        <f t="shared" si="10"/>
        <v>1</v>
      </c>
    </row>
    <row r="701" spans="1:12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  <c r="L701" s="7" t="b">
        <f t="shared" si="10"/>
        <v>1</v>
      </c>
    </row>
    <row r="702" spans="1:12" x14ac:dyDescent="0.25">
      <c r="A702" s="7" t="s">
        <v>1696</v>
      </c>
      <c r="B702" s="7">
        <v>0</v>
      </c>
      <c r="C702" s="7">
        <v>35</v>
      </c>
      <c r="D702" s="7">
        <v>7</v>
      </c>
      <c r="E702" s="7">
        <v>0</v>
      </c>
      <c r="F702" s="7">
        <v>0</v>
      </c>
      <c r="G702" s="7">
        <v>0</v>
      </c>
      <c r="H702" s="7">
        <v>0</v>
      </c>
      <c r="I702" s="7">
        <v>63</v>
      </c>
      <c r="J702" s="7">
        <v>1</v>
      </c>
      <c r="K702" s="7">
        <v>106</v>
      </c>
      <c r="L702" s="7" t="b">
        <f t="shared" si="10"/>
        <v>1</v>
      </c>
    </row>
    <row r="703" spans="1:12" x14ac:dyDescent="0.25">
      <c r="A703" s="7" t="s">
        <v>1697</v>
      </c>
      <c r="B703" s="7">
        <v>0</v>
      </c>
      <c r="C703" s="7">
        <v>76</v>
      </c>
      <c r="D703" s="7">
        <v>8</v>
      </c>
      <c r="E703" s="7">
        <v>0</v>
      </c>
      <c r="F703" s="7">
        <v>0</v>
      </c>
      <c r="G703" s="7">
        <v>0</v>
      </c>
      <c r="H703" s="7">
        <v>0</v>
      </c>
      <c r="I703" s="7">
        <v>24</v>
      </c>
      <c r="J703" s="7">
        <v>0</v>
      </c>
      <c r="K703" s="7">
        <v>108</v>
      </c>
      <c r="L703" s="7" t="b">
        <f t="shared" si="10"/>
        <v>1</v>
      </c>
    </row>
    <row r="704" spans="1:12" x14ac:dyDescent="0.25">
      <c r="A704" s="7" t="s">
        <v>1698</v>
      </c>
      <c r="B704" s="7">
        <v>0</v>
      </c>
      <c r="C704" s="7">
        <v>67</v>
      </c>
      <c r="D704" s="7">
        <v>1</v>
      </c>
      <c r="E704" s="7">
        <v>0</v>
      </c>
      <c r="F704" s="7">
        <v>0</v>
      </c>
      <c r="G704" s="7">
        <v>0</v>
      </c>
      <c r="H704" s="7">
        <v>0</v>
      </c>
      <c r="I704" s="7">
        <v>31</v>
      </c>
      <c r="J704" s="7">
        <v>1</v>
      </c>
      <c r="K704" s="7">
        <v>100</v>
      </c>
      <c r="L704" s="7" t="b">
        <f t="shared" si="10"/>
        <v>1</v>
      </c>
    </row>
    <row r="705" spans="1:12" x14ac:dyDescent="0.25">
      <c r="A705" s="7" t="s">
        <v>1699</v>
      </c>
      <c r="B705" s="7">
        <v>0</v>
      </c>
      <c r="C705" s="7">
        <v>46</v>
      </c>
      <c r="D705" s="7">
        <v>1</v>
      </c>
      <c r="E705" s="7">
        <v>0</v>
      </c>
      <c r="F705" s="7">
        <v>1</v>
      </c>
      <c r="G705" s="7">
        <v>2</v>
      </c>
      <c r="H705" s="7">
        <v>0</v>
      </c>
      <c r="I705" s="7">
        <v>26</v>
      </c>
      <c r="J705" s="7">
        <v>11</v>
      </c>
      <c r="K705" s="7">
        <v>87</v>
      </c>
      <c r="L705" s="7" t="b">
        <f t="shared" si="10"/>
        <v>1</v>
      </c>
    </row>
    <row r="706" spans="1:12" x14ac:dyDescent="0.25">
      <c r="A706" s="7" t="s">
        <v>1700</v>
      </c>
      <c r="B706" s="7">
        <v>0</v>
      </c>
      <c r="C706" s="7">
        <v>30</v>
      </c>
      <c r="D706" s="7">
        <v>4</v>
      </c>
      <c r="E706" s="7">
        <v>0</v>
      </c>
      <c r="F706" s="7">
        <v>0</v>
      </c>
      <c r="G706" s="7">
        <v>0</v>
      </c>
      <c r="H706" s="7">
        <v>0</v>
      </c>
      <c r="I706" s="7">
        <v>34</v>
      </c>
      <c r="J706" s="7">
        <v>2</v>
      </c>
      <c r="K706" s="7">
        <v>70</v>
      </c>
      <c r="L706" s="7" t="b">
        <f t="shared" si="10"/>
        <v>1</v>
      </c>
    </row>
    <row r="707" spans="1:12" x14ac:dyDescent="0.25">
      <c r="A707" s="7" t="s">
        <v>1701</v>
      </c>
      <c r="B707" s="7">
        <v>0</v>
      </c>
      <c r="C707" s="7">
        <v>63</v>
      </c>
      <c r="D707" s="7">
        <v>1</v>
      </c>
      <c r="E707" s="7">
        <v>0</v>
      </c>
      <c r="F707" s="7">
        <v>0</v>
      </c>
      <c r="G707" s="7">
        <v>0</v>
      </c>
      <c r="H707" s="7">
        <v>0</v>
      </c>
      <c r="I707" s="7">
        <v>54</v>
      </c>
      <c r="J707" s="7">
        <v>5</v>
      </c>
      <c r="K707" s="7">
        <v>123</v>
      </c>
      <c r="L707" s="7" t="b">
        <f t="shared" ref="L707:L770" si="11">K707=SUM(B707:J707)</f>
        <v>1</v>
      </c>
    </row>
    <row r="708" spans="1:12" x14ac:dyDescent="0.25">
      <c r="A708" s="7" t="s">
        <v>1702</v>
      </c>
      <c r="B708" s="7">
        <v>0</v>
      </c>
      <c r="C708" s="7">
        <v>44</v>
      </c>
      <c r="D708" s="7">
        <v>4</v>
      </c>
      <c r="E708" s="7">
        <v>0</v>
      </c>
      <c r="F708" s="7">
        <v>1</v>
      </c>
      <c r="G708" s="7">
        <v>0</v>
      </c>
      <c r="H708" s="7">
        <v>0</v>
      </c>
      <c r="I708" s="7">
        <v>9</v>
      </c>
      <c r="J708" s="7">
        <v>0</v>
      </c>
      <c r="K708" s="7">
        <v>58</v>
      </c>
      <c r="L708" s="7" t="b">
        <f t="shared" si="11"/>
        <v>1</v>
      </c>
    </row>
    <row r="709" spans="1:12" x14ac:dyDescent="0.25">
      <c r="A709" s="7" t="s">
        <v>1703</v>
      </c>
      <c r="B709" s="7">
        <v>0</v>
      </c>
      <c r="C709" s="7">
        <v>42</v>
      </c>
      <c r="D709" s="7">
        <v>7</v>
      </c>
      <c r="E709" s="7">
        <v>0</v>
      </c>
      <c r="F709" s="7">
        <v>0</v>
      </c>
      <c r="G709" s="7">
        <v>0</v>
      </c>
      <c r="H709" s="7">
        <v>0</v>
      </c>
      <c r="I709" s="7">
        <v>9</v>
      </c>
      <c r="J709" s="7">
        <v>3</v>
      </c>
      <c r="K709" s="7">
        <v>61</v>
      </c>
      <c r="L709" s="7" t="b">
        <f t="shared" si="11"/>
        <v>1</v>
      </c>
    </row>
    <row r="710" spans="1:12" x14ac:dyDescent="0.25">
      <c r="A710" s="7" t="s">
        <v>1704</v>
      </c>
      <c r="B710" s="7">
        <v>0</v>
      </c>
      <c r="C710" s="7">
        <v>61</v>
      </c>
      <c r="D710" s="7">
        <v>0</v>
      </c>
      <c r="E710" s="7">
        <v>0</v>
      </c>
      <c r="F710" s="7">
        <v>0</v>
      </c>
      <c r="G710" s="7">
        <v>1</v>
      </c>
      <c r="H710" s="7">
        <v>0</v>
      </c>
      <c r="I710" s="7">
        <v>18</v>
      </c>
      <c r="J710" s="7">
        <v>1</v>
      </c>
      <c r="K710" s="7">
        <v>81</v>
      </c>
      <c r="L710" s="7" t="b">
        <f t="shared" si="11"/>
        <v>1</v>
      </c>
    </row>
    <row r="711" spans="1:12" x14ac:dyDescent="0.25">
      <c r="A711" s="7" t="s">
        <v>1705</v>
      </c>
      <c r="B711" s="7">
        <v>0</v>
      </c>
      <c r="C711" s="7">
        <v>38</v>
      </c>
      <c r="D711" s="7">
        <v>5</v>
      </c>
      <c r="E711" s="7">
        <v>0</v>
      </c>
      <c r="F711" s="7">
        <v>0</v>
      </c>
      <c r="G711" s="7">
        <v>0</v>
      </c>
      <c r="H711" s="7">
        <v>0</v>
      </c>
      <c r="I711" s="7">
        <v>30</v>
      </c>
      <c r="J711" s="7">
        <v>1</v>
      </c>
      <c r="K711" s="7">
        <v>74</v>
      </c>
      <c r="L711" s="7" t="b">
        <f t="shared" si="11"/>
        <v>1</v>
      </c>
    </row>
    <row r="712" spans="1:12" x14ac:dyDescent="0.25">
      <c r="A712" s="7" t="s">
        <v>1706</v>
      </c>
      <c r="B712" s="7">
        <v>0</v>
      </c>
      <c r="C712" s="7">
        <v>34</v>
      </c>
      <c r="D712" s="7">
        <v>4</v>
      </c>
      <c r="E712" s="7">
        <v>0</v>
      </c>
      <c r="F712" s="7">
        <v>0</v>
      </c>
      <c r="G712" s="7">
        <v>2</v>
      </c>
      <c r="H712" s="7">
        <v>0</v>
      </c>
      <c r="I712" s="7">
        <v>44</v>
      </c>
      <c r="J712" s="7">
        <v>0</v>
      </c>
      <c r="K712" s="7">
        <v>84</v>
      </c>
      <c r="L712" s="7" t="b">
        <f t="shared" si="11"/>
        <v>1</v>
      </c>
    </row>
    <row r="713" spans="1:12" x14ac:dyDescent="0.25">
      <c r="A713" s="7" t="s">
        <v>1707</v>
      </c>
      <c r="B713" s="7">
        <v>0</v>
      </c>
      <c r="C713" s="7">
        <v>16</v>
      </c>
      <c r="D713" s="7">
        <v>4</v>
      </c>
      <c r="E713" s="7">
        <v>0</v>
      </c>
      <c r="F713" s="7">
        <v>0</v>
      </c>
      <c r="G713" s="7">
        <v>6</v>
      </c>
      <c r="H713" s="7">
        <v>0</v>
      </c>
      <c r="I713" s="7">
        <v>25</v>
      </c>
      <c r="J713" s="7">
        <v>2</v>
      </c>
      <c r="K713" s="7">
        <v>53</v>
      </c>
      <c r="L713" s="7" t="b">
        <f t="shared" si="11"/>
        <v>1</v>
      </c>
    </row>
    <row r="714" spans="1:12" x14ac:dyDescent="0.25">
      <c r="A714" s="7" t="s">
        <v>1708</v>
      </c>
      <c r="B714" s="7">
        <v>0</v>
      </c>
      <c r="C714" s="7">
        <v>27</v>
      </c>
      <c r="D714" s="7">
        <v>24</v>
      </c>
      <c r="E714" s="7">
        <v>0</v>
      </c>
      <c r="F714" s="7">
        <v>0</v>
      </c>
      <c r="G714" s="7">
        <v>0</v>
      </c>
      <c r="H714" s="7">
        <v>0</v>
      </c>
      <c r="I714" s="7">
        <v>136</v>
      </c>
      <c r="J714" s="7">
        <v>1</v>
      </c>
      <c r="K714" s="7">
        <v>188</v>
      </c>
      <c r="L714" s="7" t="b">
        <f t="shared" si="11"/>
        <v>1</v>
      </c>
    </row>
    <row r="715" spans="1:12" x14ac:dyDescent="0.25">
      <c r="A715" s="7" t="s">
        <v>1709</v>
      </c>
      <c r="B715" s="7">
        <v>0</v>
      </c>
      <c r="C715" s="7">
        <v>78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1</v>
      </c>
      <c r="J715" s="7">
        <v>0</v>
      </c>
      <c r="K715" s="7">
        <v>88</v>
      </c>
      <c r="L715" s="7" t="b">
        <f t="shared" si="11"/>
        <v>1</v>
      </c>
    </row>
    <row r="716" spans="1:12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  <c r="L716" s="7" t="b">
        <f t="shared" si="11"/>
        <v>1</v>
      </c>
    </row>
    <row r="717" spans="1:12" x14ac:dyDescent="0.25">
      <c r="A717" s="7" t="s">
        <v>1711</v>
      </c>
      <c r="B717" s="7">
        <v>0</v>
      </c>
      <c r="C717" s="7">
        <v>15</v>
      </c>
      <c r="D717" s="7">
        <v>33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5</v>
      </c>
      <c r="K717" s="7">
        <v>76</v>
      </c>
      <c r="L717" s="7" t="b">
        <f t="shared" si="11"/>
        <v>1</v>
      </c>
    </row>
    <row r="718" spans="1:12" x14ac:dyDescent="0.25">
      <c r="A718" s="7" t="s">
        <v>1712</v>
      </c>
      <c r="B718" s="7">
        <v>0</v>
      </c>
      <c r="C718" s="7">
        <v>2</v>
      </c>
      <c r="D718" s="7">
        <v>53</v>
      </c>
      <c r="E718" s="7">
        <v>0</v>
      </c>
      <c r="F718" s="7">
        <v>8</v>
      </c>
      <c r="G718" s="7">
        <v>0</v>
      </c>
      <c r="H718" s="7">
        <v>0</v>
      </c>
      <c r="I718" s="7">
        <v>12</v>
      </c>
      <c r="J718" s="7">
        <v>8</v>
      </c>
      <c r="K718" s="7">
        <v>83</v>
      </c>
      <c r="L718" s="7" t="b">
        <f t="shared" si="11"/>
        <v>1</v>
      </c>
    </row>
    <row r="719" spans="1:12" x14ac:dyDescent="0.25">
      <c r="A719" s="7" t="s">
        <v>1713</v>
      </c>
      <c r="B719" s="7">
        <v>0</v>
      </c>
      <c r="C719" s="7">
        <v>32</v>
      </c>
      <c r="D719" s="7">
        <v>6</v>
      </c>
      <c r="E719" s="7">
        <v>0</v>
      </c>
      <c r="F719" s="7">
        <v>1</v>
      </c>
      <c r="G719" s="7">
        <v>0</v>
      </c>
      <c r="H719" s="7">
        <v>0</v>
      </c>
      <c r="I719" s="7">
        <v>77</v>
      </c>
      <c r="J719" s="7">
        <v>0</v>
      </c>
      <c r="K719" s="7">
        <v>116</v>
      </c>
      <c r="L719" s="7" t="b">
        <f t="shared" si="11"/>
        <v>1</v>
      </c>
    </row>
    <row r="720" spans="1:12" x14ac:dyDescent="0.25">
      <c r="A720" s="7" t="s">
        <v>1714</v>
      </c>
      <c r="B720" s="7">
        <v>0</v>
      </c>
      <c r="C720" s="7">
        <v>0</v>
      </c>
      <c r="D720" s="7">
        <v>21</v>
      </c>
      <c r="E720" s="7">
        <v>0</v>
      </c>
      <c r="F720" s="7">
        <v>0</v>
      </c>
      <c r="G720" s="7">
        <v>0</v>
      </c>
      <c r="H720" s="7">
        <v>0</v>
      </c>
      <c r="I720" s="7">
        <v>25</v>
      </c>
      <c r="J720" s="7">
        <v>9</v>
      </c>
      <c r="K720" s="7">
        <v>55</v>
      </c>
      <c r="L720" s="7" t="b">
        <f t="shared" si="11"/>
        <v>1</v>
      </c>
    </row>
    <row r="721" spans="1:12" x14ac:dyDescent="0.25">
      <c r="A721" s="7" t="s">
        <v>1715</v>
      </c>
      <c r="B721" s="7">
        <v>0</v>
      </c>
      <c r="C721" s="7">
        <v>2</v>
      </c>
      <c r="D721" s="7">
        <v>24</v>
      </c>
      <c r="E721" s="7">
        <v>0</v>
      </c>
      <c r="F721" s="7">
        <v>0</v>
      </c>
      <c r="G721" s="7">
        <v>0</v>
      </c>
      <c r="H721" s="7">
        <v>0</v>
      </c>
      <c r="I721" s="7">
        <v>31</v>
      </c>
      <c r="J721" s="7">
        <v>3</v>
      </c>
      <c r="K721" s="7">
        <v>60</v>
      </c>
      <c r="L721" s="7" t="b">
        <f t="shared" si="11"/>
        <v>1</v>
      </c>
    </row>
    <row r="722" spans="1:12" x14ac:dyDescent="0.25">
      <c r="A722" s="7" t="s">
        <v>1716</v>
      </c>
      <c r="B722" s="7">
        <v>0</v>
      </c>
      <c r="C722" s="7">
        <v>5</v>
      </c>
      <c r="D722" s="7">
        <v>55</v>
      </c>
      <c r="E722" s="7">
        <v>0</v>
      </c>
      <c r="F722" s="7">
        <v>0</v>
      </c>
      <c r="G722" s="7">
        <v>0</v>
      </c>
      <c r="H722" s="7">
        <v>0</v>
      </c>
      <c r="I722" s="7">
        <v>9</v>
      </c>
      <c r="J722" s="7">
        <v>2</v>
      </c>
      <c r="K722" s="7">
        <v>71</v>
      </c>
      <c r="L722" s="7" t="b">
        <f t="shared" si="11"/>
        <v>1</v>
      </c>
    </row>
    <row r="723" spans="1:12" x14ac:dyDescent="0.25">
      <c r="A723" s="7" t="s">
        <v>1717</v>
      </c>
      <c r="B723" s="7">
        <v>0</v>
      </c>
      <c r="C723" s="7">
        <v>36</v>
      </c>
      <c r="D723" s="7">
        <v>82</v>
      </c>
      <c r="E723" s="7">
        <v>0</v>
      </c>
      <c r="F723" s="7">
        <v>0</v>
      </c>
      <c r="G723" s="7">
        <v>0</v>
      </c>
      <c r="H723" s="7">
        <v>0</v>
      </c>
      <c r="I723" s="7">
        <v>32</v>
      </c>
      <c r="J723" s="7">
        <v>4</v>
      </c>
      <c r="K723" s="7">
        <v>154</v>
      </c>
      <c r="L723" s="7" t="b">
        <f t="shared" si="11"/>
        <v>1</v>
      </c>
    </row>
    <row r="724" spans="1:12" x14ac:dyDescent="0.25">
      <c r="A724" s="7" t="s">
        <v>1718</v>
      </c>
      <c r="B724" s="7">
        <v>0</v>
      </c>
      <c r="C724" s="7">
        <v>8</v>
      </c>
      <c r="D724" s="7">
        <v>0</v>
      </c>
      <c r="E724" s="7">
        <v>0</v>
      </c>
      <c r="F724" s="7">
        <v>0</v>
      </c>
      <c r="G724" s="7">
        <v>0</v>
      </c>
      <c r="H724" s="7">
        <v>0</v>
      </c>
      <c r="I724" s="7">
        <v>70</v>
      </c>
      <c r="J724" s="7">
        <v>0</v>
      </c>
      <c r="K724" s="7">
        <v>78</v>
      </c>
      <c r="L724" s="7" t="b">
        <f t="shared" si="11"/>
        <v>1</v>
      </c>
    </row>
    <row r="725" spans="1:12" x14ac:dyDescent="0.25">
      <c r="A725" s="7" t="s">
        <v>1719</v>
      </c>
      <c r="B725" s="7">
        <v>0</v>
      </c>
      <c r="C725" s="7">
        <v>10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  <c r="L725" s="7" t="b">
        <f t="shared" si="11"/>
        <v>1</v>
      </c>
    </row>
    <row r="726" spans="1:12" x14ac:dyDescent="0.25">
      <c r="A726" s="7" t="s">
        <v>1720</v>
      </c>
      <c r="B726" s="7">
        <v>0</v>
      </c>
      <c r="C726" s="7">
        <v>129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8</v>
      </c>
      <c r="J726" s="7">
        <v>0</v>
      </c>
      <c r="K726" s="7">
        <v>138</v>
      </c>
      <c r="L726" s="7" t="b">
        <f t="shared" si="11"/>
        <v>1</v>
      </c>
    </row>
    <row r="727" spans="1:12" x14ac:dyDescent="0.25">
      <c r="A727" s="7" t="s">
        <v>1721</v>
      </c>
      <c r="B727" s="7">
        <v>0</v>
      </c>
      <c r="C727" s="7">
        <v>34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51</v>
      </c>
      <c r="J727" s="7">
        <v>0</v>
      </c>
      <c r="K727" s="7">
        <v>85</v>
      </c>
      <c r="L727" s="7" t="b">
        <f t="shared" si="11"/>
        <v>1</v>
      </c>
    </row>
    <row r="728" spans="1:12" x14ac:dyDescent="0.25">
      <c r="A728" s="7" t="s">
        <v>1722</v>
      </c>
      <c r="B728" s="7">
        <v>0</v>
      </c>
      <c r="C728" s="7">
        <v>69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0</v>
      </c>
      <c r="K728" s="7">
        <v>147</v>
      </c>
      <c r="L728" s="7" t="b">
        <f t="shared" si="11"/>
        <v>1</v>
      </c>
    </row>
    <row r="729" spans="1:12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  <c r="L729" s="7" t="b">
        <f t="shared" si="11"/>
        <v>1</v>
      </c>
    </row>
    <row r="730" spans="1:12" x14ac:dyDescent="0.25">
      <c r="A730" s="7" t="s">
        <v>1724</v>
      </c>
      <c r="B730" s="7">
        <v>0</v>
      </c>
      <c r="C730" s="7">
        <v>52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35</v>
      </c>
      <c r="J730" s="7">
        <v>0</v>
      </c>
      <c r="K730" s="7">
        <v>87</v>
      </c>
      <c r="L730" s="7" t="b">
        <f t="shared" si="11"/>
        <v>1</v>
      </c>
    </row>
    <row r="731" spans="1:12" x14ac:dyDescent="0.25">
      <c r="A731" s="7" t="s">
        <v>1725</v>
      </c>
      <c r="B731" s="7">
        <v>0</v>
      </c>
      <c r="C731" s="7">
        <v>58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1</v>
      </c>
      <c r="J731" s="7">
        <v>0</v>
      </c>
      <c r="K731" s="7">
        <v>60</v>
      </c>
      <c r="L731" s="7" t="b">
        <f t="shared" si="11"/>
        <v>1</v>
      </c>
    </row>
    <row r="732" spans="1:12" x14ac:dyDescent="0.25">
      <c r="A732" s="7" t="s">
        <v>1726</v>
      </c>
      <c r="B732" s="7">
        <v>0</v>
      </c>
      <c r="C732" s="7">
        <v>98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99</v>
      </c>
      <c r="L732" s="7" t="b">
        <f t="shared" si="11"/>
        <v>1</v>
      </c>
    </row>
    <row r="733" spans="1:12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1</v>
      </c>
      <c r="J733" s="7">
        <v>0</v>
      </c>
      <c r="K733" s="7">
        <v>68</v>
      </c>
      <c r="L733" s="7" t="b">
        <f t="shared" si="11"/>
        <v>1</v>
      </c>
    </row>
    <row r="734" spans="1:12" x14ac:dyDescent="0.25">
      <c r="A734" s="7" t="s">
        <v>1728</v>
      </c>
      <c r="B734" s="7">
        <v>0</v>
      </c>
      <c r="C734" s="7">
        <v>82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60</v>
      </c>
      <c r="J734" s="7">
        <v>0</v>
      </c>
      <c r="K734" s="7">
        <v>153</v>
      </c>
      <c r="L734" s="7" t="b">
        <f t="shared" si="11"/>
        <v>1</v>
      </c>
    </row>
    <row r="735" spans="1:12" x14ac:dyDescent="0.25">
      <c r="A735" s="7" t="s">
        <v>1729</v>
      </c>
      <c r="B735" s="7">
        <v>0</v>
      </c>
      <c r="C735" s="7">
        <v>44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69</v>
      </c>
      <c r="J735" s="7">
        <v>0</v>
      </c>
      <c r="K735" s="7">
        <v>113</v>
      </c>
      <c r="L735" s="7" t="b">
        <f t="shared" si="11"/>
        <v>1</v>
      </c>
    </row>
    <row r="736" spans="1:12" x14ac:dyDescent="0.25">
      <c r="A736" s="7" t="s">
        <v>1730</v>
      </c>
      <c r="B736" s="7">
        <v>0</v>
      </c>
      <c r="C736" s="7">
        <v>43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69</v>
      </c>
      <c r="J736" s="7">
        <v>0</v>
      </c>
      <c r="K736" s="7">
        <v>112</v>
      </c>
      <c r="L736" s="7" t="b">
        <f t="shared" si="11"/>
        <v>1</v>
      </c>
    </row>
    <row r="737" spans="1:12" x14ac:dyDescent="0.25">
      <c r="A737" s="7" t="s">
        <v>1731</v>
      </c>
      <c r="B737" s="7">
        <v>0</v>
      </c>
      <c r="C737" s="7">
        <v>42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46</v>
      </c>
      <c r="J737" s="7">
        <v>0</v>
      </c>
      <c r="K737" s="7">
        <v>89</v>
      </c>
      <c r="L737" s="7" t="b">
        <f t="shared" si="11"/>
        <v>1</v>
      </c>
    </row>
    <row r="738" spans="1:12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0</v>
      </c>
      <c r="K738" s="7">
        <v>143</v>
      </c>
      <c r="L738" s="7" t="b">
        <f t="shared" si="11"/>
        <v>1</v>
      </c>
    </row>
    <row r="739" spans="1:12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  <c r="L739" s="7" t="b">
        <f t="shared" si="11"/>
        <v>1</v>
      </c>
    </row>
    <row r="740" spans="1:12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  <c r="L740" s="7" t="b">
        <f t="shared" si="11"/>
        <v>1</v>
      </c>
    </row>
    <row r="741" spans="1:12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0</v>
      </c>
      <c r="K741" s="7">
        <v>248</v>
      </c>
      <c r="L741" s="7" t="b">
        <f t="shared" si="11"/>
        <v>1</v>
      </c>
    </row>
    <row r="742" spans="1:12" x14ac:dyDescent="0.25">
      <c r="A742" s="7" t="s">
        <v>1736</v>
      </c>
      <c r="B742" s="7">
        <v>0</v>
      </c>
      <c r="C742" s="7">
        <v>87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89</v>
      </c>
      <c r="L742" s="7" t="b">
        <f t="shared" si="11"/>
        <v>1</v>
      </c>
    </row>
    <row r="743" spans="1:12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  <c r="L743" s="7" t="b">
        <f t="shared" si="11"/>
        <v>1</v>
      </c>
    </row>
    <row r="744" spans="1:12" x14ac:dyDescent="0.25">
      <c r="A744" s="7" t="s">
        <v>1738</v>
      </c>
      <c r="B744" s="7">
        <v>0</v>
      </c>
      <c r="C744" s="7">
        <v>124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0</v>
      </c>
      <c r="J744" s="7">
        <v>0</v>
      </c>
      <c r="K744" s="7">
        <v>125</v>
      </c>
      <c r="L744" s="7" t="b">
        <f t="shared" si="11"/>
        <v>1</v>
      </c>
    </row>
    <row r="745" spans="1:12" x14ac:dyDescent="0.25">
      <c r="A745" s="7" t="s">
        <v>1739</v>
      </c>
      <c r="B745" s="7">
        <v>0</v>
      </c>
      <c r="C745" s="7">
        <v>93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1</v>
      </c>
      <c r="K745" s="7">
        <v>94</v>
      </c>
      <c r="L745" s="7" t="b">
        <f t="shared" si="11"/>
        <v>1</v>
      </c>
    </row>
    <row r="746" spans="1:12" x14ac:dyDescent="0.25">
      <c r="A746" s="7" t="s">
        <v>1740</v>
      </c>
      <c r="B746" s="7">
        <v>0</v>
      </c>
      <c r="C746" s="7">
        <v>68</v>
      </c>
      <c r="D746" s="7">
        <v>1</v>
      </c>
      <c r="E746" s="7">
        <v>0</v>
      </c>
      <c r="F746" s="7">
        <v>0</v>
      </c>
      <c r="G746" s="7">
        <v>1</v>
      </c>
      <c r="H746" s="7">
        <v>0</v>
      </c>
      <c r="I746" s="7">
        <v>0</v>
      </c>
      <c r="J746" s="7">
        <v>3</v>
      </c>
      <c r="K746" s="7">
        <v>73</v>
      </c>
      <c r="L746" s="7" t="b">
        <f t="shared" si="11"/>
        <v>1</v>
      </c>
    </row>
    <row r="747" spans="1:12" x14ac:dyDescent="0.25">
      <c r="A747" s="7" t="s">
        <v>1741</v>
      </c>
      <c r="B747" s="7">
        <v>0</v>
      </c>
      <c r="C747" s="7">
        <v>50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3</v>
      </c>
      <c r="K747" s="7">
        <v>53</v>
      </c>
      <c r="L747" s="7" t="b">
        <f t="shared" si="11"/>
        <v>1</v>
      </c>
    </row>
    <row r="748" spans="1:12" x14ac:dyDescent="0.25">
      <c r="A748" s="7" t="s">
        <v>1742</v>
      </c>
      <c r="B748" s="7">
        <v>0</v>
      </c>
      <c r="C748" s="7">
        <v>61</v>
      </c>
      <c r="D748" s="7">
        <v>0</v>
      </c>
      <c r="E748" s="7">
        <v>0</v>
      </c>
      <c r="F748" s="7">
        <v>1</v>
      </c>
      <c r="G748" s="7">
        <v>1</v>
      </c>
      <c r="H748" s="7">
        <v>0</v>
      </c>
      <c r="I748" s="7">
        <v>0</v>
      </c>
      <c r="J748" s="7">
        <v>2</v>
      </c>
      <c r="K748" s="7">
        <v>65</v>
      </c>
      <c r="L748" s="7" t="b">
        <f t="shared" si="11"/>
        <v>1</v>
      </c>
    </row>
    <row r="749" spans="1:12" x14ac:dyDescent="0.25">
      <c r="A749" s="7" t="s">
        <v>1743</v>
      </c>
      <c r="B749" s="7">
        <v>0</v>
      </c>
      <c r="C749" s="7">
        <v>202</v>
      </c>
      <c r="D749" s="7">
        <v>3</v>
      </c>
      <c r="E749" s="7">
        <v>0</v>
      </c>
      <c r="F749" s="7">
        <v>2</v>
      </c>
      <c r="G749" s="7">
        <v>0</v>
      </c>
      <c r="H749" s="7">
        <v>0</v>
      </c>
      <c r="I749" s="7">
        <v>44</v>
      </c>
      <c r="J749" s="7">
        <v>1</v>
      </c>
      <c r="K749" s="7">
        <v>252</v>
      </c>
      <c r="L749" s="7" t="b">
        <f t="shared" si="11"/>
        <v>1</v>
      </c>
    </row>
    <row r="750" spans="1:12" x14ac:dyDescent="0.25">
      <c r="A750" s="7" t="s">
        <v>1744</v>
      </c>
      <c r="B750" s="7">
        <v>0</v>
      </c>
      <c r="C750" s="7">
        <v>33</v>
      </c>
      <c r="D750" s="7">
        <v>1</v>
      </c>
      <c r="E750" s="7">
        <v>0</v>
      </c>
      <c r="F750" s="7">
        <v>0</v>
      </c>
      <c r="G750" s="7">
        <v>2</v>
      </c>
      <c r="H750" s="7">
        <v>0</v>
      </c>
      <c r="I750" s="7">
        <v>0</v>
      </c>
      <c r="J750" s="7">
        <v>0</v>
      </c>
      <c r="K750" s="7">
        <v>36</v>
      </c>
      <c r="L750" s="7" t="b">
        <f t="shared" si="11"/>
        <v>1</v>
      </c>
    </row>
    <row r="751" spans="1:12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  <c r="L751" s="7" t="b">
        <f t="shared" si="11"/>
        <v>1</v>
      </c>
    </row>
    <row r="752" spans="1:12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  <c r="L752" s="7" t="b">
        <f t="shared" si="11"/>
        <v>1</v>
      </c>
    </row>
    <row r="753" spans="1:12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  <c r="L753" s="7" t="b">
        <f t="shared" si="11"/>
        <v>1</v>
      </c>
    </row>
    <row r="754" spans="1:12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  <c r="L754" s="7" t="b">
        <f t="shared" si="11"/>
        <v>1</v>
      </c>
    </row>
    <row r="755" spans="1:12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  <c r="L755" s="7" t="b">
        <f t="shared" si="11"/>
        <v>1</v>
      </c>
    </row>
    <row r="756" spans="1:12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  <c r="L756" s="7" t="b">
        <f t="shared" si="11"/>
        <v>1</v>
      </c>
    </row>
    <row r="757" spans="1:12" x14ac:dyDescent="0.25">
      <c r="A757" s="7" t="s">
        <v>1751</v>
      </c>
      <c r="B757" s="7">
        <v>0</v>
      </c>
      <c r="C757" s="7">
        <v>3</v>
      </c>
      <c r="D757" s="7">
        <v>0</v>
      </c>
      <c r="E757" s="7">
        <v>0</v>
      </c>
      <c r="F757" s="7">
        <v>0</v>
      </c>
      <c r="G757" s="7">
        <v>0</v>
      </c>
      <c r="H757" s="7">
        <v>0</v>
      </c>
      <c r="I757" s="7">
        <v>115</v>
      </c>
      <c r="J757" s="7">
        <v>0</v>
      </c>
      <c r="K757" s="7">
        <v>118</v>
      </c>
      <c r="L757" s="7" t="b">
        <f t="shared" si="11"/>
        <v>1</v>
      </c>
    </row>
    <row r="758" spans="1:12" x14ac:dyDescent="0.25">
      <c r="A758" s="7" t="s">
        <v>1752</v>
      </c>
      <c r="B758" s="7">
        <v>0</v>
      </c>
      <c r="C758" s="7">
        <v>78</v>
      </c>
      <c r="D758" s="7">
        <v>2</v>
      </c>
      <c r="E758" s="7">
        <v>0</v>
      </c>
      <c r="F758" s="7">
        <v>0</v>
      </c>
      <c r="G758" s="7">
        <v>1</v>
      </c>
      <c r="H758" s="7">
        <v>0</v>
      </c>
      <c r="I758" s="7">
        <v>62</v>
      </c>
      <c r="J758" s="7">
        <v>0</v>
      </c>
      <c r="K758" s="7">
        <v>143</v>
      </c>
      <c r="L758" s="7" t="b">
        <f t="shared" si="11"/>
        <v>1</v>
      </c>
    </row>
    <row r="759" spans="1:12" x14ac:dyDescent="0.25">
      <c r="A759" s="7" t="s">
        <v>1753</v>
      </c>
      <c r="B759" s="7">
        <v>0</v>
      </c>
      <c r="C759" s="7">
        <v>8</v>
      </c>
      <c r="D759" s="7">
        <v>1</v>
      </c>
      <c r="E759" s="7">
        <v>0</v>
      </c>
      <c r="F759" s="7">
        <v>0</v>
      </c>
      <c r="G759" s="7">
        <v>0</v>
      </c>
      <c r="H759" s="7">
        <v>0</v>
      </c>
      <c r="I759" s="7">
        <v>281</v>
      </c>
      <c r="J759" s="7">
        <v>0</v>
      </c>
      <c r="K759" s="7">
        <v>290</v>
      </c>
      <c r="L759" s="7" t="b">
        <f t="shared" si="11"/>
        <v>1</v>
      </c>
    </row>
    <row r="760" spans="1:12" x14ac:dyDescent="0.25">
      <c r="A760" s="7" t="s">
        <v>1754</v>
      </c>
      <c r="B760" s="7">
        <v>0</v>
      </c>
      <c r="C760" s="7">
        <v>40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61</v>
      </c>
      <c r="J760" s="7">
        <v>0</v>
      </c>
      <c r="K760" s="7">
        <v>101</v>
      </c>
      <c r="L760" s="7" t="b">
        <f t="shared" si="11"/>
        <v>1</v>
      </c>
    </row>
    <row r="761" spans="1:12" x14ac:dyDescent="0.25">
      <c r="A761" s="7" t="s">
        <v>1755</v>
      </c>
      <c r="B761" s="7">
        <v>0</v>
      </c>
      <c r="C761" s="7">
        <v>90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81</v>
      </c>
      <c r="J761" s="7">
        <v>0</v>
      </c>
      <c r="K761" s="7">
        <v>171</v>
      </c>
      <c r="L761" s="7" t="b">
        <f t="shared" si="11"/>
        <v>1</v>
      </c>
    </row>
    <row r="762" spans="1:12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0</v>
      </c>
      <c r="F762" s="7">
        <v>0</v>
      </c>
      <c r="G762" s="7">
        <v>0</v>
      </c>
      <c r="H762" s="7">
        <v>0</v>
      </c>
      <c r="I762" s="7">
        <v>62</v>
      </c>
      <c r="J762" s="7">
        <v>0</v>
      </c>
      <c r="K762" s="7">
        <v>66</v>
      </c>
      <c r="L762" s="7" t="b">
        <f t="shared" si="11"/>
        <v>1</v>
      </c>
    </row>
    <row r="763" spans="1:12" x14ac:dyDescent="0.25">
      <c r="A763" s="7" t="s">
        <v>1757</v>
      </c>
      <c r="B763" s="7">
        <v>0</v>
      </c>
      <c r="C763" s="7">
        <v>16</v>
      </c>
      <c r="D763" s="7">
        <v>3</v>
      </c>
      <c r="E763" s="7">
        <v>0</v>
      </c>
      <c r="F763" s="7">
        <v>0</v>
      </c>
      <c r="G763" s="7">
        <v>1</v>
      </c>
      <c r="H763" s="7">
        <v>0</v>
      </c>
      <c r="I763" s="7">
        <v>28</v>
      </c>
      <c r="J763" s="7">
        <v>0</v>
      </c>
      <c r="K763" s="7">
        <v>48</v>
      </c>
      <c r="L763" s="7" t="b">
        <f t="shared" si="11"/>
        <v>1</v>
      </c>
    </row>
    <row r="764" spans="1:12" x14ac:dyDescent="0.25">
      <c r="A764" s="7" t="s">
        <v>1758</v>
      </c>
      <c r="B764" s="7">
        <v>0</v>
      </c>
      <c r="C764" s="7">
        <v>29</v>
      </c>
      <c r="D764" s="7">
        <v>5</v>
      </c>
      <c r="E764" s="7">
        <v>0</v>
      </c>
      <c r="F764" s="7">
        <v>0</v>
      </c>
      <c r="G764" s="7">
        <v>6</v>
      </c>
      <c r="H764" s="7">
        <v>0</v>
      </c>
      <c r="I764" s="7">
        <v>24</v>
      </c>
      <c r="J764" s="7">
        <v>0</v>
      </c>
      <c r="K764" s="7">
        <v>64</v>
      </c>
      <c r="L764" s="7" t="b">
        <f t="shared" si="11"/>
        <v>1</v>
      </c>
    </row>
    <row r="765" spans="1:12" x14ac:dyDescent="0.25">
      <c r="A765" s="7" t="s">
        <v>1759</v>
      </c>
      <c r="B765" s="7">
        <v>0</v>
      </c>
      <c r="C765" s="7">
        <v>8</v>
      </c>
      <c r="D765" s="7">
        <v>7</v>
      </c>
      <c r="E765" s="7">
        <v>0</v>
      </c>
      <c r="F765" s="7">
        <v>0</v>
      </c>
      <c r="G765" s="7">
        <v>0</v>
      </c>
      <c r="H765" s="7">
        <v>0</v>
      </c>
      <c r="I765" s="7">
        <v>46</v>
      </c>
      <c r="J765" s="7">
        <v>0</v>
      </c>
      <c r="K765" s="7">
        <v>61</v>
      </c>
      <c r="L765" s="7" t="b">
        <f t="shared" si="11"/>
        <v>1</v>
      </c>
    </row>
    <row r="766" spans="1:12" x14ac:dyDescent="0.25">
      <c r="A766" s="7" t="s">
        <v>1760</v>
      </c>
      <c r="B766" s="7">
        <v>0</v>
      </c>
      <c r="C766" s="7">
        <v>2</v>
      </c>
      <c r="D766" s="7">
        <v>2</v>
      </c>
      <c r="E766" s="7">
        <v>0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  <c r="L766" s="7" t="b">
        <f t="shared" si="11"/>
        <v>1</v>
      </c>
    </row>
    <row r="767" spans="1:12" x14ac:dyDescent="0.25">
      <c r="A767" s="7" t="s">
        <v>1761</v>
      </c>
      <c r="B767" s="7">
        <v>0</v>
      </c>
      <c r="C767" s="7">
        <v>5</v>
      </c>
      <c r="D767" s="7">
        <v>5</v>
      </c>
      <c r="E767" s="7">
        <v>0</v>
      </c>
      <c r="F767" s="7">
        <v>0</v>
      </c>
      <c r="G767" s="7">
        <v>0</v>
      </c>
      <c r="H767" s="7">
        <v>0</v>
      </c>
      <c r="I767" s="7">
        <v>58</v>
      </c>
      <c r="J767" s="7">
        <v>0</v>
      </c>
      <c r="K767" s="7">
        <v>68</v>
      </c>
      <c r="L767" s="7" t="b">
        <f t="shared" si="11"/>
        <v>1</v>
      </c>
    </row>
    <row r="768" spans="1:12" x14ac:dyDescent="0.25">
      <c r="A768" s="7" t="s">
        <v>1762</v>
      </c>
      <c r="B768" s="7">
        <v>0</v>
      </c>
      <c r="C768" s="7">
        <v>18</v>
      </c>
      <c r="D768" s="7">
        <v>4</v>
      </c>
      <c r="E768" s="7">
        <v>0</v>
      </c>
      <c r="F768" s="7">
        <v>0</v>
      </c>
      <c r="G768" s="7">
        <v>0</v>
      </c>
      <c r="H768" s="7">
        <v>0</v>
      </c>
      <c r="I768" s="7">
        <v>34</v>
      </c>
      <c r="J768" s="7">
        <v>4</v>
      </c>
      <c r="K768" s="7">
        <v>60</v>
      </c>
      <c r="L768" s="7" t="b">
        <f t="shared" si="11"/>
        <v>1</v>
      </c>
    </row>
    <row r="769" spans="1:12" x14ac:dyDescent="0.25">
      <c r="A769" s="7" t="s">
        <v>1763</v>
      </c>
      <c r="B769" s="7">
        <v>0</v>
      </c>
      <c r="C769" s="7">
        <v>8</v>
      </c>
      <c r="D769" s="7">
        <v>6</v>
      </c>
      <c r="E769" s="7">
        <v>0</v>
      </c>
      <c r="F769" s="7">
        <v>0</v>
      </c>
      <c r="G769" s="7">
        <v>0</v>
      </c>
      <c r="H769" s="7">
        <v>0</v>
      </c>
      <c r="I769" s="7">
        <v>38</v>
      </c>
      <c r="J769" s="7">
        <v>0</v>
      </c>
      <c r="K769" s="7">
        <v>52</v>
      </c>
      <c r="L769" s="7" t="b">
        <f t="shared" si="11"/>
        <v>1</v>
      </c>
    </row>
    <row r="770" spans="1:12" x14ac:dyDescent="0.25">
      <c r="A770" s="7" t="s">
        <v>1764</v>
      </c>
      <c r="B770" s="7">
        <v>0</v>
      </c>
      <c r="C770" s="7">
        <v>3</v>
      </c>
      <c r="D770" s="7">
        <v>14</v>
      </c>
      <c r="E770" s="7">
        <v>0</v>
      </c>
      <c r="F770" s="7">
        <v>0</v>
      </c>
      <c r="G770" s="7">
        <v>0</v>
      </c>
      <c r="H770" s="7">
        <v>0</v>
      </c>
      <c r="I770" s="7">
        <v>89</v>
      </c>
      <c r="J770" s="7">
        <v>0</v>
      </c>
      <c r="K770" s="7">
        <v>106</v>
      </c>
      <c r="L770" s="7" t="b">
        <f t="shared" si="11"/>
        <v>1</v>
      </c>
    </row>
    <row r="771" spans="1:12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  <c r="L771" s="7" t="b">
        <f t="shared" ref="L771:L834" si="12">K771=SUM(B771:J771)</f>
        <v>1</v>
      </c>
    </row>
    <row r="772" spans="1:12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  <c r="L772" s="7" t="b">
        <f t="shared" si="12"/>
        <v>1</v>
      </c>
    </row>
    <row r="773" spans="1:12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  <c r="L773" s="7" t="b">
        <f t="shared" si="12"/>
        <v>1</v>
      </c>
    </row>
    <row r="774" spans="1:12" x14ac:dyDescent="0.25">
      <c r="A774" s="7" t="s">
        <v>1768</v>
      </c>
      <c r="B774" s="7">
        <v>0</v>
      </c>
      <c r="C774" s="7">
        <v>116</v>
      </c>
      <c r="D774" s="7">
        <v>7</v>
      </c>
      <c r="E774" s="7">
        <v>0</v>
      </c>
      <c r="F774" s="7">
        <v>0</v>
      </c>
      <c r="G774" s="7">
        <v>2</v>
      </c>
      <c r="H774" s="7">
        <v>0</v>
      </c>
      <c r="I774" s="7">
        <v>6</v>
      </c>
      <c r="J774" s="7">
        <v>3</v>
      </c>
      <c r="K774" s="7">
        <v>134</v>
      </c>
      <c r="L774" s="7" t="b">
        <f t="shared" si="12"/>
        <v>1</v>
      </c>
    </row>
    <row r="775" spans="1:12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  <c r="L775" s="7" t="b">
        <f t="shared" si="12"/>
        <v>1</v>
      </c>
    </row>
    <row r="776" spans="1:12" x14ac:dyDescent="0.25">
      <c r="A776" s="7" t="s">
        <v>1770</v>
      </c>
      <c r="B776" s="7">
        <v>0</v>
      </c>
      <c r="C776" s="7">
        <v>82</v>
      </c>
      <c r="D776" s="7">
        <v>17</v>
      </c>
      <c r="E776" s="7">
        <v>0</v>
      </c>
      <c r="F776" s="7">
        <v>0</v>
      </c>
      <c r="G776" s="7">
        <v>0</v>
      </c>
      <c r="H776" s="7">
        <v>0</v>
      </c>
      <c r="I776" s="7">
        <v>5</v>
      </c>
      <c r="J776" s="7">
        <v>3</v>
      </c>
      <c r="K776" s="7">
        <v>107</v>
      </c>
      <c r="L776" s="7" t="b">
        <f t="shared" si="12"/>
        <v>1</v>
      </c>
    </row>
    <row r="777" spans="1:12" x14ac:dyDescent="0.25">
      <c r="A777" s="7" t="s">
        <v>1771</v>
      </c>
      <c r="B777" s="7">
        <v>0</v>
      </c>
      <c r="C777" s="7">
        <v>98</v>
      </c>
      <c r="D777" s="7">
        <v>12</v>
      </c>
      <c r="E777" s="7">
        <v>0</v>
      </c>
      <c r="F777" s="7">
        <v>0</v>
      </c>
      <c r="G777" s="7">
        <v>2</v>
      </c>
      <c r="H777" s="7">
        <v>0</v>
      </c>
      <c r="I777" s="7">
        <v>3</v>
      </c>
      <c r="J777" s="7">
        <v>8</v>
      </c>
      <c r="K777" s="7">
        <v>123</v>
      </c>
      <c r="L777" s="7" t="b">
        <f t="shared" si="12"/>
        <v>1</v>
      </c>
    </row>
    <row r="778" spans="1:12" x14ac:dyDescent="0.25">
      <c r="A778" s="7" t="s">
        <v>1772</v>
      </c>
      <c r="B778" s="7">
        <v>0</v>
      </c>
      <c r="C778" s="7">
        <v>48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53</v>
      </c>
      <c r="L778" s="7" t="b">
        <f t="shared" si="12"/>
        <v>1</v>
      </c>
    </row>
    <row r="779" spans="1:12" x14ac:dyDescent="0.25">
      <c r="A779" s="7" t="s">
        <v>1773</v>
      </c>
      <c r="B779" s="7">
        <v>0</v>
      </c>
      <c r="C779" s="7">
        <v>52</v>
      </c>
      <c r="D779" s="7">
        <v>2</v>
      </c>
      <c r="E779" s="7">
        <v>0</v>
      </c>
      <c r="F779" s="7">
        <v>0</v>
      </c>
      <c r="G779" s="7">
        <v>0</v>
      </c>
      <c r="H779" s="7">
        <v>0</v>
      </c>
      <c r="I779" s="7">
        <v>2</v>
      </c>
      <c r="J779" s="7">
        <v>0</v>
      </c>
      <c r="K779" s="7">
        <v>56</v>
      </c>
      <c r="L779" s="7" t="b">
        <f t="shared" si="12"/>
        <v>1</v>
      </c>
    </row>
    <row r="780" spans="1:12" x14ac:dyDescent="0.25">
      <c r="A780" s="7" t="s">
        <v>1774</v>
      </c>
      <c r="B780" s="7">
        <v>0</v>
      </c>
      <c r="C780" s="7">
        <v>45</v>
      </c>
      <c r="D780" s="7">
        <v>22</v>
      </c>
      <c r="E780" s="7">
        <v>0</v>
      </c>
      <c r="F780" s="7">
        <v>0</v>
      </c>
      <c r="G780" s="7">
        <v>0</v>
      </c>
      <c r="H780" s="7">
        <v>0</v>
      </c>
      <c r="I780" s="7">
        <v>2</v>
      </c>
      <c r="J780" s="7">
        <v>0</v>
      </c>
      <c r="K780" s="7">
        <v>69</v>
      </c>
      <c r="L780" s="7" t="b">
        <f t="shared" si="12"/>
        <v>1</v>
      </c>
    </row>
    <row r="781" spans="1:12" x14ac:dyDescent="0.25">
      <c r="A781" s="7" t="s">
        <v>1775</v>
      </c>
      <c r="B781" s="7">
        <v>0</v>
      </c>
      <c r="C781" s="7">
        <v>34</v>
      </c>
      <c r="D781" s="7">
        <v>15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49</v>
      </c>
      <c r="L781" s="7" t="b">
        <f t="shared" si="12"/>
        <v>1</v>
      </c>
    </row>
    <row r="782" spans="1:12" x14ac:dyDescent="0.25">
      <c r="A782" s="7" t="s">
        <v>1776</v>
      </c>
      <c r="B782" s="7">
        <v>0</v>
      </c>
      <c r="C782" s="7">
        <v>46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4</v>
      </c>
      <c r="J782" s="7">
        <v>0</v>
      </c>
      <c r="K782" s="7">
        <v>50</v>
      </c>
      <c r="L782" s="7" t="b">
        <f t="shared" si="12"/>
        <v>1</v>
      </c>
    </row>
    <row r="783" spans="1:12" x14ac:dyDescent="0.25">
      <c r="A783" s="7" t="s">
        <v>1777</v>
      </c>
      <c r="B783" s="7">
        <v>0</v>
      </c>
      <c r="C783" s="7">
        <v>36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0</v>
      </c>
      <c r="J783" s="7">
        <v>1</v>
      </c>
      <c r="K783" s="7">
        <v>41</v>
      </c>
      <c r="L783" s="7" t="b">
        <f t="shared" si="12"/>
        <v>1</v>
      </c>
    </row>
    <row r="784" spans="1:12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  <c r="L784" s="7" t="b">
        <f t="shared" si="12"/>
        <v>1</v>
      </c>
    </row>
    <row r="785" spans="1:12" x14ac:dyDescent="0.25">
      <c r="A785" s="7" t="s">
        <v>1779</v>
      </c>
      <c r="B785" s="7">
        <v>0</v>
      </c>
      <c r="C785" s="7">
        <v>45</v>
      </c>
      <c r="D785" s="7">
        <v>1</v>
      </c>
      <c r="E785" s="7">
        <v>0</v>
      </c>
      <c r="F785" s="7">
        <v>0</v>
      </c>
      <c r="G785" s="7">
        <v>1</v>
      </c>
      <c r="H785" s="7">
        <v>0</v>
      </c>
      <c r="I785" s="7">
        <v>1</v>
      </c>
      <c r="J785" s="7">
        <v>0</v>
      </c>
      <c r="K785" s="7">
        <v>48</v>
      </c>
      <c r="L785" s="7" t="b">
        <f t="shared" si="12"/>
        <v>1</v>
      </c>
    </row>
    <row r="786" spans="1:12" x14ac:dyDescent="0.25">
      <c r="A786" s="7" t="s">
        <v>1780</v>
      </c>
      <c r="B786" s="7">
        <v>0</v>
      </c>
      <c r="C786" s="7">
        <v>30</v>
      </c>
      <c r="D786" s="7">
        <v>5</v>
      </c>
      <c r="E786" s="7">
        <v>0</v>
      </c>
      <c r="F786" s="7">
        <v>1</v>
      </c>
      <c r="G786" s="7">
        <v>0</v>
      </c>
      <c r="H786" s="7">
        <v>0</v>
      </c>
      <c r="I786" s="7">
        <v>36</v>
      </c>
      <c r="J786" s="7">
        <v>0</v>
      </c>
      <c r="K786" s="7">
        <v>72</v>
      </c>
      <c r="L786" s="7" t="b">
        <f t="shared" si="12"/>
        <v>1</v>
      </c>
    </row>
    <row r="787" spans="1:12" x14ac:dyDescent="0.25">
      <c r="A787" s="7" t="s">
        <v>1781</v>
      </c>
      <c r="B787" s="7">
        <v>0</v>
      </c>
      <c r="C787" s="7">
        <v>18</v>
      </c>
      <c r="D787" s="7">
        <v>18</v>
      </c>
      <c r="E787" s="7">
        <v>0</v>
      </c>
      <c r="F787" s="7">
        <v>0</v>
      </c>
      <c r="G787" s="7">
        <v>0</v>
      </c>
      <c r="H787" s="7">
        <v>0</v>
      </c>
      <c r="I787" s="7">
        <v>108</v>
      </c>
      <c r="J787" s="7">
        <v>0</v>
      </c>
      <c r="K787" s="7">
        <v>144</v>
      </c>
      <c r="L787" s="7" t="b">
        <f t="shared" si="12"/>
        <v>1</v>
      </c>
    </row>
    <row r="788" spans="1:12" x14ac:dyDescent="0.25">
      <c r="A788" s="7" t="s">
        <v>1782</v>
      </c>
      <c r="B788" s="7">
        <v>0</v>
      </c>
      <c r="C788" s="7">
        <v>62</v>
      </c>
      <c r="D788" s="7">
        <v>21</v>
      </c>
      <c r="E788" s="7">
        <v>0</v>
      </c>
      <c r="F788" s="7">
        <v>0</v>
      </c>
      <c r="G788" s="7">
        <v>0</v>
      </c>
      <c r="H788" s="7">
        <v>0</v>
      </c>
      <c r="I788" s="7">
        <v>50</v>
      </c>
      <c r="J788" s="7">
        <v>0</v>
      </c>
      <c r="K788" s="7">
        <v>133</v>
      </c>
      <c r="L788" s="7" t="b">
        <f t="shared" si="12"/>
        <v>1</v>
      </c>
    </row>
    <row r="789" spans="1:12" x14ac:dyDescent="0.25">
      <c r="A789" s="7" t="s">
        <v>1783</v>
      </c>
      <c r="B789" s="7">
        <v>0</v>
      </c>
      <c r="C789" s="7">
        <v>77</v>
      </c>
      <c r="D789" s="7">
        <v>29</v>
      </c>
      <c r="E789" s="7">
        <v>0</v>
      </c>
      <c r="F789" s="7">
        <v>0</v>
      </c>
      <c r="G789" s="7">
        <v>1</v>
      </c>
      <c r="H789" s="7">
        <v>0</v>
      </c>
      <c r="I789" s="7">
        <v>44</v>
      </c>
      <c r="J789" s="7">
        <v>0</v>
      </c>
      <c r="K789" s="7">
        <v>151</v>
      </c>
      <c r="L789" s="7" t="b">
        <f t="shared" si="12"/>
        <v>1</v>
      </c>
    </row>
    <row r="790" spans="1:12" x14ac:dyDescent="0.25">
      <c r="A790" s="7" t="s">
        <v>1784</v>
      </c>
      <c r="B790" s="7">
        <v>0</v>
      </c>
      <c r="C790" s="7">
        <v>56</v>
      </c>
      <c r="D790" s="7">
        <v>49</v>
      </c>
      <c r="E790" s="7">
        <v>0</v>
      </c>
      <c r="F790" s="7">
        <v>0</v>
      </c>
      <c r="G790" s="7">
        <v>0</v>
      </c>
      <c r="H790" s="7">
        <v>0</v>
      </c>
      <c r="I790" s="7">
        <v>23</v>
      </c>
      <c r="J790" s="7">
        <v>0</v>
      </c>
      <c r="K790" s="7">
        <v>128</v>
      </c>
      <c r="L790" s="7" t="b">
        <f t="shared" si="12"/>
        <v>1</v>
      </c>
    </row>
    <row r="791" spans="1:12" x14ac:dyDescent="0.25">
      <c r="A791" s="7" t="s">
        <v>1785</v>
      </c>
      <c r="B791" s="7">
        <v>0</v>
      </c>
      <c r="C791" s="7">
        <v>88</v>
      </c>
      <c r="D791" s="7">
        <v>44</v>
      </c>
      <c r="E791" s="7">
        <v>0</v>
      </c>
      <c r="F791" s="7">
        <v>0</v>
      </c>
      <c r="G791" s="7">
        <v>0</v>
      </c>
      <c r="H791" s="7">
        <v>0</v>
      </c>
      <c r="I791" s="7">
        <v>20</v>
      </c>
      <c r="J791" s="7">
        <v>0</v>
      </c>
      <c r="K791" s="7">
        <v>152</v>
      </c>
      <c r="L791" s="7" t="b">
        <f t="shared" si="12"/>
        <v>1</v>
      </c>
    </row>
    <row r="792" spans="1:12" x14ac:dyDescent="0.25">
      <c r="A792" s="7" t="s">
        <v>1786</v>
      </c>
      <c r="B792" s="7">
        <v>0</v>
      </c>
      <c r="C792" s="7">
        <v>29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7</v>
      </c>
      <c r="J792" s="7">
        <v>0</v>
      </c>
      <c r="K792" s="7">
        <v>36</v>
      </c>
      <c r="L792" s="7" t="b">
        <f t="shared" si="12"/>
        <v>1</v>
      </c>
    </row>
    <row r="793" spans="1:12" x14ac:dyDescent="0.25">
      <c r="A793" s="7" t="s">
        <v>1787</v>
      </c>
      <c r="B793" s="7">
        <v>0</v>
      </c>
      <c r="C793" s="7">
        <v>38</v>
      </c>
      <c r="D793" s="7">
        <v>0</v>
      </c>
      <c r="E793" s="7">
        <v>0</v>
      </c>
      <c r="F793" s="7">
        <v>0</v>
      </c>
      <c r="G793" s="7">
        <v>0</v>
      </c>
      <c r="H793" s="7">
        <v>0</v>
      </c>
      <c r="I793" s="7">
        <v>7</v>
      </c>
      <c r="J793" s="7">
        <v>0</v>
      </c>
      <c r="K793" s="7">
        <v>45</v>
      </c>
      <c r="L793" s="7" t="b">
        <f t="shared" si="12"/>
        <v>1</v>
      </c>
    </row>
    <row r="794" spans="1:12" x14ac:dyDescent="0.25">
      <c r="A794" s="7" t="s">
        <v>1788</v>
      </c>
      <c r="B794" s="7">
        <v>0</v>
      </c>
      <c r="C794" s="7">
        <v>34</v>
      </c>
      <c r="D794" s="7">
        <v>2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2</v>
      </c>
      <c r="K794" s="7">
        <v>42</v>
      </c>
      <c r="L794" s="7" t="b">
        <f t="shared" si="12"/>
        <v>1</v>
      </c>
    </row>
    <row r="795" spans="1:12" x14ac:dyDescent="0.25">
      <c r="A795" s="7" t="s">
        <v>1789</v>
      </c>
      <c r="B795" s="7">
        <v>0</v>
      </c>
      <c r="C795" s="7">
        <v>40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13</v>
      </c>
      <c r="J795" s="7">
        <v>0</v>
      </c>
      <c r="K795" s="7">
        <v>53</v>
      </c>
      <c r="L795" s="7" t="b">
        <f t="shared" si="12"/>
        <v>1</v>
      </c>
    </row>
    <row r="796" spans="1:12" x14ac:dyDescent="0.25">
      <c r="A796" s="7" t="s">
        <v>1790</v>
      </c>
      <c r="B796" s="7">
        <v>0</v>
      </c>
      <c r="C796" s="7">
        <v>40</v>
      </c>
      <c r="D796" s="7">
        <v>0</v>
      </c>
      <c r="E796" s="7">
        <v>0</v>
      </c>
      <c r="F796" s="7">
        <v>1</v>
      </c>
      <c r="G796" s="7">
        <v>0</v>
      </c>
      <c r="H796" s="7">
        <v>0</v>
      </c>
      <c r="I796" s="7">
        <v>12</v>
      </c>
      <c r="J796" s="7">
        <v>0</v>
      </c>
      <c r="K796" s="7">
        <v>53</v>
      </c>
      <c r="L796" s="7" t="b">
        <f t="shared" si="12"/>
        <v>1</v>
      </c>
    </row>
    <row r="797" spans="1:12" x14ac:dyDescent="0.25">
      <c r="A797" s="7" t="s">
        <v>1791</v>
      </c>
      <c r="B797" s="7">
        <v>0</v>
      </c>
      <c r="C797" s="7">
        <v>40</v>
      </c>
      <c r="D797" s="7">
        <v>1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0</v>
      </c>
      <c r="K797" s="7">
        <v>52</v>
      </c>
      <c r="L797" s="7" t="b">
        <f t="shared" si="12"/>
        <v>1</v>
      </c>
    </row>
    <row r="798" spans="1:12" x14ac:dyDescent="0.25">
      <c r="A798" s="7" t="s">
        <v>1792</v>
      </c>
      <c r="B798" s="7">
        <v>0</v>
      </c>
      <c r="C798" s="7">
        <v>81</v>
      </c>
      <c r="D798" s="7">
        <v>0</v>
      </c>
      <c r="E798" s="7">
        <v>0</v>
      </c>
      <c r="F798" s="7">
        <v>0</v>
      </c>
      <c r="G798" s="7">
        <v>0</v>
      </c>
      <c r="H798" s="7">
        <v>0</v>
      </c>
      <c r="I798" s="7">
        <v>28</v>
      </c>
      <c r="J798" s="7">
        <v>0</v>
      </c>
      <c r="K798" s="7">
        <v>109</v>
      </c>
      <c r="L798" s="7" t="b">
        <f t="shared" si="12"/>
        <v>1</v>
      </c>
    </row>
    <row r="799" spans="1:12" x14ac:dyDescent="0.25">
      <c r="A799" s="7" t="s">
        <v>1793</v>
      </c>
      <c r="B799" s="7">
        <v>0</v>
      </c>
      <c r="C799" s="7">
        <v>54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7</v>
      </c>
      <c r="J799" s="7">
        <v>0</v>
      </c>
      <c r="K799" s="7">
        <v>61</v>
      </c>
      <c r="L799" s="7" t="b">
        <f t="shared" si="12"/>
        <v>1</v>
      </c>
    </row>
    <row r="800" spans="1:12" x14ac:dyDescent="0.25">
      <c r="A800" s="7" t="s">
        <v>1794</v>
      </c>
      <c r="B800" s="7">
        <v>0</v>
      </c>
      <c r="C800" s="7">
        <v>30</v>
      </c>
      <c r="D800" s="7">
        <v>0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32</v>
      </c>
      <c r="L800" s="7" t="b">
        <f t="shared" si="12"/>
        <v>1</v>
      </c>
    </row>
    <row r="801" spans="1:12" x14ac:dyDescent="0.25">
      <c r="A801" s="7" t="s">
        <v>1795</v>
      </c>
      <c r="B801" s="7">
        <v>0</v>
      </c>
      <c r="C801" s="7">
        <v>35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6</v>
      </c>
      <c r="J801" s="7">
        <v>0</v>
      </c>
      <c r="K801" s="7">
        <v>41</v>
      </c>
      <c r="L801" s="7" t="b">
        <f t="shared" si="12"/>
        <v>1</v>
      </c>
    </row>
    <row r="802" spans="1:12" x14ac:dyDescent="0.25">
      <c r="A802" s="7" t="s">
        <v>1796</v>
      </c>
      <c r="B802" s="7">
        <v>0</v>
      </c>
      <c r="C802" s="7">
        <v>56</v>
      </c>
      <c r="D802" s="7">
        <v>1</v>
      </c>
      <c r="E802" s="7">
        <v>0</v>
      </c>
      <c r="F802" s="7">
        <v>0</v>
      </c>
      <c r="G802" s="7">
        <v>0</v>
      </c>
      <c r="H802" s="7">
        <v>0</v>
      </c>
      <c r="I802" s="7">
        <v>20</v>
      </c>
      <c r="J802" s="7">
        <v>0</v>
      </c>
      <c r="K802" s="7">
        <v>77</v>
      </c>
      <c r="L802" s="7" t="b">
        <f t="shared" si="12"/>
        <v>1</v>
      </c>
    </row>
    <row r="803" spans="1:12" x14ac:dyDescent="0.25">
      <c r="A803" s="7" t="s">
        <v>1797</v>
      </c>
      <c r="B803" s="7">
        <v>0</v>
      </c>
      <c r="C803" s="7">
        <v>55</v>
      </c>
      <c r="D803" s="7">
        <v>3</v>
      </c>
      <c r="E803" s="7">
        <v>0</v>
      </c>
      <c r="F803" s="7">
        <v>0</v>
      </c>
      <c r="G803" s="7">
        <v>0</v>
      </c>
      <c r="H803" s="7">
        <v>0</v>
      </c>
      <c r="I803" s="7">
        <v>25</v>
      </c>
      <c r="J803" s="7">
        <v>0</v>
      </c>
      <c r="K803" s="7">
        <v>83</v>
      </c>
      <c r="L803" s="7" t="b">
        <f t="shared" si="12"/>
        <v>1</v>
      </c>
    </row>
    <row r="804" spans="1:12" x14ac:dyDescent="0.25">
      <c r="A804" s="7" t="s">
        <v>1798</v>
      </c>
      <c r="B804" s="7">
        <v>0</v>
      </c>
      <c r="C804" s="7">
        <v>43</v>
      </c>
      <c r="D804" s="7">
        <v>0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47</v>
      </c>
      <c r="L804" s="7" t="b">
        <f t="shared" si="12"/>
        <v>1</v>
      </c>
    </row>
    <row r="805" spans="1:12" x14ac:dyDescent="0.25">
      <c r="A805" s="7" t="s">
        <v>1799</v>
      </c>
      <c r="B805" s="7">
        <v>0</v>
      </c>
      <c r="C805" s="7">
        <v>50</v>
      </c>
      <c r="D805" s="7">
        <v>4</v>
      </c>
      <c r="E805" s="7">
        <v>0</v>
      </c>
      <c r="F805" s="7">
        <v>0</v>
      </c>
      <c r="G805" s="7">
        <v>0</v>
      </c>
      <c r="H805" s="7">
        <v>0</v>
      </c>
      <c r="I805" s="7">
        <v>3</v>
      </c>
      <c r="J805" s="7">
        <v>0</v>
      </c>
      <c r="K805" s="7">
        <v>57</v>
      </c>
      <c r="L805" s="7" t="b">
        <f t="shared" si="12"/>
        <v>1</v>
      </c>
    </row>
    <row r="806" spans="1:12" x14ac:dyDescent="0.25">
      <c r="A806" s="7" t="s">
        <v>1800</v>
      </c>
      <c r="B806" s="7">
        <v>0</v>
      </c>
      <c r="C806" s="7">
        <v>85</v>
      </c>
      <c r="D806" s="7">
        <v>3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  <c r="L806" s="7" t="b">
        <f t="shared" si="12"/>
        <v>1</v>
      </c>
    </row>
    <row r="807" spans="1:12" x14ac:dyDescent="0.25">
      <c r="A807" s="7" t="s">
        <v>1801</v>
      </c>
      <c r="B807" s="7">
        <v>0</v>
      </c>
      <c r="C807" s="7">
        <v>217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233</v>
      </c>
      <c r="L807" s="7" t="b">
        <f t="shared" si="12"/>
        <v>1</v>
      </c>
    </row>
    <row r="808" spans="1:12" x14ac:dyDescent="0.25">
      <c r="A808" s="7" t="s">
        <v>1802</v>
      </c>
      <c r="B808" s="7">
        <v>0</v>
      </c>
      <c r="C808" s="7">
        <v>192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196</v>
      </c>
      <c r="L808" s="7" t="b">
        <f t="shared" si="12"/>
        <v>1</v>
      </c>
    </row>
    <row r="809" spans="1:12" x14ac:dyDescent="0.25">
      <c r="A809" s="7" t="s">
        <v>1803</v>
      </c>
      <c r="B809" s="7">
        <v>0</v>
      </c>
      <c r="C809" s="7">
        <v>139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17</v>
      </c>
      <c r="J809" s="7">
        <v>0</v>
      </c>
      <c r="K809" s="7">
        <v>156</v>
      </c>
      <c r="L809" s="7" t="b">
        <f t="shared" si="12"/>
        <v>1</v>
      </c>
    </row>
    <row r="810" spans="1:12" x14ac:dyDescent="0.25">
      <c r="A810" s="7" t="s">
        <v>1804</v>
      </c>
      <c r="B810" s="7">
        <v>0</v>
      </c>
      <c r="C810" s="7">
        <v>101</v>
      </c>
      <c r="D810" s="7">
        <v>0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103</v>
      </c>
      <c r="L810" s="7" t="b">
        <f t="shared" si="12"/>
        <v>1</v>
      </c>
    </row>
    <row r="811" spans="1:12" x14ac:dyDescent="0.25">
      <c r="A811" s="7" t="s">
        <v>1805</v>
      </c>
      <c r="B811" s="7">
        <v>0</v>
      </c>
      <c r="C811" s="7">
        <v>157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15</v>
      </c>
      <c r="J811" s="7">
        <v>0</v>
      </c>
      <c r="K811" s="7">
        <v>172</v>
      </c>
      <c r="L811" s="7" t="b">
        <f t="shared" si="12"/>
        <v>1</v>
      </c>
    </row>
    <row r="812" spans="1:12" x14ac:dyDescent="0.25">
      <c r="A812" s="7" t="s">
        <v>1806</v>
      </c>
      <c r="B812" s="7">
        <v>0</v>
      </c>
      <c r="C812" s="7">
        <v>81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0</v>
      </c>
      <c r="K812" s="7">
        <v>97</v>
      </c>
      <c r="L812" s="7" t="b">
        <f t="shared" si="12"/>
        <v>1</v>
      </c>
    </row>
    <row r="813" spans="1:12" x14ac:dyDescent="0.25">
      <c r="A813" s="7" t="s">
        <v>1807</v>
      </c>
      <c r="B813" s="7">
        <v>0</v>
      </c>
      <c r="C813" s="7">
        <v>98</v>
      </c>
      <c r="D813" s="7">
        <v>0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113</v>
      </c>
      <c r="L813" s="7" t="b">
        <f t="shared" si="12"/>
        <v>1</v>
      </c>
    </row>
    <row r="814" spans="1:12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  <c r="L814" s="7" t="b">
        <f t="shared" si="12"/>
        <v>1</v>
      </c>
    </row>
    <row r="815" spans="1:12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  <c r="L815" s="7" t="b">
        <f t="shared" si="12"/>
        <v>1</v>
      </c>
    </row>
    <row r="816" spans="1:12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  <c r="L816" s="7" t="b">
        <f t="shared" si="12"/>
        <v>1</v>
      </c>
    </row>
    <row r="817" spans="1:12" x14ac:dyDescent="0.25">
      <c r="A817" s="7" t="s">
        <v>1811</v>
      </c>
      <c r="B817" s="7">
        <v>0</v>
      </c>
      <c r="C817" s="7">
        <v>120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0</v>
      </c>
      <c r="K817" s="7">
        <v>154</v>
      </c>
      <c r="L817" s="7" t="b">
        <f t="shared" si="12"/>
        <v>1</v>
      </c>
    </row>
    <row r="818" spans="1:12" x14ac:dyDescent="0.25">
      <c r="A818" s="7" t="s">
        <v>1812</v>
      </c>
      <c r="B818" s="7">
        <v>0</v>
      </c>
      <c r="C818" s="7">
        <v>181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181</v>
      </c>
      <c r="L818" s="7" t="b">
        <f t="shared" si="12"/>
        <v>1</v>
      </c>
    </row>
    <row r="819" spans="1:12" x14ac:dyDescent="0.25">
      <c r="A819" s="7" t="s">
        <v>1813</v>
      </c>
      <c r="B819" s="7">
        <v>0</v>
      </c>
      <c r="C819" s="7">
        <v>131</v>
      </c>
      <c r="D819" s="7">
        <v>1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132</v>
      </c>
      <c r="L819" s="7" t="b">
        <f t="shared" si="12"/>
        <v>1</v>
      </c>
    </row>
    <row r="820" spans="1:12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  <c r="L820" s="7" t="b">
        <f t="shared" si="12"/>
        <v>1</v>
      </c>
    </row>
    <row r="821" spans="1:12" x14ac:dyDescent="0.25">
      <c r="A821" s="7" t="s">
        <v>1815</v>
      </c>
      <c r="B821" s="7">
        <v>0</v>
      </c>
      <c r="C821" s="7">
        <v>24</v>
      </c>
      <c r="D821" s="7">
        <v>5</v>
      </c>
      <c r="E821" s="7">
        <v>0</v>
      </c>
      <c r="F821" s="7">
        <v>0</v>
      </c>
      <c r="G821" s="7">
        <v>0</v>
      </c>
      <c r="H821" s="7">
        <v>0</v>
      </c>
      <c r="I821" s="7">
        <v>42</v>
      </c>
      <c r="J821" s="7">
        <v>0</v>
      </c>
      <c r="K821" s="7">
        <v>71</v>
      </c>
      <c r="L821" s="7" t="b">
        <f t="shared" si="12"/>
        <v>1</v>
      </c>
    </row>
    <row r="822" spans="1:12" x14ac:dyDescent="0.25">
      <c r="A822" s="7" t="s">
        <v>1816</v>
      </c>
      <c r="B822" s="7">
        <v>0</v>
      </c>
      <c r="C822" s="7">
        <v>33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0</v>
      </c>
      <c r="K822" s="7">
        <v>79</v>
      </c>
      <c r="L822" s="7" t="b">
        <f t="shared" si="12"/>
        <v>1</v>
      </c>
    </row>
    <row r="823" spans="1:12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  <c r="L823" s="7" t="b">
        <f t="shared" si="12"/>
        <v>1</v>
      </c>
    </row>
    <row r="824" spans="1:12" x14ac:dyDescent="0.25">
      <c r="A824" s="7" t="s">
        <v>1817</v>
      </c>
      <c r="B824" s="7">
        <v>0</v>
      </c>
      <c r="C824" s="7">
        <v>65</v>
      </c>
      <c r="D824" s="7">
        <v>5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  <c r="L824" s="7" t="b">
        <f t="shared" si="12"/>
        <v>1</v>
      </c>
    </row>
    <row r="825" spans="1:12" x14ac:dyDescent="0.25">
      <c r="A825" s="7" t="s">
        <v>1818</v>
      </c>
      <c r="B825" s="7">
        <v>0</v>
      </c>
      <c r="C825" s="7">
        <v>45</v>
      </c>
      <c r="D825" s="7">
        <v>1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0</v>
      </c>
      <c r="K825" s="7">
        <v>68</v>
      </c>
      <c r="L825" s="7" t="b">
        <f t="shared" si="12"/>
        <v>1</v>
      </c>
    </row>
    <row r="826" spans="1:12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  <c r="L826" s="7" t="b">
        <f t="shared" si="12"/>
        <v>1</v>
      </c>
    </row>
    <row r="827" spans="1:12" x14ac:dyDescent="0.25">
      <c r="A827" s="7" t="s">
        <v>1820</v>
      </c>
      <c r="B827" s="7">
        <v>0</v>
      </c>
      <c r="C827" s="7">
        <v>49</v>
      </c>
      <c r="D827" s="7">
        <v>12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62</v>
      </c>
      <c r="L827" s="7" t="b">
        <f t="shared" si="12"/>
        <v>1</v>
      </c>
    </row>
    <row r="828" spans="1:12" x14ac:dyDescent="0.25">
      <c r="A828" s="7" t="s">
        <v>1821</v>
      </c>
      <c r="B828" s="7">
        <v>0</v>
      </c>
      <c r="C828" s="7">
        <v>77</v>
      </c>
      <c r="D828" s="7">
        <v>1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  <c r="L828" s="7" t="b">
        <f t="shared" si="12"/>
        <v>1</v>
      </c>
    </row>
    <row r="829" spans="1:12" x14ac:dyDescent="0.25">
      <c r="A829" s="7" t="s">
        <v>1822</v>
      </c>
      <c r="B829" s="7">
        <v>0</v>
      </c>
      <c r="C829" s="7">
        <v>46</v>
      </c>
      <c r="D829" s="7">
        <v>0</v>
      </c>
      <c r="E829" s="7">
        <v>0</v>
      </c>
      <c r="F829" s="7">
        <v>0</v>
      </c>
      <c r="G829" s="7">
        <v>0</v>
      </c>
      <c r="H829" s="7">
        <v>0</v>
      </c>
      <c r="I829" s="7">
        <v>1</v>
      </c>
      <c r="J829" s="7">
        <v>0</v>
      </c>
      <c r="K829" s="7">
        <v>47</v>
      </c>
      <c r="L829" s="7" t="b">
        <f t="shared" si="12"/>
        <v>1</v>
      </c>
    </row>
    <row r="830" spans="1:12" x14ac:dyDescent="0.25">
      <c r="A830" s="7" t="s">
        <v>1823</v>
      </c>
      <c r="B830" s="7">
        <v>0</v>
      </c>
      <c r="C830" s="7">
        <v>47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2</v>
      </c>
      <c r="J830" s="7">
        <v>0</v>
      </c>
      <c r="K830" s="7">
        <v>49</v>
      </c>
      <c r="L830" s="7" t="b">
        <f t="shared" si="12"/>
        <v>1</v>
      </c>
    </row>
    <row r="831" spans="1:12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  <c r="L831" s="7" t="b">
        <f t="shared" si="12"/>
        <v>1</v>
      </c>
    </row>
    <row r="832" spans="1:12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  <c r="L832" s="7" t="b">
        <f t="shared" si="12"/>
        <v>1</v>
      </c>
    </row>
    <row r="833" spans="1:12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  <c r="L833" s="7" t="b">
        <f t="shared" si="12"/>
        <v>1</v>
      </c>
    </row>
    <row r="834" spans="1:12" x14ac:dyDescent="0.25">
      <c r="A834" s="7" t="s">
        <v>1827</v>
      </c>
      <c r="B834" s="7">
        <v>0</v>
      </c>
      <c r="C834" s="7">
        <v>36</v>
      </c>
      <c r="D834" s="7">
        <v>1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  <c r="L834" s="7" t="b">
        <f t="shared" si="12"/>
        <v>1</v>
      </c>
    </row>
    <row r="835" spans="1:12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  <c r="L835" s="7" t="b">
        <f t="shared" ref="L835:L898" si="13">K835=SUM(B835:J835)</f>
        <v>1</v>
      </c>
    </row>
    <row r="836" spans="1:12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  <c r="L836" s="7" t="b">
        <f t="shared" si="13"/>
        <v>1</v>
      </c>
    </row>
    <row r="837" spans="1:12" x14ac:dyDescent="0.25">
      <c r="A837" s="7" t="s">
        <v>1830</v>
      </c>
      <c r="B837" s="7">
        <v>0</v>
      </c>
      <c r="C837" s="7">
        <v>58</v>
      </c>
      <c r="D837" s="7">
        <v>4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  <c r="L837" s="7" t="b">
        <f t="shared" si="13"/>
        <v>1</v>
      </c>
    </row>
    <row r="838" spans="1:12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  <c r="L838" s="7" t="b">
        <f t="shared" si="13"/>
        <v>1</v>
      </c>
    </row>
    <row r="839" spans="1:12" x14ac:dyDescent="0.25">
      <c r="A839" s="7" t="s">
        <v>1832</v>
      </c>
      <c r="B839" s="7">
        <v>0</v>
      </c>
      <c r="C839" s="7">
        <v>76</v>
      </c>
      <c r="D839" s="7">
        <v>1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  <c r="L839" s="7" t="b">
        <f t="shared" si="13"/>
        <v>1</v>
      </c>
    </row>
    <row r="840" spans="1:12" x14ac:dyDescent="0.25">
      <c r="A840" s="7" t="s">
        <v>1833</v>
      </c>
      <c r="B840" s="7">
        <v>0</v>
      </c>
      <c r="C840" s="7">
        <v>117</v>
      </c>
      <c r="D840" s="7">
        <v>22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3</v>
      </c>
      <c r="K840" s="7">
        <v>142</v>
      </c>
      <c r="L840" s="7" t="b">
        <f t="shared" si="13"/>
        <v>1</v>
      </c>
    </row>
    <row r="841" spans="1:12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  <c r="L841" s="7" t="b">
        <f t="shared" si="13"/>
        <v>1</v>
      </c>
    </row>
    <row r="842" spans="1:12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  <c r="L842" s="7" t="b">
        <f t="shared" si="13"/>
        <v>1</v>
      </c>
    </row>
    <row r="843" spans="1:12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  <c r="L843" s="7" t="b">
        <f t="shared" si="13"/>
        <v>1</v>
      </c>
    </row>
    <row r="844" spans="1:12" x14ac:dyDescent="0.25">
      <c r="A844" s="7" t="s">
        <v>1837</v>
      </c>
      <c r="B844" s="7">
        <v>0</v>
      </c>
      <c r="C844" s="7">
        <v>120</v>
      </c>
      <c r="D844" s="7">
        <v>32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152</v>
      </c>
      <c r="L844" s="7" t="b">
        <f t="shared" si="13"/>
        <v>1</v>
      </c>
    </row>
    <row r="845" spans="1:12" x14ac:dyDescent="0.25">
      <c r="A845" s="7" t="s">
        <v>1838</v>
      </c>
      <c r="B845" s="7">
        <v>0</v>
      </c>
      <c r="C845" s="7">
        <v>77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77</v>
      </c>
      <c r="L845" s="7" t="b">
        <f t="shared" si="13"/>
        <v>1</v>
      </c>
    </row>
    <row r="846" spans="1:12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  <c r="L846" s="7" t="b">
        <f t="shared" si="13"/>
        <v>1</v>
      </c>
    </row>
    <row r="847" spans="1:12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63</v>
      </c>
      <c r="L847" s="7" t="b">
        <f t="shared" si="13"/>
        <v>1</v>
      </c>
    </row>
    <row r="848" spans="1:12" x14ac:dyDescent="0.25">
      <c r="A848" s="7" t="s">
        <v>1841</v>
      </c>
      <c r="B848" s="7">
        <v>0</v>
      </c>
      <c r="C848" s="7">
        <v>102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125</v>
      </c>
      <c r="L848" s="7" t="b">
        <f t="shared" si="13"/>
        <v>1</v>
      </c>
    </row>
    <row r="849" spans="1:12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  <c r="L849" s="7" t="b">
        <f t="shared" si="13"/>
        <v>1</v>
      </c>
    </row>
    <row r="850" spans="1:12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  <c r="L850" s="7" t="b">
        <f t="shared" si="13"/>
        <v>1</v>
      </c>
    </row>
    <row r="851" spans="1:12" x14ac:dyDescent="0.25">
      <c r="A851" s="7" t="s">
        <v>1844</v>
      </c>
      <c r="B851" s="7">
        <v>0</v>
      </c>
      <c r="C851" s="7">
        <v>59</v>
      </c>
      <c r="D851" s="7">
        <v>0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  <c r="L851" s="7" t="b">
        <f t="shared" si="13"/>
        <v>1</v>
      </c>
    </row>
    <row r="852" spans="1:12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  <c r="L852" s="7" t="b">
        <f t="shared" si="13"/>
        <v>1</v>
      </c>
    </row>
    <row r="853" spans="1:12" x14ac:dyDescent="0.25">
      <c r="A853" s="7" t="s">
        <v>1846</v>
      </c>
      <c r="B853" s="7">
        <v>0</v>
      </c>
      <c r="C853" s="7">
        <v>66</v>
      </c>
      <c r="D853" s="7">
        <v>2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  <c r="L853" s="7" t="b">
        <f t="shared" si="13"/>
        <v>1</v>
      </c>
    </row>
    <row r="854" spans="1:12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  <c r="L854" s="7" t="b">
        <f t="shared" si="13"/>
        <v>1</v>
      </c>
    </row>
    <row r="855" spans="1:12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  <c r="L855" s="7" t="b">
        <f t="shared" si="13"/>
        <v>1</v>
      </c>
    </row>
    <row r="856" spans="1:12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  <c r="L856" s="7" t="b">
        <f t="shared" si="13"/>
        <v>1</v>
      </c>
    </row>
    <row r="857" spans="1:12" x14ac:dyDescent="0.25">
      <c r="A857" s="7" t="s">
        <v>1850</v>
      </c>
      <c r="B857" s="7">
        <v>0</v>
      </c>
      <c r="C857" s="7">
        <v>48</v>
      </c>
      <c r="D857" s="7">
        <v>7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  <c r="L857" s="7" t="b">
        <f t="shared" si="13"/>
        <v>1</v>
      </c>
    </row>
    <row r="858" spans="1:12" x14ac:dyDescent="0.25">
      <c r="A858" s="7" t="s">
        <v>1851</v>
      </c>
      <c r="B858" s="7">
        <v>0</v>
      </c>
      <c r="C858" s="7">
        <v>115</v>
      </c>
      <c r="D858" s="7">
        <v>25</v>
      </c>
      <c r="E858" s="7">
        <v>0</v>
      </c>
      <c r="F858" s="7">
        <v>0</v>
      </c>
      <c r="G858" s="7">
        <v>0</v>
      </c>
      <c r="H858" s="7">
        <v>0</v>
      </c>
      <c r="I858" s="7">
        <v>9</v>
      </c>
      <c r="J858" s="7">
        <v>0</v>
      </c>
      <c r="K858" s="7">
        <v>149</v>
      </c>
      <c r="L858" s="7" t="b">
        <f t="shared" si="13"/>
        <v>1</v>
      </c>
    </row>
    <row r="859" spans="1:12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  <c r="L859" s="7" t="b">
        <f t="shared" si="13"/>
        <v>1</v>
      </c>
    </row>
    <row r="860" spans="1:12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  <c r="L860" s="7" t="b">
        <f t="shared" si="13"/>
        <v>1</v>
      </c>
    </row>
    <row r="861" spans="1:12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  <c r="L861" s="7" t="b">
        <f t="shared" si="13"/>
        <v>1</v>
      </c>
    </row>
    <row r="862" spans="1:12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  <c r="L862" s="7" t="b">
        <f t="shared" si="13"/>
        <v>1</v>
      </c>
    </row>
    <row r="863" spans="1:12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  <c r="L863" s="7" t="b">
        <f t="shared" si="13"/>
        <v>1</v>
      </c>
    </row>
    <row r="864" spans="1:12" x14ac:dyDescent="0.25">
      <c r="A864" s="7" t="s">
        <v>1857</v>
      </c>
      <c r="B864" s="7">
        <v>0</v>
      </c>
      <c r="C864" s="7">
        <v>116</v>
      </c>
      <c r="D864" s="7">
        <v>19</v>
      </c>
      <c r="E864" s="7">
        <v>0</v>
      </c>
      <c r="F864" s="7">
        <v>0</v>
      </c>
      <c r="G864" s="7">
        <v>6</v>
      </c>
      <c r="H864" s="7">
        <v>0</v>
      </c>
      <c r="I864" s="7">
        <v>10</v>
      </c>
      <c r="J864" s="7">
        <v>0</v>
      </c>
      <c r="K864" s="7">
        <v>151</v>
      </c>
      <c r="L864" s="7" t="b">
        <f t="shared" si="13"/>
        <v>1</v>
      </c>
    </row>
    <row r="865" spans="1:12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  <c r="L865" s="7" t="b">
        <f t="shared" si="13"/>
        <v>1</v>
      </c>
    </row>
    <row r="866" spans="1:12" x14ac:dyDescent="0.25">
      <c r="A866" s="7" t="s">
        <v>1859</v>
      </c>
      <c r="B866" s="7">
        <v>0</v>
      </c>
      <c r="C866" s="7">
        <v>49</v>
      </c>
      <c r="D866" s="7">
        <v>16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66</v>
      </c>
      <c r="L866" s="7" t="b">
        <f t="shared" si="13"/>
        <v>1</v>
      </c>
    </row>
    <row r="867" spans="1:12" x14ac:dyDescent="0.25">
      <c r="A867" s="7" t="s">
        <v>1860</v>
      </c>
      <c r="B867" s="7">
        <v>0</v>
      </c>
      <c r="C867" s="7">
        <v>165</v>
      </c>
      <c r="D867" s="7">
        <v>17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183</v>
      </c>
      <c r="L867" s="7" t="b">
        <f t="shared" si="13"/>
        <v>1</v>
      </c>
    </row>
    <row r="868" spans="1:12" x14ac:dyDescent="0.25">
      <c r="A868" s="7" t="s">
        <v>1861</v>
      </c>
      <c r="B868" s="7">
        <v>0</v>
      </c>
      <c r="C868" s="7">
        <v>53</v>
      </c>
      <c r="D868" s="7">
        <v>44</v>
      </c>
      <c r="E868" s="7">
        <v>0</v>
      </c>
      <c r="F868" s="7">
        <v>0</v>
      </c>
      <c r="G868" s="7">
        <v>0</v>
      </c>
      <c r="H868" s="7">
        <v>0</v>
      </c>
      <c r="I868" s="7">
        <v>0</v>
      </c>
      <c r="J868" s="7">
        <v>1</v>
      </c>
      <c r="K868" s="7">
        <v>98</v>
      </c>
      <c r="L868" s="7" t="b">
        <f t="shared" si="13"/>
        <v>1</v>
      </c>
    </row>
    <row r="869" spans="1:12" x14ac:dyDescent="0.25">
      <c r="A869" s="7" t="s">
        <v>1862</v>
      </c>
      <c r="B869" s="7">
        <v>0</v>
      </c>
      <c r="C869" s="7">
        <v>0</v>
      </c>
      <c r="D869" s="7">
        <v>2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  <c r="L869" s="7" t="b">
        <f t="shared" si="13"/>
        <v>1</v>
      </c>
    </row>
    <row r="870" spans="1:12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  <c r="L870" s="7" t="b">
        <f t="shared" si="13"/>
        <v>1</v>
      </c>
    </row>
    <row r="871" spans="1:12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  <c r="L871" s="7" t="b">
        <f t="shared" si="13"/>
        <v>1</v>
      </c>
    </row>
    <row r="872" spans="1:12" x14ac:dyDescent="0.25">
      <c r="A872" s="7" t="s">
        <v>1865</v>
      </c>
      <c r="B872" s="7">
        <v>0</v>
      </c>
      <c r="C872" s="7">
        <v>42</v>
      </c>
      <c r="D872" s="7">
        <v>1</v>
      </c>
      <c r="E872" s="7">
        <v>0</v>
      </c>
      <c r="F872" s="7">
        <v>0</v>
      </c>
      <c r="G872" s="7">
        <v>10</v>
      </c>
      <c r="H872" s="7">
        <v>0</v>
      </c>
      <c r="I872" s="7">
        <v>0</v>
      </c>
      <c r="J872" s="7">
        <v>0</v>
      </c>
      <c r="K872" s="7">
        <v>53</v>
      </c>
      <c r="L872" s="7" t="b">
        <f t="shared" si="13"/>
        <v>1</v>
      </c>
    </row>
    <row r="873" spans="1:12" x14ac:dyDescent="0.25">
      <c r="A873" s="7" t="s">
        <v>1866</v>
      </c>
      <c r="B873" s="7">
        <v>0</v>
      </c>
      <c r="C873" s="7">
        <v>78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86</v>
      </c>
      <c r="L873" s="7" t="b">
        <f t="shared" si="13"/>
        <v>1</v>
      </c>
    </row>
    <row r="874" spans="1:12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  <c r="L874" s="7" t="b">
        <f t="shared" si="13"/>
        <v>1</v>
      </c>
    </row>
    <row r="875" spans="1:12" x14ac:dyDescent="0.25">
      <c r="A875" s="7" t="s">
        <v>1868</v>
      </c>
      <c r="B875" s="7">
        <v>0</v>
      </c>
      <c r="C875" s="7">
        <v>38</v>
      </c>
      <c r="D875" s="7">
        <v>4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  <c r="L875" s="7" t="b">
        <f t="shared" si="13"/>
        <v>1</v>
      </c>
    </row>
    <row r="876" spans="1:12" x14ac:dyDescent="0.25">
      <c r="A876" s="7" t="s">
        <v>1869</v>
      </c>
      <c r="B876" s="7">
        <v>0</v>
      </c>
      <c r="C876" s="7">
        <v>49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0</v>
      </c>
      <c r="J876" s="7">
        <v>0</v>
      </c>
      <c r="K876" s="7">
        <v>50</v>
      </c>
      <c r="L876" s="7" t="b">
        <f t="shared" si="13"/>
        <v>1</v>
      </c>
    </row>
    <row r="877" spans="1:12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  <c r="L877" s="7" t="b">
        <f t="shared" si="13"/>
        <v>1</v>
      </c>
    </row>
    <row r="878" spans="1:12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  <c r="L878" s="7" t="b">
        <f t="shared" si="13"/>
        <v>1</v>
      </c>
    </row>
    <row r="879" spans="1:12" x14ac:dyDescent="0.25">
      <c r="A879" s="7" t="s">
        <v>1872</v>
      </c>
      <c r="B879" s="7">
        <v>0</v>
      </c>
      <c r="C879" s="7">
        <v>34</v>
      </c>
      <c r="D879" s="7">
        <v>9</v>
      </c>
      <c r="E879" s="7">
        <v>0</v>
      </c>
      <c r="F879" s="7">
        <v>0</v>
      </c>
      <c r="G879" s="7">
        <v>0</v>
      </c>
      <c r="H879" s="7">
        <v>0</v>
      </c>
      <c r="I879" s="7">
        <v>0</v>
      </c>
      <c r="J879" s="7">
        <v>0</v>
      </c>
      <c r="K879" s="7">
        <v>43</v>
      </c>
      <c r="L879" s="7" t="b">
        <f t="shared" si="13"/>
        <v>1</v>
      </c>
    </row>
    <row r="880" spans="1:12" x14ac:dyDescent="0.25">
      <c r="A880" s="7" t="s">
        <v>1873</v>
      </c>
      <c r="B880" s="7">
        <v>0</v>
      </c>
      <c r="C880" s="7">
        <v>18</v>
      </c>
      <c r="D880" s="7">
        <v>13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  <c r="L880" s="7" t="b">
        <f t="shared" si="13"/>
        <v>1</v>
      </c>
    </row>
    <row r="881" spans="1:12" x14ac:dyDescent="0.25">
      <c r="A881" s="7" t="s">
        <v>1874</v>
      </c>
      <c r="B881" s="7">
        <v>0</v>
      </c>
      <c r="C881" s="7">
        <v>57</v>
      </c>
      <c r="D881" s="7">
        <v>15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72</v>
      </c>
      <c r="L881" s="7" t="b">
        <f t="shared" si="13"/>
        <v>1</v>
      </c>
    </row>
    <row r="882" spans="1:12" x14ac:dyDescent="0.25">
      <c r="A882" s="7" t="s">
        <v>1875</v>
      </c>
      <c r="B882" s="7">
        <v>0</v>
      </c>
      <c r="C882" s="7">
        <v>102</v>
      </c>
      <c r="D882" s="7">
        <v>5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107</v>
      </c>
      <c r="L882" s="7" t="b">
        <f t="shared" si="13"/>
        <v>1</v>
      </c>
    </row>
    <row r="883" spans="1:12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  <c r="L883" s="7" t="b">
        <f t="shared" si="13"/>
        <v>1</v>
      </c>
    </row>
    <row r="884" spans="1:12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  <c r="L884" s="7" t="b">
        <f t="shared" si="13"/>
        <v>1</v>
      </c>
    </row>
    <row r="885" spans="1:12" x14ac:dyDescent="0.25">
      <c r="A885" s="7" t="s">
        <v>1878</v>
      </c>
      <c r="B885" s="7">
        <v>0</v>
      </c>
      <c r="C885" s="7">
        <v>75</v>
      </c>
      <c r="D885" s="7">
        <v>4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  <c r="L885" s="7" t="b">
        <f t="shared" si="13"/>
        <v>1</v>
      </c>
    </row>
    <row r="886" spans="1:12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  <c r="L886" s="7" t="b">
        <f t="shared" si="13"/>
        <v>1</v>
      </c>
    </row>
    <row r="887" spans="1:12" x14ac:dyDescent="0.25">
      <c r="A887" s="7" t="s">
        <v>1880</v>
      </c>
      <c r="B887" s="7">
        <v>0</v>
      </c>
      <c r="C887" s="7">
        <v>154</v>
      </c>
      <c r="D887" s="7">
        <v>10</v>
      </c>
      <c r="E887" s="7">
        <v>0</v>
      </c>
      <c r="F887" s="7">
        <v>0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  <c r="L887" s="7" t="b">
        <f t="shared" si="13"/>
        <v>1</v>
      </c>
    </row>
    <row r="888" spans="1:12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1</v>
      </c>
      <c r="J888" s="7">
        <v>0</v>
      </c>
      <c r="K888" s="7">
        <v>228</v>
      </c>
      <c r="L888" s="7" t="b">
        <f t="shared" si="13"/>
        <v>1</v>
      </c>
    </row>
    <row r="889" spans="1:12" x14ac:dyDescent="0.25">
      <c r="A889" s="7" t="s">
        <v>1882</v>
      </c>
      <c r="B889" s="7">
        <v>0</v>
      </c>
      <c r="C889" s="7">
        <v>87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  <c r="L889" s="7" t="b">
        <f t="shared" si="13"/>
        <v>1</v>
      </c>
    </row>
    <row r="890" spans="1:12" x14ac:dyDescent="0.25">
      <c r="A890" s="7" t="s">
        <v>1883</v>
      </c>
      <c r="B890" s="7">
        <v>0</v>
      </c>
      <c r="C890" s="7">
        <v>96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47</v>
      </c>
      <c r="J890" s="7">
        <v>0</v>
      </c>
      <c r="K890" s="7">
        <v>143</v>
      </c>
      <c r="L890" s="7" t="b">
        <f t="shared" si="13"/>
        <v>1</v>
      </c>
    </row>
    <row r="891" spans="1:12" x14ac:dyDescent="0.25">
      <c r="A891" s="7" t="s">
        <v>1884</v>
      </c>
      <c r="B891" s="7">
        <v>0</v>
      </c>
      <c r="C891" s="7">
        <v>93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84</v>
      </c>
      <c r="J891" s="7">
        <v>0</v>
      </c>
      <c r="K891" s="7">
        <v>178</v>
      </c>
      <c r="L891" s="7" t="b">
        <f t="shared" si="13"/>
        <v>1</v>
      </c>
    </row>
    <row r="892" spans="1:12" x14ac:dyDescent="0.25">
      <c r="A892" s="7" t="s">
        <v>1885</v>
      </c>
      <c r="B892" s="7">
        <v>0</v>
      </c>
      <c r="C892" s="7">
        <v>131</v>
      </c>
      <c r="D892" s="7">
        <v>2</v>
      </c>
      <c r="E892" s="7">
        <v>0</v>
      </c>
      <c r="F892" s="7">
        <v>0</v>
      </c>
      <c r="G892" s="7">
        <v>0</v>
      </c>
      <c r="H892" s="7">
        <v>0</v>
      </c>
      <c r="I892" s="7">
        <v>47</v>
      </c>
      <c r="J892" s="7">
        <v>0</v>
      </c>
      <c r="K892" s="7">
        <v>180</v>
      </c>
      <c r="L892" s="7" t="b">
        <f t="shared" si="13"/>
        <v>1</v>
      </c>
    </row>
    <row r="893" spans="1:12" x14ac:dyDescent="0.25">
      <c r="A893" s="7" t="s">
        <v>1886</v>
      </c>
      <c r="B893" s="7">
        <v>0</v>
      </c>
      <c r="C893" s="7">
        <v>160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0</v>
      </c>
      <c r="K893" s="7">
        <v>243</v>
      </c>
      <c r="L893" s="7" t="b">
        <f t="shared" si="13"/>
        <v>1</v>
      </c>
    </row>
    <row r="894" spans="1:12" x14ac:dyDescent="0.25">
      <c r="A894" s="7" t="s">
        <v>1887</v>
      </c>
      <c r="B894" s="7">
        <v>0</v>
      </c>
      <c r="C894" s="7">
        <v>109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16</v>
      </c>
      <c r="J894" s="7">
        <v>0</v>
      </c>
      <c r="K894" s="7">
        <v>129</v>
      </c>
      <c r="L894" s="7" t="b">
        <f t="shared" si="13"/>
        <v>1</v>
      </c>
    </row>
    <row r="895" spans="1:12" x14ac:dyDescent="0.25">
      <c r="A895" s="7" t="s">
        <v>1888</v>
      </c>
      <c r="B895" s="7">
        <v>0</v>
      </c>
      <c r="C895" s="7">
        <v>56</v>
      </c>
      <c r="D895" s="7">
        <v>15</v>
      </c>
      <c r="E895" s="7">
        <v>0</v>
      </c>
      <c r="F895" s="7">
        <v>0</v>
      </c>
      <c r="G895" s="7">
        <v>0</v>
      </c>
      <c r="H895" s="7">
        <v>0</v>
      </c>
      <c r="I895" s="7">
        <v>32</v>
      </c>
      <c r="J895" s="7">
        <v>3</v>
      </c>
      <c r="K895" s="7">
        <v>106</v>
      </c>
      <c r="L895" s="7" t="b">
        <f t="shared" si="13"/>
        <v>1</v>
      </c>
    </row>
    <row r="896" spans="1:12" x14ac:dyDescent="0.25">
      <c r="A896" s="7" t="s">
        <v>1889</v>
      </c>
      <c r="B896" s="7">
        <v>0</v>
      </c>
      <c r="C896" s="7">
        <v>208</v>
      </c>
      <c r="D896" s="7">
        <v>3</v>
      </c>
      <c r="E896" s="7">
        <v>1</v>
      </c>
      <c r="F896" s="7">
        <v>0</v>
      </c>
      <c r="G896" s="7">
        <v>2</v>
      </c>
      <c r="H896" s="7">
        <v>0</v>
      </c>
      <c r="I896" s="7">
        <v>2</v>
      </c>
      <c r="J896" s="7">
        <v>3</v>
      </c>
      <c r="K896" s="7">
        <v>219</v>
      </c>
      <c r="L896" s="7" t="b">
        <f t="shared" si="13"/>
        <v>1</v>
      </c>
    </row>
    <row r="897" spans="1:12" x14ac:dyDescent="0.25">
      <c r="A897" s="7" t="s">
        <v>1890</v>
      </c>
      <c r="B897" s="7">
        <v>0</v>
      </c>
      <c r="C897" s="7">
        <v>165</v>
      </c>
      <c r="D897" s="7">
        <v>20</v>
      </c>
      <c r="E897" s="7">
        <v>0</v>
      </c>
      <c r="F897" s="7">
        <v>1</v>
      </c>
      <c r="G897" s="7">
        <v>0</v>
      </c>
      <c r="H897" s="7">
        <v>0</v>
      </c>
      <c r="I897" s="7">
        <v>13</v>
      </c>
      <c r="J897" s="7">
        <v>19</v>
      </c>
      <c r="K897" s="7">
        <v>218</v>
      </c>
      <c r="L897" s="7" t="b">
        <f t="shared" si="13"/>
        <v>1</v>
      </c>
    </row>
    <row r="898" spans="1:12" x14ac:dyDescent="0.25">
      <c r="A898" s="7" t="s">
        <v>1891</v>
      </c>
      <c r="B898" s="7">
        <v>0</v>
      </c>
      <c r="C898" s="7">
        <v>64</v>
      </c>
      <c r="D898" s="7">
        <v>15</v>
      </c>
      <c r="E898" s="7">
        <v>0</v>
      </c>
      <c r="F898" s="7">
        <v>0</v>
      </c>
      <c r="G898" s="7">
        <v>0</v>
      </c>
      <c r="H898" s="7">
        <v>0</v>
      </c>
      <c r="I898" s="7">
        <v>45</v>
      </c>
      <c r="J898" s="7">
        <v>3</v>
      </c>
      <c r="K898" s="7">
        <v>127</v>
      </c>
      <c r="L898" s="7" t="b">
        <f t="shared" si="13"/>
        <v>1</v>
      </c>
    </row>
    <row r="899" spans="1:12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  <c r="L899" s="7" t="b">
        <f t="shared" ref="L899:L962" si="14">K899=SUM(B899:J899)</f>
        <v>1</v>
      </c>
    </row>
    <row r="900" spans="1:12" x14ac:dyDescent="0.25">
      <c r="A900" s="7" t="s">
        <v>1893</v>
      </c>
      <c r="B900" s="7">
        <v>0</v>
      </c>
      <c r="C900" s="7">
        <v>83</v>
      </c>
      <c r="D900" s="7">
        <v>10</v>
      </c>
      <c r="E900" s="7">
        <v>0</v>
      </c>
      <c r="F900" s="7">
        <v>0</v>
      </c>
      <c r="G900" s="7">
        <v>0</v>
      </c>
      <c r="H900" s="7">
        <v>0</v>
      </c>
      <c r="I900" s="7">
        <v>76</v>
      </c>
      <c r="J900" s="7">
        <v>1</v>
      </c>
      <c r="K900" s="7">
        <v>170</v>
      </c>
      <c r="L900" s="7" t="b">
        <f t="shared" si="14"/>
        <v>1</v>
      </c>
    </row>
    <row r="901" spans="1:12" x14ac:dyDescent="0.25">
      <c r="A901" s="7" t="s">
        <v>1894</v>
      </c>
      <c r="B901" s="7">
        <v>0</v>
      </c>
      <c r="C901" s="7">
        <v>109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2</v>
      </c>
      <c r="K901" s="7">
        <v>116</v>
      </c>
      <c r="L901" s="7" t="b">
        <f t="shared" si="14"/>
        <v>1</v>
      </c>
    </row>
    <row r="902" spans="1:12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  <c r="L902" s="7" t="b">
        <f t="shared" si="14"/>
        <v>1</v>
      </c>
    </row>
    <row r="903" spans="1:12" x14ac:dyDescent="0.25">
      <c r="A903" s="7" t="s">
        <v>1896</v>
      </c>
      <c r="B903" s="7">
        <v>0</v>
      </c>
      <c r="C903" s="7">
        <v>212</v>
      </c>
      <c r="D903" s="7">
        <v>5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218</v>
      </c>
      <c r="L903" s="7" t="b">
        <f t="shared" si="14"/>
        <v>1</v>
      </c>
    </row>
    <row r="904" spans="1:12" x14ac:dyDescent="0.25">
      <c r="A904" s="7" t="s">
        <v>1897</v>
      </c>
      <c r="B904" s="7">
        <v>0</v>
      </c>
      <c r="C904" s="7">
        <v>101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  <c r="L904" s="7" t="b">
        <f t="shared" si="14"/>
        <v>1</v>
      </c>
    </row>
    <row r="905" spans="1:12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  <c r="L905" s="7" t="b">
        <f t="shared" si="14"/>
        <v>1</v>
      </c>
    </row>
    <row r="906" spans="1:12" x14ac:dyDescent="0.25">
      <c r="A906" s="7" t="s">
        <v>1899</v>
      </c>
      <c r="B906" s="7">
        <v>0</v>
      </c>
      <c r="C906" s="7">
        <v>123</v>
      </c>
      <c r="D906" s="7">
        <v>3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129</v>
      </c>
      <c r="L906" s="7" t="b">
        <f t="shared" si="14"/>
        <v>1</v>
      </c>
    </row>
    <row r="907" spans="1:12" x14ac:dyDescent="0.25">
      <c r="A907" s="7" t="s">
        <v>1900</v>
      </c>
      <c r="B907" s="7">
        <v>0</v>
      </c>
      <c r="C907" s="7">
        <v>218</v>
      </c>
      <c r="D907" s="7">
        <v>28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247</v>
      </c>
      <c r="L907" s="7" t="b">
        <f t="shared" si="14"/>
        <v>1</v>
      </c>
    </row>
    <row r="908" spans="1:12" x14ac:dyDescent="0.25">
      <c r="A908" s="7" t="s">
        <v>1901</v>
      </c>
      <c r="B908" s="7">
        <v>0</v>
      </c>
      <c r="C908" s="7">
        <v>172</v>
      </c>
      <c r="D908" s="7">
        <v>4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176</v>
      </c>
      <c r="L908" s="7" t="b">
        <f t="shared" si="14"/>
        <v>1</v>
      </c>
    </row>
    <row r="909" spans="1:12" x14ac:dyDescent="0.25">
      <c r="A909" s="7" t="s">
        <v>1902</v>
      </c>
      <c r="B909" s="7">
        <v>0</v>
      </c>
      <c r="C909" s="7">
        <v>127</v>
      </c>
      <c r="D909" s="7">
        <v>0</v>
      </c>
      <c r="E909" s="7">
        <v>0</v>
      </c>
      <c r="F909" s="7">
        <v>0</v>
      </c>
      <c r="G909" s="7">
        <v>0</v>
      </c>
      <c r="H909" s="7">
        <v>0</v>
      </c>
      <c r="I909" s="7">
        <v>1</v>
      </c>
      <c r="J909" s="7">
        <v>0</v>
      </c>
      <c r="K909" s="7">
        <v>128</v>
      </c>
      <c r="L909" s="7" t="b">
        <f t="shared" si="14"/>
        <v>1</v>
      </c>
    </row>
    <row r="910" spans="1:12" x14ac:dyDescent="0.25">
      <c r="A910" s="7" t="s">
        <v>1903</v>
      </c>
      <c r="B910" s="7">
        <v>0</v>
      </c>
      <c r="C910" s="7">
        <v>118</v>
      </c>
      <c r="D910" s="7">
        <v>8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1</v>
      </c>
      <c r="K910" s="7">
        <v>127</v>
      </c>
      <c r="L910" s="7" t="b">
        <f t="shared" si="14"/>
        <v>1</v>
      </c>
    </row>
    <row r="911" spans="1:12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  <c r="L911" s="7" t="b">
        <f t="shared" si="14"/>
        <v>1</v>
      </c>
    </row>
    <row r="912" spans="1:12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  <c r="L912" s="7" t="b">
        <f t="shared" si="14"/>
        <v>1</v>
      </c>
    </row>
    <row r="913" spans="1:12" x14ac:dyDescent="0.25">
      <c r="A913" s="7" t="s">
        <v>1906</v>
      </c>
      <c r="B913" s="7">
        <v>0</v>
      </c>
      <c r="C913" s="7">
        <v>122</v>
      </c>
      <c r="D913" s="7">
        <v>3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  <c r="L913" s="7" t="b">
        <f t="shared" si="14"/>
        <v>1</v>
      </c>
    </row>
    <row r="914" spans="1:12" x14ac:dyDescent="0.25">
      <c r="A914" s="7" t="s">
        <v>1907</v>
      </c>
      <c r="B914" s="7">
        <v>0</v>
      </c>
      <c r="C914" s="7">
        <v>140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141</v>
      </c>
      <c r="L914" s="7" t="b">
        <f t="shared" si="14"/>
        <v>1</v>
      </c>
    </row>
    <row r="915" spans="1:12" x14ac:dyDescent="0.25">
      <c r="A915" s="7" t="s">
        <v>1908</v>
      </c>
      <c r="B915" s="7">
        <v>0</v>
      </c>
      <c r="C915" s="7">
        <v>116</v>
      </c>
      <c r="D915" s="7">
        <v>13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  <c r="L915" s="7" t="b">
        <f t="shared" si="14"/>
        <v>1</v>
      </c>
    </row>
    <row r="916" spans="1:12" x14ac:dyDescent="0.25">
      <c r="A916" s="7" t="s">
        <v>1909</v>
      </c>
      <c r="B916" s="7">
        <v>0</v>
      </c>
      <c r="C916" s="7">
        <v>99</v>
      </c>
      <c r="D916" s="7">
        <v>3</v>
      </c>
      <c r="E916" s="7">
        <v>0</v>
      </c>
      <c r="F916" s="7">
        <v>0</v>
      </c>
      <c r="G916" s="7">
        <v>1</v>
      </c>
      <c r="H916" s="7">
        <v>0</v>
      </c>
      <c r="I916" s="7">
        <v>0</v>
      </c>
      <c r="J916" s="7">
        <v>1</v>
      </c>
      <c r="K916" s="7">
        <v>104</v>
      </c>
      <c r="L916" s="7" t="b">
        <f t="shared" si="14"/>
        <v>1</v>
      </c>
    </row>
    <row r="917" spans="1:12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  <c r="L917" s="7" t="b">
        <f t="shared" si="14"/>
        <v>1</v>
      </c>
    </row>
    <row r="918" spans="1:12" x14ac:dyDescent="0.25">
      <c r="A918" s="7" t="s">
        <v>1911</v>
      </c>
      <c r="B918" s="7">
        <v>0</v>
      </c>
      <c r="C918" s="7">
        <v>102</v>
      </c>
      <c r="D918" s="7">
        <v>4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107</v>
      </c>
      <c r="L918" s="7" t="b">
        <f t="shared" si="14"/>
        <v>1</v>
      </c>
    </row>
    <row r="919" spans="1:12" x14ac:dyDescent="0.25">
      <c r="A919" s="7" t="s">
        <v>1912</v>
      </c>
      <c r="B919" s="7">
        <v>0</v>
      </c>
      <c r="C919" s="7">
        <v>7</v>
      </c>
      <c r="D919" s="7">
        <v>84</v>
      </c>
      <c r="E919" s="7">
        <v>0</v>
      </c>
      <c r="F919" s="7">
        <v>0</v>
      </c>
      <c r="G919" s="7">
        <v>0</v>
      </c>
      <c r="H919" s="7">
        <v>0</v>
      </c>
      <c r="I919" s="7">
        <v>5</v>
      </c>
      <c r="J919" s="7">
        <v>0</v>
      </c>
      <c r="K919" s="7">
        <v>96</v>
      </c>
      <c r="L919" s="7" t="b">
        <f t="shared" si="14"/>
        <v>1</v>
      </c>
    </row>
    <row r="920" spans="1:12" x14ac:dyDescent="0.25">
      <c r="A920" s="7" t="s">
        <v>1913</v>
      </c>
      <c r="B920" s="7">
        <v>0</v>
      </c>
      <c r="C920" s="7">
        <v>92</v>
      </c>
      <c r="D920" s="7">
        <v>22</v>
      </c>
      <c r="E920" s="7">
        <v>0</v>
      </c>
      <c r="F920" s="7">
        <v>0</v>
      </c>
      <c r="G920" s="7">
        <v>0</v>
      </c>
      <c r="H920" s="7">
        <v>0</v>
      </c>
      <c r="I920" s="7">
        <v>13</v>
      </c>
      <c r="J920" s="7">
        <v>0</v>
      </c>
      <c r="K920" s="7">
        <v>127</v>
      </c>
      <c r="L920" s="7" t="b">
        <f t="shared" si="14"/>
        <v>1</v>
      </c>
    </row>
    <row r="921" spans="1:12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  <c r="L921" s="7" t="b">
        <f t="shared" si="14"/>
        <v>1</v>
      </c>
    </row>
    <row r="922" spans="1:12" x14ac:dyDescent="0.25">
      <c r="A922" s="7" t="s">
        <v>1915</v>
      </c>
      <c r="B922" s="7">
        <v>0</v>
      </c>
      <c r="C922" s="7">
        <v>98</v>
      </c>
      <c r="D922" s="7">
        <v>19</v>
      </c>
      <c r="E922" s="7">
        <v>0</v>
      </c>
      <c r="F922" s="7">
        <v>0</v>
      </c>
      <c r="G922" s="7">
        <v>0</v>
      </c>
      <c r="H922" s="7">
        <v>0</v>
      </c>
      <c r="I922" s="7">
        <v>26</v>
      </c>
      <c r="J922" s="7">
        <v>1</v>
      </c>
      <c r="K922" s="7">
        <v>144</v>
      </c>
      <c r="L922" s="7" t="b">
        <f t="shared" si="14"/>
        <v>1</v>
      </c>
    </row>
    <row r="923" spans="1:12" x14ac:dyDescent="0.25">
      <c r="A923" s="7" t="s">
        <v>1916</v>
      </c>
      <c r="B923" s="7">
        <v>0</v>
      </c>
      <c r="C923" s="7">
        <v>80</v>
      </c>
      <c r="D923" s="7">
        <v>12</v>
      </c>
      <c r="E923" s="7">
        <v>0</v>
      </c>
      <c r="F923" s="7">
        <v>0</v>
      </c>
      <c r="G923" s="7">
        <v>1</v>
      </c>
      <c r="H923" s="7">
        <v>0</v>
      </c>
      <c r="I923" s="7">
        <v>7</v>
      </c>
      <c r="J923" s="7">
        <v>1</v>
      </c>
      <c r="K923" s="7">
        <v>101</v>
      </c>
      <c r="L923" s="7" t="b">
        <f t="shared" si="14"/>
        <v>1</v>
      </c>
    </row>
    <row r="924" spans="1:12" x14ac:dyDescent="0.25">
      <c r="A924" s="7" t="s">
        <v>1917</v>
      </c>
      <c r="B924" s="7">
        <v>0</v>
      </c>
      <c r="C924" s="7">
        <v>94</v>
      </c>
      <c r="D924" s="7">
        <v>61</v>
      </c>
      <c r="E924" s="7">
        <v>0</v>
      </c>
      <c r="F924" s="7">
        <v>0</v>
      </c>
      <c r="G924" s="7">
        <v>1</v>
      </c>
      <c r="H924" s="7">
        <v>0</v>
      </c>
      <c r="I924" s="7">
        <v>2</v>
      </c>
      <c r="J924" s="7">
        <v>5</v>
      </c>
      <c r="K924" s="7">
        <v>163</v>
      </c>
      <c r="L924" s="7" t="b">
        <f t="shared" si="14"/>
        <v>1</v>
      </c>
    </row>
    <row r="925" spans="1:12" x14ac:dyDescent="0.25">
      <c r="A925" s="7" t="s">
        <v>1918</v>
      </c>
      <c r="B925" s="7">
        <v>0</v>
      </c>
      <c r="C925" s="7">
        <v>163</v>
      </c>
      <c r="D925" s="7">
        <v>3</v>
      </c>
      <c r="E925" s="7">
        <v>0</v>
      </c>
      <c r="F925" s="7">
        <v>0</v>
      </c>
      <c r="G925" s="7">
        <v>1</v>
      </c>
      <c r="H925" s="7">
        <v>0</v>
      </c>
      <c r="I925" s="7">
        <v>0</v>
      </c>
      <c r="J925" s="7">
        <v>0</v>
      </c>
      <c r="K925" s="7">
        <v>167</v>
      </c>
      <c r="L925" s="7" t="b">
        <f t="shared" si="14"/>
        <v>1</v>
      </c>
    </row>
    <row r="926" spans="1:12" x14ac:dyDescent="0.25">
      <c r="A926" s="7" t="s">
        <v>1919</v>
      </c>
      <c r="B926" s="7">
        <v>0</v>
      </c>
      <c r="C926" s="7">
        <v>93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0</v>
      </c>
      <c r="J926" s="7">
        <v>0</v>
      </c>
      <c r="K926" s="7">
        <v>94</v>
      </c>
      <c r="L926" s="7" t="b">
        <f t="shared" si="14"/>
        <v>1</v>
      </c>
    </row>
    <row r="927" spans="1:12" x14ac:dyDescent="0.25">
      <c r="A927" s="7" t="s">
        <v>1920</v>
      </c>
      <c r="B927" s="7">
        <v>0</v>
      </c>
      <c r="C927" s="7">
        <v>116</v>
      </c>
      <c r="D927" s="7">
        <v>8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5</v>
      </c>
      <c r="K927" s="7">
        <v>129</v>
      </c>
      <c r="L927" s="7" t="b">
        <f t="shared" si="14"/>
        <v>1</v>
      </c>
    </row>
    <row r="928" spans="1:12" x14ac:dyDescent="0.25">
      <c r="A928" s="7" t="s">
        <v>1921</v>
      </c>
      <c r="B928" s="7">
        <v>0</v>
      </c>
      <c r="C928" s="7">
        <v>80</v>
      </c>
      <c r="D928" s="7">
        <v>5</v>
      </c>
      <c r="E928" s="7">
        <v>0</v>
      </c>
      <c r="F928" s="7">
        <v>0</v>
      </c>
      <c r="G928" s="7">
        <v>1</v>
      </c>
      <c r="H928" s="7">
        <v>0</v>
      </c>
      <c r="I928" s="7">
        <v>61</v>
      </c>
      <c r="J928" s="7">
        <v>0</v>
      </c>
      <c r="K928" s="7">
        <v>147</v>
      </c>
      <c r="L928" s="7" t="b">
        <f t="shared" si="14"/>
        <v>1</v>
      </c>
    </row>
    <row r="929" spans="1:12" x14ac:dyDescent="0.25">
      <c r="A929" s="7" t="s">
        <v>1922</v>
      </c>
      <c r="B929" s="7">
        <v>0</v>
      </c>
      <c r="C929" s="7">
        <v>65</v>
      </c>
      <c r="D929" s="7">
        <v>8</v>
      </c>
      <c r="E929" s="7">
        <v>0</v>
      </c>
      <c r="F929" s="7">
        <v>0</v>
      </c>
      <c r="G929" s="7">
        <v>0</v>
      </c>
      <c r="H929" s="7">
        <v>0</v>
      </c>
      <c r="I929" s="7">
        <v>12</v>
      </c>
      <c r="J929" s="7">
        <v>0</v>
      </c>
      <c r="K929" s="7">
        <v>85</v>
      </c>
      <c r="L929" s="7" t="b">
        <f t="shared" si="14"/>
        <v>1</v>
      </c>
    </row>
    <row r="930" spans="1:12" x14ac:dyDescent="0.25">
      <c r="A930" s="7" t="s">
        <v>1923</v>
      </c>
      <c r="B930" s="7">
        <v>0</v>
      </c>
      <c r="C930" s="7">
        <v>104</v>
      </c>
      <c r="D930" s="7">
        <v>8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  <c r="L930" s="7" t="b">
        <f t="shared" si="14"/>
        <v>1</v>
      </c>
    </row>
    <row r="931" spans="1:12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  <c r="L931" s="7" t="b">
        <f t="shared" si="14"/>
        <v>1</v>
      </c>
    </row>
    <row r="932" spans="1:12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54</v>
      </c>
      <c r="J932" s="7">
        <v>0</v>
      </c>
      <c r="K932" s="7">
        <v>96</v>
      </c>
      <c r="L932" s="7" t="b">
        <f t="shared" si="14"/>
        <v>1</v>
      </c>
    </row>
    <row r="933" spans="1:12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  <c r="L933" s="7" t="b">
        <f t="shared" si="14"/>
        <v>1</v>
      </c>
    </row>
    <row r="934" spans="1:12" x14ac:dyDescent="0.25">
      <c r="A934" s="7" t="s">
        <v>1927</v>
      </c>
      <c r="B934" s="7">
        <v>0</v>
      </c>
      <c r="C934" s="7">
        <v>95</v>
      </c>
      <c r="D934" s="7">
        <v>0</v>
      </c>
      <c r="E934" s="7">
        <v>0</v>
      </c>
      <c r="F934" s="7">
        <v>0</v>
      </c>
      <c r="G934" s="7">
        <v>1</v>
      </c>
      <c r="H934" s="7">
        <v>0</v>
      </c>
      <c r="I934" s="7">
        <v>2</v>
      </c>
      <c r="J934" s="7">
        <v>0</v>
      </c>
      <c r="K934" s="7">
        <v>98</v>
      </c>
      <c r="L934" s="7" t="b">
        <f t="shared" si="14"/>
        <v>1</v>
      </c>
    </row>
    <row r="935" spans="1:12" x14ac:dyDescent="0.25">
      <c r="A935" s="7" t="s">
        <v>1928</v>
      </c>
      <c r="B935" s="7">
        <v>0</v>
      </c>
      <c r="C935" s="7">
        <v>67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11</v>
      </c>
      <c r="J935" s="7">
        <v>0</v>
      </c>
      <c r="K935" s="7">
        <v>78</v>
      </c>
      <c r="L935" s="7" t="b">
        <f t="shared" si="14"/>
        <v>1</v>
      </c>
    </row>
    <row r="936" spans="1:12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  <c r="L936" s="7" t="b">
        <f t="shared" si="14"/>
        <v>1</v>
      </c>
    </row>
    <row r="937" spans="1:12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  <c r="L937" s="7" t="b">
        <f t="shared" si="14"/>
        <v>1</v>
      </c>
    </row>
    <row r="938" spans="1:12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  <c r="L938" s="7" t="b">
        <f t="shared" si="14"/>
        <v>1</v>
      </c>
    </row>
    <row r="939" spans="1:12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  <c r="L939" s="7" t="b">
        <f t="shared" si="14"/>
        <v>1</v>
      </c>
    </row>
    <row r="940" spans="1:12" x14ac:dyDescent="0.25">
      <c r="A940" s="7" t="s">
        <v>1933</v>
      </c>
      <c r="B940" s="7">
        <v>0</v>
      </c>
      <c r="C940" s="7">
        <v>51</v>
      </c>
      <c r="D940" s="7">
        <v>1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  <c r="L940" s="7" t="b">
        <f t="shared" si="14"/>
        <v>1</v>
      </c>
    </row>
    <row r="941" spans="1:12" x14ac:dyDescent="0.25">
      <c r="A941" s="7" t="s">
        <v>1934</v>
      </c>
      <c r="B941" s="7">
        <v>0</v>
      </c>
      <c r="C941" s="7">
        <v>44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0</v>
      </c>
      <c r="K941" s="7">
        <v>46</v>
      </c>
      <c r="L941" s="7" t="b">
        <f t="shared" si="14"/>
        <v>1</v>
      </c>
    </row>
    <row r="942" spans="1:12" x14ac:dyDescent="0.25">
      <c r="A942" s="7" t="s">
        <v>1935</v>
      </c>
      <c r="B942" s="7">
        <v>0</v>
      </c>
      <c r="C942" s="7">
        <v>24</v>
      </c>
      <c r="D942" s="7">
        <v>1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  <c r="L942" s="7" t="b">
        <f t="shared" si="14"/>
        <v>1</v>
      </c>
    </row>
    <row r="943" spans="1:12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  <c r="L943" s="7" t="b">
        <f t="shared" si="14"/>
        <v>1</v>
      </c>
    </row>
    <row r="944" spans="1:12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  <c r="L944" s="7" t="b">
        <f t="shared" si="14"/>
        <v>1</v>
      </c>
    </row>
    <row r="945" spans="1:12" x14ac:dyDescent="0.25">
      <c r="A945" s="7" t="s">
        <v>1938</v>
      </c>
      <c r="B945" s="7">
        <v>0</v>
      </c>
      <c r="C945" s="7">
        <v>53</v>
      </c>
      <c r="D945" s="7">
        <v>54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107</v>
      </c>
      <c r="L945" s="7" t="b">
        <f t="shared" si="14"/>
        <v>1</v>
      </c>
    </row>
    <row r="946" spans="1:12" x14ac:dyDescent="0.25">
      <c r="A946" s="7" t="s">
        <v>1939</v>
      </c>
      <c r="B946" s="7">
        <v>0</v>
      </c>
      <c r="C946" s="7">
        <v>53</v>
      </c>
      <c r="D946" s="7">
        <v>23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1</v>
      </c>
      <c r="K946" s="7">
        <v>77</v>
      </c>
      <c r="L946" s="7" t="b">
        <f t="shared" si="14"/>
        <v>1</v>
      </c>
    </row>
    <row r="947" spans="1:12" x14ac:dyDescent="0.25">
      <c r="A947" s="7" t="s">
        <v>1940</v>
      </c>
      <c r="B947" s="7">
        <v>0</v>
      </c>
      <c r="C947" s="7">
        <v>117</v>
      </c>
      <c r="D947" s="7">
        <v>1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  <c r="L947" s="7" t="b">
        <f t="shared" si="14"/>
        <v>1</v>
      </c>
    </row>
    <row r="948" spans="1:12" x14ac:dyDescent="0.25">
      <c r="A948" s="7" t="s">
        <v>1941</v>
      </c>
      <c r="B948" s="7">
        <v>0</v>
      </c>
      <c r="C948" s="7">
        <v>64</v>
      </c>
      <c r="D948" s="7">
        <v>24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1</v>
      </c>
      <c r="K948" s="7">
        <v>89</v>
      </c>
      <c r="L948" s="7" t="b">
        <f t="shared" si="14"/>
        <v>1</v>
      </c>
    </row>
    <row r="949" spans="1:12" x14ac:dyDescent="0.25">
      <c r="A949" s="7" t="s">
        <v>1942</v>
      </c>
      <c r="B949" s="7">
        <v>0</v>
      </c>
      <c r="C949" s="7">
        <v>92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92</v>
      </c>
      <c r="L949" s="7" t="b">
        <f t="shared" si="14"/>
        <v>1</v>
      </c>
    </row>
    <row r="950" spans="1:12" x14ac:dyDescent="0.25">
      <c r="A950" s="7" t="s">
        <v>1943</v>
      </c>
      <c r="B950" s="7">
        <v>0</v>
      </c>
      <c r="C950" s="7">
        <v>28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1</v>
      </c>
      <c r="K950" s="7">
        <v>30</v>
      </c>
      <c r="L950" s="7" t="b">
        <f t="shared" si="14"/>
        <v>1</v>
      </c>
    </row>
    <row r="951" spans="1:12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  <c r="L951" s="7" t="b">
        <f t="shared" si="14"/>
        <v>1</v>
      </c>
    </row>
    <row r="952" spans="1:12" x14ac:dyDescent="0.25">
      <c r="A952" s="7" t="s">
        <v>1945</v>
      </c>
      <c r="B952" s="7">
        <v>0</v>
      </c>
      <c r="C952" s="7">
        <v>26</v>
      </c>
      <c r="D952" s="7">
        <v>48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10</v>
      </c>
      <c r="K952" s="7">
        <v>84</v>
      </c>
      <c r="L952" s="7" t="b">
        <f t="shared" si="14"/>
        <v>1</v>
      </c>
    </row>
    <row r="953" spans="1:12" x14ac:dyDescent="0.25">
      <c r="A953" s="7" t="s">
        <v>1946</v>
      </c>
      <c r="B953" s="7">
        <v>0</v>
      </c>
      <c r="C953" s="7">
        <v>61</v>
      </c>
      <c r="D953" s="7">
        <v>14</v>
      </c>
      <c r="E953" s="7">
        <v>0</v>
      </c>
      <c r="F953" s="7">
        <v>0</v>
      </c>
      <c r="G953" s="7">
        <v>0</v>
      </c>
      <c r="H953" s="7">
        <v>0</v>
      </c>
      <c r="I953" s="7">
        <v>20</v>
      </c>
      <c r="J953" s="7">
        <v>0</v>
      </c>
      <c r="K953" s="7">
        <v>95</v>
      </c>
      <c r="L953" s="7" t="b">
        <f t="shared" si="14"/>
        <v>1</v>
      </c>
    </row>
    <row r="954" spans="1:12" x14ac:dyDescent="0.25">
      <c r="A954" s="7" t="s">
        <v>1947</v>
      </c>
      <c r="B954" s="7">
        <v>0</v>
      </c>
      <c r="C954" s="7">
        <v>37</v>
      </c>
      <c r="D954" s="7">
        <v>7</v>
      </c>
      <c r="E954" s="7">
        <v>0</v>
      </c>
      <c r="F954" s="7">
        <v>0</v>
      </c>
      <c r="G954" s="7">
        <v>0</v>
      </c>
      <c r="H954" s="7">
        <v>0</v>
      </c>
      <c r="I954" s="7">
        <v>6</v>
      </c>
      <c r="J954" s="7">
        <v>0</v>
      </c>
      <c r="K954" s="7">
        <v>50</v>
      </c>
      <c r="L954" s="7" t="b">
        <f t="shared" si="14"/>
        <v>1</v>
      </c>
    </row>
    <row r="955" spans="1:12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  <c r="L955" s="7" t="b">
        <f t="shared" si="14"/>
        <v>1</v>
      </c>
    </row>
    <row r="956" spans="1:12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  <c r="L956" s="7" t="b">
        <f t="shared" si="14"/>
        <v>1</v>
      </c>
    </row>
    <row r="957" spans="1:12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  <c r="L957" s="7" t="b">
        <f t="shared" si="14"/>
        <v>1</v>
      </c>
    </row>
    <row r="958" spans="1:12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  <c r="L958" s="7" t="b">
        <f t="shared" si="14"/>
        <v>1</v>
      </c>
    </row>
    <row r="959" spans="1:12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  <c r="L959" s="7" t="b">
        <f t="shared" si="14"/>
        <v>1</v>
      </c>
    </row>
    <row r="960" spans="1:12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  <c r="L960" s="7" t="b">
        <f t="shared" si="14"/>
        <v>1</v>
      </c>
    </row>
    <row r="961" spans="1:12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  <c r="L961" s="7" t="b">
        <f t="shared" si="14"/>
        <v>1</v>
      </c>
    </row>
    <row r="962" spans="1:12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  <c r="L962" s="7" t="b">
        <f t="shared" si="14"/>
        <v>1</v>
      </c>
    </row>
    <row r="963" spans="1:12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  <c r="L963" s="7" t="b">
        <f t="shared" ref="L963:L1026" si="15">K963=SUM(B963:J963)</f>
        <v>1</v>
      </c>
    </row>
    <row r="964" spans="1:12" x14ac:dyDescent="0.25">
      <c r="A964" s="7" t="s">
        <v>1957</v>
      </c>
      <c r="B964" s="7">
        <v>0</v>
      </c>
      <c r="C964" s="7">
        <v>174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  <c r="L964" s="7" t="b">
        <f t="shared" si="15"/>
        <v>1</v>
      </c>
    </row>
    <row r="965" spans="1:12" x14ac:dyDescent="0.25">
      <c r="A965" s="7" t="s">
        <v>1958</v>
      </c>
      <c r="B965" s="7">
        <v>0</v>
      </c>
      <c r="C965" s="7">
        <v>76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76</v>
      </c>
      <c r="L965" s="7" t="b">
        <f t="shared" si="15"/>
        <v>1</v>
      </c>
    </row>
    <row r="966" spans="1:12" x14ac:dyDescent="0.25">
      <c r="A966" s="7" t="s">
        <v>1959</v>
      </c>
      <c r="B966" s="7">
        <v>0</v>
      </c>
      <c r="C966" s="7">
        <v>184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184</v>
      </c>
      <c r="L966" s="7" t="b">
        <f t="shared" si="15"/>
        <v>1</v>
      </c>
    </row>
    <row r="967" spans="1:12" x14ac:dyDescent="0.25">
      <c r="A967" s="7" t="s">
        <v>1960</v>
      </c>
      <c r="B967" s="7">
        <v>0</v>
      </c>
      <c r="C967" s="7">
        <v>193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198</v>
      </c>
      <c r="L967" s="7" t="b">
        <f t="shared" si="15"/>
        <v>1</v>
      </c>
    </row>
    <row r="968" spans="1:12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  <c r="L968" s="7" t="b">
        <f t="shared" si="15"/>
        <v>1</v>
      </c>
    </row>
    <row r="969" spans="1:12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  <c r="L969" s="7" t="b">
        <f t="shared" si="15"/>
        <v>1</v>
      </c>
    </row>
    <row r="970" spans="1:12" x14ac:dyDescent="0.25">
      <c r="A970" s="7" t="s">
        <v>1963</v>
      </c>
      <c r="B970" s="7">
        <v>0</v>
      </c>
      <c r="C970" s="7">
        <v>93</v>
      </c>
      <c r="D970" s="7">
        <v>1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97</v>
      </c>
      <c r="L970" s="7" t="b">
        <f t="shared" si="15"/>
        <v>1</v>
      </c>
    </row>
    <row r="971" spans="1:12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  <c r="L971" s="7" t="b">
        <f t="shared" si="15"/>
        <v>1</v>
      </c>
    </row>
    <row r="972" spans="1:12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  <c r="L972" s="7" t="b">
        <f t="shared" si="15"/>
        <v>1</v>
      </c>
    </row>
    <row r="973" spans="1:12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  <c r="L973" s="7" t="b">
        <f t="shared" si="15"/>
        <v>1</v>
      </c>
    </row>
    <row r="974" spans="1:12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  <c r="L974" s="7" t="b">
        <f t="shared" si="15"/>
        <v>1</v>
      </c>
    </row>
    <row r="975" spans="1:12" x14ac:dyDescent="0.25">
      <c r="A975" s="7" t="s">
        <v>1968</v>
      </c>
      <c r="B975" s="7">
        <v>0</v>
      </c>
      <c r="C975" s="7">
        <v>163</v>
      </c>
      <c r="D975" s="7">
        <v>1</v>
      </c>
      <c r="E975" s="7">
        <v>0</v>
      </c>
      <c r="F975" s="7">
        <v>0</v>
      </c>
      <c r="G975" s="7">
        <v>0</v>
      </c>
      <c r="H975" s="7">
        <v>0</v>
      </c>
      <c r="I975" s="7">
        <v>1</v>
      </c>
      <c r="J975" s="7">
        <v>0</v>
      </c>
      <c r="K975" s="7">
        <v>165</v>
      </c>
      <c r="L975" s="7" t="b">
        <f t="shared" si="15"/>
        <v>1</v>
      </c>
    </row>
    <row r="976" spans="1:12" x14ac:dyDescent="0.25">
      <c r="A976" s="7" t="s">
        <v>1969</v>
      </c>
      <c r="B976" s="7">
        <v>0</v>
      </c>
      <c r="C976" s="7">
        <v>77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80</v>
      </c>
      <c r="L976" s="7" t="b">
        <f t="shared" si="15"/>
        <v>1</v>
      </c>
    </row>
    <row r="977" spans="1:12" x14ac:dyDescent="0.25">
      <c r="A977" s="7" t="s">
        <v>1970</v>
      </c>
      <c r="B977" s="7">
        <v>0</v>
      </c>
      <c r="C977" s="7">
        <v>118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2</v>
      </c>
      <c r="K977" s="7">
        <v>120</v>
      </c>
      <c r="L977" s="7" t="b">
        <f t="shared" si="15"/>
        <v>1</v>
      </c>
    </row>
    <row r="978" spans="1:12" x14ac:dyDescent="0.25">
      <c r="A978" s="7" t="s">
        <v>1971</v>
      </c>
      <c r="B978" s="7">
        <v>0</v>
      </c>
      <c r="C978" s="7">
        <v>272</v>
      </c>
      <c r="D978" s="7">
        <v>1</v>
      </c>
      <c r="E978" s="7">
        <v>0</v>
      </c>
      <c r="F978" s="7">
        <v>0</v>
      </c>
      <c r="G978" s="7">
        <v>1</v>
      </c>
      <c r="H978" s="7">
        <v>0</v>
      </c>
      <c r="I978" s="7">
        <v>0</v>
      </c>
      <c r="J978" s="7">
        <v>0</v>
      </c>
      <c r="K978" s="7">
        <v>274</v>
      </c>
      <c r="L978" s="7" t="b">
        <f t="shared" si="15"/>
        <v>1</v>
      </c>
    </row>
    <row r="979" spans="1:12" x14ac:dyDescent="0.25">
      <c r="A979" s="7" t="s">
        <v>1972</v>
      </c>
      <c r="B979" s="7">
        <v>0</v>
      </c>
      <c r="C979" s="7">
        <v>280</v>
      </c>
      <c r="D979" s="7">
        <v>1</v>
      </c>
      <c r="E979" s="7">
        <v>0</v>
      </c>
      <c r="F979" s="7">
        <v>0</v>
      </c>
      <c r="G979" s="7">
        <v>1</v>
      </c>
      <c r="H979" s="7">
        <v>0</v>
      </c>
      <c r="I979" s="7">
        <v>0</v>
      </c>
      <c r="J979" s="7">
        <v>0</v>
      </c>
      <c r="K979" s="7">
        <v>282</v>
      </c>
      <c r="L979" s="7" t="b">
        <f t="shared" si="15"/>
        <v>1</v>
      </c>
    </row>
    <row r="980" spans="1:12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  <c r="L980" s="7" t="b">
        <f t="shared" si="15"/>
        <v>1</v>
      </c>
    </row>
    <row r="981" spans="1:12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  <c r="L981" s="7" t="b">
        <f t="shared" si="15"/>
        <v>1</v>
      </c>
    </row>
    <row r="982" spans="1:12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  <c r="L982" s="7" t="b">
        <f t="shared" si="15"/>
        <v>1</v>
      </c>
    </row>
    <row r="983" spans="1:12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  <c r="L983" s="7" t="b">
        <f t="shared" si="15"/>
        <v>1</v>
      </c>
    </row>
    <row r="984" spans="1:12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  <c r="L984" s="7" t="b">
        <f t="shared" si="15"/>
        <v>1</v>
      </c>
    </row>
    <row r="985" spans="1:12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  <c r="L985" s="7" t="b">
        <f t="shared" si="15"/>
        <v>1</v>
      </c>
    </row>
    <row r="986" spans="1:12" x14ac:dyDescent="0.25">
      <c r="A986" s="7" t="s">
        <v>1979</v>
      </c>
      <c r="B986" s="7">
        <v>0</v>
      </c>
      <c r="C986" s="7">
        <v>61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1</v>
      </c>
      <c r="J986" s="7">
        <v>0</v>
      </c>
      <c r="K986" s="7">
        <v>62</v>
      </c>
      <c r="L986" s="7" t="b">
        <f t="shared" si="15"/>
        <v>1</v>
      </c>
    </row>
    <row r="987" spans="1:12" x14ac:dyDescent="0.25">
      <c r="A987" s="7" t="s">
        <v>1980</v>
      </c>
      <c r="B987" s="7">
        <v>0</v>
      </c>
      <c r="C987" s="7">
        <v>202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0</v>
      </c>
      <c r="K987" s="7">
        <v>203</v>
      </c>
      <c r="L987" s="7" t="b">
        <f t="shared" si="15"/>
        <v>1</v>
      </c>
    </row>
    <row r="988" spans="1:12" x14ac:dyDescent="0.25">
      <c r="A988" s="7" t="s">
        <v>1981</v>
      </c>
      <c r="B988" s="7">
        <v>0</v>
      </c>
      <c r="C988" s="7">
        <v>44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5</v>
      </c>
      <c r="J988" s="7">
        <v>0</v>
      </c>
      <c r="K988" s="7">
        <v>50</v>
      </c>
      <c r="L988" s="7" t="b">
        <f t="shared" si="15"/>
        <v>1</v>
      </c>
    </row>
    <row r="989" spans="1:12" x14ac:dyDescent="0.25">
      <c r="A989" s="7" t="s">
        <v>1982</v>
      </c>
      <c r="B989" s="7">
        <v>0</v>
      </c>
      <c r="C989" s="7">
        <v>88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30</v>
      </c>
      <c r="J989" s="7">
        <v>0</v>
      </c>
      <c r="K989" s="7">
        <v>119</v>
      </c>
      <c r="L989" s="7" t="b">
        <f t="shared" si="15"/>
        <v>1</v>
      </c>
    </row>
    <row r="990" spans="1:12" x14ac:dyDescent="0.25">
      <c r="A990" s="7" t="s">
        <v>1983</v>
      </c>
      <c r="B990" s="7">
        <v>0</v>
      </c>
      <c r="C990" s="7">
        <v>22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8</v>
      </c>
      <c r="J990" s="7">
        <v>0</v>
      </c>
      <c r="K990" s="7">
        <v>30</v>
      </c>
      <c r="L990" s="7" t="b">
        <f t="shared" si="15"/>
        <v>1</v>
      </c>
    </row>
    <row r="991" spans="1:12" x14ac:dyDescent="0.25">
      <c r="A991" s="7" t="s">
        <v>1984</v>
      </c>
      <c r="B991" s="7">
        <v>0</v>
      </c>
      <c r="C991" s="7">
        <v>44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  <c r="L991" s="7" t="b">
        <f t="shared" si="15"/>
        <v>1</v>
      </c>
    </row>
    <row r="992" spans="1:12" x14ac:dyDescent="0.25">
      <c r="A992" s="7" t="s">
        <v>1985</v>
      </c>
      <c r="B992" s="7">
        <v>0</v>
      </c>
      <c r="C992" s="7">
        <v>56</v>
      </c>
      <c r="D992" s="7">
        <v>0</v>
      </c>
      <c r="E992" s="7">
        <v>0</v>
      </c>
      <c r="F992" s="7">
        <v>0</v>
      </c>
      <c r="G992" s="7">
        <v>2</v>
      </c>
      <c r="H992" s="7">
        <v>0</v>
      </c>
      <c r="I992" s="7">
        <v>7</v>
      </c>
      <c r="J992" s="7">
        <v>0</v>
      </c>
      <c r="K992" s="7">
        <v>65</v>
      </c>
      <c r="L992" s="7" t="b">
        <f t="shared" si="15"/>
        <v>1</v>
      </c>
    </row>
    <row r="993" spans="1:12" x14ac:dyDescent="0.25">
      <c r="A993" s="7" t="s">
        <v>1986</v>
      </c>
      <c r="B993" s="7">
        <v>0</v>
      </c>
      <c r="C993" s="7">
        <v>35</v>
      </c>
      <c r="D993" s="7">
        <v>1</v>
      </c>
      <c r="E993" s="7">
        <v>0</v>
      </c>
      <c r="F993" s="7">
        <v>0</v>
      </c>
      <c r="G993" s="7">
        <v>0</v>
      </c>
      <c r="H993" s="7">
        <v>0</v>
      </c>
      <c r="I993" s="7">
        <v>12</v>
      </c>
      <c r="J993" s="7">
        <v>0</v>
      </c>
      <c r="K993" s="7">
        <v>48</v>
      </c>
      <c r="L993" s="7" t="b">
        <f t="shared" si="15"/>
        <v>1</v>
      </c>
    </row>
    <row r="994" spans="1:12" x14ac:dyDescent="0.25">
      <c r="A994" s="7" t="s">
        <v>1987</v>
      </c>
      <c r="B994" s="7">
        <v>0</v>
      </c>
      <c r="C994" s="7">
        <v>54</v>
      </c>
      <c r="D994" s="7">
        <v>1</v>
      </c>
      <c r="E994" s="7">
        <v>0</v>
      </c>
      <c r="F994" s="7">
        <v>0</v>
      </c>
      <c r="G994" s="7">
        <v>0</v>
      </c>
      <c r="H994" s="7">
        <v>0</v>
      </c>
      <c r="I994" s="7">
        <v>5</v>
      </c>
      <c r="J994" s="7">
        <v>0</v>
      </c>
      <c r="K994" s="7">
        <v>60</v>
      </c>
      <c r="L994" s="7" t="b">
        <f t="shared" si="15"/>
        <v>1</v>
      </c>
    </row>
    <row r="995" spans="1:12" x14ac:dyDescent="0.25">
      <c r="A995" s="7" t="s">
        <v>1988</v>
      </c>
      <c r="B995" s="7">
        <v>0</v>
      </c>
      <c r="C995" s="7">
        <v>46</v>
      </c>
      <c r="D995" s="7">
        <v>1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  <c r="L995" s="7" t="b">
        <f t="shared" si="15"/>
        <v>1</v>
      </c>
    </row>
    <row r="996" spans="1:12" x14ac:dyDescent="0.25">
      <c r="A996" s="7" t="s">
        <v>1989</v>
      </c>
      <c r="B996" s="7">
        <v>0</v>
      </c>
      <c r="C996" s="7">
        <v>54</v>
      </c>
      <c r="D996" s="7">
        <v>1</v>
      </c>
      <c r="E996" s="7">
        <v>0</v>
      </c>
      <c r="F996" s="7">
        <v>0</v>
      </c>
      <c r="G996" s="7">
        <v>0</v>
      </c>
      <c r="H996" s="7">
        <v>0</v>
      </c>
      <c r="I996" s="7">
        <v>3</v>
      </c>
      <c r="J996" s="7">
        <v>1</v>
      </c>
      <c r="K996" s="7">
        <v>59</v>
      </c>
      <c r="L996" s="7" t="b">
        <f t="shared" si="15"/>
        <v>1</v>
      </c>
    </row>
    <row r="997" spans="1:12" x14ac:dyDescent="0.25">
      <c r="A997" s="7" t="s">
        <v>1990</v>
      </c>
      <c r="B997" s="7">
        <v>0</v>
      </c>
      <c r="C997" s="7">
        <v>41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80</v>
      </c>
      <c r="J997" s="7">
        <v>1</v>
      </c>
      <c r="K997" s="7">
        <v>122</v>
      </c>
      <c r="L997" s="7" t="b">
        <f t="shared" si="15"/>
        <v>1</v>
      </c>
    </row>
    <row r="998" spans="1:12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  <c r="L998" s="7" t="b">
        <f t="shared" si="15"/>
        <v>1</v>
      </c>
    </row>
    <row r="999" spans="1:12" x14ac:dyDescent="0.25">
      <c r="A999" s="7" t="s">
        <v>1992</v>
      </c>
      <c r="B999" s="7">
        <v>0</v>
      </c>
      <c r="C999" s="7">
        <v>88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88</v>
      </c>
      <c r="L999" s="7" t="b">
        <f t="shared" si="15"/>
        <v>1</v>
      </c>
    </row>
    <row r="1000" spans="1:12" x14ac:dyDescent="0.25">
      <c r="A1000" s="7" t="s">
        <v>1993</v>
      </c>
      <c r="B1000" s="7">
        <v>0</v>
      </c>
      <c r="C1000" s="7">
        <v>73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  <c r="L1000" s="7" t="b">
        <f t="shared" si="15"/>
        <v>1</v>
      </c>
    </row>
    <row r="1001" spans="1:12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  <c r="L1001" s="7" t="b">
        <f t="shared" si="15"/>
        <v>1</v>
      </c>
    </row>
    <row r="1002" spans="1:12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  <c r="L1002" s="7" t="b">
        <f t="shared" si="15"/>
        <v>1</v>
      </c>
    </row>
    <row r="1003" spans="1:12" x14ac:dyDescent="0.25">
      <c r="A1003" s="7" t="s">
        <v>1996</v>
      </c>
      <c r="B1003" s="7">
        <v>0</v>
      </c>
      <c r="C1003" s="7">
        <v>183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183</v>
      </c>
      <c r="L1003" s="7" t="b">
        <f t="shared" si="15"/>
        <v>1</v>
      </c>
    </row>
    <row r="1004" spans="1:12" x14ac:dyDescent="0.25">
      <c r="A1004" s="7" t="s">
        <v>1997</v>
      </c>
      <c r="B1004" s="7">
        <v>0</v>
      </c>
      <c r="C1004" s="7">
        <v>125</v>
      </c>
      <c r="D1004" s="7">
        <v>0</v>
      </c>
      <c r="E1004" s="7">
        <v>0</v>
      </c>
      <c r="F1004" s="7">
        <v>0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  <c r="L1004" s="7" t="b">
        <f t="shared" si="15"/>
        <v>1</v>
      </c>
    </row>
    <row r="1005" spans="1:12" x14ac:dyDescent="0.25">
      <c r="A1005" s="7" t="s">
        <v>1998</v>
      </c>
      <c r="B1005" s="7">
        <v>0</v>
      </c>
      <c r="C1005" s="7">
        <v>115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119</v>
      </c>
      <c r="L1005" s="7" t="b">
        <f t="shared" si="15"/>
        <v>1</v>
      </c>
    </row>
    <row r="1006" spans="1:12" x14ac:dyDescent="0.25">
      <c r="A1006" s="7" t="s">
        <v>1999</v>
      </c>
      <c r="B1006" s="7">
        <v>0</v>
      </c>
      <c r="C1006" s="7">
        <v>155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155</v>
      </c>
      <c r="L1006" s="7" t="b">
        <f t="shared" si="15"/>
        <v>1</v>
      </c>
    </row>
    <row r="1007" spans="1:12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  <c r="L1007" s="7" t="b">
        <f t="shared" si="15"/>
        <v>1</v>
      </c>
    </row>
    <row r="1008" spans="1:12" x14ac:dyDescent="0.25">
      <c r="A1008" s="7" t="s">
        <v>2001</v>
      </c>
      <c r="B1008" s="7">
        <v>0</v>
      </c>
      <c r="C1008" s="7">
        <v>85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5</v>
      </c>
      <c r="J1008" s="7">
        <v>3</v>
      </c>
      <c r="K1008" s="7">
        <v>95</v>
      </c>
      <c r="L1008" s="7" t="b">
        <f t="shared" si="15"/>
        <v>1</v>
      </c>
    </row>
    <row r="1009" spans="1:12" x14ac:dyDescent="0.25">
      <c r="A1009" s="7" t="s">
        <v>2002</v>
      </c>
      <c r="B1009" s="7">
        <v>0</v>
      </c>
      <c r="C1009" s="7">
        <v>76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5</v>
      </c>
      <c r="J1009" s="7">
        <v>3</v>
      </c>
      <c r="K1009" s="7">
        <v>84</v>
      </c>
      <c r="L1009" s="7" t="b">
        <f t="shared" si="15"/>
        <v>1</v>
      </c>
    </row>
    <row r="1010" spans="1:12" x14ac:dyDescent="0.25">
      <c r="A1010" s="7" t="s">
        <v>2003</v>
      </c>
      <c r="B1010" s="7">
        <v>0</v>
      </c>
      <c r="C1010" s="7">
        <v>65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11</v>
      </c>
      <c r="J1010" s="7">
        <v>1</v>
      </c>
      <c r="K1010" s="7">
        <v>77</v>
      </c>
      <c r="L1010" s="7" t="b">
        <f t="shared" si="15"/>
        <v>1</v>
      </c>
    </row>
    <row r="1011" spans="1:12" x14ac:dyDescent="0.25">
      <c r="A1011" s="7" t="s">
        <v>2004</v>
      </c>
      <c r="B1011" s="7">
        <v>0</v>
      </c>
      <c r="C1011" s="7">
        <v>51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15</v>
      </c>
      <c r="J1011" s="7">
        <v>1</v>
      </c>
      <c r="K1011" s="7">
        <v>68</v>
      </c>
      <c r="L1011" s="7" t="b">
        <f t="shared" si="15"/>
        <v>1</v>
      </c>
    </row>
    <row r="1012" spans="1:12" x14ac:dyDescent="0.25">
      <c r="A1012" s="7" t="s">
        <v>2005</v>
      </c>
      <c r="B1012" s="7">
        <v>0</v>
      </c>
      <c r="C1012" s="7">
        <v>53</v>
      </c>
      <c r="D1012" s="7">
        <v>0</v>
      </c>
      <c r="E1012" s="7">
        <v>0</v>
      </c>
      <c r="F1012" s="7">
        <v>1</v>
      </c>
      <c r="G1012" s="7">
        <v>0</v>
      </c>
      <c r="H1012" s="7">
        <v>0</v>
      </c>
      <c r="I1012" s="7">
        <v>40</v>
      </c>
      <c r="J1012" s="7">
        <v>0</v>
      </c>
      <c r="K1012" s="7">
        <v>94</v>
      </c>
      <c r="L1012" s="7" t="b">
        <f t="shared" si="15"/>
        <v>1</v>
      </c>
    </row>
    <row r="1013" spans="1:12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2</v>
      </c>
      <c r="J1013" s="7">
        <v>1</v>
      </c>
      <c r="K1013" s="7">
        <v>88</v>
      </c>
      <c r="L1013" s="7" t="b">
        <f t="shared" si="15"/>
        <v>1</v>
      </c>
    </row>
    <row r="1014" spans="1:12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  <c r="L1014" s="7" t="b">
        <f t="shared" si="15"/>
        <v>1</v>
      </c>
    </row>
    <row r="1015" spans="1:12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  <c r="L1015" s="7" t="b">
        <f t="shared" si="15"/>
        <v>1</v>
      </c>
    </row>
    <row r="1016" spans="1:12" x14ac:dyDescent="0.25">
      <c r="A1016" s="7" t="s">
        <v>2009</v>
      </c>
      <c r="B1016" s="7">
        <v>0</v>
      </c>
      <c r="C1016" s="7">
        <v>97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  <c r="L1016" s="7" t="b">
        <f t="shared" si="15"/>
        <v>1</v>
      </c>
    </row>
    <row r="1017" spans="1:12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  <c r="L1017" s="7" t="b">
        <f t="shared" si="15"/>
        <v>1</v>
      </c>
    </row>
    <row r="1018" spans="1:12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  <c r="L1018" s="7" t="b">
        <f t="shared" si="15"/>
        <v>1</v>
      </c>
    </row>
    <row r="1019" spans="1:12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  <c r="L1019" s="7" t="b">
        <f t="shared" si="15"/>
        <v>1</v>
      </c>
    </row>
    <row r="1020" spans="1:12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  <c r="L1020" s="7" t="b">
        <f t="shared" si="15"/>
        <v>1</v>
      </c>
    </row>
    <row r="1021" spans="1:12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  <c r="L1021" s="7" t="b">
        <f t="shared" si="15"/>
        <v>1</v>
      </c>
    </row>
    <row r="1022" spans="1:12" x14ac:dyDescent="0.25">
      <c r="A1022" s="7" t="s">
        <v>2015</v>
      </c>
      <c r="B1022" s="7">
        <v>0</v>
      </c>
      <c r="C1022" s="7">
        <v>57</v>
      </c>
      <c r="D1022" s="7">
        <v>16</v>
      </c>
      <c r="E1022" s="7">
        <v>0</v>
      </c>
      <c r="F1022" s="7">
        <v>0</v>
      </c>
      <c r="G1022" s="7">
        <v>0</v>
      </c>
      <c r="H1022" s="7">
        <v>0</v>
      </c>
      <c r="I1022" s="7">
        <v>9</v>
      </c>
      <c r="J1022" s="7">
        <v>0</v>
      </c>
      <c r="K1022" s="7">
        <v>82</v>
      </c>
      <c r="L1022" s="7" t="b">
        <f t="shared" si="15"/>
        <v>1</v>
      </c>
    </row>
    <row r="1023" spans="1:12" x14ac:dyDescent="0.25">
      <c r="A1023" s="7" t="s">
        <v>2016</v>
      </c>
      <c r="B1023" s="7">
        <v>0</v>
      </c>
      <c r="C1023" s="7">
        <v>81</v>
      </c>
      <c r="D1023" s="7">
        <v>6</v>
      </c>
      <c r="E1023" s="7">
        <v>0</v>
      </c>
      <c r="F1023" s="7">
        <v>0</v>
      </c>
      <c r="G1023" s="7">
        <v>1</v>
      </c>
      <c r="H1023" s="7">
        <v>0</v>
      </c>
      <c r="I1023" s="7">
        <v>6</v>
      </c>
      <c r="J1023" s="7">
        <v>3</v>
      </c>
      <c r="K1023" s="7">
        <v>97</v>
      </c>
      <c r="L1023" s="7" t="b">
        <f t="shared" si="15"/>
        <v>1</v>
      </c>
    </row>
    <row r="1024" spans="1:12" x14ac:dyDescent="0.25">
      <c r="A1024" s="7" t="s">
        <v>2017</v>
      </c>
      <c r="B1024" s="7">
        <v>0</v>
      </c>
      <c r="C1024" s="7">
        <v>53</v>
      </c>
      <c r="D1024" s="7">
        <v>4</v>
      </c>
      <c r="E1024" s="7">
        <v>0</v>
      </c>
      <c r="F1024" s="7">
        <v>0</v>
      </c>
      <c r="G1024" s="7">
        <v>0</v>
      </c>
      <c r="H1024" s="7">
        <v>0</v>
      </c>
      <c r="I1024" s="7">
        <v>12</v>
      </c>
      <c r="J1024" s="7">
        <v>0</v>
      </c>
      <c r="K1024" s="7">
        <v>69</v>
      </c>
      <c r="L1024" s="7" t="b">
        <f t="shared" si="15"/>
        <v>1</v>
      </c>
    </row>
    <row r="1025" spans="1:12" x14ac:dyDescent="0.25">
      <c r="A1025" s="7" t="s">
        <v>2018</v>
      </c>
      <c r="B1025" s="7">
        <v>0</v>
      </c>
      <c r="C1025" s="7">
        <v>56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4</v>
      </c>
      <c r="J1025" s="7">
        <v>1</v>
      </c>
      <c r="K1025" s="7">
        <v>65</v>
      </c>
      <c r="L1025" s="7" t="b">
        <f t="shared" si="15"/>
        <v>1</v>
      </c>
    </row>
    <row r="1026" spans="1:12" x14ac:dyDescent="0.25">
      <c r="A1026" s="7" t="s">
        <v>2019</v>
      </c>
      <c r="B1026" s="7">
        <v>0</v>
      </c>
      <c r="C1026" s="7">
        <v>77</v>
      </c>
      <c r="D1026" s="7">
        <v>3</v>
      </c>
      <c r="E1026" s="7">
        <v>0</v>
      </c>
      <c r="F1026" s="7">
        <v>0</v>
      </c>
      <c r="G1026" s="7">
        <v>1</v>
      </c>
      <c r="H1026" s="7">
        <v>0</v>
      </c>
      <c r="I1026" s="7">
        <v>18</v>
      </c>
      <c r="J1026" s="7">
        <v>2</v>
      </c>
      <c r="K1026" s="7">
        <v>101</v>
      </c>
      <c r="L1026" s="7" t="b">
        <f t="shared" si="15"/>
        <v>1</v>
      </c>
    </row>
    <row r="1027" spans="1:12" x14ac:dyDescent="0.25">
      <c r="A1027" s="7" t="s">
        <v>2020</v>
      </c>
      <c r="B1027" s="7">
        <v>0</v>
      </c>
      <c r="C1027" s="7">
        <v>50</v>
      </c>
      <c r="D1027" s="7">
        <v>5</v>
      </c>
      <c r="E1027" s="7">
        <v>0</v>
      </c>
      <c r="F1027" s="7">
        <v>0</v>
      </c>
      <c r="G1027" s="7">
        <v>2</v>
      </c>
      <c r="H1027" s="7">
        <v>0</v>
      </c>
      <c r="I1027" s="7">
        <v>19</v>
      </c>
      <c r="J1027" s="7">
        <v>13</v>
      </c>
      <c r="K1027" s="7">
        <v>89</v>
      </c>
      <c r="L1027" s="7" t="b">
        <f t="shared" ref="L1027:L1062" si="16">K1027=SUM(B1027:J1027)</f>
        <v>1</v>
      </c>
    </row>
    <row r="1028" spans="1:12" x14ac:dyDescent="0.25">
      <c r="A1028" s="7" t="s">
        <v>2021</v>
      </c>
      <c r="B1028" s="7">
        <v>0</v>
      </c>
      <c r="C1028" s="7">
        <v>50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0</v>
      </c>
      <c r="K1028" s="7">
        <v>50</v>
      </c>
      <c r="L1028" s="7" t="b">
        <f t="shared" si="16"/>
        <v>1</v>
      </c>
    </row>
    <row r="1029" spans="1:12" x14ac:dyDescent="0.25">
      <c r="A1029" s="7" t="s">
        <v>2022</v>
      </c>
      <c r="B1029" s="7">
        <v>0</v>
      </c>
      <c r="C1029" s="7">
        <v>48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1</v>
      </c>
      <c r="J1029" s="7">
        <v>1</v>
      </c>
      <c r="K1029" s="7">
        <v>50</v>
      </c>
      <c r="L1029" s="7" t="b">
        <f t="shared" si="16"/>
        <v>1</v>
      </c>
    </row>
    <row r="1030" spans="1:12" x14ac:dyDescent="0.25">
      <c r="A1030" s="7" t="s">
        <v>2023</v>
      </c>
      <c r="B1030" s="7">
        <v>0</v>
      </c>
      <c r="C1030" s="7">
        <v>30</v>
      </c>
      <c r="D1030" s="7">
        <v>5</v>
      </c>
      <c r="E1030" s="7">
        <v>0</v>
      </c>
      <c r="F1030" s="7">
        <v>0</v>
      </c>
      <c r="G1030" s="7">
        <v>0</v>
      </c>
      <c r="H1030" s="7">
        <v>0</v>
      </c>
      <c r="I1030" s="7">
        <v>6</v>
      </c>
      <c r="J1030" s="7">
        <v>0</v>
      </c>
      <c r="K1030" s="7">
        <v>41</v>
      </c>
      <c r="L1030" s="7" t="b">
        <f t="shared" si="16"/>
        <v>1</v>
      </c>
    </row>
    <row r="1031" spans="1:12" x14ac:dyDescent="0.25">
      <c r="A1031" s="7" t="s">
        <v>2024</v>
      </c>
      <c r="B1031" s="7">
        <v>0</v>
      </c>
      <c r="C1031" s="7">
        <v>43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2</v>
      </c>
      <c r="J1031" s="7">
        <v>1</v>
      </c>
      <c r="K1031" s="7">
        <v>46</v>
      </c>
      <c r="L1031" s="7" t="b">
        <f t="shared" si="16"/>
        <v>1</v>
      </c>
    </row>
    <row r="1032" spans="1:12" x14ac:dyDescent="0.25">
      <c r="A1032" s="7" t="s">
        <v>2025</v>
      </c>
      <c r="B1032" s="7">
        <v>0</v>
      </c>
      <c r="C1032" s="7">
        <v>104</v>
      </c>
      <c r="D1032" s="7">
        <v>2</v>
      </c>
      <c r="E1032" s="7">
        <v>0</v>
      </c>
      <c r="F1032" s="7">
        <v>0</v>
      </c>
      <c r="G1032" s="7">
        <v>1</v>
      </c>
      <c r="H1032" s="7">
        <v>0</v>
      </c>
      <c r="I1032" s="7">
        <v>1</v>
      </c>
      <c r="J1032" s="7">
        <v>0</v>
      </c>
      <c r="K1032" s="7">
        <v>108</v>
      </c>
      <c r="L1032" s="7" t="b">
        <f t="shared" si="16"/>
        <v>1</v>
      </c>
    </row>
    <row r="1033" spans="1:12" x14ac:dyDescent="0.25">
      <c r="A1033" s="7" t="s">
        <v>2026</v>
      </c>
      <c r="B1033" s="7">
        <v>0</v>
      </c>
      <c r="C1033" s="7">
        <v>102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4</v>
      </c>
      <c r="J1033" s="7">
        <v>0</v>
      </c>
      <c r="K1033" s="7">
        <v>106</v>
      </c>
      <c r="L1033" s="7" t="b">
        <f t="shared" si="16"/>
        <v>1</v>
      </c>
    </row>
    <row r="1034" spans="1:12" x14ac:dyDescent="0.25">
      <c r="A1034" s="7" t="s">
        <v>2027</v>
      </c>
      <c r="B1034" s="7">
        <v>0</v>
      </c>
      <c r="C1034" s="7">
        <v>53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53</v>
      </c>
      <c r="L1034" s="7" t="b">
        <f t="shared" si="16"/>
        <v>1</v>
      </c>
    </row>
    <row r="1035" spans="1:12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  <c r="L1035" s="7" t="b">
        <f t="shared" si="16"/>
        <v>1</v>
      </c>
    </row>
    <row r="1036" spans="1:12" x14ac:dyDescent="0.25">
      <c r="A1036" s="7" t="s">
        <v>2029</v>
      </c>
      <c r="B1036" s="7">
        <v>0</v>
      </c>
      <c r="C1036" s="7">
        <v>38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63</v>
      </c>
      <c r="J1036" s="7">
        <v>1</v>
      </c>
      <c r="K1036" s="7">
        <v>102</v>
      </c>
      <c r="L1036" s="7" t="b">
        <f t="shared" si="16"/>
        <v>1</v>
      </c>
    </row>
    <row r="1037" spans="1:12" x14ac:dyDescent="0.25">
      <c r="A1037" s="7" t="s">
        <v>2030</v>
      </c>
      <c r="B1037" s="7">
        <v>0</v>
      </c>
      <c r="C1037" s="7">
        <v>102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11</v>
      </c>
      <c r="J1037" s="7">
        <v>0</v>
      </c>
      <c r="K1037" s="7">
        <v>113</v>
      </c>
      <c r="L1037" s="7" t="b">
        <f t="shared" si="16"/>
        <v>1</v>
      </c>
    </row>
    <row r="1038" spans="1:12" x14ac:dyDescent="0.25">
      <c r="A1038" s="7" t="s">
        <v>2031</v>
      </c>
      <c r="B1038" s="7">
        <v>0</v>
      </c>
      <c r="C1038" s="7">
        <v>103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7</v>
      </c>
      <c r="J1038" s="7">
        <v>0</v>
      </c>
      <c r="K1038" s="7">
        <v>110</v>
      </c>
      <c r="L1038" s="7" t="b">
        <f t="shared" si="16"/>
        <v>1</v>
      </c>
    </row>
    <row r="1039" spans="1:12" x14ac:dyDescent="0.25">
      <c r="A1039" s="7" t="s">
        <v>2032</v>
      </c>
      <c r="B1039" s="7">
        <v>0</v>
      </c>
      <c r="C1039" s="7">
        <v>81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6</v>
      </c>
      <c r="J1039" s="7">
        <v>0</v>
      </c>
      <c r="K1039" s="7">
        <v>87</v>
      </c>
      <c r="L1039" s="7" t="b">
        <f t="shared" si="16"/>
        <v>1</v>
      </c>
    </row>
    <row r="1040" spans="1:12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3</v>
      </c>
      <c r="J1040" s="7">
        <v>0</v>
      </c>
      <c r="K1040" s="7">
        <v>48</v>
      </c>
      <c r="L1040" s="7" t="b">
        <f t="shared" si="16"/>
        <v>1</v>
      </c>
    </row>
    <row r="1041" spans="1:12" x14ac:dyDescent="0.25">
      <c r="A1041" s="7" t="s">
        <v>2034</v>
      </c>
      <c r="B1041" s="7">
        <v>0</v>
      </c>
      <c r="C1041" s="7">
        <v>53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53</v>
      </c>
      <c r="L1041" s="7" t="b">
        <f t="shared" si="16"/>
        <v>1</v>
      </c>
    </row>
    <row r="1042" spans="1:12" x14ac:dyDescent="0.25">
      <c r="A1042" s="7" t="s">
        <v>2035</v>
      </c>
      <c r="B1042" s="7">
        <v>0</v>
      </c>
      <c r="C1042" s="7">
        <v>37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7</v>
      </c>
      <c r="J1042" s="7">
        <v>0</v>
      </c>
      <c r="K1042" s="7">
        <v>44</v>
      </c>
      <c r="L1042" s="7" t="b">
        <f t="shared" si="16"/>
        <v>1</v>
      </c>
    </row>
    <row r="1043" spans="1:12" x14ac:dyDescent="0.25">
      <c r="A1043" s="7" t="s">
        <v>2036</v>
      </c>
      <c r="B1043" s="7">
        <v>0</v>
      </c>
      <c r="C1043" s="7">
        <v>37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12</v>
      </c>
      <c r="J1043" s="7">
        <v>0</v>
      </c>
      <c r="K1043" s="7">
        <v>49</v>
      </c>
      <c r="L1043" s="7" t="b">
        <f t="shared" si="16"/>
        <v>1</v>
      </c>
    </row>
    <row r="1044" spans="1:12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25</v>
      </c>
      <c r="J1044" s="7">
        <v>0</v>
      </c>
      <c r="K1044" s="7">
        <v>61</v>
      </c>
      <c r="L1044" s="7" t="b">
        <f t="shared" si="16"/>
        <v>1</v>
      </c>
    </row>
    <row r="1045" spans="1:12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  <c r="L1045" s="7" t="b">
        <f t="shared" si="16"/>
        <v>1</v>
      </c>
    </row>
    <row r="1046" spans="1:12" x14ac:dyDescent="0.25">
      <c r="A1046" s="7" t="s">
        <v>2039</v>
      </c>
      <c r="B1046" s="7">
        <v>0</v>
      </c>
      <c r="C1046" s="7">
        <v>34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18</v>
      </c>
      <c r="J1046" s="7">
        <v>0</v>
      </c>
      <c r="K1046" s="7">
        <v>52</v>
      </c>
      <c r="L1046" s="7" t="b">
        <f t="shared" si="16"/>
        <v>1</v>
      </c>
    </row>
    <row r="1047" spans="1:12" x14ac:dyDescent="0.25">
      <c r="A1047" s="7" t="s">
        <v>2040</v>
      </c>
      <c r="B1047" s="7">
        <v>0</v>
      </c>
      <c r="C1047" s="7">
        <v>48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34</v>
      </c>
      <c r="J1047" s="7">
        <v>8</v>
      </c>
      <c r="K1047" s="7">
        <v>90</v>
      </c>
      <c r="L1047" s="7" t="b">
        <f t="shared" si="16"/>
        <v>1</v>
      </c>
    </row>
    <row r="1048" spans="1:12" x14ac:dyDescent="0.25">
      <c r="A1048" s="7" t="s">
        <v>2041</v>
      </c>
      <c r="B1048" s="7">
        <v>0</v>
      </c>
      <c r="C1048" s="7">
        <v>69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0</v>
      </c>
      <c r="K1048" s="7">
        <v>69</v>
      </c>
      <c r="L1048" s="7" t="b">
        <f t="shared" si="16"/>
        <v>1</v>
      </c>
    </row>
    <row r="1049" spans="1:12" x14ac:dyDescent="0.25">
      <c r="A1049" s="7" t="s">
        <v>2042</v>
      </c>
      <c r="B1049" s="7">
        <v>0</v>
      </c>
      <c r="C1049" s="7">
        <v>60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1</v>
      </c>
      <c r="J1049" s="7">
        <v>1</v>
      </c>
      <c r="K1049" s="7">
        <v>62</v>
      </c>
      <c r="L1049" s="7" t="b">
        <f t="shared" si="16"/>
        <v>1</v>
      </c>
    </row>
    <row r="1050" spans="1:12" x14ac:dyDescent="0.25">
      <c r="A1050" s="7" t="s">
        <v>2043</v>
      </c>
      <c r="B1050" s="7">
        <v>0</v>
      </c>
      <c r="C1050" s="7">
        <v>22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33</v>
      </c>
      <c r="J1050" s="7">
        <v>7</v>
      </c>
      <c r="K1050" s="7">
        <v>62</v>
      </c>
      <c r="L1050" s="7" t="b">
        <f t="shared" si="16"/>
        <v>1</v>
      </c>
    </row>
    <row r="1051" spans="1:12" x14ac:dyDescent="0.25">
      <c r="A1051" s="7" t="s">
        <v>2044</v>
      </c>
      <c r="B1051" s="7">
        <v>0</v>
      </c>
      <c r="C1051" s="7">
        <v>108</v>
      </c>
      <c r="D1051" s="7">
        <v>0</v>
      </c>
      <c r="E1051" s="7">
        <v>0</v>
      </c>
      <c r="F1051" s="7">
        <v>1</v>
      </c>
      <c r="G1051" s="7">
        <v>2</v>
      </c>
      <c r="H1051" s="7">
        <v>0</v>
      </c>
      <c r="I1051" s="7">
        <v>29</v>
      </c>
      <c r="J1051" s="7">
        <v>0</v>
      </c>
      <c r="K1051" s="7">
        <v>140</v>
      </c>
      <c r="L1051" s="7" t="b">
        <f t="shared" si="16"/>
        <v>1</v>
      </c>
    </row>
    <row r="1052" spans="1:12" x14ac:dyDescent="0.25">
      <c r="A1052" s="7" t="s">
        <v>2045</v>
      </c>
      <c r="B1052" s="7">
        <v>0</v>
      </c>
      <c r="C1052" s="7">
        <v>87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17</v>
      </c>
      <c r="J1052" s="7">
        <v>0</v>
      </c>
      <c r="K1052" s="7">
        <v>104</v>
      </c>
      <c r="L1052" s="7" t="b">
        <f t="shared" si="16"/>
        <v>1</v>
      </c>
    </row>
    <row r="1053" spans="1:12" x14ac:dyDescent="0.25">
      <c r="A1053" s="7" t="s">
        <v>2046</v>
      </c>
      <c r="B1053" s="7">
        <v>0</v>
      </c>
      <c r="C1053" s="7">
        <v>72</v>
      </c>
      <c r="D1053" s="7">
        <v>3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75</v>
      </c>
      <c r="L1053" s="7" t="b">
        <f t="shared" si="16"/>
        <v>1</v>
      </c>
    </row>
    <row r="1054" spans="1:12" x14ac:dyDescent="0.25">
      <c r="A1054" s="7" t="s">
        <v>2047</v>
      </c>
      <c r="B1054" s="7">
        <v>0</v>
      </c>
      <c r="C1054" s="7">
        <v>74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76</v>
      </c>
      <c r="L1054" s="7" t="b">
        <f t="shared" si="16"/>
        <v>1</v>
      </c>
    </row>
    <row r="1055" spans="1:12" x14ac:dyDescent="0.25">
      <c r="A1055" s="7" t="s">
        <v>2048</v>
      </c>
      <c r="B1055" s="7">
        <v>0</v>
      </c>
      <c r="C1055" s="7">
        <v>53</v>
      </c>
      <c r="D1055" s="7">
        <v>2</v>
      </c>
      <c r="E1055" s="7">
        <v>0</v>
      </c>
      <c r="F1055" s="7">
        <v>0</v>
      </c>
      <c r="G1055" s="7">
        <v>0</v>
      </c>
      <c r="H1055" s="7">
        <v>0</v>
      </c>
      <c r="I1055" s="7">
        <v>0</v>
      </c>
      <c r="J1055" s="7">
        <v>4</v>
      </c>
      <c r="K1055" s="7">
        <v>59</v>
      </c>
      <c r="L1055" s="7" t="b">
        <f t="shared" si="16"/>
        <v>1</v>
      </c>
    </row>
    <row r="1056" spans="1:12" x14ac:dyDescent="0.25">
      <c r="A1056" s="7" t="s">
        <v>2049</v>
      </c>
      <c r="B1056" s="7">
        <v>0</v>
      </c>
      <c r="C1056" s="7">
        <v>124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5</v>
      </c>
      <c r="J1056" s="7">
        <v>1</v>
      </c>
      <c r="K1056" s="7">
        <v>132</v>
      </c>
      <c r="L1056" s="7" t="b">
        <f t="shared" si="16"/>
        <v>1</v>
      </c>
    </row>
    <row r="1057" spans="1:12" x14ac:dyDescent="0.25">
      <c r="A1057" s="7" t="s">
        <v>2050</v>
      </c>
      <c r="B1057" s="7">
        <v>0</v>
      </c>
      <c r="C1057" s="7">
        <v>28</v>
      </c>
      <c r="D1057" s="7">
        <v>10</v>
      </c>
      <c r="E1057" s="7">
        <v>0</v>
      </c>
      <c r="F1057" s="7">
        <v>0</v>
      </c>
      <c r="G1057" s="7">
        <v>0</v>
      </c>
      <c r="H1057" s="7">
        <v>0</v>
      </c>
      <c r="I1057" s="7">
        <v>22</v>
      </c>
      <c r="J1057" s="7">
        <v>2</v>
      </c>
      <c r="K1057" s="7">
        <v>62</v>
      </c>
      <c r="L1057" s="7" t="b">
        <f t="shared" si="16"/>
        <v>1</v>
      </c>
    </row>
    <row r="1058" spans="1:12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  <c r="L1058" s="7" t="b">
        <f t="shared" si="16"/>
        <v>1</v>
      </c>
    </row>
    <row r="1059" spans="1:12" x14ac:dyDescent="0.25">
      <c r="A1059" s="7" t="s">
        <v>2052</v>
      </c>
      <c r="B1059" s="7">
        <v>0</v>
      </c>
      <c r="C1059" s="7">
        <v>62</v>
      </c>
      <c r="D1059" s="7">
        <v>0</v>
      </c>
      <c r="E1059" s="7">
        <v>0</v>
      </c>
      <c r="F1059" s="7">
        <v>0</v>
      </c>
      <c r="G1059" s="7">
        <v>0</v>
      </c>
      <c r="H1059" s="7">
        <v>0</v>
      </c>
      <c r="I1059" s="7">
        <v>4</v>
      </c>
      <c r="J1059" s="7">
        <v>1</v>
      </c>
      <c r="K1059" s="7">
        <v>67</v>
      </c>
      <c r="L1059" s="7" t="b">
        <f t="shared" si="16"/>
        <v>1</v>
      </c>
    </row>
    <row r="1060" spans="1:12" x14ac:dyDescent="0.25">
      <c r="A1060" s="7" t="s">
        <v>2053</v>
      </c>
      <c r="B1060" s="7">
        <v>0</v>
      </c>
      <c r="C1060" s="7">
        <v>41</v>
      </c>
      <c r="D1060" s="7">
        <v>4</v>
      </c>
      <c r="E1060" s="7">
        <v>0</v>
      </c>
      <c r="F1060" s="7">
        <v>0</v>
      </c>
      <c r="G1060" s="7">
        <v>0</v>
      </c>
      <c r="H1060" s="7">
        <v>0</v>
      </c>
      <c r="I1060" s="7">
        <v>8</v>
      </c>
      <c r="J1060" s="7">
        <v>2</v>
      </c>
      <c r="K1060" s="7">
        <v>55</v>
      </c>
      <c r="L1060" s="7" t="b">
        <f t="shared" si="16"/>
        <v>1</v>
      </c>
    </row>
    <row r="1061" spans="1:12" x14ac:dyDescent="0.25">
      <c r="A1061" s="7" t="s">
        <v>2054</v>
      </c>
      <c r="B1061" s="7">
        <v>0</v>
      </c>
      <c r="C1061" s="7">
        <v>58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1</v>
      </c>
      <c r="K1061" s="7">
        <v>59</v>
      </c>
      <c r="L1061" s="7" t="b">
        <f t="shared" si="16"/>
        <v>1</v>
      </c>
    </row>
    <row r="1062" spans="1:12" x14ac:dyDescent="0.25">
      <c r="A1062" s="7" t="s">
        <v>2055</v>
      </c>
      <c r="B1062" s="7">
        <v>0</v>
      </c>
      <c r="C1062" s="7">
        <v>63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3</v>
      </c>
      <c r="K1062" s="7">
        <v>66</v>
      </c>
      <c r="L1062" s="7" t="b">
        <f t="shared" si="16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671</v>
      </c>
      <c r="F2">
        <v>681</v>
      </c>
      <c r="G2">
        <f>VLOOKUP(A2,PPL!B:N,13,0)</f>
        <v>685</v>
      </c>
      <c r="H2">
        <f>G2-F2</f>
        <v>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731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692</v>
      </c>
      <c r="F5">
        <v>700</v>
      </c>
      <c r="G5">
        <f>VLOOKUP(A5,PPL!B:N,13,0)</f>
        <v>701</v>
      </c>
      <c r="H5">
        <f t="shared" si="0"/>
        <v>1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769</v>
      </c>
      <c r="F6">
        <v>803</v>
      </c>
      <c r="G6">
        <f>VLOOKUP(A6,PPL!B:N,13,0)</f>
        <v>813</v>
      </c>
      <c r="H6">
        <f t="shared" si="0"/>
        <v>10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647</v>
      </c>
      <c r="F7">
        <v>653</v>
      </c>
      <c r="G7">
        <f>VLOOKUP(A7,PPL!B:N,13,0)</f>
        <v>653</v>
      </c>
      <c r="H7">
        <f t="shared" si="0"/>
        <v>0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731</v>
      </c>
      <c r="F8">
        <v>731</v>
      </c>
      <c r="G8">
        <f>VLOOKUP(A8,PPL!B:N,13,0)</f>
        <v>733</v>
      </c>
      <c r="H8">
        <f t="shared" si="0"/>
        <v>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764</v>
      </c>
      <c r="F9">
        <v>767</v>
      </c>
      <c r="G9">
        <f>VLOOKUP(A9,PPL!B:N,13,0)</f>
        <v>770</v>
      </c>
      <c r="H9">
        <f t="shared" si="0"/>
        <v>3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727</v>
      </c>
      <c r="F10">
        <v>727</v>
      </c>
      <c r="G10">
        <f>VLOOKUP(A10,PPL!B:N,13,0)</f>
        <v>734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816</v>
      </c>
      <c r="F11">
        <v>816</v>
      </c>
      <c r="G11">
        <f>VLOOKUP(A11,PPL!B:N,13,0)</f>
        <v>817</v>
      </c>
      <c r="H11">
        <f t="shared" si="0"/>
        <v>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756</v>
      </c>
      <c r="F12">
        <v>758</v>
      </c>
      <c r="G12">
        <f>VLOOKUP(A12,PPL!B:N,13,0)</f>
        <v>761</v>
      </c>
      <c r="H12">
        <f t="shared" si="0"/>
        <v>3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834</v>
      </c>
      <c r="F16">
        <v>874</v>
      </c>
      <c r="G16">
        <f>VLOOKUP(A16,PPL!B:N,13,0)</f>
        <v>886</v>
      </c>
      <c r="H16">
        <f t="shared" si="0"/>
        <v>12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754</v>
      </c>
      <c r="F19">
        <v>754</v>
      </c>
      <c r="G19">
        <f>VLOOKUP(A19,PPL!B:N,13,0)</f>
        <v>754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804</v>
      </c>
      <c r="F20">
        <v>804</v>
      </c>
      <c r="G20">
        <f>VLOOKUP(A20,PPL!B:N,13,0)</f>
        <v>817</v>
      </c>
      <c r="H20">
        <f t="shared" si="0"/>
        <v>13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833</v>
      </c>
      <c r="G21">
        <f>VLOOKUP(A21,PPL!B:N,13,0)</f>
        <v>833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759</v>
      </c>
      <c r="F22">
        <v>759</v>
      </c>
      <c r="G22">
        <f>VLOOKUP(A22,PPL!B:N,13,0)</f>
        <v>759</v>
      </c>
      <c r="H22">
        <f t="shared" si="0"/>
        <v>0</v>
      </c>
      <c r="I22" t="b">
        <f t="shared" si="1"/>
        <v>1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931</v>
      </c>
      <c r="F23">
        <v>932</v>
      </c>
      <c r="G23">
        <f>VLOOKUP(A23,PPL!B:N,13,0)</f>
        <v>933</v>
      </c>
      <c r="H23">
        <f t="shared" si="0"/>
        <v>1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746</v>
      </c>
      <c r="F24">
        <v>759</v>
      </c>
      <c r="G24">
        <f>VLOOKUP(A24,PPL!B:N,13,0)</f>
        <v>783</v>
      </c>
      <c r="H24">
        <f t="shared" si="0"/>
        <v>24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929</v>
      </c>
      <c r="F25">
        <v>934</v>
      </c>
      <c r="G25">
        <f>VLOOKUP(A25,PPL!B:N,13,0)</f>
        <v>941</v>
      </c>
      <c r="H25">
        <f t="shared" si="0"/>
        <v>7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952</v>
      </c>
      <c r="F26">
        <v>954</v>
      </c>
      <c r="G26">
        <f>VLOOKUP(A26,PPL!B:N,13,0)</f>
        <v>980</v>
      </c>
      <c r="H26">
        <f t="shared" si="0"/>
        <v>26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732</v>
      </c>
      <c r="F27">
        <v>732</v>
      </c>
      <c r="G27">
        <f>VLOOKUP(A27,PPL!B:N,13,0)</f>
        <v>737</v>
      </c>
      <c r="H27">
        <f t="shared" si="0"/>
        <v>5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858</v>
      </c>
      <c r="F28">
        <v>859</v>
      </c>
      <c r="G28">
        <f>VLOOKUP(A28,PPL!B:N,13,0)</f>
        <v>861</v>
      </c>
      <c r="H28">
        <f t="shared" si="0"/>
        <v>2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744</v>
      </c>
      <c r="F30">
        <v>748</v>
      </c>
      <c r="G30">
        <f>VLOOKUP(A30,PPL!B:N,13,0)</f>
        <v>753</v>
      </c>
      <c r="H30">
        <f t="shared" si="0"/>
        <v>5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837</v>
      </c>
      <c r="F31">
        <v>837</v>
      </c>
      <c r="G31">
        <f>VLOOKUP(A31,PPL!B:N,13,0)</f>
        <v>837</v>
      </c>
      <c r="H31">
        <f t="shared" si="0"/>
        <v>0</v>
      </c>
      <c r="I31" t="b">
        <f t="shared" si="1"/>
        <v>1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940</v>
      </c>
      <c r="F32">
        <v>940</v>
      </c>
      <c r="G32">
        <f>VLOOKUP(A32,PPL!B:N,13,0)</f>
        <v>941</v>
      </c>
      <c r="H32">
        <f t="shared" si="0"/>
        <v>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852</v>
      </c>
      <c r="F33">
        <v>853</v>
      </c>
      <c r="G33">
        <f>VLOOKUP(A33,PPL!B:N,13,0)</f>
        <v>864</v>
      </c>
      <c r="H33">
        <f t="shared" si="0"/>
        <v>11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667</v>
      </c>
      <c r="F34">
        <v>678</v>
      </c>
      <c r="G34">
        <f>VLOOKUP(A34,PPL!B:N,13,0)</f>
        <v>678</v>
      </c>
      <c r="H34">
        <f t="shared" si="0"/>
        <v>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555</v>
      </c>
      <c r="F35">
        <v>570</v>
      </c>
      <c r="G35">
        <f>VLOOKUP(A35,PPL!B:N,13,0)</f>
        <v>588</v>
      </c>
      <c r="H35">
        <f t="shared" si="0"/>
        <v>18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972</v>
      </c>
      <c r="F36">
        <v>975</v>
      </c>
      <c r="G36">
        <f>VLOOKUP(A36,PPL!B:N,13,0)</f>
        <v>982</v>
      </c>
      <c r="H36">
        <f t="shared" si="0"/>
        <v>7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816</v>
      </c>
      <c r="F37">
        <v>818</v>
      </c>
      <c r="G37">
        <f>VLOOKUP(A37,PPL!B:N,13,0)</f>
        <v>819</v>
      </c>
      <c r="H37">
        <f t="shared" si="0"/>
        <v>1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1069</v>
      </c>
      <c r="F38">
        <v>1074</v>
      </c>
      <c r="G38">
        <f>VLOOKUP(A38,PPL!B:N,13,0)</f>
        <v>1085</v>
      </c>
      <c r="H38">
        <f t="shared" si="0"/>
        <v>11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797</v>
      </c>
      <c r="F39">
        <v>836</v>
      </c>
      <c r="G39">
        <f>VLOOKUP(A39,PPL!B:N,13,0)</f>
        <v>846</v>
      </c>
      <c r="H39">
        <f t="shared" si="0"/>
        <v>10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862</v>
      </c>
      <c r="F40">
        <v>862</v>
      </c>
      <c r="G40">
        <f>VLOOKUP(A40,PPL!B:N,13,0)</f>
        <v>860</v>
      </c>
      <c r="H40">
        <f t="shared" si="0"/>
        <v>-2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914</v>
      </c>
      <c r="F41">
        <v>922</v>
      </c>
      <c r="G41">
        <f>VLOOKUP(A41,PPL!B:N,13,0)</f>
        <v>936</v>
      </c>
      <c r="H41">
        <f t="shared" si="0"/>
        <v>14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624</v>
      </c>
      <c r="F42">
        <v>652</v>
      </c>
      <c r="G42">
        <f>VLOOKUP(A42,PPL!B:N,13,0)</f>
        <v>699</v>
      </c>
      <c r="H42">
        <f t="shared" si="0"/>
        <v>47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824</v>
      </c>
      <c r="F43">
        <v>827</v>
      </c>
      <c r="G43">
        <f>VLOOKUP(A43,PPL!B:N,13,0)</f>
        <v>832</v>
      </c>
      <c r="H43">
        <f t="shared" si="0"/>
        <v>5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611</v>
      </c>
      <c r="F44">
        <v>611</v>
      </c>
      <c r="G44">
        <f>VLOOKUP(A44,PPL!B:N,13,0)</f>
        <v>611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655</v>
      </c>
      <c r="F45">
        <v>655</v>
      </c>
      <c r="G45">
        <f>VLOOKUP(A45,PPL!B:N,13,0)</f>
        <v>655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673</v>
      </c>
      <c r="F46">
        <v>673</v>
      </c>
      <c r="G46">
        <f>VLOOKUP(A46,PPL!B:N,13,0)</f>
        <v>673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726</v>
      </c>
      <c r="F47">
        <v>726</v>
      </c>
      <c r="G47">
        <f>VLOOKUP(A47,PPL!B:N,13,0)</f>
        <v>726</v>
      </c>
      <c r="H47">
        <f t="shared" si="0"/>
        <v>0</v>
      </c>
      <c r="I47" t="b">
        <f t="shared" si="1"/>
        <v>1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705</v>
      </c>
      <c r="F48">
        <v>706</v>
      </c>
      <c r="G48">
        <f>VLOOKUP(A48,PPL!B:N,13,0)</f>
        <v>706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747</v>
      </c>
      <c r="F49">
        <v>746</v>
      </c>
      <c r="G49">
        <f>VLOOKUP(A49,PPL!B:N,13,0)</f>
        <v>748</v>
      </c>
      <c r="H49">
        <f t="shared" si="0"/>
        <v>2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787</v>
      </c>
      <c r="F50">
        <v>788</v>
      </c>
      <c r="G50">
        <f>VLOOKUP(A50,PPL!B:N,13,0)</f>
        <v>789</v>
      </c>
      <c r="H50">
        <f t="shared" si="0"/>
        <v>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662</v>
      </c>
      <c r="G51">
        <f>VLOOKUP(A51,PPL!B:N,13,0)</f>
        <v>662</v>
      </c>
      <c r="H51">
        <f t="shared" si="0"/>
        <v>0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884</v>
      </c>
      <c r="F52">
        <v>884</v>
      </c>
      <c r="G52">
        <f>VLOOKUP(A52,PPL!B:N,13,0)</f>
        <v>882</v>
      </c>
      <c r="H52">
        <f t="shared" si="0"/>
        <v>-2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706</v>
      </c>
      <c r="F55">
        <v>706</v>
      </c>
      <c r="G55">
        <f>VLOOKUP(A55,PPL!B:N,13,0)</f>
        <v>706</v>
      </c>
      <c r="H55">
        <f t="shared" si="0"/>
        <v>0</v>
      </c>
      <c r="I55" t="b">
        <f t="shared" si="1"/>
        <v>1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726</v>
      </c>
      <c r="F56">
        <v>726</v>
      </c>
      <c r="G56">
        <f>VLOOKUP(A56,PPL!B:N,13,0)</f>
        <v>727</v>
      </c>
      <c r="H56">
        <f t="shared" si="0"/>
        <v>1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795</v>
      </c>
      <c r="F57">
        <v>795</v>
      </c>
      <c r="G57">
        <f>VLOOKUP(A57,PPL!B:N,13,0)</f>
        <v>795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816</v>
      </c>
      <c r="F58">
        <v>819</v>
      </c>
      <c r="G58">
        <f>VLOOKUP(A58,PPL!B:N,13,0)</f>
        <v>825</v>
      </c>
      <c r="H58">
        <f t="shared" si="0"/>
        <v>6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813</v>
      </c>
      <c r="F59">
        <v>818</v>
      </c>
      <c r="G59">
        <f>VLOOKUP(A59,PPL!B:N,13,0)</f>
        <v>820</v>
      </c>
      <c r="H59">
        <f t="shared" si="0"/>
        <v>2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868</v>
      </c>
      <c r="F60">
        <v>875</v>
      </c>
      <c r="G60">
        <f>VLOOKUP(A60,PPL!B:N,13,0)</f>
        <v>885</v>
      </c>
      <c r="H60">
        <f t="shared" si="0"/>
        <v>10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802</v>
      </c>
      <c r="F61">
        <v>806</v>
      </c>
      <c r="G61">
        <f>VLOOKUP(A61,PPL!B:N,13,0)</f>
        <v>807</v>
      </c>
      <c r="H61">
        <f t="shared" si="0"/>
        <v>1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868</v>
      </c>
      <c r="F62">
        <v>878</v>
      </c>
      <c r="G62">
        <f>VLOOKUP(A62,PPL!B:N,13,0)</f>
        <v>881</v>
      </c>
      <c r="H62">
        <f t="shared" ref="H62:H123" si="2">G62-F62</f>
        <v>3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713</v>
      </c>
      <c r="F64">
        <v>713</v>
      </c>
      <c r="G64">
        <f>VLOOKUP(A64,PPL!B:N,13,0)</f>
        <v>713</v>
      </c>
      <c r="H64">
        <f t="shared" si="2"/>
        <v>0</v>
      </c>
      <c r="I64" t="b">
        <f t="shared" si="3"/>
        <v>1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696</v>
      </c>
      <c r="F65">
        <v>696</v>
      </c>
      <c r="G65">
        <f>VLOOKUP(A65,PPL!B:N,13,0)</f>
        <v>697</v>
      </c>
      <c r="H65">
        <f t="shared" si="2"/>
        <v>1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543</v>
      </c>
      <c r="F66">
        <v>543</v>
      </c>
      <c r="G66">
        <f>VLOOKUP(A66,PPL!B:N,13,0)</f>
        <v>544</v>
      </c>
      <c r="H66">
        <f t="shared" si="2"/>
        <v>1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587</v>
      </c>
      <c r="F67">
        <v>587</v>
      </c>
      <c r="G67">
        <f>VLOOKUP(A67,PPL!B:N,13,0)</f>
        <v>588</v>
      </c>
      <c r="H67">
        <f t="shared" si="2"/>
        <v>1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569</v>
      </c>
      <c r="F68">
        <v>569</v>
      </c>
      <c r="G68">
        <f>VLOOKUP(A68,PPL!B:N,13,0)</f>
        <v>569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499</v>
      </c>
      <c r="F69">
        <v>499</v>
      </c>
      <c r="G69">
        <f>VLOOKUP(A69,PPL!B:N,13,0)</f>
        <v>499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623</v>
      </c>
      <c r="F70">
        <v>623</v>
      </c>
      <c r="G70">
        <f>VLOOKUP(A70,PPL!B:N,13,0)</f>
        <v>624</v>
      </c>
      <c r="H70">
        <f t="shared" si="2"/>
        <v>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568</v>
      </c>
      <c r="F71">
        <v>568</v>
      </c>
      <c r="G71">
        <f>VLOOKUP(A71,PPL!B:N,13,0)</f>
        <v>570</v>
      </c>
      <c r="H71">
        <f t="shared" si="2"/>
        <v>2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594</v>
      </c>
      <c r="F72">
        <v>594</v>
      </c>
      <c r="G72">
        <f>VLOOKUP(A72,PPL!B:N,13,0)</f>
        <v>594</v>
      </c>
      <c r="H72">
        <f t="shared" si="2"/>
        <v>0</v>
      </c>
      <c r="I72" t="b">
        <f t="shared" si="3"/>
        <v>1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515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521</v>
      </c>
      <c r="F76">
        <v>521</v>
      </c>
      <c r="G76">
        <f>VLOOKUP(A76,PPL!B:N,13,0)</f>
        <v>521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441</v>
      </c>
      <c r="F77">
        <v>441</v>
      </c>
      <c r="G77">
        <f>VLOOKUP(A77,PPL!B:N,13,0)</f>
        <v>441</v>
      </c>
      <c r="H77">
        <f t="shared" si="2"/>
        <v>0</v>
      </c>
      <c r="I77" t="b">
        <f t="shared" si="3"/>
        <v>1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468</v>
      </c>
      <c r="F80">
        <v>468</v>
      </c>
      <c r="G80">
        <f>VLOOKUP(A80,PPL!B:N,13,0)</f>
        <v>468</v>
      </c>
      <c r="H80">
        <f t="shared" si="2"/>
        <v>0</v>
      </c>
      <c r="I80" t="b">
        <f t="shared" si="3"/>
        <v>1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784</v>
      </c>
      <c r="F81">
        <v>800</v>
      </c>
      <c r="G81">
        <f>VLOOKUP(A81,PPL!B:N,13,0)</f>
        <v>815</v>
      </c>
      <c r="H81">
        <f t="shared" si="2"/>
        <v>15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756</v>
      </c>
      <c r="F82">
        <v>756</v>
      </c>
      <c r="G82">
        <f>VLOOKUP(A82,PPL!B:N,13,0)</f>
        <v>757</v>
      </c>
      <c r="H82">
        <f t="shared" si="2"/>
        <v>1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730</v>
      </c>
      <c r="F83">
        <v>742</v>
      </c>
      <c r="G83">
        <f>VLOOKUP(A83,PPL!B:N,13,0)</f>
        <v>744</v>
      </c>
      <c r="H83">
        <f t="shared" si="2"/>
        <v>2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680</v>
      </c>
      <c r="F84">
        <v>687</v>
      </c>
      <c r="G84">
        <f>VLOOKUP(A84,PPL!B:N,13,0)</f>
        <v>693</v>
      </c>
      <c r="H84">
        <f t="shared" si="2"/>
        <v>6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601</v>
      </c>
      <c r="F85">
        <v>625</v>
      </c>
      <c r="G85">
        <f>VLOOKUP(A85,PPL!B:N,13,0)</f>
        <v>629</v>
      </c>
      <c r="H85">
        <f t="shared" si="2"/>
        <v>4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608</v>
      </c>
      <c r="F87">
        <v>609</v>
      </c>
      <c r="G87">
        <f>VLOOKUP(A87,PPL!B:N,13,0)</f>
        <v>615</v>
      </c>
      <c r="H87">
        <f t="shared" si="2"/>
        <v>6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688</v>
      </c>
      <c r="F88">
        <v>689</v>
      </c>
      <c r="G88">
        <f>VLOOKUP(A88,PPL!B:N,13,0)</f>
        <v>694</v>
      </c>
      <c r="H88">
        <f t="shared" si="2"/>
        <v>5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629</v>
      </c>
      <c r="F89">
        <v>631</v>
      </c>
      <c r="G89">
        <f>VLOOKUP(A89,PPL!B:N,13,0)</f>
        <v>642</v>
      </c>
      <c r="H89">
        <f t="shared" si="2"/>
        <v>11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628</v>
      </c>
      <c r="F90">
        <v>634</v>
      </c>
      <c r="G90">
        <f>VLOOKUP(A90,PPL!B:N,13,0)</f>
        <v>636</v>
      </c>
      <c r="H90">
        <f t="shared" si="2"/>
        <v>2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469</v>
      </c>
      <c r="F91">
        <v>474</v>
      </c>
      <c r="G91">
        <f>VLOOKUP(A91,PPL!B:N,13,0)</f>
        <v>495</v>
      </c>
      <c r="H91">
        <f t="shared" si="2"/>
        <v>21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702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765</v>
      </c>
      <c r="G93">
        <f>VLOOKUP(A93,PPL!B:N,13,0)</f>
        <v>765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840</v>
      </c>
      <c r="F95">
        <v>840</v>
      </c>
      <c r="G95">
        <f>VLOOKUP(A95,PPL!B:N,13,0)</f>
        <v>839</v>
      </c>
      <c r="H95">
        <f t="shared" si="2"/>
        <v>-1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576</v>
      </c>
      <c r="F96">
        <v>579</v>
      </c>
      <c r="G96">
        <f>VLOOKUP(A96,PPL!B:N,13,0)</f>
        <v>580</v>
      </c>
      <c r="H96">
        <f t="shared" si="2"/>
        <v>1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684</v>
      </c>
      <c r="F97">
        <v>685</v>
      </c>
      <c r="G97">
        <f>VLOOKUP(A97,PPL!B:N,13,0)</f>
        <v>686</v>
      </c>
      <c r="H97">
        <f t="shared" si="2"/>
        <v>1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658</v>
      </c>
      <c r="F98">
        <v>674</v>
      </c>
      <c r="G98">
        <f>VLOOKUP(A98,PPL!B:N,13,0)</f>
        <v>695</v>
      </c>
      <c r="H98">
        <f t="shared" si="2"/>
        <v>21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768</v>
      </c>
      <c r="F99">
        <v>778</v>
      </c>
      <c r="G99">
        <f>VLOOKUP(A99,PPL!B:N,13,0)</f>
        <v>777</v>
      </c>
      <c r="H99">
        <f t="shared" si="2"/>
        <v>-1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933</v>
      </c>
      <c r="F100">
        <v>938</v>
      </c>
      <c r="G100">
        <f>VLOOKUP(A100,PPL!B:N,13,0)</f>
        <v>933</v>
      </c>
      <c r="H100">
        <f t="shared" si="2"/>
        <v>-5</v>
      </c>
      <c r="I100" t="b">
        <f t="shared" si="3"/>
        <v>1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851</v>
      </c>
      <c r="F101">
        <v>851</v>
      </c>
      <c r="G101">
        <f>VLOOKUP(A101,PPL!B:N,13,0)</f>
        <v>851</v>
      </c>
      <c r="H101">
        <f t="shared" si="2"/>
        <v>0</v>
      </c>
      <c r="I101" t="b">
        <f t="shared" si="3"/>
        <v>1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770</v>
      </c>
      <c r="F102">
        <v>770</v>
      </c>
      <c r="G102">
        <f>VLOOKUP(A102,PPL!B:N,13,0)</f>
        <v>770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782</v>
      </c>
      <c r="F103">
        <v>782</v>
      </c>
      <c r="G103">
        <f>VLOOKUP(A103,PPL!B:N,13,0)</f>
        <v>783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761</v>
      </c>
      <c r="F104">
        <v>762</v>
      </c>
      <c r="G104">
        <f>VLOOKUP(A104,PPL!B:N,13,0)</f>
        <v>765</v>
      </c>
      <c r="H104">
        <f t="shared" si="2"/>
        <v>3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566</v>
      </c>
      <c r="F105">
        <v>566</v>
      </c>
      <c r="G105">
        <f>VLOOKUP(A105,PPL!B:N,13,0)</f>
        <v>566</v>
      </c>
      <c r="H105">
        <f t="shared" si="2"/>
        <v>0</v>
      </c>
      <c r="I105" t="b">
        <f t="shared" si="3"/>
        <v>1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754</v>
      </c>
      <c r="F106">
        <v>754</v>
      </c>
      <c r="G106">
        <f>VLOOKUP(A106,PPL!B:N,13,0)</f>
        <v>754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662</v>
      </c>
      <c r="F107">
        <v>672</v>
      </c>
      <c r="G107">
        <f>VLOOKUP(A107,PPL!B:N,13,0)</f>
        <v>676</v>
      </c>
      <c r="H107">
        <f t="shared" si="2"/>
        <v>4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579</v>
      </c>
      <c r="F108">
        <v>579</v>
      </c>
      <c r="G108">
        <f>VLOOKUP(A108,PPL!B:N,13,0)</f>
        <v>582</v>
      </c>
      <c r="H108">
        <f t="shared" si="2"/>
        <v>3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622</v>
      </c>
      <c r="F109">
        <v>625</v>
      </c>
      <c r="G109">
        <f>VLOOKUP(A109,PPL!B:N,13,0)</f>
        <v>625</v>
      </c>
      <c r="H109">
        <f t="shared" si="2"/>
        <v>0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646</v>
      </c>
      <c r="F110">
        <v>646</v>
      </c>
      <c r="G110">
        <f>VLOOKUP(A110,PPL!B:N,13,0)</f>
        <v>646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677</v>
      </c>
      <c r="F111">
        <v>677</v>
      </c>
      <c r="G111">
        <f>VLOOKUP(A111,PPL!B:N,13,0)</f>
        <v>677</v>
      </c>
      <c r="H111">
        <f t="shared" si="2"/>
        <v>0</v>
      </c>
      <c r="I111" t="b">
        <f t="shared" si="3"/>
        <v>1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658</v>
      </c>
      <c r="F112">
        <v>664</v>
      </c>
      <c r="G112">
        <f>VLOOKUP(A112,PPL!B:N,13,0)</f>
        <v>673</v>
      </c>
      <c r="H112">
        <f t="shared" si="2"/>
        <v>9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845</v>
      </c>
      <c r="F113">
        <v>845</v>
      </c>
      <c r="G113">
        <f>VLOOKUP(A113,PPL!B:N,13,0)</f>
        <v>846</v>
      </c>
      <c r="H113">
        <f t="shared" si="2"/>
        <v>1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1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869</v>
      </c>
      <c r="F115">
        <v>874</v>
      </c>
      <c r="G115">
        <f>VLOOKUP(A115,PPL!B:N,13,0)</f>
        <v>877</v>
      </c>
      <c r="H115">
        <f t="shared" si="2"/>
        <v>3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591</v>
      </c>
      <c r="F116">
        <v>591</v>
      </c>
      <c r="G116">
        <f>VLOOKUP(A116,PPL!B:N,13,0)</f>
        <v>591</v>
      </c>
      <c r="H116">
        <f t="shared" si="2"/>
        <v>0</v>
      </c>
      <c r="I116" t="b">
        <f t="shared" si="3"/>
        <v>1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614</v>
      </c>
      <c r="F117">
        <v>614</v>
      </c>
      <c r="G117">
        <f>VLOOKUP(A117,PPL!B:N,13,0)</f>
        <v>614</v>
      </c>
      <c r="H117">
        <f t="shared" si="2"/>
        <v>0</v>
      </c>
      <c r="I117" t="b">
        <f t="shared" si="3"/>
        <v>1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699</v>
      </c>
      <c r="F118">
        <v>699</v>
      </c>
      <c r="G118">
        <f>VLOOKUP(A118,PPL!B:N,13,0)</f>
        <v>699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608</v>
      </c>
      <c r="F119">
        <v>618</v>
      </c>
      <c r="G119">
        <f>VLOOKUP(A119,PPL!B:N,13,0)</f>
        <v>620</v>
      </c>
      <c r="H119">
        <f t="shared" si="2"/>
        <v>2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605</v>
      </c>
      <c r="F120">
        <v>617</v>
      </c>
      <c r="G120">
        <f>VLOOKUP(A120,PPL!B:N,13,0)</f>
        <v>625</v>
      </c>
      <c r="H120">
        <f t="shared" si="2"/>
        <v>8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675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662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805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819</v>
      </c>
      <c r="F126">
        <v>842</v>
      </c>
      <c r="G126">
        <f>VLOOKUP(A126,PPL!B:N,13,0)</f>
        <v>862</v>
      </c>
      <c r="H126">
        <f t="shared" si="4"/>
        <v>20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747</v>
      </c>
      <c r="F127">
        <v>747</v>
      </c>
      <c r="G127">
        <f>VLOOKUP(A127,PPL!B:N,13,0)</f>
        <v>749</v>
      </c>
      <c r="H127">
        <f t="shared" si="4"/>
        <v>2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623</v>
      </c>
      <c r="F128">
        <v>633</v>
      </c>
      <c r="G128">
        <f>VLOOKUP(A128,PPL!B:N,13,0)</f>
        <v>641</v>
      </c>
      <c r="H128">
        <f t="shared" si="4"/>
        <v>8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879</v>
      </c>
      <c r="F129">
        <v>879</v>
      </c>
      <c r="G129">
        <f>VLOOKUP(A129,PPL!B:N,13,0)</f>
        <v>886</v>
      </c>
      <c r="H129">
        <f t="shared" si="4"/>
        <v>7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715</v>
      </c>
      <c r="F130">
        <v>720</v>
      </c>
      <c r="G130">
        <f>VLOOKUP(A130,PPL!B:N,13,0)</f>
        <v>720</v>
      </c>
      <c r="H130">
        <f t="shared" si="4"/>
        <v>0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752</v>
      </c>
      <c r="F131">
        <v>776</v>
      </c>
      <c r="G131">
        <f>VLOOKUP(A131,PPL!B:N,13,0)</f>
        <v>782</v>
      </c>
      <c r="H131">
        <f t="shared" si="4"/>
        <v>6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946</v>
      </c>
      <c r="F132">
        <v>1001</v>
      </c>
      <c r="G132">
        <f>VLOOKUP(A132,PPL!B:N,13,0)</f>
        <v>1014</v>
      </c>
      <c r="H132">
        <f t="shared" si="4"/>
        <v>13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3066</v>
      </c>
      <c r="F133">
        <v>3317</v>
      </c>
      <c r="G133">
        <f>VLOOKUP(A133,PML!A:K,11,0)</f>
        <v>3456</v>
      </c>
      <c r="H133">
        <f t="shared" si="4"/>
        <v>139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3426</v>
      </c>
      <c r="F134">
        <v>3427</v>
      </c>
      <c r="G134">
        <f>VLOOKUP(A134,PML!A:K,11,0)</f>
        <v>3508</v>
      </c>
      <c r="H134">
        <f t="shared" si="4"/>
        <v>81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5425</v>
      </c>
      <c r="F135">
        <v>5425</v>
      </c>
      <c r="G135">
        <f>VLOOKUP(A135,PML!A:K,11,0)</f>
        <v>5511</v>
      </c>
      <c r="H135">
        <f t="shared" si="4"/>
        <v>86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5180</v>
      </c>
      <c r="F136">
        <v>5178</v>
      </c>
      <c r="G136">
        <f>VLOOKUP(A136,PML!A:K,11,0)</f>
        <v>5178</v>
      </c>
      <c r="H136">
        <f t="shared" si="4"/>
        <v>0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4039</v>
      </c>
      <c r="F137">
        <v>4240</v>
      </c>
      <c r="G137">
        <f>VLOOKUP(A137,PML!A:K,11,0)</f>
        <v>4687</v>
      </c>
      <c r="H137">
        <f t="shared" si="4"/>
        <v>447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3546</v>
      </c>
      <c r="F138">
        <v>3661</v>
      </c>
      <c r="G138">
        <f>VLOOKUP(A138,PML!A:K,11,0)</f>
        <v>3767</v>
      </c>
      <c r="H138">
        <f t="shared" si="4"/>
        <v>106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2986</v>
      </c>
      <c r="F139">
        <v>3000</v>
      </c>
      <c r="G139">
        <f>VLOOKUP(A139,PML!A:K,11,0)</f>
        <v>3017</v>
      </c>
      <c r="H139">
        <f t="shared" si="4"/>
        <v>17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4556</v>
      </c>
      <c r="F140">
        <v>4568</v>
      </c>
      <c r="G140">
        <f>VLOOKUP(A140,PML!A:K,11,0)</f>
        <v>4681</v>
      </c>
      <c r="H140">
        <f t="shared" si="4"/>
        <v>113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4150</v>
      </c>
      <c r="F141">
        <v>4149</v>
      </c>
      <c r="G141">
        <f>VLOOKUP(A141,PML!A:K,11,0)</f>
        <v>4149</v>
      </c>
      <c r="H141">
        <f t="shared" si="4"/>
        <v>0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2845</v>
      </c>
      <c r="F142">
        <v>3070</v>
      </c>
      <c r="G142">
        <f>VLOOKUP(A142,PML!A:K,11,0)</f>
        <v>3158</v>
      </c>
      <c r="H142">
        <f t="shared" si="4"/>
        <v>88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3637</v>
      </c>
      <c r="F143">
        <v>3670</v>
      </c>
      <c r="G143">
        <f>VLOOKUP(A143,PML!A:K,11,0)</f>
        <v>3736</v>
      </c>
      <c r="H143">
        <f t="shared" si="4"/>
        <v>66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4189</v>
      </c>
      <c r="F144">
        <v>4415</v>
      </c>
      <c r="G144">
        <f>VLOOKUP(A144,PML!A:K,11,0)</f>
        <v>4408</v>
      </c>
      <c r="H144">
        <f t="shared" si="4"/>
        <v>-7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2197</v>
      </c>
      <c r="F145">
        <v>2257</v>
      </c>
      <c r="G145">
        <f>VLOOKUP(A145,PML!A:K,11,0)</f>
        <v>2331</v>
      </c>
      <c r="H145">
        <f t="shared" si="4"/>
        <v>74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2218</v>
      </c>
      <c r="F146">
        <v>2217</v>
      </c>
      <c r="G146">
        <f>VLOOKUP(A146,PML!A:K,11,0)</f>
        <v>2213</v>
      </c>
      <c r="H146">
        <f t="shared" si="4"/>
        <v>-4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4394</v>
      </c>
      <c r="F147">
        <v>4392</v>
      </c>
      <c r="G147">
        <f>VLOOKUP(A147,PML!A:K,11,0)</f>
        <v>4382</v>
      </c>
      <c r="H147">
        <f t="shared" si="4"/>
        <v>-10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4754</v>
      </c>
      <c r="F148">
        <v>4749</v>
      </c>
      <c r="G148">
        <f>VLOOKUP(A148,PML!A:K,11,0)</f>
        <v>4784</v>
      </c>
      <c r="H148">
        <f t="shared" si="4"/>
        <v>35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4703</v>
      </c>
      <c r="F149">
        <v>4779</v>
      </c>
      <c r="G149">
        <f>VLOOKUP(A149,PML!A:K,11,0)</f>
        <v>4776</v>
      </c>
      <c r="H149">
        <f t="shared" si="4"/>
        <v>-3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3580</v>
      </c>
      <c r="F150">
        <v>3704</v>
      </c>
      <c r="G150">
        <f>VLOOKUP(A150,PML!A:K,11,0)</f>
        <v>3761</v>
      </c>
      <c r="H150">
        <f t="shared" si="4"/>
        <v>57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5805</v>
      </c>
      <c r="F151">
        <v>5983</v>
      </c>
      <c r="G151">
        <f>VLOOKUP(A151,PML!A:K,11,0)</f>
        <v>6019</v>
      </c>
      <c r="H151">
        <f t="shared" si="4"/>
        <v>36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736</v>
      </c>
      <c r="F152">
        <v>774</v>
      </c>
      <c r="G152">
        <f>VLOOKUP(A152,PPL!B:N,13,0)</f>
        <v>852</v>
      </c>
      <c r="H152">
        <f t="shared" ref="H152" si="6">G152-F152</f>
        <v>78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626</v>
      </c>
      <c r="F153">
        <v>641</v>
      </c>
      <c r="G153">
        <f>VLOOKUP(A153,PPL!B:N,13,0)</f>
        <v>644</v>
      </c>
      <c r="H153">
        <f t="shared" ref="H153:H155" si="8">G153-F153</f>
        <v>3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628</v>
      </c>
      <c r="F154">
        <v>630</v>
      </c>
      <c r="G154">
        <f>VLOOKUP(A154,PPL!B:N,13,0)</f>
        <v>646</v>
      </c>
      <c r="H154">
        <f t="shared" si="8"/>
        <v>16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782</v>
      </c>
      <c r="F155">
        <v>782</v>
      </c>
      <c r="G155">
        <f>VLOOKUP(A155,PPL!B:N,13,0)</f>
        <v>782</v>
      </c>
      <c r="H155">
        <f t="shared" si="8"/>
        <v>0</v>
      </c>
      <c r="I155" t="b">
        <f t="shared" si="9"/>
        <v>1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1005</v>
      </c>
      <c r="F156">
        <v>1008</v>
      </c>
      <c r="G156">
        <f>VLOOKUP(A156,PPL!B:N,13,0)</f>
        <v>1008</v>
      </c>
      <c r="H156">
        <f t="shared" ref="H156:H158" si="10">G156-F156</f>
        <v>0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604</v>
      </c>
      <c r="F157">
        <v>616</v>
      </c>
      <c r="G157">
        <f>VLOOKUP(A157,PPL!B:N,13,0)</f>
        <v>629</v>
      </c>
      <c r="H157">
        <f t="shared" si="10"/>
        <v>13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590</v>
      </c>
      <c r="F158">
        <v>590</v>
      </c>
      <c r="G158">
        <f>VLOOKUP(A158,PPL!B:N,13,0)</f>
        <v>622</v>
      </c>
      <c r="H158">
        <f t="shared" si="10"/>
        <v>32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685</v>
      </c>
      <c r="F2">
        <f>SUMIF(DATA!$A:$A,PPL!$A2,DATA!D:D)</f>
        <v>608</v>
      </c>
      <c r="G2">
        <f>SUMIF(DATA!$A:$A,PPL!$A2,DATA!E:E)</f>
        <v>0</v>
      </c>
      <c r="H2">
        <f>SUMIF(DATA!$A:$A,PPL!$A2,DATA!F:F)</f>
        <v>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77</v>
      </c>
      <c r="L2">
        <f>SUMIF(DATA!$A:$A,PPL!$A2,DATA!J:J)</f>
        <v>0</v>
      </c>
      <c r="M2">
        <f t="shared" ref="M2:M33" si="0">N2-Q2</f>
        <v>500</v>
      </c>
      <c r="N2">
        <f>F2+I2+J2+K2+L2</f>
        <v>685</v>
      </c>
      <c r="O2" s="3">
        <f>(N2/E2)*100</f>
        <v>100</v>
      </c>
      <c r="P2">
        <f>CEILING((E2-N2)/1,1)</f>
        <v>0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564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78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510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191</v>
      </c>
      <c r="L5">
        <f>SUMIF(DATA!$A:$A,PPL!$A5,DATA!J:J)</f>
        <v>0</v>
      </c>
      <c r="M5">
        <f t="shared" si="0"/>
        <v>380</v>
      </c>
      <c r="N5">
        <f t="shared" si="1"/>
        <v>701</v>
      </c>
      <c r="O5" s="3">
        <f t="shared" si="2"/>
        <v>100</v>
      </c>
      <c r="P5">
        <f t="shared" si="3"/>
        <v>0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814</v>
      </c>
      <c r="F6">
        <f>SUMIF(DATA!$A:$A,PPL!$A6,DATA!D:D)</f>
        <v>446</v>
      </c>
      <c r="G6">
        <f>SUMIF(DATA!$A:$A,PPL!$A6,DATA!E:E)</f>
        <v>1</v>
      </c>
      <c r="H6">
        <f>SUMIF(DATA!$A:$A,PPL!$A6,DATA!F:F)</f>
        <v>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366</v>
      </c>
      <c r="L6">
        <f>SUMIF(DATA!$A:$A,PPL!$A6,DATA!J:J)</f>
        <v>0</v>
      </c>
      <c r="M6">
        <f t="shared" si="0"/>
        <v>647</v>
      </c>
      <c r="N6">
        <f t="shared" si="1"/>
        <v>813</v>
      </c>
      <c r="O6" s="3">
        <f t="shared" si="2"/>
        <v>99.877149877149876</v>
      </c>
      <c r="P6">
        <f t="shared" si="3"/>
        <v>1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303</v>
      </c>
      <c r="G7">
        <f>SUMIF(DATA!$A:$A,PPL!$A7,DATA!E:E)</f>
        <v>3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350</v>
      </c>
      <c r="L7">
        <f>SUMIF(DATA!$A:$A,PPL!$A7,DATA!J:J)</f>
        <v>0</v>
      </c>
      <c r="M7">
        <f t="shared" si="0"/>
        <v>451</v>
      </c>
      <c r="N7">
        <f t="shared" si="1"/>
        <v>653</v>
      </c>
      <c r="O7" s="3">
        <f t="shared" si="2"/>
        <v>99.542682926829272</v>
      </c>
      <c r="P7">
        <f t="shared" si="3"/>
        <v>3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729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</v>
      </c>
      <c r="L8">
        <f>SUMIF(DATA!$A:$A,PPL!$A8,DATA!J:J)</f>
        <v>0</v>
      </c>
      <c r="M8">
        <f t="shared" si="0"/>
        <v>531</v>
      </c>
      <c r="N8">
        <f t="shared" si="1"/>
        <v>733</v>
      </c>
      <c r="O8" s="3">
        <f t="shared" si="2"/>
        <v>100</v>
      </c>
      <c r="P8">
        <f t="shared" si="3"/>
        <v>0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770</v>
      </c>
      <c r="F9">
        <f>SUMIF(DATA!$A:$A,PPL!$A9,DATA!D:D)</f>
        <v>445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325</v>
      </c>
      <c r="L9">
        <f>SUMIF(DATA!$A:$A,PPL!$A9,DATA!J:J)</f>
        <v>0</v>
      </c>
      <c r="M9">
        <f t="shared" si="0"/>
        <v>533</v>
      </c>
      <c r="N9">
        <f t="shared" si="1"/>
        <v>770</v>
      </c>
      <c r="O9" s="3">
        <f t="shared" si="2"/>
        <v>100</v>
      </c>
      <c r="P9">
        <f t="shared" si="3"/>
        <v>0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459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6</v>
      </c>
      <c r="J10">
        <f>SUMIF(DATA!$A:$A,PPL!$A10,DATA!H:H)</f>
        <v>0</v>
      </c>
      <c r="K10">
        <f>SUMIF(DATA!$A:$A,PPL!$A10,DATA!I:I)</f>
        <v>269</v>
      </c>
      <c r="L10">
        <f>SUMIF(DATA!$A:$A,PPL!$A10,DATA!J:J)</f>
        <v>0</v>
      </c>
      <c r="M10">
        <f t="shared" si="0"/>
        <v>497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677</v>
      </c>
      <c r="G11">
        <f>SUMIF(DATA!$A:$A,PPL!$A11,DATA!E:E)</f>
        <v>1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140</v>
      </c>
      <c r="L11">
        <f>SUMIF(DATA!$A:$A,PPL!$A11,DATA!J:J)</f>
        <v>0</v>
      </c>
      <c r="M11">
        <f t="shared" si="0"/>
        <v>459</v>
      </c>
      <c r="N11">
        <f t="shared" si="1"/>
        <v>817</v>
      </c>
      <c r="O11" s="3">
        <f t="shared" si="2"/>
        <v>99.877750611246938</v>
      </c>
      <c r="P11">
        <f t="shared" si="3"/>
        <v>1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371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390</v>
      </c>
      <c r="L12">
        <f>SUMIF(DATA!$A:$A,PPL!$A12,DATA!J:J)</f>
        <v>0</v>
      </c>
      <c r="M12">
        <f t="shared" si="0"/>
        <v>479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817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32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838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52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888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3</v>
      </c>
      <c r="J15">
        <f>SUMIF(DATA!$A:$A,PPL!$A15,DATA!H:H)</f>
        <v>0</v>
      </c>
      <c r="K15">
        <f>SUMIF(DATA!$A:$A,PPL!$A15,DATA!I:I)</f>
        <v>98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893</v>
      </c>
      <c r="F16">
        <f>SUMIF(DATA!$A:$A,PPL!$A16,DATA!D:D)</f>
        <v>411</v>
      </c>
      <c r="G16">
        <f>SUMIF(DATA!$A:$A,PPL!$A16,DATA!E:E)</f>
        <v>7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475</v>
      </c>
      <c r="L16">
        <f>SUMIF(DATA!$A:$A,PPL!$A16,DATA!J:J)</f>
        <v>0</v>
      </c>
      <c r="M16">
        <f t="shared" si="0"/>
        <v>669</v>
      </c>
      <c r="N16">
        <f t="shared" si="1"/>
        <v>886</v>
      </c>
      <c r="O16" s="3">
        <f t="shared" si="2"/>
        <v>99.216125419932808</v>
      </c>
      <c r="P16">
        <f t="shared" si="3"/>
        <v>7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854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38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1091</v>
      </c>
      <c r="F18">
        <f>SUMIF(DATA!$A:$A,PPL!$A18,DATA!D:D)</f>
        <v>845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244</v>
      </c>
      <c r="L18">
        <f>SUMIF(DATA!$A:$A,PPL!$A18,DATA!J:J)</f>
        <v>0</v>
      </c>
      <c r="M18">
        <f t="shared" si="0"/>
        <v>848</v>
      </c>
      <c r="N18">
        <f t="shared" si="1"/>
        <v>1089</v>
      </c>
      <c r="O18" s="3">
        <f t="shared" si="2"/>
        <v>99.816681943171403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650</v>
      </c>
      <c r="G19">
        <f>SUMIF(DATA!$A:$A,PPL!$A19,DATA!E:E)</f>
        <v>4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104</v>
      </c>
      <c r="L19">
        <f>SUMIF(DATA!$A:$A,PPL!$A19,DATA!J:J)</f>
        <v>0</v>
      </c>
      <c r="M19">
        <f t="shared" si="0"/>
        <v>597</v>
      </c>
      <c r="N19">
        <f t="shared" si="1"/>
        <v>754</v>
      </c>
      <c r="O19" s="3">
        <f t="shared" si="2"/>
        <v>99.47229551451187</v>
      </c>
      <c r="P19">
        <f t="shared" si="3"/>
        <v>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817</v>
      </c>
      <c r="F20">
        <f>SUMIF(DATA!$A:$A,PPL!$A20,DATA!D:D)</f>
        <v>335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9</v>
      </c>
      <c r="J20">
        <f>SUMIF(DATA!$A:$A,PPL!$A20,DATA!H:H)</f>
        <v>0</v>
      </c>
      <c r="K20">
        <f>SUMIF(DATA!$A:$A,PPL!$A20,DATA!I:I)</f>
        <v>473</v>
      </c>
      <c r="L20">
        <f>SUMIF(DATA!$A:$A,PPL!$A20,DATA!J:J)</f>
        <v>0</v>
      </c>
      <c r="M20">
        <f t="shared" si="0"/>
        <v>608</v>
      </c>
      <c r="N20">
        <f t="shared" si="1"/>
        <v>817</v>
      </c>
      <c r="O20" s="3">
        <f t="shared" si="2"/>
        <v>100</v>
      </c>
      <c r="P20">
        <f t="shared" si="3"/>
        <v>0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619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214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913</v>
      </c>
      <c r="F22">
        <f>SUMIF(DATA!$A:$A,PPL!$A22,DATA!D:D)</f>
        <v>660</v>
      </c>
      <c r="G22">
        <f>SUMIF(DATA!$A:$A,PPL!$A22,DATA!E:E)</f>
        <v>154</v>
      </c>
      <c r="H22">
        <f>SUMIF(DATA!$A:$A,PPL!$A22,DATA!F:F)</f>
        <v>0</v>
      </c>
      <c r="I22">
        <f>SUMIF(DATA!$A:$A,PPL!$A22,DATA!G:G)</f>
        <v>26</v>
      </c>
      <c r="J22">
        <f>SUMIF(DATA!$A:$A,PPL!$A22,DATA!H:H)</f>
        <v>5</v>
      </c>
      <c r="K22">
        <f>SUMIF(DATA!$A:$A,PPL!$A22,DATA!I:I)</f>
        <v>68</v>
      </c>
      <c r="L22">
        <f>SUMIF(DATA!$A:$A,PPL!$A22,DATA!J:J)</f>
        <v>0</v>
      </c>
      <c r="M22">
        <f t="shared" si="0"/>
        <v>526</v>
      </c>
      <c r="N22">
        <f t="shared" si="1"/>
        <v>759</v>
      </c>
      <c r="O22" s="3">
        <f t="shared" si="2"/>
        <v>83.132530120481931</v>
      </c>
      <c r="P22">
        <f t="shared" si="3"/>
        <v>154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935</v>
      </c>
      <c r="F23">
        <f>SUMIF(DATA!$A:$A,PPL!$A23,DATA!D:D)</f>
        <v>931</v>
      </c>
      <c r="G23">
        <f>SUMIF(DATA!$A:$A,PPL!$A23,DATA!E:E)</f>
        <v>2</v>
      </c>
      <c r="H23">
        <f>SUMIF(DATA!$A:$A,PPL!$A23,DATA!F:F)</f>
        <v>0</v>
      </c>
      <c r="I23">
        <f>SUMIF(DATA!$A:$A,PPL!$A23,DATA!G:G)</f>
        <v>1</v>
      </c>
      <c r="J23">
        <f>SUMIF(DATA!$A:$A,PPL!$A23,DATA!H:H)</f>
        <v>0</v>
      </c>
      <c r="K23">
        <f>SUMIF(DATA!$A:$A,PPL!$A23,DATA!I:I)</f>
        <v>1</v>
      </c>
      <c r="L23">
        <f>SUMIF(DATA!$A:$A,PPL!$A23,DATA!J:J)</f>
        <v>0</v>
      </c>
      <c r="M23">
        <f t="shared" si="0"/>
        <v>644</v>
      </c>
      <c r="N23">
        <f t="shared" si="1"/>
        <v>933</v>
      </c>
      <c r="O23" s="3">
        <f t="shared" si="2"/>
        <v>99.786096256684488</v>
      </c>
      <c r="P23">
        <f t="shared" si="3"/>
        <v>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848</v>
      </c>
      <c r="F24">
        <f>SUMIF(DATA!$A:$A,PPL!$A24,DATA!D:D)</f>
        <v>753</v>
      </c>
      <c r="G24">
        <f>SUMIF(DATA!$A:$A,PPL!$A24,DATA!E:E)</f>
        <v>65</v>
      </c>
      <c r="H24">
        <f>SUMIF(DATA!$A:$A,PPL!$A24,DATA!F:F)</f>
        <v>0</v>
      </c>
      <c r="I24">
        <f>SUMIF(DATA!$A:$A,PPL!$A24,DATA!G:G)</f>
        <v>10</v>
      </c>
      <c r="J24">
        <f>SUMIF(DATA!$A:$A,PPL!$A24,DATA!H:H)</f>
        <v>0</v>
      </c>
      <c r="K24">
        <f>SUMIF(DATA!$A:$A,PPL!$A24,DATA!I:I)</f>
        <v>20</v>
      </c>
      <c r="L24">
        <f>SUMIF(DATA!$A:$A,PPL!$A24,DATA!J:J)</f>
        <v>0</v>
      </c>
      <c r="M24">
        <f t="shared" si="0"/>
        <v>561</v>
      </c>
      <c r="N24">
        <f t="shared" si="1"/>
        <v>783</v>
      </c>
      <c r="O24" s="3">
        <f t="shared" si="2"/>
        <v>92.334905660377359</v>
      </c>
      <c r="P24">
        <f t="shared" si="3"/>
        <v>65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764</v>
      </c>
      <c r="G25">
        <f>SUMIF(DATA!$A:$A,PPL!$A25,DATA!E:E)</f>
        <v>10</v>
      </c>
      <c r="H25">
        <f>SUMIF(DATA!$A:$A,PPL!$A25,DATA!F:F)</f>
        <v>0</v>
      </c>
      <c r="I25">
        <f>SUMIF(DATA!$A:$A,PPL!$A25,DATA!G:G)</f>
        <v>5</v>
      </c>
      <c r="J25">
        <f>SUMIF(DATA!$A:$A,PPL!$A25,DATA!H:H)</f>
        <v>0</v>
      </c>
      <c r="K25">
        <f>SUMIF(DATA!$A:$A,PPL!$A25,DATA!I:I)</f>
        <v>172</v>
      </c>
      <c r="L25">
        <f>SUMIF(DATA!$A:$A,PPL!$A25,DATA!J:J)</f>
        <v>0</v>
      </c>
      <c r="M25">
        <f t="shared" si="0"/>
        <v>583</v>
      </c>
      <c r="N25">
        <f t="shared" si="1"/>
        <v>941</v>
      </c>
      <c r="O25" s="3">
        <f t="shared" si="2"/>
        <v>98.948475289169295</v>
      </c>
      <c r="P25">
        <f t="shared" si="3"/>
        <v>10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983</v>
      </c>
      <c r="F26">
        <f>SUMIF(DATA!$A:$A,PPL!$A26,DATA!D:D)</f>
        <v>636</v>
      </c>
      <c r="G26">
        <f>SUMIF(DATA!$A:$A,PPL!$A26,DATA!E:E)</f>
        <v>3</v>
      </c>
      <c r="H26">
        <f>SUMIF(DATA!$A:$A,PPL!$A26,DATA!F:F)</f>
        <v>0</v>
      </c>
      <c r="I26">
        <f>SUMIF(DATA!$A:$A,PPL!$A26,DATA!G:G)</f>
        <v>26</v>
      </c>
      <c r="J26">
        <f>SUMIF(DATA!$A:$A,PPL!$A26,DATA!H:H)</f>
        <v>0</v>
      </c>
      <c r="K26">
        <f>SUMIF(DATA!$A:$A,PPL!$A26,DATA!I:I)</f>
        <v>318</v>
      </c>
      <c r="L26">
        <f>SUMIF(DATA!$A:$A,PPL!$A26,DATA!J:J)</f>
        <v>0</v>
      </c>
      <c r="M26">
        <f t="shared" si="0"/>
        <v>688</v>
      </c>
      <c r="N26">
        <f t="shared" si="1"/>
        <v>980</v>
      </c>
      <c r="O26" s="3">
        <f t="shared" si="2"/>
        <v>99.694811800610367</v>
      </c>
      <c r="P26">
        <f t="shared" si="3"/>
        <v>3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745</v>
      </c>
      <c r="F27">
        <f>SUMIF(DATA!$A:$A,PPL!$A27,DATA!D:D)</f>
        <v>406</v>
      </c>
      <c r="G27">
        <f>SUMIF(DATA!$A:$A,PPL!$A27,DATA!E:E)</f>
        <v>8</v>
      </c>
      <c r="H27">
        <f>SUMIF(DATA!$A:$A,PPL!$A27,DATA!F:F)</f>
        <v>0</v>
      </c>
      <c r="I27">
        <f>SUMIF(DATA!$A:$A,PPL!$A27,DATA!G:G)</f>
        <v>19</v>
      </c>
      <c r="J27">
        <f>SUMIF(DATA!$A:$A,PPL!$A27,DATA!H:H)</f>
        <v>0</v>
      </c>
      <c r="K27">
        <f>SUMIF(DATA!$A:$A,PPL!$A27,DATA!I:I)</f>
        <v>312</v>
      </c>
      <c r="L27">
        <f>SUMIF(DATA!$A:$A,PPL!$A27,DATA!J:J)</f>
        <v>0</v>
      </c>
      <c r="M27">
        <f t="shared" si="0"/>
        <v>477</v>
      </c>
      <c r="N27">
        <f t="shared" si="1"/>
        <v>737</v>
      </c>
      <c r="O27" s="3">
        <f t="shared" si="2"/>
        <v>98.926174496644293</v>
      </c>
      <c r="P27">
        <f t="shared" si="3"/>
        <v>8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991</v>
      </c>
      <c r="F28">
        <f>SUMIF(DATA!$A:$A,PPL!$A28,DATA!D:D)</f>
        <v>752</v>
      </c>
      <c r="G28">
        <f>SUMIF(DATA!$A:$A,PPL!$A28,DATA!E:E)</f>
        <v>130</v>
      </c>
      <c r="H28">
        <f>SUMIF(DATA!$A:$A,PPL!$A28,DATA!F:F)</f>
        <v>0</v>
      </c>
      <c r="I28">
        <f>SUMIF(DATA!$A:$A,PPL!$A28,DATA!G:G)</f>
        <v>0</v>
      </c>
      <c r="J28">
        <f>SUMIF(DATA!$A:$A,PPL!$A28,DATA!H:H)</f>
        <v>4</v>
      </c>
      <c r="K28">
        <f>SUMIF(DATA!$A:$A,PPL!$A28,DATA!I:I)</f>
        <v>105</v>
      </c>
      <c r="L28">
        <f>SUMIF(DATA!$A:$A,PPL!$A28,DATA!J:J)</f>
        <v>0</v>
      </c>
      <c r="M28">
        <f t="shared" si="0"/>
        <v>567</v>
      </c>
      <c r="N28">
        <f t="shared" si="1"/>
        <v>861</v>
      </c>
      <c r="O28" s="3">
        <f t="shared" si="2"/>
        <v>86.88193743693239</v>
      </c>
      <c r="P28">
        <f t="shared" si="3"/>
        <v>130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688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823</v>
      </c>
      <c r="F30">
        <f>SUMIF(DATA!$A:$A,PPL!$A30,DATA!D:D)</f>
        <v>315</v>
      </c>
      <c r="G30">
        <f>SUMIF(DATA!$A:$A,PPL!$A30,DATA!E:E)</f>
        <v>70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438</v>
      </c>
      <c r="L30">
        <f>SUMIF(DATA!$A:$A,PPL!$A30,DATA!J:J)</f>
        <v>0</v>
      </c>
      <c r="M30">
        <f t="shared" si="0"/>
        <v>499</v>
      </c>
      <c r="N30">
        <f t="shared" si="1"/>
        <v>753</v>
      </c>
      <c r="O30" s="3">
        <f t="shared" si="2"/>
        <v>91.494532199270964</v>
      </c>
      <c r="P30">
        <f t="shared" si="3"/>
        <v>70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414</v>
      </c>
      <c r="G31">
        <f>SUMIF(DATA!$A:$A,PPL!$A31,DATA!E:E)</f>
        <v>42</v>
      </c>
      <c r="H31">
        <f>SUMIF(DATA!$A:$A,PPL!$A31,DATA!F:F)</f>
        <v>0</v>
      </c>
      <c r="I31">
        <f>SUMIF(DATA!$A:$A,PPL!$A31,DATA!G:G)</f>
        <v>1</v>
      </c>
      <c r="J31">
        <f>SUMIF(DATA!$A:$A,PPL!$A31,DATA!H:H)</f>
        <v>1</v>
      </c>
      <c r="K31">
        <f>SUMIF(DATA!$A:$A,PPL!$A31,DATA!I:I)</f>
        <v>421</v>
      </c>
      <c r="L31">
        <f>SUMIF(DATA!$A:$A,PPL!$A31,DATA!J:J)</f>
        <v>0</v>
      </c>
      <c r="M31">
        <f t="shared" si="0"/>
        <v>487</v>
      </c>
      <c r="N31">
        <f t="shared" si="1"/>
        <v>837</v>
      </c>
      <c r="O31" s="3">
        <f t="shared" si="2"/>
        <v>95.221843003412971</v>
      </c>
      <c r="P31">
        <f t="shared" si="3"/>
        <v>42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943</v>
      </c>
      <c r="F32">
        <f>SUMIF(DATA!$A:$A,PPL!$A32,DATA!D:D)</f>
        <v>635</v>
      </c>
      <c r="G32">
        <f>SUMIF(DATA!$A:$A,PPL!$A32,DATA!E:E)</f>
        <v>2</v>
      </c>
      <c r="H32">
        <f>SUMIF(DATA!$A:$A,PPL!$A32,DATA!F:F)</f>
        <v>0</v>
      </c>
      <c r="I32">
        <f>SUMIF(DATA!$A:$A,PPL!$A32,DATA!G:G)</f>
        <v>23</v>
      </c>
      <c r="J32">
        <f>SUMIF(DATA!$A:$A,PPL!$A32,DATA!H:H)</f>
        <v>0</v>
      </c>
      <c r="K32">
        <f>SUMIF(DATA!$A:$A,PPL!$A32,DATA!I:I)</f>
        <v>283</v>
      </c>
      <c r="L32">
        <f>SUMIF(DATA!$A:$A,PPL!$A32,DATA!J:J)</f>
        <v>0</v>
      </c>
      <c r="M32">
        <f t="shared" si="0"/>
        <v>536</v>
      </c>
      <c r="N32">
        <f t="shared" si="1"/>
        <v>941</v>
      </c>
      <c r="O32" s="3">
        <f t="shared" si="2"/>
        <v>99.787910922587486</v>
      </c>
      <c r="P32">
        <f t="shared" si="3"/>
        <v>2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880</v>
      </c>
      <c r="F33">
        <f>SUMIF(DATA!$A:$A,PPL!$A33,DATA!D:D)</f>
        <v>614</v>
      </c>
      <c r="G33">
        <f>SUMIF(DATA!$A:$A,PPL!$A33,DATA!E:E)</f>
        <v>16</v>
      </c>
      <c r="H33">
        <f>SUMIF(DATA!$A:$A,PPL!$A33,DATA!F:F)</f>
        <v>0</v>
      </c>
      <c r="I33">
        <f>SUMIF(DATA!$A:$A,PPL!$A33,DATA!G:G)</f>
        <v>2</v>
      </c>
      <c r="J33">
        <f>SUMIF(DATA!$A:$A,PPL!$A33,DATA!H:H)</f>
        <v>0</v>
      </c>
      <c r="K33">
        <f>SUMIF(DATA!$A:$A,PPL!$A33,DATA!I:I)</f>
        <v>248</v>
      </c>
      <c r="L33">
        <f>SUMIF(DATA!$A:$A,PPL!$A33,DATA!J:J)</f>
        <v>0</v>
      </c>
      <c r="M33">
        <f t="shared" si="0"/>
        <v>604</v>
      </c>
      <c r="N33">
        <f t="shared" si="1"/>
        <v>864</v>
      </c>
      <c r="O33" s="3">
        <f t="shared" si="2"/>
        <v>98.181818181818187</v>
      </c>
      <c r="P33">
        <f t="shared" si="3"/>
        <v>16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794</v>
      </c>
      <c r="F34">
        <f>SUMIF(DATA!$A:$A,PPL!$A34,DATA!D:D)</f>
        <v>614</v>
      </c>
      <c r="G34">
        <f>SUMIF(DATA!$A:$A,PPL!$A34,DATA!E:E)</f>
        <v>116</v>
      </c>
      <c r="H34">
        <f>SUMIF(DATA!$A:$A,PPL!$A34,DATA!F:F)</f>
        <v>0</v>
      </c>
      <c r="I34">
        <f>SUMIF(DATA!$A:$A,PPL!$A34,DATA!G:G)</f>
        <v>9</v>
      </c>
      <c r="J34">
        <f>SUMIF(DATA!$A:$A,PPL!$A34,DATA!H:H)</f>
        <v>1</v>
      </c>
      <c r="K34">
        <f>SUMIF(DATA!$A:$A,PPL!$A34,DATA!I:I)</f>
        <v>54</v>
      </c>
      <c r="L34">
        <f>SUMIF(DATA!$A:$A,PPL!$A34,DATA!J:J)</f>
        <v>0</v>
      </c>
      <c r="M34">
        <f t="shared" ref="M34:M65" si="4">N34-Q34</f>
        <v>425</v>
      </c>
      <c r="N34">
        <f t="shared" si="1"/>
        <v>678</v>
      </c>
      <c r="O34" s="3">
        <f t="shared" si="2"/>
        <v>85.390428211586894</v>
      </c>
      <c r="P34">
        <f t="shared" si="3"/>
        <v>116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734</v>
      </c>
      <c r="F35">
        <f>SUMIF(DATA!$A:$A,PPL!$A35,DATA!D:D)</f>
        <v>509</v>
      </c>
      <c r="G35">
        <f>SUMIF(DATA!$A:$A,PPL!$A35,DATA!E:E)</f>
        <v>146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78</v>
      </c>
      <c r="L35">
        <f>SUMIF(DATA!$A:$A,PPL!$A35,DATA!J:J)</f>
        <v>0</v>
      </c>
      <c r="M35">
        <f t="shared" si="4"/>
        <v>363</v>
      </c>
      <c r="N35">
        <f t="shared" si="1"/>
        <v>588</v>
      </c>
      <c r="O35" s="3">
        <f t="shared" si="2"/>
        <v>80.108991825613074</v>
      </c>
      <c r="P35">
        <f t="shared" si="3"/>
        <v>146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1012</v>
      </c>
      <c r="F36">
        <f>SUMIF(DATA!$A:$A,PPL!$A36,DATA!D:D)</f>
        <v>948</v>
      </c>
      <c r="G36">
        <f>SUMIF(DATA!$A:$A,PPL!$A36,DATA!E:E)</f>
        <v>30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31</v>
      </c>
      <c r="L36">
        <f>SUMIF(DATA!$A:$A,PPL!$A36,DATA!J:J)</f>
        <v>0</v>
      </c>
      <c r="M36">
        <f t="shared" si="4"/>
        <v>598</v>
      </c>
      <c r="N36">
        <f t="shared" si="1"/>
        <v>982</v>
      </c>
      <c r="O36" s="3">
        <f t="shared" si="2"/>
        <v>97.035573122529641</v>
      </c>
      <c r="P36">
        <f t="shared" si="3"/>
        <v>30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889</v>
      </c>
      <c r="F37">
        <f>SUMIF(DATA!$A:$A,PPL!$A37,DATA!D:D)</f>
        <v>681</v>
      </c>
      <c r="G37">
        <f>SUMIF(DATA!$A:$A,PPL!$A37,DATA!E:E)</f>
        <v>70</v>
      </c>
      <c r="H37">
        <f>SUMIF(DATA!$A:$A,PPL!$A37,DATA!F:F)</f>
        <v>0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137</v>
      </c>
      <c r="L37">
        <f>SUMIF(DATA!$A:$A,PPL!$A37,DATA!J:J)</f>
        <v>0</v>
      </c>
      <c r="M37">
        <f t="shared" si="4"/>
        <v>509</v>
      </c>
      <c r="N37">
        <f t="shared" si="1"/>
        <v>819</v>
      </c>
      <c r="O37" s="3">
        <f t="shared" si="2"/>
        <v>92.125984251968504</v>
      </c>
      <c r="P37">
        <f t="shared" si="3"/>
        <v>70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1233</v>
      </c>
      <c r="F38">
        <f>SUMIF(DATA!$A:$A,PPL!$A38,DATA!D:D)</f>
        <v>426</v>
      </c>
      <c r="G38">
        <f>SUMIF(DATA!$A:$A,PPL!$A38,DATA!E:E)</f>
        <v>148</v>
      </c>
      <c r="H38">
        <f>SUMIF(DATA!$A:$A,PPL!$A38,DATA!F:F)</f>
        <v>0</v>
      </c>
      <c r="I38">
        <f>SUMIF(DATA!$A:$A,PPL!$A38,DATA!G:G)</f>
        <v>15</v>
      </c>
      <c r="J38">
        <f>SUMIF(DATA!$A:$A,PPL!$A38,DATA!H:H)</f>
        <v>1</v>
      </c>
      <c r="K38">
        <f>SUMIF(DATA!$A:$A,PPL!$A38,DATA!I:I)</f>
        <v>643</v>
      </c>
      <c r="L38">
        <f>SUMIF(DATA!$A:$A,PPL!$A38,DATA!J:J)</f>
        <v>0</v>
      </c>
      <c r="M38">
        <f t="shared" si="4"/>
        <v>674</v>
      </c>
      <c r="N38">
        <f t="shared" si="1"/>
        <v>1085</v>
      </c>
      <c r="O38" s="3">
        <f t="shared" si="2"/>
        <v>87.996755879967566</v>
      </c>
      <c r="P38">
        <f t="shared" si="3"/>
        <v>148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886</v>
      </c>
      <c r="F39">
        <f>SUMIF(DATA!$A:$A,PPL!$A39,DATA!D:D)</f>
        <v>688</v>
      </c>
      <c r="G39">
        <f>SUMIF(DATA!$A:$A,PPL!$A39,DATA!E:E)</f>
        <v>40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155</v>
      </c>
      <c r="L39">
        <f>SUMIF(DATA!$A:$A,PPL!$A39,DATA!J:J)</f>
        <v>2</v>
      </c>
      <c r="M39">
        <f t="shared" si="4"/>
        <v>654</v>
      </c>
      <c r="N39">
        <f t="shared" si="1"/>
        <v>846</v>
      </c>
      <c r="O39" s="3">
        <f t="shared" si="2"/>
        <v>95.485327313769758</v>
      </c>
      <c r="P39">
        <f t="shared" si="3"/>
        <v>40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337</v>
      </c>
      <c r="G40">
        <f>SUMIF(DATA!$A:$A,PPL!$A40,DATA!E:E)</f>
        <v>15</v>
      </c>
      <c r="H40">
        <f>SUMIF(DATA!$A:$A,PPL!$A40,DATA!F:F)</f>
        <v>0</v>
      </c>
      <c r="I40">
        <f>SUMIF(DATA!$A:$A,PPL!$A40,DATA!G:G)</f>
        <v>43</v>
      </c>
      <c r="J40">
        <f>SUMIF(DATA!$A:$A,PPL!$A40,DATA!H:H)</f>
        <v>2</v>
      </c>
      <c r="K40">
        <f>SUMIF(DATA!$A:$A,PPL!$A40,DATA!I:I)</f>
        <v>477</v>
      </c>
      <c r="L40">
        <f>SUMIF(DATA!$A:$A,PPL!$A40,DATA!J:J)</f>
        <v>1</v>
      </c>
      <c r="M40">
        <f t="shared" si="4"/>
        <v>526</v>
      </c>
      <c r="N40">
        <f t="shared" si="1"/>
        <v>860</v>
      </c>
      <c r="O40" s="3">
        <f t="shared" si="2"/>
        <v>98.285714285714292</v>
      </c>
      <c r="P40">
        <f t="shared" si="3"/>
        <v>15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1015</v>
      </c>
      <c r="F41">
        <f>SUMIF(DATA!$A:$A,PPL!$A41,DATA!D:D)</f>
        <v>646</v>
      </c>
      <c r="G41">
        <f>SUMIF(DATA!$A:$A,PPL!$A41,DATA!E:E)</f>
        <v>79</v>
      </c>
      <c r="H41">
        <f>SUMIF(DATA!$A:$A,PPL!$A41,DATA!F:F)</f>
        <v>0</v>
      </c>
      <c r="I41">
        <f>SUMIF(DATA!$A:$A,PPL!$A41,DATA!G:G)</f>
        <v>3</v>
      </c>
      <c r="J41">
        <f>SUMIF(DATA!$A:$A,PPL!$A41,DATA!H:H)</f>
        <v>3</v>
      </c>
      <c r="K41">
        <f>SUMIF(DATA!$A:$A,PPL!$A41,DATA!I:I)</f>
        <v>284</v>
      </c>
      <c r="L41">
        <f>SUMIF(DATA!$A:$A,PPL!$A41,DATA!J:J)</f>
        <v>0</v>
      </c>
      <c r="M41">
        <f t="shared" si="4"/>
        <v>631</v>
      </c>
      <c r="N41">
        <f t="shared" si="1"/>
        <v>936</v>
      </c>
      <c r="O41" s="3">
        <f t="shared" si="2"/>
        <v>92.216748768472911</v>
      </c>
      <c r="P41">
        <f t="shared" si="3"/>
        <v>79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853</v>
      </c>
      <c r="F42">
        <f>SUMIF(DATA!$A:$A,PPL!$A42,DATA!D:D)</f>
        <v>353</v>
      </c>
      <c r="G42">
        <f>SUMIF(DATA!$A:$A,PPL!$A42,DATA!E:E)</f>
        <v>152</v>
      </c>
      <c r="H42">
        <f>SUMIF(DATA!$A:$A,PPL!$A42,DATA!F:F)</f>
        <v>2</v>
      </c>
      <c r="I42">
        <f>SUMIF(DATA!$A:$A,PPL!$A42,DATA!G:G)</f>
        <v>45</v>
      </c>
      <c r="J42">
        <f>SUMIF(DATA!$A:$A,PPL!$A42,DATA!H:H)</f>
        <v>0</v>
      </c>
      <c r="K42">
        <f>SUMIF(DATA!$A:$A,PPL!$A42,DATA!I:I)</f>
        <v>301</v>
      </c>
      <c r="L42">
        <f>SUMIF(DATA!$A:$A,PPL!$A42,DATA!J:J)</f>
        <v>0</v>
      </c>
      <c r="M42">
        <f t="shared" si="4"/>
        <v>485</v>
      </c>
      <c r="N42">
        <f t="shared" si="1"/>
        <v>699</v>
      </c>
      <c r="O42" s="3">
        <f t="shared" si="2"/>
        <v>81.946072684642431</v>
      </c>
      <c r="P42">
        <f t="shared" si="3"/>
        <v>154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838</v>
      </c>
      <c r="F43">
        <f>SUMIF(DATA!$A:$A,PPL!$A43,DATA!D:D)</f>
        <v>302</v>
      </c>
      <c r="G43">
        <f>SUMIF(DATA!$A:$A,PPL!$A43,DATA!E:E)</f>
        <v>6</v>
      </c>
      <c r="H43">
        <f>SUMIF(DATA!$A:$A,PPL!$A43,DATA!F:F)</f>
        <v>0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530</v>
      </c>
      <c r="L43">
        <f>SUMIF(DATA!$A:$A,PPL!$A43,DATA!J:J)</f>
        <v>0</v>
      </c>
      <c r="M43">
        <f t="shared" si="4"/>
        <v>598</v>
      </c>
      <c r="N43">
        <f t="shared" si="1"/>
        <v>832</v>
      </c>
      <c r="O43" s="3">
        <f t="shared" si="2"/>
        <v>99.28400954653938</v>
      </c>
      <c r="P43">
        <f t="shared" si="3"/>
        <v>6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564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1</v>
      </c>
      <c r="J44">
        <f>SUMIF(DATA!$A:$A,PPL!$A44,DATA!H:H)</f>
        <v>0</v>
      </c>
      <c r="K44">
        <f>SUMIF(DATA!$A:$A,PPL!$A44,DATA!I:I)</f>
        <v>46</v>
      </c>
      <c r="L44">
        <f>SUMIF(DATA!$A:$A,PPL!$A44,DATA!J:J)</f>
        <v>0</v>
      </c>
      <c r="M44">
        <f t="shared" si="4"/>
        <v>412</v>
      </c>
      <c r="N44">
        <f t="shared" si="1"/>
        <v>611</v>
      </c>
      <c r="O44" s="3">
        <f t="shared" si="2"/>
        <v>100</v>
      </c>
      <c r="P44">
        <f t="shared" si="3"/>
        <v>0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659</v>
      </c>
      <c r="F45">
        <f>SUMIF(DATA!$A:$A,PPL!$A45,DATA!D:D)</f>
        <v>654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501</v>
      </c>
      <c r="N45">
        <f t="shared" si="1"/>
        <v>655</v>
      </c>
      <c r="O45" s="3">
        <f t="shared" si="2"/>
        <v>99.393019726858881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447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44</v>
      </c>
      <c r="J46">
        <f>SUMIF(DATA!$A:$A,PPL!$A46,DATA!H:H)</f>
        <v>1</v>
      </c>
      <c r="K46">
        <f>SUMIF(DATA!$A:$A,PPL!$A46,DATA!I:I)</f>
        <v>181</v>
      </c>
      <c r="L46">
        <f>SUMIF(DATA!$A:$A,PPL!$A46,DATA!J:J)</f>
        <v>0</v>
      </c>
      <c r="M46">
        <f t="shared" si="4"/>
        <v>365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394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1</v>
      </c>
      <c r="K47">
        <f>SUMIF(DATA!$A:$A,PPL!$A47,DATA!I:I)</f>
        <v>331</v>
      </c>
      <c r="L47">
        <f>SUMIF(DATA!$A:$A,PPL!$A47,DATA!J:J)</f>
        <v>0</v>
      </c>
      <c r="M47">
        <f t="shared" si="4"/>
        <v>488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706</v>
      </c>
      <c r="F48">
        <f>SUMIF(DATA!$A:$A,PPL!$A48,DATA!D:D)</f>
        <v>296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11</v>
      </c>
      <c r="J48">
        <f>SUMIF(DATA!$A:$A,PPL!$A48,DATA!H:H)</f>
        <v>2</v>
      </c>
      <c r="K48">
        <f>SUMIF(DATA!$A:$A,PPL!$A48,DATA!I:I)</f>
        <v>397</v>
      </c>
      <c r="L48">
        <f>SUMIF(DATA!$A:$A,PPL!$A48,DATA!J:J)</f>
        <v>0</v>
      </c>
      <c r="M48">
        <f t="shared" si="4"/>
        <v>472</v>
      </c>
      <c r="N48">
        <f t="shared" si="1"/>
        <v>706</v>
      </c>
      <c r="O48" s="3">
        <f t="shared" si="2"/>
        <v>100</v>
      </c>
      <c r="P48">
        <f t="shared" si="3"/>
        <v>0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817</v>
      </c>
      <c r="F49">
        <f>SUMIF(DATA!$A:$A,PPL!$A49,DATA!D:D)</f>
        <v>273</v>
      </c>
      <c r="G49">
        <f>SUMIF(DATA!$A:$A,PPL!$A49,DATA!E:E)</f>
        <v>69</v>
      </c>
      <c r="H49">
        <f>SUMIF(DATA!$A:$A,PPL!$A49,DATA!F:F)</f>
        <v>0</v>
      </c>
      <c r="I49">
        <f>SUMIF(DATA!$A:$A,PPL!$A49,DATA!G:G)</f>
        <v>6</v>
      </c>
      <c r="J49">
        <f>SUMIF(DATA!$A:$A,PPL!$A49,DATA!H:H)</f>
        <v>0</v>
      </c>
      <c r="K49">
        <f>SUMIF(DATA!$A:$A,PPL!$A49,DATA!I:I)</f>
        <v>469</v>
      </c>
      <c r="L49">
        <f>SUMIF(DATA!$A:$A,PPL!$A49,DATA!J:J)</f>
        <v>0</v>
      </c>
      <c r="M49">
        <f t="shared" si="4"/>
        <v>464</v>
      </c>
      <c r="N49">
        <f t="shared" si="1"/>
        <v>748</v>
      </c>
      <c r="O49" s="3">
        <f t="shared" si="2"/>
        <v>91.554467564259483</v>
      </c>
      <c r="P49">
        <f t="shared" si="3"/>
        <v>69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827</v>
      </c>
      <c r="F50">
        <f>SUMIF(DATA!$A:$A,PPL!$A50,DATA!D:D)</f>
        <v>629</v>
      </c>
      <c r="G50">
        <f>SUMIF(DATA!$A:$A,PPL!$A50,DATA!E:E)</f>
        <v>38</v>
      </c>
      <c r="H50">
        <f>SUMIF(DATA!$A:$A,PPL!$A50,DATA!F:F)</f>
        <v>0</v>
      </c>
      <c r="I50">
        <f>SUMIF(DATA!$A:$A,PPL!$A50,DATA!G:G)</f>
        <v>17</v>
      </c>
      <c r="J50">
        <f>SUMIF(DATA!$A:$A,PPL!$A50,DATA!H:H)</f>
        <v>1</v>
      </c>
      <c r="K50">
        <f>SUMIF(DATA!$A:$A,PPL!$A50,DATA!I:I)</f>
        <v>142</v>
      </c>
      <c r="L50">
        <f>SUMIF(DATA!$A:$A,PPL!$A50,DATA!J:J)</f>
        <v>0</v>
      </c>
      <c r="M50">
        <f t="shared" si="4"/>
        <v>556</v>
      </c>
      <c r="N50">
        <f t="shared" si="1"/>
        <v>789</v>
      </c>
      <c r="O50" s="3">
        <f t="shared" si="2"/>
        <v>95.405078597339781</v>
      </c>
      <c r="P50">
        <f t="shared" si="3"/>
        <v>38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481</v>
      </c>
      <c r="G51">
        <f>SUMIF(DATA!$A:$A,PPL!$A51,DATA!E:E)</f>
        <v>13</v>
      </c>
      <c r="H51">
        <f>SUMIF(DATA!$A:$A,PPL!$A51,DATA!F:F)</f>
        <v>0</v>
      </c>
      <c r="I51">
        <f>SUMIF(DATA!$A:$A,PPL!$A51,DATA!G:G)</f>
        <v>43</v>
      </c>
      <c r="J51">
        <f>SUMIF(DATA!$A:$A,PPL!$A51,DATA!H:H)</f>
        <v>0</v>
      </c>
      <c r="K51">
        <f>SUMIF(DATA!$A:$A,PPL!$A51,DATA!I:I)</f>
        <v>138</v>
      </c>
      <c r="L51">
        <f>SUMIF(DATA!$A:$A,PPL!$A51,DATA!J:J)</f>
        <v>0</v>
      </c>
      <c r="M51">
        <f t="shared" si="4"/>
        <v>499</v>
      </c>
      <c r="N51">
        <f t="shared" si="1"/>
        <v>662</v>
      </c>
      <c r="O51" s="3">
        <f t="shared" si="2"/>
        <v>98.074074074074076</v>
      </c>
      <c r="P51">
        <f t="shared" si="3"/>
        <v>13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532</v>
      </c>
      <c r="G52">
        <f>SUMIF(DATA!$A:$A,PPL!$A52,DATA!E:E)</f>
        <v>7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350</v>
      </c>
      <c r="L52">
        <f>SUMIF(DATA!$A:$A,PPL!$A52,DATA!J:J)</f>
        <v>0</v>
      </c>
      <c r="M52">
        <f t="shared" si="4"/>
        <v>644</v>
      </c>
      <c r="N52">
        <f t="shared" si="1"/>
        <v>882</v>
      </c>
      <c r="O52" s="3">
        <f t="shared" si="2"/>
        <v>99.212598425196859</v>
      </c>
      <c r="P52">
        <f t="shared" si="3"/>
        <v>7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503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160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1</v>
      </c>
      <c r="J54">
        <f>SUMIF(DATA!$A:$A,PPL!$A54,DATA!H:H)</f>
        <v>1</v>
      </c>
      <c r="K54">
        <f>SUMIF(DATA!$A:$A,PPL!$A54,DATA!I:I)</f>
        <v>182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224</v>
      </c>
      <c r="G55">
        <f>SUMIF(DATA!$A:$A,PPL!$A55,DATA!E:E)</f>
        <v>36</v>
      </c>
      <c r="H55">
        <f>SUMIF(DATA!$A:$A,PPL!$A55,DATA!F:F)</f>
        <v>0</v>
      </c>
      <c r="I55">
        <f>SUMIF(DATA!$A:$A,PPL!$A55,DATA!G:G)</f>
        <v>41</v>
      </c>
      <c r="J55">
        <f>SUMIF(DATA!$A:$A,PPL!$A55,DATA!H:H)</f>
        <v>1</v>
      </c>
      <c r="K55">
        <f>SUMIF(DATA!$A:$A,PPL!$A55,DATA!I:I)</f>
        <v>440</v>
      </c>
      <c r="L55">
        <f>SUMIF(DATA!$A:$A,PPL!$A55,DATA!J:J)</f>
        <v>0</v>
      </c>
      <c r="M55">
        <f t="shared" si="4"/>
        <v>571</v>
      </c>
      <c r="N55">
        <f t="shared" si="1"/>
        <v>706</v>
      </c>
      <c r="O55" s="3">
        <f t="shared" si="2"/>
        <v>95.148247978436657</v>
      </c>
      <c r="P55">
        <f t="shared" si="3"/>
        <v>36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733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31</v>
      </c>
      <c r="J56">
        <f>SUMIF(DATA!$A:$A,PPL!$A56,DATA!H:H)</f>
        <v>0</v>
      </c>
      <c r="K56">
        <f>SUMIF(DATA!$A:$A,PPL!$A56,DATA!I:I)</f>
        <v>322</v>
      </c>
      <c r="L56">
        <f>SUMIF(DATA!$A:$A,PPL!$A56,DATA!J:J)</f>
        <v>0</v>
      </c>
      <c r="M56">
        <f t="shared" si="4"/>
        <v>498</v>
      </c>
      <c r="N56">
        <f t="shared" si="1"/>
        <v>727</v>
      </c>
      <c r="O56" s="3">
        <f t="shared" si="2"/>
        <v>99.181446111869036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795</v>
      </c>
      <c r="F57">
        <f>SUMIF(DATA!$A:$A,PPL!$A57,DATA!D:D)</f>
        <v>795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560</v>
      </c>
      <c r="N57">
        <f t="shared" si="1"/>
        <v>795</v>
      </c>
      <c r="O57" s="3">
        <f t="shared" si="2"/>
        <v>100</v>
      </c>
      <c r="P57">
        <f t="shared" si="3"/>
        <v>0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832</v>
      </c>
      <c r="F58">
        <f>SUMIF(DATA!$A:$A,PPL!$A58,DATA!D:D)</f>
        <v>673</v>
      </c>
      <c r="G58">
        <f>SUMIF(DATA!$A:$A,PPL!$A58,DATA!E:E)</f>
        <v>7</v>
      </c>
      <c r="H58">
        <f>SUMIF(DATA!$A:$A,PPL!$A58,DATA!F:F)</f>
        <v>0</v>
      </c>
      <c r="I58">
        <f>SUMIF(DATA!$A:$A,PPL!$A58,DATA!G:G)</f>
        <v>33</v>
      </c>
      <c r="J58">
        <f>SUMIF(DATA!$A:$A,PPL!$A58,DATA!H:H)</f>
        <v>1</v>
      </c>
      <c r="K58">
        <f>SUMIF(DATA!$A:$A,PPL!$A58,DATA!I:I)</f>
        <v>118</v>
      </c>
      <c r="L58">
        <f>SUMIF(DATA!$A:$A,PPL!$A58,DATA!J:J)</f>
        <v>0</v>
      </c>
      <c r="M58">
        <f t="shared" si="4"/>
        <v>643</v>
      </c>
      <c r="N58">
        <f t="shared" si="1"/>
        <v>825</v>
      </c>
      <c r="O58" s="3">
        <f t="shared" si="2"/>
        <v>99.15865384615384</v>
      </c>
      <c r="P58">
        <f t="shared" si="3"/>
        <v>7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820</v>
      </c>
      <c r="F59">
        <f>SUMIF(DATA!$A:$A,PPL!$A59,DATA!D:D)</f>
        <v>791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3</v>
      </c>
      <c r="J59">
        <f>SUMIF(DATA!$A:$A,PPL!$A59,DATA!H:H)</f>
        <v>0</v>
      </c>
      <c r="K59">
        <f>SUMIF(DATA!$A:$A,PPL!$A59,DATA!I:I)</f>
        <v>26</v>
      </c>
      <c r="L59">
        <f>SUMIF(DATA!$A:$A,PPL!$A59,DATA!J:J)</f>
        <v>0</v>
      </c>
      <c r="M59">
        <f t="shared" si="4"/>
        <v>525</v>
      </c>
      <c r="N59">
        <f t="shared" si="1"/>
        <v>820</v>
      </c>
      <c r="O59" s="3">
        <f t="shared" si="2"/>
        <v>100</v>
      </c>
      <c r="P59">
        <f t="shared" si="3"/>
        <v>0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898</v>
      </c>
      <c r="F60">
        <f>SUMIF(DATA!$A:$A,PPL!$A60,DATA!D:D)</f>
        <v>520</v>
      </c>
      <c r="G60">
        <f>SUMIF(DATA!$A:$A,PPL!$A60,DATA!E:E)</f>
        <v>13</v>
      </c>
      <c r="H60">
        <f>SUMIF(DATA!$A:$A,PPL!$A60,DATA!F:F)</f>
        <v>0</v>
      </c>
      <c r="I60">
        <f>SUMIF(DATA!$A:$A,PPL!$A60,DATA!G:G)</f>
        <v>24</v>
      </c>
      <c r="J60">
        <f>SUMIF(DATA!$A:$A,PPL!$A60,DATA!H:H)</f>
        <v>0</v>
      </c>
      <c r="K60">
        <f>SUMIF(DATA!$A:$A,PPL!$A60,DATA!I:I)</f>
        <v>341</v>
      </c>
      <c r="L60">
        <f>SUMIF(DATA!$A:$A,PPL!$A60,DATA!J:J)</f>
        <v>0</v>
      </c>
      <c r="M60">
        <f t="shared" si="4"/>
        <v>719</v>
      </c>
      <c r="N60">
        <f t="shared" si="1"/>
        <v>885</v>
      </c>
      <c r="O60" s="3">
        <f t="shared" si="2"/>
        <v>98.55233853006682</v>
      </c>
      <c r="P60">
        <f t="shared" si="3"/>
        <v>13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833</v>
      </c>
      <c r="F61">
        <f>SUMIF(DATA!$A:$A,PPL!$A61,DATA!D:D)</f>
        <v>599</v>
      </c>
      <c r="G61">
        <f>SUMIF(DATA!$A:$A,PPL!$A61,DATA!E:E)</f>
        <v>26</v>
      </c>
      <c r="H61">
        <f>SUMIF(DATA!$A:$A,PPL!$A61,DATA!F:F)</f>
        <v>0</v>
      </c>
      <c r="I61">
        <f>SUMIF(DATA!$A:$A,PPL!$A61,DATA!G:G)</f>
        <v>51</v>
      </c>
      <c r="J61">
        <f>SUMIF(DATA!$A:$A,PPL!$A61,DATA!H:H)</f>
        <v>0</v>
      </c>
      <c r="K61">
        <f>SUMIF(DATA!$A:$A,PPL!$A61,DATA!I:I)</f>
        <v>157</v>
      </c>
      <c r="L61">
        <f>SUMIF(DATA!$A:$A,PPL!$A61,DATA!J:J)</f>
        <v>0</v>
      </c>
      <c r="M61">
        <f t="shared" si="4"/>
        <v>525</v>
      </c>
      <c r="N61">
        <f t="shared" si="1"/>
        <v>807</v>
      </c>
      <c r="O61" s="3">
        <f t="shared" si="2"/>
        <v>96.878751500600231</v>
      </c>
      <c r="P61">
        <f t="shared" si="3"/>
        <v>26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926</v>
      </c>
      <c r="F62">
        <f>SUMIF(DATA!$A:$A,PPL!$A62,DATA!D:D)</f>
        <v>336</v>
      </c>
      <c r="G62">
        <f>SUMIF(DATA!$A:$A,PPL!$A62,DATA!E:E)</f>
        <v>45</v>
      </c>
      <c r="H62">
        <f>SUMIF(DATA!$A:$A,PPL!$A62,DATA!F:F)</f>
        <v>0</v>
      </c>
      <c r="I62">
        <f>SUMIF(DATA!$A:$A,PPL!$A62,DATA!G:G)</f>
        <v>73</v>
      </c>
      <c r="J62">
        <f>SUMIF(DATA!$A:$A,PPL!$A62,DATA!H:H)</f>
        <v>0</v>
      </c>
      <c r="K62">
        <f>SUMIF(DATA!$A:$A,PPL!$A62,DATA!I:I)</f>
        <v>472</v>
      </c>
      <c r="L62">
        <f>SUMIF(DATA!$A:$A,PPL!$A62,DATA!J:J)</f>
        <v>0</v>
      </c>
      <c r="M62">
        <f t="shared" si="4"/>
        <v>768</v>
      </c>
      <c r="N62">
        <f t="shared" si="1"/>
        <v>881</v>
      </c>
      <c r="O62" s="3">
        <f t="shared" si="2"/>
        <v>95.14038876889849</v>
      </c>
      <c r="P62">
        <f t="shared" si="3"/>
        <v>45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931</v>
      </c>
      <c r="F63">
        <f>SUMIF(DATA!$A:$A,PPL!$A63,DATA!D:D)</f>
        <v>895</v>
      </c>
      <c r="G63">
        <f>SUMIF(DATA!$A:$A,PPL!$A63,DATA!E:E)</f>
        <v>12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24</v>
      </c>
      <c r="L63">
        <f>SUMIF(DATA!$A:$A,PPL!$A63,DATA!J:J)</f>
        <v>0</v>
      </c>
      <c r="M63">
        <f t="shared" si="4"/>
        <v>758</v>
      </c>
      <c r="N63">
        <f t="shared" ref="N63:N124" si="5">F63+I63+J63+K63+L63</f>
        <v>919</v>
      </c>
      <c r="O63" s="3">
        <f t="shared" ref="O63:O124" si="6">(N63/E63)*100</f>
        <v>98.711063372717518</v>
      </c>
      <c r="P63">
        <f t="shared" si="3"/>
        <v>12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713</v>
      </c>
      <c r="F64">
        <f>SUMIF(DATA!$A:$A,PPL!$A64,DATA!D:D)</f>
        <v>510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93</v>
      </c>
      <c r="J64">
        <f>SUMIF(DATA!$A:$A,PPL!$A64,DATA!H:H)</f>
        <v>2</v>
      </c>
      <c r="K64">
        <f>SUMIF(DATA!$A:$A,PPL!$A64,DATA!I:I)</f>
        <v>108</v>
      </c>
      <c r="L64">
        <f>SUMIF(DATA!$A:$A,PPL!$A64,DATA!J:J)</f>
        <v>0</v>
      </c>
      <c r="M64">
        <f t="shared" si="4"/>
        <v>580</v>
      </c>
      <c r="N64">
        <f t="shared" si="5"/>
        <v>713</v>
      </c>
      <c r="O64" s="3">
        <f t="shared" si="6"/>
        <v>100</v>
      </c>
      <c r="P64">
        <f t="shared" si="3"/>
        <v>0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753</v>
      </c>
      <c r="F65">
        <f>SUMIF(DATA!$A:$A,PPL!$A65,DATA!D:D)</f>
        <v>431</v>
      </c>
      <c r="G65">
        <f>SUMIF(DATA!$A:$A,PPL!$A65,DATA!E:E)</f>
        <v>56</v>
      </c>
      <c r="H65">
        <f>SUMIF(DATA!$A:$A,PPL!$A65,DATA!F:F)</f>
        <v>0</v>
      </c>
      <c r="I65">
        <f>SUMIF(DATA!$A:$A,PPL!$A65,DATA!G:G)</f>
        <v>198</v>
      </c>
      <c r="J65">
        <f>SUMIF(DATA!$A:$A,PPL!$A65,DATA!H:H)</f>
        <v>3</v>
      </c>
      <c r="K65">
        <f>SUMIF(DATA!$A:$A,PPL!$A65,DATA!I:I)</f>
        <v>65</v>
      </c>
      <c r="L65">
        <f>SUMIF(DATA!$A:$A,PPL!$A65,DATA!J:J)</f>
        <v>0</v>
      </c>
      <c r="M65">
        <f t="shared" si="4"/>
        <v>567</v>
      </c>
      <c r="N65">
        <f t="shared" si="5"/>
        <v>697</v>
      </c>
      <c r="O65" s="3">
        <f t="shared" si="6"/>
        <v>92.563081009296141</v>
      </c>
      <c r="P65">
        <f t="shared" si="3"/>
        <v>56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544</v>
      </c>
      <c r="F66">
        <f>SUMIF(DATA!$A:$A,PPL!$A66,DATA!D:D)</f>
        <v>533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11</v>
      </c>
      <c r="L66">
        <f>SUMIF(DATA!$A:$A,PPL!$A66,DATA!J:J)</f>
        <v>0</v>
      </c>
      <c r="M66">
        <f t="shared" ref="M66:M97" si="7">N66-Q66</f>
        <v>387</v>
      </c>
      <c r="N66">
        <f t="shared" si="5"/>
        <v>544</v>
      </c>
      <c r="O66" s="3">
        <f t="shared" si="6"/>
        <v>100</v>
      </c>
      <c r="P66">
        <f t="shared" si="3"/>
        <v>0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588</v>
      </c>
      <c r="F67">
        <f>SUMIF(DATA!$A:$A,PPL!$A67,DATA!D:D)</f>
        <v>285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43</v>
      </c>
      <c r="J67">
        <f>SUMIF(DATA!$A:$A,PPL!$A67,DATA!H:H)</f>
        <v>3</v>
      </c>
      <c r="K67">
        <f>SUMIF(DATA!$A:$A,PPL!$A67,DATA!I:I)</f>
        <v>257</v>
      </c>
      <c r="L67">
        <f>SUMIF(DATA!$A:$A,PPL!$A67,DATA!J:J)</f>
        <v>0</v>
      </c>
      <c r="M67">
        <f t="shared" si="7"/>
        <v>468</v>
      </c>
      <c r="N67">
        <f t="shared" si="5"/>
        <v>588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569</v>
      </c>
      <c r="F68">
        <f>SUMIF(DATA!$A:$A,PPL!$A68,DATA!D:D)</f>
        <v>232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5</v>
      </c>
      <c r="J68">
        <f>SUMIF(DATA!$A:$A,PPL!$A68,DATA!H:H)</f>
        <v>0</v>
      </c>
      <c r="K68">
        <f>SUMIF(DATA!$A:$A,PPL!$A68,DATA!I:I)</f>
        <v>332</v>
      </c>
      <c r="L68">
        <f>SUMIF(DATA!$A:$A,PPL!$A68,DATA!J:J)</f>
        <v>0</v>
      </c>
      <c r="M68">
        <f t="shared" si="7"/>
        <v>420</v>
      </c>
      <c r="N68">
        <f t="shared" si="5"/>
        <v>569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493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1</v>
      </c>
      <c r="J69">
        <f>SUMIF(DATA!$A:$A,PPL!$A69,DATA!H:H)</f>
        <v>0</v>
      </c>
      <c r="K69">
        <f>SUMIF(DATA!$A:$A,PPL!$A69,DATA!I:I)</f>
        <v>5</v>
      </c>
      <c r="L69">
        <f>SUMIF(DATA!$A:$A,PPL!$A69,DATA!J:J)</f>
        <v>0</v>
      </c>
      <c r="M69">
        <f t="shared" si="7"/>
        <v>362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615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1</v>
      </c>
      <c r="J70">
        <f>SUMIF(DATA!$A:$A,PPL!$A70,DATA!H:H)</f>
        <v>0</v>
      </c>
      <c r="K70">
        <f>SUMIF(DATA!$A:$A,PPL!$A70,DATA!I:I)</f>
        <v>8</v>
      </c>
      <c r="L70">
        <f>SUMIF(DATA!$A:$A,PPL!$A70,DATA!J:J)</f>
        <v>0</v>
      </c>
      <c r="M70">
        <f t="shared" si="7"/>
        <v>510</v>
      </c>
      <c r="N70">
        <f t="shared" si="5"/>
        <v>624</v>
      </c>
      <c r="O70" s="3">
        <f t="shared" si="6"/>
        <v>100</v>
      </c>
      <c r="P70">
        <f t="shared" si="8"/>
        <v>0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293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9</v>
      </c>
      <c r="J71">
        <f>SUMIF(DATA!$A:$A,PPL!$A71,DATA!H:H)</f>
        <v>0</v>
      </c>
      <c r="K71">
        <f>SUMIF(DATA!$A:$A,PPL!$A71,DATA!I:I)</f>
        <v>268</v>
      </c>
      <c r="L71">
        <f>SUMIF(DATA!$A:$A,PPL!$A71,DATA!J:J)</f>
        <v>0</v>
      </c>
      <c r="M71">
        <f t="shared" si="7"/>
        <v>392</v>
      </c>
      <c r="N71">
        <f t="shared" si="5"/>
        <v>570</v>
      </c>
      <c r="O71" s="3">
        <f t="shared" si="6"/>
        <v>100</v>
      </c>
      <c r="P71">
        <f t="shared" si="8"/>
        <v>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594</v>
      </c>
      <c r="F72">
        <f>SUMIF(DATA!$A:$A,PPL!$A72,DATA!D:D)</f>
        <v>271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116</v>
      </c>
      <c r="J72">
        <f>SUMIF(DATA!$A:$A,PPL!$A72,DATA!H:H)</f>
        <v>0</v>
      </c>
      <c r="K72">
        <f>SUMIF(DATA!$A:$A,PPL!$A72,DATA!I:I)</f>
        <v>207</v>
      </c>
      <c r="L72">
        <f>SUMIF(DATA!$A:$A,PPL!$A72,DATA!J:J)</f>
        <v>0</v>
      </c>
      <c r="M72">
        <f t="shared" si="7"/>
        <v>462</v>
      </c>
      <c r="N72">
        <f t="shared" si="5"/>
        <v>594</v>
      </c>
      <c r="O72" s="3">
        <f t="shared" si="6"/>
        <v>100</v>
      </c>
      <c r="P72">
        <f t="shared" si="8"/>
        <v>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512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1</v>
      </c>
      <c r="L73">
        <f>SUMIF(DATA!$A:$A,PPL!$A73,DATA!J:J)</f>
        <v>0</v>
      </c>
      <c r="M73">
        <f t="shared" si="7"/>
        <v>426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338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109</v>
      </c>
      <c r="J74">
        <f>SUMIF(DATA!$A:$A,PPL!$A74,DATA!H:H)</f>
        <v>0</v>
      </c>
      <c r="K74">
        <f>SUMIF(DATA!$A:$A,PPL!$A74,DATA!I:I)</f>
        <v>27</v>
      </c>
      <c r="L74">
        <f>SUMIF(DATA!$A:$A,PPL!$A74,DATA!J:J)</f>
        <v>0</v>
      </c>
      <c r="M74">
        <f t="shared" si="7"/>
        <v>384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543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2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504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14</v>
      </c>
      <c r="J76">
        <f>SUMIF(DATA!$A:$A,PPL!$A76,DATA!H:H)</f>
        <v>0</v>
      </c>
      <c r="K76">
        <f>SUMIF(DATA!$A:$A,PPL!$A76,DATA!I:I)</f>
        <v>3</v>
      </c>
      <c r="L76">
        <f>SUMIF(DATA!$A:$A,PPL!$A76,DATA!J:J)</f>
        <v>0</v>
      </c>
      <c r="M76">
        <f t="shared" si="7"/>
        <v>432</v>
      </c>
      <c r="N76">
        <f t="shared" si="5"/>
        <v>521</v>
      </c>
      <c r="O76" s="3">
        <f t="shared" si="6"/>
        <v>99.617590822179736</v>
      </c>
      <c r="P76">
        <f t="shared" si="8"/>
        <v>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445</v>
      </c>
      <c r="F77">
        <f>SUMIF(DATA!$A:$A,PPL!$A77,DATA!D:D)</f>
        <v>434</v>
      </c>
      <c r="G77">
        <f>SUMIF(DATA!$A:$A,PPL!$A77,DATA!E:E)</f>
        <v>4</v>
      </c>
      <c r="H77">
        <f>SUMIF(DATA!$A:$A,PPL!$A77,DATA!F:F)</f>
        <v>0</v>
      </c>
      <c r="I77">
        <f>SUMIF(DATA!$A:$A,PPL!$A77,DATA!G:G)</f>
        <v>3</v>
      </c>
      <c r="J77">
        <f>SUMIF(DATA!$A:$A,PPL!$A77,DATA!H:H)</f>
        <v>1</v>
      </c>
      <c r="K77">
        <f>SUMIF(DATA!$A:$A,PPL!$A77,DATA!I:I)</f>
        <v>3</v>
      </c>
      <c r="L77">
        <f>SUMIF(DATA!$A:$A,PPL!$A77,DATA!J:J)</f>
        <v>0</v>
      </c>
      <c r="M77">
        <f t="shared" si="7"/>
        <v>340</v>
      </c>
      <c r="N77">
        <f t="shared" si="5"/>
        <v>441</v>
      </c>
      <c r="O77" s="3">
        <f t="shared" si="6"/>
        <v>99.101123595505612</v>
      </c>
      <c r="P77">
        <f t="shared" si="8"/>
        <v>4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456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489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460</v>
      </c>
      <c r="G80">
        <f>SUMIF(DATA!$A:$A,PPL!$A80,DATA!E:E)</f>
        <v>2</v>
      </c>
      <c r="H80">
        <f>SUMIF(DATA!$A:$A,PPL!$A80,DATA!F:F)</f>
        <v>0</v>
      </c>
      <c r="I80">
        <f>SUMIF(DATA!$A:$A,PPL!$A80,DATA!G:G)</f>
        <v>1</v>
      </c>
      <c r="J80">
        <f>SUMIF(DATA!$A:$A,PPL!$A80,DATA!H:H)</f>
        <v>0</v>
      </c>
      <c r="K80">
        <f>SUMIF(DATA!$A:$A,PPL!$A80,DATA!I:I)</f>
        <v>7</v>
      </c>
      <c r="L80">
        <f>SUMIF(DATA!$A:$A,PPL!$A80,DATA!J:J)</f>
        <v>0</v>
      </c>
      <c r="M80">
        <f t="shared" si="7"/>
        <v>385</v>
      </c>
      <c r="N80">
        <f t="shared" si="5"/>
        <v>468</v>
      </c>
      <c r="O80" s="3">
        <f t="shared" si="6"/>
        <v>99.574468085106389</v>
      </c>
      <c r="P80">
        <f t="shared" si="8"/>
        <v>2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824</v>
      </c>
      <c r="F81">
        <f>SUMIF(DATA!$A:$A,PPL!$A81,DATA!D:D)</f>
        <v>804</v>
      </c>
      <c r="G81">
        <f>SUMIF(DATA!$A:$A,PPL!$A81,DATA!E:E)</f>
        <v>9</v>
      </c>
      <c r="H81">
        <f>SUMIF(DATA!$A:$A,PPL!$A81,DATA!F:F)</f>
        <v>0</v>
      </c>
      <c r="I81">
        <f>SUMIF(DATA!$A:$A,PPL!$A81,DATA!G:G)</f>
        <v>8</v>
      </c>
      <c r="J81">
        <f>SUMIF(DATA!$A:$A,PPL!$A81,DATA!H:H)</f>
        <v>0</v>
      </c>
      <c r="K81">
        <f>SUMIF(DATA!$A:$A,PPL!$A81,DATA!I:I)</f>
        <v>3</v>
      </c>
      <c r="L81">
        <f>SUMIF(DATA!$A:$A,PPL!$A81,DATA!J:J)</f>
        <v>0</v>
      </c>
      <c r="M81">
        <f t="shared" si="7"/>
        <v>605</v>
      </c>
      <c r="N81">
        <f t="shared" si="5"/>
        <v>815</v>
      </c>
      <c r="O81" s="3">
        <f t="shared" si="6"/>
        <v>98.90776699029125</v>
      </c>
      <c r="P81">
        <f t="shared" si="8"/>
        <v>9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759</v>
      </c>
      <c r="F82">
        <f>SUMIF(DATA!$A:$A,PPL!$A82,DATA!D:D)</f>
        <v>659</v>
      </c>
      <c r="G82">
        <f>SUMIF(DATA!$A:$A,PPL!$A82,DATA!E:E)</f>
        <v>2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1</v>
      </c>
      <c r="K82">
        <f>SUMIF(DATA!$A:$A,PPL!$A82,DATA!I:I)</f>
        <v>97</v>
      </c>
      <c r="L82">
        <f>SUMIF(DATA!$A:$A,PPL!$A82,DATA!J:J)</f>
        <v>0</v>
      </c>
      <c r="M82">
        <f t="shared" si="7"/>
        <v>487</v>
      </c>
      <c r="N82">
        <f t="shared" si="5"/>
        <v>757</v>
      </c>
      <c r="O82" s="3">
        <f t="shared" si="6"/>
        <v>99.736495388669297</v>
      </c>
      <c r="P82">
        <f t="shared" si="8"/>
        <v>2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425</v>
      </c>
      <c r="G83">
        <f>SUMIF(DATA!$A:$A,PPL!$A83,DATA!E:E)</f>
        <v>16</v>
      </c>
      <c r="H83">
        <f>SUMIF(DATA!$A:$A,PPL!$A83,DATA!F:F)</f>
        <v>0</v>
      </c>
      <c r="I83">
        <f>SUMIF(DATA!$A:$A,PPL!$A83,DATA!G:G)</f>
        <v>2</v>
      </c>
      <c r="J83">
        <f>SUMIF(DATA!$A:$A,PPL!$A83,DATA!H:H)</f>
        <v>0</v>
      </c>
      <c r="K83">
        <f>SUMIF(DATA!$A:$A,PPL!$A83,DATA!I:I)</f>
        <v>317</v>
      </c>
      <c r="L83">
        <f>SUMIF(DATA!$A:$A,PPL!$A83,DATA!J:J)</f>
        <v>0</v>
      </c>
      <c r="M83">
        <f t="shared" si="7"/>
        <v>478</v>
      </c>
      <c r="N83">
        <f t="shared" si="5"/>
        <v>744</v>
      </c>
      <c r="O83" s="3">
        <f t="shared" si="6"/>
        <v>97.894736842105274</v>
      </c>
      <c r="P83">
        <f t="shared" si="8"/>
        <v>16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730</v>
      </c>
      <c r="F84">
        <f>SUMIF(DATA!$A:$A,PPL!$A84,DATA!D:D)</f>
        <v>687</v>
      </c>
      <c r="G84">
        <f>SUMIF(DATA!$A:$A,PPL!$A84,DATA!E:E)</f>
        <v>37</v>
      </c>
      <c r="H84">
        <f>SUMIF(DATA!$A:$A,PPL!$A84,DATA!F:F)</f>
        <v>0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5</v>
      </c>
      <c r="L84">
        <f>SUMIF(DATA!$A:$A,PPL!$A84,DATA!J:J)</f>
        <v>0</v>
      </c>
      <c r="M84">
        <f t="shared" si="7"/>
        <v>492</v>
      </c>
      <c r="N84">
        <f t="shared" si="5"/>
        <v>693</v>
      </c>
      <c r="O84" s="3">
        <f t="shared" si="6"/>
        <v>94.93150684931507</v>
      </c>
      <c r="P84">
        <f t="shared" si="8"/>
        <v>37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678</v>
      </c>
      <c r="F85">
        <f>SUMIF(DATA!$A:$A,PPL!$A85,DATA!D:D)</f>
        <v>309</v>
      </c>
      <c r="G85">
        <f>SUMIF(DATA!$A:$A,PPL!$A85,DATA!E:E)</f>
        <v>49</v>
      </c>
      <c r="H85">
        <f>SUMIF(DATA!$A:$A,PPL!$A85,DATA!F:F)</f>
        <v>0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319</v>
      </c>
      <c r="L85">
        <f>SUMIF(DATA!$A:$A,PPL!$A85,DATA!J:J)</f>
        <v>0</v>
      </c>
      <c r="M85">
        <f t="shared" si="7"/>
        <v>489</v>
      </c>
      <c r="N85">
        <f t="shared" si="5"/>
        <v>629</v>
      </c>
      <c r="O85" s="3">
        <f t="shared" si="6"/>
        <v>92.772861356932154</v>
      </c>
      <c r="P85">
        <f t="shared" si="8"/>
        <v>49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693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3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763</v>
      </c>
      <c r="F87">
        <f>SUMIF(DATA!$A:$A,PPL!$A87,DATA!D:D)</f>
        <v>164</v>
      </c>
      <c r="G87">
        <f>SUMIF(DATA!$A:$A,PPL!$A87,DATA!E:E)</f>
        <v>148</v>
      </c>
      <c r="H87">
        <f>SUMIF(DATA!$A:$A,PPL!$A87,DATA!F:F)</f>
        <v>0</v>
      </c>
      <c r="I87">
        <f>SUMIF(DATA!$A:$A,PPL!$A87,DATA!G:G)</f>
        <v>69</v>
      </c>
      <c r="J87">
        <f>SUMIF(DATA!$A:$A,PPL!$A87,DATA!H:H)</f>
        <v>7</v>
      </c>
      <c r="K87">
        <f>SUMIF(DATA!$A:$A,PPL!$A87,DATA!I:I)</f>
        <v>375</v>
      </c>
      <c r="L87">
        <f>SUMIF(DATA!$A:$A,PPL!$A87,DATA!J:J)</f>
        <v>0</v>
      </c>
      <c r="M87">
        <f t="shared" si="7"/>
        <v>432</v>
      </c>
      <c r="N87">
        <f t="shared" si="5"/>
        <v>615</v>
      </c>
      <c r="O87" s="3">
        <f t="shared" si="6"/>
        <v>80.602883355176942</v>
      </c>
      <c r="P87">
        <f t="shared" si="8"/>
        <v>148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754</v>
      </c>
      <c r="F88">
        <f>SUMIF(DATA!$A:$A,PPL!$A88,DATA!D:D)</f>
        <v>232</v>
      </c>
      <c r="G88">
        <f>SUMIF(DATA!$A:$A,PPL!$A88,DATA!E:E)</f>
        <v>60</v>
      </c>
      <c r="H88">
        <f>SUMIF(DATA!$A:$A,PPL!$A88,DATA!F:F)</f>
        <v>0</v>
      </c>
      <c r="I88">
        <f>SUMIF(DATA!$A:$A,PPL!$A88,DATA!G:G)</f>
        <v>9</v>
      </c>
      <c r="J88">
        <f>SUMIF(DATA!$A:$A,PPL!$A88,DATA!H:H)</f>
        <v>0</v>
      </c>
      <c r="K88">
        <f>SUMIF(DATA!$A:$A,PPL!$A88,DATA!I:I)</f>
        <v>453</v>
      </c>
      <c r="L88">
        <f>SUMIF(DATA!$A:$A,PPL!$A88,DATA!J:J)</f>
        <v>0</v>
      </c>
      <c r="M88">
        <f t="shared" si="7"/>
        <v>522</v>
      </c>
      <c r="N88">
        <f t="shared" si="5"/>
        <v>694</v>
      </c>
      <c r="O88" s="3">
        <f t="shared" si="6"/>
        <v>92.042440318302383</v>
      </c>
      <c r="P88">
        <f t="shared" si="8"/>
        <v>60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677</v>
      </c>
      <c r="F89">
        <f>SUMIF(DATA!$A:$A,PPL!$A89,DATA!D:D)</f>
        <v>380</v>
      </c>
      <c r="G89">
        <f>SUMIF(DATA!$A:$A,PPL!$A89,DATA!E:E)</f>
        <v>35</v>
      </c>
      <c r="H89">
        <f>SUMIF(DATA!$A:$A,PPL!$A89,DATA!F:F)</f>
        <v>0</v>
      </c>
      <c r="I89">
        <f>SUMIF(DATA!$A:$A,PPL!$A89,DATA!G:G)</f>
        <v>9</v>
      </c>
      <c r="J89">
        <f>SUMIF(DATA!$A:$A,PPL!$A89,DATA!H:H)</f>
        <v>1</v>
      </c>
      <c r="K89">
        <f>SUMIF(DATA!$A:$A,PPL!$A89,DATA!I:I)</f>
        <v>252</v>
      </c>
      <c r="L89">
        <f>SUMIF(DATA!$A:$A,PPL!$A89,DATA!J:J)</f>
        <v>0</v>
      </c>
      <c r="M89">
        <f t="shared" si="7"/>
        <v>401</v>
      </c>
      <c r="N89">
        <f t="shared" si="5"/>
        <v>642</v>
      </c>
      <c r="O89" s="3">
        <f t="shared" si="6"/>
        <v>94.830132939438698</v>
      </c>
      <c r="P89">
        <f t="shared" si="8"/>
        <v>35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681</v>
      </c>
      <c r="F90">
        <f>SUMIF(DATA!$A:$A,PPL!$A90,DATA!D:D)</f>
        <v>297</v>
      </c>
      <c r="G90">
        <f>SUMIF(DATA!$A:$A,PPL!$A90,DATA!E:E)</f>
        <v>45</v>
      </c>
      <c r="H90">
        <f>SUMIF(DATA!$A:$A,PPL!$A90,DATA!F:F)</f>
        <v>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317</v>
      </c>
      <c r="L90">
        <f>SUMIF(DATA!$A:$A,PPL!$A90,DATA!J:J)</f>
        <v>0</v>
      </c>
      <c r="M90">
        <f t="shared" si="7"/>
        <v>415</v>
      </c>
      <c r="N90">
        <f t="shared" si="5"/>
        <v>636</v>
      </c>
      <c r="O90" s="3">
        <f t="shared" si="6"/>
        <v>93.392070484581495</v>
      </c>
      <c r="P90">
        <f t="shared" si="8"/>
        <v>45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785</v>
      </c>
      <c r="F91">
        <f>SUMIF(DATA!$A:$A,PPL!$A91,DATA!D:D)</f>
        <v>187</v>
      </c>
      <c r="G91">
        <f>SUMIF(DATA!$A:$A,PPL!$A91,DATA!E:E)</f>
        <v>290</v>
      </c>
      <c r="H91">
        <f>SUMIF(DATA!$A:$A,PPL!$A91,DATA!F:F)</f>
        <v>0</v>
      </c>
      <c r="I91">
        <f>SUMIF(DATA!$A:$A,PPL!$A91,DATA!G:G)</f>
        <v>34</v>
      </c>
      <c r="J91">
        <f>SUMIF(DATA!$A:$A,PPL!$A91,DATA!H:H)</f>
        <v>28</v>
      </c>
      <c r="K91">
        <f>SUMIF(DATA!$A:$A,PPL!$A91,DATA!I:I)</f>
        <v>246</v>
      </c>
      <c r="L91">
        <f>SUMIF(DATA!$A:$A,PPL!$A91,DATA!J:J)</f>
        <v>0</v>
      </c>
      <c r="M91">
        <f t="shared" si="7"/>
        <v>286</v>
      </c>
      <c r="N91">
        <f t="shared" si="5"/>
        <v>495</v>
      </c>
      <c r="O91" s="3">
        <f t="shared" si="6"/>
        <v>63.057324840764331</v>
      </c>
      <c r="P91">
        <f t="shared" si="8"/>
        <v>290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396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1</v>
      </c>
      <c r="K92">
        <f>SUMIF(DATA!$A:$A,PPL!$A92,DATA!I:I)</f>
        <v>309</v>
      </c>
      <c r="L92">
        <f>SUMIF(DATA!$A:$A,PPL!$A92,DATA!J:J)</f>
        <v>0</v>
      </c>
      <c r="M92">
        <f t="shared" si="7"/>
        <v>489</v>
      </c>
      <c r="N92">
        <f t="shared" si="5"/>
        <v>706</v>
      </c>
      <c r="O92" s="3">
        <f t="shared" si="6"/>
        <v>100</v>
      </c>
      <c r="P92">
        <f t="shared" si="8"/>
        <v>0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442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323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844</v>
      </c>
      <c r="F95">
        <f>SUMIF(DATA!$A:$A,PPL!$A95,DATA!D:D)</f>
        <v>782</v>
      </c>
      <c r="G95">
        <f>SUMIF(DATA!$A:$A,PPL!$A95,DATA!E:E)</f>
        <v>5</v>
      </c>
      <c r="H95">
        <f>SUMIF(DATA!$A:$A,PPL!$A95,DATA!F:F)</f>
        <v>0</v>
      </c>
      <c r="I95">
        <f>SUMIF(DATA!$A:$A,PPL!$A95,DATA!G:G)</f>
        <v>10</v>
      </c>
      <c r="J95">
        <f>SUMIF(DATA!$A:$A,PPL!$A95,DATA!H:H)</f>
        <v>3</v>
      </c>
      <c r="K95">
        <f>SUMIF(DATA!$A:$A,PPL!$A95,DATA!I:I)</f>
        <v>44</v>
      </c>
      <c r="L95">
        <f>SUMIF(DATA!$A:$A,PPL!$A95,DATA!J:J)</f>
        <v>0</v>
      </c>
      <c r="M95">
        <f t="shared" si="7"/>
        <v>614</v>
      </c>
      <c r="N95">
        <f t="shared" si="5"/>
        <v>839</v>
      </c>
      <c r="O95" s="3">
        <f t="shared" si="6"/>
        <v>99.407582938388629</v>
      </c>
      <c r="P95">
        <f t="shared" si="8"/>
        <v>5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582</v>
      </c>
      <c r="F96">
        <f>SUMIF(DATA!$A:$A,PPL!$A96,DATA!D:D)</f>
        <v>367</v>
      </c>
      <c r="G96">
        <f>SUMIF(DATA!$A:$A,PPL!$A96,DATA!E:E)</f>
        <v>2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213</v>
      </c>
      <c r="L96">
        <f>SUMIF(DATA!$A:$A,PPL!$A96,DATA!J:J)</f>
        <v>0</v>
      </c>
      <c r="M96">
        <f t="shared" si="7"/>
        <v>408</v>
      </c>
      <c r="N96">
        <f t="shared" si="5"/>
        <v>580</v>
      </c>
      <c r="O96" s="3">
        <f t="shared" si="6"/>
        <v>99.656357388316152</v>
      </c>
      <c r="P96">
        <f t="shared" si="8"/>
        <v>2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400</v>
      </c>
      <c r="L97">
        <f>SUMIF(DATA!$A:$A,PPL!$A97,DATA!J:J)</f>
        <v>0</v>
      </c>
      <c r="M97">
        <f t="shared" si="7"/>
        <v>597</v>
      </c>
      <c r="N97">
        <f t="shared" si="5"/>
        <v>686</v>
      </c>
      <c r="O97" s="3">
        <f t="shared" si="6"/>
        <v>99.85443959243085</v>
      </c>
      <c r="P97">
        <f t="shared" si="8"/>
        <v>1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868</v>
      </c>
      <c r="F98">
        <f>SUMIF(DATA!$A:$A,PPL!$A98,DATA!D:D)</f>
        <v>400</v>
      </c>
      <c r="G98">
        <f>SUMIF(DATA!$A:$A,PPL!$A98,DATA!E:E)</f>
        <v>173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294</v>
      </c>
      <c r="L98">
        <f>SUMIF(DATA!$A:$A,PPL!$A98,DATA!J:J)</f>
        <v>0</v>
      </c>
      <c r="M98">
        <f t="shared" ref="M98:M129" si="9">N98-Q98</f>
        <v>535</v>
      </c>
      <c r="N98">
        <f t="shared" si="5"/>
        <v>695</v>
      </c>
      <c r="O98" s="3">
        <f t="shared" si="6"/>
        <v>80.069124423963132</v>
      </c>
      <c r="P98">
        <f t="shared" si="8"/>
        <v>173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788</v>
      </c>
      <c r="F99">
        <f>SUMIF(DATA!$A:$A,PPL!$A99,DATA!D:D)</f>
        <v>627</v>
      </c>
      <c r="G99">
        <f>SUMIF(DATA!$A:$A,PPL!$A99,DATA!E:E)</f>
        <v>11</v>
      </c>
      <c r="H99">
        <f>SUMIF(DATA!$A:$A,PPL!$A99,DATA!F:F)</f>
        <v>0</v>
      </c>
      <c r="I99">
        <f>SUMIF(DATA!$A:$A,PPL!$A99,DATA!G:G)</f>
        <v>2</v>
      </c>
      <c r="J99">
        <f>SUMIF(DATA!$A:$A,PPL!$A99,DATA!H:H)</f>
        <v>1</v>
      </c>
      <c r="K99">
        <f>SUMIF(DATA!$A:$A,PPL!$A99,DATA!I:I)</f>
        <v>147</v>
      </c>
      <c r="L99">
        <f>SUMIF(DATA!$A:$A,PPL!$A99,DATA!J:J)</f>
        <v>0</v>
      </c>
      <c r="M99">
        <f t="shared" si="9"/>
        <v>495</v>
      </c>
      <c r="N99">
        <f t="shared" si="5"/>
        <v>777</v>
      </c>
      <c r="O99" s="3">
        <f t="shared" si="6"/>
        <v>98.604060913705581</v>
      </c>
      <c r="P99">
        <f t="shared" si="8"/>
        <v>11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938</v>
      </c>
      <c r="F100">
        <f>SUMIF(DATA!$A:$A,PPL!$A100,DATA!D:D)</f>
        <v>831</v>
      </c>
      <c r="G100">
        <f>SUMIF(DATA!$A:$A,PPL!$A100,DATA!E:E)</f>
        <v>5</v>
      </c>
      <c r="H100">
        <f>SUMIF(DATA!$A:$A,PPL!$A100,DATA!F:F)</f>
        <v>0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101</v>
      </c>
      <c r="L100">
        <f>SUMIF(DATA!$A:$A,PPL!$A100,DATA!J:J)</f>
        <v>0</v>
      </c>
      <c r="M100">
        <f t="shared" si="9"/>
        <v>475</v>
      </c>
      <c r="N100">
        <f t="shared" si="5"/>
        <v>933</v>
      </c>
      <c r="O100" s="3">
        <f t="shared" si="6"/>
        <v>99.466950959488273</v>
      </c>
      <c r="P100">
        <f t="shared" si="8"/>
        <v>5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662</v>
      </c>
      <c r="G101">
        <f>SUMIF(DATA!$A:$A,PPL!$A101,DATA!E:E)</f>
        <v>6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189</v>
      </c>
      <c r="L101">
        <f>SUMIF(DATA!$A:$A,PPL!$A101,DATA!J:J)</f>
        <v>0</v>
      </c>
      <c r="M101">
        <f t="shared" si="9"/>
        <v>513</v>
      </c>
      <c r="N101">
        <f t="shared" si="5"/>
        <v>851</v>
      </c>
      <c r="O101" s="3">
        <f t="shared" si="6"/>
        <v>99.299883313885644</v>
      </c>
      <c r="P101">
        <f t="shared" si="8"/>
        <v>6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770</v>
      </c>
      <c r="F102">
        <f>SUMIF(DATA!$A:$A,PPL!$A102,DATA!D:D)</f>
        <v>769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1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452</v>
      </c>
      <c r="N102">
        <f t="shared" si="5"/>
        <v>770</v>
      </c>
      <c r="O102" s="3">
        <f t="shared" si="6"/>
        <v>100</v>
      </c>
      <c r="P102">
        <f t="shared" si="8"/>
        <v>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783</v>
      </c>
      <c r="G103">
        <f>SUMIF(DATA!$A:$A,PPL!$A103,DATA!E:E)</f>
        <v>26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574</v>
      </c>
      <c r="N103">
        <f t="shared" si="5"/>
        <v>783</v>
      </c>
      <c r="O103" s="3">
        <f t="shared" si="6"/>
        <v>96.78615574783683</v>
      </c>
      <c r="P103">
        <f t="shared" si="8"/>
        <v>26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762</v>
      </c>
      <c r="G104">
        <f>SUMIF(DATA!$A:$A,PPL!$A104,DATA!E:E)</f>
        <v>15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3</v>
      </c>
      <c r="L104">
        <f>SUMIF(DATA!$A:$A,PPL!$A104,DATA!J:J)</f>
        <v>0</v>
      </c>
      <c r="M104">
        <f t="shared" si="9"/>
        <v>543</v>
      </c>
      <c r="N104">
        <f t="shared" si="5"/>
        <v>765</v>
      </c>
      <c r="O104" s="3">
        <f t="shared" si="6"/>
        <v>98.076923076923066</v>
      </c>
      <c r="P104">
        <f t="shared" si="8"/>
        <v>15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563</v>
      </c>
      <c r="G105">
        <f>SUMIF(DATA!$A:$A,PPL!$A105,DATA!E:E)</f>
        <v>62</v>
      </c>
      <c r="H105">
        <f>SUMIF(DATA!$A:$A,PPL!$A105,DATA!F:F)</f>
        <v>0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362</v>
      </c>
      <c r="N105">
        <f t="shared" si="5"/>
        <v>566</v>
      </c>
      <c r="O105" s="3">
        <f t="shared" si="6"/>
        <v>90.127388535031855</v>
      </c>
      <c r="P105">
        <f t="shared" si="8"/>
        <v>62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754</v>
      </c>
      <c r="F106">
        <f>SUMIF(DATA!$A:$A,PPL!$A106,DATA!D:D)</f>
        <v>754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544</v>
      </c>
      <c r="N106">
        <f t="shared" si="5"/>
        <v>754</v>
      </c>
      <c r="O106" s="3">
        <f t="shared" si="6"/>
        <v>100</v>
      </c>
      <c r="P106">
        <f t="shared" si="8"/>
        <v>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667</v>
      </c>
      <c r="G107">
        <f>SUMIF(DATA!$A:$A,PPL!$A107,DATA!E:E)</f>
        <v>41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9</v>
      </c>
      <c r="L107">
        <f>SUMIF(DATA!$A:$A,PPL!$A107,DATA!J:J)</f>
        <v>0</v>
      </c>
      <c r="M107">
        <f t="shared" si="9"/>
        <v>479</v>
      </c>
      <c r="N107">
        <f t="shared" si="5"/>
        <v>676</v>
      </c>
      <c r="O107" s="3">
        <f t="shared" si="6"/>
        <v>94.281729428172952</v>
      </c>
      <c r="P107">
        <f t="shared" si="8"/>
        <v>41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683</v>
      </c>
      <c r="F108">
        <f>SUMIF(DATA!$A:$A,PPL!$A108,DATA!D:D)</f>
        <v>569</v>
      </c>
      <c r="G108">
        <f>SUMIF(DATA!$A:$A,PPL!$A108,DATA!E:E)</f>
        <v>101</v>
      </c>
      <c r="H108">
        <f>SUMIF(DATA!$A:$A,PPL!$A108,DATA!F:F)</f>
        <v>0</v>
      </c>
      <c r="I108">
        <f>SUMIF(DATA!$A:$A,PPL!$A108,DATA!G:G)</f>
        <v>3</v>
      </c>
      <c r="J108">
        <f>SUMIF(DATA!$A:$A,PPL!$A108,DATA!H:H)</f>
        <v>0</v>
      </c>
      <c r="K108">
        <f>SUMIF(DATA!$A:$A,PPL!$A108,DATA!I:I)</f>
        <v>10</v>
      </c>
      <c r="L108">
        <f>SUMIF(DATA!$A:$A,PPL!$A108,DATA!J:J)</f>
        <v>0</v>
      </c>
      <c r="M108">
        <f t="shared" si="9"/>
        <v>359</v>
      </c>
      <c r="N108">
        <f t="shared" si="5"/>
        <v>582</v>
      </c>
      <c r="O108" s="3">
        <f t="shared" si="6"/>
        <v>85.212298682284043</v>
      </c>
      <c r="P108">
        <f t="shared" si="8"/>
        <v>101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624</v>
      </c>
      <c r="G109">
        <f>SUMIF(DATA!$A:$A,PPL!$A109,DATA!E:E)</f>
        <v>46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9"/>
        <v>434</v>
      </c>
      <c r="N109">
        <f t="shared" si="5"/>
        <v>625</v>
      </c>
      <c r="O109" s="3">
        <f t="shared" si="6"/>
        <v>93.144560357675104</v>
      </c>
      <c r="P109">
        <f t="shared" si="8"/>
        <v>46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646</v>
      </c>
      <c r="F110">
        <f>SUMIF(DATA!$A:$A,PPL!$A110,DATA!D:D)</f>
        <v>504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142</v>
      </c>
      <c r="L110">
        <f>SUMIF(DATA!$A:$A,PPL!$A110,DATA!J:J)</f>
        <v>0</v>
      </c>
      <c r="M110">
        <f t="shared" si="9"/>
        <v>482</v>
      </c>
      <c r="N110">
        <f t="shared" si="5"/>
        <v>646</v>
      </c>
      <c r="O110" s="3">
        <f t="shared" si="6"/>
        <v>100</v>
      </c>
      <c r="P110">
        <f t="shared" si="8"/>
        <v>0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164</v>
      </c>
      <c r="L111">
        <f>SUMIF(DATA!$A:$A,PPL!$A111,DATA!J:J)</f>
        <v>0</v>
      </c>
      <c r="M111">
        <f t="shared" si="9"/>
        <v>446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737</v>
      </c>
      <c r="F112">
        <f>SUMIF(DATA!$A:$A,PPL!$A112,DATA!D:D)</f>
        <v>477</v>
      </c>
      <c r="G112">
        <f>SUMIF(DATA!$A:$A,PPL!$A112,DATA!E:E)</f>
        <v>64</v>
      </c>
      <c r="H112">
        <f>SUMIF(DATA!$A:$A,PPL!$A112,DATA!F:F)</f>
        <v>0</v>
      </c>
      <c r="I112">
        <f>SUMIF(DATA!$A:$A,PPL!$A112,DATA!G:G)</f>
        <v>28</v>
      </c>
      <c r="J112">
        <f>SUMIF(DATA!$A:$A,PPL!$A112,DATA!H:H)</f>
        <v>1</v>
      </c>
      <c r="K112">
        <f>SUMIF(DATA!$A:$A,PPL!$A112,DATA!I:I)</f>
        <v>167</v>
      </c>
      <c r="L112">
        <f>SUMIF(DATA!$A:$A,PPL!$A112,DATA!J:J)</f>
        <v>0</v>
      </c>
      <c r="M112">
        <f t="shared" si="9"/>
        <v>380</v>
      </c>
      <c r="N112">
        <f t="shared" si="5"/>
        <v>673</v>
      </c>
      <c r="O112" s="3">
        <f t="shared" si="6"/>
        <v>91.316146540027134</v>
      </c>
      <c r="P112">
        <f t="shared" si="8"/>
        <v>64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837</v>
      </c>
      <c r="G113">
        <f>SUMIF(DATA!$A:$A,PPL!$A113,DATA!E:E)</f>
        <v>3</v>
      </c>
      <c r="H113">
        <f>SUMIF(DATA!$A:$A,PPL!$A113,DATA!F:F)</f>
        <v>1</v>
      </c>
      <c r="I113">
        <f>SUMIF(DATA!$A:$A,PPL!$A113,DATA!G:G)</f>
        <v>3</v>
      </c>
      <c r="J113">
        <f>SUMIF(DATA!$A:$A,PPL!$A113,DATA!H:H)</f>
        <v>0</v>
      </c>
      <c r="K113">
        <f>SUMIF(DATA!$A:$A,PPL!$A113,DATA!I:I)</f>
        <v>6</v>
      </c>
      <c r="L113">
        <f>SUMIF(DATA!$A:$A,PPL!$A113,DATA!J:J)</f>
        <v>0</v>
      </c>
      <c r="M113">
        <f t="shared" si="9"/>
        <v>506</v>
      </c>
      <c r="N113">
        <f t="shared" si="5"/>
        <v>846</v>
      </c>
      <c r="O113" s="3">
        <f t="shared" si="6"/>
        <v>99.529411764705884</v>
      </c>
      <c r="P113">
        <f t="shared" si="8"/>
        <v>4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770</v>
      </c>
      <c r="F114">
        <f>SUMIF(DATA!$A:$A,PPL!$A114,DATA!D:D)</f>
        <v>744</v>
      </c>
      <c r="G114">
        <f>SUMIF(DATA!$A:$A,PPL!$A114,DATA!E:E)</f>
        <v>25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482</v>
      </c>
      <c r="N114">
        <f t="shared" si="5"/>
        <v>745</v>
      </c>
      <c r="O114" s="3">
        <f t="shared" si="6"/>
        <v>96.753246753246756</v>
      </c>
      <c r="P114">
        <f t="shared" si="8"/>
        <v>25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920</v>
      </c>
      <c r="F115">
        <f>SUMIF(DATA!$A:$A,PPL!$A115,DATA!D:D)</f>
        <v>875</v>
      </c>
      <c r="G115">
        <f>SUMIF(DATA!$A:$A,PPL!$A115,DATA!E:E)</f>
        <v>43</v>
      </c>
      <c r="H115">
        <f>SUMIF(DATA!$A:$A,PPL!$A115,DATA!F:F)</f>
        <v>0</v>
      </c>
      <c r="I115">
        <f>SUMIF(DATA!$A:$A,PPL!$A115,DATA!G:G)</f>
        <v>2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560</v>
      </c>
      <c r="N115">
        <f t="shared" si="5"/>
        <v>877</v>
      </c>
      <c r="O115" s="3">
        <f t="shared" si="6"/>
        <v>95.326086956521735</v>
      </c>
      <c r="P115">
        <f t="shared" si="8"/>
        <v>43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573</v>
      </c>
      <c r="G116">
        <f>SUMIF(DATA!$A:$A,PPL!$A116,DATA!E:E)</f>
        <v>140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18</v>
      </c>
      <c r="L116">
        <f>SUMIF(DATA!$A:$A,PPL!$A116,DATA!J:J)</f>
        <v>0</v>
      </c>
      <c r="M116">
        <f t="shared" si="9"/>
        <v>390</v>
      </c>
      <c r="N116">
        <f t="shared" si="5"/>
        <v>591</v>
      </c>
      <c r="O116" s="3">
        <f t="shared" si="6"/>
        <v>80.848153214774271</v>
      </c>
      <c r="P116">
        <f t="shared" si="8"/>
        <v>140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570</v>
      </c>
      <c r="G117">
        <f>SUMIF(DATA!$A:$A,PPL!$A117,DATA!E:E)</f>
        <v>99</v>
      </c>
      <c r="H117">
        <f>SUMIF(DATA!$A:$A,PPL!$A117,DATA!F:F)</f>
        <v>0</v>
      </c>
      <c r="I117">
        <f>SUMIF(DATA!$A:$A,PPL!$A117,DATA!G:G)</f>
        <v>9</v>
      </c>
      <c r="J117">
        <f>SUMIF(DATA!$A:$A,PPL!$A117,DATA!H:H)</f>
        <v>0</v>
      </c>
      <c r="K117">
        <f>SUMIF(DATA!$A:$A,PPL!$A117,DATA!I:I)</f>
        <v>35</v>
      </c>
      <c r="L117">
        <f>SUMIF(DATA!$A:$A,PPL!$A117,DATA!J:J)</f>
        <v>0</v>
      </c>
      <c r="M117">
        <f t="shared" si="9"/>
        <v>430</v>
      </c>
      <c r="N117">
        <f t="shared" si="5"/>
        <v>614</v>
      </c>
      <c r="O117" s="3">
        <f t="shared" si="6"/>
        <v>86.115007012622726</v>
      </c>
      <c r="P117">
        <f t="shared" si="8"/>
        <v>99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621</v>
      </c>
      <c r="G118">
        <f>SUMIF(DATA!$A:$A,PPL!$A118,DATA!E:E)</f>
        <v>33</v>
      </c>
      <c r="H118">
        <f>SUMIF(DATA!$A:$A,PPL!$A118,DATA!F:F)</f>
        <v>0</v>
      </c>
      <c r="I118">
        <f>SUMIF(DATA!$A:$A,PPL!$A118,DATA!G:G)</f>
        <v>5</v>
      </c>
      <c r="J118">
        <f>SUMIF(DATA!$A:$A,PPL!$A118,DATA!H:H)</f>
        <v>0</v>
      </c>
      <c r="K118">
        <f>SUMIF(DATA!$A:$A,PPL!$A118,DATA!I:I)</f>
        <v>73</v>
      </c>
      <c r="L118">
        <f>SUMIF(DATA!$A:$A,PPL!$A118,DATA!J:J)</f>
        <v>0</v>
      </c>
      <c r="M118">
        <f t="shared" si="9"/>
        <v>495</v>
      </c>
      <c r="N118">
        <f t="shared" si="5"/>
        <v>699</v>
      </c>
      <c r="O118" s="3">
        <f t="shared" si="6"/>
        <v>95.491803278688522</v>
      </c>
      <c r="P118">
        <f t="shared" si="8"/>
        <v>33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726</v>
      </c>
      <c r="F119">
        <f>SUMIF(DATA!$A:$A,PPL!$A119,DATA!D:D)</f>
        <v>618</v>
      </c>
      <c r="G119">
        <f>SUMIF(DATA!$A:$A,PPL!$A119,DATA!E:E)</f>
        <v>106</v>
      </c>
      <c r="H119">
        <f>SUMIF(DATA!$A:$A,PPL!$A119,DATA!F:F)</f>
        <v>0</v>
      </c>
      <c r="I119">
        <f>SUMIF(DATA!$A:$A,PPL!$A119,DATA!G:G)</f>
        <v>2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9"/>
        <v>367</v>
      </c>
      <c r="N119">
        <f t="shared" si="5"/>
        <v>620</v>
      </c>
      <c r="O119" s="3">
        <f t="shared" si="6"/>
        <v>85.399449035812665</v>
      </c>
      <c r="P119">
        <f t="shared" si="8"/>
        <v>106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732</v>
      </c>
      <c r="F120">
        <f>SUMIF(DATA!$A:$A,PPL!$A120,DATA!D:D)</f>
        <v>502</v>
      </c>
      <c r="G120">
        <f>SUMIF(DATA!$A:$A,PPL!$A120,DATA!E:E)</f>
        <v>107</v>
      </c>
      <c r="H120">
        <f>SUMIF(DATA!$A:$A,PPL!$A120,DATA!F:F)</f>
        <v>0</v>
      </c>
      <c r="I120">
        <f>SUMIF(DATA!$A:$A,PPL!$A120,DATA!G:G)</f>
        <v>29</v>
      </c>
      <c r="J120">
        <f>SUMIF(DATA!$A:$A,PPL!$A120,DATA!H:H)</f>
        <v>0</v>
      </c>
      <c r="K120">
        <f>SUMIF(DATA!$A:$A,PPL!$A120,DATA!I:I)</f>
        <v>94</v>
      </c>
      <c r="L120">
        <f>SUMIF(DATA!$A:$A,PPL!$A120,DATA!J:J)</f>
        <v>0</v>
      </c>
      <c r="M120">
        <f t="shared" si="9"/>
        <v>421</v>
      </c>
      <c r="N120">
        <f t="shared" si="5"/>
        <v>625</v>
      </c>
      <c r="O120" s="3">
        <f t="shared" si="6"/>
        <v>85.382513661202182</v>
      </c>
      <c r="P120">
        <f t="shared" si="8"/>
        <v>107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679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317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436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617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867</v>
      </c>
      <c r="F126">
        <f>SUMIF(DATA!$A:$A,PPL!$A126,DATA!D:D)</f>
        <v>709</v>
      </c>
      <c r="G126">
        <f>SUMIF(DATA!$A:$A,PPL!$A126,DATA!E:E)</f>
        <v>5</v>
      </c>
      <c r="H126">
        <f>SUMIF(DATA!$A:$A,PPL!$A126,DATA!F:F)</f>
        <v>0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151</v>
      </c>
      <c r="L126">
        <f>SUMIF(DATA!$A:$A,PPL!$A126,DATA!J:J)</f>
        <v>0</v>
      </c>
      <c r="M126">
        <f t="shared" si="9"/>
        <v>661</v>
      </c>
      <c r="N126">
        <f t="shared" si="10"/>
        <v>862</v>
      </c>
      <c r="O126" s="3">
        <f t="shared" si="11"/>
        <v>99.423298731257205</v>
      </c>
      <c r="P126">
        <f t="shared" si="8"/>
        <v>5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749</v>
      </c>
      <c r="F127">
        <f>SUMIF(DATA!$A:$A,PPL!$A127,DATA!D:D)</f>
        <v>749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544</v>
      </c>
      <c r="N127">
        <f t="shared" si="10"/>
        <v>749</v>
      </c>
      <c r="O127" s="3">
        <f t="shared" si="11"/>
        <v>100</v>
      </c>
      <c r="P127">
        <f t="shared" si="8"/>
        <v>0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647</v>
      </c>
      <c r="F128">
        <f>SUMIF(DATA!$A:$A,PPL!$A128,DATA!D:D)</f>
        <v>545</v>
      </c>
      <c r="G128">
        <f>SUMIF(DATA!$A:$A,PPL!$A128,DATA!E:E)</f>
        <v>6</v>
      </c>
      <c r="H128">
        <f>SUMIF(DATA!$A:$A,PPL!$A128,DATA!F:F)</f>
        <v>0</v>
      </c>
      <c r="I128">
        <f>SUMIF(DATA!$A:$A,PPL!$A128,DATA!G:G)</f>
        <v>10</v>
      </c>
      <c r="J128">
        <f>SUMIF(DATA!$A:$A,PPL!$A128,DATA!H:H)</f>
        <v>1</v>
      </c>
      <c r="K128">
        <f>SUMIF(DATA!$A:$A,PPL!$A128,DATA!I:I)</f>
        <v>85</v>
      </c>
      <c r="L128">
        <f>SUMIF(DATA!$A:$A,PPL!$A128,DATA!J:J)</f>
        <v>0</v>
      </c>
      <c r="M128">
        <f t="shared" si="9"/>
        <v>493</v>
      </c>
      <c r="N128">
        <f t="shared" si="10"/>
        <v>641</v>
      </c>
      <c r="O128" s="3">
        <f t="shared" si="11"/>
        <v>99.072642967542507</v>
      </c>
      <c r="P128">
        <f t="shared" si="8"/>
        <v>6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888</v>
      </c>
      <c r="F129">
        <f>SUMIF(DATA!$A:$A,PPL!$A129,DATA!D:D)</f>
        <v>759</v>
      </c>
      <c r="G129">
        <f>SUMIF(DATA!$A:$A,PPL!$A129,DATA!E:E)</f>
        <v>2</v>
      </c>
      <c r="H129">
        <f>SUMIF(DATA!$A:$A,PPL!$A129,DATA!F:F)</f>
        <v>0</v>
      </c>
      <c r="I129">
        <f>SUMIF(DATA!$A:$A,PPL!$A129,DATA!G:G)</f>
        <v>2</v>
      </c>
      <c r="J129">
        <f>SUMIF(DATA!$A:$A,PPL!$A129,DATA!H:H)</f>
        <v>0</v>
      </c>
      <c r="K129">
        <f>SUMIF(DATA!$A:$A,PPL!$A129,DATA!I:I)</f>
        <v>125</v>
      </c>
      <c r="L129">
        <f>SUMIF(DATA!$A:$A,PPL!$A129,DATA!J:J)</f>
        <v>0</v>
      </c>
      <c r="M129">
        <f t="shared" si="9"/>
        <v>682</v>
      </c>
      <c r="N129">
        <f t="shared" si="10"/>
        <v>886</v>
      </c>
      <c r="O129" s="3">
        <f t="shared" si="11"/>
        <v>99.774774774774784</v>
      </c>
      <c r="P129">
        <f t="shared" si="8"/>
        <v>2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720</v>
      </c>
      <c r="F130">
        <f>SUMIF(DATA!$A:$A,PPL!$A130,DATA!D:D)</f>
        <v>557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9</v>
      </c>
      <c r="J130">
        <f>SUMIF(DATA!$A:$A,PPL!$A130,DATA!H:H)</f>
        <v>1</v>
      </c>
      <c r="K130">
        <f>SUMIF(DATA!$A:$A,PPL!$A130,DATA!I:I)</f>
        <v>153</v>
      </c>
      <c r="L130">
        <f>SUMIF(DATA!$A:$A,PPL!$A130,DATA!J:J)</f>
        <v>0</v>
      </c>
      <c r="M130">
        <f t="shared" ref="M130:M139" si="12">N130-Q130</f>
        <v>478</v>
      </c>
      <c r="N130">
        <f t="shared" si="10"/>
        <v>720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803</v>
      </c>
      <c r="F131">
        <f>SUMIF(DATA!$A:$A,PPL!$A131,DATA!D:D)</f>
        <v>689</v>
      </c>
      <c r="G131">
        <f>SUMIF(DATA!$A:$A,PPL!$A131,DATA!E:E)</f>
        <v>21</v>
      </c>
      <c r="H131">
        <f>SUMIF(DATA!$A:$A,PPL!$A131,DATA!F:F)</f>
        <v>0</v>
      </c>
      <c r="I131">
        <f>SUMIF(DATA!$A:$A,PPL!$A131,DATA!G:G)</f>
        <v>21</v>
      </c>
      <c r="J131">
        <f>SUMIF(DATA!$A:$A,PPL!$A131,DATA!H:H)</f>
        <v>0</v>
      </c>
      <c r="K131">
        <f>SUMIF(DATA!$A:$A,PPL!$A131,DATA!I:I)</f>
        <v>72</v>
      </c>
      <c r="L131">
        <f>SUMIF(DATA!$A:$A,PPL!$A131,DATA!J:J)</f>
        <v>0</v>
      </c>
      <c r="M131">
        <f t="shared" si="12"/>
        <v>584</v>
      </c>
      <c r="N131">
        <f t="shared" si="10"/>
        <v>782</v>
      </c>
      <c r="O131" s="3">
        <f t="shared" si="11"/>
        <v>97.384806973848072</v>
      </c>
      <c r="P131">
        <f t="shared" ref="P131:P139" si="13">CEILING((E131-N131)/1,1)</f>
        <v>21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1018</v>
      </c>
      <c r="F132">
        <f>SUMIF(DATA!$A:$A,PPL!$A132,DATA!D:D)</f>
        <v>1011</v>
      </c>
      <c r="G132">
        <f>SUMIF(DATA!$A:$A,PPL!$A132,DATA!E:E)</f>
        <v>4</v>
      </c>
      <c r="H132">
        <f>SUMIF(DATA!$A:$A,PPL!$A132,DATA!F:F)</f>
        <v>0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1</v>
      </c>
      <c r="L132">
        <f>SUMIF(DATA!$A:$A,PPL!$A132,DATA!J:J)</f>
        <v>0</v>
      </c>
      <c r="M132">
        <f t="shared" si="12"/>
        <v>607</v>
      </c>
      <c r="N132">
        <f t="shared" si="10"/>
        <v>1014</v>
      </c>
      <c r="O132" s="3">
        <f t="shared" si="11"/>
        <v>99.607072691552062</v>
      </c>
      <c r="P132">
        <f t="shared" si="13"/>
        <v>4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437</v>
      </c>
      <c r="G133">
        <f>SUMIF(DATA!$A:$A,PPL!$A133,DATA!E:E)</f>
        <v>79</v>
      </c>
      <c r="H133">
        <f>SUMIF(DATA!$A:$A,PPL!$A133,DATA!F:F)</f>
        <v>0</v>
      </c>
      <c r="I133">
        <f>SUMIF(DATA!$A:$A,PPL!$A133,DATA!G:G)</f>
        <v>10</v>
      </c>
      <c r="J133">
        <f>SUMIF(DATA!$A:$A,PPL!$A133,DATA!H:H)</f>
        <v>0</v>
      </c>
      <c r="K133">
        <f>SUMIF(DATA!$A:$A,PPL!$A133,DATA!I:I)</f>
        <v>405</v>
      </c>
      <c r="L133">
        <f>SUMIF(DATA!$A:$A,PPL!$A133,DATA!J:J)</f>
        <v>0</v>
      </c>
      <c r="M133">
        <f t="shared" si="12"/>
        <v>714</v>
      </c>
      <c r="N133">
        <f t="shared" ref="N133:N136" si="14">F133+I133+J133+K133+L133</f>
        <v>852</v>
      </c>
      <c r="O133" s="3">
        <f t="shared" ref="O133:O136" si="15">(N133/E133)*100</f>
        <v>91.514500537056932</v>
      </c>
      <c r="P133">
        <f t="shared" si="13"/>
        <v>79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644</v>
      </c>
      <c r="F134">
        <f>SUMIF(DATA!$A:$A,PPL!$A134,DATA!D:D)</f>
        <v>436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15</v>
      </c>
      <c r="J134">
        <f>SUMIF(DATA!$A:$A,PPL!$A134,DATA!H:H)</f>
        <v>0</v>
      </c>
      <c r="K134">
        <f>SUMIF(DATA!$A:$A,PPL!$A134,DATA!I:I)</f>
        <v>193</v>
      </c>
      <c r="L134">
        <f>SUMIF(DATA!$A:$A,PPL!$A134,DATA!J:J)</f>
        <v>0</v>
      </c>
      <c r="M134">
        <f t="shared" si="12"/>
        <v>518</v>
      </c>
      <c r="N134">
        <f t="shared" si="14"/>
        <v>644</v>
      </c>
      <c r="O134" s="3">
        <f t="shared" si="15"/>
        <v>100</v>
      </c>
      <c r="P134">
        <f t="shared" si="13"/>
        <v>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730</v>
      </c>
      <c r="F135">
        <f>SUMIF(DATA!$A:$A,PPL!$A135,DATA!D:D)</f>
        <v>608</v>
      </c>
      <c r="G135">
        <f>SUMIF(DATA!$A:$A,PPL!$A135,DATA!E:E)</f>
        <v>84</v>
      </c>
      <c r="H135">
        <f>SUMIF(DATA!$A:$A,PPL!$A135,DATA!F:F)</f>
        <v>0</v>
      </c>
      <c r="I135">
        <f>SUMIF(DATA!$A:$A,PPL!$A135,DATA!G:G)</f>
        <v>15</v>
      </c>
      <c r="J135">
        <f>SUMIF(DATA!$A:$A,PPL!$A135,DATA!H:H)</f>
        <v>0</v>
      </c>
      <c r="K135">
        <f>SUMIF(DATA!$A:$A,PPL!$A135,DATA!I:I)</f>
        <v>23</v>
      </c>
      <c r="L135">
        <f>SUMIF(DATA!$A:$A,PPL!$A135,DATA!J:J)</f>
        <v>0</v>
      </c>
      <c r="M135">
        <f t="shared" si="12"/>
        <v>502</v>
      </c>
      <c r="N135">
        <f t="shared" si="14"/>
        <v>646</v>
      </c>
      <c r="O135" s="3">
        <f t="shared" si="15"/>
        <v>88.493150684931507</v>
      </c>
      <c r="P135">
        <f t="shared" si="13"/>
        <v>84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852</v>
      </c>
      <c r="F136">
        <f>SUMIF(DATA!$A:$A,PPL!$A136,DATA!D:D)</f>
        <v>410</v>
      </c>
      <c r="G136">
        <f>SUMIF(DATA!$A:$A,PPL!$A136,DATA!E:E)</f>
        <v>70</v>
      </c>
      <c r="H136">
        <f>SUMIF(DATA!$A:$A,PPL!$A136,DATA!F:F)</f>
        <v>0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370</v>
      </c>
      <c r="L136">
        <f>SUMIF(DATA!$A:$A,PPL!$A136,DATA!J:J)</f>
        <v>0</v>
      </c>
      <c r="M136">
        <f t="shared" si="12"/>
        <v>528</v>
      </c>
      <c r="N136">
        <f t="shared" si="14"/>
        <v>782</v>
      </c>
      <c r="O136" s="3">
        <f t="shared" si="15"/>
        <v>91.784037558685455</v>
      </c>
      <c r="P136">
        <f t="shared" si="13"/>
        <v>70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1008</v>
      </c>
      <c r="F137">
        <f>SUMIF(DATA!$A:$A,PPL!$A137,DATA!D:D)</f>
        <v>523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483</v>
      </c>
      <c r="L137">
        <f>SUMIF(DATA!$A:$A,PPL!$A137,DATA!J:J)</f>
        <v>0</v>
      </c>
      <c r="M137">
        <f t="shared" si="12"/>
        <v>678</v>
      </c>
      <c r="N137">
        <f t="shared" ref="N137:N139" si="16">F137+I137+J137+K137+L137</f>
        <v>1008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814</v>
      </c>
      <c r="F138">
        <f>SUMIF(DATA!$A:$A,PPL!$A138,DATA!D:D)</f>
        <v>368</v>
      </c>
      <c r="G138">
        <f>SUMIF(DATA!$A:$A,PPL!$A138,DATA!E:E)</f>
        <v>185</v>
      </c>
      <c r="H138">
        <f>SUMIF(DATA!$A:$A,PPL!$A138,DATA!F:F)</f>
        <v>0</v>
      </c>
      <c r="I138">
        <f>SUMIF(DATA!$A:$A,PPL!$A138,DATA!G:G)</f>
        <v>21</v>
      </c>
      <c r="J138">
        <f>SUMIF(DATA!$A:$A,PPL!$A138,DATA!H:H)</f>
        <v>5</v>
      </c>
      <c r="K138">
        <f>SUMIF(DATA!$A:$A,PPL!$A138,DATA!I:I)</f>
        <v>235</v>
      </c>
      <c r="L138">
        <f>SUMIF(DATA!$A:$A,PPL!$A138,DATA!J:J)</f>
        <v>0</v>
      </c>
      <c r="M138">
        <f t="shared" si="12"/>
        <v>466</v>
      </c>
      <c r="N138">
        <f t="shared" si="16"/>
        <v>629</v>
      </c>
      <c r="O138" s="3">
        <f t="shared" si="17"/>
        <v>77.272727272727266</v>
      </c>
      <c r="P138">
        <f t="shared" si="13"/>
        <v>185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373</v>
      </c>
      <c r="G139">
        <f>SUMIF(DATA!$A:$A,PPL!$A139,DATA!E:E)</f>
        <v>12</v>
      </c>
      <c r="H139">
        <f>SUMIF(DATA!$A:$A,PPL!$A139,DATA!F:F)</f>
        <v>0</v>
      </c>
      <c r="I139">
        <f>SUMIF(DATA!$A:$A,PPL!$A139,DATA!G:G)</f>
        <v>77</v>
      </c>
      <c r="J139">
        <f>SUMIF(DATA!$A:$A,PPL!$A139,DATA!H:H)</f>
        <v>1</v>
      </c>
      <c r="K139">
        <f>SUMIF(DATA!$A:$A,PPL!$A139,DATA!I:I)</f>
        <v>171</v>
      </c>
      <c r="L139">
        <f>SUMIF(DATA!$A:$A,PPL!$A139,DATA!J:J)</f>
        <v>0</v>
      </c>
      <c r="M139">
        <f t="shared" si="12"/>
        <v>509</v>
      </c>
      <c r="N139">
        <f t="shared" si="16"/>
        <v>622</v>
      </c>
      <c r="O139" s="3">
        <f t="shared" si="17"/>
        <v>98.107255520504737</v>
      </c>
      <c r="P139">
        <f t="shared" si="13"/>
        <v>12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5252</v>
      </c>
      <c r="D2">
        <f>SUMIF(PPL!$C:$C,PML!$A2,PPL!F:F)</f>
        <v>3456</v>
      </c>
      <c r="E2">
        <f>SUMIF(PPL!$C:$C,PML!$A2,PPL!G:G)</f>
        <v>11</v>
      </c>
      <c r="F2">
        <f>SUMIF(PPL!$C:$C,PML!$A2,PPL!H:H)</f>
        <v>0</v>
      </c>
      <c r="G2">
        <f>SUMIF(PPL!$C:$C,PML!$A2,PPL!I:I)</f>
        <v>1</v>
      </c>
      <c r="H2">
        <f>SUMIF(PPL!$C:$C,PML!$A2,PPL!J:J)</f>
        <v>0</v>
      </c>
      <c r="I2">
        <f>SUMIF(PPL!$C:$C,PML!$A2,PPL!K:K)</f>
        <v>1784</v>
      </c>
      <c r="J2">
        <f>SUMIF(PPL!$C:$C,PML!$A2,PPL!L:L)</f>
        <v>0</v>
      </c>
      <c r="K2">
        <f>D2</f>
        <v>3456</v>
      </c>
      <c r="L2" s="3">
        <f>(SUM(D2)/C2)*100</f>
        <v>65.803503427265809</v>
      </c>
    </row>
    <row r="3" spans="1:12" x14ac:dyDescent="0.25">
      <c r="A3" t="s">
        <v>163</v>
      </c>
      <c r="B3" t="s">
        <v>187</v>
      </c>
      <c r="C3">
        <f>SUMIF(PPL!$C:$C,PML!$A3,PPL!E:E)</f>
        <v>5140</v>
      </c>
      <c r="D3">
        <f>SUMIF(PPL!$C:$C,PML!$A3,PPL!F:F)</f>
        <v>3508</v>
      </c>
      <c r="E3">
        <f>SUMIF(PPL!$C:$C,PML!$A3,PPL!G:G)</f>
        <v>13</v>
      </c>
      <c r="F3">
        <f>SUMIF(PPL!$C:$C,PML!$A3,PPL!H:H)</f>
        <v>0</v>
      </c>
      <c r="G3">
        <f>SUMIF(PPL!$C:$C,PML!$A3,PPL!I:I)</f>
        <v>93</v>
      </c>
      <c r="H3">
        <f>SUMIF(PPL!$C:$C,PML!$A3,PPL!J:J)</f>
        <v>1</v>
      </c>
      <c r="I3">
        <f>SUMIF(PPL!$C:$C,PML!$A3,PPL!K:K)</f>
        <v>1525</v>
      </c>
      <c r="J3">
        <f>SUMIF(PPL!$C:$C,PML!$A3,PPL!L:L)</f>
        <v>0</v>
      </c>
      <c r="K3">
        <f t="shared" ref="K3:K20" si="0">D3</f>
        <v>3508</v>
      </c>
      <c r="L3" s="3">
        <f t="shared" ref="L3:L20" si="1">(SUM(D3)/C3)*100</f>
        <v>68.249027237354085</v>
      </c>
    </row>
    <row r="4" spans="1:12" x14ac:dyDescent="0.25">
      <c r="A4" t="s">
        <v>164</v>
      </c>
      <c r="B4" t="s">
        <v>190</v>
      </c>
      <c r="C4">
        <f>SUMIF(PPL!$C:$C,PML!$A4,PPL!E:E)</f>
        <v>6311</v>
      </c>
      <c r="D4">
        <f>SUMIF(PPL!$C:$C,PML!$A4,PPL!F:F)</f>
        <v>5511</v>
      </c>
      <c r="E4">
        <f>SUMIF(PPL!$C:$C,PML!$A4,PPL!G:G)</f>
        <v>14</v>
      </c>
      <c r="F4">
        <f>SUMIF(PPL!$C:$C,PML!$A4,PPL!H:H)</f>
        <v>0</v>
      </c>
      <c r="G4">
        <f>SUMIF(PPL!$C:$C,PML!$A4,PPL!I:I)</f>
        <v>3</v>
      </c>
      <c r="H4">
        <f>SUMIF(PPL!$C:$C,PML!$A4,PPL!J:J)</f>
        <v>0</v>
      </c>
      <c r="I4">
        <f>SUMIF(PPL!$C:$C,PML!$A4,PPL!K:K)</f>
        <v>782</v>
      </c>
      <c r="J4">
        <f>SUMIF(PPL!$C:$C,PML!$A4,PPL!L:L)</f>
        <v>1</v>
      </c>
      <c r="K4">
        <f t="shared" si="0"/>
        <v>5511</v>
      </c>
      <c r="L4" s="3">
        <f t="shared" si="1"/>
        <v>87.323720488036756</v>
      </c>
    </row>
    <row r="5" spans="1:12" x14ac:dyDescent="0.25">
      <c r="A5" t="s">
        <v>165</v>
      </c>
      <c r="B5" t="s">
        <v>181</v>
      </c>
      <c r="C5">
        <f>SUMIF(PPL!$C:$C,PML!$A5,PPL!E:E)</f>
        <v>7162</v>
      </c>
      <c r="D5">
        <f>SUMIF(PPL!$C:$C,PML!$A5,PPL!F:F)</f>
        <v>5178</v>
      </c>
      <c r="E5">
        <f>SUMIF(PPL!$C:$C,PML!$A5,PPL!G:G)</f>
        <v>910</v>
      </c>
      <c r="F5">
        <f>SUMIF(PPL!$C:$C,PML!$A5,PPL!H:H)</f>
        <v>0</v>
      </c>
      <c r="G5">
        <f>SUMIF(PPL!$C:$C,PML!$A5,PPL!I:I)</f>
        <v>62</v>
      </c>
      <c r="H5">
        <f>SUMIF(PPL!$C:$C,PML!$A5,PPL!J:J)</f>
        <v>20</v>
      </c>
      <c r="I5">
        <f>SUMIF(PPL!$C:$C,PML!$A5,PPL!K:K)</f>
        <v>992</v>
      </c>
      <c r="J5">
        <f>SUMIF(PPL!$C:$C,PML!$A5,PPL!L:L)</f>
        <v>0</v>
      </c>
      <c r="K5">
        <f t="shared" si="0"/>
        <v>5178</v>
      </c>
      <c r="L5" s="3">
        <f t="shared" si="1"/>
        <v>72.298240714884116</v>
      </c>
    </row>
    <row r="6" spans="1:12" x14ac:dyDescent="0.25">
      <c r="A6" t="s">
        <v>166</v>
      </c>
      <c r="B6" t="s">
        <v>189</v>
      </c>
      <c r="C6">
        <f>SUMIF(PPL!$C:$C,PML!$A6,PPL!E:E)</f>
        <v>6495</v>
      </c>
      <c r="D6">
        <f>SUMIF(PPL!$C:$C,PML!$A6,PPL!F:F)</f>
        <v>4687</v>
      </c>
      <c r="E6">
        <f>SUMIF(PPL!$C:$C,PML!$A6,PPL!G:G)</f>
        <v>357</v>
      </c>
      <c r="F6">
        <f>SUMIF(PPL!$C:$C,PML!$A6,PPL!H:H)</f>
        <v>0</v>
      </c>
      <c r="G6">
        <f>SUMIF(PPL!$C:$C,PML!$A6,PPL!I:I)</f>
        <v>52</v>
      </c>
      <c r="H6">
        <f>SUMIF(PPL!$C:$C,PML!$A6,PPL!J:J)</f>
        <v>1</v>
      </c>
      <c r="I6">
        <f>SUMIF(PPL!$C:$C,PML!$A6,PPL!K:K)</f>
        <v>1396</v>
      </c>
      <c r="J6">
        <f>SUMIF(PPL!$C:$C,PML!$A6,PPL!L:L)</f>
        <v>2</v>
      </c>
      <c r="K6">
        <f t="shared" si="0"/>
        <v>4687</v>
      </c>
      <c r="L6" s="3">
        <f t="shared" si="1"/>
        <v>72.163202463433407</v>
      </c>
    </row>
    <row r="7" spans="1:12" x14ac:dyDescent="0.25">
      <c r="A7" t="s">
        <v>167</v>
      </c>
      <c r="B7" t="s">
        <v>182</v>
      </c>
      <c r="C7">
        <f>SUMIF(PPL!$C:$C,PML!$A7,PPL!E:E)</f>
        <v>6980</v>
      </c>
      <c r="D7">
        <f>SUMIF(PPL!$C:$C,PML!$A7,PPL!F:F)</f>
        <v>3767</v>
      </c>
      <c r="E7">
        <f>SUMIF(PPL!$C:$C,PML!$A7,PPL!G:G)</f>
        <v>226</v>
      </c>
      <c r="F7">
        <f>SUMIF(PPL!$C:$C,PML!$A7,PPL!H:H)</f>
        <v>0</v>
      </c>
      <c r="G7">
        <f>SUMIF(PPL!$C:$C,PML!$A7,PPL!I:I)</f>
        <v>116</v>
      </c>
      <c r="H7">
        <f>SUMIF(PPL!$C:$C,PML!$A7,PPL!J:J)</f>
        <v>3</v>
      </c>
      <c r="I7">
        <f>SUMIF(PPL!$C:$C,PML!$A7,PPL!K:K)</f>
        <v>2867</v>
      </c>
      <c r="J7">
        <f>SUMIF(PPL!$C:$C,PML!$A7,PPL!L:L)</f>
        <v>1</v>
      </c>
      <c r="K7">
        <f t="shared" si="0"/>
        <v>3767</v>
      </c>
      <c r="L7" s="3">
        <f t="shared" si="1"/>
        <v>53.968481375358166</v>
      </c>
    </row>
    <row r="8" spans="1:12" x14ac:dyDescent="0.25">
      <c r="A8" t="s">
        <v>168</v>
      </c>
      <c r="B8" t="s">
        <v>197</v>
      </c>
      <c r="C8">
        <f>SUMIF(PPL!$C:$C,PML!$A8,PPL!E:E)</f>
        <v>6110</v>
      </c>
      <c r="D8">
        <f>SUMIF(PPL!$C:$C,PML!$A8,PPL!F:F)</f>
        <v>3017</v>
      </c>
      <c r="E8">
        <f>SUMIF(PPL!$C:$C,PML!$A8,PPL!G:G)</f>
        <v>346</v>
      </c>
      <c r="F8">
        <f>SUMIF(PPL!$C:$C,PML!$A8,PPL!H:H)</f>
        <v>2</v>
      </c>
      <c r="G8">
        <f>SUMIF(PPL!$C:$C,PML!$A8,PPL!I:I)</f>
        <v>396</v>
      </c>
      <c r="H8">
        <f>SUMIF(PPL!$C:$C,PML!$A8,PPL!J:J)</f>
        <v>8</v>
      </c>
      <c r="I8">
        <f>SUMIF(PPL!$C:$C,PML!$A8,PPL!K:K)</f>
        <v>2341</v>
      </c>
      <c r="J8">
        <f>SUMIF(PPL!$C:$C,PML!$A8,PPL!L:L)</f>
        <v>0</v>
      </c>
      <c r="K8">
        <f t="shared" si="0"/>
        <v>3017</v>
      </c>
      <c r="L8" s="3">
        <f t="shared" si="1"/>
        <v>49.378068739770868</v>
      </c>
    </row>
    <row r="9" spans="1:12" x14ac:dyDescent="0.25">
      <c r="A9" t="s">
        <v>169</v>
      </c>
      <c r="B9" t="s">
        <v>199</v>
      </c>
      <c r="C9">
        <f>SUMIF(PPL!$C:$C,PML!$A9,PPL!E:E)</f>
        <v>6617</v>
      </c>
      <c r="D9">
        <f>SUMIF(PPL!$C:$C,PML!$A9,PPL!F:F)</f>
        <v>4681</v>
      </c>
      <c r="E9">
        <f>SUMIF(PPL!$C:$C,PML!$A9,PPL!G:G)</f>
        <v>87</v>
      </c>
      <c r="F9">
        <f>SUMIF(PPL!$C:$C,PML!$A9,PPL!H:H)</f>
        <v>0</v>
      </c>
      <c r="G9">
        <f>SUMIF(PPL!$C:$C,PML!$A9,PPL!I:I)</f>
        <v>227</v>
      </c>
      <c r="H9">
        <f>SUMIF(PPL!$C:$C,PML!$A9,PPL!J:J)</f>
        <v>3</v>
      </c>
      <c r="I9">
        <f>SUMIF(PPL!$C:$C,PML!$A9,PPL!K:K)</f>
        <v>1619</v>
      </c>
      <c r="J9">
        <f>SUMIF(PPL!$C:$C,PML!$A9,PPL!L:L)</f>
        <v>0</v>
      </c>
      <c r="K9">
        <f t="shared" si="0"/>
        <v>4681</v>
      </c>
      <c r="L9" s="3">
        <f t="shared" si="1"/>
        <v>70.742028109415145</v>
      </c>
    </row>
    <row r="10" spans="1:12" x14ac:dyDescent="0.25">
      <c r="A10" t="s">
        <v>170</v>
      </c>
      <c r="B10" t="s">
        <v>196</v>
      </c>
      <c r="C10">
        <f>SUMIF(PPL!$C:$C,PML!$A10,PPL!E:E)</f>
        <v>6137</v>
      </c>
      <c r="D10">
        <f>SUMIF(PPL!$C:$C,PML!$A10,PPL!F:F)</f>
        <v>4149</v>
      </c>
      <c r="E10">
        <f>SUMIF(PPL!$C:$C,PML!$A10,PPL!G:G)</f>
        <v>65</v>
      </c>
      <c r="F10">
        <f>SUMIF(PPL!$C:$C,PML!$A10,PPL!H:H)</f>
        <v>0</v>
      </c>
      <c r="G10">
        <f>SUMIF(PPL!$C:$C,PML!$A10,PPL!I:I)</f>
        <v>98</v>
      </c>
      <c r="H10">
        <f>SUMIF(PPL!$C:$C,PML!$A10,PPL!J:J)</f>
        <v>2</v>
      </c>
      <c r="I10">
        <f>SUMIF(PPL!$C:$C,PML!$A10,PPL!K:K)</f>
        <v>1823</v>
      </c>
      <c r="J10">
        <f>SUMIF(PPL!$C:$C,PML!$A10,PPL!L:L)</f>
        <v>0</v>
      </c>
      <c r="K10">
        <f t="shared" si="0"/>
        <v>4149</v>
      </c>
      <c r="L10" s="3">
        <f t="shared" si="1"/>
        <v>67.606322307316276</v>
      </c>
    </row>
    <row r="11" spans="1:12" x14ac:dyDescent="0.25">
      <c r="A11" t="s">
        <v>171</v>
      </c>
      <c r="B11" t="s">
        <v>195</v>
      </c>
      <c r="C11">
        <f>SUMIF(PPL!$C:$C,PML!$A11,PPL!E:E)</f>
        <v>4632</v>
      </c>
      <c r="D11">
        <f>SUMIF(PPL!$C:$C,PML!$A11,PPL!F:F)</f>
        <v>3158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190</v>
      </c>
      <c r="H11">
        <f>SUMIF(PPL!$C:$C,PML!$A11,PPL!J:J)</f>
        <v>3</v>
      </c>
      <c r="I11">
        <f>SUMIF(PPL!$C:$C,PML!$A11,PPL!K:K)</f>
        <v>1281</v>
      </c>
      <c r="J11">
        <f>SUMIF(PPL!$C:$C,PML!$A11,PPL!L:L)</f>
        <v>0</v>
      </c>
      <c r="K11">
        <f t="shared" si="0"/>
        <v>3158</v>
      </c>
      <c r="L11" s="3">
        <f t="shared" si="1"/>
        <v>68.177892918825563</v>
      </c>
    </row>
    <row r="12" spans="1:12" x14ac:dyDescent="0.25">
      <c r="A12" t="s">
        <v>172</v>
      </c>
      <c r="B12" t="s">
        <v>193</v>
      </c>
      <c r="C12">
        <f>SUMIF(PPL!$C:$C,PML!$A12,PPL!E:E)</f>
        <v>3920</v>
      </c>
      <c r="D12">
        <f>SUMIF(PPL!$C:$C,PML!$A12,PPL!F:F)</f>
        <v>3736</v>
      </c>
      <c r="E12">
        <f>SUMIF(PPL!$C:$C,PML!$A12,PPL!G:G)</f>
        <v>11</v>
      </c>
      <c r="F12">
        <f>SUMIF(PPL!$C:$C,PML!$A12,PPL!H:H)</f>
        <v>0</v>
      </c>
      <c r="G12">
        <f>SUMIF(PPL!$C:$C,PML!$A12,PPL!I:I)</f>
        <v>131</v>
      </c>
      <c r="H12">
        <f>SUMIF(PPL!$C:$C,PML!$A12,PPL!J:J)</f>
        <v>1</v>
      </c>
      <c r="I12">
        <f>SUMIF(PPL!$C:$C,PML!$A12,PPL!K:K)</f>
        <v>41</v>
      </c>
      <c r="J12">
        <f>SUMIF(PPL!$C:$C,PML!$A12,PPL!L:L)</f>
        <v>0</v>
      </c>
      <c r="K12">
        <f t="shared" si="0"/>
        <v>3736</v>
      </c>
      <c r="L12" s="3">
        <f t="shared" si="1"/>
        <v>95.306122448979593</v>
      </c>
    </row>
    <row r="13" spans="1:12" x14ac:dyDescent="0.25">
      <c r="A13" t="s">
        <v>173</v>
      </c>
      <c r="B13" t="s">
        <v>186</v>
      </c>
      <c r="C13">
        <f>SUMIF(PPL!$C:$C,PML!$A13,PPL!E:E)</f>
        <v>4658</v>
      </c>
      <c r="D13">
        <f>SUMIF(PPL!$C:$C,PML!$A13,PPL!F:F)</f>
        <v>4408</v>
      </c>
      <c r="E13">
        <f>SUMIF(PPL!$C:$C,PML!$A13,PPL!G:G)</f>
        <v>135</v>
      </c>
      <c r="F13">
        <f>SUMIF(PPL!$C:$C,PML!$A13,PPL!H:H)</f>
        <v>0</v>
      </c>
      <c r="G13">
        <f>SUMIF(PPL!$C:$C,PML!$A13,PPL!I:I)</f>
        <v>34</v>
      </c>
      <c r="H13">
        <f>SUMIF(PPL!$C:$C,PML!$A13,PPL!J:J)</f>
        <v>3</v>
      </c>
      <c r="I13">
        <f>SUMIF(PPL!$C:$C,PML!$A13,PPL!K:K)</f>
        <v>78</v>
      </c>
      <c r="J13">
        <f>SUMIF(PPL!$C:$C,PML!$A13,PPL!L:L)</f>
        <v>0</v>
      </c>
      <c r="K13">
        <f t="shared" si="0"/>
        <v>4408</v>
      </c>
      <c r="L13" s="3">
        <f t="shared" si="1"/>
        <v>94.632889652211247</v>
      </c>
    </row>
    <row r="14" spans="1:12" x14ac:dyDescent="0.25">
      <c r="A14" t="s">
        <v>174</v>
      </c>
      <c r="B14" t="s">
        <v>185</v>
      </c>
      <c r="C14">
        <f>SUMIF(PPL!$C:$C,PML!$A14,PPL!E:E)</f>
        <v>4350</v>
      </c>
      <c r="D14">
        <f>SUMIF(PPL!$C:$C,PML!$A14,PPL!F:F)</f>
        <v>2331</v>
      </c>
      <c r="E14">
        <f>SUMIF(PPL!$C:$C,PML!$A14,PPL!G:G)</f>
        <v>305</v>
      </c>
      <c r="F14">
        <f>SUMIF(PPL!$C:$C,PML!$A14,PPL!H:H)</f>
        <v>0</v>
      </c>
      <c r="G14">
        <f>SUMIF(PPL!$C:$C,PML!$A14,PPL!I:I)</f>
        <v>31</v>
      </c>
      <c r="H14">
        <f>SUMIF(PPL!$C:$C,PML!$A14,PPL!J:J)</f>
        <v>4</v>
      </c>
      <c r="I14">
        <f>SUMIF(PPL!$C:$C,PML!$A14,PPL!K:K)</f>
        <v>1679</v>
      </c>
      <c r="J14">
        <f>SUMIF(PPL!$C:$C,PML!$A14,PPL!L:L)</f>
        <v>0</v>
      </c>
      <c r="K14">
        <f t="shared" si="0"/>
        <v>2331</v>
      </c>
      <c r="L14" s="3">
        <f t="shared" si="1"/>
        <v>53.586206896551722</v>
      </c>
    </row>
    <row r="15" spans="1:12" x14ac:dyDescent="0.25">
      <c r="A15" t="s">
        <v>175</v>
      </c>
      <c r="B15" t="s">
        <v>188</v>
      </c>
      <c r="C15">
        <f>SUMIF(PPL!$C:$C,PML!$A15,PPL!E:E)</f>
        <v>5127</v>
      </c>
      <c r="D15">
        <f>SUMIF(PPL!$C:$C,PML!$A15,PPL!F:F)</f>
        <v>2213</v>
      </c>
      <c r="E15">
        <f>SUMIF(PPL!$C:$C,PML!$A15,PPL!G:G)</f>
        <v>528</v>
      </c>
      <c r="F15">
        <f>SUMIF(PPL!$C:$C,PML!$A15,PPL!H:H)</f>
        <v>0</v>
      </c>
      <c r="G15">
        <f>SUMIF(PPL!$C:$C,PML!$A15,PPL!I:I)</f>
        <v>114</v>
      </c>
      <c r="H15">
        <f>SUMIF(PPL!$C:$C,PML!$A15,PPL!J:J)</f>
        <v>36</v>
      </c>
      <c r="I15">
        <f>SUMIF(PPL!$C:$C,PML!$A15,PPL!K:K)</f>
        <v>2236</v>
      </c>
      <c r="J15">
        <f>SUMIF(PPL!$C:$C,PML!$A15,PPL!L:L)</f>
        <v>0</v>
      </c>
      <c r="K15">
        <f t="shared" si="0"/>
        <v>2213</v>
      </c>
      <c r="L15" s="3">
        <f t="shared" si="1"/>
        <v>43.163643456212206</v>
      </c>
    </row>
    <row r="16" spans="1:12" x14ac:dyDescent="0.25">
      <c r="A16" t="s">
        <v>176</v>
      </c>
      <c r="B16" t="s">
        <v>194</v>
      </c>
      <c r="C16">
        <f>SUMIF(PPL!$C:$C,PML!$A16,PPL!E:E)</f>
        <v>5413</v>
      </c>
      <c r="D16">
        <f>SUMIF(PPL!$C:$C,PML!$A16,PPL!F:F)</f>
        <v>4382</v>
      </c>
      <c r="E16">
        <f>SUMIF(PPL!$C:$C,PML!$A16,PPL!G:G)</f>
        <v>86</v>
      </c>
      <c r="F16">
        <f>SUMIF(PPL!$C:$C,PML!$A16,PPL!H:H)</f>
        <v>0</v>
      </c>
      <c r="G16">
        <f>SUMIF(PPL!$C:$C,PML!$A16,PPL!I:I)</f>
        <v>32</v>
      </c>
      <c r="H16">
        <f>SUMIF(PPL!$C:$C,PML!$A16,PPL!J:J)</f>
        <v>3</v>
      </c>
      <c r="I16">
        <f>SUMIF(PPL!$C:$C,PML!$A16,PPL!K:K)</f>
        <v>910</v>
      </c>
      <c r="J16">
        <f>SUMIF(PPL!$C:$C,PML!$A16,PPL!L:L)</f>
        <v>0</v>
      </c>
      <c r="K16">
        <f t="shared" si="0"/>
        <v>4382</v>
      </c>
      <c r="L16" s="3">
        <f t="shared" si="1"/>
        <v>80.953260668760393</v>
      </c>
    </row>
    <row r="17" spans="1:12" x14ac:dyDescent="0.25">
      <c r="A17" t="s">
        <v>177</v>
      </c>
      <c r="B17" t="s">
        <v>192</v>
      </c>
      <c r="C17">
        <f>SUMIF(PPL!$C:$C,PML!$A17,PPL!E:E)</f>
        <v>5401</v>
      </c>
      <c r="D17">
        <f>SUMIF(PPL!$C:$C,PML!$A17,PPL!F:F)</f>
        <v>4784</v>
      </c>
      <c r="E17">
        <f>SUMIF(PPL!$C:$C,PML!$A17,PPL!G:G)</f>
        <v>472</v>
      </c>
      <c r="F17">
        <f>SUMIF(PPL!$C:$C,PML!$A17,PPL!H:H)</f>
        <v>0</v>
      </c>
      <c r="G17">
        <f>SUMIF(PPL!$C:$C,PML!$A17,PPL!I:I)</f>
        <v>19</v>
      </c>
      <c r="H17">
        <f>SUMIF(PPL!$C:$C,PML!$A17,PPL!J:J)</f>
        <v>0</v>
      </c>
      <c r="I17">
        <f>SUMIF(PPL!$C:$C,PML!$A17,PPL!K:K)</f>
        <v>126</v>
      </c>
      <c r="J17">
        <f>SUMIF(PPL!$C:$C,PML!$A17,PPL!L:L)</f>
        <v>0</v>
      </c>
      <c r="K17">
        <f t="shared" si="0"/>
        <v>4784</v>
      </c>
      <c r="L17" s="3">
        <f t="shared" si="1"/>
        <v>88.576189594519533</v>
      </c>
    </row>
    <row r="18" spans="1:12" x14ac:dyDescent="0.25">
      <c r="A18" t="s">
        <v>178</v>
      </c>
      <c r="B18" t="s">
        <v>2066</v>
      </c>
      <c r="C18">
        <f>SUMIF(PPL!$C:$C,PML!$A18,PPL!E:E)</f>
        <v>5083</v>
      </c>
      <c r="D18">
        <f>SUMIF(PPL!$C:$C,PML!$A18,PPL!F:F)</f>
        <v>4776</v>
      </c>
      <c r="E18">
        <f>SUMIF(PPL!$C:$C,PML!$A18,PPL!G:G)</f>
        <v>268</v>
      </c>
      <c r="F18">
        <f>SUMIF(PPL!$C:$C,PML!$A18,PPL!H:H)</f>
        <v>1</v>
      </c>
      <c r="G18">
        <f>SUMIF(PPL!$C:$C,PML!$A18,PPL!I:I)</f>
        <v>10</v>
      </c>
      <c r="H18">
        <f>SUMIF(PPL!$C:$C,PML!$A18,PPL!J:J)</f>
        <v>0</v>
      </c>
      <c r="I18">
        <f>SUMIF(PPL!$C:$C,PML!$A18,PPL!K:K)</f>
        <v>28</v>
      </c>
      <c r="J18">
        <f>SUMIF(PPL!$C:$C,PML!$A18,PPL!L:L)</f>
        <v>0</v>
      </c>
      <c r="K18">
        <f t="shared" si="0"/>
        <v>4776</v>
      </c>
      <c r="L18" s="3">
        <f t="shared" si="1"/>
        <v>93.96025968915994</v>
      </c>
    </row>
    <row r="19" spans="1:12" x14ac:dyDescent="0.25">
      <c r="A19" t="s">
        <v>179</v>
      </c>
      <c r="B19" t="s">
        <v>184</v>
      </c>
      <c r="C19">
        <f>SUMIF(PPL!$C:$C,PML!$A19,PPL!E:E)</f>
        <v>4657</v>
      </c>
      <c r="D19">
        <f>SUMIF(PPL!$C:$C,PML!$A19,PPL!F:F)</f>
        <v>3761</v>
      </c>
      <c r="E19">
        <f>SUMIF(PPL!$C:$C,PML!$A19,PPL!G:G)</f>
        <v>141</v>
      </c>
      <c r="F19">
        <f>SUMIF(PPL!$C:$C,PML!$A19,PPL!H:H)</f>
        <v>0</v>
      </c>
      <c r="G19">
        <f>SUMIF(PPL!$C:$C,PML!$A19,PPL!I:I)</f>
        <v>73</v>
      </c>
      <c r="H19">
        <f>SUMIF(PPL!$C:$C,PML!$A19,PPL!J:J)</f>
        <v>2</v>
      </c>
      <c r="I19">
        <f>SUMIF(PPL!$C:$C,PML!$A19,PPL!K:K)</f>
        <v>680</v>
      </c>
      <c r="J19">
        <f>SUMIF(PPL!$C:$C,PML!$A19,PPL!L:L)</f>
        <v>0</v>
      </c>
      <c r="K19">
        <f t="shared" si="0"/>
        <v>3761</v>
      </c>
      <c r="L19" s="3">
        <f t="shared" si="1"/>
        <v>80.760146016748976</v>
      </c>
    </row>
    <row r="20" spans="1:12" x14ac:dyDescent="0.25">
      <c r="A20" t="s">
        <v>180</v>
      </c>
      <c r="B20" t="s">
        <v>183</v>
      </c>
      <c r="C20">
        <f>SUMIF(PPL!$C:$C,PML!$A20,PPL!E:E)</f>
        <v>6026</v>
      </c>
      <c r="D20">
        <f>SUMIF(PPL!$C:$C,PML!$A20,PPL!F:F)</f>
        <v>6019</v>
      </c>
      <c r="E20">
        <f>SUMIF(PPL!$C:$C,PML!$A20,PPL!G:G)</f>
        <v>4</v>
      </c>
      <c r="F20">
        <f>SUMIF(PPL!$C:$C,PML!$A20,PPL!H:H)</f>
        <v>0</v>
      </c>
      <c r="G20">
        <f>SUMIF(PPL!$C:$C,PML!$A20,PPL!I:I)</f>
        <v>2</v>
      </c>
      <c r="H20">
        <f>SUMIF(PPL!$C:$C,PML!$A20,PPL!J:J)</f>
        <v>0</v>
      </c>
      <c r="I20">
        <f>SUMIF(PPL!$C:$C,PML!$A20,PPL!K:K)</f>
        <v>1</v>
      </c>
      <c r="J20">
        <f>SUMIF(PPL!$C:$C,PML!$A20,PPL!L:L)</f>
        <v>0</v>
      </c>
      <c r="K20">
        <f t="shared" si="0"/>
        <v>6019</v>
      </c>
      <c r="L20" s="3">
        <f t="shared" si="1"/>
        <v>99.883836707600395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85"/>
  <sheetViews>
    <sheetView topLeftCell="A78" zoomScale="254" workbookViewId="0">
      <selection activeCell="C86" sqref="C86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8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2026-09-05T07:59:53Z</dcterms:modified>
</cp:coreProperties>
</file>