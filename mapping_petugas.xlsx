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6AA13686-1B6B-4C4B-821E-17F2382F4D01}" xr6:coauthVersionLast="47" xr6:coauthVersionMax="47" xr10:uidLastSave="{00000000-0000-0000-0000-000000000000}"/>
  <bookViews>
    <workbookView xWindow="0" yWindow="720" windowWidth="28800" windowHeight="15480" activeTab="3" xr2:uid="{00000000-000D-0000-FFFF-FFFF00000000}"/>
  </bookViews>
  <sheets>
    <sheet name="Sheet1" sheetId="1" r:id="rId1"/>
    <sheet name="region_summary (8)" sheetId="8" r:id="rId2"/>
    <sheet name="DATA" sheetId="2" r:id="rId3"/>
    <sheet name="HARIAN" sheetId="9" r:id="rId4"/>
    <sheet name="PPL" sheetId="4" r:id="rId5"/>
    <sheet name="PML" sheetId="5" r:id="rId6"/>
  </sheets>
  <definedNames>
    <definedName name="_xlnm._FilterDatabase" localSheetId="0" hidden="1">Sheet1!$A$1:$E$139</definedName>
    <definedName name="ExternalData_1" localSheetId="1" hidden="1">'region_summary (8)'!$A$1:$I$1058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L2" i="4"/>
  <c r="F2" i="4"/>
  <c r="G2" i="4"/>
  <c r="H2" i="4"/>
  <c r="I2" i="4"/>
  <c r="G2" i="5" s="1"/>
  <c r="J2" i="4"/>
  <c r="K2" i="4"/>
  <c r="I2" i="5" s="1"/>
  <c r="E2" i="4"/>
  <c r="C2" i="5" s="1"/>
  <c r="H2" i="5" l="1"/>
  <c r="F2" i="5"/>
  <c r="D2" i="5"/>
  <c r="K2" i="5" s="1"/>
  <c r="F140" i="9" s="1"/>
  <c r="G140" i="9" s="1"/>
  <c r="J2" i="5"/>
  <c r="I20" i="5"/>
  <c r="G20" i="5"/>
  <c r="E2" i="5"/>
  <c r="M138" i="4"/>
  <c r="F138" i="9" s="1"/>
  <c r="G138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9" i="4"/>
  <c r="F139" i="9" s="1"/>
  <c r="G139" i="9" s="1"/>
  <c r="M136" i="4"/>
  <c r="F136" i="9" s="1"/>
  <c r="G136" i="9" s="1"/>
  <c r="M133" i="4"/>
  <c r="F133" i="9" s="1"/>
  <c r="G133" i="9" s="1"/>
  <c r="M130" i="4"/>
  <c r="F130" i="9" s="1"/>
  <c r="G130" i="9" s="1"/>
  <c r="H20" i="5"/>
  <c r="M127" i="4"/>
  <c r="F127" i="9" s="1"/>
  <c r="G127" i="9" s="1"/>
  <c r="M124" i="4"/>
  <c r="F124" i="9" s="1"/>
  <c r="G124" i="9" s="1"/>
  <c r="M121" i="4"/>
  <c r="F121" i="9" s="1"/>
  <c r="G121" i="9" s="1"/>
  <c r="M118" i="4"/>
  <c r="F118" i="9" s="1"/>
  <c r="G118" i="9" s="1"/>
  <c r="M115" i="4"/>
  <c r="F115" i="9" s="1"/>
  <c r="G115" i="9" s="1"/>
  <c r="M112" i="4"/>
  <c r="F112" i="9" s="1"/>
  <c r="G112" i="9" s="1"/>
  <c r="H17" i="5"/>
  <c r="M109" i="4"/>
  <c r="F109" i="9" s="1"/>
  <c r="G109" i="9" s="1"/>
  <c r="M106" i="4"/>
  <c r="F106" i="9" s="1"/>
  <c r="G106" i="9" s="1"/>
  <c r="M103" i="4"/>
  <c r="F103" i="9" s="1"/>
  <c r="G103" i="9" s="1"/>
  <c r="M100" i="4"/>
  <c r="F100" i="9" s="1"/>
  <c r="G100" i="9" s="1"/>
  <c r="M97" i="4"/>
  <c r="F97" i="9" s="1"/>
  <c r="G97" i="9" s="1"/>
  <c r="M94" i="4"/>
  <c r="F94" i="9" s="1"/>
  <c r="G94" i="9" s="1"/>
  <c r="M91" i="4"/>
  <c r="F91" i="9" s="1"/>
  <c r="G91" i="9" s="1"/>
  <c r="H15" i="5"/>
  <c r="D14" i="5"/>
  <c r="M85" i="4"/>
  <c r="F85" i="9" s="1"/>
  <c r="G85" i="9" s="1"/>
  <c r="M82" i="4"/>
  <c r="F82" i="9" s="1"/>
  <c r="G82" i="9" s="1"/>
  <c r="M79" i="4"/>
  <c r="F79" i="9" s="1"/>
  <c r="G79" i="9" s="1"/>
  <c r="M76" i="4"/>
  <c r="F76" i="9" s="1"/>
  <c r="G76" i="9" s="1"/>
  <c r="M73" i="4"/>
  <c r="F73" i="9" s="1"/>
  <c r="G73" i="9" s="1"/>
  <c r="H11" i="5"/>
  <c r="M70" i="4"/>
  <c r="F70" i="9" s="1"/>
  <c r="G70" i="9" s="1"/>
  <c r="M67" i="4"/>
  <c r="F67" i="9" s="1"/>
  <c r="G67" i="9" s="1"/>
  <c r="M64" i="4"/>
  <c r="F64" i="9" s="1"/>
  <c r="G64" i="9" s="1"/>
  <c r="M61" i="4"/>
  <c r="F61" i="9" s="1"/>
  <c r="G61" i="9" s="1"/>
  <c r="M58" i="4"/>
  <c r="F58" i="9" s="1"/>
  <c r="G58" i="9" s="1"/>
  <c r="M55" i="4"/>
  <c r="F55" i="9" s="1"/>
  <c r="G55" i="9" s="1"/>
  <c r="M52" i="4"/>
  <c r="F52" i="9" s="1"/>
  <c r="G52" i="9" s="1"/>
  <c r="M49" i="4"/>
  <c r="F49" i="9" s="1"/>
  <c r="G49" i="9" s="1"/>
  <c r="H9" i="5"/>
  <c r="M46" i="4"/>
  <c r="F46" i="9" s="1"/>
  <c r="G46" i="9" s="1"/>
  <c r="M43" i="4"/>
  <c r="F43" i="9" s="1"/>
  <c r="G43" i="9" s="1"/>
  <c r="M40" i="4"/>
  <c r="F40" i="9" s="1"/>
  <c r="G40" i="9" s="1"/>
  <c r="M37" i="4"/>
  <c r="F37" i="9" s="1"/>
  <c r="G37" i="9" s="1"/>
  <c r="M34" i="4"/>
  <c r="F34" i="9" s="1"/>
  <c r="G34" i="9" s="1"/>
  <c r="M31" i="4"/>
  <c r="F31" i="9" s="1"/>
  <c r="G31" i="9" s="1"/>
  <c r="M28" i="4"/>
  <c r="F28" i="9" s="1"/>
  <c r="G28" i="9" s="1"/>
  <c r="M25" i="4"/>
  <c r="F25" i="9" s="1"/>
  <c r="G25" i="9" s="1"/>
  <c r="H5" i="5"/>
  <c r="M22" i="4"/>
  <c r="F22" i="9" s="1"/>
  <c r="G22" i="9" s="1"/>
  <c r="M19" i="4"/>
  <c r="F19" i="9" s="1"/>
  <c r="G19" i="9" s="1"/>
  <c r="M16" i="4"/>
  <c r="F16" i="9" s="1"/>
  <c r="G16" i="9" s="1"/>
  <c r="H4" i="5"/>
  <c r="M13" i="4"/>
  <c r="F13" i="9" s="1"/>
  <c r="G13" i="9" s="1"/>
  <c r="M10" i="4"/>
  <c r="F10" i="9" s="1"/>
  <c r="G10" i="9" s="1"/>
  <c r="M7" i="4"/>
  <c r="F7" i="9" s="1"/>
  <c r="G7" i="9" s="1"/>
  <c r="M4" i="4"/>
  <c r="F4" i="9" s="1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7" i="4"/>
  <c r="F137" i="9" s="1"/>
  <c r="G137" i="9" s="1"/>
  <c r="M134" i="4"/>
  <c r="F134" i="9" s="1"/>
  <c r="G134" i="9" s="1"/>
  <c r="M131" i="4"/>
  <c r="F131" i="9" s="1"/>
  <c r="G131" i="9" s="1"/>
  <c r="M128" i="4"/>
  <c r="F128" i="9" s="1"/>
  <c r="G128" i="9" s="1"/>
  <c r="M125" i="4"/>
  <c r="F125" i="9" s="1"/>
  <c r="G125" i="9" s="1"/>
  <c r="M122" i="4"/>
  <c r="F122" i="9" s="1"/>
  <c r="G122" i="9" s="1"/>
  <c r="M119" i="4"/>
  <c r="F119" i="9" s="1"/>
  <c r="G119" i="9" s="1"/>
  <c r="M116" i="4"/>
  <c r="F116" i="9" s="1"/>
  <c r="G116" i="9" s="1"/>
  <c r="M113" i="4"/>
  <c r="F113" i="9" s="1"/>
  <c r="G113" i="9" s="1"/>
  <c r="H18" i="5"/>
  <c r="D17" i="5"/>
  <c r="M107" i="4"/>
  <c r="F107" i="9" s="1"/>
  <c r="G107" i="9" s="1"/>
  <c r="M104" i="4"/>
  <c r="F104" i="9" s="1"/>
  <c r="G104" i="9" s="1"/>
  <c r="M101" i="4"/>
  <c r="F101" i="9" s="1"/>
  <c r="G101" i="9" s="1"/>
  <c r="M98" i="4"/>
  <c r="F98" i="9" s="1"/>
  <c r="G98" i="9" s="1"/>
  <c r="M95" i="4"/>
  <c r="F95" i="9" s="1"/>
  <c r="G95" i="9" s="1"/>
  <c r="M92" i="4"/>
  <c r="F92" i="9" s="1"/>
  <c r="G92" i="9" s="1"/>
  <c r="M89" i="4"/>
  <c r="F89" i="9" s="1"/>
  <c r="G89" i="9" s="1"/>
  <c r="H13" i="5"/>
  <c r="M86" i="4"/>
  <c r="F86" i="9" s="1"/>
  <c r="G86" i="9" s="1"/>
  <c r="M83" i="4"/>
  <c r="F83" i="9" s="1"/>
  <c r="G83" i="9" s="1"/>
  <c r="M80" i="4"/>
  <c r="F80" i="9" s="1"/>
  <c r="G80" i="9" s="1"/>
  <c r="M77" i="4"/>
  <c r="F77" i="9" s="1"/>
  <c r="G77" i="9" s="1"/>
  <c r="M74" i="4"/>
  <c r="F74" i="9" s="1"/>
  <c r="G74" i="9" s="1"/>
  <c r="M71" i="4"/>
  <c r="F71" i="9" s="1"/>
  <c r="G71" i="9" s="1"/>
  <c r="M68" i="4"/>
  <c r="F68" i="9" s="1"/>
  <c r="G68" i="9" s="1"/>
  <c r="M65" i="4"/>
  <c r="F65" i="9" s="1"/>
  <c r="G65" i="9" s="1"/>
  <c r="M62" i="4"/>
  <c r="F62" i="9" s="1"/>
  <c r="G62" i="9" s="1"/>
  <c r="M59" i="4"/>
  <c r="F59" i="9" s="1"/>
  <c r="G59" i="9" s="1"/>
  <c r="M56" i="4"/>
  <c r="F56" i="9" s="1"/>
  <c r="G56" i="9" s="1"/>
  <c r="M53" i="4"/>
  <c r="F53" i="9" s="1"/>
  <c r="G53" i="9" s="1"/>
  <c r="M50" i="4"/>
  <c r="F50" i="9" s="1"/>
  <c r="G50" i="9" s="1"/>
  <c r="H10" i="5"/>
  <c r="D9" i="5"/>
  <c r="M44" i="4"/>
  <c r="F44" i="9" s="1"/>
  <c r="G44" i="9" s="1"/>
  <c r="M41" i="4"/>
  <c r="F41" i="9" s="1"/>
  <c r="G41" i="9" s="1"/>
  <c r="M38" i="4"/>
  <c r="F38" i="9" s="1"/>
  <c r="G38" i="9" s="1"/>
  <c r="M35" i="4"/>
  <c r="F35" i="9" s="1"/>
  <c r="G35" i="9" s="1"/>
  <c r="M32" i="4"/>
  <c r="F32" i="9" s="1"/>
  <c r="G32" i="9" s="1"/>
  <c r="M29" i="4"/>
  <c r="F29" i="9" s="1"/>
  <c r="G29" i="9" s="1"/>
  <c r="H7" i="5"/>
  <c r="M26" i="4"/>
  <c r="F26" i="9" s="1"/>
  <c r="G26" i="9" s="1"/>
  <c r="H6" i="5"/>
  <c r="M23" i="4"/>
  <c r="F23" i="9" s="1"/>
  <c r="G23" i="9" s="1"/>
  <c r="M20" i="4"/>
  <c r="F20" i="9" s="1"/>
  <c r="G20" i="9" s="1"/>
  <c r="M17" i="4"/>
  <c r="F17" i="9" s="1"/>
  <c r="G17" i="9" s="1"/>
  <c r="M14" i="4"/>
  <c r="F14" i="9" s="1"/>
  <c r="G14" i="9" s="1"/>
  <c r="M11" i="4"/>
  <c r="F11" i="9" s="1"/>
  <c r="G11" i="9" s="1"/>
  <c r="M8" i="4"/>
  <c r="F8" i="9" s="1"/>
  <c r="G8" i="9" s="1"/>
  <c r="M5" i="4"/>
  <c r="F5" i="9" s="1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5" i="4"/>
  <c r="F135" i="9" s="1"/>
  <c r="G135" i="9" s="1"/>
  <c r="M132" i="4"/>
  <c r="F132" i="9" s="1"/>
  <c r="G132" i="9" s="1"/>
  <c r="M129" i="4"/>
  <c r="F129" i="9" s="1"/>
  <c r="G129" i="9" s="1"/>
  <c r="H19" i="5"/>
  <c r="M126" i="4"/>
  <c r="F126" i="9" s="1"/>
  <c r="G126" i="9" s="1"/>
  <c r="M123" i="4"/>
  <c r="F123" i="9" s="1"/>
  <c r="G123" i="9" s="1"/>
  <c r="M120" i="4"/>
  <c r="F120" i="9" s="1"/>
  <c r="G120" i="9" s="1"/>
  <c r="M117" i="4"/>
  <c r="F117" i="9" s="1"/>
  <c r="G117" i="9" s="1"/>
  <c r="M114" i="4"/>
  <c r="F114" i="9" s="1"/>
  <c r="G114" i="9" s="1"/>
  <c r="D18" i="5"/>
  <c r="M108" i="4"/>
  <c r="F108" i="9" s="1"/>
  <c r="G108" i="9" s="1"/>
  <c r="H16" i="5"/>
  <c r="M105" i="4"/>
  <c r="F105" i="9" s="1"/>
  <c r="G105" i="9" s="1"/>
  <c r="M102" i="4"/>
  <c r="F102" i="9" s="1"/>
  <c r="G102" i="9" s="1"/>
  <c r="M99" i="4"/>
  <c r="F99" i="9" s="1"/>
  <c r="G99" i="9" s="1"/>
  <c r="M96" i="4"/>
  <c r="F96" i="9" s="1"/>
  <c r="G96" i="9" s="1"/>
  <c r="M93" i="4"/>
  <c r="F93" i="9" s="1"/>
  <c r="G93" i="9" s="1"/>
  <c r="M90" i="4"/>
  <c r="F90" i="9" s="1"/>
  <c r="G90" i="9" s="1"/>
  <c r="H14" i="5"/>
  <c r="M87" i="4"/>
  <c r="F87" i="9" s="1"/>
  <c r="G87" i="9" s="1"/>
  <c r="M84" i="4"/>
  <c r="F84" i="9" s="1"/>
  <c r="G84" i="9" s="1"/>
  <c r="M81" i="4"/>
  <c r="F81" i="9" s="1"/>
  <c r="G81" i="9" s="1"/>
  <c r="H12" i="5"/>
  <c r="M78" i="4"/>
  <c r="F78" i="9" s="1"/>
  <c r="G78" i="9" s="1"/>
  <c r="M75" i="4"/>
  <c r="F75" i="9" s="1"/>
  <c r="G75" i="9" s="1"/>
  <c r="M72" i="4"/>
  <c r="F72" i="9" s="1"/>
  <c r="G72" i="9" s="1"/>
  <c r="M69" i="4"/>
  <c r="F69" i="9" s="1"/>
  <c r="G69" i="9" s="1"/>
  <c r="M66" i="4"/>
  <c r="F66" i="9" s="1"/>
  <c r="G66" i="9" s="1"/>
  <c r="M63" i="4"/>
  <c r="F63" i="9" s="1"/>
  <c r="G63" i="9" s="1"/>
  <c r="M60" i="4"/>
  <c r="F60" i="9" s="1"/>
  <c r="G60" i="9" s="1"/>
  <c r="M57" i="4"/>
  <c r="F57" i="9" s="1"/>
  <c r="G57" i="9" s="1"/>
  <c r="M54" i="4"/>
  <c r="F54" i="9" s="1"/>
  <c r="G54" i="9" s="1"/>
  <c r="M51" i="4"/>
  <c r="F51" i="9" s="1"/>
  <c r="G51" i="9" s="1"/>
  <c r="M48" i="4"/>
  <c r="F48" i="9" s="1"/>
  <c r="G48" i="9" s="1"/>
  <c r="H8" i="5"/>
  <c r="M45" i="4"/>
  <c r="F45" i="9" s="1"/>
  <c r="G45" i="9" s="1"/>
  <c r="M42" i="4"/>
  <c r="F42" i="9" s="1"/>
  <c r="G42" i="9" s="1"/>
  <c r="M39" i="4"/>
  <c r="F39" i="9" s="1"/>
  <c r="G39" i="9" s="1"/>
  <c r="M36" i="4"/>
  <c r="F36" i="9" s="1"/>
  <c r="G36" i="9" s="1"/>
  <c r="M33" i="4"/>
  <c r="F33" i="9" s="1"/>
  <c r="G33" i="9" s="1"/>
  <c r="M30" i="4"/>
  <c r="F30" i="9" s="1"/>
  <c r="G30" i="9" s="1"/>
  <c r="M27" i="4"/>
  <c r="F27" i="9" s="1"/>
  <c r="G27" i="9" s="1"/>
  <c r="D6" i="5"/>
  <c r="K6" i="5" s="1"/>
  <c r="F144" i="9" s="1"/>
  <c r="G144" i="9" s="1"/>
  <c r="M21" i="4"/>
  <c r="F21" i="9" s="1"/>
  <c r="G21" i="9" s="1"/>
  <c r="M18" i="4"/>
  <c r="F18" i="9" s="1"/>
  <c r="G18" i="9" s="1"/>
  <c r="M15" i="4"/>
  <c r="F15" i="9" s="1"/>
  <c r="G15" i="9" s="1"/>
  <c r="M12" i="4"/>
  <c r="F12" i="9" s="1"/>
  <c r="G12" i="9" s="1"/>
  <c r="M9" i="4"/>
  <c r="F9" i="9" s="1"/>
  <c r="G9" i="9" s="1"/>
  <c r="M6" i="4"/>
  <c r="F6" i="9" s="1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8" i="4"/>
  <c r="F88" i="9" s="1"/>
  <c r="G88" i="9" s="1"/>
  <c r="D19" i="5"/>
  <c r="D16" i="5"/>
  <c r="D13" i="5"/>
  <c r="K13" i="5" s="1"/>
  <c r="F151" i="9" s="1"/>
  <c r="G151" i="9" s="1"/>
  <c r="D10" i="5"/>
  <c r="D7" i="5"/>
  <c r="D4" i="5"/>
  <c r="M111" i="4"/>
  <c r="F111" i="9" s="1"/>
  <c r="G111" i="9" s="1"/>
  <c r="M3" i="4"/>
  <c r="F3" i="9" s="1"/>
  <c r="G3" i="9" s="1"/>
  <c r="M110" i="4"/>
  <c r="F110" i="9" s="1"/>
  <c r="G110" i="9" s="1"/>
  <c r="M24" i="4"/>
  <c r="F24" i="9" s="1"/>
  <c r="G24" i="9" s="1"/>
  <c r="D20" i="5"/>
  <c r="D11" i="5"/>
  <c r="D8" i="5"/>
  <c r="K8" i="5" s="1"/>
  <c r="F146" i="9" s="1"/>
  <c r="G146" i="9" s="1"/>
  <c r="D5" i="5"/>
  <c r="M47" i="4"/>
  <c r="F47" i="9" s="1"/>
  <c r="G47" i="9" s="1"/>
  <c r="M2" i="4"/>
  <c r="F2" i="9" s="1"/>
  <c r="G2" i="9" s="1"/>
  <c r="D15" i="5"/>
  <c r="K15" i="5" s="1"/>
  <c r="F153" i="9" s="1"/>
  <c r="G153" i="9" s="1"/>
  <c r="D12" i="5"/>
  <c r="K4" i="5" l="1"/>
  <c r="F142" i="9" s="1"/>
  <c r="G142" i="9" s="1"/>
  <c r="K18" i="5"/>
  <c r="F156" i="9" s="1"/>
  <c r="G156" i="9" s="1"/>
  <c r="K20" i="5"/>
  <c r="F158" i="9" s="1"/>
  <c r="G158" i="9" s="1"/>
  <c r="K10" i="5"/>
  <c r="F148" i="9" s="1"/>
  <c r="G148" i="9" s="1"/>
  <c r="K5" i="5"/>
  <c r="F143" i="9" s="1"/>
  <c r="G143" i="9" s="1"/>
  <c r="K16" i="5"/>
  <c r="F154" i="9" s="1"/>
  <c r="G154" i="9" s="1"/>
  <c r="K17" i="5"/>
  <c r="F155" i="9" s="1"/>
  <c r="G155" i="9" s="1"/>
  <c r="K12" i="5"/>
  <c r="F150" i="9" s="1"/>
  <c r="G150" i="9" s="1"/>
  <c r="K7" i="5"/>
  <c r="F145" i="9" s="1"/>
  <c r="G145" i="9" s="1"/>
  <c r="K19" i="5"/>
  <c r="F157" i="9" s="1"/>
  <c r="G157" i="9" s="1"/>
  <c r="K11" i="5"/>
  <c r="F149" i="9" s="1"/>
  <c r="G149" i="9" s="1"/>
  <c r="K3" i="5"/>
  <c r="F141" i="9" s="1"/>
  <c r="G141" i="9" s="1"/>
  <c r="K14" i="5"/>
  <c r="F152" i="9" s="1"/>
  <c r="G152" i="9" s="1"/>
  <c r="K9" i="5"/>
  <c r="F147" i="9" s="1"/>
  <c r="G147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2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3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4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</connections>
</file>

<file path=xl/sharedStrings.xml><?xml version="1.0" encoding="utf-8"?>
<sst xmlns="http://schemas.openxmlformats.org/spreadsheetml/2006/main" count="4077" uniqueCount="391">
  <si>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</si>
  <si>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</si>
  <si>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</si>
  <si>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</si>
  <si>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</si>
  <si>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</si>
  <si>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</si>
  <si>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</si>
  <si>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</si>
  <si>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</si>
  <si>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</si>
  <si>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</si>
  <si>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</si>
  <si>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</si>
  <si>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</si>
  <si>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</si>
  <si>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</si>
  <si>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</si>
  <si>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</si>
  <si>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</si>
  <si>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</si>
  <si>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</si>
  <si>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</si>
  <si>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</si>
  <si>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</si>
  <si>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</si>
  <si>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</si>
  <si>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</si>
  <si>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</si>
  <si>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</si>
  <si>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</si>
  <si>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</si>
  <si>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</si>
  <si>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</si>
  <si>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</si>
  <si>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</si>
  <si>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</si>
  <si>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</si>
  <si>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</si>
  <si>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</si>
  <si>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</si>
  <si>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</si>
  <si>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</si>
  <si>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</si>
  <si>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</si>
  <si>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</si>
  <si>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</si>
  <si>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</si>
  <si>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</si>
  <si>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</si>
  <si>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</si>
  <si>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</si>
  <si>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</si>
  <si>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</si>
  <si>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</si>
  <si>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</si>
  <si>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</si>
  <si>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</si>
  <si>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</si>
  <si>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</si>
  <si>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</si>
  <si>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</si>
  <si>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</si>
  <si>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</si>
  <si>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</si>
  <si>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</si>
  <si>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</si>
  <si>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</si>
  <si>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</si>
  <si>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</si>
  <si>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</si>
  <si>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</si>
  <si>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</si>
  <si>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</si>
  <si>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</si>
  <si>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</si>
  <si>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</si>
  <si>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</si>
  <si>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</si>
  <si>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</si>
  <si>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</si>
  <si>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</si>
  <si>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</si>
  <si>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</si>
  <si>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</si>
  <si>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</si>
  <si>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</si>
  <si>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</si>
  <si>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</si>
  <si>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</si>
  <si>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</si>
  <si>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</si>
  <si>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</si>
  <si>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</si>
  <si>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</si>
  <si>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</si>
  <si>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</si>
  <si>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</si>
  <si>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</si>
  <si>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</si>
  <si>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</si>
  <si>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</si>
  <si>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</si>
  <si>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</si>
  <si>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</si>
  <si>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</si>
  <si>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</si>
  <si>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</si>
  <si>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</si>
  <si>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</si>
  <si>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</si>
  <si>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</si>
  <si>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</si>
  <si>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</si>
  <si>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</si>
  <si>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</si>
  <si>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</si>
  <si>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</si>
  <si>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</si>
  <si>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</si>
  <si>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</si>
  <si>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</si>
  <si>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</si>
  <si>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</si>
  <si>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</si>
  <si>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</si>
  <si>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</si>
  <si>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</si>
  <si>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</si>
  <si>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</si>
  <si>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</si>
  <si>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</si>
  <si>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</si>
  <si>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</si>
  <si>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</si>
  <si>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</si>
  <si>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</si>
  <si>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</si>
  <si>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</si>
  <si>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</si>
  <si>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</si>
  <si>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</si>
  <si>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</si>
  <si>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</si>
  <si>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</si>
  <si>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</si>
  <si>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</si>
  <si>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</si>
  <si>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</si>
  <si>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</si>
  <si>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</si>
  <si>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</si>
  <si>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</si>
  <si>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</si>
  <si>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</si>
  <si>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</si>
  <si>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</si>
  <si>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</si>
  <si>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</si>
  <si>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</si>
  <si>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</si>
  <si>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</si>
  <si>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</si>
  <si>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</si>
  <si>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</si>
  <si>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</si>
  <si>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</si>
  <si>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</si>
  <si>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</si>
  <si>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</si>
  <si>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</si>
  <si>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</si>
  <si>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</si>
  <si>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</si>
  <si>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</si>
  <si>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</si>
  <si>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</si>
  <si>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</si>
  <si>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</si>
  <si>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</si>
  <si>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</si>
  <si>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</si>
  <si>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</si>
  <si>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</si>
  <si>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</si>
  <si>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</si>
  <si>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</si>
  <si>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</si>
  <si>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</si>
  <si>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</si>
  <si>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</si>
  <si>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</si>
  <si>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</si>
  <si>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</si>
  <si>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</si>
  <si>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</si>
  <si>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</si>
  <si>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</si>
  <si>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</si>
  <si>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</si>
  <si>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</si>
  <si>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</si>
  <si>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</si>
  <si>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</si>
  <si>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</si>
  <si>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</si>
  <si>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</si>
  <si>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</si>
  <si>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</si>
  <si>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</si>
  <si>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</si>
  <si>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</si>
  <si>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</si>
  <si>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</si>
  <si>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</si>
  <si>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</si>
  <si>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</si>
  <si>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</si>
  <si>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</si>
  <si>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</si>
  <si>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</si>
  <si>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</si>
  <si>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</si>
  <si>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</si>
  <si>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</si>
  <si>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</si>
  <si>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</si>
  <si>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</si>
  <si>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</si>
  <si>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</si>
  <si>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</si>
  <si>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</si>
  <si>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</si>
  <si>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</si>
  <si>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</si>
  <si>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</si>
  <si>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</si>
  <si>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</si>
  <si>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</si>
  <si>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</si>
  <si>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</si>
  <si>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</si>
  <si>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</si>
  <si>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</si>
  <si>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</si>
  <si>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</si>
  <si>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</si>
  <si>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</si>
  <si>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</si>
  <si>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</si>
  <si>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</si>
  <si>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</si>
  <si>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</si>
  <si>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</si>
  <si>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</si>
  <si>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</si>
  <si>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</si>
  <si>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</si>
  <si>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</si>
  <si>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</si>
  <si>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</si>
  <si>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</si>
  <si>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</si>
  <si>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</si>
  <si>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</si>
  <si>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</si>
  <si>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</si>
  <si>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</si>
  <si>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</si>
  <si>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</si>
  <si>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</si>
  <si>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</si>
  <si>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</si>
  <si>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</si>
  <si>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</si>
  <si>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</si>
  <si>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</si>
  <si>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</si>
  <si>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</si>
  <si>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</si>
  <si>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</si>
  <si>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</si>
  <si>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</si>
  <si>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</si>
  <si>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</si>
  <si>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</si>
  <si>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</si>
  <si>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</si>
  <si>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</si>
  <si>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</si>
  <si>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</si>
  <si>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</si>
  <si>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</si>
  <si>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</si>
  <si>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</si>
  <si>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</si>
  <si>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</si>
  <si>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</si>
  <si>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</si>
  <si>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</si>
  <si>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</si>
  <si>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</si>
  <si>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</si>
  <si>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</si>
  <si>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Diana Debora Tambanaung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</si>
  <si>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</si>
  <si>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</si>
  <si>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</si>
  <si>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</si>
  <si>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</si>
  <si>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</si>
  <si>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</si>
  <si>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</si>
  <si>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</si>
  <si>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</si>
  <si>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</si>
  <si>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</si>
  <si>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</si>
  <si>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</si>
  <si>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</si>
  <si>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</si>
  <si>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</si>
  <si>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</si>
  <si>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</si>
  <si>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</si>
  <si>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</si>
  <si>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</si>
  <si>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</si>
  <si>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</si>
  <si>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</si>
  <si>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</si>
  <si>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</si>
  <si>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</si>
  <si>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</si>
  <si>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</si>
  <si>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</si>
  <si>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</si>
  <si>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</si>
  <si>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</si>
  <si>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</si>
  <si>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</si>
  <si>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</si>
  <si>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</si>
  <si>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</si>
  <si>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</si>
  <si>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</si>
  <si>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</si>
  <si>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</si>
  <si>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</si>
  <si>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</si>
  <si>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</si>
  <si>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</si>
  <si>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</si>
  <si>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</si>
  <si>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</si>
  <si>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</si>
  <si>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</si>
  <si>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</si>
  <si>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</si>
  <si>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</si>
  <si>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</si>
  <si>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</si>
  <si>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</si>
  <si>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</si>
  <si>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</si>
  <si>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</si>
  <si>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</si>
  <si>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</si>
  <si>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</si>
  <si>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</si>
  <si>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</si>
  <si>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</si>
  <si>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</si>
  <si>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</si>
  <si>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</si>
  <si>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</si>
  <si>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</si>
  <si>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Bayu Purnama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</si>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</sst>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D871CBE-F2F8-43A2-8E0A-FBD0D4A17C1F}" autoFormatId="16" applyNumberFormats="0" applyBorderFormats="0" applyFontFormats="0" applyPatternFormats="0" applyAlignmentFormats="0" applyWidthHeightFormats="0">
  <queryTableRefresh nextId="10">
    <queryTableFields count="9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OPEN" tableColumnId="6"/>
      <queryTableField id="7" name="REJECTED BY Pengawas" tableColumnId="7"/>
      <queryTableField id="8" name="SUBMITTED BY Pencacah" tableColumnId="8"/>
      <queryTableField id="9" name="SUBMITTED RESPONDENT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EDCE2F-7CBE-4058-BC48-28252A04ACD2}" name="region_summary__8" displayName="region_summary__8" ref="A1:I1058" tableType="queryTable" totalsRowShown="0">
  <autoFilter ref="A1:I1058" xr:uid="{76EDCE2F-7CBE-4058-BC48-28252A04ACD2}"/>
  <tableColumns count="9">
    <tableColumn id="1" xr3:uid="{86244712-FEBB-4A14-8410-283F0DCFF911}" uniqueName="1" name="email" queryTableFieldId="1" dataDxfId="0"/>
    <tableColumn id="2" xr3:uid="{E57540CA-B9E2-4082-8329-E8861E07CA26}" uniqueName="2" name="regionCode" queryTableFieldId="2"/>
    <tableColumn id="3" xr3:uid="{A916D9B5-9A5C-4141-8B21-05832C841246}" uniqueName="3" name="total" queryTableFieldId="3"/>
    <tableColumn id="4" xr3:uid="{C9B286C0-7C28-4185-878B-1C7FF29A6F08}" uniqueName="4" name="APPROVED BY Pengawas" queryTableFieldId="4"/>
    <tableColumn id="5" xr3:uid="{A569221B-876E-446C-A30C-2382F4AE0C8C}" uniqueName="5" name="DRAFT" queryTableFieldId="5"/>
    <tableColumn id="6" xr3:uid="{CB712611-01A9-468D-B53A-B0786B81EDE9}" uniqueName="6" name="OPEN" queryTableFieldId="6"/>
    <tableColumn id="7" xr3:uid="{02DB26CA-8D22-49B3-8089-4E4E1E83CDCD}" uniqueName="7" name="REJECTED BY Pengawas" queryTableFieldId="7"/>
    <tableColumn id="8" xr3:uid="{CE50C23B-D9B0-4E1B-B8AE-3DF67DDE84C0}" uniqueName="8" name="SUBMITTED BY Pencacah" queryTableFieldId="8"/>
    <tableColumn id="9" xr3:uid="{5EA0723C-4A1B-4BAA-A6F7-E071D3C2CD93}" uniqueName="9" name="SUBMITTED RESPONDENT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094AB-1C1A-48FA-B017-E70776B6499D}">
  <dimension ref="A1:I1058"/>
  <sheetViews>
    <sheetView topLeftCell="A1027" workbookViewId="0">
      <selection activeCell="H1" sqref="H1:I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7" width="24" bestFit="1" customWidth="1"/>
    <col min="8" max="8" width="25.42578125" bestFit="1" customWidth="1"/>
    <col min="9" max="9" width="26.28515625" bestFit="1" customWidth="1"/>
  </cols>
  <sheetData>
    <row r="1" spans="1:9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227</v>
      </c>
      <c r="I1" t="s">
        <v>228</v>
      </c>
    </row>
    <row r="2" spans="1:9" x14ac:dyDescent="0.25">
      <c r="A2" t="s">
        <v>10</v>
      </c>
      <c r="B2">
        <v>7172010009002800</v>
      </c>
      <c r="C2">
        <v>102</v>
      </c>
      <c r="D2">
        <v>0</v>
      </c>
      <c r="E2">
        <v>13</v>
      </c>
      <c r="F2">
        <v>21</v>
      </c>
      <c r="G2">
        <v>0</v>
      </c>
      <c r="H2">
        <v>68</v>
      </c>
      <c r="I2">
        <v>0</v>
      </c>
    </row>
    <row r="3" spans="1:9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</row>
    <row r="4" spans="1:9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</row>
    <row r="5" spans="1:9" x14ac:dyDescent="0.25">
      <c r="A5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</row>
    <row r="6" spans="1:9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</row>
    <row r="7" spans="1:9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</row>
    <row r="8" spans="1:9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</row>
    <row r="9" spans="1:9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</row>
    <row r="10" spans="1:9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</row>
    <row r="11" spans="1:9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</row>
    <row r="12" spans="1:9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</row>
    <row r="13" spans="1:9" x14ac:dyDescent="0.25">
      <c r="A13" t="s">
        <v>6</v>
      </c>
      <c r="B13">
        <v>7172010008000200</v>
      </c>
      <c r="C13">
        <v>68</v>
      </c>
      <c r="D13">
        <v>0</v>
      </c>
      <c r="E13">
        <v>2</v>
      </c>
      <c r="F13">
        <v>39</v>
      </c>
      <c r="G13">
        <v>0</v>
      </c>
      <c r="H13">
        <v>27</v>
      </c>
      <c r="I13">
        <v>0</v>
      </c>
    </row>
    <row r="14" spans="1:9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</row>
    <row r="15" spans="1:9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</row>
    <row r="16" spans="1:9" x14ac:dyDescent="0.25">
      <c r="A16" t="s">
        <v>6</v>
      </c>
      <c r="B16">
        <v>7172010008000300</v>
      </c>
      <c r="C16">
        <v>43</v>
      </c>
      <c r="D16">
        <v>3</v>
      </c>
      <c r="E16">
        <v>3</v>
      </c>
      <c r="F16">
        <v>1</v>
      </c>
      <c r="G16">
        <v>0</v>
      </c>
      <c r="H16">
        <v>36</v>
      </c>
      <c r="I16">
        <v>0</v>
      </c>
    </row>
    <row r="17" spans="1:9" x14ac:dyDescent="0.25">
      <c r="A17" t="s">
        <v>13</v>
      </c>
      <c r="B17">
        <v>7172010010002100</v>
      </c>
      <c r="C17">
        <v>83</v>
      </c>
      <c r="D17">
        <v>9</v>
      </c>
      <c r="E17">
        <v>2</v>
      </c>
      <c r="F17">
        <v>8</v>
      </c>
      <c r="G17">
        <v>0</v>
      </c>
      <c r="H17">
        <v>64</v>
      </c>
      <c r="I17">
        <v>0</v>
      </c>
    </row>
    <row r="18" spans="1:9" x14ac:dyDescent="0.25">
      <c r="A18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</row>
    <row r="19" spans="1:9" x14ac:dyDescent="0.25">
      <c r="A19" t="s">
        <v>13</v>
      </c>
      <c r="B19">
        <v>7172010010001800</v>
      </c>
      <c r="C19">
        <v>69</v>
      </c>
      <c r="D19">
        <v>0</v>
      </c>
      <c r="E19">
        <v>2</v>
      </c>
      <c r="F19">
        <v>45</v>
      </c>
      <c r="G19">
        <v>0</v>
      </c>
      <c r="H19">
        <v>22</v>
      </c>
      <c r="I19">
        <v>0</v>
      </c>
    </row>
    <row r="20" spans="1:9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</row>
    <row r="21" spans="1:9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</row>
    <row r="23" spans="1:9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</row>
    <row r="24" spans="1:9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</row>
    <row r="28" spans="1:9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</row>
    <row r="29" spans="1:9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</row>
    <row r="30" spans="1:9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</row>
    <row r="31" spans="1:9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</row>
    <row r="32" spans="1:9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</row>
    <row r="33" spans="1:9" x14ac:dyDescent="0.25">
      <c r="A33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</row>
    <row r="34" spans="1:9" x14ac:dyDescent="0.25">
      <c r="A34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</row>
    <row r="35" spans="1:9" x14ac:dyDescent="0.25">
      <c r="A35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</row>
    <row r="36" spans="1:9" x14ac:dyDescent="0.25">
      <c r="A36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</row>
    <row r="37" spans="1:9" x14ac:dyDescent="0.25">
      <c r="A37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</row>
    <row r="38" spans="1:9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</row>
    <row r="39" spans="1:9" x14ac:dyDescent="0.25">
      <c r="A39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30</v>
      </c>
      <c r="I39">
        <v>0</v>
      </c>
    </row>
    <row r="40" spans="1:9" x14ac:dyDescent="0.25">
      <c r="A40" t="s">
        <v>16</v>
      </c>
      <c r="B40">
        <v>7172010012001600</v>
      </c>
      <c r="C40">
        <v>30</v>
      </c>
      <c r="D40">
        <v>0</v>
      </c>
      <c r="E40">
        <v>0</v>
      </c>
      <c r="F40">
        <v>1</v>
      </c>
      <c r="G40">
        <v>0</v>
      </c>
      <c r="H40">
        <v>29</v>
      </c>
      <c r="I40">
        <v>0</v>
      </c>
    </row>
    <row r="41" spans="1:9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</row>
    <row r="42" spans="1:9" x14ac:dyDescent="0.25">
      <c r="A42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</row>
    <row r="43" spans="1:9" x14ac:dyDescent="0.25">
      <c r="A43" t="s">
        <v>17</v>
      </c>
      <c r="B43">
        <v>7172010015003400</v>
      </c>
      <c r="C43">
        <v>179</v>
      </c>
      <c r="D43">
        <v>3</v>
      </c>
      <c r="E43">
        <v>11</v>
      </c>
      <c r="F43">
        <v>96</v>
      </c>
      <c r="G43">
        <v>2</v>
      </c>
      <c r="H43">
        <v>67</v>
      </c>
      <c r="I43">
        <v>0</v>
      </c>
    </row>
    <row r="44" spans="1:9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</row>
    <row r="45" spans="1:9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</row>
    <row r="46" spans="1:9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</row>
    <row r="47" spans="1:9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</row>
    <row r="48" spans="1:9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</row>
    <row r="49" spans="1:9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58</v>
      </c>
      <c r="I49">
        <v>0</v>
      </c>
    </row>
    <row r="50" spans="1:9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</row>
    <row r="51" spans="1:9" x14ac:dyDescent="0.25">
      <c r="A5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</row>
    <row r="52" spans="1:9" x14ac:dyDescent="0.25">
      <c r="A52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</row>
    <row r="53" spans="1:9" x14ac:dyDescent="0.25">
      <c r="A53" t="s">
        <v>20</v>
      </c>
      <c r="B53">
        <v>7172010016002200</v>
      </c>
      <c r="C53">
        <v>60</v>
      </c>
      <c r="D53">
        <v>0</v>
      </c>
      <c r="E53">
        <v>10</v>
      </c>
      <c r="F53">
        <v>29</v>
      </c>
      <c r="G53">
        <v>0</v>
      </c>
      <c r="H53">
        <v>21</v>
      </c>
      <c r="I53">
        <v>0</v>
      </c>
    </row>
    <row r="54" spans="1:9" x14ac:dyDescent="0.25">
      <c r="A54" t="s">
        <v>20</v>
      </c>
      <c r="B54">
        <v>7172010016002100</v>
      </c>
      <c r="C54">
        <v>56</v>
      </c>
      <c r="D54">
        <v>0</v>
      </c>
      <c r="E54">
        <v>0</v>
      </c>
      <c r="F54">
        <v>56</v>
      </c>
      <c r="G54">
        <v>0</v>
      </c>
      <c r="H54">
        <v>0</v>
      </c>
      <c r="I54">
        <v>0</v>
      </c>
    </row>
    <row r="55" spans="1:9" x14ac:dyDescent="0.25">
      <c r="A55" t="s">
        <v>20</v>
      </c>
      <c r="B55">
        <v>7172010016002000</v>
      </c>
      <c r="C55">
        <v>55</v>
      </c>
      <c r="D55">
        <v>0</v>
      </c>
      <c r="E55">
        <v>0</v>
      </c>
      <c r="F55">
        <v>55</v>
      </c>
      <c r="G55">
        <v>0</v>
      </c>
      <c r="H55">
        <v>0</v>
      </c>
      <c r="I55">
        <v>0</v>
      </c>
    </row>
    <row r="56" spans="1:9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</row>
    <row r="57" spans="1:9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</row>
    <row r="58" spans="1:9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</row>
    <row r="59" spans="1:9" x14ac:dyDescent="0.25">
      <c r="A59" t="s">
        <v>18</v>
      </c>
      <c r="B59">
        <v>7172010017001300</v>
      </c>
      <c r="C59">
        <v>136</v>
      </c>
      <c r="D59">
        <v>4</v>
      </c>
      <c r="E59">
        <v>5</v>
      </c>
      <c r="F59">
        <v>23</v>
      </c>
      <c r="G59">
        <v>19</v>
      </c>
      <c r="H59">
        <v>85</v>
      </c>
      <c r="I59">
        <v>0</v>
      </c>
    </row>
    <row r="60" spans="1:9" x14ac:dyDescent="0.25">
      <c r="A60" t="s">
        <v>18</v>
      </c>
      <c r="B60">
        <v>7172010017001800</v>
      </c>
      <c r="C60">
        <v>84</v>
      </c>
      <c r="D60">
        <v>0</v>
      </c>
      <c r="E60">
        <v>1</v>
      </c>
      <c r="F60">
        <v>74</v>
      </c>
      <c r="G60">
        <v>0</v>
      </c>
      <c r="H60">
        <v>9</v>
      </c>
      <c r="I60">
        <v>0</v>
      </c>
    </row>
    <row r="61" spans="1:9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</row>
    <row r="62" spans="1:9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</row>
    <row r="63" spans="1:9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</row>
    <row r="64" spans="1:9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</row>
    <row r="65" spans="1:9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</row>
    <row r="66" spans="1:9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</row>
    <row r="67" spans="1:9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</row>
    <row r="68" spans="1:9" x14ac:dyDescent="0.25">
      <c r="A68" t="s">
        <v>22</v>
      </c>
      <c r="B68">
        <v>7172010015002400</v>
      </c>
      <c r="C68">
        <v>138</v>
      </c>
      <c r="D68">
        <v>1</v>
      </c>
      <c r="E68">
        <v>0</v>
      </c>
      <c r="F68">
        <v>63</v>
      </c>
      <c r="G68">
        <v>2</v>
      </c>
      <c r="H68">
        <v>72</v>
      </c>
      <c r="I68">
        <v>0</v>
      </c>
    </row>
    <row r="69" spans="1:9" x14ac:dyDescent="0.25">
      <c r="A69" t="s">
        <v>22</v>
      </c>
      <c r="B69">
        <v>7172010015002500</v>
      </c>
      <c r="C69">
        <v>100</v>
      </c>
      <c r="D69">
        <v>0</v>
      </c>
      <c r="E69">
        <v>3</v>
      </c>
      <c r="F69">
        <v>74</v>
      </c>
      <c r="G69">
        <v>0</v>
      </c>
      <c r="H69">
        <v>23</v>
      </c>
      <c r="I69">
        <v>0</v>
      </c>
    </row>
    <row r="70" spans="1:9" x14ac:dyDescent="0.25">
      <c r="A70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</row>
    <row r="71" spans="1:9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</row>
    <row r="72" spans="1:9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</row>
    <row r="73" spans="1:9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</row>
    <row r="74" spans="1:9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</row>
    <row r="75" spans="1:9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</row>
    <row r="76" spans="1:9" x14ac:dyDescent="0.25">
      <c r="A76" t="s">
        <v>24</v>
      </c>
      <c r="B76">
        <v>7172010016001300</v>
      </c>
      <c r="C76">
        <v>96</v>
      </c>
      <c r="D76">
        <v>2</v>
      </c>
      <c r="E76">
        <v>23</v>
      </c>
      <c r="F76">
        <v>25</v>
      </c>
      <c r="G76">
        <v>0</v>
      </c>
      <c r="H76">
        <v>46</v>
      </c>
      <c r="I76">
        <v>0</v>
      </c>
    </row>
    <row r="77" spans="1:9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</row>
    <row r="78" spans="1:9" x14ac:dyDescent="0.25">
      <c r="A78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</row>
    <row r="79" spans="1:9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</row>
    <row r="80" spans="1:9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</row>
    <row r="81" spans="1:9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</row>
    <row r="82" spans="1:9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</row>
    <row r="83" spans="1:9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</row>
    <row r="84" spans="1:9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</row>
    <row r="85" spans="1:9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</row>
    <row r="86" spans="1:9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</row>
    <row r="87" spans="1:9" x14ac:dyDescent="0.25">
      <c r="A87" t="s">
        <v>26</v>
      </c>
      <c r="B87">
        <v>7172011001000100</v>
      </c>
      <c r="C87">
        <v>153</v>
      </c>
      <c r="D87">
        <v>43</v>
      </c>
      <c r="E87">
        <v>43</v>
      </c>
      <c r="F87">
        <v>32</v>
      </c>
      <c r="G87">
        <v>11</v>
      </c>
      <c r="H87">
        <v>24</v>
      </c>
      <c r="I87">
        <v>0</v>
      </c>
    </row>
    <row r="88" spans="1:9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</row>
    <row r="89" spans="1:9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</row>
    <row r="90" spans="1:9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</row>
    <row r="91" spans="1:9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</row>
    <row r="92" spans="1:9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</row>
    <row r="93" spans="1:9" x14ac:dyDescent="0.25">
      <c r="A93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</row>
    <row r="94" spans="1:9" x14ac:dyDescent="0.25">
      <c r="A94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</row>
    <row r="95" spans="1:9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</row>
    <row r="96" spans="1:9" x14ac:dyDescent="0.25">
      <c r="A96" t="s">
        <v>19</v>
      </c>
      <c r="B96">
        <v>7172010016002400</v>
      </c>
      <c r="C96">
        <v>106</v>
      </c>
      <c r="D96">
        <v>0</v>
      </c>
      <c r="E96">
        <v>0</v>
      </c>
      <c r="F96">
        <v>8</v>
      </c>
      <c r="G96">
        <v>1</v>
      </c>
      <c r="H96">
        <v>97</v>
      </c>
      <c r="I96">
        <v>0</v>
      </c>
    </row>
    <row r="97" spans="1:9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</row>
    <row r="98" spans="1:9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1</v>
      </c>
    </row>
    <row r="99" spans="1:9" x14ac:dyDescent="0.25">
      <c r="A99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15</v>
      </c>
      <c r="I99">
        <v>0</v>
      </c>
    </row>
    <row r="100" spans="1:9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</row>
    <row r="101" spans="1:9" x14ac:dyDescent="0.25">
      <c r="A10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1</v>
      </c>
      <c r="I101">
        <v>0</v>
      </c>
    </row>
    <row r="102" spans="1:9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</row>
    <row r="103" spans="1:9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</row>
    <row r="104" spans="1:9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</row>
    <row r="105" spans="1:9" x14ac:dyDescent="0.25">
      <c r="A105" t="s">
        <v>28</v>
      </c>
      <c r="B105">
        <v>7172011002000700</v>
      </c>
      <c r="C105">
        <v>106</v>
      </c>
      <c r="D105">
        <v>0</v>
      </c>
      <c r="E105">
        <v>5</v>
      </c>
      <c r="F105">
        <v>52</v>
      </c>
      <c r="G105">
        <v>0</v>
      </c>
      <c r="H105">
        <v>49</v>
      </c>
      <c r="I105">
        <v>0</v>
      </c>
    </row>
    <row r="106" spans="1:9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</row>
    <row r="107" spans="1:9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</row>
    <row r="108" spans="1:9" x14ac:dyDescent="0.25">
      <c r="A108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</row>
    <row r="109" spans="1:9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</row>
    <row r="110" spans="1:9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</row>
    <row r="111" spans="1:9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</row>
    <row r="112" spans="1:9" x14ac:dyDescent="0.25">
      <c r="A112" t="s">
        <v>42</v>
      </c>
      <c r="B112">
        <v>7172011014001600</v>
      </c>
      <c r="C112">
        <v>110</v>
      </c>
      <c r="D112">
        <v>19</v>
      </c>
      <c r="E112">
        <v>28</v>
      </c>
      <c r="F112">
        <v>33</v>
      </c>
      <c r="G112">
        <v>1</v>
      </c>
      <c r="H112">
        <v>29</v>
      </c>
      <c r="I112">
        <v>0</v>
      </c>
    </row>
    <row r="113" spans="1:9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</row>
    <row r="114" spans="1:9" x14ac:dyDescent="0.25">
      <c r="A114" t="s">
        <v>42</v>
      </c>
      <c r="B114">
        <v>7172011014001500</v>
      </c>
      <c r="C114">
        <v>69</v>
      </c>
      <c r="D114">
        <v>0</v>
      </c>
      <c r="E114">
        <v>12</v>
      </c>
      <c r="F114">
        <v>54</v>
      </c>
      <c r="G114">
        <v>0</v>
      </c>
      <c r="H114">
        <v>3</v>
      </c>
      <c r="I114">
        <v>0</v>
      </c>
    </row>
    <row r="115" spans="1:9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</row>
    <row r="116" spans="1:9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</row>
    <row r="117" spans="1:9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</row>
    <row r="118" spans="1:9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</row>
    <row r="119" spans="1:9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</row>
    <row r="120" spans="1:9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</row>
    <row r="121" spans="1:9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</row>
    <row r="122" spans="1:9" x14ac:dyDescent="0.25">
      <c r="A122" t="s">
        <v>45</v>
      </c>
      <c r="B122">
        <v>7172011013000100</v>
      </c>
      <c r="C122">
        <v>59</v>
      </c>
      <c r="D122">
        <v>0</v>
      </c>
      <c r="E122">
        <v>1</v>
      </c>
      <c r="F122">
        <v>20</v>
      </c>
      <c r="G122">
        <v>0</v>
      </c>
      <c r="H122">
        <v>38</v>
      </c>
      <c r="I122">
        <v>0</v>
      </c>
    </row>
    <row r="123" spans="1:9" x14ac:dyDescent="0.25">
      <c r="A123" t="s">
        <v>45</v>
      </c>
      <c r="B123">
        <v>7172011013000200</v>
      </c>
      <c r="C123">
        <v>51</v>
      </c>
      <c r="D123">
        <v>0</v>
      </c>
      <c r="E123">
        <v>0</v>
      </c>
      <c r="F123">
        <v>36</v>
      </c>
      <c r="G123">
        <v>0</v>
      </c>
      <c r="H123">
        <v>15</v>
      </c>
      <c r="I123">
        <v>0</v>
      </c>
    </row>
    <row r="124" spans="1:9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</row>
    <row r="125" spans="1:9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</row>
    <row r="126" spans="1:9" x14ac:dyDescent="0.25">
      <c r="A126" t="s">
        <v>35</v>
      </c>
      <c r="B126">
        <v>7172011003001900</v>
      </c>
      <c r="C126">
        <v>120</v>
      </c>
      <c r="D126">
        <v>0</v>
      </c>
      <c r="E126">
        <v>23</v>
      </c>
      <c r="F126">
        <v>73</v>
      </c>
      <c r="G126">
        <v>0</v>
      </c>
      <c r="H126">
        <v>24</v>
      </c>
      <c r="I126">
        <v>0</v>
      </c>
    </row>
    <row r="127" spans="1:9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</row>
    <row r="128" spans="1:9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</row>
    <row r="129" spans="1:9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8</v>
      </c>
      <c r="I129">
        <v>0</v>
      </c>
    </row>
    <row r="130" spans="1:9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</row>
    <row r="131" spans="1:9" x14ac:dyDescent="0.25">
      <c r="A131" t="s">
        <v>37</v>
      </c>
      <c r="B131">
        <v>7172011003002602</v>
      </c>
      <c r="C131">
        <v>161</v>
      </c>
      <c r="D131">
        <v>0</v>
      </c>
      <c r="E131">
        <v>32</v>
      </c>
      <c r="F131">
        <v>78</v>
      </c>
      <c r="G131">
        <v>0</v>
      </c>
      <c r="H131">
        <v>51</v>
      </c>
      <c r="I131">
        <v>0</v>
      </c>
    </row>
    <row r="132" spans="1:9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</row>
    <row r="133" spans="1:9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</row>
    <row r="134" spans="1:9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</row>
    <row r="135" spans="1:9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</row>
    <row r="136" spans="1:9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</row>
    <row r="137" spans="1:9" x14ac:dyDescent="0.25">
      <c r="A137" t="s">
        <v>31</v>
      </c>
      <c r="B137">
        <v>7172011003003600</v>
      </c>
      <c r="C137">
        <v>225</v>
      </c>
      <c r="D137">
        <v>0</v>
      </c>
      <c r="E137">
        <v>2</v>
      </c>
      <c r="F137">
        <v>140</v>
      </c>
      <c r="G137">
        <v>0</v>
      </c>
      <c r="H137">
        <v>83</v>
      </c>
      <c r="I137">
        <v>0</v>
      </c>
    </row>
    <row r="138" spans="1:9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</row>
    <row r="139" spans="1:9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6</v>
      </c>
      <c r="I139">
        <v>0</v>
      </c>
    </row>
    <row r="140" spans="1:9" x14ac:dyDescent="0.25">
      <c r="A140" t="s">
        <v>41</v>
      </c>
      <c r="B140">
        <v>7172011004001800</v>
      </c>
      <c r="C140">
        <v>233</v>
      </c>
      <c r="D140">
        <v>66</v>
      </c>
      <c r="E140">
        <v>22</v>
      </c>
      <c r="F140">
        <v>60</v>
      </c>
      <c r="G140">
        <v>17</v>
      </c>
      <c r="H140">
        <v>68</v>
      </c>
      <c r="I140">
        <v>0</v>
      </c>
    </row>
    <row r="141" spans="1:9" x14ac:dyDescent="0.25">
      <c r="A14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</row>
    <row r="142" spans="1:9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</row>
    <row r="143" spans="1:9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</row>
    <row r="144" spans="1:9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</row>
    <row r="145" spans="1:9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</row>
    <row r="146" spans="1:9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</row>
    <row r="147" spans="1:9" x14ac:dyDescent="0.25">
      <c r="A147" t="s">
        <v>46</v>
      </c>
      <c r="B147">
        <v>7172011013000900</v>
      </c>
      <c r="C147">
        <v>80</v>
      </c>
      <c r="D147">
        <v>2</v>
      </c>
      <c r="E147">
        <v>14</v>
      </c>
      <c r="F147">
        <v>25</v>
      </c>
      <c r="G147">
        <v>10</v>
      </c>
      <c r="H147">
        <v>29</v>
      </c>
      <c r="I147">
        <v>0</v>
      </c>
    </row>
    <row r="148" spans="1:9" x14ac:dyDescent="0.25">
      <c r="A148" t="s">
        <v>46</v>
      </c>
      <c r="B148">
        <v>7172011013000800</v>
      </c>
      <c r="C148">
        <v>79</v>
      </c>
      <c r="D148">
        <v>0</v>
      </c>
      <c r="E148">
        <v>0</v>
      </c>
      <c r="F148">
        <v>79</v>
      </c>
      <c r="G148">
        <v>0</v>
      </c>
      <c r="H148">
        <v>0</v>
      </c>
      <c r="I148">
        <v>0</v>
      </c>
    </row>
    <row r="149" spans="1:9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</row>
    <row r="150" spans="1:9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</row>
    <row r="151" spans="1:9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</row>
    <row r="152" spans="1:9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</row>
    <row r="153" spans="1:9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</row>
    <row r="154" spans="1:9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</row>
    <row r="155" spans="1:9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</row>
    <row r="156" spans="1:9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</row>
    <row r="157" spans="1:9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</row>
    <row r="158" spans="1:9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</row>
    <row r="159" spans="1:9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</row>
    <row r="160" spans="1:9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</row>
    <row r="161" spans="1:9" x14ac:dyDescent="0.25">
      <c r="A161" t="s">
        <v>39</v>
      </c>
      <c r="B161">
        <v>7172011004000100</v>
      </c>
      <c r="C161">
        <v>127</v>
      </c>
      <c r="D161">
        <v>0</v>
      </c>
      <c r="E161">
        <v>4</v>
      </c>
      <c r="F161">
        <v>117</v>
      </c>
      <c r="G161">
        <v>0</v>
      </c>
      <c r="H161">
        <v>6</v>
      </c>
      <c r="I161">
        <v>0</v>
      </c>
    </row>
    <row r="162" spans="1:9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</row>
    <row r="163" spans="1:9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</row>
    <row r="164" spans="1:9" x14ac:dyDescent="0.25">
      <c r="A164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18</v>
      </c>
      <c r="I164">
        <v>0</v>
      </c>
    </row>
    <row r="165" spans="1:9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</row>
    <row r="166" spans="1:9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</row>
    <row r="167" spans="1:9" x14ac:dyDescent="0.25">
      <c r="A167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35</v>
      </c>
      <c r="I167">
        <v>0</v>
      </c>
    </row>
    <row r="168" spans="1:9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</row>
    <row r="169" spans="1:9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</row>
    <row r="170" spans="1:9" x14ac:dyDescent="0.25">
      <c r="A170" t="s">
        <v>50</v>
      </c>
      <c r="B170">
        <v>7172012001000900</v>
      </c>
      <c r="C170">
        <v>108</v>
      </c>
      <c r="D170">
        <v>0</v>
      </c>
      <c r="E170">
        <v>8</v>
      </c>
      <c r="F170">
        <v>68</v>
      </c>
      <c r="G170">
        <v>0</v>
      </c>
      <c r="H170">
        <v>32</v>
      </c>
      <c r="I170">
        <v>0</v>
      </c>
    </row>
    <row r="171" spans="1:9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</row>
    <row r="172" spans="1:9" x14ac:dyDescent="0.25">
      <c r="A172" t="s">
        <v>44</v>
      </c>
      <c r="B172">
        <v>7172011012000700</v>
      </c>
      <c r="C172">
        <v>130</v>
      </c>
      <c r="D172">
        <v>0</v>
      </c>
      <c r="E172">
        <v>0</v>
      </c>
      <c r="F172">
        <v>84</v>
      </c>
      <c r="G172">
        <v>0</v>
      </c>
      <c r="H172">
        <v>46</v>
      </c>
      <c r="I172">
        <v>0</v>
      </c>
    </row>
    <row r="173" spans="1:9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</row>
    <row r="174" spans="1:9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</row>
    <row r="175" spans="1:9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</row>
    <row r="176" spans="1:9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</row>
    <row r="177" spans="1:9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</row>
    <row r="178" spans="1:9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</row>
    <row r="179" spans="1:9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</row>
    <row r="180" spans="1:9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</row>
    <row r="181" spans="1:9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</row>
    <row r="182" spans="1:9" x14ac:dyDescent="0.25">
      <c r="A182" t="s">
        <v>54</v>
      </c>
      <c r="B182">
        <v>7172012002000600</v>
      </c>
      <c r="C182">
        <v>111</v>
      </c>
      <c r="D182">
        <v>1</v>
      </c>
      <c r="E182">
        <v>2</v>
      </c>
      <c r="F182">
        <v>40</v>
      </c>
      <c r="G182">
        <v>0</v>
      </c>
      <c r="H182">
        <v>68</v>
      </c>
      <c r="I182">
        <v>0</v>
      </c>
    </row>
    <row r="183" spans="1:9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</row>
    <row r="184" spans="1:9" x14ac:dyDescent="0.25">
      <c r="A184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</row>
    <row r="185" spans="1:9" x14ac:dyDescent="0.25">
      <c r="A185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</row>
    <row r="186" spans="1:9" x14ac:dyDescent="0.25">
      <c r="A186" t="s">
        <v>54</v>
      </c>
      <c r="B186">
        <v>7172012002000300</v>
      </c>
      <c r="C186">
        <v>75</v>
      </c>
      <c r="D186">
        <v>0</v>
      </c>
      <c r="E186">
        <v>2</v>
      </c>
      <c r="F186">
        <v>66</v>
      </c>
      <c r="G186">
        <v>0</v>
      </c>
      <c r="H186">
        <v>7</v>
      </c>
      <c r="I186">
        <v>0</v>
      </c>
    </row>
    <row r="187" spans="1:9" x14ac:dyDescent="0.25">
      <c r="A187" t="s">
        <v>229</v>
      </c>
      <c r="B187">
        <v>7172012002001301</v>
      </c>
      <c r="C187">
        <v>123</v>
      </c>
      <c r="D187">
        <v>0</v>
      </c>
      <c r="E187">
        <v>0</v>
      </c>
      <c r="F187">
        <v>116</v>
      </c>
      <c r="G187">
        <v>0</v>
      </c>
      <c r="H187">
        <v>7</v>
      </c>
      <c r="I187">
        <v>0</v>
      </c>
    </row>
    <row r="188" spans="1:9" x14ac:dyDescent="0.25">
      <c r="A188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</row>
    <row r="189" spans="1:9" x14ac:dyDescent="0.25">
      <c r="A189" t="s">
        <v>229</v>
      </c>
      <c r="B189">
        <v>7172012002001302</v>
      </c>
      <c r="C189">
        <v>109</v>
      </c>
      <c r="D189">
        <v>0</v>
      </c>
      <c r="E189">
        <v>15</v>
      </c>
      <c r="F189">
        <v>44</v>
      </c>
      <c r="G189">
        <v>0</v>
      </c>
      <c r="H189">
        <v>50</v>
      </c>
      <c r="I189">
        <v>0</v>
      </c>
    </row>
    <row r="190" spans="1:9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</row>
    <row r="191" spans="1:9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</row>
    <row r="192" spans="1:9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</row>
    <row r="193" spans="1:9" x14ac:dyDescent="0.25">
      <c r="A193" t="s">
        <v>38</v>
      </c>
      <c r="B193">
        <v>7172011003003100</v>
      </c>
      <c r="C193">
        <v>176</v>
      </c>
      <c r="D193">
        <v>0</v>
      </c>
      <c r="E193">
        <v>17</v>
      </c>
      <c r="F193">
        <v>78</v>
      </c>
      <c r="G193">
        <v>0</v>
      </c>
      <c r="H193">
        <v>81</v>
      </c>
      <c r="I193">
        <v>0</v>
      </c>
    </row>
    <row r="194" spans="1:9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</row>
    <row r="195" spans="1:9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</row>
    <row r="196" spans="1:9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</row>
    <row r="197" spans="1:9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</row>
    <row r="198" spans="1:9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</row>
    <row r="199" spans="1:9" x14ac:dyDescent="0.25">
      <c r="A199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</row>
    <row r="200" spans="1:9" x14ac:dyDescent="0.25">
      <c r="A200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</row>
    <row r="201" spans="1:9" x14ac:dyDescent="0.25">
      <c r="A20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22</v>
      </c>
      <c r="I201">
        <v>0</v>
      </c>
    </row>
    <row r="202" spans="1:9" x14ac:dyDescent="0.25">
      <c r="A202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</row>
    <row r="203" spans="1:9" x14ac:dyDescent="0.25">
      <c r="A203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</row>
    <row r="204" spans="1:9" x14ac:dyDescent="0.25">
      <c r="A204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</row>
    <row r="205" spans="1:9" x14ac:dyDescent="0.25">
      <c r="A205" t="s">
        <v>60</v>
      </c>
      <c r="B205">
        <v>7172012004001900</v>
      </c>
      <c r="C205">
        <v>171</v>
      </c>
      <c r="D205">
        <v>6</v>
      </c>
      <c r="E205">
        <v>11</v>
      </c>
      <c r="F205">
        <v>100</v>
      </c>
      <c r="G205">
        <v>0</v>
      </c>
      <c r="H205">
        <v>54</v>
      </c>
      <c r="I205">
        <v>0</v>
      </c>
    </row>
    <row r="206" spans="1:9" x14ac:dyDescent="0.25">
      <c r="A206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</row>
    <row r="207" spans="1:9" x14ac:dyDescent="0.25">
      <c r="A207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</row>
    <row r="208" spans="1:9" x14ac:dyDescent="0.25">
      <c r="A208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</row>
    <row r="209" spans="1:9" x14ac:dyDescent="0.25">
      <c r="A209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1</v>
      </c>
      <c r="I209">
        <v>0</v>
      </c>
    </row>
    <row r="210" spans="1:9" x14ac:dyDescent="0.25">
      <c r="A210" t="s">
        <v>63</v>
      </c>
      <c r="B210">
        <v>7172012004001701</v>
      </c>
      <c r="C210">
        <v>305</v>
      </c>
      <c r="D210">
        <v>0</v>
      </c>
      <c r="E210">
        <v>13</v>
      </c>
      <c r="F210">
        <v>252</v>
      </c>
      <c r="G210">
        <v>0</v>
      </c>
      <c r="H210">
        <v>40</v>
      </c>
      <c r="I210">
        <v>0</v>
      </c>
    </row>
    <row r="211" spans="1:9" x14ac:dyDescent="0.25">
      <c r="A21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1</v>
      </c>
      <c r="H211">
        <v>0</v>
      </c>
      <c r="I211">
        <v>0</v>
      </c>
    </row>
    <row r="212" spans="1:9" x14ac:dyDescent="0.25">
      <c r="A212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</row>
    <row r="213" spans="1:9" x14ac:dyDescent="0.25">
      <c r="A213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</row>
    <row r="214" spans="1:9" x14ac:dyDescent="0.25">
      <c r="A214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</row>
    <row r="215" spans="1:9" x14ac:dyDescent="0.25">
      <c r="A215" t="s">
        <v>64</v>
      </c>
      <c r="B215">
        <v>7172012004002200</v>
      </c>
      <c r="C215">
        <v>164</v>
      </c>
      <c r="D215">
        <v>0</v>
      </c>
      <c r="E215">
        <v>10</v>
      </c>
      <c r="F215">
        <v>73</v>
      </c>
      <c r="G215">
        <v>0</v>
      </c>
      <c r="H215">
        <v>81</v>
      </c>
      <c r="I215">
        <v>0</v>
      </c>
    </row>
    <row r="216" spans="1:9" x14ac:dyDescent="0.25">
      <c r="A216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</row>
    <row r="217" spans="1:9" x14ac:dyDescent="0.25">
      <c r="A217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</row>
    <row r="218" spans="1:9" x14ac:dyDescent="0.25">
      <c r="A218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</row>
    <row r="219" spans="1:9" x14ac:dyDescent="0.25">
      <c r="A219" t="s">
        <v>65</v>
      </c>
      <c r="B219">
        <v>7172012004002600</v>
      </c>
      <c r="C219">
        <v>117</v>
      </c>
      <c r="D219">
        <v>0</v>
      </c>
      <c r="E219">
        <v>8</v>
      </c>
      <c r="F219">
        <v>60</v>
      </c>
      <c r="G219">
        <v>0</v>
      </c>
      <c r="H219">
        <v>49</v>
      </c>
      <c r="I219">
        <v>0</v>
      </c>
    </row>
    <row r="220" spans="1:9" x14ac:dyDescent="0.25">
      <c r="A220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</row>
    <row r="221" spans="1:9" x14ac:dyDescent="0.25">
      <c r="A22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</row>
    <row r="222" spans="1:9" x14ac:dyDescent="0.25">
      <c r="A222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</row>
    <row r="223" spans="1:9" x14ac:dyDescent="0.25">
      <c r="A223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</row>
    <row r="224" spans="1:9" x14ac:dyDescent="0.25">
      <c r="A224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</row>
    <row r="225" spans="1:9" x14ac:dyDescent="0.25">
      <c r="A225" t="s">
        <v>70</v>
      </c>
      <c r="B225">
        <v>7172012006001600</v>
      </c>
      <c r="C225">
        <v>82</v>
      </c>
      <c r="D225">
        <v>0</v>
      </c>
      <c r="E225">
        <v>4</v>
      </c>
      <c r="F225">
        <v>51</v>
      </c>
      <c r="G225">
        <v>0</v>
      </c>
      <c r="H225">
        <v>27</v>
      </c>
      <c r="I225">
        <v>0</v>
      </c>
    </row>
    <row r="226" spans="1:9" x14ac:dyDescent="0.25">
      <c r="A226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</row>
    <row r="227" spans="1:9" x14ac:dyDescent="0.25">
      <c r="A227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</row>
    <row r="228" spans="1:9" x14ac:dyDescent="0.25">
      <c r="A228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</row>
    <row r="229" spans="1:9" x14ac:dyDescent="0.25">
      <c r="A229" t="s">
        <v>70</v>
      </c>
      <c r="B229">
        <v>7172012006001000</v>
      </c>
      <c r="C229">
        <v>71</v>
      </c>
      <c r="D229">
        <v>0</v>
      </c>
      <c r="E229">
        <v>0</v>
      </c>
      <c r="F229">
        <v>66</v>
      </c>
      <c r="G229">
        <v>0</v>
      </c>
      <c r="H229">
        <v>5</v>
      </c>
      <c r="I229">
        <v>0</v>
      </c>
    </row>
    <row r="230" spans="1:9" x14ac:dyDescent="0.25">
      <c r="A230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</row>
    <row r="231" spans="1:9" x14ac:dyDescent="0.25">
      <c r="A23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</row>
    <row r="232" spans="1:9" x14ac:dyDescent="0.25">
      <c r="A232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49</v>
      </c>
      <c r="I232">
        <v>0</v>
      </c>
    </row>
    <row r="233" spans="1:9" x14ac:dyDescent="0.25">
      <c r="A233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</row>
    <row r="234" spans="1:9" x14ac:dyDescent="0.25">
      <c r="A234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</row>
    <row r="235" spans="1:9" x14ac:dyDescent="0.25">
      <c r="A235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</row>
    <row r="236" spans="1:9" x14ac:dyDescent="0.25">
      <c r="A236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</row>
    <row r="237" spans="1:9" x14ac:dyDescent="0.25">
      <c r="A237" t="s">
        <v>67</v>
      </c>
      <c r="B237">
        <v>7172012005001600</v>
      </c>
      <c r="C237">
        <v>57</v>
      </c>
      <c r="D237">
        <v>0</v>
      </c>
      <c r="E237">
        <v>5</v>
      </c>
      <c r="F237">
        <v>6</v>
      </c>
      <c r="G237">
        <v>0</v>
      </c>
      <c r="H237">
        <v>46</v>
      </c>
      <c r="I237">
        <v>0</v>
      </c>
    </row>
    <row r="238" spans="1:9" x14ac:dyDescent="0.25">
      <c r="A238" t="s">
        <v>67</v>
      </c>
      <c r="B238">
        <v>7172012005001300</v>
      </c>
      <c r="C238">
        <v>54</v>
      </c>
      <c r="D238">
        <v>0</v>
      </c>
      <c r="E238">
        <v>4</v>
      </c>
      <c r="F238">
        <v>2</v>
      </c>
      <c r="G238">
        <v>1</v>
      </c>
      <c r="H238">
        <v>47</v>
      </c>
      <c r="I238">
        <v>0</v>
      </c>
    </row>
    <row r="239" spans="1:9" x14ac:dyDescent="0.25">
      <c r="A239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</row>
    <row r="240" spans="1:9" x14ac:dyDescent="0.25">
      <c r="A240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</row>
    <row r="241" spans="1:9" x14ac:dyDescent="0.25">
      <c r="A241" t="s">
        <v>67</v>
      </c>
      <c r="B241">
        <v>7172012005000700</v>
      </c>
      <c r="C241">
        <v>23</v>
      </c>
      <c r="D241">
        <v>0</v>
      </c>
      <c r="E241">
        <v>0</v>
      </c>
      <c r="F241">
        <v>18</v>
      </c>
      <c r="G241">
        <v>0</v>
      </c>
      <c r="H241">
        <v>5</v>
      </c>
      <c r="I241">
        <v>0</v>
      </c>
    </row>
    <row r="242" spans="1:9" x14ac:dyDescent="0.25">
      <c r="A242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</row>
    <row r="243" spans="1:9" x14ac:dyDescent="0.25">
      <c r="A243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</row>
    <row r="244" spans="1:9" x14ac:dyDescent="0.25">
      <c r="A244" t="s">
        <v>230</v>
      </c>
      <c r="B244">
        <v>7172012007000300</v>
      </c>
      <c r="C244">
        <v>116</v>
      </c>
      <c r="D244">
        <v>0</v>
      </c>
      <c r="E244">
        <v>9</v>
      </c>
      <c r="F244">
        <v>35</v>
      </c>
      <c r="G244">
        <v>0</v>
      </c>
      <c r="H244">
        <v>72</v>
      </c>
      <c r="I244">
        <v>0</v>
      </c>
    </row>
    <row r="245" spans="1:9" x14ac:dyDescent="0.25">
      <c r="A245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</row>
    <row r="246" spans="1:9" x14ac:dyDescent="0.25">
      <c r="A246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</row>
    <row r="247" spans="1:9" x14ac:dyDescent="0.25">
      <c r="A247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</row>
    <row r="248" spans="1:9" x14ac:dyDescent="0.25">
      <c r="A248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2</v>
      </c>
      <c r="I248">
        <v>0</v>
      </c>
    </row>
    <row r="249" spans="1:9" x14ac:dyDescent="0.25">
      <c r="A249" t="s">
        <v>72</v>
      </c>
      <c r="B249">
        <v>7172012007000900</v>
      </c>
      <c r="C249">
        <v>109</v>
      </c>
      <c r="D249">
        <v>0</v>
      </c>
      <c r="E249">
        <v>11</v>
      </c>
      <c r="F249">
        <v>10</v>
      </c>
      <c r="G249">
        <v>0</v>
      </c>
      <c r="H249">
        <v>88</v>
      </c>
      <c r="I249">
        <v>0</v>
      </c>
    </row>
    <row r="250" spans="1:9" x14ac:dyDescent="0.25">
      <c r="A250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</row>
    <row r="251" spans="1:9" x14ac:dyDescent="0.25">
      <c r="A25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</row>
    <row r="252" spans="1:9" x14ac:dyDescent="0.25">
      <c r="A252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</row>
    <row r="253" spans="1:9" x14ac:dyDescent="0.25">
      <c r="A253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</row>
    <row r="254" spans="1:9" x14ac:dyDescent="0.25">
      <c r="A254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</row>
    <row r="255" spans="1:9" x14ac:dyDescent="0.25">
      <c r="A255" t="s">
        <v>75</v>
      </c>
      <c r="B255">
        <v>7172021003001000</v>
      </c>
      <c r="C255">
        <v>58</v>
      </c>
      <c r="D255">
        <v>0</v>
      </c>
      <c r="E255">
        <v>19</v>
      </c>
      <c r="F255">
        <v>30</v>
      </c>
      <c r="G255">
        <v>2</v>
      </c>
      <c r="H255">
        <v>7</v>
      </c>
      <c r="I255">
        <v>0</v>
      </c>
    </row>
    <row r="256" spans="1:9" x14ac:dyDescent="0.25">
      <c r="A256" t="s">
        <v>75</v>
      </c>
      <c r="B256">
        <v>7172021003000900</v>
      </c>
      <c r="C256">
        <v>57</v>
      </c>
      <c r="D256">
        <v>0</v>
      </c>
      <c r="E256">
        <v>0</v>
      </c>
      <c r="F256">
        <v>57</v>
      </c>
      <c r="G256">
        <v>0</v>
      </c>
      <c r="H256">
        <v>0</v>
      </c>
      <c r="I256">
        <v>0</v>
      </c>
    </row>
    <row r="257" spans="1:9" x14ac:dyDescent="0.25">
      <c r="A257" t="s">
        <v>75</v>
      </c>
      <c r="B257">
        <v>7172021002000400</v>
      </c>
      <c r="C257">
        <v>35</v>
      </c>
      <c r="D257">
        <v>7</v>
      </c>
      <c r="E257">
        <v>2</v>
      </c>
      <c r="F257">
        <v>10</v>
      </c>
      <c r="G257">
        <v>3</v>
      </c>
      <c r="H257">
        <v>13</v>
      </c>
      <c r="I257">
        <v>0</v>
      </c>
    </row>
    <row r="258" spans="1:9" x14ac:dyDescent="0.25">
      <c r="A258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</row>
    <row r="259" spans="1:9" x14ac:dyDescent="0.25">
      <c r="A259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</row>
    <row r="260" spans="1:9" x14ac:dyDescent="0.25">
      <c r="A260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</row>
    <row r="261" spans="1:9" x14ac:dyDescent="0.25">
      <c r="A26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</row>
    <row r="262" spans="1:9" x14ac:dyDescent="0.25">
      <c r="A262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</row>
    <row r="263" spans="1:9" x14ac:dyDescent="0.25">
      <c r="A263" t="s">
        <v>231</v>
      </c>
      <c r="B263">
        <v>7172021002000600</v>
      </c>
      <c r="C263">
        <v>64</v>
      </c>
      <c r="D263">
        <v>4</v>
      </c>
      <c r="E263">
        <v>18</v>
      </c>
      <c r="F263">
        <v>6</v>
      </c>
      <c r="G263">
        <v>0</v>
      </c>
      <c r="H263">
        <v>36</v>
      </c>
      <c r="I263">
        <v>0</v>
      </c>
    </row>
    <row r="264" spans="1:9" x14ac:dyDescent="0.25">
      <c r="A264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</row>
    <row r="265" spans="1:9" x14ac:dyDescent="0.25">
      <c r="A265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</row>
    <row r="266" spans="1:9" x14ac:dyDescent="0.25">
      <c r="A266" t="s">
        <v>74</v>
      </c>
      <c r="B266">
        <v>7172021002000500</v>
      </c>
      <c r="C266">
        <v>98</v>
      </c>
      <c r="D266">
        <v>7</v>
      </c>
      <c r="E266">
        <v>4</v>
      </c>
      <c r="F266">
        <v>73</v>
      </c>
      <c r="G266">
        <v>0</v>
      </c>
      <c r="H266">
        <v>14</v>
      </c>
      <c r="I266">
        <v>0</v>
      </c>
    </row>
    <row r="267" spans="1:9" x14ac:dyDescent="0.25">
      <c r="A267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</row>
    <row r="268" spans="1:9" x14ac:dyDescent="0.25">
      <c r="A268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</row>
    <row r="269" spans="1:9" x14ac:dyDescent="0.25">
      <c r="A269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</row>
    <row r="270" spans="1:9" x14ac:dyDescent="0.25">
      <c r="A270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</row>
    <row r="271" spans="1:9" x14ac:dyDescent="0.25">
      <c r="A271" t="s">
        <v>74</v>
      </c>
      <c r="B271">
        <v>7172021001000400</v>
      </c>
      <c r="C271">
        <v>41</v>
      </c>
      <c r="D271">
        <v>16</v>
      </c>
      <c r="E271">
        <v>3</v>
      </c>
      <c r="F271">
        <v>7</v>
      </c>
      <c r="G271">
        <v>0</v>
      </c>
      <c r="H271">
        <v>15</v>
      </c>
      <c r="I271">
        <v>0</v>
      </c>
    </row>
    <row r="272" spans="1:9" x14ac:dyDescent="0.25">
      <c r="A272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</row>
    <row r="273" spans="1:9" x14ac:dyDescent="0.25">
      <c r="A273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</row>
    <row r="274" spans="1:9" x14ac:dyDescent="0.25">
      <c r="A274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</row>
    <row r="275" spans="1:9" x14ac:dyDescent="0.25">
      <c r="A275" t="s">
        <v>78</v>
      </c>
      <c r="B275">
        <v>7172021005000100</v>
      </c>
      <c r="C275">
        <v>95</v>
      </c>
      <c r="D275">
        <v>7</v>
      </c>
      <c r="E275">
        <v>21</v>
      </c>
      <c r="F275">
        <v>41</v>
      </c>
      <c r="G275">
        <v>0</v>
      </c>
      <c r="H275">
        <v>26</v>
      </c>
      <c r="I275">
        <v>0</v>
      </c>
    </row>
    <row r="276" spans="1:9" x14ac:dyDescent="0.25">
      <c r="A276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</row>
    <row r="277" spans="1:9" x14ac:dyDescent="0.25">
      <c r="A277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</row>
    <row r="278" spans="1:9" x14ac:dyDescent="0.25">
      <c r="A278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</row>
    <row r="279" spans="1:9" x14ac:dyDescent="0.25">
      <c r="A279" t="s">
        <v>78</v>
      </c>
      <c r="B279">
        <v>7172021004000100</v>
      </c>
      <c r="C279">
        <v>61</v>
      </c>
      <c r="D279">
        <v>0</v>
      </c>
      <c r="E279">
        <v>0</v>
      </c>
      <c r="F279">
        <v>53</v>
      </c>
      <c r="G279">
        <v>0</v>
      </c>
      <c r="H279">
        <v>8</v>
      </c>
      <c r="I279">
        <v>0</v>
      </c>
    </row>
    <row r="280" spans="1:9" x14ac:dyDescent="0.25">
      <c r="A280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</row>
    <row r="281" spans="1:9" x14ac:dyDescent="0.25">
      <c r="A281" t="s">
        <v>79</v>
      </c>
      <c r="B281">
        <v>7172021005000200</v>
      </c>
      <c r="C281">
        <v>82</v>
      </c>
      <c r="D281">
        <v>4</v>
      </c>
      <c r="E281">
        <v>5</v>
      </c>
      <c r="F281">
        <v>65</v>
      </c>
      <c r="G281">
        <v>3</v>
      </c>
      <c r="H281">
        <v>5</v>
      </c>
      <c r="I281">
        <v>0</v>
      </c>
    </row>
    <row r="282" spans="1:9" x14ac:dyDescent="0.25">
      <c r="A282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</row>
    <row r="283" spans="1:9" x14ac:dyDescent="0.25">
      <c r="A283" t="s">
        <v>79</v>
      </c>
      <c r="B283">
        <v>7172021006000200</v>
      </c>
      <c r="C283">
        <v>74</v>
      </c>
      <c r="D283">
        <v>0</v>
      </c>
      <c r="E283">
        <v>8</v>
      </c>
      <c r="F283">
        <v>60</v>
      </c>
      <c r="G283">
        <v>0</v>
      </c>
      <c r="H283">
        <v>6</v>
      </c>
      <c r="I283">
        <v>0</v>
      </c>
    </row>
    <row r="284" spans="1:9" x14ac:dyDescent="0.25">
      <c r="A284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</row>
    <row r="285" spans="1:9" x14ac:dyDescent="0.25">
      <c r="A285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</row>
    <row r="286" spans="1:9" x14ac:dyDescent="0.25">
      <c r="A286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</row>
    <row r="287" spans="1:9" x14ac:dyDescent="0.25">
      <c r="A287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</row>
    <row r="288" spans="1:9" x14ac:dyDescent="0.25">
      <c r="A288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1</v>
      </c>
      <c r="I288">
        <v>0</v>
      </c>
    </row>
    <row r="289" spans="1:9" x14ac:dyDescent="0.25">
      <c r="A289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</row>
    <row r="290" spans="1:9" x14ac:dyDescent="0.25">
      <c r="A290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</row>
    <row r="291" spans="1:9" x14ac:dyDescent="0.25">
      <c r="A29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</row>
    <row r="292" spans="1:9" x14ac:dyDescent="0.25">
      <c r="A292" t="s">
        <v>232</v>
      </c>
      <c r="B292">
        <v>7172022001001100</v>
      </c>
      <c r="C292">
        <v>62</v>
      </c>
      <c r="D292">
        <v>0</v>
      </c>
      <c r="E292">
        <v>4</v>
      </c>
      <c r="F292">
        <v>5</v>
      </c>
      <c r="G292">
        <v>0</v>
      </c>
      <c r="H292">
        <v>53</v>
      </c>
      <c r="I292">
        <v>0</v>
      </c>
    </row>
    <row r="293" spans="1:9" x14ac:dyDescent="0.25">
      <c r="A293" t="s">
        <v>232</v>
      </c>
      <c r="B293">
        <v>7172022001000700</v>
      </c>
      <c r="C293">
        <v>59</v>
      </c>
      <c r="D293">
        <v>0</v>
      </c>
      <c r="E293">
        <v>0</v>
      </c>
      <c r="F293">
        <v>59</v>
      </c>
      <c r="G293">
        <v>0</v>
      </c>
      <c r="H293">
        <v>0</v>
      </c>
      <c r="I293">
        <v>0</v>
      </c>
    </row>
    <row r="294" spans="1:9" x14ac:dyDescent="0.25">
      <c r="A294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</row>
    <row r="295" spans="1:9" x14ac:dyDescent="0.25">
      <c r="A295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</row>
    <row r="296" spans="1:9" x14ac:dyDescent="0.25">
      <c r="A296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</row>
    <row r="297" spans="1:9" x14ac:dyDescent="0.25">
      <c r="A297" t="s">
        <v>89</v>
      </c>
      <c r="B297">
        <v>7172022008000400</v>
      </c>
      <c r="C297">
        <v>79</v>
      </c>
      <c r="D297">
        <v>0</v>
      </c>
      <c r="E297">
        <v>0</v>
      </c>
      <c r="F297">
        <v>56</v>
      </c>
      <c r="G297">
        <v>0</v>
      </c>
      <c r="H297">
        <v>23</v>
      </c>
      <c r="I297">
        <v>0</v>
      </c>
    </row>
    <row r="298" spans="1:9" x14ac:dyDescent="0.25">
      <c r="A298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</row>
    <row r="299" spans="1:9" x14ac:dyDescent="0.25">
      <c r="A299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</row>
    <row r="300" spans="1:9" x14ac:dyDescent="0.25">
      <c r="A300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9</v>
      </c>
      <c r="I300">
        <v>0</v>
      </c>
    </row>
    <row r="301" spans="1:9" x14ac:dyDescent="0.25">
      <c r="A301" t="s">
        <v>89</v>
      </c>
      <c r="B301">
        <v>7172022009000300</v>
      </c>
      <c r="C301">
        <v>36</v>
      </c>
      <c r="D301">
        <v>0</v>
      </c>
      <c r="E301">
        <v>0</v>
      </c>
      <c r="F301">
        <v>30</v>
      </c>
      <c r="G301">
        <v>0</v>
      </c>
      <c r="H301">
        <v>6</v>
      </c>
      <c r="I301">
        <v>0</v>
      </c>
    </row>
    <row r="302" spans="1:9" x14ac:dyDescent="0.25">
      <c r="A302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</row>
    <row r="303" spans="1:9" x14ac:dyDescent="0.25">
      <c r="A303" t="s">
        <v>90</v>
      </c>
      <c r="B303">
        <v>7172030006000900</v>
      </c>
      <c r="C303">
        <v>85</v>
      </c>
      <c r="D303">
        <v>0</v>
      </c>
      <c r="E303">
        <v>1</v>
      </c>
      <c r="F303">
        <v>68</v>
      </c>
      <c r="G303">
        <v>0</v>
      </c>
      <c r="H303">
        <v>16</v>
      </c>
      <c r="I303">
        <v>0</v>
      </c>
    </row>
    <row r="304" spans="1:9" x14ac:dyDescent="0.25">
      <c r="A304" t="s">
        <v>90</v>
      </c>
      <c r="B304">
        <v>7172030006000600</v>
      </c>
      <c r="C304">
        <v>83</v>
      </c>
      <c r="D304">
        <v>0</v>
      </c>
      <c r="E304">
        <v>0</v>
      </c>
      <c r="F304">
        <v>83</v>
      </c>
      <c r="G304">
        <v>0</v>
      </c>
      <c r="H304">
        <v>0</v>
      </c>
      <c r="I304">
        <v>0</v>
      </c>
    </row>
    <row r="305" spans="1:9" x14ac:dyDescent="0.25">
      <c r="A305" t="s">
        <v>90</v>
      </c>
      <c r="B305">
        <v>7172030006000800</v>
      </c>
      <c r="C305">
        <v>80</v>
      </c>
      <c r="D305">
        <v>19</v>
      </c>
      <c r="E305">
        <v>0</v>
      </c>
      <c r="F305">
        <v>36</v>
      </c>
      <c r="G305">
        <v>0</v>
      </c>
      <c r="H305">
        <v>25</v>
      </c>
      <c r="I305">
        <v>0</v>
      </c>
    </row>
    <row r="306" spans="1:9" x14ac:dyDescent="0.25">
      <c r="A306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</row>
    <row r="307" spans="1:9" x14ac:dyDescent="0.25">
      <c r="A307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</row>
    <row r="308" spans="1:9" x14ac:dyDescent="0.25">
      <c r="A308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</row>
    <row r="309" spans="1:9" x14ac:dyDescent="0.25">
      <c r="A309" t="s">
        <v>90</v>
      </c>
      <c r="B309">
        <v>7172030006000400</v>
      </c>
      <c r="C309">
        <v>50</v>
      </c>
      <c r="D309">
        <v>7</v>
      </c>
      <c r="E309">
        <v>1</v>
      </c>
      <c r="F309">
        <v>40</v>
      </c>
      <c r="G309">
        <v>0</v>
      </c>
      <c r="H309">
        <v>2</v>
      </c>
      <c r="I309">
        <v>0</v>
      </c>
    </row>
    <row r="310" spans="1:9" x14ac:dyDescent="0.25">
      <c r="A310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</row>
    <row r="311" spans="1:9" x14ac:dyDescent="0.25">
      <c r="A311" t="s">
        <v>85</v>
      </c>
      <c r="B311">
        <v>7172022003000200</v>
      </c>
      <c r="C311">
        <v>106</v>
      </c>
      <c r="D311">
        <v>0</v>
      </c>
      <c r="E311">
        <v>2</v>
      </c>
      <c r="F311">
        <v>57</v>
      </c>
      <c r="G311">
        <v>0</v>
      </c>
      <c r="H311">
        <v>47</v>
      </c>
      <c r="I311">
        <v>0</v>
      </c>
    </row>
    <row r="312" spans="1:9" x14ac:dyDescent="0.25">
      <c r="A312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</row>
    <row r="313" spans="1:9" x14ac:dyDescent="0.25">
      <c r="A313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</row>
    <row r="314" spans="1:9" x14ac:dyDescent="0.25">
      <c r="A314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</row>
    <row r="315" spans="1:9" x14ac:dyDescent="0.25">
      <c r="A315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</row>
    <row r="316" spans="1:9" x14ac:dyDescent="0.25">
      <c r="A316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</row>
    <row r="317" spans="1:9" x14ac:dyDescent="0.25">
      <c r="A317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</row>
    <row r="318" spans="1:9" x14ac:dyDescent="0.25">
      <c r="A318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</row>
    <row r="319" spans="1:9" x14ac:dyDescent="0.25">
      <c r="A319" t="s">
        <v>92</v>
      </c>
      <c r="B319">
        <v>7172030007000200</v>
      </c>
      <c r="C319">
        <v>124</v>
      </c>
      <c r="D319">
        <v>0</v>
      </c>
      <c r="E319">
        <v>20</v>
      </c>
      <c r="F319">
        <v>84</v>
      </c>
      <c r="G319">
        <v>0</v>
      </c>
      <c r="H319">
        <v>20</v>
      </c>
      <c r="I319">
        <v>0</v>
      </c>
    </row>
    <row r="320" spans="1:9" x14ac:dyDescent="0.25">
      <c r="A320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</row>
    <row r="321" spans="1:9" x14ac:dyDescent="0.25">
      <c r="A32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</row>
    <row r="322" spans="1:9" x14ac:dyDescent="0.25">
      <c r="A322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</row>
    <row r="323" spans="1:9" x14ac:dyDescent="0.25">
      <c r="A323" t="s">
        <v>92</v>
      </c>
      <c r="B323">
        <v>7172030007000100</v>
      </c>
      <c r="C323">
        <v>61</v>
      </c>
      <c r="D323">
        <v>12</v>
      </c>
      <c r="E323">
        <v>8</v>
      </c>
      <c r="F323">
        <v>2</v>
      </c>
      <c r="G323">
        <v>0</v>
      </c>
      <c r="H323">
        <v>39</v>
      </c>
      <c r="I323">
        <v>0</v>
      </c>
    </row>
    <row r="324" spans="1:9" x14ac:dyDescent="0.25">
      <c r="A324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</row>
    <row r="325" spans="1:9" x14ac:dyDescent="0.25">
      <c r="A325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</row>
    <row r="326" spans="1:9" x14ac:dyDescent="0.25">
      <c r="A326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</row>
    <row r="327" spans="1:9" x14ac:dyDescent="0.25">
      <c r="A327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</row>
    <row r="328" spans="1:9" x14ac:dyDescent="0.25">
      <c r="A328" t="s">
        <v>233</v>
      </c>
      <c r="B328">
        <v>7172030007001000</v>
      </c>
      <c r="C328">
        <v>138</v>
      </c>
      <c r="D328">
        <v>10</v>
      </c>
      <c r="E328">
        <v>38</v>
      </c>
      <c r="F328">
        <v>70</v>
      </c>
      <c r="G328">
        <v>0</v>
      </c>
      <c r="H328">
        <v>20</v>
      </c>
      <c r="I328">
        <v>0</v>
      </c>
    </row>
    <row r="329" spans="1:9" x14ac:dyDescent="0.25">
      <c r="A329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</row>
    <row r="330" spans="1:9" x14ac:dyDescent="0.25">
      <c r="A330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</row>
    <row r="331" spans="1:9" x14ac:dyDescent="0.25">
      <c r="A33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</row>
    <row r="332" spans="1:9" x14ac:dyDescent="0.25">
      <c r="A332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</row>
    <row r="333" spans="1:9" x14ac:dyDescent="0.25">
      <c r="A333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</row>
    <row r="334" spans="1:9" x14ac:dyDescent="0.25">
      <c r="A334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</row>
    <row r="335" spans="1:9" x14ac:dyDescent="0.25">
      <c r="A335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</row>
    <row r="336" spans="1:9" x14ac:dyDescent="0.25">
      <c r="A336" t="s">
        <v>91</v>
      </c>
      <c r="B336">
        <v>7172030006001600</v>
      </c>
      <c r="C336">
        <v>62</v>
      </c>
      <c r="D336">
        <v>0</v>
      </c>
      <c r="E336">
        <v>2</v>
      </c>
      <c r="F336">
        <v>31</v>
      </c>
      <c r="G336">
        <v>0</v>
      </c>
      <c r="H336">
        <v>29</v>
      </c>
      <c r="I336">
        <v>0</v>
      </c>
    </row>
    <row r="337" spans="1:9" x14ac:dyDescent="0.25">
      <c r="A337" t="s">
        <v>91</v>
      </c>
      <c r="B337">
        <v>7172030006001300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</row>
    <row r="338" spans="1:9" x14ac:dyDescent="0.25">
      <c r="A338" t="s">
        <v>91</v>
      </c>
      <c r="B338">
        <v>7172030006001800</v>
      </c>
      <c r="C338">
        <v>50</v>
      </c>
      <c r="D338">
        <v>6</v>
      </c>
      <c r="E338">
        <v>0</v>
      </c>
      <c r="F338">
        <v>13</v>
      </c>
      <c r="G338">
        <v>0</v>
      </c>
      <c r="H338">
        <v>31</v>
      </c>
      <c r="I338">
        <v>0</v>
      </c>
    </row>
    <row r="339" spans="1:9" x14ac:dyDescent="0.25">
      <c r="A339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</row>
    <row r="340" spans="1:9" x14ac:dyDescent="0.25">
      <c r="A340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39</v>
      </c>
      <c r="I340">
        <v>0</v>
      </c>
    </row>
    <row r="341" spans="1:9" x14ac:dyDescent="0.25">
      <c r="A34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</row>
    <row r="342" spans="1:9" x14ac:dyDescent="0.25">
      <c r="A342" t="s">
        <v>91</v>
      </c>
      <c r="B342">
        <v>7172030006001500</v>
      </c>
      <c r="C342">
        <v>40</v>
      </c>
      <c r="D342">
        <v>0</v>
      </c>
      <c r="E342">
        <v>0</v>
      </c>
      <c r="F342">
        <v>39</v>
      </c>
      <c r="G342">
        <v>0</v>
      </c>
      <c r="H342">
        <v>1</v>
      </c>
      <c r="I342">
        <v>0</v>
      </c>
    </row>
    <row r="343" spans="1:9" x14ac:dyDescent="0.25">
      <c r="A343" t="s">
        <v>97</v>
      </c>
      <c r="B343">
        <v>7172030012000300</v>
      </c>
      <c r="C343">
        <v>78</v>
      </c>
      <c r="D343">
        <v>0</v>
      </c>
      <c r="E343">
        <v>3</v>
      </c>
      <c r="F343">
        <v>37</v>
      </c>
      <c r="G343">
        <v>2</v>
      </c>
      <c r="H343">
        <v>36</v>
      </c>
      <c r="I343">
        <v>0</v>
      </c>
    </row>
    <row r="344" spans="1:9" x14ac:dyDescent="0.25">
      <c r="A344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</row>
    <row r="345" spans="1:9" x14ac:dyDescent="0.25">
      <c r="A345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</row>
    <row r="346" spans="1:9" x14ac:dyDescent="0.25">
      <c r="A346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10</v>
      </c>
      <c r="I346">
        <v>0</v>
      </c>
    </row>
    <row r="347" spans="1:9" x14ac:dyDescent="0.25">
      <c r="A347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27</v>
      </c>
      <c r="I347">
        <v>0</v>
      </c>
    </row>
    <row r="348" spans="1:9" x14ac:dyDescent="0.25">
      <c r="A348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</row>
    <row r="349" spans="1:9" x14ac:dyDescent="0.25">
      <c r="A349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</row>
    <row r="350" spans="1:9" x14ac:dyDescent="0.25">
      <c r="A350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</row>
    <row r="351" spans="1:9" x14ac:dyDescent="0.25">
      <c r="A35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</row>
    <row r="352" spans="1:9" x14ac:dyDescent="0.25">
      <c r="A352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</row>
    <row r="353" spans="1:9" x14ac:dyDescent="0.25">
      <c r="A353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</row>
    <row r="354" spans="1:9" x14ac:dyDescent="0.25">
      <c r="A354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</row>
    <row r="355" spans="1:9" x14ac:dyDescent="0.25">
      <c r="A355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11</v>
      </c>
      <c r="I355">
        <v>0</v>
      </c>
    </row>
    <row r="356" spans="1:9" x14ac:dyDescent="0.25">
      <c r="A356" t="s">
        <v>99</v>
      </c>
      <c r="B356">
        <v>7172030012001700</v>
      </c>
      <c r="C356">
        <v>73</v>
      </c>
      <c r="D356">
        <v>0</v>
      </c>
      <c r="E356">
        <v>6</v>
      </c>
      <c r="F356">
        <v>54</v>
      </c>
      <c r="G356">
        <v>0</v>
      </c>
      <c r="H356">
        <v>13</v>
      </c>
      <c r="I356">
        <v>0</v>
      </c>
    </row>
    <row r="357" spans="1:9" x14ac:dyDescent="0.25">
      <c r="A357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</row>
    <row r="358" spans="1:9" x14ac:dyDescent="0.25">
      <c r="A358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3</v>
      </c>
      <c r="I358">
        <v>0</v>
      </c>
    </row>
    <row r="359" spans="1:9" x14ac:dyDescent="0.25">
      <c r="A359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</row>
    <row r="360" spans="1:9" x14ac:dyDescent="0.25">
      <c r="A360" t="s">
        <v>99</v>
      </c>
      <c r="B360">
        <v>7172030012002000</v>
      </c>
      <c r="C360">
        <v>49</v>
      </c>
      <c r="D360">
        <v>0</v>
      </c>
      <c r="E360">
        <v>8</v>
      </c>
      <c r="F360">
        <v>23</v>
      </c>
      <c r="G360">
        <v>1</v>
      </c>
      <c r="H360">
        <v>17</v>
      </c>
      <c r="I360">
        <v>0</v>
      </c>
    </row>
    <row r="361" spans="1:9" x14ac:dyDescent="0.25">
      <c r="A36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</row>
    <row r="362" spans="1:9" x14ac:dyDescent="0.25">
      <c r="A362" t="s">
        <v>234</v>
      </c>
      <c r="B362">
        <v>7172030008000902</v>
      </c>
      <c r="C362">
        <v>120</v>
      </c>
      <c r="D362">
        <v>15</v>
      </c>
      <c r="E362">
        <v>10</v>
      </c>
      <c r="F362">
        <v>53</v>
      </c>
      <c r="G362">
        <v>0</v>
      </c>
      <c r="H362">
        <v>42</v>
      </c>
      <c r="I362">
        <v>0</v>
      </c>
    </row>
    <row r="363" spans="1:9" x14ac:dyDescent="0.25">
      <c r="A363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</row>
    <row r="364" spans="1:9" x14ac:dyDescent="0.25">
      <c r="A364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</row>
    <row r="365" spans="1:9" x14ac:dyDescent="0.25">
      <c r="A365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</row>
    <row r="366" spans="1:9" x14ac:dyDescent="0.25">
      <c r="A366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</row>
    <row r="367" spans="1:9" x14ac:dyDescent="0.25">
      <c r="A367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</row>
    <row r="368" spans="1:9" x14ac:dyDescent="0.25">
      <c r="A368" t="s">
        <v>234</v>
      </c>
      <c r="B368">
        <v>7172030008000901</v>
      </c>
      <c r="C368">
        <v>45</v>
      </c>
      <c r="D368">
        <v>10</v>
      </c>
      <c r="E368">
        <v>0</v>
      </c>
      <c r="F368">
        <v>32</v>
      </c>
      <c r="G368">
        <v>0</v>
      </c>
      <c r="H368">
        <v>3</v>
      </c>
      <c r="I368">
        <v>0</v>
      </c>
    </row>
    <row r="369" spans="1:9" x14ac:dyDescent="0.25">
      <c r="A369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</row>
    <row r="370" spans="1:9" x14ac:dyDescent="0.25">
      <c r="A370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</row>
    <row r="371" spans="1:9" x14ac:dyDescent="0.25">
      <c r="A37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</row>
    <row r="372" spans="1:9" x14ac:dyDescent="0.25">
      <c r="A372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</row>
    <row r="373" spans="1:9" x14ac:dyDescent="0.25">
      <c r="A373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</row>
    <row r="374" spans="1:9" x14ac:dyDescent="0.25">
      <c r="A374" t="s">
        <v>235</v>
      </c>
      <c r="B374">
        <v>7172030015000300</v>
      </c>
      <c r="C374">
        <v>103</v>
      </c>
      <c r="D374">
        <v>0</v>
      </c>
      <c r="E374">
        <v>4</v>
      </c>
      <c r="F374">
        <v>67</v>
      </c>
      <c r="G374">
        <v>0</v>
      </c>
      <c r="H374">
        <v>32</v>
      </c>
      <c r="I374">
        <v>0</v>
      </c>
    </row>
    <row r="375" spans="1:9" x14ac:dyDescent="0.25">
      <c r="A375" t="s">
        <v>235</v>
      </c>
      <c r="B375">
        <v>7172030015001000</v>
      </c>
      <c r="C375">
        <v>78</v>
      </c>
      <c r="D375">
        <v>0</v>
      </c>
      <c r="E375">
        <v>5</v>
      </c>
      <c r="F375">
        <v>22</v>
      </c>
      <c r="G375">
        <v>0</v>
      </c>
      <c r="H375">
        <v>51</v>
      </c>
      <c r="I375">
        <v>0</v>
      </c>
    </row>
    <row r="376" spans="1:9" x14ac:dyDescent="0.25">
      <c r="A376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</row>
    <row r="377" spans="1:9" x14ac:dyDescent="0.25">
      <c r="A377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</row>
    <row r="378" spans="1:9" x14ac:dyDescent="0.25">
      <c r="A378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</row>
    <row r="379" spans="1:9" x14ac:dyDescent="0.25">
      <c r="A379" t="s">
        <v>235</v>
      </c>
      <c r="B379">
        <v>7172030015001100</v>
      </c>
      <c r="C379">
        <v>45</v>
      </c>
      <c r="D379">
        <v>0</v>
      </c>
      <c r="E379">
        <v>2</v>
      </c>
      <c r="F379">
        <v>33</v>
      </c>
      <c r="G379">
        <v>0</v>
      </c>
      <c r="H379">
        <v>10</v>
      </c>
      <c r="I379">
        <v>0</v>
      </c>
    </row>
    <row r="380" spans="1:9" x14ac:dyDescent="0.25">
      <c r="A380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</row>
    <row r="381" spans="1:9" x14ac:dyDescent="0.25">
      <c r="A38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</row>
    <row r="382" spans="1:9" x14ac:dyDescent="0.25">
      <c r="A382" t="s">
        <v>236</v>
      </c>
      <c r="B382">
        <v>7172030014001100</v>
      </c>
      <c r="C382">
        <v>222</v>
      </c>
      <c r="D382">
        <v>5</v>
      </c>
      <c r="E382">
        <v>1</v>
      </c>
      <c r="F382">
        <v>105</v>
      </c>
      <c r="G382">
        <v>0</v>
      </c>
      <c r="H382">
        <v>111</v>
      </c>
      <c r="I382">
        <v>0</v>
      </c>
    </row>
    <row r="383" spans="1:9" x14ac:dyDescent="0.25">
      <c r="A383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</row>
    <row r="384" spans="1:9" x14ac:dyDescent="0.25">
      <c r="A384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</row>
    <row r="385" spans="1:9" x14ac:dyDescent="0.25">
      <c r="A385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</row>
    <row r="386" spans="1:9" x14ac:dyDescent="0.25">
      <c r="A386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</row>
    <row r="387" spans="1:9" x14ac:dyDescent="0.25">
      <c r="A387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</row>
    <row r="388" spans="1:9" x14ac:dyDescent="0.25">
      <c r="A388" t="s">
        <v>105</v>
      </c>
      <c r="B388">
        <v>7172030015001300</v>
      </c>
      <c r="C388">
        <v>85</v>
      </c>
      <c r="D388">
        <v>0</v>
      </c>
      <c r="E388">
        <v>26</v>
      </c>
      <c r="F388">
        <v>42</v>
      </c>
      <c r="G388">
        <v>0</v>
      </c>
      <c r="H388">
        <v>17</v>
      </c>
      <c r="I388">
        <v>0</v>
      </c>
    </row>
    <row r="389" spans="1:9" x14ac:dyDescent="0.25">
      <c r="A389" t="s">
        <v>105</v>
      </c>
      <c r="B389">
        <v>7172030015001701</v>
      </c>
      <c r="C389">
        <v>85</v>
      </c>
      <c r="D389">
        <v>0</v>
      </c>
      <c r="E389">
        <v>0</v>
      </c>
      <c r="F389">
        <v>85</v>
      </c>
      <c r="G389">
        <v>0</v>
      </c>
      <c r="H389">
        <v>0</v>
      </c>
      <c r="I389">
        <v>0</v>
      </c>
    </row>
    <row r="390" spans="1:9" x14ac:dyDescent="0.25">
      <c r="A390" t="s">
        <v>105</v>
      </c>
      <c r="B390">
        <v>7172030015001200</v>
      </c>
      <c r="C390">
        <v>64</v>
      </c>
      <c r="D390">
        <v>2</v>
      </c>
      <c r="E390">
        <v>5</v>
      </c>
      <c r="F390">
        <v>16</v>
      </c>
      <c r="G390">
        <v>0</v>
      </c>
      <c r="H390">
        <v>41</v>
      </c>
      <c r="I390">
        <v>0</v>
      </c>
    </row>
    <row r="391" spans="1:9" x14ac:dyDescent="0.25">
      <c r="A39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</row>
    <row r="392" spans="1:9" x14ac:dyDescent="0.25">
      <c r="A392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</row>
    <row r="393" spans="1:9" x14ac:dyDescent="0.25">
      <c r="A393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</row>
    <row r="394" spans="1:9" x14ac:dyDescent="0.25">
      <c r="A394" t="s">
        <v>109</v>
      </c>
      <c r="B394">
        <v>7172031001001400</v>
      </c>
      <c r="C394">
        <v>50</v>
      </c>
      <c r="D394">
        <v>2</v>
      </c>
      <c r="E394">
        <v>29</v>
      </c>
      <c r="F394">
        <v>12</v>
      </c>
      <c r="G394">
        <v>2</v>
      </c>
      <c r="H394">
        <v>5</v>
      </c>
      <c r="I394">
        <v>0</v>
      </c>
    </row>
    <row r="395" spans="1:9" x14ac:dyDescent="0.25">
      <c r="A395" t="s">
        <v>109</v>
      </c>
      <c r="B395">
        <v>7172031001001100</v>
      </c>
      <c r="C395">
        <v>49</v>
      </c>
      <c r="D395">
        <v>0</v>
      </c>
      <c r="E395">
        <v>0</v>
      </c>
      <c r="F395">
        <v>49</v>
      </c>
      <c r="G395">
        <v>0</v>
      </c>
      <c r="H395">
        <v>0</v>
      </c>
      <c r="I395">
        <v>0</v>
      </c>
    </row>
    <row r="396" spans="1:9" x14ac:dyDescent="0.25">
      <c r="A396" t="s">
        <v>109</v>
      </c>
      <c r="B396">
        <v>7172031001000600</v>
      </c>
      <c r="C396">
        <v>46</v>
      </c>
      <c r="D396">
        <v>0</v>
      </c>
      <c r="E396">
        <v>0</v>
      </c>
      <c r="F396">
        <v>46</v>
      </c>
      <c r="G396">
        <v>0</v>
      </c>
      <c r="H396">
        <v>0</v>
      </c>
      <c r="I396">
        <v>0</v>
      </c>
    </row>
    <row r="397" spans="1:9" x14ac:dyDescent="0.25">
      <c r="A397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</row>
    <row r="398" spans="1:9" x14ac:dyDescent="0.25">
      <c r="A398" t="s">
        <v>109</v>
      </c>
      <c r="B398">
        <v>7172031001001300</v>
      </c>
      <c r="C398">
        <v>43</v>
      </c>
      <c r="D398">
        <v>17</v>
      </c>
      <c r="E398">
        <v>14</v>
      </c>
      <c r="F398">
        <v>2</v>
      </c>
      <c r="G398">
        <v>0</v>
      </c>
      <c r="H398">
        <v>10</v>
      </c>
      <c r="I398">
        <v>0</v>
      </c>
    </row>
    <row r="399" spans="1:9" x14ac:dyDescent="0.25">
      <c r="A399" t="s">
        <v>109</v>
      </c>
      <c r="B399">
        <v>7172031001000500</v>
      </c>
      <c r="C399">
        <v>42</v>
      </c>
      <c r="D399">
        <v>0</v>
      </c>
      <c r="E399">
        <v>0</v>
      </c>
      <c r="F399">
        <v>42</v>
      </c>
      <c r="G399">
        <v>0</v>
      </c>
      <c r="H399">
        <v>0</v>
      </c>
      <c r="I399">
        <v>0</v>
      </c>
    </row>
    <row r="400" spans="1:9" x14ac:dyDescent="0.25">
      <c r="A400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</row>
    <row r="401" spans="1:9" x14ac:dyDescent="0.25">
      <c r="A40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</row>
    <row r="402" spans="1:9" x14ac:dyDescent="0.25">
      <c r="A402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</row>
    <row r="403" spans="1:9" x14ac:dyDescent="0.25">
      <c r="A403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</row>
    <row r="404" spans="1:9" x14ac:dyDescent="0.25">
      <c r="A404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</row>
    <row r="405" spans="1:9" x14ac:dyDescent="0.25">
      <c r="A405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</row>
    <row r="406" spans="1:9" x14ac:dyDescent="0.25">
      <c r="A406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</row>
    <row r="407" spans="1:9" x14ac:dyDescent="0.25">
      <c r="A407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</row>
    <row r="408" spans="1:9" x14ac:dyDescent="0.25">
      <c r="A408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</row>
    <row r="409" spans="1:9" x14ac:dyDescent="0.25">
      <c r="A409" t="s">
        <v>113</v>
      </c>
      <c r="B409">
        <v>7172031005001500</v>
      </c>
      <c r="C409">
        <v>80</v>
      </c>
      <c r="D409">
        <v>21</v>
      </c>
      <c r="E409">
        <v>15</v>
      </c>
      <c r="F409">
        <v>2</v>
      </c>
      <c r="G409">
        <v>0</v>
      </c>
      <c r="H409">
        <v>42</v>
      </c>
      <c r="I409">
        <v>0</v>
      </c>
    </row>
    <row r="410" spans="1:9" x14ac:dyDescent="0.25">
      <c r="A410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</row>
    <row r="411" spans="1:9" x14ac:dyDescent="0.25">
      <c r="A41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</row>
    <row r="412" spans="1:9" x14ac:dyDescent="0.25">
      <c r="A412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</row>
    <row r="413" spans="1:9" x14ac:dyDescent="0.25">
      <c r="A413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</row>
    <row r="414" spans="1:9" x14ac:dyDescent="0.25">
      <c r="A414" t="s">
        <v>114</v>
      </c>
      <c r="B414">
        <v>7172031003001300</v>
      </c>
      <c r="C414">
        <v>75</v>
      </c>
      <c r="D414">
        <v>22</v>
      </c>
      <c r="E414">
        <v>12</v>
      </c>
      <c r="F414">
        <v>7</v>
      </c>
      <c r="G414">
        <v>1</v>
      </c>
      <c r="H414">
        <v>33</v>
      </c>
      <c r="I414">
        <v>0</v>
      </c>
    </row>
    <row r="415" spans="1:9" x14ac:dyDescent="0.25">
      <c r="A415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</row>
    <row r="416" spans="1:9" x14ac:dyDescent="0.25">
      <c r="A416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</row>
    <row r="417" spans="1:9" x14ac:dyDescent="0.25">
      <c r="A417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</row>
    <row r="418" spans="1:9" x14ac:dyDescent="0.25">
      <c r="A418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</row>
    <row r="419" spans="1:9" x14ac:dyDescent="0.25">
      <c r="A419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</row>
    <row r="420" spans="1:9" x14ac:dyDescent="0.25">
      <c r="A420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</row>
    <row r="421" spans="1:9" x14ac:dyDescent="0.25">
      <c r="A42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</row>
    <row r="422" spans="1:9" x14ac:dyDescent="0.25">
      <c r="A422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</row>
    <row r="423" spans="1:9" x14ac:dyDescent="0.25">
      <c r="A423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</row>
    <row r="424" spans="1:9" x14ac:dyDescent="0.25">
      <c r="A424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</row>
    <row r="425" spans="1:9" x14ac:dyDescent="0.25">
      <c r="A425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</row>
    <row r="426" spans="1:9" x14ac:dyDescent="0.25">
      <c r="A426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</row>
    <row r="427" spans="1:9" x14ac:dyDescent="0.25">
      <c r="A427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</row>
    <row r="428" spans="1:9" x14ac:dyDescent="0.25">
      <c r="A428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</row>
    <row r="429" spans="1:9" x14ac:dyDescent="0.25">
      <c r="A429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</row>
    <row r="430" spans="1:9" x14ac:dyDescent="0.25">
      <c r="A430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</row>
    <row r="431" spans="1:9" x14ac:dyDescent="0.25">
      <c r="A431" t="s">
        <v>119</v>
      </c>
      <c r="B431">
        <v>7172031005000300</v>
      </c>
      <c r="C431">
        <v>52</v>
      </c>
      <c r="D431">
        <v>15</v>
      </c>
      <c r="E431">
        <v>19</v>
      </c>
      <c r="F431">
        <v>9</v>
      </c>
      <c r="G431">
        <v>8</v>
      </c>
      <c r="H431">
        <v>1</v>
      </c>
      <c r="I431">
        <v>0</v>
      </c>
    </row>
    <row r="432" spans="1:9" x14ac:dyDescent="0.25">
      <c r="A432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</row>
    <row r="433" spans="1:9" x14ac:dyDescent="0.25">
      <c r="A433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</row>
    <row r="434" spans="1:9" x14ac:dyDescent="0.25">
      <c r="A434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</row>
    <row r="435" spans="1:9" x14ac:dyDescent="0.25">
      <c r="A435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</row>
    <row r="436" spans="1:9" x14ac:dyDescent="0.25">
      <c r="A436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</row>
    <row r="437" spans="1:9" x14ac:dyDescent="0.25">
      <c r="A437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</row>
    <row r="438" spans="1:9" x14ac:dyDescent="0.25">
      <c r="A438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</row>
    <row r="439" spans="1:9" x14ac:dyDescent="0.25">
      <c r="A439" t="s">
        <v>121</v>
      </c>
      <c r="B439">
        <v>7172031006001100</v>
      </c>
      <c r="C439">
        <v>193</v>
      </c>
      <c r="D439">
        <v>1</v>
      </c>
      <c r="E439">
        <v>28</v>
      </c>
      <c r="F439">
        <v>113</v>
      </c>
      <c r="G439">
        <v>2</v>
      </c>
      <c r="H439">
        <v>49</v>
      </c>
      <c r="I439">
        <v>0</v>
      </c>
    </row>
    <row r="440" spans="1:9" x14ac:dyDescent="0.25">
      <c r="A440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</row>
    <row r="441" spans="1:9" x14ac:dyDescent="0.25">
      <c r="A44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</row>
    <row r="442" spans="1:9" x14ac:dyDescent="0.25">
      <c r="A442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</row>
    <row r="443" spans="1:9" x14ac:dyDescent="0.25">
      <c r="A443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</row>
    <row r="444" spans="1:9" x14ac:dyDescent="0.25">
      <c r="A444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</row>
    <row r="445" spans="1:9" x14ac:dyDescent="0.25">
      <c r="A445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</row>
    <row r="446" spans="1:9" x14ac:dyDescent="0.25">
      <c r="A446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</row>
    <row r="447" spans="1:9" x14ac:dyDescent="0.25">
      <c r="A447" t="s">
        <v>125</v>
      </c>
      <c r="B447">
        <v>7172031007000500</v>
      </c>
      <c r="C447">
        <v>98</v>
      </c>
      <c r="D447">
        <v>47</v>
      </c>
      <c r="E447">
        <v>12</v>
      </c>
      <c r="F447">
        <v>5</v>
      </c>
      <c r="G447">
        <v>6</v>
      </c>
      <c r="H447">
        <v>28</v>
      </c>
      <c r="I447">
        <v>0</v>
      </c>
    </row>
    <row r="448" spans="1:9" x14ac:dyDescent="0.25">
      <c r="A448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</row>
    <row r="449" spans="1:9" x14ac:dyDescent="0.25">
      <c r="A449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</row>
    <row r="450" spans="1:9" x14ac:dyDescent="0.25">
      <c r="A450" t="s">
        <v>125</v>
      </c>
      <c r="B450">
        <v>7172031008000400</v>
      </c>
      <c r="C450">
        <v>34</v>
      </c>
      <c r="D450">
        <v>14</v>
      </c>
      <c r="E450">
        <v>7</v>
      </c>
      <c r="F450">
        <v>0</v>
      </c>
      <c r="G450">
        <v>0</v>
      </c>
      <c r="H450">
        <v>13</v>
      </c>
      <c r="I450">
        <v>0</v>
      </c>
    </row>
    <row r="451" spans="1:9" x14ac:dyDescent="0.25">
      <c r="A451" t="s">
        <v>126</v>
      </c>
      <c r="B451">
        <v>7172031007000600</v>
      </c>
      <c r="C451">
        <v>165</v>
      </c>
      <c r="D451">
        <v>10</v>
      </c>
      <c r="E451">
        <v>12</v>
      </c>
      <c r="F451">
        <v>104</v>
      </c>
      <c r="G451">
        <v>0</v>
      </c>
      <c r="H451">
        <v>39</v>
      </c>
      <c r="I451">
        <v>0</v>
      </c>
    </row>
    <row r="452" spans="1:9" x14ac:dyDescent="0.25">
      <c r="A452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</row>
    <row r="453" spans="1:9" x14ac:dyDescent="0.25">
      <c r="A453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</row>
    <row r="454" spans="1:9" x14ac:dyDescent="0.25">
      <c r="A454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</row>
    <row r="455" spans="1:9" x14ac:dyDescent="0.25">
      <c r="A455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</row>
    <row r="456" spans="1:9" x14ac:dyDescent="0.25">
      <c r="A456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</row>
    <row r="457" spans="1:9" x14ac:dyDescent="0.25">
      <c r="A457" t="s">
        <v>123</v>
      </c>
      <c r="B457">
        <v>7172031007002700</v>
      </c>
      <c r="C457">
        <v>170</v>
      </c>
      <c r="D457">
        <v>31</v>
      </c>
      <c r="E457">
        <v>14</v>
      </c>
      <c r="F457">
        <v>61</v>
      </c>
      <c r="G457">
        <v>45</v>
      </c>
      <c r="H457">
        <v>19</v>
      </c>
      <c r="I457">
        <v>0</v>
      </c>
    </row>
    <row r="458" spans="1:9" x14ac:dyDescent="0.25">
      <c r="A458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</row>
    <row r="459" spans="1:9" x14ac:dyDescent="0.25">
      <c r="A459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</row>
    <row r="460" spans="1:9" x14ac:dyDescent="0.25">
      <c r="A460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</row>
    <row r="461" spans="1:9" x14ac:dyDescent="0.25">
      <c r="A46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</row>
    <row r="462" spans="1:9" x14ac:dyDescent="0.25">
      <c r="A462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</row>
    <row r="463" spans="1:9" x14ac:dyDescent="0.25">
      <c r="A463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</row>
    <row r="464" spans="1:9" x14ac:dyDescent="0.25">
      <c r="A464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</row>
    <row r="465" spans="1:9" x14ac:dyDescent="0.25">
      <c r="A465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</row>
    <row r="466" spans="1:9" x14ac:dyDescent="0.25">
      <c r="A466" t="s">
        <v>128</v>
      </c>
      <c r="B466">
        <v>7172031007001500</v>
      </c>
      <c r="C466">
        <v>81</v>
      </c>
      <c r="D466">
        <v>4</v>
      </c>
      <c r="E466">
        <v>11</v>
      </c>
      <c r="F466">
        <v>32</v>
      </c>
      <c r="G466">
        <v>11</v>
      </c>
      <c r="H466">
        <v>23</v>
      </c>
      <c r="I466">
        <v>0</v>
      </c>
    </row>
    <row r="467" spans="1:9" x14ac:dyDescent="0.25">
      <c r="A467" t="s">
        <v>128</v>
      </c>
      <c r="B467">
        <v>7172031007002400</v>
      </c>
      <c r="C467">
        <v>75</v>
      </c>
      <c r="D467">
        <v>0</v>
      </c>
      <c r="E467">
        <v>0</v>
      </c>
      <c r="F467">
        <v>75</v>
      </c>
      <c r="G467">
        <v>0</v>
      </c>
      <c r="H467">
        <v>0</v>
      </c>
      <c r="I467">
        <v>0</v>
      </c>
    </row>
    <row r="468" spans="1:9" x14ac:dyDescent="0.25">
      <c r="A468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</row>
    <row r="469" spans="1:9" x14ac:dyDescent="0.25">
      <c r="A469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</row>
    <row r="470" spans="1:9" x14ac:dyDescent="0.25">
      <c r="A470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</row>
    <row r="471" spans="1:9" x14ac:dyDescent="0.25">
      <c r="A471" t="s">
        <v>134</v>
      </c>
      <c r="B471">
        <v>7172040003001000</v>
      </c>
      <c r="C471">
        <v>128</v>
      </c>
      <c r="D471">
        <v>0</v>
      </c>
      <c r="E471">
        <v>4</v>
      </c>
      <c r="F471">
        <v>87</v>
      </c>
      <c r="G471">
        <v>2</v>
      </c>
      <c r="H471">
        <v>35</v>
      </c>
      <c r="I471">
        <v>0</v>
      </c>
    </row>
    <row r="472" spans="1:9" x14ac:dyDescent="0.25">
      <c r="A472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</row>
    <row r="473" spans="1:9" x14ac:dyDescent="0.25">
      <c r="A473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</row>
    <row r="474" spans="1:9" x14ac:dyDescent="0.25">
      <c r="A474" t="s">
        <v>131</v>
      </c>
      <c r="B474">
        <v>7172040007000300</v>
      </c>
      <c r="C474">
        <v>83</v>
      </c>
      <c r="D474">
        <v>0</v>
      </c>
      <c r="E474">
        <v>2</v>
      </c>
      <c r="F474">
        <v>62</v>
      </c>
      <c r="G474">
        <v>0</v>
      </c>
      <c r="H474">
        <v>19</v>
      </c>
      <c r="I474">
        <v>0</v>
      </c>
    </row>
    <row r="475" spans="1:9" x14ac:dyDescent="0.25">
      <c r="A475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</row>
    <row r="476" spans="1:9" x14ac:dyDescent="0.25">
      <c r="A476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</row>
    <row r="477" spans="1:9" x14ac:dyDescent="0.25">
      <c r="A477" t="s">
        <v>131</v>
      </c>
      <c r="B477">
        <v>7172040007000100</v>
      </c>
      <c r="C477">
        <v>72</v>
      </c>
      <c r="D477">
        <v>0</v>
      </c>
      <c r="E477">
        <v>0</v>
      </c>
      <c r="F477">
        <v>71</v>
      </c>
      <c r="G477">
        <v>0</v>
      </c>
      <c r="H477">
        <v>1</v>
      </c>
      <c r="I477">
        <v>0</v>
      </c>
    </row>
    <row r="478" spans="1:9" x14ac:dyDescent="0.25">
      <c r="A478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</row>
    <row r="479" spans="1:9" x14ac:dyDescent="0.25">
      <c r="A479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</row>
    <row r="480" spans="1:9" x14ac:dyDescent="0.25">
      <c r="A480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</row>
    <row r="481" spans="1:9" x14ac:dyDescent="0.25">
      <c r="A481" t="s">
        <v>131</v>
      </c>
      <c r="B481">
        <v>7172040007000400</v>
      </c>
      <c r="C481">
        <v>46</v>
      </c>
      <c r="D481">
        <v>0</v>
      </c>
      <c r="E481">
        <v>24</v>
      </c>
      <c r="F481">
        <v>4</v>
      </c>
      <c r="G481">
        <v>8</v>
      </c>
      <c r="H481">
        <v>10</v>
      </c>
      <c r="I481">
        <v>0</v>
      </c>
    </row>
    <row r="482" spans="1:9" x14ac:dyDescent="0.25">
      <c r="A482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</row>
    <row r="483" spans="1:9" x14ac:dyDescent="0.25">
      <c r="A483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</row>
    <row r="484" spans="1:9" x14ac:dyDescent="0.25">
      <c r="A484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</row>
    <row r="485" spans="1:9" x14ac:dyDescent="0.25">
      <c r="A485" t="s">
        <v>137</v>
      </c>
      <c r="B485">
        <v>7172040005001200</v>
      </c>
      <c r="C485">
        <v>77</v>
      </c>
      <c r="D485">
        <v>0</v>
      </c>
      <c r="E485">
        <v>0</v>
      </c>
      <c r="F485">
        <v>74</v>
      </c>
      <c r="G485">
        <v>0</v>
      </c>
      <c r="H485">
        <v>3</v>
      </c>
      <c r="I485">
        <v>0</v>
      </c>
    </row>
    <row r="486" spans="1:9" x14ac:dyDescent="0.25">
      <c r="A486" t="s">
        <v>137</v>
      </c>
      <c r="B486">
        <v>7172040005000700</v>
      </c>
      <c r="C486">
        <v>63</v>
      </c>
      <c r="D486">
        <v>0</v>
      </c>
      <c r="E486">
        <v>0</v>
      </c>
      <c r="F486">
        <v>5</v>
      </c>
      <c r="G486">
        <v>0</v>
      </c>
      <c r="H486">
        <v>58</v>
      </c>
      <c r="I486">
        <v>0</v>
      </c>
    </row>
    <row r="487" spans="1:9" x14ac:dyDescent="0.25">
      <c r="A487" t="s">
        <v>137</v>
      </c>
      <c r="B487">
        <v>7172040005000400</v>
      </c>
      <c r="C487">
        <v>58</v>
      </c>
      <c r="D487">
        <v>0</v>
      </c>
      <c r="E487">
        <v>0</v>
      </c>
      <c r="F487">
        <v>58</v>
      </c>
      <c r="G487">
        <v>0</v>
      </c>
      <c r="H487">
        <v>0</v>
      </c>
      <c r="I487">
        <v>0</v>
      </c>
    </row>
    <row r="488" spans="1:9" x14ac:dyDescent="0.25">
      <c r="A488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</row>
    <row r="489" spans="1:9" x14ac:dyDescent="0.25">
      <c r="A489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</row>
    <row r="490" spans="1:9" x14ac:dyDescent="0.25">
      <c r="A490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2</v>
      </c>
      <c r="I490">
        <v>0</v>
      </c>
    </row>
    <row r="491" spans="1:9" x14ac:dyDescent="0.25">
      <c r="A49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</row>
    <row r="492" spans="1:9" x14ac:dyDescent="0.25">
      <c r="A492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1</v>
      </c>
      <c r="I492">
        <v>0</v>
      </c>
    </row>
    <row r="493" spans="1:9" x14ac:dyDescent="0.25">
      <c r="A493" t="s">
        <v>137</v>
      </c>
      <c r="B493">
        <v>7172040005001000</v>
      </c>
      <c r="C493">
        <v>28</v>
      </c>
      <c r="D493">
        <v>0</v>
      </c>
      <c r="E493">
        <v>0</v>
      </c>
      <c r="F493">
        <v>27</v>
      </c>
      <c r="G493">
        <v>0</v>
      </c>
      <c r="H493">
        <v>1</v>
      </c>
      <c r="I493">
        <v>0</v>
      </c>
    </row>
    <row r="494" spans="1:9" x14ac:dyDescent="0.25">
      <c r="A494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</row>
    <row r="495" spans="1:9" x14ac:dyDescent="0.25">
      <c r="A495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</row>
    <row r="496" spans="1:9" x14ac:dyDescent="0.25">
      <c r="A496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</row>
    <row r="497" spans="1:9" x14ac:dyDescent="0.25">
      <c r="A497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</row>
    <row r="498" spans="1:9" x14ac:dyDescent="0.25">
      <c r="A498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</row>
    <row r="499" spans="1:9" x14ac:dyDescent="0.25">
      <c r="A499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</row>
    <row r="500" spans="1:9" x14ac:dyDescent="0.25">
      <c r="A500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</row>
    <row r="501" spans="1:9" x14ac:dyDescent="0.25">
      <c r="A501" t="s">
        <v>138</v>
      </c>
      <c r="B501">
        <v>7172040005001300</v>
      </c>
      <c r="C501">
        <v>55</v>
      </c>
      <c r="D501">
        <v>0</v>
      </c>
      <c r="E501">
        <v>11</v>
      </c>
      <c r="F501">
        <v>23</v>
      </c>
      <c r="G501">
        <v>0</v>
      </c>
      <c r="H501">
        <v>21</v>
      </c>
      <c r="I501">
        <v>0</v>
      </c>
    </row>
    <row r="502" spans="1:9" x14ac:dyDescent="0.25">
      <c r="A502" t="s">
        <v>141</v>
      </c>
      <c r="B502">
        <v>7172040013000100</v>
      </c>
      <c r="C502">
        <v>125</v>
      </c>
      <c r="D502">
        <v>0</v>
      </c>
      <c r="E502">
        <v>44</v>
      </c>
      <c r="F502">
        <v>9</v>
      </c>
      <c r="G502">
        <v>1</v>
      </c>
      <c r="H502">
        <v>71</v>
      </c>
      <c r="I502">
        <v>0</v>
      </c>
    </row>
    <row r="503" spans="1:9" x14ac:dyDescent="0.25">
      <c r="A503" t="s">
        <v>141</v>
      </c>
      <c r="B503">
        <v>7172040013000200</v>
      </c>
      <c r="C503">
        <v>95</v>
      </c>
      <c r="D503">
        <v>0</v>
      </c>
      <c r="E503">
        <v>2</v>
      </c>
      <c r="F503">
        <v>93</v>
      </c>
      <c r="G503">
        <v>0</v>
      </c>
      <c r="H503">
        <v>0</v>
      </c>
      <c r="I503">
        <v>0</v>
      </c>
    </row>
    <row r="504" spans="1:9" x14ac:dyDescent="0.25">
      <c r="A504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</row>
    <row r="505" spans="1:9" x14ac:dyDescent="0.25">
      <c r="A505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</row>
    <row r="506" spans="1:9" x14ac:dyDescent="0.25">
      <c r="A506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</row>
    <row r="507" spans="1:9" x14ac:dyDescent="0.25">
      <c r="A507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</row>
    <row r="508" spans="1:9" x14ac:dyDescent="0.25">
      <c r="A508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</row>
    <row r="509" spans="1:9" x14ac:dyDescent="0.25">
      <c r="A509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</row>
    <row r="510" spans="1:9" x14ac:dyDescent="0.25">
      <c r="A510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</row>
    <row r="511" spans="1:9" x14ac:dyDescent="0.25">
      <c r="A51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</row>
    <row r="512" spans="1:9" x14ac:dyDescent="0.25">
      <c r="A512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</row>
    <row r="513" spans="1:9" x14ac:dyDescent="0.25">
      <c r="A513" t="s">
        <v>142</v>
      </c>
      <c r="B513">
        <v>7172040013000800</v>
      </c>
      <c r="C513">
        <v>83</v>
      </c>
      <c r="D513">
        <v>0</v>
      </c>
      <c r="E513">
        <v>24</v>
      </c>
      <c r="F513">
        <v>13</v>
      </c>
      <c r="G513">
        <v>0</v>
      </c>
      <c r="H513">
        <v>46</v>
      </c>
      <c r="I513">
        <v>0</v>
      </c>
    </row>
    <row r="514" spans="1:9" x14ac:dyDescent="0.25">
      <c r="A514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</row>
    <row r="515" spans="1:9" x14ac:dyDescent="0.25">
      <c r="A515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</row>
    <row r="516" spans="1:9" x14ac:dyDescent="0.25">
      <c r="A516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</row>
    <row r="517" spans="1:9" x14ac:dyDescent="0.25">
      <c r="A517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</row>
    <row r="518" spans="1:9" x14ac:dyDescent="0.25">
      <c r="A518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</row>
    <row r="519" spans="1:9" x14ac:dyDescent="0.25">
      <c r="A519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</row>
    <row r="520" spans="1:9" x14ac:dyDescent="0.25">
      <c r="A520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</row>
    <row r="521" spans="1:9" x14ac:dyDescent="0.25">
      <c r="A52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</row>
    <row r="522" spans="1:9" x14ac:dyDescent="0.25">
      <c r="A522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</row>
    <row r="523" spans="1:9" x14ac:dyDescent="0.25">
      <c r="A523" t="s">
        <v>5</v>
      </c>
      <c r="B523">
        <v>7172010008001300</v>
      </c>
      <c r="C523">
        <v>138</v>
      </c>
      <c r="D523">
        <v>0</v>
      </c>
      <c r="E523">
        <v>7</v>
      </c>
      <c r="F523">
        <v>113</v>
      </c>
      <c r="G523">
        <v>0</v>
      </c>
      <c r="H523">
        <v>18</v>
      </c>
      <c r="I523">
        <v>0</v>
      </c>
    </row>
    <row r="524" spans="1:9" x14ac:dyDescent="0.25">
      <c r="A524" t="s">
        <v>5</v>
      </c>
      <c r="B524">
        <v>7172010008001400</v>
      </c>
      <c r="C524">
        <v>110</v>
      </c>
      <c r="D524">
        <v>4</v>
      </c>
      <c r="E524">
        <v>5</v>
      </c>
      <c r="F524">
        <v>39</v>
      </c>
      <c r="G524">
        <v>0</v>
      </c>
      <c r="H524">
        <v>62</v>
      </c>
      <c r="I524">
        <v>0</v>
      </c>
    </row>
    <row r="525" spans="1:9" x14ac:dyDescent="0.25">
      <c r="A525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</row>
    <row r="526" spans="1:9" x14ac:dyDescent="0.25">
      <c r="A526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</row>
    <row r="527" spans="1:9" x14ac:dyDescent="0.25">
      <c r="A527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</row>
    <row r="528" spans="1:9" x14ac:dyDescent="0.25">
      <c r="A528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</row>
    <row r="529" spans="1:9" x14ac:dyDescent="0.25">
      <c r="A529" t="s">
        <v>8</v>
      </c>
      <c r="B529">
        <v>7172010009000300</v>
      </c>
      <c r="C529">
        <v>80</v>
      </c>
      <c r="D529">
        <v>17</v>
      </c>
      <c r="E529">
        <v>1</v>
      </c>
      <c r="F529">
        <v>46</v>
      </c>
      <c r="G529">
        <v>0</v>
      </c>
      <c r="H529">
        <v>16</v>
      </c>
      <c r="I529">
        <v>0</v>
      </c>
    </row>
    <row r="530" spans="1:9" x14ac:dyDescent="0.25">
      <c r="A530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</row>
    <row r="531" spans="1:9" x14ac:dyDescent="0.25">
      <c r="A53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</row>
    <row r="532" spans="1:9" x14ac:dyDescent="0.25">
      <c r="A532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</row>
    <row r="533" spans="1:9" x14ac:dyDescent="0.25">
      <c r="A533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26</v>
      </c>
      <c r="I533">
        <v>0</v>
      </c>
    </row>
    <row r="534" spans="1:9" x14ac:dyDescent="0.25">
      <c r="A534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5</v>
      </c>
      <c r="I534">
        <v>0</v>
      </c>
    </row>
    <row r="535" spans="1:9" x14ac:dyDescent="0.25">
      <c r="A535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</row>
    <row r="536" spans="1:9" x14ac:dyDescent="0.25">
      <c r="A536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</row>
    <row r="537" spans="1:9" x14ac:dyDescent="0.25">
      <c r="A537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</row>
    <row r="538" spans="1:9" x14ac:dyDescent="0.25">
      <c r="A538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</row>
    <row r="539" spans="1:9" x14ac:dyDescent="0.25">
      <c r="A539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</row>
    <row r="540" spans="1:9" x14ac:dyDescent="0.25">
      <c r="A540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</row>
    <row r="541" spans="1:9" x14ac:dyDescent="0.25">
      <c r="A54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</row>
    <row r="542" spans="1:9" x14ac:dyDescent="0.25">
      <c r="A542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</row>
    <row r="543" spans="1:9" x14ac:dyDescent="0.25">
      <c r="A543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</row>
    <row r="544" spans="1:9" x14ac:dyDescent="0.25">
      <c r="A544" t="s">
        <v>9</v>
      </c>
      <c r="B544">
        <v>7172010009001100</v>
      </c>
      <c r="C544">
        <v>59</v>
      </c>
      <c r="D544">
        <v>0</v>
      </c>
      <c r="E544">
        <v>5</v>
      </c>
      <c r="F544">
        <v>24</v>
      </c>
      <c r="G544">
        <v>0</v>
      </c>
      <c r="H544">
        <v>30</v>
      </c>
      <c r="I544">
        <v>0</v>
      </c>
    </row>
    <row r="545" spans="1:9" x14ac:dyDescent="0.25">
      <c r="A545" t="s">
        <v>9</v>
      </c>
      <c r="B545">
        <v>7172010009001200</v>
      </c>
      <c r="C545">
        <v>59</v>
      </c>
      <c r="D545">
        <v>5</v>
      </c>
      <c r="E545">
        <v>5</v>
      </c>
      <c r="F545">
        <v>13</v>
      </c>
      <c r="G545">
        <v>0</v>
      </c>
      <c r="H545">
        <v>36</v>
      </c>
      <c r="I545">
        <v>0</v>
      </c>
    </row>
    <row r="546" spans="1:9" x14ac:dyDescent="0.25">
      <c r="A546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</row>
    <row r="547" spans="1:9" x14ac:dyDescent="0.25">
      <c r="A547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</row>
    <row r="548" spans="1:9" x14ac:dyDescent="0.25">
      <c r="A548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</row>
    <row r="549" spans="1:9" x14ac:dyDescent="0.25">
      <c r="A549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</row>
    <row r="550" spans="1:9" x14ac:dyDescent="0.25">
      <c r="A550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</row>
    <row r="551" spans="1:9" x14ac:dyDescent="0.25">
      <c r="A55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</row>
    <row r="552" spans="1:9" x14ac:dyDescent="0.25">
      <c r="A552" t="s">
        <v>9</v>
      </c>
      <c r="B552">
        <v>7172010015000900</v>
      </c>
      <c r="C552">
        <v>42</v>
      </c>
      <c r="D552">
        <v>0</v>
      </c>
      <c r="E552">
        <v>1</v>
      </c>
      <c r="F552">
        <v>41</v>
      </c>
      <c r="G552">
        <v>0</v>
      </c>
      <c r="H552">
        <v>0</v>
      </c>
      <c r="I552">
        <v>0</v>
      </c>
    </row>
    <row r="553" spans="1:9" x14ac:dyDescent="0.25">
      <c r="A553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</row>
    <row r="554" spans="1:9" x14ac:dyDescent="0.25">
      <c r="A554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</row>
    <row r="555" spans="1:9" x14ac:dyDescent="0.25">
      <c r="A555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</row>
    <row r="556" spans="1:9" x14ac:dyDescent="0.25">
      <c r="A556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</row>
    <row r="557" spans="1:9" x14ac:dyDescent="0.25">
      <c r="A557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</row>
    <row r="558" spans="1:9" x14ac:dyDescent="0.25">
      <c r="A558" t="s">
        <v>11</v>
      </c>
      <c r="B558">
        <v>7172010009003100</v>
      </c>
      <c r="C558">
        <v>95</v>
      </c>
      <c r="D558">
        <v>1</v>
      </c>
      <c r="E558">
        <v>30</v>
      </c>
      <c r="F558">
        <v>23</v>
      </c>
      <c r="G558">
        <v>0</v>
      </c>
      <c r="H558">
        <v>41</v>
      </c>
      <c r="I558">
        <v>0</v>
      </c>
    </row>
    <row r="559" spans="1:9" x14ac:dyDescent="0.25">
      <c r="A559" t="s">
        <v>11</v>
      </c>
      <c r="B559">
        <v>7172010009002900</v>
      </c>
      <c r="C559">
        <v>93</v>
      </c>
      <c r="D559">
        <v>0</v>
      </c>
      <c r="E559">
        <v>0</v>
      </c>
      <c r="F559">
        <v>93</v>
      </c>
      <c r="G559">
        <v>0</v>
      </c>
      <c r="H559">
        <v>0</v>
      </c>
      <c r="I559">
        <v>0</v>
      </c>
    </row>
    <row r="560" spans="1:9" x14ac:dyDescent="0.25">
      <c r="A560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</row>
    <row r="561" spans="1:9" x14ac:dyDescent="0.25">
      <c r="A56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</row>
    <row r="562" spans="1:9" x14ac:dyDescent="0.25">
      <c r="A562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</row>
    <row r="563" spans="1:9" x14ac:dyDescent="0.25">
      <c r="A563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</row>
    <row r="564" spans="1:9" x14ac:dyDescent="0.25">
      <c r="A564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</row>
    <row r="565" spans="1:9" x14ac:dyDescent="0.25">
      <c r="A565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</row>
    <row r="566" spans="1:9" x14ac:dyDescent="0.25">
      <c r="A566" t="s">
        <v>12</v>
      </c>
      <c r="B566">
        <v>7172010010001500</v>
      </c>
      <c r="C566">
        <v>75</v>
      </c>
      <c r="D566">
        <v>0</v>
      </c>
      <c r="E566">
        <v>1</v>
      </c>
      <c r="F566">
        <v>4</v>
      </c>
      <c r="G566">
        <v>0</v>
      </c>
      <c r="H566">
        <v>70</v>
      </c>
      <c r="I566">
        <v>0</v>
      </c>
    </row>
    <row r="567" spans="1:9" x14ac:dyDescent="0.25">
      <c r="A567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</row>
    <row r="568" spans="1:9" x14ac:dyDescent="0.25">
      <c r="A568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</row>
    <row r="569" spans="1:9" x14ac:dyDescent="0.25">
      <c r="A569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</row>
    <row r="570" spans="1:9" x14ac:dyDescent="0.25">
      <c r="A570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11</v>
      </c>
      <c r="I570">
        <v>0</v>
      </c>
    </row>
    <row r="571" spans="1:9" x14ac:dyDescent="0.25">
      <c r="A57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</row>
    <row r="572" spans="1:9" x14ac:dyDescent="0.25">
      <c r="A572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</row>
    <row r="573" spans="1:9" x14ac:dyDescent="0.25">
      <c r="A573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</row>
    <row r="574" spans="1:9" x14ac:dyDescent="0.25">
      <c r="A574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</row>
    <row r="575" spans="1:9" x14ac:dyDescent="0.25">
      <c r="A575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</row>
    <row r="576" spans="1:9" x14ac:dyDescent="0.25">
      <c r="A576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</row>
    <row r="577" spans="1:9" x14ac:dyDescent="0.25">
      <c r="A577" t="s">
        <v>14</v>
      </c>
      <c r="B577">
        <v>7172010011000700</v>
      </c>
      <c r="C577">
        <v>60</v>
      </c>
      <c r="D577">
        <v>0</v>
      </c>
      <c r="E577">
        <v>0</v>
      </c>
      <c r="F577">
        <v>2</v>
      </c>
      <c r="G577">
        <v>0</v>
      </c>
      <c r="H577">
        <v>58</v>
      </c>
      <c r="I577">
        <v>0</v>
      </c>
    </row>
    <row r="578" spans="1:9" x14ac:dyDescent="0.25">
      <c r="A578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</row>
    <row r="579" spans="1:9" x14ac:dyDescent="0.25">
      <c r="A579" t="s">
        <v>14</v>
      </c>
      <c r="B579">
        <v>7172010011000800</v>
      </c>
      <c r="C579">
        <v>46</v>
      </c>
      <c r="D579">
        <v>0</v>
      </c>
      <c r="E579">
        <v>1</v>
      </c>
      <c r="F579">
        <v>18</v>
      </c>
      <c r="G579">
        <v>0</v>
      </c>
      <c r="H579">
        <v>27</v>
      </c>
      <c r="I579">
        <v>0</v>
      </c>
    </row>
    <row r="580" spans="1:9" x14ac:dyDescent="0.25">
      <c r="A580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</row>
    <row r="581" spans="1:9" x14ac:dyDescent="0.25">
      <c r="A58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</row>
    <row r="582" spans="1:9" x14ac:dyDescent="0.25">
      <c r="A582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</row>
    <row r="583" spans="1:9" x14ac:dyDescent="0.25">
      <c r="A583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</row>
    <row r="584" spans="1:9" x14ac:dyDescent="0.25">
      <c r="A584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</row>
    <row r="585" spans="1:9" x14ac:dyDescent="0.25">
      <c r="A585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</row>
    <row r="586" spans="1:9" x14ac:dyDescent="0.25">
      <c r="A586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</row>
    <row r="587" spans="1:9" x14ac:dyDescent="0.25">
      <c r="A587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</row>
    <row r="588" spans="1:9" x14ac:dyDescent="0.25">
      <c r="A588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</row>
    <row r="589" spans="1:9" x14ac:dyDescent="0.25">
      <c r="A589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</row>
    <row r="590" spans="1:9" x14ac:dyDescent="0.25">
      <c r="A590" t="s">
        <v>15</v>
      </c>
      <c r="B590">
        <v>7172010011002200</v>
      </c>
      <c r="C590">
        <v>87</v>
      </c>
      <c r="D590">
        <v>0</v>
      </c>
      <c r="E590">
        <v>3</v>
      </c>
      <c r="F590">
        <v>10</v>
      </c>
      <c r="G590">
        <v>0</v>
      </c>
      <c r="H590">
        <v>74</v>
      </c>
      <c r="I590">
        <v>0</v>
      </c>
    </row>
    <row r="591" spans="1:9" x14ac:dyDescent="0.25">
      <c r="A59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56</v>
      </c>
      <c r="I591">
        <v>0</v>
      </c>
    </row>
    <row r="592" spans="1:9" x14ac:dyDescent="0.25">
      <c r="A592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</row>
    <row r="593" spans="1:9" x14ac:dyDescent="0.25">
      <c r="A593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</row>
    <row r="594" spans="1:9" x14ac:dyDescent="0.25">
      <c r="A594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</row>
    <row r="595" spans="1:9" x14ac:dyDescent="0.25">
      <c r="A595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</row>
    <row r="596" spans="1:9" x14ac:dyDescent="0.25">
      <c r="A596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</row>
    <row r="597" spans="1:9" x14ac:dyDescent="0.25">
      <c r="A597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</row>
    <row r="598" spans="1:9" x14ac:dyDescent="0.25">
      <c r="A598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</row>
    <row r="599" spans="1:9" x14ac:dyDescent="0.25">
      <c r="A599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</row>
    <row r="600" spans="1:9" x14ac:dyDescent="0.25">
      <c r="A600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</row>
    <row r="601" spans="1:9" x14ac:dyDescent="0.25">
      <c r="A60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</row>
    <row r="602" spans="1:9" x14ac:dyDescent="0.25">
      <c r="A602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</row>
    <row r="603" spans="1:9" x14ac:dyDescent="0.25">
      <c r="A603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</row>
    <row r="604" spans="1:9" x14ac:dyDescent="0.25">
      <c r="A604" t="s">
        <v>23</v>
      </c>
      <c r="B604">
        <v>7172010015003100</v>
      </c>
      <c r="C604">
        <v>137</v>
      </c>
      <c r="D604">
        <v>0</v>
      </c>
      <c r="E604">
        <v>27</v>
      </c>
      <c r="F604">
        <v>46</v>
      </c>
      <c r="G604">
        <v>0</v>
      </c>
      <c r="H604">
        <v>64</v>
      </c>
      <c r="I604">
        <v>0</v>
      </c>
    </row>
    <row r="605" spans="1:9" x14ac:dyDescent="0.25">
      <c r="A605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</row>
    <row r="606" spans="1:9" x14ac:dyDescent="0.25">
      <c r="A606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</row>
    <row r="607" spans="1:9" x14ac:dyDescent="0.25">
      <c r="A607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</row>
    <row r="608" spans="1:9" x14ac:dyDescent="0.25">
      <c r="A608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</row>
    <row r="609" spans="1:9" x14ac:dyDescent="0.25">
      <c r="A609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</row>
    <row r="610" spans="1:9" x14ac:dyDescent="0.25">
      <c r="A610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</row>
    <row r="611" spans="1:9" x14ac:dyDescent="0.25">
      <c r="A611" t="s">
        <v>21</v>
      </c>
      <c r="B611">
        <v>7172010015001500</v>
      </c>
      <c r="C611">
        <v>116</v>
      </c>
      <c r="D611">
        <v>5</v>
      </c>
      <c r="E611">
        <v>0</v>
      </c>
      <c r="F611">
        <v>10</v>
      </c>
      <c r="G611">
        <v>1</v>
      </c>
      <c r="H611">
        <v>100</v>
      </c>
      <c r="I611">
        <v>0</v>
      </c>
    </row>
    <row r="612" spans="1:9" x14ac:dyDescent="0.25">
      <c r="A612" t="s">
        <v>21</v>
      </c>
      <c r="B612">
        <v>7172010015001600</v>
      </c>
      <c r="C612">
        <v>112</v>
      </c>
      <c r="D612">
        <v>0</v>
      </c>
      <c r="E612">
        <v>0</v>
      </c>
      <c r="F612">
        <v>112</v>
      </c>
      <c r="G612">
        <v>0</v>
      </c>
      <c r="H612">
        <v>0</v>
      </c>
      <c r="I612">
        <v>0</v>
      </c>
    </row>
    <row r="613" spans="1:9" x14ac:dyDescent="0.25">
      <c r="A613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</row>
    <row r="614" spans="1:9" x14ac:dyDescent="0.25">
      <c r="A614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</row>
    <row r="615" spans="1:9" x14ac:dyDescent="0.25">
      <c r="A615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</row>
    <row r="616" spans="1:9" x14ac:dyDescent="0.25">
      <c r="A616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</row>
    <row r="617" spans="1:9" x14ac:dyDescent="0.25">
      <c r="A617" t="s">
        <v>7</v>
      </c>
      <c r="B617">
        <v>7172010008001000</v>
      </c>
      <c r="C617">
        <v>186</v>
      </c>
      <c r="D617">
        <v>9</v>
      </c>
      <c r="E617">
        <v>7</v>
      </c>
      <c r="F617">
        <v>54</v>
      </c>
      <c r="G617">
        <v>0</v>
      </c>
      <c r="H617">
        <v>116</v>
      </c>
      <c r="I617">
        <v>0</v>
      </c>
    </row>
    <row r="618" spans="1:9" x14ac:dyDescent="0.25">
      <c r="A618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</row>
    <row r="619" spans="1:9" x14ac:dyDescent="0.25">
      <c r="A619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</row>
    <row r="620" spans="1:9" x14ac:dyDescent="0.25">
      <c r="A620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</row>
    <row r="621" spans="1:9" x14ac:dyDescent="0.25">
      <c r="A62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</row>
    <row r="622" spans="1:9" x14ac:dyDescent="0.25">
      <c r="A622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</row>
    <row r="623" spans="1:9" x14ac:dyDescent="0.25">
      <c r="A623" t="s">
        <v>237</v>
      </c>
      <c r="B623">
        <v>7172010017001200</v>
      </c>
      <c r="C623">
        <v>121</v>
      </c>
      <c r="D623">
        <v>0</v>
      </c>
      <c r="E623">
        <v>4</v>
      </c>
      <c r="F623">
        <v>101</v>
      </c>
      <c r="G623">
        <v>0</v>
      </c>
      <c r="H623">
        <v>16</v>
      </c>
      <c r="I623">
        <v>0</v>
      </c>
    </row>
    <row r="624" spans="1:9" x14ac:dyDescent="0.25">
      <c r="A624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90</v>
      </c>
      <c r="I624">
        <v>0</v>
      </c>
    </row>
    <row r="625" spans="1:9" x14ac:dyDescent="0.25">
      <c r="A625" t="s">
        <v>237</v>
      </c>
      <c r="B625">
        <v>7172010017001100</v>
      </c>
      <c r="C625">
        <v>80</v>
      </c>
      <c r="D625">
        <v>0</v>
      </c>
      <c r="E625">
        <v>1</v>
      </c>
      <c r="F625">
        <v>75</v>
      </c>
      <c r="G625">
        <v>0</v>
      </c>
      <c r="H625">
        <v>4</v>
      </c>
      <c r="I625">
        <v>0</v>
      </c>
    </row>
    <row r="626" spans="1:9" x14ac:dyDescent="0.25">
      <c r="A626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</row>
    <row r="627" spans="1:9" x14ac:dyDescent="0.25">
      <c r="A627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</row>
    <row r="628" spans="1:9" x14ac:dyDescent="0.25">
      <c r="A628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</row>
    <row r="629" spans="1:9" x14ac:dyDescent="0.25">
      <c r="A629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</row>
    <row r="630" spans="1:9" x14ac:dyDescent="0.25">
      <c r="A630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</row>
    <row r="631" spans="1:9" x14ac:dyDescent="0.25">
      <c r="A63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</row>
    <row r="632" spans="1:9" x14ac:dyDescent="0.25">
      <c r="A632" t="s">
        <v>27</v>
      </c>
      <c r="B632">
        <v>7172011001000700</v>
      </c>
      <c r="C632">
        <v>150</v>
      </c>
      <c r="D632">
        <v>17</v>
      </c>
      <c r="E632">
        <v>0</v>
      </c>
      <c r="F632">
        <v>66</v>
      </c>
      <c r="G632">
        <v>1</v>
      </c>
      <c r="H632">
        <v>66</v>
      </c>
      <c r="I632">
        <v>0</v>
      </c>
    </row>
    <row r="633" spans="1:9" x14ac:dyDescent="0.25">
      <c r="A633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</row>
    <row r="634" spans="1:9" x14ac:dyDescent="0.25">
      <c r="A634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</row>
    <row r="635" spans="1:9" x14ac:dyDescent="0.25">
      <c r="A635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</row>
    <row r="636" spans="1:9" x14ac:dyDescent="0.25">
      <c r="A636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</row>
    <row r="637" spans="1:9" x14ac:dyDescent="0.25">
      <c r="A637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</row>
    <row r="638" spans="1:9" x14ac:dyDescent="0.25">
      <c r="A638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</row>
    <row r="639" spans="1:9" x14ac:dyDescent="0.25">
      <c r="A639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</row>
    <row r="640" spans="1:9" x14ac:dyDescent="0.25">
      <c r="A640" t="s">
        <v>29</v>
      </c>
      <c r="B640">
        <v>7172011011000500</v>
      </c>
      <c r="C640">
        <v>82</v>
      </c>
      <c r="D640">
        <v>6</v>
      </c>
      <c r="E640">
        <v>6</v>
      </c>
      <c r="F640">
        <v>4</v>
      </c>
      <c r="G640">
        <v>0</v>
      </c>
      <c r="H640">
        <v>66</v>
      </c>
      <c r="I640">
        <v>0</v>
      </c>
    </row>
    <row r="641" spans="1:9" x14ac:dyDescent="0.25">
      <c r="A641" t="s">
        <v>29</v>
      </c>
      <c r="B641">
        <v>7172011002001200</v>
      </c>
      <c r="C641">
        <v>78</v>
      </c>
      <c r="D641">
        <v>0</v>
      </c>
      <c r="E641">
        <v>3</v>
      </c>
      <c r="F641">
        <v>71</v>
      </c>
      <c r="G641">
        <v>0</v>
      </c>
      <c r="H641">
        <v>4</v>
      </c>
      <c r="I641">
        <v>0</v>
      </c>
    </row>
    <row r="642" spans="1:9" x14ac:dyDescent="0.25">
      <c r="A642" t="s">
        <v>29</v>
      </c>
      <c r="B642">
        <v>7172011002001400</v>
      </c>
      <c r="C642">
        <v>77</v>
      </c>
      <c r="D642">
        <v>0</v>
      </c>
      <c r="E642">
        <v>0</v>
      </c>
      <c r="F642">
        <v>77</v>
      </c>
      <c r="G642">
        <v>0</v>
      </c>
      <c r="H642">
        <v>0</v>
      </c>
      <c r="I642">
        <v>0</v>
      </c>
    </row>
    <row r="643" spans="1:9" x14ac:dyDescent="0.25">
      <c r="A643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</row>
    <row r="644" spans="1:9" x14ac:dyDescent="0.25">
      <c r="A644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</row>
    <row r="645" spans="1:9" x14ac:dyDescent="0.25">
      <c r="A645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</row>
    <row r="646" spans="1:9" x14ac:dyDescent="0.25">
      <c r="A646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</row>
    <row r="647" spans="1:9" x14ac:dyDescent="0.25">
      <c r="A647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</row>
    <row r="648" spans="1:9" x14ac:dyDescent="0.25">
      <c r="A648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</row>
    <row r="649" spans="1:9" x14ac:dyDescent="0.25">
      <c r="A649" t="s">
        <v>30</v>
      </c>
      <c r="B649">
        <v>7172011003001803</v>
      </c>
      <c r="C649">
        <v>140</v>
      </c>
      <c r="D649">
        <v>0</v>
      </c>
      <c r="E649">
        <v>14</v>
      </c>
      <c r="F649">
        <v>65</v>
      </c>
      <c r="G649">
        <v>0</v>
      </c>
      <c r="H649">
        <v>61</v>
      </c>
      <c r="I649">
        <v>0</v>
      </c>
    </row>
    <row r="650" spans="1:9" x14ac:dyDescent="0.25">
      <c r="A650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</row>
    <row r="651" spans="1:9" x14ac:dyDescent="0.25">
      <c r="A65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</row>
    <row r="652" spans="1:9" x14ac:dyDescent="0.25">
      <c r="A652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</row>
    <row r="653" spans="1:9" x14ac:dyDescent="0.25">
      <c r="A653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</row>
    <row r="654" spans="1:9" x14ac:dyDescent="0.25">
      <c r="A654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</row>
    <row r="655" spans="1:9" x14ac:dyDescent="0.25">
      <c r="A655" t="s">
        <v>32</v>
      </c>
      <c r="B655">
        <v>7172011003000300</v>
      </c>
      <c r="C655">
        <v>171</v>
      </c>
      <c r="D655">
        <v>3</v>
      </c>
      <c r="E655">
        <v>3</v>
      </c>
      <c r="F655">
        <v>121</v>
      </c>
      <c r="G655">
        <v>0</v>
      </c>
      <c r="H655">
        <v>44</v>
      </c>
      <c r="I655">
        <v>0</v>
      </c>
    </row>
    <row r="656" spans="1:9" x14ac:dyDescent="0.25">
      <c r="A656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</row>
    <row r="657" spans="1:9" x14ac:dyDescent="0.25">
      <c r="A657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</row>
    <row r="658" spans="1:9" x14ac:dyDescent="0.25">
      <c r="A658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</row>
    <row r="659" spans="1:9" x14ac:dyDescent="0.25">
      <c r="A659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</row>
    <row r="660" spans="1:9" x14ac:dyDescent="0.25">
      <c r="A660" t="s">
        <v>33</v>
      </c>
      <c r="B660">
        <v>7172011014001702</v>
      </c>
      <c r="C660">
        <v>111</v>
      </c>
      <c r="D660">
        <v>63</v>
      </c>
      <c r="E660">
        <v>13</v>
      </c>
      <c r="F660">
        <v>7</v>
      </c>
      <c r="G660">
        <v>0</v>
      </c>
      <c r="H660">
        <v>28</v>
      </c>
      <c r="I660">
        <v>0</v>
      </c>
    </row>
    <row r="661" spans="1:9" x14ac:dyDescent="0.25">
      <c r="A66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</row>
    <row r="662" spans="1:9" x14ac:dyDescent="0.25">
      <c r="A662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</row>
    <row r="663" spans="1:9" x14ac:dyDescent="0.25">
      <c r="A663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</row>
    <row r="664" spans="1:9" x14ac:dyDescent="0.25">
      <c r="A664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</row>
    <row r="665" spans="1:9" x14ac:dyDescent="0.25">
      <c r="A665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</row>
    <row r="666" spans="1:9" x14ac:dyDescent="0.25">
      <c r="A666" t="s">
        <v>34</v>
      </c>
      <c r="B666">
        <v>7172011003001600</v>
      </c>
      <c r="C666">
        <v>121</v>
      </c>
      <c r="D666">
        <v>0</v>
      </c>
      <c r="E666">
        <v>18</v>
      </c>
      <c r="F666">
        <v>34</v>
      </c>
      <c r="G666">
        <v>0</v>
      </c>
      <c r="H666">
        <v>69</v>
      </c>
      <c r="I666">
        <v>0</v>
      </c>
    </row>
    <row r="667" spans="1:9" x14ac:dyDescent="0.25">
      <c r="A667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</row>
    <row r="668" spans="1:9" x14ac:dyDescent="0.25">
      <c r="A668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</row>
    <row r="669" spans="1:9" x14ac:dyDescent="0.25">
      <c r="A669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</row>
    <row r="670" spans="1:9" x14ac:dyDescent="0.25">
      <c r="A670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</row>
    <row r="671" spans="1:9" x14ac:dyDescent="0.25">
      <c r="A67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</row>
    <row r="672" spans="1:9" x14ac:dyDescent="0.25">
      <c r="A672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</row>
    <row r="673" spans="1:9" x14ac:dyDescent="0.25">
      <c r="A673" t="s">
        <v>40</v>
      </c>
      <c r="B673">
        <v>7172011004000700</v>
      </c>
      <c r="C673">
        <v>123</v>
      </c>
      <c r="D673">
        <v>13</v>
      </c>
      <c r="E673">
        <v>51</v>
      </c>
      <c r="F673">
        <v>55</v>
      </c>
      <c r="G673">
        <v>4</v>
      </c>
      <c r="H673">
        <v>0</v>
      </c>
      <c r="I673">
        <v>0</v>
      </c>
    </row>
    <row r="674" spans="1:9" x14ac:dyDescent="0.25">
      <c r="A674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</row>
    <row r="675" spans="1:9" x14ac:dyDescent="0.25">
      <c r="A675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</row>
    <row r="676" spans="1:9" x14ac:dyDescent="0.25">
      <c r="A676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</row>
    <row r="677" spans="1:9" x14ac:dyDescent="0.25">
      <c r="A677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</row>
    <row r="678" spans="1:9" x14ac:dyDescent="0.25">
      <c r="A678" t="s">
        <v>43</v>
      </c>
      <c r="B678">
        <v>7172011011000900</v>
      </c>
      <c r="C678">
        <v>64</v>
      </c>
      <c r="D678">
        <v>15</v>
      </c>
      <c r="E678">
        <v>3</v>
      </c>
      <c r="F678">
        <v>13</v>
      </c>
      <c r="G678">
        <v>1</v>
      </c>
      <c r="H678">
        <v>32</v>
      </c>
      <c r="I678">
        <v>0</v>
      </c>
    </row>
    <row r="679" spans="1:9" x14ac:dyDescent="0.25">
      <c r="A679" t="s">
        <v>43</v>
      </c>
      <c r="B679">
        <v>7172011011000600</v>
      </c>
      <c r="C679">
        <v>59</v>
      </c>
      <c r="D679">
        <v>1</v>
      </c>
      <c r="E679">
        <v>0</v>
      </c>
      <c r="F679">
        <v>44</v>
      </c>
      <c r="G679">
        <v>0</v>
      </c>
      <c r="H679">
        <v>14</v>
      </c>
      <c r="I679">
        <v>0</v>
      </c>
    </row>
    <row r="680" spans="1:9" x14ac:dyDescent="0.25">
      <c r="A680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</row>
    <row r="681" spans="1:9" x14ac:dyDescent="0.25">
      <c r="A68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</row>
    <row r="682" spans="1:9" x14ac:dyDescent="0.25">
      <c r="A682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</row>
    <row r="683" spans="1:9" x14ac:dyDescent="0.25">
      <c r="A683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</row>
    <row r="684" spans="1:9" x14ac:dyDescent="0.25">
      <c r="A684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</row>
    <row r="685" spans="1:9" x14ac:dyDescent="0.25">
      <c r="A685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</row>
    <row r="686" spans="1:9" x14ac:dyDescent="0.25">
      <c r="A686" t="s">
        <v>43</v>
      </c>
      <c r="B686">
        <v>7172011011000700</v>
      </c>
      <c r="C686">
        <v>22</v>
      </c>
      <c r="D686">
        <v>0</v>
      </c>
      <c r="E686">
        <v>0</v>
      </c>
      <c r="F686">
        <v>20</v>
      </c>
      <c r="G686">
        <v>0</v>
      </c>
      <c r="H686">
        <v>2</v>
      </c>
      <c r="I686">
        <v>0</v>
      </c>
    </row>
    <row r="687" spans="1:9" x14ac:dyDescent="0.25">
      <c r="A687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</row>
    <row r="688" spans="1:9" x14ac:dyDescent="0.25">
      <c r="A688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</row>
    <row r="689" spans="1:9" x14ac:dyDescent="0.25">
      <c r="A689" t="s">
        <v>47</v>
      </c>
      <c r="B689">
        <v>7172011014000600</v>
      </c>
      <c r="C689">
        <v>166</v>
      </c>
      <c r="D689">
        <v>0</v>
      </c>
      <c r="E689">
        <v>4</v>
      </c>
      <c r="F689">
        <v>116</v>
      </c>
      <c r="G689">
        <v>0</v>
      </c>
      <c r="H689">
        <v>46</v>
      </c>
      <c r="I689">
        <v>0</v>
      </c>
    </row>
    <row r="690" spans="1:9" x14ac:dyDescent="0.25">
      <c r="A690" t="s">
        <v>47</v>
      </c>
      <c r="B690">
        <v>7172011014000300</v>
      </c>
      <c r="C690">
        <v>162</v>
      </c>
      <c r="D690">
        <v>0</v>
      </c>
      <c r="E690">
        <v>0</v>
      </c>
      <c r="F690">
        <v>162</v>
      </c>
      <c r="G690">
        <v>0</v>
      </c>
      <c r="H690">
        <v>0</v>
      </c>
      <c r="I690">
        <v>0</v>
      </c>
    </row>
    <row r="691" spans="1:9" x14ac:dyDescent="0.25">
      <c r="A69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</row>
    <row r="692" spans="1:9" x14ac:dyDescent="0.25">
      <c r="A692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</row>
    <row r="693" spans="1:9" x14ac:dyDescent="0.25">
      <c r="A693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</row>
    <row r="694" spans="1:9" x14ac:dyDescent="0.25">
      <c r="A694" t="s">
        <v>48</v>
      </c>
      <c r="B694">
        <v>7172011014001200</v>
      </c>
      <c r="C694">
        <v>190</v>
      </c>
      <c r="D694">
        <v>4</v>
      </c>
      <c r="E694">
        <v>41</v>
      </c>
      <c r="F694">
        <v>77</v>
      </c>
      <c r="G694">
        <v>1</v>
      </c>
      <c r="H694">
        <v>67</v>
      </c>
      <c r="I694">
        <v>0</v>
      </c>
    </row>
    <row r="695" spans="1:9" x14ac:dyDescent="0.25">
      <c r="A695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</row>
    <row r="696" spans="1:9" x14ac:dyDescent="0.25">
      <c r="A696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</row>
    <row r="697" spans="1:9" x14ac:dyDescent="0.25">
      <c r="A697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</row>
    <row r="698" spans="1:9" x14ac:dyDescent="0.25">
      <c r="A698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</row>
    <row r="699" spans="1:9" x14ac:dyDescent="0.25">
      <c r="A699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</row>
    <row r="700" spans="1:9" x14ac:dyDescent="0.25">
      <c r="A700" t="s">
        <v>51</v>
      </c>
      <c r="B700">
        <v>7172012001000500</v>
      </c>
      <c r="C700">
        <v>173</v>
      </c>
      <c r="D700">
        <v>0</v>
      </c>
      <c r="E700">
        <v>21</v>
      </c>
      <c r="F700">
        <v>75</v>
      </c>
      <c r="G700">
        <v>1</v>
      </c>
      <c r="H700">
        <v>76</v>
      </c>
      <c r="I700">
        <v>0</v>
      </c>
    </row>
    <row r="701" spans="1:9" x14ac:dyDescent="0.25">
      <c r="A70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</row>
    <row r="702" spans="1:9" x14ac:dyDescent="0.25">
      <c r="A702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</row>
    <row r="703" spans="1:9" x14ac:dyDescent="0.25">
      <c r="A703" t="s">
        <v>52</v>
      </c>
      <c r="B703">
        <v>7172012001000700</v>
      </c>
      <c r="C703">
        <v>263</v>
      </c>
      <c r="D703">
        <v>2</v>
      </c>
      <c r="E703">
        <v>13</v>
      </c>
      <c r="F703">
        <v>166</v>
      </c>
      <c r="G703">
        <v>0</v>
      </c>
      <c r="H703">
        <v>82</v>
      </c>
      <c r="I703">
        <v>0</v>
      </c>
    </row>
    <row r="704" spans="1:9" x14ac:dyDescent="0.25">
      <c r="A704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</row>
    <row r="705" spans="1:9" x14ac:dyDescent="0.25">
      <c r="A705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</row>
    <row r="706" spans="1:9" x14ac:dyDescent="0.25">
      <c r="A706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</row>
    <row r="707" spans="1:9" x14ac:dyDescent="0.25">
      <c r="A707" t="s">
        <v>49</v>
      </c>
      <c r="B707">
        <v>7172012001000100</v>
      </c>
      <c r="C707">
        <v>117</v>
      </c>
      <c r="D707">
        <v>3</v>
      </c>
      <c r="E707">
        <v>1</v>
      </c>
      <c r="F707">
        <v>80</v>
      </c>
      <c r="G707">
        <v>3</v>
      </c>
      <c r="H707">
        <v>30</v>
      </c>
      <c r="I707">
        <v>0</v>
      </c>
    </row>
    <row r="708" spans="1:9" x14ac:dyDescent="0.25">
      <c r="A708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</row>
    <row r="709" spans="1:9" x14ac:dyDescent="0.25">
      <c r="A709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</row>
    <row r="710" spans="1:9" x14ac:dyDescent="0.25">
      <c r="A710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</row>
    <row r="711" spans="1:9" x14ac:dyDescent="0.25">
      <c r="A711" t="s">
        <v>53</v>
      </c>
      <c r="B711">
        <v>7172012002000200</v>
      </c>
      <c r="C711">
        <v>167</v>
      </c>
      <c r="D711">
        <v>0</v>
      </c>
      <c r="E711">
        <v>2</v>
      </c>
      <c r="F711">
        <v>106</v>
      </c>
      <c r="G711">
        <v>0</v>
      </c>
      <c r="H711">
        <v>59</v>
      </c>
      <c r="I711">
        <v>0</v>
      </c>
    </row>
    <row r="712" spans="1:9" x14ac:dyDescent="0.25">
      <c r="A712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</row>
    <row r="713" spans="1:9" x14ac:dyDescent="0.25">
      <c r="A713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</row>
    <row r="714" spans="1:9" x14ac:dyDescent="0.25">
      <c r="A714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</row>
    <row r="715" spans="1:9" x14ac:dyDescent="0.25">
      <c r="A715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</row>
    <row r="716" spans="1:9" x14ac:dyDescent="0.25">
      <c r="A716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</row>
    <row r="717" spans="1:9" x14ac:dyDescent="0.25">
      <c r="A717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</row>
    <row r="718" spans="1:9" x14ac:dyDescent="0.25">
      <c r="A718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</row>
    <row r="719" spans="1:9" x14ac:dyDescent="0.25">
      <c r="A719" t="s">
        <v>58</v>
      </c>
      <c r="B719">
        <v>7172012003000300</v>
      </c>
      <c r="C719">
        <v>71</v>
      </c>
      <c r="D719">
        <v>1</v>
      </c>
      <c r="E719">
        <v>21</v>
      </c>
      <c r="F719">
        <v>26</v>
      </c>
      <c r="G719">
        <v>2</v>
      </c>
      <c r="H719">
        <v>21</v>
      </c>
      <c r="I719">
        <v>0</v>
      </c>
    </row>
    <row r="720" spans="1:9" x14ac:dyDescent="0.25">
      <c r="A720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</row>
    <row r="721" spans="1:9" x14ac:dyDescent="0.25">
      <c r="A72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</row>
    <row r="722" spans="1:9" x14ac:dyDescent="0.25">
      <c r="A722" t="s">
        <v>58</v>
      </c>
      <c r="B722">
        <v>7172012003000200</v>
      </c>
      <c r="C722">
        <v>54</v>
      </c>
      <c r="D722">
        <v>12</v>
      </c>
      <c r="E722">
        <v>6</v>
      </c>
      <c r="F722">
        <v>8</v>
      </c>
      <c r="G722">
        <v>6</v>
      </c>
      <c r="H722">
        <v>22</v>
      </c>
      <c r="I722">
        <v>0</v>
      </c>
    </row>
    <row r="723" spans="1:9" x14ac:dyDescent="0.25">
      <c r="A723" t="s">
        <v>57</v>
      </c>
      <c r="B723">
        <v>7172012003001100</v>
      </c>
      <c r="C723">
        <v>121</v>
      </c>
      <c r="D723">
        <v>29</v>
      </c>
      <c r="E723">
        <v>11</v>
      </c>
      <c r="F723">
        <v>36</v>
      </c>
      <c r="G723">
        <v>0</v>
      </c>
      <c r="H723">
        <v>45</v>
      </c>
      <c r="I723">
        <v>0</v>
      </c>
    </row>
    <row r="724" spans="1:9" x14ac:dyDescent="0.25">
      <c r="A724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</row>
    <row r="725" spans="1:9" x14ac:dyDescent="0.25">
      <c r="A725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</row>
    <row r="726" spans="1:9" x14ac:dyDescent="0.25">
      <c r="A726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</row>
    <row r="727" spans="1:9" x14ac:dyDescent="0.25">
      <c r="A727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</row>
    <row r="728" spans="1:9" x14ac:dyDescent="0.25">
      <c r="A728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</row>
    <row r="729" spans="1:9" x14ac:dyDescent="0.25">
      <c r="A729" t="s">
        <v>57</v>
      </c>
      <c r="B729">
        <v>7172012003000500</v>
      </c>
      <c r="C729">
        <v>54</v>
      </c>
      <c r="D729">
        <v>0</v>
      </c>
      <c r="E729">
        <v>3</v>
      </c>
      <c r="F729">
        <v>43</v>
      </c>
      <c r="G729">
        <v>0</v>
      </c>
      <c r="H729">
        <v>8</v>
      </c>
      <c r="I729">
        <v>0</v>
      </c>
    </row>
    <row r="730" spans="1:9" x14ac:dyDescent="0.25">
      <c r="A730" t="s">
        <v>57</v>
      </c>
      <c r="B730">
        <v>7172012003000100</v>
      </c>
      <c r="C730">
        <v>52</v>
      </c>
      <c r="D730">
        <v>0</v>
      </c>
      <c r="E730">
        <v>0</v>
      </c>
      <c r="F730">
        <v>52</v>
      </c>
      <c r="G730">
        <v>0</v>
      </c>
      <c r="H730">
        <v>0</v>
      </c>
      <c r="I730">
        <v>0</v>
      </c>
    </row>
    <row r="731" spans="1:9" x14ac:dyDescent="0.25">
      <c r="A731" t="s">
        <v>238</v>
      </c>
      <c r="B731">
        <v>7172012004000500</v>
      </c>
      <c r="C731">
        <v>167</v>
      </c>
      <c r="D731">
        <v>6</v>
      </c>
      <c r="E731">
        <v>16</v>
      </c>
      <c r="F731">
        <v>58</v>
      </c>
      <c r="G731">
        <v>0</v>
      </c>
      <c r="H731">
        <v>87</v>
      </c>
      <c r="I731">
        <v>0</v>
      </c>
    </row>
    <row r="732" spans="1:9" x14ac:dyDescent="0.25">
      <c r="A732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</row>
    <row r="733" spans="1:9" x14ac:dyDescent="0.25">
      <c r="A733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</row>
    <row r="734" spans="1:9" x14ac:dyDescent="0.25">
      <c r="A734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</row>
    <row r="735" spans="1:9" x14ac:dyDescent="0.25">
      <c r="A735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</row>
    <row r="736" spans="1:9" x14ac:dyDescent="0.25">
      <c r="A736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</row>
    <row r="737" spans="1:9" x14ac:dyDescent="0.25">
      <c r="A737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</row>
    <row r="738" spans="1:9" x14ac:dyDescent="0.25">
      <c r="A738" t="s">
        <v>61</v>
      </c>
      <c r="B738">
        <v>7172012004001100</v>
      </c>
      <c r="C738">
        <v>171</v>
      </c>
      <c r="D738">
        <v>11</v>
      </c>
      <c r="E738">
        <v>9</v>
      </c>
      <c r="F738">
        <v>94</v>
      </c>
      <c r="G738">
        <v>1</v>
      </c>
      <c r="H738">
        <v>56</v>
      </c>
      <c r="I738">
        <v>0</v>
      </c>
    </row>
    <row r="739" spans="1:9" x14ac:dyDescent="0.25">
      <c r="A739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</row>
    <row r="740" spans="1:9" x14ac:dyDescent="0.25">
      <c r="A740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</row>
    <row r="741" spans="1:9" x14ac:dyDescent="0.25">
      <c r="A74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</row>
    <row r="742" spans="1:9" x14ac:dyDescent="0.25">
      <c r="A742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</row>
    <row r="743" spans="1:9" x14ac:dyDescent="0.25">
      <c r="A743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</row>
    <row r="744" spans="1:9" x14ac:dyDescent="0.25">
      <c r="A744" t="s">
        <v>66</v>
      </c>
      <c r="B744">
        <v>7172012005000400</v>
      </c>
      <c r="C744">
        <v>54</v>
      </c>
      <c r="D744">
        <v>0</v>
      </c>
      <c r="E744">
        <v>0</v>
      </c>
      <c r="F744">
        <v>26</v>
      </c>
      <c r="G744">
        <v>0</v>
      </c>
      <c r="H744">
        <v>28</v>
      </c>
      <c r="I744">
        <v>0</v>
      </c>
    </row>
    <row r="745" spans="1:9" x14ac:dyDescent="0.25">
      <c r="A745" t="s">
        <v>66</v>
      </c>
      <c r="B745">
        <v>7172012005000500</v>
      </c>
      <c r="C745">
        <v>53</v>
      </c>
      <c r="D745">
        <v>0</v>
      </c>
      <c r="E745">
        <v>1</v>
      </c>
      <c r="F745">
        <v>21</v>
      </c>
      <c r="G745">
        <v>0</v>
      </c>
      <c r="H745">
        <v>31</v>
      </c>
      <c r="I745">
        <v>0</v>
      </c>
    </row>
    <row r="746" spans="1:9" x14ac:dyDescent="0.25">
      <c r="A746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</row>
    <row r="747" spans="1:9" x14ac:dyDescent="0.25">
      <c r="A747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</row>
    <row r="748" spans="1:9" x14ac:dyDescent="0.25">
      <c r="A748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</row>
    <row r="749" spans="1:9" x14ac:dyDescent="0.25">
      <c r="A749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8</v>
      </c>
      <c r="H749">
        <v>28</v>
      </c>
      <c r="I749">
        <v>0</v>
      </c>
    </row>
    <row r="750" spans="1:9" x14ac:dyDescent="0.25">
      <c r="A750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</row>
    <row r="751" spans="1:9" x14ac:dyDescent="0.25">
      <c r="A75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</row>
    <row r="752" spans="1:9" x14ac:dyDescent="0.25">
      <c r="A752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</row>
    <row r="753" spans="1:9" x14ac:dyDescent="0.25">
      <c r="A753" t="s">
        <v>68</v>
      </c>
      <c r="B753">
        <v>7172012007002000</v>
      </c>
      <c r="C753">
        <v>118</v>
      </c>
      <c r="D753">
        <v>0</v>
      </c>
      <c r="E753">
        <v>14</v>
      </c>
      <c r="F753">
        <v>15</v>
      </c>
      <c r="G753">
        <v>0</v>
      </c>
      <c r="H753">
        <v>89</v>
      </c>
      <c r="I753">
        <v>0</v>
      </c>
    </row>
    <row r="754" spans="1:9" x14ac:dyDescent="0.25">
      <c r="A754" t="s">
        <v>68</v>
      </c>
      <c r="B754">
        <v>7172012007001700</v>
      </c>
      <c r="C754">
        <v>116</v>
      </c>
      <c r="D754">
        <v>0</v>
      </c>
      <c r="E754">
        <v>0</v>
      </c>
      <c r="F754">
        <v>116</v>
      </c>
      <c r="G754">
        <v>0</v>
      </c>
      <c r="H754">
        <v>0</v>
      </c>
      <c r="I754">
        <v>0</v>
      </c>
    </row>
    <row r="755" spans="1:9" x14ac:dyDescent="0.25">
      <c r="A755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</row>
    <row r="756" spans="1:9" x14ac:dyDescent="0.25">
      <c r="A756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</row>
    <row r="757" spans="1:9" x14ac:dyDescent="0.25">
      <c r="A757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1</v>
      </c>
      <c r="I757">
        <v>0</v>
      </c>
    </row>
    <row r="758" spans="1:9" x14ac:dyDescent="0.25">
      <c r="A758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</row>
    <row r="759" spans="1:9" x14ac:dyDescent="0.25">
      <c r="A759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</row>
    <row r="760" spans="1:9" x14ac:dyDescent="0.25">
      <c r="A760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</row>
    <row r="761" spans="1:9" x14ac:dyDescent="0.25">
      <c r="A76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</row>
    <row r="762" spans="1:9" x14ac:dyDescent="0.25">
      <c r="A762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</row>
    <row r="763" spans="1:9" x14ac:dyDescent="0.25">
      <c r="A763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</row>
    <row r="764" spans="1:9" x14ac:dyDescent="0.25">
      <c r="A764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</row>
    <row r="765" spans="1:9" x14ac:dyDescent="0.25">
      <c r="A765" t="s">
        <v>69</v>
      </c>
      <c r="B765">
        <v>7172012006000802</v>
      </c>
      <c r="C765">
        <v>79</v>
      </c>
      <c r="D765">
        <v>0</v>
      </c>
      <c r="E765">
        <v>13</v>
      </c>
      <c r="F765">
        <v>49</v>
      </c>
      <c r="G765">
        <v>0</v>
      </c>
      <c r="H765">
        <v>17</v>
      </c>
      <c r="I765">
        <v>0</v>
      </c>
    </row>
    <row r="766" spans="1:9" x14ac:dyDescent="0.25">
      <c r="A766" t="s">
        <v>69</v>
      </c>
      <c r="B766">
        <v>7172012006000500</v>
      </c>
      <c r="C766">
        <v>73</v>
      </c>
      <c r="D766">
        <v>0</v>
      </c>
      <c r="E766">
        <v>3</v>
      </c>
      <c r="F766">
        <v>21</v>
      </c>
      <c r="G766">
        <v>0</v>
      </c>
      <c r="H766">
        <v>49</v>
      </c>
      <c r="I766">
        <v>0</v>
      </c>
    </row>
    <row r="767" spans="1:9" x14ac:dyDescent="0.25">
      <c r="A767" t="s">
        <v>55</v>
      </c>
      <c r="B767">
        <v>7172012006001800</v>
      </c>
      <c r="C767">
        <v>147</v>
      </c>
      <c r="D767">
        <v>0</v>
      </c>
      <c r="E767">
        <v>0</v>
      </c>
      <c r="F767">
        <v>74</v>
      </c>
      <c r="G767">
        <v>0</v>
      </c>
      <c r="H767">
        <v>73</v>
      </c>
      <c r="I767">
        <v>0</v>
      </c>
    </row>
    <row r="768" spans="1:9" x14ac:dyDescent="0.25">
      <c r="A768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</row>
    <row r="769" spans="1:9" x14ac:dyDescent="0.25">
      <c r="A769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</row>
    <row r="770" spans="1:9" x14ac:dyDescent="0.25">
      <c r="A770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</row>
    <row r="771" spans="1:9" x14ac:dyDescent="0.25">
      <c r="A77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</row>
    <row r="772" spans="1:9" x14ac:dyDescent="0.25">
      <c r="A772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</row>
    <row r="773" spans="1:9" x14ac:dyDescent="0.25">
      <c r="A773" t="s">
        <v>73</v>
      </c>
      <c r="B773">
        <v>7172012007001500</v>
      </c>
      <c r="C773">
        <v>101</v>
      </c>
      <c r="D773">
        <v>0</v>
      </c>
      <c r="E773">
        <v>15</v>
      </c>
      <c r="F773">
        <v>33</v>
      </c>
      <c r="G773">
        <v>0</v>
      </c>
      <c r="H773">
        <v>53</v>
      </c>
      <c r="I773">
        <v>0</v>
      </c>
    </row>
    <row r="774" spans="1:9" x14ac:dyDescent="0.25">
      <c r="A774" t="s">
        <v>73</v>
      </c>
      <c r="B774">
        <v>7172012007001400</v>
      </c>
      <c r="C774">
        <v>95</v>
      </c>
      <c r="D774">
        <v>0</v>
      </c>
      <c r="E774">
        <v>0</v>
      </c>
      <c r="F774">
        <v>95</v>
      </c>
      <c r="G774">
        <v>0</v>
      </c>
      <c r="H774">
        <v>0</v>
      </c>
      <c r="I774">
        <v>0</v>
      </c>
    </row>
    <row r="775" spans="1:9" x14ac:dyDescent="0.25">
      <c r="A775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</row>
    <row r="776" spans="1:9" x14ac:dyDescent="0.25">
      <c r="A776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</row>
    <row r="777" spans="1:9" x14ac:dyDescent="0.25">
      <c r="A777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</row>
    <row r="778" spans="1:9" x14ac:dyDescent="0.25">
      <c r="A778" t="s">
        <v>77</v>
      </c>
      <c r="B778">
        <v>7172021003000200</v>
      </c>
      <c r="C778">
        <v>106</v>
      </c>
      <c r="D778">
        <v>20</v>
      </c>
      <c r="E778">
        <v>20</v>
      </c>
      <c r="F778">
        <v>41</v>
      </c>
      <c r="G778">
        <v>0</v>
      </c>
      <c r="H778">
        <v>25</v>
      </c>
      <c r="I778">
        <v>0</v>
      </c>
    </row>
    <row r="779" spans="1:9" x14ac:dyDescent="0.25">
      <c r="A779" t="s">
        <v>77</v>
      </c>
      <c r="B779">
        <v>7172021003000400</v>
      </c>
      <c r="C779">
        <v>100</v>
      </c>
      <c r="D779">
        <v>15</v>
      </c>
      <c r="E779">
        <v>0</v>
      </c>
      <c r="F779">
        <v>75</v>
      </c>
      <c r="G779">
        <v>0</v>
      </c>
      <c r="H779">
        <v>10</v>
      </c>
      <c r="I779">
        <v>0</v>
      </c>
    </row>
    <row r="780" spans="1:9" x14ac:dyDescent="0.25">
      <c r="A780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</row>
    <row r="781" spans="1:9" x14ac:dyDescent="0.25">
      <c r="A78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</row>
    <row r="782" spans="1:9" x14ac:dyDescent="0.25">
      <c r="A782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</row>
    <row r="783" spans="1:9" x14ac:dyDescent="0.25">
      <c r="A783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5</v>
      </c>
      <c r="I783">
        <v>0</v>
      </c>
    </row>
    <row r="784" spans="1:9" x14ac:dyDescent="0.25">
      <c r="A784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</row>
    <row r="785" spans="1:9" x14ac:dyDescent="0.25">
      <c r="A785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</row>
    <row r="786" spans="1:9" x14ac:dyDescent="0.25">
      <c r="A786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</row>
    <row r="787" spans="1:9" x14ac:dyDescent="0.25">
      <c r="A787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</row>
    <row r="788" spans="1:9" x14ac:dyDescent="0.25">
      <c r="A788" t="s">
        <v>80</v>
      </c>
      <c r="B788">
        <v>7172021006001300</v>
      </c>
      <c r="C788">
        <v>45</v>
      </c>
      <c r="D788">
        <v>0</v>
      </c>
      <c r="E788">
        <v>0</v>
      </c>
      <c r="F788">
        <v>1</v>
      </c>
      <c r="G788">
        <v>0</v>
      </c>
      <c r="H788">
        <v>44</v>
      </c>
      <c r="I788">
        <v>0</v>
      </c>
    </row>
    <row r="789" spans="1:9" x14ac:dyDescent="0.25">
      <c r="A789" t="s">
        <v>80</v>
      </c>
      <c r="B789">
        <v>7172021006000800</v>
      </c>
      <c r="C789">
        <v>44</v>
      </c>
      <c r="D789">
        <v>0</v>
      </c>
      <c r="E789">
        <v>3</v>
      </c>
      <c r="F789">
        <v>41</v>
      </c>
      <c r="G789">
        <v>0</v>
      </c>
      <c r="H789">
        <v>0</v>
      </c>
      <c r="I789">
        <v>0</v>
      </c>
    </row>
    <row r="790" spans="1:9" x14ac:dyDescent="0.25">
      <c r="A790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</row>
    <row r="791" spans="1:9" x14ac:dyDescent="0.25">
      <c r="A79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</row>
    <row r="792" spans="1:9" x14ac:dyDescent="0.25">
      <c r="A792" t="s">
        <v>239</v>
      </c>
      <c r="B792">
        <v>7172021006001600</v>
      </c>
      <c r="C792">
        <v>68</v>
      </c>
      <c r="D792">
        <v>0</v>
      </c>
      <c r="E792">
        <v>2</v>
      </c>
      <c r="F792">
        <v>41</v>
      </c>
      <c r="G792">
        <v>0</v>
      </c>
      <c r="H792">
        <v>25</v>
      </c>
      <c r="I792">
        <v>0</v>
      </c>
    </row>
    <row r="793" spans="1:9" x14ac:dyDescent="0.25">
      <c r="A793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</row>
    <row r="794" spans="1:9" x14ac:dyDescent="0.25">
      <c r="A794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</row>
    <row r="795" spans="1:9" x14ac:dyDescent="0.25">
      <c r="A795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</row>
    <row r="796" spans="1:9" x14ac:dyDescent="0.25">
      <c r="A796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</row>
    <row r="797" spans="1:9" x14ac:dyDescent="0.25">
      <c r="A797" t="s">
        <v>239</v>
      </c>
      <c r="B797">
        <v>7172021006001700</v>
      </c>
      <c r="C797">
        <v>40</v>
      </c>
      <c r="D797">
        <v>0</v>
      </c>
      <c r="E797">
        <v>2</v>
      </c>
      <c r="F797">
        <v>21</v>
      </c>
      <c r="G797">
        <v>1</v>
      </c>
      <c r="H797">
        <v>16</v>
      </c>
      <c r="I797">
        <v>0</v>
      </c>
    </row>
    <row r="798" spans="1:9" x14ac:dyDescent="0.25">
      <c r="A798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</row>
    <row r="799" spans="1:9" x14ac:dyDescent="0.25">
      <c r="A799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</row>
    <row r="800" spans="1:9" x14ac:dyDescent="0.25">
      <c r="A800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</row>
    <row r="801" spans="1:9" x14ac:dyDescent="0.25">
      <c r="A80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</row>
    <row r="802" spans="1:9" x14ac:dyDescent="0.25">
      <c r="A802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</row>
    <row r="803" spans="1:9" x14ac:dyDescent="0.25">
      <c r="A803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</row>
    <row r="804" spans="1:9" x14ac:dyDescent="0.25">
      <c r="A804" t="s">
        <v>82</v>
      </c>
      <c r="B804">
        <v>7172022001000100</v>
      </c>
      <c r="C804">
        <v>81</v>
      </c>
      <c r="D804">
        <v>0</v>
      </c>
      <c r="E804">
        <v>10</v>
      </c>
      <c r="F804">
        <v>31</v>
      </c>
      <c r="G804">
        <v>0</v>
      </c>
      <c r="H804">
        <v>40</v>
      </c>
      <c r="I804">
        <v>0</v>
      </c>
    </row>
    <row r="805" spans="1:9" x14ac:dyDescent="0.25">
      <c r="A805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</row>
    <row r="806" spans="1:9" x14ac:dyDescent="0.25">
      <c r="A806" t="s">
        <v>84</v>
      </c>
      <c r="B806">
        <v>7172022002000100</v>
      </c>
      <c r="C806">
        <v>86</v>
      </c>
      <c r="D806">
        <v>0</v>
      </c>
      <c r="E806">
        <v>3</v>
      </c>
      <c r="F806">
        <v>44</v>
      </c>
      <c r="G806">
        <v>1</v>
      </c>
      <c r="H806">
        <v>38</v>
      </c>
      <c r="I806">
        <v>0</v>
      </c>
    </row>
    <row r="807" spans="1:9" x14ac:dyDescent="0.25">
      <c r="A807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</row>
    <row r="808" spans="1:9" x14ac:dyDescent="0.25">
      <c r="A808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</row>
    <row r="809" spans="1:9" x14ac:dyDescent="0.25">
      <c r="A809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</row>
    <row r="810" spans="1:9" x14ac:dyDescent="0.25">
      <c r="A810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</row>
    <row r="811" spans="1:9" x14ac:dyDescent="0.25">
      <c r="A81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</row>
    <row r="812" spans="1:9" x14ac:dyDescent="0.25">
      <c r="A812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</row>
    <row r="813" spans="1:9" x14ac:dyDescent="0.25">
      <c r="A813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</row>
    <row r="814" spans="1:9" x14ac:dyDescent="0.25">
      <c r="A814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</row>
    <row r="815" spans="1:9" x14ac:dyDescent="0.25">
      <c r="A815" t="s">
        <v>86</v>
      </c>
      <c r="B815">
        <v>7172022009000500</v>
      </c>
      <c r="C815">
        <v>67</v>
      </c>
      <c r="D815">
        <v>0</v>
      </c>
      <c r="E815">
        <v>4</v>
      </c>
      <c r="F815">
        <v>59</v>
      </c>
      <c r="G815">
        <v>0</v>
      </c>
      <c r="H815">
        <v>4</v>
      </c>
      <c r="I815">
        <v>0</v>
      </c>
    </row>
    <row r="816" spans="1:9" x14ac:dyDescent="0.25">
      <c r="A816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</row>
    <row r="817" spans="1:9" x14ac:dyDescent="0.25">
      <c r="A817" t="s">
        <v>86</v>
      </c>
      <c r="B817">
        <v>7172022003000100</v>
      </c>
      <c r="C817">
        <v>54</v>
      </c>
      <c r="D817">
        <v>0</v>
      </c>
      <c r="E817">
        <v>2</v>
      </c>
      <c r="F817">
        <v>12</v>
      </c>
      <c r="G817">
        <v>0</v>
      </c>
      <c r="H817">
        <v>40</v>
      </c>
      <c r="I817">
        <v>0</v>
      </c>
    </row>
    <row r="818" spans="1:9" x14ac:dyDescent="0.25">
      <c r="A818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</row>
    <row r="819" spans="1:9" x14ac:dyDescent="0.25">
      <c r="A819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</row>
    <row r="820" spans="1:9" x14ac:dyDescent="0.25">
      <c r="A820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</row>
    <row r="821" spans="1:9" x14ac:dyDescent="0.25">
      <c r="A82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</row>
    <row r="822" spans="1:9" x14ac:dyDescent="0.25">
      <c r="A822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</row>
    <row r="823" spans="1:9" x14ac:dyDescent="0.25">
      <c r="A823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</row>
    <row r="824" spans="1:9" x14ac:dyDescent="0.25">
      <c r="A824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</row>
    <row r="825" spans="1:9" x14ac:dyDescent="0.25">
      <c r="A825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</row>
    <row r="826" spans="1:9" x14ac:dyDescent="0.25">
      <c r="A826" t="s">
        <v>87</v>
      </c>
      <c r="B826">
        <v>7172022004000100</v>
      </c>
      <c r="C826">
        <v>46</v>
      </c>
      <c r="D826">
        <v>0</v>
      </c>
      <c r="E826">
        <v>0</v>
      </c>
      <c r="F826">
        <v>1</v>
      </c>
      <c r="G826">
        <v>0</v>
      </c>
      <c r="H826">
        <v>45</v>
      </c>
      <c r="I826">
        <v>0</v>
      </c>
    </row>
    <row r="827" spans="1:9" x14ac:dyDescent="0.25">
      <c r="A827" t="s">
        <v>87</v>
      </c>
      <c r="B827">
        <v>7172022004000200</v>
      </c>
      <c r="C827">
        <v>41</v>
      </c>
      <c r="D827">
        <v>0</v>
      </c>
      <c r="E827">
        <v>2</v>
      </c>
      <c r="F827">
        <v>29</v>
      </c>
      <c r="G827">
        <v>0</v>
      </c>
      <c r="H827">
        <v>10</v>
      </c>
      <c r="I827">
        <v>0</v>
      </c>
    </row>
    <row r="828" spans="1:9" x14ac:dyDescent="0.25">
      <c r="A828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</row>
    <row r="829" spans="1:9" x14ac:dyDescent="0.25">
      <c r="A829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</row>
    <row r="830" spans="1:9" x14ac:dyDescent="0.25">
      <c r="A830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</row>
    <row r="831" spans="1:9" x14ac:dyDescent="0.25">
      <c r="A83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</row>
    <row r="832" spans="1:9" x14ac:dyDescent="0.25">
      <c r="A832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</row>
    <row r="833" spans="1:9" x14ac:dyDescent="0.25">
      <c r="A833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</row>
    <row r="834" spans="1:9" x14ac:dyDescent="0.25">
      <c r="A834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</row>
    <row r="835" spans="1:9" x14ac:dyDescent="0.25">
      <c r="A835" t="s">
        <v>240</v>
      </c>
      <c r="B835">
        <v>7172022008000100</v>
      </c>
      <c r="C835">
        <v>66</v>
      </c>
      <c r="D835">
        <v>0</v>
      </c>
      <c r="E835">
        <v>0</v>
      </c>
      <c r="F835">
        <v>35</v>
      </c>
      <c r="G835">
        <v>0</v>
      </c>
      <c r="H835">
        <v>31</v>
      </c>
      <c r="I835">
        <v>0</v>
      </c>
    </row>
    <row r="836" spans="1:9" x14ac:dyDescent="0.25">
      <c r="A836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</row>
    <row r="837" spans="1:9" x14ac:dyDescent="0.25">
      <c r="A837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</row>
    <row r="838" spans="1:9" x14ac:dyDescent="0.25">
      <c r="A838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</row>
    <row r="839" spans="1:9" x14ac:dyDescent="0.25">
      <c r="A839" t="s">
        <v>240</v>
      </c>
      <c r="B839">
        <v>7172022008000300</v>
      </c>
      <c r="C839">
        <v>56</v>
      </c>
      <c r="D839">
        <v>0</v>
      </c>
      <c r="E839">
        <v>1</v>
      </c>
      <c r="F839">
        <v>54</v>
      </c>
      <c r="G839">
        <v>0</v>
      </c>
      <c r="H839">
        <v>1</v>
      </c>
      <c r="I839">
        <v>0</v>
      </c>
    </row>
    <row r="840" spans="1:9" x14ac:dyDescent="0.25">
      <c r="A840" t="s">
        <v>240</v>
      </c>
      <c r="B840">
        <v>7172022008000200</v>
      </c>
      <c r="C840">
        <v>49</v>
      </c>
      <c r="D840">
        <v>0</v>
      </c>
      <c r="E840">
        <v>2</v>
      </c>
      <c r="F840">
        <v>17</v>
      </c>
      <c r="G840">
        <v>0</v>
      </c>
      <c r="H840">
        <v>30</v>
      </c>
      <c r="I840">
        <v>0</v>
      </c>
    </row>
    <row r="841" spans="1:9" x14ac:dyDescent="0.25">
      <c r="A84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</row>
    <row r="842" spans="1:9" x14ac:dyDescent="0.25">
      <c r="A842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</row>
    <row r="843" spans="1:9" x14ac:dyDescent="0.25">
      <c r="A843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</row>
    <row r="844" spans="1:9" x14ac:dyDescent="0.25">
      <c r="A844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</row>
    <row r="845" spans="1:9" x14ac:dyDescent="0.25">
      <c r="A845" t="s">
        <v>94</v>
      </c>
      <c r="B845">
        <v>7172030007001100</v>
      </c>
      <c r="C845">
        <v>57</v>
      </c>
      <c r="D845">
        <v>0</v>
      </c>
      <c r="E845">
        <v>5</v>
      </c>
      <c r="F845">
        <v>20</v>
      </c>
      <c r="G845">
        <v>0</v>
      </c>
      <c r="H845">
        <v>32</v>
      </c>
      <c r="I845">
        <v>0</v>
      </c>
    </row>
    <row r="846" spans="1:9" x14ac:dyDescent="0.25">
      <c r="A846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</row>
    <row r="847" spans="1:9" x14ac:dyDescent="0.25">
      <c r="A847" t="s">
        <v>94</v>
      </c>
      <c r="B847">
        <v>7172030007001200</v>
      </c>
      <c r="C847">
        <v>49</v>
      </c>
      <c r="D847">
        <v>0</v>
      </c>
      <c r="E847">
        <v>17</v>
      </c>
      <c r="F847">
        <v>29</v>
      </c>
      <c r="G847">
        <v>0</v>
      </c>
      <c r="H847">
        <v>3</v>
      </c>
      <c r="I847">
        <v>0</v>
      </c>
    </row>
    <row r="848" spans="1:9" x14ac:dyDescent="0.25">
      <c r="A848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</row>
    <row r="849" spans="1:9" x14ac:dyDescent="0.25">
      <c r="A849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</row>
    <row r="850" spans="1:9" x14ac:dyDescent="0.25">
      <c r="A850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</row>
    <row r="851" spans="1:9" x14ac:dyDescent="0.25">
      <c r="A851" t="s">
        <v>96</v>
      </c>
      <c r="B851">
        <v>7172030017000500</v>
      </c>
      <c r="C851">
        <v>85</v>
      </c>
      <c r="D851">
        <v>0</v>
      </c>
      <c r="E851">
        <v>30</v>
      </c>
      <c r="F851">
        <v>15</v>
      </c>
      <c r="G851">
        <v>0</v>
      </c>
      <c r="H851">
        <v>40</v>
      </c>
      <c r="I851">
        <v>0</v>
      </c>
    </row>
    <row r="852" spans="1:9" x14ac:dyDescent="0.25">
      <c r="A852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</row>
    <row r="853" spans="1:9" x14ac:dyDescent="0.25">
      <c r="A853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</row>
    <row r="854" spans="1:9" x14ac:dyDescent="0.25">
      <c r="A854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</row>
    <row r="855" spans="1:9" x14ac:dyDescent="0.25">
      <c r="A855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</row>
    <row r="856" spans="1:9" x14ac:dyDescent="0.25">
      <c r="A856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</row>
    <row r="857" spans="1:9" x14ac:dyDescent="0.25">
      <c r="A857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</row>
    <row r="858" spans="1:9" x14ac:dyDescent="0.25">
      <c r="A858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</row>
    <row r="859" spans="1:9" x14ac:dyDescent="0.25">
      <c r="A859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</row>
    <row r="860" spans="1:9" x14ac:dyDescent="0.25">
      <c r="A860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</row>
    <row r="861" spans="1:9" x14ac:dyDescent="0.25">
      <c r="A86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</row>
    <row r="862" spans="1:9" x14ac:dyDescent="0.25">
      <c r="A862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</row>
    <row r="863" spans="1:9" x14ac:dyDescent="0.25">
      <c r="A863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</row>
    <row r="864" spans="1:9" x14ac:dyDescent="0.25">
      <c r="A864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</row>
    <row r="865" spans="1:9" x14ac:dyDescent="0.25">
      <c r="A865" t="s">
        <v>98</v>
      </c>
      <c r="B865">
        <v>7172030012001100</v>
      </c>
      <c r="C865">
        <v>87</v>
      </c>
      <c r="D865">
        <v>0</v>
      </c>
      <c r="E865">
        <v>26</v>
      </c>
      <c r="F865">
        <v>56</v>
      </c>
      <c r="G865">
        <v>0</v>
      </c>
      <c r="H865">
        <v>5</v>
      </c>
      <c r="I865">
        <v>0</v>
      </c>
    </row>
    <row r="866" spans="1:9" x14ac:dyDescent="0.25">
      <c r="A866" t="s">
        <v>98</v>
      </c>
      <c r="B866">
        <v>7172030012000600</v>
      </c>
      <c r="C866">
        <v>81</v>
      </c>
      <c r="D866">
        <v>0</v>
      </c>
      <c r="E866">
        <v>0</v>
      </c>
      <c r="F866">
        <v>81</v>
      </c>
      <c r="G866">
        <v>0</v>
      </c>
      <c r="H866">
        <v>0</v>
      </c>
      <c r="I866">
        <v>0</v>
      </c>
    </row>
    <row r="867" spans="1:9" x14ac:dyDescent="0.25">
      <c r="A867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</row>
    <row r="868" spans="1:9" x14ac:dyDescent="0.25">
      <c r="A868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</row>
    <row r="869" spans="1:9" x14ac:dyDescent="0.25">
      <c r="A869" t="s">
        <v>98</v>
      </c>
      <c r="B869">
        <v>7172030012001500</v>
      </c>
      <c r="C869">
        <v>50</v>
      </c>
      <c r="D869">
        <v>22</v>
      </c>
      <c r="E869">
        <v>2</v>
      </c>
      <c r="F869">
        <v>9</v>
      </c>
      <c r="G869">
        <v>0</v>
      </c>
      <c r="H869">
        <v>17</v>
      </c>
      <c r="I869">
        <v>0</v>
      </c>
    </row>
    <row r="870" spans="1:9" x14ac:dyDescent="0.25">
      <c r="A870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</row>
    <row r="871" spans="1:9" x14ac:dyDescent="0.25">
      <c r="A871" t="s">
        <v>241</v>
      </c>
      <c r="B871">
        <v>7172030013000200</v>
      </c>
      <c r="C871">
        <v>85</v>
      </c>
      <c r="D871">
        <v>0</v>
      </c>
      <c r="E871">
        <v>26</v>
      </c>
      <c r="F871">
        <v>28</v>
      </c>
      <c r="G871">
        <v>0</v>
      </c>
      <c r="H871">
        <v>31</v>
      </c>
      <c r="I871">
        <v>0</v>
      </c>
    </row>
    <row r="872" spans="1:9" x14ac:dyDescent="0.25">
      <c r="A872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</row>
    <row r="873" spans="1:9" x14ac:dyDescent="0.25">
      <c r="A873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</row>
    <row r="874" spans="1:9" x14ac:dyDescent="0.25">
      <c r="A874" t="s">
        <v>241</v>
      </c>
      <c r="B874">
        <v>7172030013000400</v>
      </c>
      <c r="C874">
        <v>55</v>
      </c>
      <c r="D874">
        <v>0</v>
      </c>
      <c r="E874">
        <v>0</v>
      </c>
      <c r="F874">
        <v>34</v>
      </c>
      <c r="G874">
        <v>0</v>
      </c>
      <c r="H874">
        <v>21</v>
      </c>
      <c r="I874">
        <v>0</v>
      </c>
    </row>
    <row r="875" spans="1:9" x14ac:dyDescent="0.25">
      <c r="A875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</row>
    <row r="876" spans="1:9" x14ac:dyDescent="0.25">
      <c r="A876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</row>
    <row r="877" spans="1:9" x14ac:dyDescent="0.25">
      <c r="A877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</row>
    <row r="878" spans="1:9" x14ac:dyDescent="0.25">
      <c r="A878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</row>
    <row r="879" spans="1:9" x14ac:dyDescent="0.25">
      <c r="A879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74</v>
      </c>
      <c r="I879">
        <v>0</v>
      </c>
    </row>
    <row r="880" spans="1:9" x14ac:dyDescent="0.25">
      <c r="A880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</row>
    <row r="881" spans="1:9" x14ac:dyDescent="0.25">
      <c r="A88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2</v>
      </c>
      <c r="I881">
        <v>0</v>
      </c>
    </row>
    <row r="882" spans="1:9" x14ac:dyDescent="0.25">
      <c r="A882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</row>
    <row r="883" spans="1:9" x14ac:dyDescent="0.25">
      <c r="A883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</row>
    <row r="884" spans="1:9" x14ac:dyDescent="0.25">
      <c r="A884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</row>
    <row r="885" spans="1:9" x14ac:dyDescent="0.25">
      <c r="A885" t="s">
        <v>242</v>
      </c>
      <c r="B885">
        <v>7172030014000200</v>
      </c>
      <c r="C885">
        <v>48</v>
      </c>
      <c r="D885">
        <v>0</v>
      </c>
      <c r="E885">
        <v>0</v>
      </c>
      <c r="F885">
        <v>42</v>
      </c>
      <c r="G885">
        <v>0</v>
      </c>
      <c r="H885">
        <v>6</v>
      </c>
      <c r="I885">
        <v>0</v>
      </c>
    </row>
    <row r="886" spans="1:9" x14ac:dyDescent="0.25">
      <c r="A886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</row>
    <row r="887" spans="1:9" x14ac:dyDescent="0.25">
      <c r="A887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</row>
    <row r="888" spans="1:9" x14ac:dyDescent="0.25">
      <c r="A888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</row>
    <row r="889" spans="1:9" x14ac:dyDescent="0.25">
      <c r="A889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</row>
    <row r="890" spans="1:9" x14ac:dyDescent="0.25">
      <c r="A890" t="s">
        <v>102</v>
      </c>
      <c r="B890">
        <v>7172030014000300</v>
      </c>
      <c r="C890">
        <v>86</v>
      </c>
      <c r="D890">
        <v>1</v>
      </c>
      <c r="E890">
        <v>10</v>
      </c>
      <c r="F890">
        <v>46</v>
      </c>
      <c r="G890">
        <v>0</v>
      </c>
      <c r="H890">
        <v>29</v>
      </c>
      <c r="I890">
        <v>0</v>
      </c>
    </row>
    <row r="891" spans="1:9" x14ac:dyDescent="0.25">
      <c r="A89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</row>
    <row r="892" spans="1:9" x14ac:dyDescent="0.25">
      <c r="A892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</row>
    <row r="893" spans="1:9" x14ac:dyDescent="0.25">
      <c r="A893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</row>
    <row r="894" spans="1:9" x14ac:dyDescent="0.25">
      <c r="A894" t="s">
        <v>106</v>
      </c>
      <c r="B894">
        <v>7172030015001500</v>
      </c>
      <c r="C894">
        <v>175</v>
      </c>
      <c r="D894">
        <v>0</v>
      </c>
      <c r="E894">
        <v>12</v>
      </c>
      <c r="F894">
        <v>113</v>
      </c>
      <c r="G894">
        <v>0</v>
      </c>
      <c r="H894">
        <v>50</v>
      </c>
      <c r="I894">
        <v>0</v>
      </c>
    </row>
    <row r="895" spans="1:9" x14ac:dyDescent="0.25">
      <c r="A895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</row>
    <row r="896" spans="1:9" x14ac:dyDescent="0.25">
      <c r="A896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</row>
    <row r="897" spans="1:9" x14ac:dyDescent="0.25">
      <c r="A897" t="s">
        <v>107</v>
      </c>
      <c r="B897">
        <v>7172030017000400</v>
      </c>
      <c r="C897">
        <v>116</v>
      </c>
      <c r="D897">
        <v>2</v>
      </c>
      <c r="E897">
        <v>8</v>
      </c>
      <c r="F897">
        <v>103</v>
      </c>
      <c r="G897">
        <v>1</v>
      </c>
      <c r="H897">
        <v>2</v>
      </c>
      <c r="I897">
        <v>0</v>
      </c>
    </row>
    <row r="898" spans="1:9" x14ac:dyDescent="0.25">
      <c r="A898" t="s">
        <v>107</v>
      </c>
      <c r="B898">
        <v>7172030017000700</v>
      </c>
      <c r="C898">
        <v>100</v>
      </c>
      <c r="D898">
        <v>0</v>
      </c>
      <c r="E898">
        <v>7</v>
      </c>
      <c r="F898">
        <v>57</v>
      </c>
      <c r="G898">
        <v>1</v>
      </c>
      <c r="H898">
        <v>35</v>
      </c>
      <c r="I898">
        <v>0</v>
      </c>
    </row>
    <row r="899" spans="1:9" x14ac:dyDescent="0.25">
      <c r="A899" t="s">
        <v>107</v>
      </c>
      <c r="B899">
        <v>7172030017000600</v>
      </c>
      <c r="C899">
        <v>83</v>
      </c>
      <c r="D899">
        <v>0</v>
      </c>
      <c r="E899">
        <v>3</v>
      </c>
      <c r="F899">
        <v>76</v>
      </c>
      <c r="G899">
        <v>0</v>
      </c>
      <c r="H899">
        <v>4</v>
      </c>
      <c r="I899">
        <v>0</v>
      </c>
    </row>
    <row r="900" spans="1:9" x14ac:dyDescent="0.25">
      <c r="A900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</row>
    <row r="901" spans="1:9" x14ac:dyDescent="0.25">
      <c r="A90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</row>
    <row r="902" spans="1:9" x14ac:dyDescent="0.25">
      <c r="A902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8</v>
      </c>
      <c r="I902">
        <v>0</v>
      </c>
    </row>
    <row r="903" spans="1:9" x14ac:dyDescent="0.25">
      <c r="A903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</row>
    <row r="904" spans="1:9" x14ac:dyDescent="0.25">
      <c r="A904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</row>
    <row r="905" spans="1:9" x14ac:dyDescent="0.25">
      <c r="A905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</row>
    <row r="906" spans="1:9" x14ac:dyDescent="0.25">
      <c r="A906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</row>
    <row r="907" spans="1:9" x14ac:dyDescent="0.25">
      <c r="A907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</row>
    <row r="908" spans="1:9" x14ac:dyDescent="0.25">
      <c r="A908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</row>
    <row r="909" spans="1:9" x14ac:dyDescent="0.25">
      <c r="A909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</row>
    <row r="910" spans="1:9" x14ac:dyDescent="0.25">
      <c r="A910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</row>
    <row r="911" spans="1:9" x14ac:dyDescent="0.25">
      <c r="A91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</row>
    <row r="912" spans="1:9" x14ac:dyDescent="0.25">
      <c r="A912" t="s">
        <v>108</v>
      </c>
      <c r="B912">
        <v>7172030017001400</v>
      </c>
      <c r="C912">
        <v>73</v>
      </c>
      <c r="D912">
        <v>1</v>
      </c>
      <c r="E912">
        <v>19</v>
      </c>
      <c r="F912">
        <v>14</v>
      </c>
      <c r="G912">
        <v>0</v>
      </c>
      <c r="H912">
        <v>39</v>
      </c>
      <c r="I912">
        <v>0</v>
      </c>
    </row>
    <row r="913" spans="1:9" x14ac:dyDescent="0.25">
      <c r="A913" t="s">
        <v>108</v>
      </c>
      <c r="B913">
        <v>7172030017001600</v>
      </c>
      <c r="C913">
        <v>57</v>
      </c>
      <c r="D913">
        <v>0</v>
      </c>
      <c r="E913">
        <v>8</v>
      </c>
      <c r="F913">
        <v>49</v>
      </c>
      <c r="G913">
        <v>0</v>
      </c>
      <c r="H913">
        <v>0</v>
      </c>
      <c r="I913">
        <v>0</v>
      </c>
    </row>
    <row r="914" spans="1:9" x14ac:dyDescent="0.25">
      <c r="A914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</row>
    <row r="915" spans="1:9" x14ac:dyDescent="0.25">
      <c r="A915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</row>
    <row r="916" spans="1:9" x14ac:dyDescent="0.25">
      <c r="A916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</row>
    <row r="917" spans="1:9" x14ac:dyDescent="0.25">
      <c r="A917" t="s">
        <v>110</v>
      </c>
      <c r="B917">
        <v>7172031001001500</v>
      </c>
      <c r="C917">
        <v>92</v>
      </c>
      <c r="D917">
        <v>4</v>
      </c>
      <c r="E917">
        <v>12</v>
      </c>
      <c r="F917">
        <v>24</v>
      </c>
      <c r="G917">
        <v>0</v>
      </c>
      <c r="H917">
        <v>52</v>
      </c>
      <c r="I917">
        <v>0</v>
      </c>
    </row>
    <row r="918" spans="1:9" x14ac:dyDescent="0.25">
      <c r="A918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</row>
    <row r="919" spans="1:9" x14ac:dyDescent="0.25">
      <c r="A919" t="s">
        <v>111</v>
      </c>
      <c r="B919">
        <v>7172031002000400</v>
      </c>
      <c r="C919">
        <v>104</v>
      </c>
      <c r="D919">
        <v>39</v>
      </c>
      <c r="E919">
        <v>10</v>
      </c>
      <c r="F919">
        <v>14</v>
      </c>
      <c r="G919">
        <v>11</v>
      </c>
      <c r="H919">
        <v>30</v>
      </c>
      <c r="I919">
        <v>0</v>
      </c>
    </row>
    <row r="920" spans="1:9" x14ac:dyDescent="0.25">
      <c r="A920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</row>
    <row r="921" spans="1:9" x14ac:dyDescent="0.25">
      <c r="A92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</row>
    <row r="922" spans="1:9" x14ac:dyDescent="0.25">
      <c r="A922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</row>
    <row r="923" spans="1:9" x14ac:dyDescent="0.25">
      <c r="A923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</row>
    <row r="924" spans="1:9" x14ac:dyDescent="0.25">
      <c r="A924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</row>
    <row r="925" spans="1:9" x14ac:dyDescent="0.25">
      <c r="A925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</row>
    <row r="926" spans="1:9" x14ac:dyDescent="0.25">
      <c r="A926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0</v>
      </c>
      <c r="H926">
        <v>27</v>
      </c>
      <c r="I926">
        <v>0</v>
      </c>
    </row>
    <row r="927" spans="1:9" x14ac:dyDescent="0.25">
      <c r="A927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</row>
    <row r="928" spans="1:9" x14ac:dyDescent="0.25">
      <c r="A928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</row>
    <row r="929" spans="1:9" x14ac:dyDescent="0.25">
      <c r="A929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</row>
    <row r="930" spans="1:9" x14ac:dyDescent="0.25">
      <c r="A930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</row>
    <row r="931" spans="1:9" x14ac:dyDescent="0.25">
      <c r="A931" t="s">
        <v>112</v>
      </c>
      <c r="B931">
        <v>7172031008000800</v>
      </c>
      <c r="C931">
        <v>55</v>
      </c>
      <c r="D931">
        <v>9</v>
      </c>
      <c r="E931">
        <v>18</v>
      </c>
      <c r="F931">
        <v>27</v>
      </c>
      <c r="G931">
        <v>1</v>
      </c>
      <c r="H931">
        <v>0</v>
      </c>
      <c r="I931">
        <v>0</v>
      </c>
    </row>
    <row r="932" spans="1:9" x14ac:dyDescent="0.25">
      <c r="A932" t="s">
        <v>112</v>
      </c>
      <c r="B932">
        <v>7172031002000900</v>
      </c>
      <c r="C932">
        <v>48</v>
      </c>
      <c r="D932">
        <v>0</v>
      </c>
      <c r="E932">
        <v>0</v>
      </c>
      <c r="F932">
        <v>47</v>
      </c>
      <c r="G932">
        <v>0</v>
      </c>
      <c r="H932">
        <v>1</v>
      </c>
      <c r="I932">
        <v>0</v>
      </c>
    </row>
    <row r="933" spans="1:9" x14ac:dyDescent="0.25">
      <c r="A933" t="s">
        <v>112</v>
      </c>
      <c r="B933">
        <v>7172031008001500</v>
      </c>
      <c r="C933">
        <v>29</v>
      </c>
      <c r="D933">
        <v>15</v>
      </c>
      <c r="E933">
        <v>6</v>
      </c>
      <c r="F933">
        <v>4</v>
      </c>
      <c r="G933">
        <v>0</v>
      </c>
      <c r="H933">
        <v>4</v>
      </c>
      <c r="I933">
        <v>0</v>
      </c>
    </row>
    <row r="934" spans="1:9" x14ac:dyDescent="0.25">
      <c r="A934" t="s">
        <v>115</v>
      </c>
      <c r="B934">
        <v>7172031003002000</v>
      </c>
      <c r="C934">
        <v>186</v>
      </c>
      <c r="D934">
        <v>15</v>
      </c>
      <c r="E934">
        <v>3</v>
      </c>
      <c r="F934">
        <v>104</v>
      </c>
      <c r="G934">
        <v>0</v>
      </c>
      <c r="H934">
        <v>64</v>
      </c>
      <c r="I934">
        <v>0</v>
      </c>
    </row>
    <row r="935" spans="1:9" x14ac:dyDescent="0.25">
      <c r="A935" t="s">
        <v>115</v>
      </c>
      <c r="B935">
        <v>7172031003001700</v>
      </c>
      <c r="C935">
        <v>135</v>
      </c>
      <c r="D935">
        <v>1</v>
      </c>
      <c r="E935">
        <v>0</v>
      </c>
      <c r="F935">
        <v>134</v>
      </c>
      <c r="G935">
        <v>0</v>
      </c>
      <c r="H935">
        <v>0</v>
      </c>
      <c r="I935">
        <v>0</v>
      </c>
    </row>
    <row r="936" spans="1:9" x14ac:dyDescent="0.25">
      <c r="A936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</row>
    <row r="937" spans="1:9" x14ac:dyDescent="0.25">
      <c r="A937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</row>
    <row r="938" spans="1:9" x14ac:dyDescent="0.25">
      <c r="A938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</row>
    <row r="939" spans="1:9" x14ac:dyDescent="0.25">
      <c r="A939" t="s">
        <v>243</v>
      </c>
      <c r="B939">
        <v>7172031003001800</v>
      </c>
      <c r="C939">
        <v>144</v>
      </c>
      <c r="D939">
        <v>95</v>
      </c>
      <c r="E939">
        <v>0</v>
      </c>
      <c r="F939">
        <v>14</v>
      </c>
      <c r="G939">
        <v>1</v>
      </c>
      <c r="H939">
        <v>34</v>
      </c>
      <c r="I939">
        <v>0</v>
      </c>
    </row>
    <row r="940" spans="1:9" x14ac:dyDescent="0.25">
      <c r="A940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</row>
    <row r="941" spans="1:9" x14ac:dyDescent="0.25">
      <c r="A94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</row>
    <row r="942" spans="1:9" x14ac:dyDescent="0.25">
      <c r="A942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</row>
    <row r="943" spans="1:9" x14ac:dyDescent="0.25">
      <c r="A943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</row>
    <row r="944" spans="1:9" x14ac:dyDescent="0.25">
      <c r="A944" t="s">
        <v>243</v>
      </c>
      <c r="B944">
        <v>7172031003002200</v>
      </c>
      <c r="C944">
        <v>60</v>
      </c>
      <c r="D944">
        <v>1</v>
      </c>
      <c r="E944">
        <v>0</v>
      </c>
      <c r="F944">
        <v>59</v>
      </c>
      <c r="G944">
        <v>0</v>
      </c>
      <c r="H944">
        <v>0</v>
      </c>
      <c r="I944">
        <v>0</v>
      </c>
    </row>
    <row r="945" spans="1:9" x14ac:dyDescent="0.25">
      <c r="A945" t="s">
        <v>243</v>
      </c>
      <c r="B945">
        <v>7172031003002400</v>
      </c>
      <c r="C945">
        <v>59</v>
      </c>
      <c r="D945">
        <v>0</v>
      </c>
      <c r="E945">
        <v>0</v>
      </c>
      <c r="F945">
        <v>49</v>
      </c>
      <c r="G945">
        <v>0</v>
      </c>
      <c r="H945">
        <v>10</v>
      </c>
      <c r="I945">
        <v>0</v>
      </c>
    </row>
    <row r="946" spans="1:9" x14ac:dyDescent="0.25">
      <c r="A946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</row>
    <row r="947" spans="1:9" x14ac:dyDescent="0.25">
      <c r="A947" t="s">
        <v>117</v>
      </c>
      <c r="B947">
        <v>7172031004000900</v>
      </c>
      <c r="C947">
        <v>76</v>
      </c>
      <c r="D947">
        <v>31</v>
      </c>
      <c r="E947">
        <v>36</v>
      </c>
      <c r="F947">
        <v>4</v>
      </c>
      <c r="G947">
        <v>5</v>
      </c>
      <c r="H947">
        <v>0</v>
      </c>
      <c r="I947">
        <v>0</v>
      </c>
    </row>
    <row r="948" spans="1:9" x14ac:dyDescent="0.25">
      <c r="A948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</row>
    <row r="949" spans="1:9" x14ac:dyDescent="0.25">
      <c r="A949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</row>
    <row r="950" spans="1:9" x14ac:dyDescent="0.25">
      <c r="A950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</row>
    <row r="951" spans="1:9" x14ac:dyDescent="0.25">
      <c r="A95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</row>
    <row r="952" spans="1:9" x14ac:dyDescent="0.25">
      <c r="A952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</row>
    <row r="953" spans="1:9" x14ac:dyDescent="0.25">
      <c r="A953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</row>
    <row r="954" spans="1:9" x14ac:dyDescent="0.25">
      <c r="A954" t="s">
        <v>117</v>
      </c>
      <c r="B954">
        <v>7172031004000500</v>
      </c>
      <c r="C954">
        <v>38</v>
      </c>
      <c r="D954">
        <v>0</v>
      </c>
      <c r="E954">
        <v>9</v>
      </c>
      <c r="F954">
        <v>29</v>
      </c>
      <c r="G954">
        <v>0</v>
      </c>
      <c r="H954">
        <v>0</v>
      </c>
      <c r="I954">
        <v>0</v>
      </c>
    </row>
    <row r="955" spans="1:9" x14ac:dyDescent="0.25">
      <c r="A955" t="s">
        <v>117</v>
      </c>
      <c r="B955">
        <v>7172031004000600</v>
      </c>
      <c r="C955">
        <v>36</v>
      </c>
      <c r="D955">
        <v>0</v>
      </c>
      <c r="E955">
        <v>0</v>
      </c>
      <c r="F955">
        <v>36</v>
      </c>
      <c r="G955">
        <v>0</v>
      </c>
      <c r="H955">
        <v>0</v>
      </c>
      <c r="I955">
        <v>0</v>
      </c>
    </row>
    <row r="956" spans="1:9" x14ac:dyDescent="0.25">
      <c r="A956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</row>
    <row r="957" spans="1:9" x14ac:dyDescent="0.25">
      <c r="A957" t="s">
        <v>120</v>
      </c>
      <c r="B957">
        <v>7172031006000101</v>
      </c>
      <c r="C957">
        <v>198</v>
      </c>
      <c r="D957">
        <v>2</v>
      </c>
      <c r="E957">
        <v>18</v>
      </c>
      <c r="F957">
        <v>135</v>
      </c>
      <c r="G957">
        <v>21</v>
      </c>
      <c r="H957">
        <v>22</v>
      </c>
      <c r="I957">
        <v>0</v>
      </c>
    </row>
    <row r="958" spans="1:9" x14ac:dyDescent="0.25">
      <c r="A958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</row>
    <row r="959" spans="1:9" x14ac:dyDescent="0.25">
      <c r="A959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</row>
    <row r="960" spans="1:9" x14ac:dyDescent="0.25">
      <c r="A960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</row>
    <row r="961" spans="1:9" x14ac:dyDescent="0.25">
      <c r="A96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</row>
    <row r="962" spans="1:9" x14ac:dyDescent="0.25">
      <c r="A962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</row>
    <row r="963" spans="1:9" x14ac:dyDescent="0.25">
      <c r="A963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</row>
    <row r="964" spans="1:9" x14ac:dyDescent="0.25">
      <c r="A964" t="s">
        <v>122</v>
      </c>
      <c r="B964">
        <v>7172031006001300</v>
      </c>
      <c r="C964">
        <v>114</v>
      </c>
      <c r="D964">
        <v>3</v>
      </c>
      <c r="E964">
        <v>25</v>
      </c>
      <c r="F964">
        <v>57</v>
      </c>
      <c r="G964">
        <v>0</v>
      </c>
      <c r="H964">
        <v>29</v>
      </c>
      <c r="I964">
        <v>0</v>
      </c>
    </row>
    <row r="965" spans="1:9" x14ac:dyDescent="0.25">
      <c r="A965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</row>
    <row r="966" spans="1:9" x14ac:dyDescent="0.25">
      <c r="A966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</row>
    <row r="967" spans="1:9" x14ac:dyDescent="0.25">
      <c r="A967" t="s">
        <v>124</v>
      </c>
      <c r="B967">
        <v>7172031006001400</v>
      </c>
      <c r="C967">
        <v>177</v>
      </c>
      <c r="D967">
        <v>37</v>
      </c>
      <c r="E967">
        <v>66</v>
      </c>
      <c r="F967">
        <v>2</v>
      </c>
      <c r="G967">
        <v>0</v>
      </c>
      <c r="H967">
        <v>72</v>
      </c>
      <c r="I967">
        <v>0</v>
      </c>
    </row>
    <row r="968" spans="1:9" x14ac:dyDescent="0.25">
      <c r="A968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</row>
    <row r="969" spans="1:9" x14ac:dyDescent="0.25">
      <c r="A969" t="s">
        <v>124</v>
      </c>
      <c r="B969">
        <v>7172031006001700</v>
      </c>
      <c r="C969">
        <v>121</v>
      </c>
      <c r="D969">
        <v>0</v>
      </c>
      <c r="E969">
        <v>3</v>
      </c>
      <c r="F969">
        <v>118</v>
      </c>
      <c r="G969">
        <v>0</v>
      </c>
      <c r="H969">
        <v>0</v>
      </c>
      <c r="I969">
        <v>0</v>
      </c>
    </row>
    <row r="970" spans="1:9" x14ac:dyDescent="0.25">
      <c r="A970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</row>
    <row r="971" spans="1:9" x14ac:dyDescent="0.25">
      <c r="A97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</row>
    <row r="972" spans="1:9" x14ac:dyDescent="0.25">
      <c r="A972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</row>
    <row r="973" spans="1:9" x14ac:dyDescent="0.25">
      <c r="A973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</row>
    <row r="974" spans="1:9" x14ac:dyDescent="0.25">
      <c r="A974" t="s">
        <v>127</v>
      </c>
      <c r="B974">
        <v>7172031007001000</v>
      </c>
      <c r="C974">
        <v>101</v>
      </c>
      <c r="D974">
        <v>24</v>
      </c>
      <c r="E974">
        <v>4</v>
      </c>
      <c r="F974">
        <v>20</v>
      </c>
      <c r="G974">
        <v>5</v>
      </c>
      <c r="H974">
        <v>48</v>
      </c>
      <c r="I974">
        <v>0</v>
      </c>
    </row>
    <row r="975" spans="1:9" x14ac:dyDescent="0.25">
      <c r="A975" t="s">
        <v>127</v>
      </c>
      <c r="B975">
        <v>7172031007001200</v>
      </c>
      <c r="C975">
        <v>91</v>
      </c>
      <c r="D975">
        <v>0</v>
      </c>
      <c r="E975">
        <v>12</v>
      </c>
      <c r="F975">
        <v>68</v>
      </c>
      <c r="G975">
        <v>0</v>
      </c>
      <c r="H975">
        <v>11</v>
      </c>
      <c r="I975">
        <v>0</v>
      </c>
    </row>
    <row r="976" spans="1:9" x14ac:dyDescent="0.25">
      <c r="A976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</row>
    <row r="977" spans="1:9" x14ac:dyDescent="0.25">
      <c r="A977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</row>
    <row r="978" spans="1:9" x14ac:dyDescent="0.25">
      <c r="A978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</row>
    <row r="979" spans="1:9" x14ac:dyDescent="0.25">
      <c r="A979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2</v>
      </c>
      <c r="I979">
        <v>0</v>
      </c>
    </row>
    <row r="980" spans="1:9" x14ac:dyDescent="0.25">
      <c r="A980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</row>
    <row r="981" spans="1:9" x14ac:dyDescent="0.25">
      <c r="A981" t="s">
        <v>129</v>
      </c>
      <c r="B981">
        <v>7172031008000300</v>
      </c>
      <c r="C981">
        <v>75</v>
      </c>
      <c r="D981">
        <v>0</v>
      </c>
      <c r="E981">
        <v>1</v>
      </c>
      <c r="F981">
        <v>73</v>
      </c>
      <c r="G981">
        <v>1</v>
      </c>
      <c r="H981">
        <v>0</v>
      </c>
      <c r="I981">
        <v>0</v>
      </c>
    </row>
    <row r="982" spans="1:9" x14ac:dyDescent="0.25">
      <c r="A982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</row>
    <row r="983" spans="1:9" x14ac:dyDescent="0.25">
      <c r="A983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</row>
    <row r="984" spans="1:9" x14ac:dyDescent="0.25">
      <c r="A984" t="s">
        <v>129</v>
      </c>
      <c r="B984">
        <v>7172031008000600</v>
      </c>
      <c r="C984">
        <v>46</v>
      </c>
      <c r="D984">
        <v>17</v>
      </c>
      <c r="E984">
        <v>17</v>
      </c>
      <c r="F984">
        <v>6</v>
      </c>
      <c r="G984">
        <v>0</v>
      </c>
      <c r="H984">
        <v>6</v>
      </c>
      <c r="I984">
        <v>0</v>
      </c>
    </row>
    <row r="985" spans="1:9" x14ac:dyDescent="0.25">
      <c r="A985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</row>
    <row r="986" spans="1:9" x14ac:dyDescent="0.25">
      <c r="A986" t="s">
        <v>129</v>
      </c>
      <c r="B986">
        <v>7172031008000700</v>
      </c>
      <c r="C986">
        <v>25</v>
      </c>
      <c r="D986">
        <v>22</v>
      </c>
      <c r="E986">
        <v>0</v>
      </c>
      <c r="F986">
        <v>0</v>
      </c>
      <c r="G986">
        <v>0</v>
      </c>
      <c r="H986">
        <v>3</v>
      </c>
      <c r="I986">
        <v>0</v>
      </c>
    </row>
    <row r="987" spans="1:9" x14ac:dyDescent="0.25">
      <c r="A987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</row>
    <row r="988" spans="1:9" x14ac:dyDescent="0.25">
      <c r="A988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</row>
    <row r="989" spans="1:9" x14ac:dyDescent="0.25">
      <c r="A989" t="s">
        <v>130</v>
      </c>
      <c r="B989">
        <v>7172040009000500</v>
      </c>
      <c r="C989">
        <v>80</v>
      </c>
      <c r="D989">
        <v>0</v>
      </c>
      <c r="E989">
        <v>3</v>
      </c>
      <c r="F989">
        <v>71</v>
      </c>
      <c r="G989">
        <v>0</v>
      </c>
      <c r="H989">
        <v>6</v>
      </c>
      <c r="I989">
        <v>0</v>
      </c>
    </row>
    <row r="990" spans="1:9" x14ac:dyDescent="0.25">
      <c r="A990" t="s">
        <v>130</v>
      </c>
      <c r="B990">
        <v>7172040009000600</v>
      </c>
      <c r="C990">
        <v>77</v>
      </c>
      <c r="D990">
        <v>0</v>
      </c>
      <c r="E990">
        <v>17</v>
      </c>
      <c r="F990">
        <v>23</v>
      </c>
      <c r="G990">
        <v>2</v>
      </c>
      <c r="H990">
        <v>35</v>
      </c>
      <c r="I990">
        <v>0</v>
      </c>
    </row>
    <row r="991" spans="1:9" x14ac:dyDescent="0.25">
      <c r="A99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</row>
    <row r="992" spans="1:9" x14ac:dyDescent="0.25">
      <c r="A992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</row>
    <row r="993" spans="1:9" x14ac:dyDescent="0.25">
      <c r="A993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</row>
    <row r="994" spans="1:9" x14ac:dyDescent="0.25">
      <c r="A994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</row>
    <row r="995" spans="1:9" x14ac:dyDescent="0.25">
      <c r="A995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</row>
    <row r="996" spans="1:9" x14ac:dyDescent="0.25">
      <c r="A996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</row>
    <row r="997" spans="1:9" x14ac:dyDescent="0.25">
      <c r="A997" t="s">
        <v>132</v>
      </c>
      <c r="B997">
        <v>7172040003000601</v>
      </c>
      <c r="C997">
        <v>179</v>
      </c>
      <c r="D997">
        <v>54</v>
      </c>
      <c r="E997">
        <v>13</v>
      </c>
      <c r="F997">
        <v>106</v>
      </c>
      <c r="G997">
        <v>4</v>
      </c>
      <c r="H997">
        <v>2</v>
      </c>
      <c r="I997">
        <v>0</v>
      </c>
    </row>
    <row r="998" spans="1:9" x14ac:dyDescent="0.25">
      <c r="A998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</row>
    <row r="999" spans="1:9" x14ac:dyDescent="0.25">
      <c r="A999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</row>
    <row r="1000" spans="1:9" x14ac:dyDescent="0.25">
      <c r="A1000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</row>
    <row r="1001" spans="1:9" x14ac:dyDescent="0.25">
      <c r="A100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</row>
    <row r="1002" spans="1:9" x14ac:dyDescent="0.25">
      <c r="A1002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</row>
    <row r="1003" spans="1:9" x14ac:dyDescent="0.25">
      <c r="A1003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</row>
    <row r="1004" spans="1:9" x14ac:dyDescent="0.25">
      <c r="A1004" t="s">
        <v>133</v>
      </c>
      <c r="B1004">
        <v>7172040003000602</v>
      </c>
      <c r="C1004">
        <v>94</v>
      </c>
      <c r="D1004">
        <v>4</v>
      </c>
      <c r="E1004">
        <v>1</v>
      </c>
      <c r="F1004">
        <v>33</v>
      </c>
      <c r="G1004">
        <v>0</v>
      </c>
      <c r="H1004">
        <v>55</v>
      </c>
      <c r="I1004">
        <v>1</v>
      </c>
    </row>
    <row r="1005" spans="1:9" x14ac:dyDescent="0.25">
      <c r="A1005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1</v>
      </c>
      <c r="I1005">
        <v>0</v>
      </c>
    </row>
    <row r="1006" spans="1:9" x14ac:dyDescent="0.25">
      <c r="A1006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</row>
    <row r="1007" spans="1:9" x14ac:dyDescent="0.25">
      <c r="A1007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</row>
    <row r="1008" spans="1:9" x14ac:dyDescent="0.25">
      <c r="A1008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</row>
    <row r="1009" spans="1:9" x14ac:dyDescent="0.25">
      <c r="A1009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</row>
    <row r="1010" spans="1:9" x14ac:dyDescent="0.25">
      <c r="A1010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</row>
    <row r="1011" spans="1:9" x14ac:dyDescent="0.25">
      <c r="A101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</row>
    <row r="1012" spans="1:9" x14ac:dyDescent="0.25">
      <c r="A1012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</row>
    <row r="1013" spans="1:9" x14ac:dyDescent="0.25">
      <c r="A1013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8</v>
      </c>
      <c r="I1013">
        <v>0</v>
      </c>
    </row>
    <row r="1014" spans="1:9" x14ac:dyDescent="0.25">
      <c r="A1014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</row>
    <row r="1015" spans="1:9" x14ac:dyDescent="0.25">
      <c r="A1015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</row>
    <row r="1016" spans="1:9" x14ac:dyDescent="0.25">
      <c r="A1016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</row>
    <row r="1017" spans="1:9" x14ac:dyDescent="0.25">
      <c r="A1017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</row>
    <row r="1018" spans="1:9" x14ac:dyDescent="0.25">
      <c r="A1018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</row>
    <row r="1019" spans="1:9" x14ac:dyDescent="0.25">
      <c r="A1019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</row>
    <row r="1020" spans="1:9" x14ac:dyDescent="0.25">
      <c r="A1020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</row>
    <row r="1021" spans="1:9" x14ac:dyDescent="0.25">
      <c r="A1021" t="s">
        <v>136</v>
      </c>
      <c r="B1021">
        <v>7172040008000300</v>
      </c>
      <c r="C1021">
        <v>46</v>
      </c>
      <c r="D1021">
        <v>0</v>
      </c>
      <c r="E1021">
        <v>14</v>
      </c>
      <c r="F1021">
        <v>29</v>
      </c>
      <c r="G1021">
        <v>0</v>
      </c>
      <c r="H1021">
        <v>3</v>
      </c>
      <c r="I1021">
        <v>0</v>
      </c>
    </row>
    <row r="1022" spans="1:9" x14ac:dyDescent="0.25">
      <c r="A1022" t="s">
        <v>136</v>
      </c>
      <c r="B1022">
        <v>7172040004000400</v>
      </c>
      <c r="C1022">
        <v>42</v>
      </c>
      <c r="D1022">
        <v>0</v>
      </c>
      <c r="E1022">
        <v>4</v>
      </c>
      <c r="F1022">
        <v>33</v>
      </c>
      <c r="G1022">
        <v>3</v>
      </c>
      <c r="H1022">
        <v>2</v>
      </c>
      <c r="I1022">
        <v>0</v>
      </c>
    </row>
    <row r="1023" spans="1:9" x14ac:dyDescent="0.25">
      <c r="A1023" t="s">
        <v>136</v>
      </c>
      <c r="B1023">
        <v>7172040008000100</v>
      </c>
      <c r="C1023">
        <v>39</v>
      </c>
      <c r="D1023">
        <v>0</v>
      </c>
      <c r="E1023">
        <v>14</v>
      </c>
      <c r="F1023">
        <v>1</v>
      </c>
      <c r="G1023">
        <v>1</v>
      </c>
      <c r="H1023">
        <v>23</v>
      </c>
      <c r="I1023">
        <v>0</v>
      </c>
    </row>
    <row r="1024" spans="1:9" x14ac:dyDescent="0.25">
      <c r="A1024" t="s">
        <v>136</v>
      </c>
      <c r="B1024">
        <v>7172040008000400</v>
      </c>
      <c r="C1024">
        <v>32</v>
      </c>
      <c r="D1024">
        <v>0</v>
      </c>
      <c r="E1024">
        <v>0</v>
      </c>
      <c r="F1024">
        <v>31</v>
      </c>
      <c r="G1024">
        <v>0</v>
      </c>
      <c r="H1024">
        <v>1</v>
      </c>
      <c r="I1024">
        <v>0</v>
      </c>
    </row>
    <row r="1025" spans="1:9" x14ac:dyDescent="0.25">
      <c r="A1025" t="s">
        <v>139</v>
      </c>
      <c r="B1025">
        <v>7172040006000100</v>
      </c>
      <c r="C1025">
        <v>86</v>
      </c>
      <c r="D1025">
        <v>0</v>
      </c>
      <c r="E1025">
        <v>4</v>
      </c>
      <c r="F1025">
        <v>48</v>
      </c>
      <c r="G1025">
        <v>0</v>
      </c>
      <c r="H1025">
        <v>34</v>
      </c>
      <c r="I1025">
        <v>0</v>
      </c>
    </row>
    <row r="1026" spans="1:9" x14ac:dyDescent="0.25">
      <c r="A1026" t="s">
        <v>139</v>
      </c>
      <c r="B1026">
        <v>7172040006000500</v>
      </c>
      <c r="C1026">
        <v>83</v>
      </c>
      <c r="D1026">
        <v>0</v>
      </c>
      <c r="E1026">
        <v>1</v>
      </c>
      <c r="F1026">
        <v>82</v>
      </c>
      <c r="G1026">
        <v>0</v>
      </c>
      <c r="H1026">
        <v>0</v>
      </c>
      <c r="I1026">
        <v>0</v>
      </c>
    </row>
    <row r="1027" spans="1:9" x14ac:dyDescent="0.25">
      <c r="A1027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</row>
    <row r="1028" spans="1:9" x14ac:dyDescent="0.25">
      <c r="A1028" t="s">
        <v>139</v>
      </c>
      <c r="B1028">
        <v>7172040006000200</v>
      </c>
      <c r="C1028">
        <v>61</v>
      </c>
      <c r="D1028">
        <v>0</v>
      </c>
      <c r="E1028">
        <v>0</v>
      </c>
      <c r="F1028">
        <v>59</v>
      </c>
      <c r="G1028">
        <v>0</v>
      </c>
      <c r="H1028">
        <v>2</v>
      </c>
      <c r="I1028">
        <v>0</v>
      </c>
    </row>
    <row r="1029" spans="1:9" x14ac:dyDescent="0.25">
      <c r="A1029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</row>
    <row r="1030" spans="1:9" x14ac:dyDescent="0.25">
      <c r="A1030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</row>
    <row r="1031" spans="1:9" x14ac:dyDescent="0.25">
      <c r="A103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</row>
    <row r="1032" spans="1:9" x14ac:dyDescent="0.25">
      <c r="A1032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</row>
    <row r="1033" spans="1:9" x14ac:dyDescent="0.25">
      <c r="A1033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</row>
    <row r="1034" spans="1:9" x14ac:dyDescent="0.25">
      <c r="A1034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58</v>
      </c>
      <c r="G1034">
        <v>0</v>
      </c>
      <c r="H1034">
        <v>5</v>
      </c>
      <c r="I1034">
        <v>0</v>
      </c>
    </row>
    <row r="1035" spans="1:9" x14ac:dyDescent="0.25">
      <c r="A1035" t="s">
        <v>140</v>
      </c>
      <c r="B1035">
        <v>7172040012000200</v>
      </c>
      <c r="C1035">
        <v>75</v>
      </c>
      <c r="D1035">
        <v>1</v>
      </c>
      <c r="E1035">
        <v>10</v>
      </c>
      <c r="F1035">
        <v>3</v>
      </c>
      <c r="G1035">
        <v>3</v>
      </c>
      <c r="H1035">
        <v>58</v>
      </c>
      <c r="I1035">
        <v>0</v>
      </c>
    </row>
    <row r="1036" spans="1:9" x14ac:dyDescent="0.25">
      <c r="A1036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</row>
    <row r="1037" spans="1:9" x14ac:dyDescent="0.25">
      <c r="A1037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</row>
    <row r="1038" spans="1:9" x14ac:dyDescent="0.25">
      <c r="A1038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</row>
    <row r="1039" spans="1:9" x14ac:dyDescent="0.25">
      <c r="A1039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</row>
    <row r="1040" spans="1:9" x14ac:dyDescent="0.25">
      <c r="A1040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</row>
    <row r="1041" spans="1:9" x14ac:dyDescent="0.25">
      <c r="A104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</row>
    <row r="1042" spans="1:9" x14ac:dyDescent="0.25">
      <c r="A1042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</row>
    <row r="1043" spans="1:9" x14ac:dyDescent="0.25">
      <c r="A1043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</row>
    <row r="1044" spans="1:9" x14ac:dyDescent="0.25">
      <c r="A1044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</row>
    <row r="1045" spans="1:9" x14ac:dyDescent="0.25">
      <c r="A1045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</row>
    <row r="1046" spans="1:9" x14ac:dyDescent="0.25">
      <c r="A1046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</row>
    <row r="1047" spans="1:9" x14ac:dyDescent="0.25">
      <c r="A1047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</row>
    <row r="1048" spans="1:9" x14ac:dyDescent="0.25">
      <c r="A1048" t="s">
        <v>118</v>
      </c>
      <c r="B1048">
        <v>7172031004001300</v>
      </c>
      <c r="C1048">
        <v>63</v>
      </c>
      <c r="D1048">
        <v>8</v>
      </c>
      <c r="E1048">
        <v>0</v>
      </c>
      <c r="F1048">
        <v>54</v>
      </c>
      <c r="G1048">
        <v>0</v>
      </c>
      <c r="H1048">
        <v>1</v>
      </c>
      <c r="I1048">
        <v>0</v>
      </c>
    </row>
    <row r="1049" spans="1:9" x14ac:dyDescent="0.25">
      <c r="A1049" t="s">
        <v>118</v>
      </c>
      <c r="B1049">
        <v>7172031004001200</v>
      </c>
      <c r="C1049">
        <v>57</v>
      </c>
      <c r="D1049">
        <v>29</v>
      </c>
      <c r="E1049">
        <v>4</v>
      </c>
      <c r="F1049">
        <v>23</v>
      </c>
      <c r="G1049">
        <v>0</v>
      </c>
      <c r="H1049">
        <v>1</v>
      </c>
      <c r="I1049">
        <v>0</v>
      </c>
    </row>
    <row r="1050" spans="1:9" x14ac:dyDescent="0.25">
      <c r="A1050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</row>
    <row r="1051" spans="1:9" x14ac:dyDescent="0.25">
      <c r="A105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</row>
    <row r="1052" spans="1:9" x14ac:dyDescent="0.25">
      <c r="A1052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</row>
    <row r="1053" spans="1:9" x14ac:dyDescent="0.25">
      <c r="A1053" t="s">
        <v>36</v>
      </c>
      <c r="B1053">
        <v>7172011003002401</v>
      </c>
      <c r="C1053">
        <v>159</v>
      </c>
      <c r="D1053">
        <v>0</v>
      </c>
      <c r="E1053">
        <v>7</v>
      </c>
      <c r="F1053">
        <v>119</v>
      </c>
      <c r="G1053">
        <v>0</v>
      </c>
      <c r="H1053">
        <v>33</v>
      </c>
      <c r="I1053">
        <v>0</v>
      </c>
    </row>
    <row r="1054" spans="1:9" x14ac:dyDescent="0.25">
      <c r="A1054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</row>
    <row r="1055" spans="1:9" x14ac:dyDescent="0.25">
      <c r="A1055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11</v>
      </c>
      <c r="I1055">
        <v>0</v>
      </c>
    </row>
    <row r="1056" spans="1:9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</row>
    <row r="1057" spans="1:9" x14ac:dyDescent="0.25">
      <c r="A1057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</row>
    <row r="1058" spans="1:9" x14ac:dyDescent="0.25">
      <c r="A1058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34" workbookViewId="0">
      <selection activeCell="I1040" sqref="I1040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102</v>
      </c>
      <c r="D2">
        <v>0</v>
      </c>
      <c r="E2">
        <v>13</v>
      </c>
      <c r="F2">
        <v>21</v>
      </c>
      <c r="G2">
        <v>0</v>
      </c>
      <c r="H2">
        <v>0</v>
      </c>
      <c r="I2">
        <v>68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68</v>
      </c>
      <c r="D13">
        <v>0</v>
      </c>
      <c r="E13">
        <v>2</v>
      </c>
      <c r="F13">
        <v>39</v>
      </c>
      <c r="G13">
        <v>0</v>
      </c>
      <c r="H13">
        <v>0</v>
      </c>
      <c r="I13">
        <v>27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3</v>
      </c>
      <c r="F16">
        <v>1</v>
      </c>
      <c r="G16">
        <v>0</v>
      </c>
      <c r="H16">
        <v>0</v>
      </c>
      <c r="I16">
        <v>36</v>
      </c>
      <c r="J16">
        <v>0</v>
      </c>
    </row>
    <row r="17" spans="1:10" x14ac:dyDescent="0.25">
      <c r="A17" t="s">
        <v>13</v>
      </c>
      <c r="B17">
        <v>7172010010002100</v>
      </c>
      <c r="C17">
        <v>83</v>
      </c>
      <c r="D17">
        <v>9</v>
      </c>
      <c r="E17">
        <v>2</v>
      </c>
      <c r="F17">
        <v>8</v>
      </c>
      <c r="G17">
        <v>0</v>
      </c>
      <c r="H17">
        <v>0</v>
      </c>
      <c r="I17">
        <v>64</v>
      </c>
      <c r="J17">
        <v>0</v>
      </c>
    </row>
    <row r="18" spans="1:10" x14ac:dyDescent="0.25">
      <c r="A18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69</v>
      </c>
      <c r="D19">
        <v>0</v>
      </c>
      <c r="E19">
        <v>2</v>
      </c>
      <c r="F19">
        <v>45</v>
      </c>
      <c r="G19">
        <v>0</v>
      </c>
      <c r="H19">
        <v>0</v>
      </c>
      <c r="I19">
        <v>22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0</v>
      </c>
      <c r="I39">
        <v>30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0</v>
      </c>
      <c r="E40">
        <v>0</v>
      </c>
      <c r="F40">
        <v>1</v>
      </c>
      <c r="G40">
        <v>0</v>
      </c>
      <c r="H40">
        <v>0</v>
      </c>
      <c r="I40">
        <v>29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7172010015003400</v>
      </c>
      <c r="C43">
        <v>179</v>
      </c>
      <c r="D43">
        <v>3</v>
      </c>
      <c r="E43">
        <v>11</v>
      </c>
      <c r="F43">
        <v>96</v>
      </c>
      <c r="G43">
        <v>2</v>
      </c>
      <c r="H43">
        <v>0</v>
      </c>
      <c r="I43">
        <v>67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60</v>
      </c>
      <c r="D53">
        <v>0</v>
      </c>
      <c r="E53">
        <v>10</v>
      </c>
      <c r="F53">
        <v>29</v>
      </c>
      <c r="G53">
        <v>0</v>
      </c>
      <c r="H53">
        <v>0</v>
      </c>
      <c r="I53">
        <v>21</v>
      </c>
      <c r="J53">
        <v>0</v>
      </c>
    </row>
    <row r="54" spans="1:10" x14ac:dyDescent="0.25">
      <c r="A54" t="s">
        <v>20</v>
      </c>
      <c r="B54">
        <v>7172010016002100</v>
      </c>
      <c r="C54">
        <v>56</v>
      </c>
      <c r="D54">
        <v>0</v>
      </c>
      <c r="E54">
        <v>0</v>
      </c>
      <c r="F54">
        <v>56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7172010016002000</v>
      </c>
      <c r="C55">
        <v>55</v>
      </c>
      <c r="D55">
        <v>0</v>
      </c>
      <c r="E55">
        <v>0</v>
      </c>
      <c r="F55">
        <v>55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136</v>
      </c>
      <c r="D59">
        <v>4</v>
      </c>
      <c r="E59">
        <v>5</v>
      </c>
      <c r="F59">
        <v>23</v>
      </c>
      <c r="G59">
        <v>19</v>
      </c>
      <c r="H59">
        <v>0</v>
      </c>
      <c r="I59">
        <v>85</v>
      </c>
      <c r="J59">
        <v>0</v>
      </c>
    </row>
    <row r="60" spans="1:10" x14ac:dyDescent="0.25">
      <c r="A60" t="s">
        <v>18</v>
      </c>
      <c r="B60">
        <v>7172010017001800</v>
      </c>
      <c r="C60">
        <v>84</v>
      </c>
      <c r="D60">
        <v>0</v>
      </c>
      <c r="E60">
        <v>1</v>
      </c>
      <c r="F60">
        <v>74</v>
      </c>
      <c r="G60">
        <v>0</v>
      </c>
      <c r="H60">
        <v>0</v>
      </c>
      <c r="I60">
        <v>9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1</v>
      </c>
      <c r="E68">
        <v>0</v>
      </c>
      <c r="F68">
        <v>63</v>
      </c>
      <c r="G68">
        <v>2</v>
      </c>
      <c r="H68">
        <v>0</v>
      </c>
      <c r="I68">
        <v>72</v>
      </c>
      <c r="J68">
        <v>0</v>
      </c>
    </row>
    <row r="69" spans="1:10" x14ac:dyDescent="0.25">
      <c r="A69" t="s">
        <v>22</v>
      </c>
      <c r="B69">
        <v>7172010015002500</v>
      </c>
      <c r="C69">
        <v>100</v>
      </c>
      <c r="D69">
        <v>0</v>
      </c>
      <c r="E69">
        <v>3</v>
      </c>
      <c r="F69">
        <v>74</v>
      </c>
      <c r="G69">
        <v>0</v>
      </c>
      <c r="H69">
        <v>0</v>
      </c>
      <c r="I69">
        <v>23</v>
      </c>
      <c r="J69">
        <v>0</v>
      </c>
    </row>
    <row r="70" spans="1:10" x14ac:dyDescent="0.25">
      <c r="A70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96</v>
      </c>
      <c r="D76">
        <v>2</v>
      </c>
      <c r="E76">
        <v>23</v>
      </c>
      <c r="F76">
        <v>25</v>
      </c>
      <c r="G76">
        <v>0</v>
      </c>
      <c r="H76">
        <v>0</v>
      </c>
      <c r="I76">
        <v>46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43</v>
      </c>
      <c r="E87">
        <v>43</v>
      </c>
      <c r="F87">
        <v>32</v>
      </c>
      <c r="G87">
        <v>11</v>
      </c>
      <c r="H87">
        <v>0</v>
      </c>
      <c r="I87">
        <v>24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0</v>
      </c>
      <c r="E96">
        <v>0</v>
      </c>
      <c r="F96">
        <v>8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0</v>
      </c>
      <c r="I99">
        <v>15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0</v>
      </c>
      <c r="I101">
        <v>1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106</v>
      </c>
      <c r="D105">
        <v>0</v>
      </c>
      <c r="E105">
        <v>5</v>
      </c>
      <c r="F105">
        <v>52</v>
      </c>
      <c r="G105">
        <v>0</v>
      </c>
      <c r="H105">
        <v>0</v>
      </c>
      <c r="I105">
        <v>49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110</v>
      </c>
      <c r="D112">
        <v>19</v>
      </c>
      <c r="E112">
        <v>28</v>
      </c>
      <c r="F112">
        <v>33</v>
      </c>
      <c r="G112">
        <v>1</v>
      </c>
      <c r="H112">
        <v>0</v>
      </c>
      <c r="I112">
        <v>29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69</v>
      </c>
      <c r="D114">
        <v>0</v>
      </c>
      <c r="E114">
        <v>12</v>
      </c>
      <c r="F114">
        <v>54</v>
      </c>
      <c r="G114">
        <v>0</v>
      </c>
      <c r="H114">
        <v>0</v>
      </c>
      <c r="I114">
        <v>3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0</v>
      </c>
      <c r="E122">
        <v>1</v>
      </c>
      <c r="F122">
        <v>20</v>
      </c>
      <c r="G122">
        <v>0</v>
      </c>
      <c r="H122">
        <v>0</v>
      </c>
      <c r="I122">
        <v>38</v>
      </c>
      <c r="J122">
        <v>0</v>
      </c>
    </row>
    <row r="123" spans="1:10" x14ac:dyDescent="0.25">
      <c r="A123" t="s">
        <v>45</v>
      </c>
      <c r="B123">
        <v>7172011013000200</v>
      </c>
      <c r="C123">
        <v>51</v>
      </c>
      <c r="D123">
        <v>0</v>
      </c>
      <c r="E123">
        <v>0</v>
      </c>
      <c r="F123">
        <v>36</v>
      </c>
      <c r="G123">
        <v>0</v>
      </c>
      <c r="H123">
        <v>0</v>
      </c>
      <c r="I123">
        <v>15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120</v>
      </c>
      <c r="D126">
        <v>0</v>
      </c>
      <c r="E126">
        <v>23</v>
      </c>
      <c r="F126">
        <v>73</v>
      </c>
      <c r="G126">
        <v>0</v>
      </c>
      <c r="H126">
        <v>0</v>
      </c>
      <c r="I126">
        <v>24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161</v>
      </c>
      <c r="D131">
        <v>0</v>
      </c>
      <c r="E131">
        <v>32</v>
      </c>
      <c r="F131">
        <v>78</v>
      </c>
      <c r="G131">
        <v>0</v>
      </c>
      <c r="H131">
        <v>0</v>
      </c>
      <c r="I131">
        <v>51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225</v>
      </c>
      <c r="D137">
        <v>0</v>
      </c>
      <c r="E137">
        <v>2</v>
      </c>
      <c r="F137">
        <v>140</v>
      </c>
      <c r="G137">
        <v>0</v>
      </c>
      <c r="H137">
        <v>0</v>
      </c>
      <c r="I137">
        <v>83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233</v>
      </c>
      <c r="D140">
        <v>66</v>
      </c>
      <c r="E140">
        <v>22</v>
      </c>
      <c r="F140">
        <v>60</v>
      </c>
      <c r="G140">
        <v>17</v>
      </c>
      <c r="H140">
        <v>0</v>
      </c>
      <c r="I140">
        <v>68</v>
      </c>
      <c r="J140">
        <v>0</v>
      </c>
    </row>
    <row r="141" spans="1:10" x14ac:dyDescent="0.25">
      <c r="A14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7172011013000900</v>
      </c>
      <c r="C147">
        <v>80</v>
      </c>
      <c r="D147">
        <v>2</v>
      </c>
      <c r="E147">
        <v>14</v>
      </c>
      <c r="F147">
        <v>25</v>
      </c>
      <c r="G147">
        <v>10</v>
      </c>
      <c r="H147">
        <v>0</v>
      </c>
      <c r="I147">
        <v>29</v>
      </c>
      <c r="J147">
        <v>0</v>
      </c>
    </row>
    <row r="148" spans="1:10" x14ac:dyDescent="0.25">
      <c r="A148" t="s">
        <v>46</v>
      </c>
      <c r="B148">
        <v>7172011013000800</v>
      </c>
      <c r="C148">
        <v>79</v>
      </c>
      <c r="D148">
        <v>0</v>
      </c>
      <c r="E148">
        <v>0</v>
      </c>
      <c r="F148">
        <v>79</v>
      </c>
      <c r="G148">
        <v>0</v>
      </c>
      <c r="H148">
        <v>0</v>
      </c>
      <c r="I148">
        <v>0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127</v>
      </c>
      <c r="D161">
        <v>0</v>
      </c>
      <c r="E161">
        <v>4</v>
      </c>
      <c r="F161">
        <v>117</v>
      </c>
      <c r="G161">
        <v>0</v>
      </c>
      <c r="H161">
        <v>0</v>
      </c>
      <c r="I161">
        <v>6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0</v>
      </c>
      <c r="I164">
        <v>18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0</v>
      </c>
      <c r="I167">
        <v>35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108</v>
      </c>
      <c r="D170">
        <v>0</v>
      </c>
      <c r="E170">
        <v>8</v>
      </c>
      <c r="F170">
        <v>68</v>
      </c>
      <c r="G170">
        <v>0</v>
      </c>
      <c r="H170">
        <v>0</v>
      </c>
      <c r="I170">
        <v>32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44</v>
      </c>
      <c r="B172">
        <v>7172011012000700</v>
      </c>
      <c r="C172">
        <v>130</v>
      </c>
      <c r="D172">
        <v>0</v>
      </c>
      <c r="E172">
        <v>0</v>
      </c>
      <c r="F172">
        <v>84</v>
      </c>
      <c r="G172">
        <v>0</v>
      </c>
      <c r="H172">
        <v>0</v>
      </c>
      <c r="I172">
        <v>46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2</v>
      </c>
      <c r="F182">
        <v>40</v>
      </c>
      <c r="G182">
        <v>0</v>
      </c>
      <c r="H182">
        <v>0</v>
      </c>
      <c r="I182">
        <v>68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7172012002000300</v>
      </c>
      <c r="C186">
        <v>75</v>
      </c>
      <c r="D186">
        <v>0</v>
      </c>
      <c r="E186">
        <v>2</v>
      </c>
      <c r="F186">
        <v>66</v>
      </c>
      <c r="G186">
        <v>0</v>
      </c>
      <c r="H186">
        <v>0</v>
      </c>
      <c r="I186">
        <v>7</v>
      </c>
      <c r="J186">
        <v>0</v>
      </c>
    </row>
    <row r="187" spans="1:10" x14ac:dyDescent="0.25">
      <c r="A187" t="s">
        <v>229</v>
      </c>
      <c r="B187">
        <v>7172012002001301</v>
      </c>
      <c r="C187">
        <v>123</v>
      </c>
      <c r="D187">
        <v>0</v>
      </c>
      <c r="E187">
        <v>0</v>
      </c>
      <c r="F187">
        <v>116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7172012002001302</v>
      </c>
      <c r="C189">
        <v>109</v>
      </c>
      <c r="D189">
        <v>0</v>
      </c>
      <c r="E189">
        <v>15</v>
      </c>
      <c r="F189">
        <v>44</v>
      </c>
      <c r="G189">
        <v>0</v>
      </c>
      <c r="H189">
        <v>0</v>
      </c>
      <c r="I189">
        <v>50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176</v>
      </c>
      <c r="D193">
        <v>0</v>
      </c>
      <c r="E193">
        <v>17</v>
      </c>
      <c r="F193">
        <v>78</v>
      </c>
      <c r="G193">
        <v>0</v>
      </c>
      <c r="H193">
        <v>0</v>
      </c>
      <c r="I193">
        <v>81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0</v>
      </c>
      <c r="I201">
        <v>22</v>
      </c>
      <c r="J201">
        <v>0</v>
      </c>
    </row>
    <row r="202" spans="1:10" x14ac:dyDescent="0.25">
      <c r="A202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60</v>
      </c>
      <c r="B205">
        <v>7172012004001900</v>
      </c>
      <c r="C205">
        <v>171</v>
      </c>
      <c r="D205">
        <v>6</v>
      </c>
      <c r="E205">
        <v>11</v>
      </c>
      <c r="F205">
        <v>100</v>
      </c>
      <c r="G205">
        <v>0</v>
      </c>
      <c r="H205">
        <v>0</v>
      </c>
      <c r="I205">
        <v>54</v>
      </c>
      <c r="J205">
        <v>0</v>
      </c>
    </row>
    <row r="206" spans="1:10" x14ac:dyDescent="0.25">
      <c r="A206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0</v>
      </c>
      <c r="I209">
        <v>1</v>
      </c>
      <c r="J209">
        <v>0</v>
      </c>
    </row>
    <row r="210" spans="1:10" x14ac:dyDescent="0.25">
      <c r="A210" t="s">
        <v>63</v>
      </c>
      <c r="B210">
        <v>7172012004001701</v>
      </c>
      <c r="C210">
        <v>305</v>
      </c>
      <c r="D210">
        <v>0</v>
      </c>
      <c r="E210">
        <v>13</v>
      </c>
      <c r="F210">
        <v>252</v>
      </c>
      <c r="G210">
        <v>0</v>
      </c>
      <c r="H210">
        <v>0</v>
      </c>
      <c r="I210">
        <v>40</v>
      </c>
      <c r="J210">
        <v>0</v>
      </c>
    </row>
    <row r="211" spans="1:10" x14ac:dyDescent="0.25">
      <c r="A21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1</v>
      </c>
      <c r="H211">
        <v>0</v>
      </c>
      <c r="I211">
        <v>0</v>
      </c>
      <c r="J211">
        <v>0</v>
      </c>
    </row>
    <row r="212" spans="1:10" x14ac:dyDescent="0.25">
      <c r="A212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64</v>
      </c>
      <c r="B215">
        <v>7172012004002200</v>
      </c>
      <c r="C215">
        <v>164</v>
      </c>
      <c r="D215">
        <v>0</v>
      </c>
      <c r="E215">
        <v>10</v>
      </c>
      <c r="F215">
        <v>73</v>
      </c>
      <c r="G215">
        <v>0</v>
      </c>
      <c r="H215">
        <v>0</v>
      </c>
      <c r="I215">
        <v>81</v>
      </c>
      <c r="J215">
        <v>0</v>
      </c>
    </row>
    <row r="216" spans="1:10" x14ac:dyDescent="0.25">
      <c r="A216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7172012004002600</v>
      </c>
      <c r="C219">
        <v>117</v>
      </c>
      <c r="D219">
        <v>0</v>
      </c>
      <c r="E219">
        <v>8</v>
      </c>
      <c r="F219">
        <v>60</v>
      </c>
      <c r="G219">
        <v>0</v>
      </c>
      <c r="H219">
        <v>0</v>
      </c>
      <c r="I219">
        <v>49</v>
      </c>
      <c r="J219">
        <v>0</v>
      </c>
    </row>
    <row r="220" spans="1:10" x14ac:dyDescent="0.25">
      <c r="A220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7172012006001600</v>
      </c>
      <c r="C225">
        <v>82</v>
      </c>
      <c r="D225">
        <v>0</v>
      </c>
      <c r="E225">
        <v>4</v>
      </c>
      <c r="F225">
        <v>51</v>
      </c>
      <c r="G225">
        <v>0</v>
      </c>
      <c r="H225">
        <v>0</v>
      </c>
      <c r="I225">
        <v>27</v>
      </c>
      <c r="J225">
        <v>0</v>
      </c>
    </row>
    <row r="226" spans="1:10" x14ac:dyDescent="0.25">
      <c r="A226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70</v>
      </c>
      <c r="B229">
        <v>7172012006001000</v>
      </c>
      <c r="C229">
        <v>71</v>
      </c>
      <c r="D229">
        <v>0</v>
      </c>
      <c r="E229">
        <v>0</v>
      </c>
      <c r="F229">
        <v>66</v>
      </c>
      <c r="G229">
        <v>0</v>
      </c>
      <c r="H229">
        <v>0</v>
      </c>
      <c r="I229">
        <v>5</v>
      </c>
      <c r="J229">
        <v>0</v>
      </c>
    </row>
    <row r="230" spans="1:10" x14ac:dyDescent="0.25">
      <c r="A230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49</v>
      </c>
      <c r="J232">
        <v>0</v>
      </c>
    </row>
    <row r="233" spans="1:10" x14ac:dyDescent="0.25">
      <c r="A233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67</v>
      </c>
      <c r="B237">
        <v>7172012005001600</v>
      </c>
      <c r="C237">
        <v>57</v>
      </c>
      <c r="D237">
        <v>0</v>
      </c>
      <c r="E237">
        <v>5</v>
      </c>
      <c r="F237">
        <v>6</v>
      </c>
      <c r="G237">
        <v>0</v>
      </c>
      <c r="H237">
        <v>0</v>
      </c>
      <c r="I237">
        <v>46</v>
      </c>
      <c r="J237">
        <v>0</v>
      </c>
    </row>
    <row r="238" spans="1:10" x14ac:dyDescent="0.25">
      <c r="A238" t="s">
        <v>67</v>
      </c>
      <c r="B238">
        <v>7172012005001300</v>
      </c>
      <c r="C238">
        <v>54</v>
      </c>
      <c r="D238">
        <v>0</v>
      </c>
      <c r="E238">
        <v>4</v>
      </c>
      <c r="F238">
        <v>2</v>
      </c>
      <c r="G238">
        <v>1</v>
      </c>
      <c r="H238">
        <v>0</v>
      </c>
      <c r="I238">
        <v>47</v>
      </c>
      <c r="J238">
        <v>0</v>
      </c>
    </row>
    <row r="239" spans="1:10" x14ac:dyDescent="0.25">
      <c r="A239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67</v>
      </c>
      <c r="B241">
        <v>7172012005000700</v>
      </c>
      <c r="C241">
        <v>23</v>
      </c>
      <c r="D241">
        <v>0</v>
      </c>
      <c r="E241">
        <v>0</v>
      </c>
      <c r="F241">
        <v>18</v>
      </c>
      <c r="G241">
        <v>0</v>
      </c>
      <c r="H241">
        <v>0</v>
      </c>
      <c r="I241">
        <v>5</v>
      </c>
      <c r="J241">
        <v>0</v>
      </c>
    </row>
    <row r="242" spans="1:10" x14ac:dyDescent="0.25">
      <c r="A242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230</v>
      </c>
      <c r="B244">
        <v>7172012007000300</v>
      </c>
      <c r="C244">
        <v>116</v>
      </c>
      <c r="D244">
        <v>0</v>
      </c>
      <c r="E244">
        <v>9</v>
      </c>
      <c r="F244">
        <v>35</v>
      </c>
      <c r="G244">
        <v>0</v>
      </c>
      <c r="H244">
        <v>0</v>
      </c>
      <c r="I244">
        <v>72</v>
      </c>
      <c r="J244">
        <v>0</v>
      </c>
    </row>
    <row r="245" spans="1:10" x14ac:dyDescent="0.25">
      <c r="A245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72</v>
      </c>
      <c r="B249">
        <v>7172012007000900</v>
      </c>
      <c r="C249">
        <v>109</v>
      </c>
      <c r="D249">
        <v>0</v>
      </c>
      <c r="E249">
        <v>11</v>
      </c>
      <c r="F249">
        <v>10</v>
      </c>
      <c r="G249">
        <v>0</v>
      </c>
      <c r="H249">
        <v>0</v>
      </c>
      <c r="I249">
        <v>88</v>
      </c>
      <c r="J249">
        <v>0</v>
      </c>
    </row>
    <row r="250" spans="1:10" x14ac:dyDescent="0.25">
      <c r="A250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75</v>
      </c>
      <c r="B255">
        <v>7172021003001000</v>
      </c>
      <c r="C255">
        <v>58</v>
      </c>
      <c r="D255">
        <v>0</v>
      </c>
      <c r="E255">
        <v>19</v>
      </c>
      <c r="F255">
        <v>30</v>
      </c>
      <c r="G255">
        <v>2</v>
      </c>
      <c r="H255">
        <v>0</v>
      </c>
      <c r="I255">
        <v>7</v>
      </c>
      <c r="J255">
        <v>0</v>
      </c>
    </row>
    <row r="256" spans="1:10" x14ac:dyDescent="0.25">
      <c r="A256" t="s">
        <v>75</v>
      </c>
      <c r="B256">
        <v>7172021003000900</v>
      </c>
      <c r="C256">
        <v>57</v>
      </c>
      <c r="D256">
        <v>0</v>
      </c>
      <c r="E256">
        <v>0</v>
      </c>
      <c r="F256">
        <v>57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75</v>
      </c>
      <c r="B257">
        <v>7172021002000400</v>
      </c>
      <c r="C257">
        <v>35</v>
      </c>
      <c r="D257">
        <v>7</v>
      </c>
      <c r="E257">
        <v>2</v>
      </c>
      <c r="F257">
        <v>10</v>
      </c>
      <c r="G257">
        <v>3</v>
      </c>
      <c r="H257">
        <v>0</v>
      </c>
      <c r="I257">
        <v>13</v>
      </c>
      <c r="J257">
        <v>0</v>
      </c>
    </row>
    <row r="258" spans="1:10" x14ac:dyDescent="0.25">
      <c r="A258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231</v>
      </c>
      <c r="B263">
        <v>7172021002000600</v>
      </c>
      <c r="C263">
        <v>64</v>
      </c>
      <c r="D263">
        <v>4</v>
      </c>
      <c r="E263">
        <v>18</v>
      </c>
      <c r="F263">
        <v>6</v>
      </c>
      <c r="G263">
        <v>0</v>
      </c>
      <c r="H263">
        <v>0</v>
      </c>
      <c r="I263">
        <v>36</v>
      </c>
      <c r="J263">
        <v>0</v>
      </c>
    </row>
    <row r="264" spans="1:10" x14ac:dyDescent="0.25">
      <c r="A264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7172021002000500</v>
      </c>
      <c r="C266">
        <v>98</v>
      </c>
      <c r="D266">
        <v>7</v>
      </c>
      <c r="E266">
        <v>4</v>
      </c>
      <c r="F266">
        <v>73</v>
      </c>
      <c r="G266">
        <v>0</v>
      </c>
      <c r="H266">
        <v>0</v>
      </c>
      <c r="I266">
        <v>14</v>
      </c>
      <c r="J266">
        <v>0</v>
      </c>
    </row>
    <row r="267" spans="1:10" x14ac:dyDescent="0.25">
      <c r="A267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74</v>
      </c>
      <c r="B271">
        <v>7172021001000400</v>
      </c>
      <c r="C271">
        <v>41</v>
      </c>
      <c r="D271">
        <v>16</v>
      </c>
      <c r="E271">
        <v>3</v>
      </c>
      <c r="F271">
        <v>7</v>
      </c>
      <c r="G271">
        <v>0</v>
      </c>
      <c r="H271">
        <v>0</v>
      </c>
      <c r="I271">
        <v>15</v>
      </c>
      <c r="J271">
        <v>0</v>
      </c>
    </row>
    <row r="272" spans="1:10" x14ac:dyDescent="0.25">
      <c r="A272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78</v>
      </c>
      <c r="B275">
        <v>7172021005000100</v>
      </c>
      <c r="C275">
        <v>95</v>
      </c>
      <c r="D275">
        <v>7</v>
      </c>
      <c r="E275">
        <v>21</v>
      </c>
      <c r="F275">
        <v>41</v>
      </c>
      <c r="G275">
        <v>0</v>
      </c>
      <c r="H275">
        <v>0</v>
      </c>
      <c r="I275">
        <v>26</v>
      </c>
      <c r="J275">
        <v>0</v>
      </c>
    </row>
    <row r="276" spans="1:10" x14ac:dyDescent="0.25">
      <c r="A276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78</v>
      </c>
      <c r="B279">
        <v>7172021004000100</v>
      </c>
      <c r="C279">
        <v>61</v>
      </c>
      <c r="D279">
        <v>0</v>
      </c>
      <c r="E279">
        <v>0</v>
      </c>
      <c r="F279">
        <v>53</v>
      </c>
      <c r="G279">
        <v>0</v>
      </c>
      <c r="H279">
        <v>0</v>
      </c>
      <c r="I279">
        <v>8</v>
      </c>
      <c r="J279">
        <v>0</v>
      </c>
    </row>
    <row r="280" spans="1:10" x14ac:dyDescent="0.25">
      <c r="A280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7172021005000200</v>
      </c>
      <c r="C281">
        <v>82</v>
      </c>
      <c r="D281">
        <v>4</v>
      </c>
      <c r="E281">
        <v>5</v>
      </c>
      <c r="F281">
        <v>65</v>
      </c>
      <c r="G281">
        <v>3</v>
      </c>
      <c r="H281">
        <v>0</v>
      </c>
      <c r="I281">
        <v>5</v>
      </c>
      <c r="J281">
        <v>0</v>
      </c>
    </row>
    <row r="282" spans="1:10" x14ac:dyDescent="0.25">
      <c r="A282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7172021006000200</v>
      </c>
      <c r="C283">
        <v>74</v>
      </c>
      <c r="D283">
        <v>0</v>
      </c>
      <c r="E283">
        <v>8</v>
      </c>
      <c r="F283">
        <v>60</v>
      </c>
      <c r="G283">
        <v>0</v>
      </c>
      <c r="H283">
        <v>0</v>
      </c>
      <c r="I283">
        <v>6</v>
      </c>
      <c r="J283">
        <v>0</v>
      </c>
    </row>
    <row r="284" spans="1:10" x14ac:dyDescent="0.25">
      <c r="A284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232</v>
      </c>
      <c r="B292">
        <v>7172022001001100</v>
      </c>
      <c r="C292">
        <v>62</v>
      </c>
      <c r="D292">
        <v>0</v>
      </c>
      <c r="E292">
        <v>4</v>
      </c>
      <c r="F292">
        <v>5</v>
      </c>
      <c r="G292">
        <v>0</v>
      </c>
      <c r="H292">
        <v>0</v>
      </c>
      <c r="I292">
        <v>53</v>
      </c>
      <c r="J292">
        <v>0</v>
      </c>
    </row>
    <row r="293" spans="1:10" x14ac:dyDescent="0.25">
      <c r="A293" t="s">
        <v>232</v>
      </c>
      <c r="B293">
        <v>7172022001000700</v>
      </c>
      <c r="C293">
        <v>59</v>
      </c>
      <c r="D293">
        <v>0</v>
      </c>
      <c r="E293">
        <v>0</v>
      </c>
      <c r="F293">
        <v>59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  <c r="J296">
        <v>0</v>
      </c>
    </row>
    <row r="297" spans="1:10" x14ac:dyDescent="0.25">
      <c r="A297" t="s">
        <v>89</v>
      </c>
      <c r="B297">
        <v>7172022008000400</v>
      </c>
      <c r="C297">
        <v>79</v>
      </c>
      <c r="D297">
        <v>0</v>
      </c>
      <c r="E297">
        <v>0</v>
      </c>
      <c r="F297">
        <v>56</v>
      </c>
      <c r="G297">
        <v>0</v>
      </c>
      <c r="H297">
        <v>0</v>
      </c>
      <c r="I297">
        <v>23</v>
      </c>
      <c r="J297">
        <v>0</v>
      </c>
    </row>
    <row r="298" spans="1:10" x14ac:dyDescent="0.25">
      <c r="A298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  <c r="J299">
        <v>0</v>
      </c>
    </row>
    <row r="300" spans="1:10" x14ac:dyDescent="0.25">
      <c r="A300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0</v>
      </c>
      <c r="I300">
        <v>9</v>
      </c>
      <c r="J300">
        <v>0</v>
      </c>
    </row>
    <row r="301" spans="1:10" x14ac:dyDescent="0.25">
      <c r="A301" t="s">
        <v>89</v>
      </c>
      <c r="B301">
        <v>7172022009000300</v>
      </c>
      <c r="C301">
        <v>36</v>
      </c>
      <c r="D301">
        <v>0</v>
      </c>
      <c r="E301">
        <v>0</v>
      </c>
      <c r="F301">
        <v>30</v>
      </c>
      <c r="G301">
        <v>0</v>
      </c>
      <c r="H301">
        <v>0</v>
      </c>
      <c r="I301">
        <v>6</v>
      </c>
      <c r="J301">
        <v>0</v>
      </c>
    </row>
    <row r="302" spans="1:10" x14ac:dyDescent="0.25">
      <c r="A302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7172030006000900</v>
      </c>
      <c r="C303">
        <v>85</v>
      </c>
      <c r="D303">
        <v>0</v>
      </c>
      <c r="E303">
        <v>1</v>
      </c>
      <c r="F303">
        <v>68</v>
      </c>
      <c r="G303">
        <v>0</v>
      </c>
      <c r="H303">
        <v>0</v>
      </c>
      <c r="I303">
        <v>16</v>
      </c>
      <c r="J303">
        <v>0</v>
      </c>
    </row>
    <row r="304" spans="1:10" x14ac:dyDescent="0.25">
      <c r="A304" t="s">
        <v>90</v>
      </c>
      <c r="B304">
        <v>7172030006000600</v>
      </c>
      <c r="C304">
        <v>83</v>
      </c>
      <c r="D304">
        <v>0</v>
      </c>
      <c r="E304">
        <v>0</v>
      </c>
      <c r="F304">
        <v>83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90</v>
      </c>
      <c r="B305">
        <v>7172030006000800</v>
      </c>
      <c r="C305">
        <v>80</v>
      </c>
      <c r="D305">
        <v>19</v>
      </c>
      <c r="E305">
        <v>0</v>
      </c>
      <c r="F305">
        <v>36</v>
      </c>
      <c r="G305">
        <v>0</v>
      </c>
      <c r="H305">
        <v>0</v>
      </c>
      <c r="I305">
        <v>25</v>
      </c>
      <c r="J305">
        <v>0</v>
      </c>
    </row>
    <row r="306" spans="1:10" x14ac:dyDescent="0.25">
      <c r="A306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90</v>
      </c>
      <c r="B309">
        <v>7172030006000400</v>
      </c>
      <c r="C309">
        <v>50</v>
      </c>
      <c r="D309">
        <v>7</v>
      </c>
      <c r="E309">
        <v>1</v>
      </c>
      <c r="F309">
        <v>40</v>
      </c>
      <c r="G309">
        <v>0</v>
      </c>
      <c r="H309">
        <v>0</v>
      </c>
      <c r="I309">
        <v>2</v>
      </c>
      <c r="J309">
        <v>0</v>
      </c>
    </row>
    <row r="310" spans="1:10" x14ac:dyDescent="0.25">
      <c r="A310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7172022003000200</v>
      </c>
      <c r="C311">
        <v>106</v>
      </c>
      <c r="D311">
        <v>0</v>
      </c>
      <c r="E311">
        <v>2</v>
      </c>
      <c r="F311">
        <v>57</v>
      </c>
      <c r="G311">
        <v>0</v>
      </c>
      <c r="H311">
        <v>0</v>
      </c>
      <c r="I311">
        <v>47</v>
      </c>
      <c r="J311">
        <v>0</v>
      </c>
    </row>
    <row r="312" spans="1:10" x14ac:dyDescent="0.25">
      <c r="A312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7172030007000200</v>
      </c>
      <c r="C319">
        <v>124</v>
      </c>
      <c r="D319">
        <v>0</v>
      </c>
      <c r="E319">
        <v>20</v>
      </c>
      <c r="F319">
        <v>84</v>
      </c>
      <c r="G319">
        <v>0</v>
      </c>
      <c r="H319">
        <v>0</v>
      </c>
      <c r="I319">
        <v>20</v>
      </c>
      <c r="J319">
        <v>0</v>
      </c>
    </row>
    <row r="320" spans="1:10" x14ac:dyDescent="0.25">
      <c r="A320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92</v>
      </c>
      <c r="B323">
        <v>7172030007000100</v>
      </c>
      <c r="C323">
        <v>61</v>
      </c>
      <c r="D323">
        <v>12</v>
      </c>
      <c r="E323">
        <v>8</v>
      </c>
      <c r="F323">
        <v>2</v>
      </c>
      <c r="G323">
        <v>0</v>
      </c>
      <c r="H323">
        <v>0</v>
      </c>
      <c r="I323">
        <v>39</v>
      </c>
      <c r="J323">
        <v>0</v>
      </c>
    </row>
    <row r="324" spans="1:10" x14ac:dyDescent="0.25">
      <c r="A324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233</v>
      </c>
      <c r="B328">
        <v>7172030007001000</v>
      </c>
      <c r="C328">
        <v>138</v>
      </c>
      <c r="D328">
        <v>10</v>
      </c>
      <c r="E328">
        <v>38</v>
      </c>
      <c r="F328">
        <v>70</v>
      </c>
      <c r="G328">
        <v>0</v>
      </c>
      <c r="H328">
        <v>0</v>
      </c>
      <c r="I328">
        <v>20</v>
      </c>
      <c r="J328">
        <v>0</v>
      </c>
    </row>
    <row r="329" spans="1:10" x14ac:dyDescent="0.25">
      <c r="A329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7172030006001600</v>
      </c>
      <c r="C336">
        <v>62</v>
      </c>
      <c r="D336">
        <v>0</v>
      </c>
      <c r="E336">
        <v>2</v>
      </c>
      <c r="F336">
        <v>31</v>
      </c>
      <c r="G336">
        <v>0</v>
      </c>
      <c r="H336">
        <v>0</v>
      </c>
      <c r="I336">
        <v>29</v>
      </c>
      <c r="J336">
        <v>0</v>
      </c>
    </row>
    <row r="337" spans="1:10" x14ac:dyDescent="0.25">
      <c r="A337" t="s">
        <v>91</v>
      </c>
      <c r="B337">
        <v>7172030006001300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91</v>
      </c>
      <c r="B338">
        <v>7172030006001800</v>
      </c>
      <c r="C338">
        <v>50</v>
      </c>
      <c r="D338">
        <v>6</v>
      </c>
      <c r="E338">
        <v>0</v>
      </c>
      <c r="F338">
        <v>13</v>
      </c>
      <c r="G338">
        <v>0</v>
      </c>
      <c r="H338">
        <v>0</v>
      </c>
      <c r="I338">
        <v>31</v>
      </c>
      <c r="J338">
        <v>0</v>
      </c>
    </row>
    <row r="339" spans="1:10" x14ac:dyDescent="0.25">
      <c r="A339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0</v>
      </c>
      <c r="I340">
        <v>39</v>
      </c>
      <c r="J340">
        <v>0</v>
      </c>
    </row>
    <row r="341" spans="1:10" x14ac:dyDescent="0.25">
      <c r="A34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91</v>
      </c>
      <c r="B342">
        <v>7172030006001500</v>
      </c>
      <c r="C342">
        <v>40</v>
      </c>
      <c r="D342">
        <v>0</v>
      </c>
      <c r="E342">
        <v>0</v>
      </c>
      <c r="F342">
        <v>39</v>
      </c>
      <c r="G342">
        <v>0</v>
      </c>
      <c r="H342">
        <v>0</v>
      </c>
      <c r="I342">
        <v>1</v>
      </c>
      <c r="J342">
        <v>0</v>
      </c>
    </row>
    <row r="343" spans="1:10" x14ac:dyDescent="0.25">
      <c r="A343" t="s">
        <v>97</v>
      </c>
      <c r="B343">
        <v>7172030012000300</v>
      </c>
      <c r="C343">
        <v>78</v>
      </c>
      <c r="D343">
        <v>0</v>
      </c>
      <c r="E343">
        <v>3</v>
      </c>
      <c r="F343">
        <v>37</v>
      </c>
      <c r="G343">
        <v>2</v>
      </c>
      <c r="H343">
        <v>0</v>
      </c>
      <c r="I343">
        <v>36</v>
      </c>
      <c r="J343">
        <v>0</v>
      </c>
    </row>
    <row r="344" spans="1:10" x14ac:dyDescent="0.25">
      <c r="A344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0</v>
      </c>
      <c r="I346">
        <v>10</v>
      </c>
      <c r="J346">
        <v>0</v>
      </c>
    </row>
    <row r="347" spans="1:10" x14ac:dyDescent="0.25">
      <c r="A347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0</v>
      </c>
      <c r="I347">
        <v>27</v>
      </c>
      <c r="J347">
        <v>0</v>
      </c>
    </row>
    <row r="348" spans="1:10" x14ac:dyDescent="0.25">
      <c r="A348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0</v>
      </c>
      <c r="I355">
        <v>11</v>
      </c>
      <c r="J355">
        <v>0</v>
      </c>
    </row>
    <row r="356" spans="1:10" x14ac:dyDescent="0.25">
      <c r="A356" t="s">
        <v>99</v>
      </c>
      <c r="B356">
        <v>7172030012001700</v>
      </c>
      <c r="C356">
        <v>73</v>
      </c>
      <c r="D356">
        <v>0</v>
      </c>
      <c r="E356">
        <v>6</v>
      </c>
      <c r="F356">
        <v>54</v>
      </c>
      <c r="G356">
        <v>0</v>
      </c>
      <c r="H356">
        <v>0</v>
      </c>
      <c r="I356">
        <v>13</v>
      </c>
      <c r="J356">
        <v>0</v>
      </c>
    </row>
    <row r="357" spans="1:10" x14ac:dyDescent="0.25">
      <c r="A357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99</v>
      </c>
      <c r="B360">
        <v>7172030012002000</v>
      </c>
      <c r="C360">
        <v>49</v>
      </c>
      <c r="D360">
        <v>0</v>
      </c>
      <c r="E360">
        <v>8</v>
      </c>
      <c r="F360">
        <v>23</v>
      </c>
      <c r="G360">
        <v>1</v>
      </c>
      <c r="H360">
        <v>0</v>
      </c>
      <c r="I360">
        <v>17</v>
      </c>
      <c r="J360">
        <v>0</v>
      </c>
    </row>
    <row r="361" spans="1:10" x14ac:dyDescent="0.25">
      <c r="A36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7172030008000902</v>
      </c>
      <c r="C362">
        <v>120</v>
      </c>
      <c r="D362">
        <v>15</v>
      </c>
      <c r="E362">
        <v>10</v>
      </c>
      <c r="F362">
        <v>53</v>
      </c>
      <c r="G362">
        <v>0</v>
      </c>
      <c r="H362">
        <v>0</v>
      </c>
      <c r="I362">
        <v>42</v>
      </c>
      <c r="J362">
        <v>0</v>
      </c>
    </row>
    <row r="363" spans="1:10" x14ac:dyDescent="0.25">
      <c r="A363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234</v>
      </c>
      <c r="B368">
        <v>7172030008000901</v>
      </c>
      <c r="C368">
        <v>45</v>
      </c>
      <c r="D368">
        <v>10</v>
      </c>
      <c r="E368">
        <v>0</v>
      </c>
      <c r="F368">
        <v>32</v>
      </c>
      <c r="G368">
        <v>0</v>
      </c>
      <c r="H368">
        <v>0</v>
      </c>
      <c r="I368">
        <v>3</v>
      </c>
      <c r="J368">
        <v>0</v>
      </c>
    </row>
    <row r="369" spans="1:10" x14ac:dyDescent="0.25">
      <c r="A369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7172030015000300</v>
      </c>
      <c r="C374">
        <v>103</v>
      </c>
      <c r="D374">
        <v>0</v>
      </c>
      <c r="E374">
        <v>4</v>
      </c>
      <c r="F374">
        <v>67</v>
      </c>
      <c r="G374">
        <v>0</v>
      </c>
      <c r="H374">
        <v>0</v>
      </c>
      <c r="I374">
        <v>32</v>
      </c>
      <c r="J374">
        <v>0</v>
      </c>
    </row>
    <row r="375" spans="1:10" x14ac:dyDescent="0.25">
      <c r="A375" t="s">
        <v>235</v>
      </c>
      <c r="B375">
        <v>7172030015001000</v>
      </c>
      <c r="C375">
        <v>78</v>
      </c>
      <c r="D375">
        <v>0</v>
      </c>
      <c r="E375">
        <v>5</v>
      </c>
      <c r="F375">
        <v>22</v>
      </c>
      <c r="G375">
        <v>0</v>
      </c>
      <c r="H375">
        <v>0</v>
      </c>
      <c r="I375">
        <v>51</v>
      </c>
      <c r="J375">
        <v>0</v>
      </c>
    </row>
    <row r="376" spans="1:10" x14ac:dyDescent="0.25">
      <c r="A376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235</v>
      </c>
      <c r="B379">
        <v>7172030015001100</v>
      </c>
      <c r="C379">
        <v>45</v>
      </c>
      <c r="D379">
        <v>0</v>
      </c>
      <c r="E379">
        <v>2</v>
      </c>
      <c r="F379">
        <v>33</v>
      </c>
      <c r="G379">
        <v>0</v>
      </c>
      <c r="H379">
        <v>0</v>
      </c>
      <c r="I379">
        <v>10</v>
      </c>
      <c r="J379">
        <v>0</v>
      </c>
    </row>
    <row r="380" spans="1:10" x14ac:dyDescent="0.25">
      <c r="A380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236</v>
      </c>
      <c r="B382">
        <v>7172030014001100</v>
      </c>
      <c r="C382">
        <v>222</v>
      </c>
      <c r="D382">
        <v>5</v>
      </c>
      <c r="E382">
        <v>1</v>
      </c>
      <c r="F382">
        <v>105</v>
      </c>
      <c r="G382">
        <v>0</v>
      </c>
      <c r="H382">
        <v>0</v>
      </c>
      <c r="I382">
        <v>111</v>
      </c>
      <c r="J382">
        <v>0</v>
      </c>
    </row>
    <row r="383" spans="1:10" x14ac:dyDescent="0.25">
      <c r="A383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105</v>
      </c>
      <c r="B388">
        <v>7172030015001300</v>
      </c>
      <c r="C388">
        <v>85</v>
      </c>
      <c r="D388">
        <v>0</v>
      </c>
      <c r="E388">
        <v>26</v>
      </c>
      <c r="F388">
        <v>42</v>
      </c>
      <c r="G388">
        <v>0</v>
      </c>
      <c r="H388">
        <v>0</v>
      </c>
      <c r="I388">
        <v>17</v>
      </c>
      <c r="J388">
        <v>0</v>
      </c>
    </row>
    <row r="389" spans="1:10" x14ac:dyDescent="0.25">
      <c r="A389" t="s">
        <v>105</v>
      </c>
      <c r="B389">
        <v>7172030015001701</v>
      </c>
      <c r="C389">
        <v>85</v>
      </c>
      <c r="D389">
        <v>0</v>
      </c>
      <c r="E389">
        <v>0</v>
      </c>
      <c r="F389">
        <v>85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105</v>
      </c>
      <c r="B390">
        <v>7172030015001200</v>
      </c>
      <c r="C390">
        <v>64</v>
      </c>
      <c r="D390">
        <v>2</v>
      </c>
      <c r="E390">
        <v>5</v>
      </c>
      <c r="F390">
        <v>16</v>
      </c>
      <c r="G390">
        <v>0</v>
      </c>
      <c r="H390">
        <v>0</v>
      </c>
      <c r="I390">
        <v>41</v>
      </c>
      <c r="J390">
        <v>0</v>
      </c>
    </row>
    <row r="391" spans="1:10" x14ac:dyDescent="0.25">
      <c r="A39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7172031001001400</v>
      </c>
      <c r="C394">
        <v>50</v>
      </c>
      <c r="D394">
        <v>2</v>
      </c>
      <c r="E394">
        <v>29</v>
      </c>
      <c r="F394">
        <v>12</v>
      </c>
      <c r="G394">
        <v>2</v>
      </c>
      <c r="H394">
        <v>0</v>
      </c>
      <c r="I394">
        <v>5</v>
      </c>
      <c r="J394">
        <v>0</v>
      </c>
    </row>
    <row r="395" spans="1:10" x14ac:dyDescent="0.25">
      <c r="A395" t="s">
        <v>109</v>
      </c>
      <c r="B395">
        <v>7172031001001100</v>
      </c>
      <c r="C395">
        <v>49</v>
      </c>
      <c r="D395">
        <v>0</v>
      </c>
      <c r="E395">
        <v>0</v>
      </c>
      <c r="F395">
        <v>49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7172031001000600</v>
      </c>
      <c r="C396">
        <v>46</v>
      </c>
      <c r="D396">
        <v>0</v>
      </c>
      <c r="E396">
        <v>0</v>
      </c>
      <c r="F396">
        <v>46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7172031001001300</v>
      </c>
      <c r="C398">
        <v>43</v>
      </c>
      <c r="D398">
        <v>17</v>
      </c>
      <c r="E398">
        <v>14</v>
      </c>
      <c r="F398">
        <v>2</v>
      </c>
      <c r="G398">
        <v>0</v>
      </c>
      <c r="H398">
        <v>0</v>
      </c>
      <c r="I398">
        <v>10</v>
      </c>
      <c r="J398">
        <v>0</v>
      </c>
    </row>
    <row r="399" spans="1:10" x14ac:dyDescent="0.25">
      <c r="A399" t="s">
        <v>109</v>
      </c>
      <c r="B399">
        <v>7172031001000500</v>
      </c>
      <c r="C399">
        <v>42</v>
      </c>
      <c r="D399">
        <v>0</v>
      </c>
      <c r="E399">
        <v>0</v>
      </c>
      <c r="F399">
        <v>42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113</v>
      </c>
      <c r="B409">
        <v>7172031005001500</v>
      </c>
      <c r="C409">
        <v>80</v>
      </c>
      <c r="D409">
        <v>21</v>
      </c>
      <c r="E409">
        <v>15</v>
      </c>
      <c r="F409">
        <v>2</v>
      </c>
      <c r="G409">
        <v>0</v>
      </c>
      <c r="H409">
        <v>0</v>
      </c>
      <c r="I409">
        <v>42</v>
      </c>
      <c r="J409">
        <v>0</v>
      </c>
    </row>
    <row r="410" spans="1:10" x14ac:dyDescent="0.25">
      <c r="A410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7172031003001300</v>
      </c>
      <c r="C414">
        <v>75</v>
      </c>
      <c r="D414">
        <v>22</v>
      </c>
      <c r="E414">
        <v>12</v>
      </c>
      <c r="F414">
        <v>7</v>
      </c>
      <c r="G414">
        <v>1</v>
      </c>
      <c r="H414">
        <v>0</v>
      </c>
      <c r="I414">
        <v>33</v>
      </c>
      <c r="J414">
        <v>0</v>
      </c>
    </row>
    <row r="415" spans="1:10" x14ac:dyDescent="0.25">
      <c r="A415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7172031005000300</v>
      </c>
      <c r="C431">
        <v>52</v>
      </c>
      <c r="D431">
        <v>15</v>
      </c>
      <c r="E431">
        <v>19</v>
      </c>
      <c r="F431">
        <v>9</v>
      </c>
      <c r="G431">
        <v>8</v>
      </c>
      <c r="H431">
        <v>0</v>
      </c>
      <c r="I431">
        <v>1</v>
      </c>
      <c r="J431">
        <v>0</v>
      </c>
    </row>
    <row r="432" spans="1:10" x14ac:dyDescent="0.25">
      <c r="A432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121</v>
      </c>
      <c r="B439">
        <v>7172031006001100</v>
      </c>
      <c r="C439">
        <v>193</v>
      </c>
      <c r="D439">
        <v>1</v>
      </c>
      <c r="E439">
        <v>28</v>
      </c>
      <c r="F439">
        <v>113</v>
      </c>
      <c r="G439">
        <v>2</v>
      </c>
      <c r="H439">
        <v>0</v>
      </c>
      <c r="I439">
        <v>49</v>
      </c>
      <c r="J439">
        <v>0</v>
      </c>
    </row>
    <row r="440" spans="1:10" x14ac:dyDescent="0.25">
      <c r="A440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125</v>
      </c>
      <c r="B447">
        <v>7172031007000500</v>
      </c>
      <c r="C447">
        <v>98</v>
      </c>
      <c r="D447">
        <v>47</v>
      </c>
      <c r="E447">
        <v>12</v>
      </c>
      <c r="F447">
        <v>5</v>
      </c>
      <c r="G447">
        <v>6</v>
      </c>
      <c r="H447">
        <v>0</v>
      </c>
      <c r="I447">
        <v>28</v>
      </c>
      <c r="J447">
        <v>0</v>
      </c>
    </row>
    <row r="448" spans="1:10" x14ac:dyDescent="0.25">
      <c r="A448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125</v>
      </c>
      <c r="B450">
        <v>7172031008000400</v>
      </c>
      <c r="C450">
        <v>34</v>
      </c>
      <c r="D450">
        <v>14</v>
      </c>
      <c r="E450">
        <v>7</v>
      </c>
      <c r="F450">
        <v>0</v>
      </c>
      <c r="G450">
        <v>0</v>
      </c>
      <c r="H450">
        <v>0</v>
      </c>
      <c r="I450">
        <v>13</v>
      </c>
      <c r="J450">
        <v>0</v>
      </c>
    </row>
    <row r="451" spans="1:10" x14ac:dyDescent="0.25">
      <c r="A451" t="s">
        <v>126</v>
      </c>
      <c r="B451">
        <v>7172031007000600</v>
      </c>
      <c r="C451">
        <v>165</v>
      </c>
      <c r="D451">
        <v>10</v>
      </c>
      <c r="E451">
        <v>12</v>
      </c>
      <c r="F451">
        <v>104</v>
      </c>
      <c r="G451">
        <v>0</v>
      </c>
      <c r="H451">
        <v>0</v>
      </c>
      <c r="I451">
        <v>39</v>
      </c>
      <c r="J451">
        <v>0</v>
      </c>
    </row>
    <row r="452" spans="1:10" x14ac:dyDescent="0.25">
      <c r="A452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7172031007002700</v>
      </c>
      <c r="C457">
        <v>170</v>
      </c>
      <c r="D457">
        <v>31</v>
      </c>
      <c r="E457">
        <v>14</v>
      </c>
      <c r="F457">
        <v>61</v>
      </c>
      <c r="G457">
        <v>45</v>
      </c>
      <c r="H457">
        <v>0</v>
      </c>
      <c r="I457">
        <v>19</v>
      </c>
      <c r="J457">
        <v>0</v>
      </c>
    </row>
    <row r="458" spans="1:10" x14ac:dyDescent="0.25">
      <c r="A458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128</v>
      </c>
      <c r="B466">
        <v>7172031007001500</v>
      </c>
      <c r="C466">
        <v>81</v>
      </c>
      <c r="D466">
        <v>4</v>
      </c>
      <c r="E466">
        <v>11</v>
      </c>
      <c r="F466">
        <v>32</v>
      </c>
      <c r="G466">
        <v>11</v>
      </c>
      <c r="H466">
        <v>0</v>
      </c>
      <c r="I466">
        <v>23</v>
      </c>
      <c r="J466">
        <v>0</v>
      </c>
    </row>
    <row r="467" spans="1:10" x14ac:dyDescent="0.25">
      <c r="A467" t="s">
        <v>128</v>
      </c>
      <c r="B467">
        <v>7172031007002400</v>
      </c>
      <c r="C467">
        <v>75</v>
      </c>
      <c r="D467">
        <v>0</v>
      </c>
      <c r="E467">
        <v>0</v>
      </c>
      <c r="F467">
        <v>75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134</v>
      </c>
      <c r="B471">
        <v>7172040003001000</v>
      </c>
      <c r="C471">
        <v>128</v>
      </c>
      <c r="D471">
        <v>0</v>
      </c>
      <c r="E471">
        <v>4</v>
      </c>
      <c r="F471">
        <v>87</v>
      </c>
      <c r="G471">
        <v>2</v>
      </c>
      <c r="H471">
        <v>0</v>
      </c>
      <c r="I471">
        <v>35</v>
      </c>
      <c r="J471">
        <v>0</v>
      </c>
    </row>
    <row r="472" spans="1:10" x14ac:dyDescent="0.25">
      <c r="A472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7172040007000300</v>
      </c>
      <c r="C474">
        <v>83</v>
      </c>
      <c r="D474">
        <v>0</v>
      </c>
      <c r="E474">
        <v>2</v>
      </c>
      <c r="F474">
        <v>62</v>
      </c>
      <c r="G474">
        <v>0</v>
      </c>
      <c r="H474">
        <v>0</v>
      </c>
      <c r="I474">
        <v>19</v>
      </c>
      <c r="J474">
        <v>0</v>
      </c>
    </row>
    <row r="475" spans="1:10" x14ac:dyDescent="0.25">
      <c r="A475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7172040007000100</v>
      </c>
      <c r="C477">
        <v>72</v>
      </c>
      <c r="D477">
        <v>0</v>
      </c>
      <c r="E477">
        <v>0</v>
      </c>
      <c r="F477">
        <v>71</v>
      </c>
      <c r="G477">
        <v>0</v>
      </c>
      <c r="H477">
        <v>0</v>
      </c>
      <c r="I477">
        <v>1</v>
      </c>
      <c r="J477">
        <v>0</v>
      </c>
    </row>
    <row r="478" spans="1:10" x14ac:dyDescent="0.25">
      <c r="A478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131</v>
      </c>
      <c r="B481">
        <v>7172040007000400</v>
      </c>
      <c r="C481">
        <v>46</v>
      </c>
      <c r="D481">
        <v>0</v>
      </c>
      <c r="E481">
        <v>24</v>
      </c>
      <c r="F481">
        <v>4</v>
      </c>
      <c r="G481">
        <v>8</v>
      </c>
      <c r="H481">
        <v>0</v>
      </c>
      <c r="I481">
        <v>10</v>
      </c>
      <c r="J481">
        <v>0</v>
      </c>
    </row>
    <row r="482" spans="1:10" x14ac:dyDescent="0.25">
      <c r="A482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7172040005001200</v>
      </c>
      <c r="C485">
        <v>77</v>
      </c>
      <c r="D485">
        <v>0</v>
      </c>
      <c r="E485">
        <v>0</v>
      </c>
      <c r="F485">
        <v>74</v>
      </c>
      <c r="G485">
        <v>0</v>
      </c>
      <c r="H485">
        <v>0</v>
      </c>
      <c r="I485">
        <v>3</v>
      </c>
      <c r="J485">
        <v>0</v>
      </c>
    </row>
    <row r="486" spans="1:10" x14ac:dyDescent="0.25">
      <c r="A486" t="s">
        <v>137</v>
      </c>
      <c r="B486">
        <v>7172040005000700</v>
      </c>
      <c r="C486">
        <v>63</v>
      </c>
      <c r="D486">
        <v>0</v>
      </c>
      <c r="E486">
        <v>0</v>
      </c>
      <c r="F486">
        <v>5</v>
      </c>
      <c r="G486">
        <v>0</v>
      </c>
      <c r="H486">
        <v>0</v>
      </c>
      <c r="I486">
        <v>58</v>
      </c>
      <c r="J486">
        <v>0</v>
      </c>
    </row>
    <row r="487" spans="1:10" x14ac:dyDescent="0.25">
      <c r="A487" t="s">
        <v>137</v>
      </c>
      <c r="B487">
        <v>7172040005000400</v>
      </c>
      <c r="C487">
        <v>58</v>
      </c>
      <c r="D487">
        <v>0</v>
      </c>
      <c r="E487">
        <v>0</v>
      </c>
      <c r="F487">
        <v>58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0</v>
      </c>
      <c r="I490">
        <v>2</v>
      </c>
      <c r="J490">
        <v>0</v>
      </c>
    </row>
    <row r="491" spans="1:10" x14ac:dyDescent="0.25">
      <c r="A49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0</v>
      </c>
      <c r="I492">
        <v>1</v>
      </c>
      <c r="J492">
        <v>0</v>
      </c>
    </row>
    <row r="493" spans="1:10" x14ac:dyDescent="0.25">
      <c r="A493" t="s">
        <v>137</v>
      </c>
      <c r="B493">
        <v>7172040005001000</v>
      </c>
      <c r="C493">
        <v>28</v>
      </c>
      <c r="D493">
        <v>0</v>
      </c>
      <c r="E493">
        <v>0</v>
      </c>
      <c r="F493">
        <v>27</v>
      </c>
      <c r="G493">
        <v>0</v>
      </c>
      <c r="H493">
        <v>0</v>
      </c>
      <c r="I493">
        <v>1</v>
      </c>
      <c r="J493">
        <v>0</v>
      </c>
    </row>
    <row r="494" spans="1:10" x14ac:dyDescent="0.25">
      <c r="A494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138</v>
      </c>
      <c r="B501">
        <v>7172040005001300</v>
      </c>
      <c r="C501">
        <v>55</v>
      </c>
      <c r="D501">
        <v>0</v>
      </c>
      <c r="E501">
        <v>11</v>
      </c>
      <c r="F501">
        <v>23</v>
      </c>
      <c r="G501">
        <v>0</v>
      </c>
      <c r="H501">
        <v>0</v>
      </c>
      <c r="I501">
        <v>21</v>
      </c>
      <c r="J501">
        <v>0</v>
      </c>
    </row>
    <row r="502" spans="1:10" x14ac:dyDescent="0.25">
      <c r="A502" t="s">
        <v>141</v>
      </c>
      <c r="B502">
        <v>7172040013000100</v>
      </c>
      <c r="C502">
        <v>125</v>
      </c>
      <c r="D502">
        <v>0</v>
      </c>
      <c r="E502">
        <v>44</v>
      </c>
      <c r="F502">
        <v>9</v>
      </c>
      <c r="G502">
        <v>1</v>
      </c>
      <c r="H502">
        <v>0</v>
      </c>
      <c r="I502">
        <v>71</v>
      </c>
      <c r="J502">
        <v>0</v>
      </c>
    </row>
    <row r="503" spans="1:10" x14ac:dyDescent="0.25">
      <c r="A503" t="s">
        <v>141</v>
      </c>
      <c r="B503">
        <v>7172040013000200</v>
      </c>
      <c r="C503">
        <v>95</v>
      </c>
      <c r="D503">
        <v>0</v>
      </c>
      <c r="E503">
        <v>2</v>
      </c>
      <c r="F503">
        <v>93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7172040013000800</v>
      </c>
      <c r="C513">
        <v>83</v>
      </c>
      <c r="D513">
        <v>0</v>
      </c>
      <c r="E513">
        <v>24</v>
      </c>
      <c r="F513">
        <v>13</v>
      </c>
      <c r="G513">
        <v>0</v>
      </c>
      <c r="H513">
        <v>0</v>
      </c>
      <c r="I513">
        <v>46</v>
      </c>
      <c r="J513">
        <v>0</v>
      </c>
    </row>
    <row r="514" spans="1:10" x14ac:dyDescent="0.25">
      <c r="A514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7172010008001300</v>
      </c>
      <c r="C523">
        <v>138</v>
      </c>
      <c r="D523">
        <v>0</v>
      </c>
      <c r="E523">
        <v>7</v>
      </c>
      <c r="F523">
        <v>113</v>
      </c>
      <c r="G523">
        <v>0</v>
      </c>
      <c r="H523">
        <v>0</v>
      </c>
      <c r="I523">
        <v>18</v>
      </c>
      <c r="J523">
        <v>0</v>
      </c>
    </row>
    <row r="524" spans="1:10" x14ac:dyDescent="0.25">
      <c r="A524" t="s">
        <v>5</v>
      </c>
      <c r="B524">
        <v>7172010008001400</v>
      </c>
      <c r="C524">
        <v>110</v>
      </c>
      <c r="D524">
        <v>4</v>
      </c>
      <c r="E524">
        <v>5</v>
      </c>
      <c r="F524">
        <v>39</v>
      </c>
      <c r="G524">
        <v>0</v>
      </c>
      <c r="H524">
        <v>0</v>
      </c>
      <c r="I524">
        <v>62</v>
      </c>
      <c r="J524">
        <v>0</v>
      </c>
    </row>
    <row r="525" spans="1:10" x14ac:dyDescent="0.25">
      <c r="A525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8</v>
      </c>
      <c r="B529">
        <v>7172010009000300</v>
      </c>
      <c r="C529">
        <v>80</v>
      </c>
      <c r="D529">
        <v>17</v>
      </c>
      <c r="E529">
        <v>1</v>
      </c>
      <c r="F529">
        <v>46</v>
      </c>
      <c r="G529">
        <v>0</v>
      </c>
      <c r="H529">
        <v>0</v>
      </c>
      <c r="I529">
        <v>16</v>
      </c>
      <c r="J529">
        <v>0</v>
      </c>
    </row>
    <row r="530" spans="1:10" x14ac:dyDescent="0.25">
      <c r="A530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0</v>
      </c>
      <c r="I533">
        <v>26</v>
      </c>
      <c r="J533">
        <v>0</v>
      </c>
    </row>
    <row r="534" spans="1:10" x14ac:dyDescent="0.25">
      <c r="A534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0</v>
      </c>
      <c r="I534">
        <v>5</v>
      </c>
      <c r="J534">
        <v>0</v>
      </c>
    </row>
    <row r="535" spans="1:10" x14ac:dyDescent="0.25">
      <c r="A535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7172010009001100</v>
      </c>
      <c r="C544">
        <v>59</v>
      </c>
      <c r="D544">
        <v>0</v>
      </c>
      <c r="E544">
        <v>5</v>
      </c>
      <c r="F544">
        <v>24</v>
      </c>
      <c r="G544">
        <v>0</v>
      </c>
      <c r="H544">
        <v>0</v>
      </c>
      <c r="I544">
        <v>30</v>
      </c>
      <c r="J544">
        <v>0</v>
      </c>
    </row>
    <row r="545" spans="1:10" x14ac:dyDescent="0.25">
      <c r="A545" t="s">
        <v>9</v>
      </c>
      <c r="B545">
        <v>7172010009001200</v>
      </c>
      <c r="C545">
        <v>59</v>
      </c>
      <c r="D545">
        <v>5</v>
      </c>
      <c r="E545">
        <v>5</v>
      </c>
      <c r="F545">
        <v>13</v>
      </c>
      <c r="G545">
        <v>0</v>
      </c>
      <c r="H545">
        <v>0</v>
      </c>
      <c r="I545">
        <v>36</v>
      </c>
      <c r="J545">
        <v>0</v>
      </c>
    </row>
    <row r="546" spans="1:10" x14ac:dyDescent="0.25">
      <c r="A546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9</v>
      </c>
      <c r="B552">
        <v>7172010015000900</v>
      </c>
      <c r="C552">
        <v>42</v>
      </c>
      <c r="D552">
        <v>0</v>
      </c>
      <c r="E552">
        <v>1</v>
      </c>
      <c r="F552">
        <v>41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7172010009003100</v>
      </c>
      <c r="C558">
        <v>95</v>
      </c>
      <c r="D558">
        <v>1</v>
      </c>
      <c r="E558">
        <v>30</v>
      </c>
      <c r="F558">
        <v>23</v>
      </c>
      <c r="G558">
        <v>0</v>
      </c>
      <c r="H558">
        <v>0</v>
      </c>
      <c r="I558">
        <v>41</v>
      </c>
      <c r="J558">
        <v>0</v>
      </c>
    </row>
    <row r="559" spans="1:10" x14ac:dyDescent="0.25">
      <c r="A559" t="s">
        <v>11</v>
      </c>
      <c r="B559">
        <v>7172010009002900</v>
      </c>
      <c r="C559">
        <v>93</v>
      </c>
      <c r="D559">
        <v>0</v>
      </c>
      <c r="E559">
        <v>0</v>
      </c>
      <c r="F559">
        <v>93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7172010010001500</v>
      </c>
      <c r="C566">
        <v>75</v>
      </c>
      <c r="D566">
        <v>0</v>
      </c>
      <c r="E566">
        <v>1</v>
      </c>
      <c r="F566">
        <v>4</v>
      </c>
      <c r="G566">
        <v>0</v>
      </c>
      <c r="H566">
        <v>0</v>
      </c>
      <c r="I566">
        <v>70</v>
      </c>
      <c r="J566">
        <v>0</v>
      </c>
    </row>
    <row r="567" spans="1:10" x14ac:dyDescent="0.25">
      <c r="A567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0</v>
      </c>
      <c r="I570">
        <v>11</v>
      </c>
      <c r="J570">
        <v>0</v>
      </c>
    </row>
    <row r="571" spans="1:10" x14ac:dyDescent="0.25">
      <c r="A57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7172010011000700</v>
      </c>
      <c r="C577">
        <v>60</v>
      </c>
      <c r="D577">
        <v>0</v>
      </c>
      <c r="E577">
        <v>0</v>
      </c>
      <c r="F577">
        <v>2</v>
      </c>
      <c r="G577">
        <v>0</v>
      </c>
      <c r="H577">
        <v>0</v>
      </c>
      <c r="I577">
        <v>58</v>
      </c>
      <c r="J577">
        <v>0</v>
      </c>
    </row>
    <row r="578" spans="1:10" x14ac:dyDescent="0.25">
      <c r="A578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7172010011000800</v>
      </c>
      <c r="C579">
        <v>46</v>
      </c>
      <c r="D579">
        <v>0</v>
      </c>
      <c r="E579">
        <v>1</v>
      </c>
      <c r="F579">
        <v>18</v>
      </c>
      <c r="G579">
        <v>0</v>
      </c>
      <c r="H579">
        <v>0</v>
      </c>
      <c r="I579">
        <v>27</v>
      </c>
      <c r="J579">
        <v>0</v>
      </c>
    </row>
    <row r="580" spans="1:10" x14ac:dyDescent="0.25">
      <c r="A580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7172010011002200</v>
      </c>
      <c r="C590">
        <v>87</v>
      </c>
      <c r="D590">
        <v>0</v>
      </c>
      <c r="E590">
        <v>3</v>
      </c>
      <c r="F590">
        <v>10</v>
      </c>
      <c r="G590">
        <v>0</v>
      </c>
      <c r="H590">
        <v>0</v>
      </c>
      <c r="I590">
        <v>74</v>
      </c>
      <c r="J590">
        <v>0</v>
      </c>
    </row>
    <row r="591" spans="1:10" x14ac:dyDescent="0.25">
      <c r="A59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0</v>
      </c>
      <c r="I591">
        <v>56</v>
      </c>
      <c r="J591">
        <v>0</v>
      </c>
    </row>
    <row r="592" spans="1:10" x14ac:dyDescent="0.25">
      <c r="A592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7172010015003100</v>
      </c>
      <c r="C604">
        <v>137</v>
      </c>
      <c r="D604">
        <v>0</v>
      </c>
      <c r="E604">
        <v>27</v>
      </c>
      <c r="F604">
        <v>46</v>
      </c>
      <c r="G604">
        <v>0</v>
      </c>
      <c r="H604">
        <v>0</v>
      </c>
      <c r="I604">
        <v>64</v>
      </c>
      <c r="J604">
        <v>0</v>
      </c>
    </row>
    <row r="605" spans="1:10" x14ac:dyDescent="0.25">
      <c r="A605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21</v>
      </c>
      <c r="B611">
        <v>7172010015001500</v>
      </c>
      <c r="C611">
        <v>116</v>
      </c>
      <c r="D611">
        <v>5</v>
      </c>
      <c r="E611">
        <v>0</v>
      </c>
      <c r="F611">
        <v>10</v>
      </c>
      <c r="G611">
        <v>1</v>
      </c>
      <c r="H611">
        <v>0</v>
      </c>
      <c r="I611">
        <v>100</v>
      </c>
      <c r="J611">
        <v>0</v>
      </c>
    </row>
    <row r="612" spans="1:10" x14ac:dyDescent="0.25">
      <c r="A612" t="s">
        <v>21</v>
      </c>
      <c r="B612">
        <v>7172010015001600</v>
      </c>
      <c r="C612">
        <v>112</v>
      </c>
      <c r="D612">
        <v>0</v>
      </c>
      <c r="E612">
        <v>0</v>
      </c>
      <c r="F612">
        <v>112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7172010008001000</v>
      </c>
      <c r="C617">
        <v>186</v>
      </c>
      <c r="D617">
        <v>9</v>
      </c>
      <c r="E617">
        <v>7</v>
      </c>
      <c r="F617">
        <v>54</v>
      </c>
      <c r="G617">
        <v>0</v>
      </c>
      <c r="H617">
        <v>0</v>
      </c>
      <c r="I617">
        <v>116</v>
      </c>
      <c r="J617">
        <v>0</v>
      </c>
    </row>
    <row r="618" spans="1:10" x14ac:dyDescent="0.25">
      <c r="A618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7172010017001200</v>
      </c>
      <c r="C623">
        <v>121</v>
      </c>
      <c r="D623">
        <v>0</v>
      </c>
      <c r="E623">
        <v>4</v>
      </c>
      <c r="F623">
        <v>101</v>
      </c>
      <c r="G623">
        <v>0</v>
      </c>
      <c r="H623">
        <v>0</v>
      </c>
      <c r="I623">
        <v>16</v>
      </c>
      <c r="J623">
        <v>0</v>
      </c>
    </row>
    <row r="624" spans="1:10" x14ac:dyDescent="0.25">
      <c r="A624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0</v>
      </c>
      <c r="I624">
        <v>90</v>
      </c>
      <c r="J624">
        <v>0</v>
      </c>
    </row>
    <row r="625" spans="1:10" x14ac:dyDescent="0.25">
      <c r="A625" t="s">
        <v>237</v>
      </c>
      <c r="B625">
        <v>7172010017001100</v>
      </c>
      <c r="C625">
        <v>80</v>
      </c>
      <c r="D625">
        <v>0</v>
      </c>
      <c r="E625">
        <v>1</v>
      </c>
      <c r="F625">
        <v>75</v>
      </c>
      <c r="G625">
        <v>0</v>
      </c>
      <c r="H625">
        <v>0</v>
      </c>
      <c r="I625">
        <v>4</v>
      </c>
      <c r="J625">
        <v>0</v>
      </c>
    </row>
    <row r="626" spans="1:10" x14ac:dyDescent="0.25">
      <c r="A626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7172011001000700</v>
      </c>
      <c r="C632">
        <v>150</v>
      </c>
      <c r="D632">
        <v>17</v>
      </c>
      <c r="E632">
        <v>0</v>
      </c>
      <c r="F632">
        <v>66</v>
      </c>
      <c r="G632">
        <v>1</v>
      </c>
      <c r="H632">
        <v>0</v>
      </c>
      <c r="I632">
        <v>66</v>
      </c>
      <c r="J632">
        <v>0</v>
      </c>
    </row>
    <row r="633" spans="1:10" x14ac:dyDescent="0.25">
      <c r="A633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7172011011000500</v>
      </c>
      <c r="C640">
        <v>82</v>
      </c>
      <c r="D640">
        <v>6</v>
      </c>
      <c r="E640">
        <v>6</v>
      </c>
      <c r="F640">
        <v>4</v>
      </c>
      <c r="G640">
        <v>0</v>
      </c>
      <c r="H640">
        <v>0</v>
      </c>
      <c r="I640">
        <v>66</v>
      </c>
      <c r="J640">
        <v>0</v>
      </c>
    </row>
    <row r="641" spans="1:10" x14ac:dyDescent="0.25">
      <c r="A641" t="s">
        <v>29</v>
      </c>
      <c r="B641">
        <v>7172011002001200</v>
      </c>
      <c r="C641">
        <v>78</v>
      </c>
      <c r="D641">
        <v>0</v>
      </c>
      <c r="E641">
        <v>3</v>
      </c>
      <c r="F641">
        <v>71</v>
      </c>
      <c r="G641">
        <v>0</v>
      </c>
      <c r="H641">
        <v>0</v>
      </c>
      <c r="I641">
        <v>4</v>
      </c>
      <c r="J641">
        <v>0</v>
      </c>
    </row>
    <row r="642" spans="1:10" x14ac:dyDescent="0.25">
      <c r="A642" t="s">
        <v>29</v>
      </c>
      <c r="B642">
        <v>7172011002001400</v>
      </c>
      <c r="C642">
        <v>77</v>
      </c>
      <c r="D642">
        <v>0</v>
      </c>
      <c r="E642">
        <v>0</v>
      </c>
      <c r="F642">
        <v>77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30</v>
      </c>
      <c r="B649">
        <v>7172011003001803</v>
      </c>
      <c r="C649">
        <v>140</v>
      </c>
      <c r="D649">
        <v>0</v>
      </c>
      <c r="E649">
        <v>14</v>
      </c>
      <c r="F649">
        <v>65</v>
      </c>
      <c r="G649">
        <v>0</v>
      </c>
      <c r="H649">
        <v>0</v>
      </c>
      <c r="I649">
        <v>61</v>
      </c>
      <c r="J649">
        <v>0</v>
      </c>
    </row>
    <row r="650" spans="1:10" x14ac:dyDescent="0.25">
      <c r="A650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32</v>
      </c>
      <c r="B655">
        <v>7172011003000300</v>
      </c>
      <c r="C655">
        <v>171</v>
      </c>
      <c r="D655">
        <v>3</v>
      </c>
      <c r="E655">
        <v>3</v>
      </c>
      <c r="F655">
        <v>121</v>
      </c>
      <c r="G655">
        <v>0</v>
      </c>
      <c r="H655">
        <v>0</v>
      </c>
      <c r="I655">
        <v>44</v>
      </c>
      <c r="J655">
        <v>0</v>
      </c>
    </row>
    <row r="656" spans="1:10" x14ac:dyDescent="0.25">
      <c r="A656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33</v>
      </c>
      <c r="B660">
        <v>7172011014001702</v>
      </c>
      <c r="C660">
        <v>111</v>
      </c>
      <c r="D660">
        <v>63</v>
      </c>
      <c r="E660">
        <v>13</v>
      </c>
      <c r="F660">
        <v>7</v>
      </c>
      <c r="G660">
        <v>0</v>
      </c>
      <c r="H660">
        <v>0</v>
      </c>
      <c r="I660">
        <v>28</v>
      </c>
      <c r="J660">
        <v>0</v>
      </c>
    </row>
    <row r="661" spans="1:10" x14ac:dyDescent="0.25">
      <c r="A66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34</v>
      </c>
      <c r="B666">
        <v>7172011003001600</v>
      </c>
      <c r="C666">
        <v>121</v>
      </c>
      <c r="D666">
        <v>0</v>
      </c>
      <c r="E666">
        <v>18</v>
      </c>
      <c r="F666">
        <v>34</v>
      </c>
      <c r="G666">
        <v>0</v>
      </c>
      <c r="H666">
        <v>0</v>
      </c>
      <c r="I666">
        <v>69</v>
      </c>
      <c r="J666">
        <v>0</v>
      </c>
    </row>
    <row r="667" spans="1:10" x14ac:dyDescent="0.25">
      <c r="A667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40</v>
      </c>
      <c r="B673">
        <v>7172011004000700</v>
      </c>
      <c r="C673">
        <v>123</v>
      </c>
      <c r="D673">
        <v>13</v>
      </c>
      <c r="E673">
        <v>51</v>
      </c>
      <c r="F673">
        <v>55</v>
      </c>
      <c r="G673">
        <v>4</v>
      </c>
      <c r="H673">
        <v>0</v>
      </c>
      <c r="I673">
        <v>0</v>
      </c>
      <c r="J673">
        <v>0</v>
      </c>
    </row>
    <row r="674" spans="1:10" x14ac:dyDescent="0.25">
      <c r="A674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7172011011000900</v>
      </c>
      <c r="C678">
        <v>64</v>
      </c>
      <c r="D678">
        <v>15</v>
      </c>
      <c r="E678">
        <v>3</v>
      </c>
      <c r="F678">
        <v>13</v>
      </c>
      <c r="G678">
        <v>1</v>
      </c>
      <c r="H678">
        <v>0</v>
      </c>
      <c r="I678">
        <v>32</v>
      </c>
      <c r="J678">
        <v>0</v>
      </c>
    </row>
    <row r="679" spans="1:10" x14ac:dyDescent="0.25">
      <c r="A679" t="s">
        <v>43</v>
      </c>
      <c r="B679">
        <v>7172011011000600</v>
      </c>
      <c r="C679">
        <v>59</v>
      </c>
      <c r="D679">
        <v>1</v>
      </c>
      <c r="E679">
        <v>0</v>
      </c>
      <c r="F679">
        <v>44</v>
      </c>
      <c r="G679">
        <v>0</v>
      </c>
      <c r="H679">
        <v>0</v>
      </c>
      <c r="I679">
        <v>14</v>
      </c>
      <c r="J679">
        <v>0</v>
      </c>
    </row>
    <row r="680" spans="1:10" x14ac:dyDescent="0.25">
      <c r="A680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43</v>
      </c>
      <c r="B686">
        <v>7172011011000700</v>
      </c>
      <c r="C686">
        <v>22</v>
      </c>
      <c r="D686">
        <v>0</v>
      </c>
      <c r="E686">
        <v>0</v>
      </c>
      <c r="F686">
        <v>20</v>
      </c>
      <c r="G686">
        <v>0</v>
      </c>
      <c r="H686">
        <v>0</v>
      </c>
      <c r="I686">
        <v>2</v>
      </c>
      <c r="J686">
        <v>0</v>
      </c>
    </row>
    <row r="687" spans="1:10" x14ac:dyDescent="0.25">
      <c r="A687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47</v>
      </c>
      <c r="B689">
        <v>7172011014000600</v>
      </c>
      <c r="C689">
        <v>166</v>
      </c>
      <c r="D689">
        <v>0</v>
      </c>
      <c r="E689">
        <v>4</v>
      </c>
      <c r="F689">
        <v>116</v>
      </c>
      <c r="G689">
        <v>0</v>
      </c>
      <c r="H689">
        <v>0</v>
      </c>
      <c r="I689">
        <v>46</v>
      </c>
      <c r="J689">
        <v>0</v>
      </c>
    </row>
    <row r="690" spans="1:10" x14ac:dyDescent="0.25">
      <c r="A690" t="s">
        <v>47</v>
      </c>
      <c r="B690">
        <v>7172011014000300</v>
      </c>
      <c r="C690">
        <v>162</v>
      </c>
      <c r="D690">
        <v>0</v>
      </c>
      <c r="E690">
        <v>0</v>
      </c>
      <c r="F690">
        <v>162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7172011014001200</v>
      </c>
      <c r="C694">
        <v>190</v>
      </c>
      <c r="D694">
        <v>4</v>
      </c>
      <c r="E694">
        <v>41</v>
      </c>
      <c r="F694">
        <v>77</v>
      </c>
      <c r="G694">
        <v>1</v>
      </c>
      <c r="H694">
        <v>0</v>
      </c>
      <c r="I694">
        <v>67</v>
      </c>
      <c r="J694">
        <v>0</v>
      </c>
    </row>
    <row r="695" spans="1:10" x14ac:dyDescent="0.25">
      <c r="A695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51</v>
      </c>
      <c r="B700">
        <v>7172012001000500</v>
      </c>
      <c r="C700">
        <v>173</v>
      </c>
      <c r="D700">
        <v>0</v>
      </c>
      <c r="E700">
        <v>21</v>
      </c>
      <c r="F700">
        <v>75</v>
      </c>
      <c r="G700">
        <v>1</v>
      </c>
      <c r="H700">
        <v>0</v>
      </c>
      <c r="I700">
        <v>76</v>
      </c>
      <c r="J700">
        <v>0</v>
      </c>
    </row>
    <row r="701" spans="1:10" x14ac:dyDescent="0.25">
      <c r="A70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52</v>
      </c>
      <c r="B703">
        <v>7172012001000700</v>
      </c>
      <c r="C703">
        <v>263</v>
      </c>
      <c r="D703">
        <v>2</v>
      </c>
      <c r="E703">
        <v>13</v>
      </c>
      <c r="F703">
        <v>166</v>
      </c>
      <c r="G703">
        <v>0</v>
      </c>
      <c r="H703">
        <v>0</v>
      </c>
      <c r="I703">
        <v>82</v>
      </c>
      <c r="J703">
        <v>0</v>
      </c>
    </row>
    <row r="704" spans="1:10" x14ac:dyDescent="0.25">
      <c r="A704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49</v>
      </c>
      <c r="B707">
        <v>7172012001000100</v>
      </c>
      <c r="C707">
        <v>117</v>
      </c>
      <c r="D707">
        <v>3</v>
      </c>
      <c r="E707">
        <v>1</v>
      </c>
      <c r="F707">
        <v>80</v>
      </c>
      <c r="G707">
        <v>3</v>
      </c>
      <c r="H707">
        <v>0</v>
      </c>
      <c r="I707">
        <v>30</v>
      </c>
      <c r="J707">
        <v>0</v>
      </c>
    </row>
    <row r="708" spans="1:10" x14ac:dyDescent="0.25">
      <c r="A708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53</v>
      </c>
      <c r="B711">
        <v>7172012002000200</v>
      </c>
      <c r="C711">
        <v>167</v>
      </c>
      <c r="D711">
        <v>0</v>
      </c>
      <c r="E711">
        <v>2</v>
      </c>
      <c r="F711">
        <v>106</v>
      </c>
      <c r="G711">
        <v>0</v>
      </c>
      <c r="H711">
        <v>0</v>
      </c>
      <c r="I711">
        <v>59</v>
      </c>
      <c r="J711">
        <v>0</v>
      </c>
    </row>
    <row r="712" spans="1:10" x14ac:dyDescent="0.25">
      <c r="A712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58</v>
      </c>
      <c r="B719">
        <v>7172012003000300</v>
      </c>
      <c r="C719">
        <v>71</v>
      </c>
      <c r="D719">
        <v>1</v>
      </c>
      <c r="E719">
        <v>21</v>
      </c>
      <c r="F719">
        <v>26</v>
      </c>
      <c r="G719">
        <v>2</v>
      </c>
      <c r="H719">
        <v>0</v>
      </c>
      <c r="I719">
        <v>21</v>
      </c>
      <c r="J719">
        <v>0</v>
      </c>
    </row>
    <row r="720" spans="1:10" x14ac:dyDescent="0.25">
      <c r="A720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58</v>
      </c>
      <c r="B722">
        <v>7172012003000200</v>
      </c>
      <c r="C722">
        <v>54</v>
      </c>
      <c r="D722">
        <v>12</v>
      </c>
      <c r="E722">
        <v>6</v>
      </c>
      <c r="F722">
        <v>8</v>
      </c>
      <c r="G722">
        <v>6</v>
      </c>
      <c r="H722">
        <v>0</v>
      </c>
      <c r="I722">
        <v>22</v>
      </c>
      <c r="J722">
        <v>0</v>
      </c>
    </row>
    <row r="723" spans="1:10" x14ac:dyDescent="0.25">
      <c r="A723" t="s">
        <v>57</v>
      </c>
      <c r="B723">
        <v>7172012003001100</v>
      </c>
      <c r="C723">
        <v>121</v>
      </c>
      <c r="D723">
        <v>29</v>
      </c>
      <c r="E723">
        <v>11</v>
      </c>
      <c r="F723">
        <v>36</v>
      </c>
      <c r="G723">
        <v>0</v>
      </c>
      <c r="H723">
        <v>0</v>
      </c>
      <c r="I723">
        <v>45</v>
      </c>
      <c r="J723">
        <v>0</v>
      </c>
    </row>
    <row r="724" spans="1:10" x14ac:dyDescent="0.25">
      <c r="A724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57</v>
      </c>
      <c r="B729">
        <v>7172012003000500</v>
      </c>
      <c r="C729">
        <v>54</v>
      </c>
      <c r="D729">
        <v>0</v>
      </c>
      <c r="E729">
        <v>3</v>
      </c>
      <c r="F729">
        <v>43</v>
      </c>
      <c r="G729">
        <v>0</v>
      </c>
      <c r="H729">
        <v>0</v>
      </c>
      <c r="I729">
        <v>8</v>
      </c>
      <c r="J729">
        <v>0</v>
      </c>
    </row>
    <row r="730" spans="1:10" x14ac:dyDescent="0.25">
      <c r="A730" t="s">
        <v>57</v>
      </c>
      <c r="B730">
        <v>7172012003000100</v>
      </c>
      <c r="C730">
        <v>52</v>
      </c>
      <c r="D730">
        <v>0</v>
      </c>
      <c r="E730">
        <v>0</v>
      </c>
      <c r="F730">
        <v>52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7172012004000500</v>
      </c>
      <c r="C731">
        <v>167</v>
      </c>
      <c r="D731">
        <v>6</v>
      </c>
      <c r="E731">
        <v>16</v>
      </c>
      <c r="F731">
        <v>58</v>
      </c>
      <c r="G731">
        <v>0</v>
      </c>
      <c r="H731">
        <v>0</v>
      </c>
      <c r="I731">
        <v>87</v>
      </c>
      <c r="J731">
        <v>0</v>
      </c>
    </row>
    <row r="732" spans="1:10" x14ac:dyDescent="0.25">
      <c r="A732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61</v>
      </c>
      <c r="B738">
        <v>7172012004001100</v>
      </c>
      <c r="C738">
        <v>171</v>
      </c>
      <c r="D738">
        <v>11</v>
      </c>
      <c r="E738">
        <v>9</v>
      </c>
      <c r="F738">
        <v>94</v>
      </c>
      <c r="G738">
        <v>1</v>
      </c>
      <c r="H738">
        <v>0</v>
      </c>
      <c r="I738">
        <v>56</v>
      </c>
      <c r="J738">
        <v>0</v>
      </c>
    </row>
    <row r="739" spans="1:10" x14ac:dyDescent="0.25">
      <c r="A739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7172012005000400</v>
      </c>
      <c r="C744">
        <v>54</v>
      </c>
      <c r="D744">
        <v>0</v>
      </c>
      <c r="E744">
        <v>0</v>
      </c>
      <c r="F744">
        <v>26</v>
      </c>
      <c r="G744">
        <v>0</v>
      </c>
      <c r="H744">
        <v>0</v>
      </c>
      <c r="I744">
        <v>28</v>
      </c>
      <c r="J744">
        <v>0</v>
      </c>
    </row>
    <row r="745" spans="1:10" x14ac:dyDescent="0.25">
      <c r="A745" t="s">
        <v>66</v>
      </c>
      <c r="B745">
        <v>7172012005000500</v>
      </c>
      <c r="C745">
        <v>53</v>
      </c>
      <c r="D745">
        <v>0</v>
      </c>
      <c r="E745">
        <v>1</v>
      </c>
      <c r="F745">
        <v>21</v>
      </c>
      <c r="G745">
        <v>0</v>
      </c>
      <c r="H745">
        <v>0</v>
      </c>
      <c r="I745">
        <v>31</v>
      </c>
      <c r="J745">
        <v>0</v>
      </c>
    </row>
    <row r="746" spans="1:10" x14ac:dyDescent="0.25">
      <c r="A746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8</v>
      </c>
      <c r="H749">
        <v>0</v>
      </c>
      <c r="I749">
        <v>28</v>
      </c>
      <c r="J749">
        <v>0</v>
      </c>
    </row>
    <row r="750" spans="1:10" x14ac:dyDescent="0.25">
      <c r="A750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7172012007002000</v>
      </c>
      <c r="C753">
        <v>118</v>
      </c>
      <c r="D753">
        <v>0</v>
      </c>
      <c r="E753">
        <v>14</v>
      </c>
      <c r="F753">
        <v>15</v>
      </c>
      <c r="G753">
        <v>0</v>
      </c>
      <c r="H753">
        <v>0</v>
      </c>
      <c r="I753">
        <v>89</v>
      </c>
      <c r="J753">
        <v>0</v>
      </c>
    </row>
    <row r="754" spans="1:10" x14ac:dyDescent="0.25">
      <c r="A754" t="s">
        <v>68</v>
      </c>
      <c r="B754">
        <v>7172012007001700</v>
      </c>
      <c r="C754">
        <v>116</v>
      </c>
      <c r="D754">
        <v>0</v>
      </c>
      <c r="E754">
        <v>0</v>
      </c>
      <c r="F754">
        <v>116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0</v>
      </c>
      <c r="I757">
        <v>1</v>
      </c>
      <c r="J757">
        <v>0</v>
      </c>
    </row>
    <row r="758" spans="1:10" x14ac:dyDescent="0.25">
      <c r="A758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69</v>
      </c>
      <c r="B765">
        <v>7172012006000802</v>
      </c>
      <c r="C765">
        <v>79</v>
      </c>
      <c r="D765">
        <v>0</v>
      </c>
      <c r="E765">
        <v>13</v>
      </c>
      <c r="F765">
        <v>49</v>
      </c>
      <c r="G765">
        <v>0</v>
      </c>
      <c r="H765">
        <v>0</v>
      </c>
      <c r="I765">
        <v>17</v>
      </c>
      <c r="J765">
        <v>0</v>
      </c>
    </row>
    <row r="766" spans="1:10" x14ac:dyDescent="0.25">
      <c r="A766" t="s">
        <v>69</v>
      </c>
      <c r="B766">
        <v>7172012006000500</v>
      </c>
      <c r="C766">
        <v>73</v>
      </c>
      <c r="D766">
        <v>0</v>
      </c>
      <c r="E766">
        <v>3</v>
      </c>
      <c r="F766">
        <v>21</v>
      </c>
      <c r="G766">
        <v>0</v>
      </c>
      <c r="H766">
        <v>0</v>
      </c>
      <c r="I766">
        <v>49</v>
      </c>
      <c r="J766">
        <v>0</v>
      </c>
    </row>
    <row r="767" spans="1:10" x14ac:dyDescent="0.25">
      <c r="A767" t="s">
        <v>55</v>
      </c>
      <c r="B767">
        <v>7172012006001800</v>
      </c>
      <c r="C767">
        <v>147</v>
      </c>
      <c r="D767">
        <v>0</v>
      </c>
      <c r="E767">
        <v>0</v>
      </c>
      <c r="F767">
        <v>74</v>
      </c>
      <c r="G767">
        <v>0</v>
      </c>
      <c r="H767">
        <v>0</v>
      </c>
      <c r="I767">
        <v>73</v>
      </c>
      <c r="J767">
        <v>0</v>
      </c>
    </row>
    <row r="768" spans="1:10" x14ac:dyDescent="0.25">
      <c r="A768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73</v>
      </c>
      <c r="B773">
        <v>7172012007001500</v>
      </c>
      <c r="C773">
        <v>101</v>
      </c>
      <c r="D773">
        <v>0</v>
      </c>
      <c r="E773">
        <v>15</v>
      </c>
      <c r="F773">
        <v>33</v>
      </c>
      <c r="G773">
        <v>0</v>
      </c>
      <c r="H773">
        <v>0</v>
      </c>
      <c r="I773">
        <v>53</v>
      </c>
      <c r="J773">
        <v>0</v>
      </c>
    </row>
    <row r="774" spans="1:10" x14ac:dyDescent="0.25">
      <c r="A774" t="s">
        <v>73</v>
      </c>
      <c r="B774">
        <v>7172012007001400</v>
      </c>
      <c r="C774">
        <v>95</v>
      </c>
      <c r="D774">
        <v>0</v>
      </c>
      <c r="E774">
        <v>0</v>
      </c>
      <c r="F774">
        <v>95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77</v>
      </c>
      <c r="B778">
        <v>7172021003000200</v>
      </c>
      <c r="C778">
        <v>106</v>
      </c>
      <c r="D778">
        <v>20</v>
      </c>
      <c r="E778">
        <v>20</v>
      </c>
      <c r="F778">
        <v>41</v>
      </c>
      <c r="G778">
        <v>0</v>
      </c>
      <c r="H778">
        <v>0</v>
      </c>
      <c r="I778">
        <v>25</v>
      </c>
      <c r="J778">
        <v>0</v>
      </c>
    </row>
    <row r="779" spans="1:10" x14ac:dyDescent="0.25">
      <c r="A779" t="s">
        <v>77</v>
      </c>
      <c r="B779">
        <v>7172021003000400</v>
      </c>
      <c r="C779">
        <v>100</v>
      </c>
      <c r="D779">
        <v>15</v>
      </c>
      <c r="E779">
        <v>0</v>
      </c>
      <c r="F779">
        <v>75</v>
      </c>
      <c r="G779">
        <v>0</v>
      </c>
      <c r="H779">
        <v>0</v>
      </c>
      <c r="I779">
        <v>10</v>
      </c>
      <c r="J779">
        <v>0</v>
      </c>
    </row>
    <row r="780" spans="1:10" x14ac:dyDescent="0.25">
      <c r="A780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80</v>
      </c>
      <c r="B788">
        <v>7172021006001300</v>
      </c>
      <c r="C788">
        <v>45</v>
      </c>
      <c r="D788">
        <v>0</v>
      </c>
      <c r="E788">
        <v>0</v>
      </c>
      <c r="F788">
        <v>1</v>
      </c>
      <c r="G788">
        <v>0</v>
      </c>
      <c r="H788">
        <v>0</v>
      </c>
      <c r="I788">
        <v>44</v>
      </c>
      <c r="J788">
        <v>0</v>
      </c>
    </row>
    <row r="789" spans="1:10" x14ac:dyDescent="0.25">
      <c r="A789" t="s">
        <v>80</v>
      </c>
      <c r="B789">
        <v>7172021006000800</v>
      </c>
      <c r="C789">
        <v>44</v>
      </c>
      <c r="D789">
        <v>0</v>
      </c>
      <c r="E789">
        <v>3</v>
      </c>
      <c r="F789">
        <v>41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7172021006001600</v>
      </c>
      <c r="C792">
        <v>68</v>
      </c>
      <c r="D792">
        <v>0</v>
      </c>
      <c r="E792">
        <v>2</v>
      </c>
      <c r="F792">
        <v>41</v>
      </c>
      <c r="G792">
        <v>0</v>
      </c>
      <c r="H792">
        <v>0</v>
      </c>
      <c r="I792">
        <v>25</v>
      </c>
      <c r="J792">
        <v>0</v>
      </c>
    </row>
    <row r="793" spans="1:10" x14ac:dyDescent="0.25">
      <c r="A793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239</v>
      </c>
      <c r="B797">
        <v>7172021006001700</v>
      </c>
      <c r="C797">
        <v>40</v>
      </c>
      <c r="D797">
        <v>0</v>
      </c>
      <c r="E797">
        <v>2</v>
      </c>
      <c r="F797">
        <v>21</v>
      </c>
      <c r="G797">
        <v>1</v>
      </c>
      <c r="H797">
        <v>0</v>
      </c>
      <c r="I797">
        <v>16</v>
      </c>
      <c r="J797">
        <v>0</v>
      </c>
    </row>
    <row r="798" spans="1:10" x14ac:dyDescent="0.25">
      <c r="A798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82</v>
      </c>
      <c r="B804">
        <v>7172022001000100</v>
      </c>
      <c r="C804">
        <v>81</v>
      </c>
      <c r="D804">
        <v>0</v>
      </c>
      <c r="E804">
        <v>10</v>
      </c>
      <c r="F804">
        <v>31</v>
      </c>
      <c r="G804">
        <v>0</v>
      </c>
      <c r="H804">
        <v>0</v>
      </c>
      <c r="I804">
        <v>40</v>
      </c>
      <c r="J804">
        <v>0</v>
      </c>
    </row>
    <row r="805" spans="1:10" x14ac:dyDescent="0.25">
      <c r="A805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7172022002000100</v>
      </c>
      <c r="C806">
        <v>86</v>
      </c>
      <c r="D806">
        <v>0</v>
      </c>
      <c r="E806">
        <v>3</v>
      </c>
      <c r="F806">
        <v>44</v>
      </c>
      <c r="G806">
        <v>1</v>
      </c>
      <c r="H806">
        <v>0</v>
      </c>
      <c r="I806">
        <v>38</v>
      </c>
      <c r="J806">
        <v>0</v>
      </c>
    </row>
    <row r="807" spans="1:10" x14ac:dyDescent="0.25">
      <c r="A807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7172022009000500</v>
      </c>
      <c r="C815">
        <v>67</v>
      </c>
      <c r="D815">
        <v>0</v>
      </c>
      <c r="E815">
        <v>4</v>
      </c>
      <c r="F815">
        <v>59</v>
      </c>
      <c r="G815">
        <v>0</v>
      </c>
      <c r="H815">
        <v>0</v>
      </c>
      <c r="I815">
        <v>4</v>
      </c>
      <c r="J815">
        <v>0</v>
      </c>
    </row>
    <row r="816" spans="1:10" x14ac:dyDescent="0.25">
      <c r="A816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7172022003000100</v>
      </c>
      <c r="C817">
        <v>54</v>
      </c>
      <c r="D817">
        <v>0</v>
      </c>
      <c r="E817">
        <v>2</v>
      </c>
      <c r="F817">
        <v>12</v>
      </c>
      <c r="G817">
        <v>0</v>
      </c>
      <c r="H817">
        <v>0</v>
      </c>
      <c r="I817">
        <v>40</v>
      </c>
      <c r="J817">
        <v>0</v>
      </c>
    </row>
    <row r="818" spans="1:10" x14ac:dyDescent="0.25">
      <c r="A818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7172022004000100</v>
      </c>
      <c r="C826">
        <v>46</v>
      </c>
      <c r="D826">
        <v>0</v>
      </c>
      <c r="E826">
        <v>0</v>
      </c>
      <c r="F826">
        <v>1</v>
      </c>
      <c r="G826">
        <v>0</v>
      </c>
      <c r="H826">
        <v>0</v>
      </c>
      <c r="I826">
        <v>45</v>
      </c>
      <c r="J826">
        <v>0</v>
      </c>
    </row>
    <row r="827" spans="1:10" x14ac:dyDescent="0.25">
      <c r="A827" t="s">
        <v>87</v>
      </c>
      <c r="B827">
        <v>7172022004000200</v>
      </c>
      <c r="C827">
        <v>41</v>
      </c>
      <c r="D827">
        <v>0</v>
      </c>
      <c r="E827">
        <v>2</v>
      </c>
      <c r="F827">
        <v>29</v>
      </c>
      <c r="G827">
        <v>0</v>
      </c>
      <c r="H827">
        <v>0</v>
      </c>
      <c r="I827">
        <v>10</v>
      </c>
      <c r="J827">
        <v>0</v>
      </c>
    </row>
    <row r="828" spans="1:10" x14ac:dyDescent="0.25">
      <c r="A828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240</v>
      </c>
      <c r="B835">
        <v>7172022008000100</v>
      </c>
      <c r="C835">
        <v>66</v>
      </c>
      <c r="D835">
        <v>0</v>
      </c>
      <c r="E835">
        <v>0</v>
      </c>
      <c r="F835">
        <v>35</v>
      </c>
      <c r="G835">
        <v>0</v>
      </c>
      <c r="H835">
        <v>0</v>
      </c>
      <c r="I835">
        <v>31</v>
      </c>
      <c r="J835">
        <v>0</v>
      </c>
    </row>
    <row r="836" spans="1:10" x14ac:dyDescent="0.25">
      <c r="A836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240</v>
      </c>
      <c r="B839">
        <v>7172022008000300</v>
      </c>
      <c r="C839">
        <v>56</v>
      </c>
      <c r="D839">
        <v>0</v>
      </c>
      <c r="E839">
        <v>1</v>
      </c>
      <c r="F839">
        <v>54</v>
      </c>
      <c r="G839">
        <v>0</v>
      </c>
      <c r="H839">
        <v>0</v>
      </c>
      <c r="I839">
        <v>1</v>
      </c>
      <c r="J839">
        <v>0</v>
      </c>
    </row>
    <row r="840" spans="1:10" x14ac:dyDescent="0.25">
      <c r="A840" t="s">
        <v>240</v>
      </c>
      <c r="B840">
        <v>7172022008000200</v>
      </c>
      <c r="C840">
        <v>49</v>
      </c>
      <c r="D840">
        <v>0</v>
      </c>
      <c r="E840">
        <v>2</v>
      </c>
      <c r="F840">
        <v>17</v>
      </c>
      <c r="G840">
        <v>0</v>
      </c>
      <c r="H840">
        <v>0</v>
      </c>
      <c r="I840">
        <v>30</v>
      </c>
      <c r="J840">
        <v>0</v>
      </c>
    </row>
    <row r="841" spans="1:10" x14ac:dyDescent="0.25">
      <c r="A84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94</v>
      </c>
      <c r="B845">
        <v>7172030007001100</v>
      </c>
      <c r="C845">
        <v>57</v>
      </c>
      <c r="D845">
        <v>0</v>
      </c>
      <c r="E845">
        <v>5</v>
      </c>
      <c r="F845">
        <v>20</v>
      </c>
      <c r="G845">
        <v>0</v>
      </c>
      <c r="H845">
        <v>0</v>
      </c>
      <c r="I845">
        <v>32</v>
      </c>
      <c r="J845">
        <v>0</v>
      </c>
    </row>
    <row r="846" spans="1:10" x14ac:dyDescent="0.25">
      <c r="A846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94</v>
      </c>
      <c r="B847">
        <v>7172030007001200</v>
      </c>
      <c r="C847">
        <v>49</v>
      </c>
      <c r="D847">
        <v>0</v>
      </c>
      <c r="E847">
        <v>17</v>
      </c>
      <c r="F847">
        <v>29</v>
      </c>
      <c r="G847">
        <v>0</v>
      </c>
      <c r="H847">
        <v>0</v>
      </c>
      <c r="I847">
        <v>3</v>
      </c>
      <c r="J847">
        <v>0</v>
      </c>
    </row>
    <row r="848" spans="1:10" x14ac:dyDescent="0.25">
      <c r="A848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7172030017000500</v>
      </c>
      <c r="C851">
        <v>85</v>
      </c>
      <c r="D851">
        <v>0</v>
      </c>
      <c r="E851">
        <v>30</v>
      </c>
      <c r="F851">
        <v>15</v>
      </c>
      <c r="G851">
        <v>0</v>
      </c>
      <c r="H851">
        <v>0</v>
      </c>
      <c r="I851">
        <v>40</v>
      </c>
      <c r="J851">
        <v>0</v>
      </c>
    </row>
    <row r="852" spans="1:10" x14ac:dyDescent="0.25">
      <c r="A852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98</v>
      </c>
      <c r="B865">
        <v>7172030012001100</v>
      </c>
      <c r="C865">
        <v>87</v>
      </c>
      <c r="D865">
        <v>0</v>
      </c>
      <c r="E865">
        <v>26</v>
      </c>
      <c r="F865">
        <v>56</v>
      </c>
      <c r="G865">
        <v>0</v>
      </c>
      <c r="H865">
        <v>0</v>
      </c>
      <c r="I865">
        <v>5</v>
      </c>
      <c r="J865">
        <v>0</v>
      </c>
    </row>
    <row r="866" spans="1:10" x14ac:dyDescent="0.25">
      <c r="A866" t="s">
        <v>98</v>
      </c>
      <c r="B866">
        <v>7172030012000600</v>
      </c>
      <c r="C866">
        <v>81</v>
      </c>
      <c r="D866">
        <v>0</v>
      </c>
      <c r="E866">
        <v>0</v>
      </c>
      <c r="F866">
        <v>81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98</v>
      </c>
      <c r="B869">
        <v>7172030012001500</v>
      </c>
      <c r="C869">
        <v>50</v>
      </c>
      <c r="D869">
        <v>22</v>
      </c>
      <c r="E869">
        <v>2</v>
      </c>
      <c r="F869">
        <v>9</v>
      </c>
      <c r="G869">
        <v>0</v>
      </c>
      <c r="H869">
        <v>0</v>
      </c>
      <c r="I869">
        <v>17</v>
      </c>
      <c r="J869">
        <v>0</v>
      </c>
    </row>
    <row r="870" spans="1:10" x14ac:dyDescent="0.25">
      <c r="A870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7172030013000200</v>
      </c>
      <c r="C871">
        <v>85</v>
      </c>
      <c r="D871">
        <v>0</v>
      </c>
      <c r="E871">
        <v>26</v>
      </c>
      <c r="F871">
        <v>28</v>
      </c>
      <c r="G871">
        <v>0</v>
      </c>
      <c r="H871">
        <v>0</v>
      </c>
      <c r="I871">
        <v>31</v>
      </c>
      <c r="J871">
        <v>0</v>
      </c>
    </row>
    <row r="872" spans="1:10" x14ac:dyDescent="0.25">
      <c r="A872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241</v>
      </c>
      <c r="B874">
        <v>7172030013000400</v>
      </c>
      <c r="C874">
        <v>55</v>
      </c>
      <c r="D874">
        <v>0</v>
      </c>
      <c r="E874">
        <v>0</v>
      </c>
      <c r="F874">
        <v>34</v>
      </c>
      <c r="G874">
        <v>0</v>
      </c>
      <c r="H874">
        <v>0</v>
      </c>
      <c r="I874">
        <v>21</v>
      </c>
      <c r="J874">
        <v>0</v>
      </c>
    </row>
    <row r="875" spans="1:10" x14ac:dyDescent="0.25">
      <c r="A875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0</v>
      </c>
      <c r="I879">
        <v>74</v>
      </c>
      <c r="J879">
        <v>0</v>
      </c>
    </row>
    <row r="880" spans="1:10" x14ac:dyDescent="0.25">
      <c r="A880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0</v>
      </c>
      <c r="I881">
        <v>2</v>
      </c>
      <c r="J881">
        <v>0</v>
      </c>
    </row>
    <row r="882" spans="1:10" x14ac:dyDescent="0.25">
      <c r="A882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242</v>
      </c>
      <c r="B885">
        <v>7172030014000200</v>
      </c>
      <c r="C885">
        <v>48</v>
      </c>
      <c r="D885">
        <v>0</v>
      </c>
      <c r="E885">
        <v>0</v>
      </c>
      <c r="F885">
        <v>42</v>
      </c>
      <c r="G885">
        <v>0</v>
      </c>
      <c r="H885">
        <v>0</v>
      </c>
      <c r="I885">
        <v>6</v>
      </c>
      <c r="J885">
        <v>0</v>
      </c>
    </row>
    <row r="886" spans="1:10" x14ac:dyDescent="0.25">
      <c r="A886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102</v>
      </c>
      <c r="B890">
        <v>7172030014000300</v>
      </c>
      <c r="C890">
        <v>86</v>
      </c>
      <c r="D890">
        <v>1</v>
      </c>
      <c r="E890">
        <v>10</v>
      </c>
      <c r="F890">
        <v>46</v>
      </c>
      <c r="G890">
        <v>0</v>
      </c>
      <c r="H890">
        <v>0</v>
      </c>
      <c r="I890">
        <v>29</v>
      </c>
      <c r="J890">
        <v>0</v>
      </c>
    </row>
    <row r="891" spans="1:10" x14ac:dyDescent="0.25">
      <c r="A89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106</v>
      </c>
      <c r="B894">
        <v>7172030015001500</v>
      </c>
      <c r="C894">
        <v>175</v>
      </c>
      <c r="D894">
        <v>0</v>
      </c>
      <c r="E894">
        <v>12</v>
      </c>
      <c r="F894">
        <v>113</v>
      </c>
      <c r="G894">
        <v>0</v>
      </c>
      <c r="H894">
        <v>0</v>
      </c>
      <c r="I894">
        <v>50</v>
      </c>
      <c r="J894">
        <v>0</v>
      </c>
    </row>
    <row r="895" spans="1:10" x14ac:dyDescent="0.25">
      <c r="A895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7172030017000400</v>
      </c>
      <c r="C897">
        <v>116</v>
      </c>
      <c r="D897">
        <v>2</v>
      </c>
      <c r="E897">
        <v>8</v>
      </c>
      <c r="F897">
        <v>103</v>
      </c>
      <c r="G897">
        <v>1</v>
      </c>
      <c r="H897">
        <v>0</v>
      </c>
      <c r="I897">
        <v>2</v>
      </c>
      <c r="J897">
        <v>0</v>
      </c>
    </row>
    <row r="898" spans="1:10" x14ac:dyDescent="0.25">
      <c r="A898" t="s">
        <v>107</v>
      </c>
      <c r="B898">
        <v>7172030017000700</v>
      </c>
      <c r="C898">
        <v>100</v>
      </c>
      <c r="D898">
        <v>0</v>
      </c>
      <c r="E898">
        <v>7</v>
      </c>
      <c r="F898">
        <v>57</v>
      </c>
      <c r="G898">
        <v>1</v>
      </c>
      <c r="H898">
        <v>0</v>
      </c>
      <c r="I898">
        <v>35</v>
      </c>
      <c r="J898">
        <v>0</v>
      </c>
    </row>
    <row r="899" spans="1:10" x14ac:dyDescent="0.25">
      <c r="A899" t="s">
        <v>107</v>
      </c>
      <c r="B899">
        <v>7172030017000600</v>
      </c>
      <c r="C899">
        <v>83</v>
      </c>
      <c r="D899">
        <v>0</v>
      </c>
      <c r="E899">
        <v>3</v>
      </c>
      <c r="F899">
        <v>76</v>
      </c>
      <c r="G899">
        <v>0</v>
      </c>
      <c r="H899">
        <v>0</v>
      </c>
      <c r="I899">
        <v>4</v>
      </c>
      <c r="J899">
        <v>0</v>
      </c>
    </row>
    <row r="900" spans="1:10" x14ac:dyDescent="0.25">
      <c r="A900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0</v>
      </c>
      <c r="I902">
        <v>8</v>
      </c>
      <c r="J902">
        <v>0</v>
      </c>
    </row>
    <row r="903" spans="1:10" x14ac:dyDescent="0.25">
      <c r="A903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108</v>
      </c>
      <c r="B912">
        <v>7172030017001400</v>
      </c>
      <c r="C912">
        <v>73</v>
      </c>
      <c r="D912">
        <v>1</v>
      </c>
      <c r="E912">
        <v>19</v>
      </c>
      <c r="F912">
        <v>14</v>
      </c>
      <c r="G912">
        <v>0</v>
      </c>
      <c r="H912">
        <v>0</v>
      </c>
      <c r="I912">
        <v>39</v>
      </c>
      <c r="J912">
        <v>0</v>
      </c>
    </row>
    <row r="913" spans="1:10" x14ac:dyDescent="0.25">
      <c r="A913" t="s">
        <v>108</v>
      </c>
      <c r="B913">
        <v>7172030017001600</v>
      </c>
      <c r="C913">
        <v>57</v>
      </c>
      <c r="D913">
        <v>0</v>
      </c>
      <c r="E913">
        <v>8</v>
      </c>
      <c r="F913">
        <v>49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110</v>
      </c>
      <c r="B917">
        <v>7172031001001500</v>
      </c>
      <c r="C917">
        <v>92</v>
      </c>
      <c r="D917">
        <v>4</v>
      </c>
      <c r="E917">
        <v>12</v>
      </c>
      <c r="F917">
        <v>24</v>
      </c>
      <c r="G917">
        <v>0</v>
      </c>
      <c r="H917">
        <v>0</v>
      </c>
      <c r="I917">
        <v>52</v>
      </c>
      <c r="J917">
        <v>0</v>
      </c>
    </row>
    <row r="918" spans="1:10" x14ac:dyDescent="0.25">
      <c r="A918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7172031002000400</v>
      </c>
      <c r="C919">
        <v>104</v>
      </c>
      <c r="D919">
        <v>39</v>
      </c>
      <c r="E919">
        <v>10</v>
      </c>
      <c r="F919">
        <v>14</v>
      </c>
      <c r="G919">
        <v>11</v>
      </c>
      <c r="H919">
        <v>0</v>
      </c>
      <c r="I919">
        <v>30</v>
      </c>
      <c r="J919">
        <v>0</v>
      </c>
    </row>
    <row r="920" spans="1:10" x14ac:dyDescent="0.25">
      <c r="A920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0</v>
      </c>
      <c r="H926">
        <v>0</v>
      </c>
      <c r="I926">
        <v>27</v>
      </c>
      <c r="J926">
        <v>0</v>
      </c>
    </row>
    <row r="927" spans="1:10" x14ac:dyDescent="0.25">
      <c r="A927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112</v>
      </c>
      <c r="B931">
        <v>7172031008000800</v>
      </c>
      <c r="C931">
        <v>55</v>
      </c>
      <c r="D931">
        <v>9</v>
      </c>
      <c r="E931">
        <v>18</v>
      </c>
      <c r="F931">
        <v>27</v>
      </c>
      <c r="G931">
        <v>1</v>
      </c>
      <c r="H931">
        <v>0</v>
      </c>
      <c r="I931">
        <v>0</v>
      </c>
      <c r="J931">
        <v>0</v>
      </c>
    </row>
    <row r="932" spans="1:10" x14ac:dyDescent="0.25">
      <c r="A932" t="s">
        <v>112</v>
      </c>
      <c r="B932">
        <v>7172031002000900</v>
      </c>
      <c r="C932">
        <v>48</v>
      </c>
      <c r="D932">
        <v>0</v>
      </c>
      <c r="E932">
        <v>0</v>
      </c>
      <c r="F932">
        <v>47</v>
      </c>
      <c r="G932">
        <v>0</v>
      </c>
      <c r="H932">
        <v>0</v>
      </c>
      <c r="I932">
        <v>1</v>
      </c>
      <c r="J932">
        <v>0</v>
      </c>
    </row>
    <row r="933" spans="1:10" x14ac:dyDescent="0.25">
      <c r="A933" t="s">
        <v>112</v>
      </c>
      <c r="B933">
        <v>7172031008001500</v>
      </c>
      <c r="C933">
        <v>29</v>
      </c>
      <c r="D933">
        <v>15</v>
      </c>
      <c r="E933">
        <v>6</v>
      </c>
      <c r="F933">
        <v>4</v>
      </c>
      <c r="G933">
        <v>0</v>
      </c>
      <c r="H933">
        <v>0</v>
      </c>
      <c r="I933">
        <v>4</v>
      </c>
      <c r="J933">
        <v>0</v>
      </c>
    </row>
    <row r="934" spans="1:10" x14ac:dyDescent="0.25">
      <c r="A934" t="s">
        <v>115</v>
      </c>
      <c r="B934">
        <v>7172031003002000</v>
      </c>
      <c r="C934">
        <v>186</v>
      </c>
      <c r="D934">
        <v>15</v>
      </c>
      <c r="E934">
        <v>3</v>
      </c>
      <c r="F934">
        <v>104</v>
      </c>
      <c r="G934">
        <v>0</v>
      </c>
      <c r="H934">
        <v>0</v>
      </c>
      <c r="I934">
        <v>64</v>
      </c>
      <c r="J934">
        <v>0</v>
      </c>
    </row>
    <row r="935" spans="1:10" x14ac:dyDescent="0.25">
      <c r="A935" t="s">
        <v>115</v>
      </c>
      <c r="B935">
        <v>7172031003001700</v>
      </c>
      <c r="C935">
        <v>135</v>
      </c>
      <c r="D935">
        <v>1</v>
      </c>
      <c r="E935">
        <v>0</v>
      </c>
      <c r="F935">
        <v>134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7172031003001800</v>
      </c>
      <c r="C939">
        <v>144</v>
      </c>
      <c r="D939">
        <v>95</v>
      </c>
      <c r="E939">
        <v>0</v>
      </c>
      <c r="F939">
        <v>14</v>
      </c>
      <c r="G939">
        <v>1</v>
      </c>
      <c r="H939">
        <v>0</v>
      </c>
      <c r="I939">
        <v>34</v>
      </c>
      <c r="J939">
        <v>0</v>
      </c>
    </row>
    <row r="940" spans="1:10" x14ac:dyDescent="0.25">
      <c r="A940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243</v>
      </c>
      <c r="B944">
        <v>7172031003002200</v>
      </c>
      <c r="C944">
        <v>60</v>
      </c>
      <c r="D944">
        <v>1</v>
      </c>
      <c r="E944">
        <v>0</v>
      </c>
      <c r="F944">
        <v>59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243</v>
      </c>
      <c r="B945">
        <v>7172031003002400</v>
      </c>
      <c r="C945">
        <v>59</v>
      </c>
      <c r="D945">
        <v>0</v>
      </c>
      <c r="E945">
        <v>0</v>
      </c>
      <c r="F945">
        <v>49</v>
      </c>
      <c r="G945">
        <v>0</v>
      </c>
      <c r="H945">
        <v>0</v>
      </c>
      <c r="I945">
        <v>10</v>
      </c>
      <c r="J945">
        <v>0</v>
      </c>
    </row>
    <row r="946" spans="1:10" x14ac:dyDescent="0.25">
      <c r="A946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7172031004000900</v>
      </c>
      <c r="C947">
        <v>76</v>
      </c>
      <c r="D947">
        <v>31</v>
      </c>
      <c r="E947">
        <v>36</v>
      </c>
      <c r="F947">
        <v>4</v>
      </c>
      <c r="G947">
        <v>5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117</v>
      </c>
      <c r="B954">
        <v>7172031004000500</v>
      </c>
      <c r="C954">
        <v>38</v>
      </c>
      <c r="D954">
        <v>0</v>
      </c>
      <c r="E954">
        <v>9</v>
      </c>
      <c r="F954">
        <v>29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117</v>
      </c>
      <c r="B955">
        <v>7172031004000600</v>
      </c>
      <c r="C955">
        <v>36</v>
      </c>
      <c r="D955">
        <v>0</v>
      </c>
      <c r="E955">
        <v>0</v>
      </c>
      <c r="F955">
        <v>36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120</v>
      </c>
      <c r="B957">
        <v>7172031006000101</v>
      </c>
      <c r="C957">
        <v>198</v>
      </c>
      <c r="D957">
        <v>2</v>
      </c>
      <c r="E957">
        <v>18</v>
      </c>
      <c r="F957">
        <v>135</v>
      </c>
      <c r="G957">
        <v>21</v>
      </c>
      <c r="H957">
        <v>0</v>
      </c>
      <c r="I957">
        <v>22</v>
      </c>
      <c r="J957">
        <v>0</v>
      </c>
    </row>
    <row r="958" spans="1:10" x14ac:dyDescent="0.25">
      <c r="A958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122</v>
      </c>
      <c r="B964">
        <v>7172031006001300</v>
      </c>
      <c r="C964">
        <v>114</v>
      </c>
      <c r="D964">
        <v>3</v>
      </c>
      <c r="E964">
        <v>25</v>
      </c>
      <c r="F964">
        <v>57</v>
      </c>
      <c r="G964">
        <v>0</v>
      </c>
      <c r="H964">
        <v>0</v>
      </c>
      <c r="I964">
        <v>29</v>
      </c>
      <c r="J964">
        <v>0</v>
      </c>
    </row>
    <row r="965" spans="1:10" x14ac:dyDescent="0.25">
      <c r="A965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124</v>
      </c>
      <c r="B967">
        <v>7172031006001400</v>
      </c>
      <c r="C967">
        <v>177</v>
      </c>
      <c r="D967">
        <v>37</v>
      </c>
      <c r="E967">
        <v>66</v>
      </c>
      <c r="F967">
        <v>2</v>
      </c>
      <c r="G967">
        <v>0</v>
      </c>
      <c r="H967">
        <v>0</v>
      </c>
      <c r="I967">
        <v>72</v>
      </c>
      <c r="J967">
        <v>0</v>
      </c>
    </row>
    <row r="968" spans="1:10" x14ac:dyDescent="0.25">
      <c r="A968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124</v>
      </c>
      <c r="B969">
        <v>7172031006001700</v>
      </c>
      <c r="C969">
        <v>121</v>
      </c>
      <c r="D969">
        <v>0</v>
      </c>
      <c r="E969">
        <v>3</v>
      </c>
      <c r="F969">
        <v>118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127</v>
      </c>
      <c r="B974">
        <v>7172031007001000</v>
      </c>
      <c r="C974">
        <v>101</v>
      </c>
      <c r="D974">
        <v>24</v>
      </c>
      <c r="E974">
        <v>4</v>
      </c>
      <c r="F974">
        <v>20</v>
      </c>
      <c r="G974">
        <v>5</v>
      </c>
      <c r="H974">
        <v>0</v>
      </c>
      <c r="I974">
        <v>48</v>
      </c>
      <c r="J974">
        <v>0</v>
      </c>
    </row>
    <row r="975" spans="1:10" x14ac:dyDescent="0.25">
      <c r="A975" t="s">
        <v>127</v>
      </c>
      <c r="B975">
        <v>7172031007001200</v>
      </c>
      <c r="C975">
        <v>91</v>
      </c>
      <c r="D975">
        <v>0</v>
      </c>
      <c r="E975">
        <v>12</v>
      </c>
      <c r="F975">
        <v>68</v>
      </c>
      <c r="G975">
        <v>0</v>
      </c>
      <c r="H975">
        <v>0</v>
      </c>
      <c r="I975">
        <v>11</v>
      </c>
      <c r="J975">
        <v>0</v>
      </c>
    </row>
    <row r="976" spans="1:10" x14ac:dyDescent="0.25">
      <c r="A976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0</v>
      </c>
      <c r="I979">
        <v>2</v>
      </c>
      <c r="J979">
        <v>0</v>
      </c>
    </row>
    <row r="980" spans="1:10" x14ac:dyDescent="0.25">
      <c r="A980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7172031008000300</v>
      </c>
      <c r="C981">
        <v>75</v>
      </c>
      <c r="D981">
        <v>0</v>
      </c>
      <c r="E981">
        <v>1</v>
      </c>
      <c r="F981">
        <v>73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129</v>
      </c>
      <c r="B984">
        <v>7172031008000600</v>
      </c>
      <c r="C984">
        <v>46</v>
      </c>
      <c r="D984">
        <v>17</v>
      </c>
      <c r="E984">
        <v>17</v>
      </c>
      <c r="F984">
        <v>6</v>
      </c>
      <c r="G984">
        <v>0</v>
      </c>
      <c r="H984">
        <v>0</v>
      </c>
      <c r="I984">
        <v>6</v>
      </c>
      <c r="J984">
        <v>0</v>
      </c>
    </row>
    <row r="985" spans="1:10" x14ac:dyDescent="0.25">
      <c r="A985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129</v>
      </c>
      <c r="B986">
        <v>7172031008000700</v>
      </c>
      <c r="C986">
        <v>25</v>
      </c>
      <c r="D986">
        <v>22</v>
      </c>
      <c r="E986">
        <v>0</v>
      </c>
      <c r="F986">
        <v>0</v>
      </c>
      <c r="G986">
        <v>0</v>
      </c>
      <c r="H986">
        <v>0</v>
      </c>
      <c r="I986">
        <v>3</v>
      </c>
      <c r="J986">
        <v>0</v>
      </c>
    </row>
    <row r="987" spans="1:10" x14ac:dyDescent="0.25">
      <c r="A987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7172040009000500</v>
      </c>
      <c r="C989">
        <v>80</v>
      </c>
      <c r="D989">
        <v>0</v>
      </c>
      <c r="E989">
        <v>3</v>
      </c>
      <c r="F989">
        <v>71</v>
      </c>
      <c r="G989">
        <v>0</v>
      </c>
      <c r="H989">
        <v>0</v>
      </c>
      <c r="I989">
        <v>6</v>
      </c>
      <c r="J989">
        <v>0</v>
      </c>
    </row>
    <row r="990" spans="1:10" x14ac:dyDescent="0.25">
      <c r="A990" t="s">
        <v>130</v>
      </c>
      <c r="B990">
        <v>7172040009000600</v>
      </c>
      <c r="C990">
        <v>77</v>
      </c>
      <c r="D990">
        <v>0</v>
      </c>
      <c r="E990">
        <v>17</v>
      </c>
      <c r="F990">
        <v>23</v>
      </c>
      <c r="G990">
        <v>2</v>
      </c>
      <c r="H990">
        <v>0</v>
      </c>
      <c r="I990">
        <v>35</v>
      </c>
      <c r="J990">
        <v>0</v>
      </c>
    </row>
    <row r="991" spans="1:10" x14ac:dyDescent="0.25">
      <c r="A99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132</v>
      </c>
      <c r="B997">
        <v>7172040003000601</v>
      </c>
      <c r="C997">
        <v>179</v>
      </c>
      <c r="D997">
        <v>54</v>
      </c>
      <c r="E997">
        <v>13</v>
      </c>
      <c r="F997">
        <v>106</v>
      </c>
      <c r="G997">
        <v>4</v>
      </c>
      <c r="H997">
        <v>0</v>
      </c>
      <c r="I997">
        <v>2</v>
      </c>
      <c r="J997">
        <v>0</v>
      </c>
    </row>
    <row r="998" spans="1:10" x14ac:dyDescent="0.25">
      <c r="A998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133</v>
      </c>
      <c r="B1004">
        <v>7172040003000602</v>
      </c>
      <c r="C1004">
        <v>94</v>
      </c>
      <c r="D1004">
        <v>4</v>
      </c>
      <c r="E1004">
        <v>1</v>
      </c>
      <c r="F1004">
        <v>33</v>
      </c>
      <c r="G1004">
        <v>0</v>
      </c>
      <c r="H1004">
        <v>0</v>
      </c>
      <c r="I1004">
        <v>55</v>
      </c>
      <c r="J1004">
        <v>1</v>
      </c>
    </row>
    <row r="1005" spans="1:10" x14ac:dyDescent="0.25">
      <c r="A1005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0</v>
      </c>
      <c r="I1005">
        <v>1</v>
      </c>
      <c r="J1005">
        <v>0</v>
      </c>
    </row>
    <row r="1006" spans="1:10" x14ac:dyDescent="0.25">
      <c r="A1006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0</v>
      </c>
      <c r="I1013">
        <v>8</v>
      </c>
      <c r="J1013">
        <v>0</v>
      </c>
    </row>
    <row r="1014" spans="1:10" x14ac:dyDescent="0.25">
      <c r="A1014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136</v>
      </c>
      <c r="B1021">
        <v>7172040008000300</v>
      </c>
      <c r="C1021">
        <v>46</v>
      </c>
      <c r="D1021">
        <v>0</v>
      </c>
      <c r="E1021">
        <v>14</v>
      </c>
      <c r="F1021">
        <v>29</v>
      </c>
      <c r="G1021">
        <v>0</v>
      </c>
      <c r="H1021">
        <v>0</v>
      </c>
      <c r="I1021">
        <v>3</v>
      </c>
      <c r="J1021">
        <v>0</v>
      </c>
    </row>
    <row r="1022" spans="1:10" x14ac:dyDescent="0.25">
      <c r="A1022" t="s">
        <v>136</v>
      </c>
      <c r="B1022">
        <v>7172040004000400</v>
      </c>
      <c r="C1022">
        <v>42</v>
      </c>
      <c r="D1022">
        <v>0</v>
      </c>
      <c r="E1022">
        <v>4</v>
      </c>
      <c r="F1022">
        <v>33</v>
      </c>
      <c r="G1022">
        <v>3</v>
      </c>
      <c r="H1022">
        <v>0</v>
      </c>
      <c r="I1022">
        <v>2</v>
      </c>
      <c r="J1022">
        <v>0</v>
      </c>
    </row>
    <row r="1023" spans="1:10" x14ac:dyDescent="0.25">
      <c r="A1023" t="s">
        <v>136</v>
      </c>
      <c r="B1023">
        <v>7172040008000100</v>
      </c>
      <c r="C1023">
        <v>39</v>
      </c>
      <c r="D1023">
        <v>0</v>
      </c>
      <c r="E1023">
        <v>14</v>
      </c>
      <c r="F1023">
        <v>1</v>
      </c>
      <c r="G1023">
        <v>1</v>
      </c>
      <c r="H1023">
        <v>0</v>
      </c>
      <c r="I1023">
        <v>23</v>
      </c>
      <c r="J1023">
        <v>0</v>
      </c>
    </row>
    <row r="1024" spans="1:10" x14ac:dyDescent="0.25">
      <c r="A1024" t="s">
        <v>136</v>
      </c>
      <c r="B1024">
        <v>7172040008000400</v>
      </c>
      <c r="C1024">
        <v>32</v>
      </c>
      <c r="D1024">
        <v>0</v>
      </c>
      <c r="E1024">
        <v>0</v>
      </c>
      <c r="F1024">
        <v>31</v>
      </c>
      <c r="G1024">
        <v>0</v>
      </c>
      <c r="H1024">
        <v>0</v>
      </c>
      <c r="I1024">
        <v>1</v>
      </c>
      <c r="J1024">
        <v>0</v>
      </c>
    </row>
    <row r="1025" spans="1:10" x14ac:dyDescent="0.25">
      <c r="A1025" t="s">
        <v>139</v>
      </c>
      <c r="B1025">
        <v>7172040006000100</v>
      </c>
      <c r="C1025">
        <v>86</v>
      </c>
      <c r="D1025">
        <v>0</v>
      </c>
      <c r="E1025">
        <v>4</v>
      </c>
      <c r="F1025">
        <v>48</v>
      </c>
      <c r="G1025">
        <v>0</v>
      </c>
      <c r="H1025">
        <v>0</v>
      </c>
      <c r="I1025">
        <v>34</v>
      </c>
      <c r="J1025">
        <v>0</v>
      </c>
    </row>
    <row r="1026" spans="1:10" x14ac:dyDescent="0.25">
      <c r="A1026" t="s">
        <v>139</v>
      </c>
      <c r="B1026">
        <v>7172040006000500</v>
      </c>
      <c r="C1026">
        <v>83</v>
      </c>
      <c r="D1026">
        <v>0</v>
      </c>
      <c r="E1026">
        <v>1</v>
      </c>
      <c r="F1026">
        <v>82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139</v>
      </c>
      <c r="B1028">
        <v>7172040006000200</v>
      </c>
      <c r="C1028">
        <v>61</v>
      </c>
      <c r="D1028">
        <v>0</v>
      </c>
      <c r="E1028">
        <v>0</v>
      </c>
      <c r="F1028">
        <v>59</v>
      </c>
      <c r="G1028">
        <v>0</v>
      </c>
      <c r="H1028">
        <v>0</v>
      </c>
      <c r="I1028">
        <v>2</v>
      </c>
      <c r="J1028">
        <v>0</v>
      </c>
    </row>
    <row r="1029" spans="1:10" x14ac:dyDescent="0.25">
      <c r="A1029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58</v>
      </c>
      <c r="G1034">
        <v>0</v>
      </c>
      <c r="H1034">
        <v>0</v>
      </c>
      <c r="I1034">
        <v>5</v>
      </c>
      <c r="J1034">
        <v>0</v>
      </c>
    </row>
    <row r="1035" spans="1:10" x14ac:dyDescent="0.25">
      <c r="A1035" t="s">
        <v>140</v>
      </c>
      <c r="B1035">
        <v>7172040012000200</v>
      </c>
      <c r="C1035">
        <v>75</v>
      </c>
      <c r="D1035">
        <v>1</v>
      </c>
      <c r="E1035">
        <v>10</v>
      </c>
      <c r="F1035">
        <v>3</v>
      </c>
      <c r="G1035">
        <v>3</v>
      </c>
      <c r="H1035">
        <v>0</v>
      </c>
      <c r="I1035">
        <v>58</v>
      </c>
      <c r="J1035">
        <v>0</v>
      </c>
    </row>
    <row r="1036" spans="1:10" x14ac:dyDescent="0.25">
      <c r="A1036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118</v>
      </c>
      <c r="B1048">
        <v>7172031004001300</v>
      </c>
      <c r="C1048">
        <v>63</v>
      </c>
      <c r="D1048">
        <v>8</v>
      </c>
      <c r="E1048">
        <v>0</v>
      </c>
      <c r="F1048">
        <v>54</v>
      </c>
      <c r="G1048">
        <v>0</v>
      </c>
      <c r="H1048">
        <v>0</v>
      </c>
      <c r="I1048">
        <v>1</v>
      </c>
      <c r="J1048">
        <v>0</v>
      </c>
    </row>
    <row r="1049" spans="1:10" x14ac:dyDescent="0.25">
      <c r="A1049" t="s">
        <v>118</v>
      </c>
      <c r="B1049">
        <v>7172031004001200</v>
      </c>
      <c r="C1049">
        <v>57</v>
      </c>
      <c r="D1049">
        <v>29</v>
      </c>
      <c r="E1049">
        <v>4</v>
      </c>
      <c r="F1049">
        <v>23</v>
      </c>
      <c r="G1049">
        <v>0</v>
      </c>
      <c r="H1049">
        <v>0</v>
      </c>
      <c r="I1049">
        <v>1</v>
      </c>
      <c r="J1049">
        <v>0</v>
      </c>
    </row>
    <row r="1050" spans="1:10" x14ac:dyDescent="0.25">
      <c r="A1050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159</v>
      </c>
      <c r="D1053">
        <v>0</v>
      </c>
      <c r="E1053">
        <v>7</v>
      </c>
      <c r="F1053">
        <v>119</v>
      </c>
      <c r="G1053">
        <v>0</v>
      </c>
      <c r="H1053">
        <v>0</v>
      </c>
      <c r="I1053">
        <v>33</v>
      </c>
      <c r="J1053">
        <v>0</v>
      </c>
    </row>
    <row r="1054" spans="1:10" x14ac:dyDescent="0.25">
      <c r="A1054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0</v>
      </c>
      <c r="I1055">
        <v>11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G158"/>
  <sheetViews>
    <sheetView tabSelected="1" topLeftCell="A128" workbookViewId="0">
      <selection activeCell="B150" sqref="B150"/>
    </sheetView>
  </sheetViews>
  <sheetFormatPr defaultRowHeight="15" x14ac:dyDescent="0.25"/>
  <cols>
    <col min="1" max="1" width="34.5703125" bestFit="1" customWidth="1"/>
    <col min="2" max="3" width="34.5703125" customWidth="1"/>
  </cols>
  <sheetData>
    <row r="1" spans="1:7" x14ac:dyDescent="0.25">
      <c r="A1" t="s">
        <v>386</v>
      </c>
      <c r="B1" t="s">
        <v>245</v>
      </c>
      <c r="C1" t="s">
        <v>246</v>
      </c>
      <c r="D1" t="s">
        <v>387</v>
      </c>
      <c r="E1" t="s">
        <v>388</v>
      </c>
      <c r="F1" t="s">
        <v>389</v>
      </c>
      <c r="G1" t="s">
        <v>385</v>
      </c>
    </row>
    <row r="2" spans="1:7" x14ac:dyDescent="0.25">
      <c r="A2" t="s">
        <v>247</v>
      </c>
      <c r="B2" t="s">
        <v>162</v>
      </c>
      <c r="C2" t="s">
        <v>198</v>
      </c>
      <c r="D2" t="s">
        <v>244</v>
      </c>
      <c r="E2">
        <v>81</v>
      </c>
      <c r="F2">
        <f>VLOOKUP(A2,PPL!B:M,12,0)</f>
        <v>96</v>
      </c>
      <c r="G2">
        <f>F2-E2</f>
        <v>15</v>
      </c>
    </row>
    <row r="3" spans="1:7" x14ac:dyDescent="0.25">
      <c r="A3" t="s">
        <v>248</v>
      </c>
      <c r="B3" t="s">
        <v>163</v>
      </c>
      <c r="C3" t="s">
        <v>187</v>
      </c>
      <c r="D3" t="s">
        <v>244</v>
      </c>
      <c r="E3">
        <v>60</v>
      </c>
      <c r="F3">
        <f>VLOOKUP(A3,PPL!B:M,12,0)</f>
        <v>71</v>
      </c>
      <c r="G3">
        <f t="shared" ref="G3:G66" si="0">F3-E3</f>
        <v>11</v>
      </c>
    </row>
    <row r="4" spans="1:7" x14ac:dyDescent="0.25">
      <c r="A4" t="s">
        <v>249</v>
      </c>
      <c r="B4" t="s">
        <v>162</v>
      </c>
      <c r="C4" t="s">
        <v>198</v>
      </c>
      <c r="D4" t="s">
        <v>244</v>
      </c>
      <c r="E4">
        <v>112</v>
      </c>
      <c r="F4">
        <f>VLOOKUP(A4,PPL!B:M,12,0)</f>
        <v>132</v>
      </c>
      <c r="G4">
        <f t="shared" si="0"/>
        <v>20</v>
      </c>
    </row>
    <row r="5" spans="1:7" x14ac:dyDescent="0.25">
      <c r="A5" t="s">
        <v>250</v>
      </c>
      <c r="B5" t="s">
        <v>162</v>
      </c>
      <c r="C5" t="s">
        <v>198</v>
      </c>
      <c r="D5" t="s">
        <v>244</v>
      </c>
      <c r="E5">
        <v>105</v>
      </c>
      <c r="F5">
        <f>VLOOKUP(A5,PPL!B:M,12,0)</f>
        <v>105</v>
      </c>
      <c r="G5">
        <f t="shared" si="0"/>
        <v>0</v>
      </c>
    </row>
    <row r="6" spans="1:7" x14ac:dyDescent="0.25">
      <c r="A6" t="s">
        <v>251</v>
      </c>
      <c r="B6" t="s">
        <v>162</v>
      </c>
      <c r="C6" t="s">
        <v>198</v>
      </c>
      <c r="D6" t="s">
        <v>244</v>
      </c>
      <c r="E6">
        <v>74</v>
      </c>
      <c r="F6">
        <f>VLOOKUP(A6,PPL!B:M,12,0)</f>
        <v>83</v>
      </c>
      <c r="G6">
        <f t="shared" si="0"/>
        <v>9</v>
      </c>
    </row>
    <row r="7" spans="1:7" x14ac:dyDescent="0.25">
      <c r="A7" t="s">
        <v>252</v>
      </c>
      <c r="B7" t="s">
        <v>162</v>
      </c>
      <c r="C7" t="s">
        <v>198</v>
      </c>
      <c r="D7" t="s">
        <v>244</v>
      </c>
      <c r="E7">
        <v>60</v>
      </c>
      <c r="F7">
        <f>VLOOKUP(A7,PPL!B:M,12,0)</f>
        <v>81</v>
      </c>
      <c r="G7">
        <f t="shared" si="0"/>
        <v>21</v>
      </c>
    </row>
    <row r="8" spans="1:7" x14ac:dyDescent="0.25">
      <c r="A8" t="s">
        <v>253</v>
      </c>
      <c r="B8" t="s">
        <v>163</v>
      </c>
      <c r="C8" t="s">
        <v>187</v>
      </c>
      <c r="D8" t="s">
        <v>244</v>
      </c>
      <c r="E8">
        <v>59</v>
      </c>
      <c r="F8">
        <f>VLOOKUP(A8,PPL!B:M,12,0)</f>
        <v>72</v>
      </c>
      <c r="G8">
        <f t="shared" si="0"/>
        <v>13</v>
      </c>
    </row>
    <row r="9" spans="1:7" x14ac:dyDescent="0.25">
      <c r="A9" t="s">
        <v>254</v>
      </c>
      <c r="B9" t="s">
        <v>163</v>
      </c>
      <c r="C9" t="s">
        <v>187</v>
      </c>
      <c r="D9" t="s">
        <v>244</v>
      </c>
      <c r="E9">
        <v>60</v>
      </c>
      <c r="F9">
        <f>VLOOKUP(A9,PPL!B:M,12,0)</f>
        <v>82</v>
      </c>
      <c r="G9">
        <f t="shared" si="0"/>
        <v>22</v>
      </c>
    </row>
    <row r="10" spans="1:7" x14ac:dyDescent="0.25">
      <c r="A10" t="s">
        <v>255</v>
      </c>
      <c r="B10" t="s">
        <v>162</v>
      </c>
      <c r="C10" t="s">
        <v>198</v>
      </c>
      <c r="D10" t="s">
        <v>244</v>
      </c>
      <c r="E10">
        <v>84</v>
      </c>
      <c r="F10">
        <f>VLOOKUP(A10,PPL!B:M,12,0)</f>
        <v>100</v>
      </c>
      <c r="G10">
        <f t="shared" si="0"/>
        <v>16</v>
      </c>
    </row>
    <row r="11" spans="1:7" x14ac:dyDescent="0.25">
      <c r="A11" t="s">
        <v>256</v>
      </c>
      <c r="B11" t="s">
        <v>163</v>
      </c>
      <c r="C11" t="s">
        <v>187</v>
      </c>
      <c r="D11" t="s">
        <v>244</v>
      </c>
      <c r="E11">
        <v>77</v>
      </c>
      <c r="F11">
        <f>VLOOKUP(A11,PPL!B:M,12,0)</f>
        <v>86</v>
      </c>
      <c r="G11">
        <f t="shared" si="0"/>
        <v>9</v>
      </c>
    </row>
    <row r="12" spans="1:7" x14ac:dyDescent="0.25">
      <c r="A12" t="s">
        <v>257</v>
      </c>
      <c r="B12" t="s">
        <v>163</v>
      </c>
      <c r="C12" t="s">
        <v>187</v>
      </c>
      <c r="D12" t="s">
        <v>244</v>
      </c>
      <c r="E12">
        <v>130</v>
      </c>
      <c r="F12">
        <f>VLOOKUP(A12,PPL!B:M,12,0)</f>
        <v>149</v>
      </c>
      <c r="G12">
        <f t="shared" si="0"/>
        <v>19</v>
      </c>
    </row>
    <row r="13" spans="1:7" x14ac:dyDescent="0.25">
      <c r="A13" t="s">
        <v>258</v>
      </c>
      <c r="B13" t="s">
        <v>163</v>
      </c>
      <c r="C13" t="s">
        <v>187</v>
      </c>
      <c r="D13" t="s">
        <v>244</v>
      </c>
      <c r="E13">
        <v>47</v>
      </c>
      <c r="F13">
        <f>VLOOKUP(A13,PPL!B:M,12,0)</f>
        <v>59</v>
      </c>
      <c r="G13">
        <f t="shared" si="0"/>
        <v>12</v>
      </c>
    </row>
    <row r="14" spans="1:7" x14ac:dyDescent="0.25">
      <c r="A14" t="s">
        <v>259</v>
      </c>
      <c r="B14" t="s">
        <v>164</v>
      </c>
      <c r="C14" t="s">
        <v>190</v>
      </c>
      <c r="D14" t="s">
        <v>244</v>
      </c>
      <c r="E14">
        <v>75</v>
      </c>
      <c r="F14">
        <f>VLOOKUP(A14,PPL!B:M,12,0)</f>
        <v>83</v>
      </c>
      <c r="G14">
        <f t="shared" si="0"/>
        <v>8</v>
      </c>
    </row>
    <row r="15" spans="1:7" x14ac:dyDescent="0.25">
      <c r="A15" t="s">
        <v>260</v>
      </c>
      <c r="B15" t="s">
        <v>164</v>
      </c>
      <c r="C15" t="s">
        <v>190</v>
      </c>
      <c r="D15" t="s">
        <v>244</v>
      </c>
      <c r="E15">
        <v>108</v>
      </c>
      <c r="F15">
        <f>VLOOKUP(A15,PPL!B:M,12,0)</f>
        <v>124</v>
      </c>
      <c r="G15">
        <f t="shared" si="0"/>
        <v>16</v>
      </c>
    </row>
    <row r="16" spans="1:7" x14ac:dyDescent="0.25">
      <c r="A16" t="s">
        <v>261</v>
      </c>
      <c r="B16" t="s">
        <v>164</v>
      </c>
      <c r="C16" t="s">
        <v>190</v>
      </c>
      <c r="D16" t="s">
        <v>244</v>
      </c>
      <c r="E16">
        <v>115</v>
      </c>
      <c r="F16">
        <f>VLOOKUP(A16,PPL!B:M,12,0)</f>
        <v>115</v>
      </c>
      <c r="G16">
        <f t="shared" si="0"/>
        <v>0</v>
      </c>
    </row>
    <row r="17" spans="1:7" x14ac:dyDescent="0.25">
      <c r="A17" t="s">
        <v>262</v>
      </c>
      <c r="B17" t="s">
        <v>162</v>
      </c>
      <c r="C17" t="s">
        <v>198</v>
      </c>
      <c r="D17" t="s">
        <v>244</v>
      </c>
      <c r="E17">
        <v>83</v>
      </c>
      <c r="F17">
        <f>VLOOKUP(A17,PPL!B:M,12,0)</f>
        <v>100</v>
      </c>
      <c r="G17">
        <f t="shared" si="0"/>
        <v>17</v>
      </c>
    </row>
    <row r="18" spans="1:7" x14ac:dyDescent="0.25">
      <c r="A18" t="s">
        <v>263</v>
      </c>
      <c r="B18" t="s">
        <v>164</v>
      </c>
      <c r="C18" t="s">
        <v>190</v>
      </c>
      <c r="D18" t="s">
        <v>244</v>
      </c>
      <c r="E18">
        <v>80</v>
      </c>
      <c r="F18">
        <f>VLOOKUP(A18,PPL!B:M,12,0)</f>
        <v>106</v>
      </c>
      <c r="G18">
        <f t="shared" si="0"/>
        <v>26</v>
      </c>
    </row>
    <row r="19" spans="1:7" x14ac:dyDescent="0.25">
      <c r="A19" t="s">
        <v>264</v>
      </c>
      <c r="B19" t="s">
        <v>164</v>
      </c>
      <c r="C19" t="s">
        <v>190</v>
      </c>
      <c r="D19" t="s">
        <v>244</v>
      </c>
      <c r="E19">
        <v>92</v>
      </c>
      <c r="F19">
        <f>VLOOKUP(A19,PPL!B:M,12,0)</f>
        <v>101</v>
      </c>
      <c r="G19">
        <f t="shared" si="0"/>
        <v>9</v>
      </c>
    </row>
    <row r="20" spans="1:7" x14ac:dyDescent="0.25">
      <c r="A20" t="s">
        <v>265</v>
      </c>
      <c r="B20" t="s">
        <v>164</v>
      </c>
      <c r="C20" t="s">
        <v>190</v>
      </c>
      <c r="D20" t="s">
        <v>244</v>
      </c>
      <c r="E20">
        <v>81</v>
      </c>
      <c r="F20">
        <f>VLOOKUP(A20,PPL!B:M,12,0)</f>
        <v>91</v>
      </c>
      <c r="G20">
        <f t="shared" si="0"/>
        <v>10</v>
      </c>
    </row>
    <row r="21" spans="1:7" x14ac:dyDescent="0.25">
      <c r="A21" t="s">
        <v>266</v>
      </c>
      <c r="B21" t="s">
        <v>163</v>
      </c>
      <c r="C21" t="s">
        <v>187</v>
      </c>
      <c r="D21" t="s">
        <v>244</v>
      </c>
      <c r="E21">
        <v>65</v>
      </c>
      <c r="F21">
        <f>VLOOKUP(A21,PPL!B:M,12,0)</f>
        <v>73</v>
      </c>
      <c r="G21">
        <f t="shared" si="0"/>
        <v>8</v>
      </c>
    </row>
    <row r="22" spans="1:7" x14ac:dyDescent="0.25">
      <c r="A22" t="s">
        <v>267</v>
      </c>
      <c r="B22" t="s">
        <v>164</v>
      </c>
      <c r="C22" t="s">
        <v>190</v>
      </c>
      <c r="D22" t="s">
        <v>244</v>
      </c>
      <c r="E22">
        <v>106</v>
      </c>
      <c r="F22">
        <f>VLOOKUP(A22,PPL!B:M,12,0)</f>
        <v>121</v>
      </c>
      <c r="G22">
        <f t="shared" si="0"/>
        <v>15</v>
      </c>
    </row>
    <row r="23" spans="1:7" x14ac:dyDescent="0.25">
      <c r="A23" t="s">
        <v>268</v>
      </c>
      <c r="B23" t="s">
        <v>165</v>
      </c>
      <c r="C23" t="s">
        <v>181</v>
      </c>
      <c r="D23" t="s">
        <v>244</v>
      </c>
      <c r="E23">
        <v>95</v>
      </c>
      <c r="F23">
        <f>VLOOKUP(A23,PPL!B:M,12,0)</f>
        <v>122</v>
      </c>
      <c r="G23">
        <f t="shared" si="0"/>
        <v>27</v>
      </c>
    </row>
    <row r="24" spans="1:7" x14ac:dyDescent="0.25">
      <c r="A24" t="s">
        <v>269</v>
      </c>
      <c r="B24" t="s">
        <v>166</v>
      </c>
      <c r="C24" t="s">
        <v>189</v>
      </c>
      <c r="D24" t="s">
        <v>244</v>
      </c>
      <c r="E24">
        <v>76</v>
      </c>
      <c r="F24">
        <f>VLOOKUP(A24,PPL!B:M,12,0)</f>
        <v>84</v>
      </c>
      <c r="G24">
        <f t="shared" si="0"/>
        <v>8</v>
      </c>
    </row>
    <row r="25" spans="1:7" x14ac:dyDescent="0.25">
      <c r="A25" t="s">
        <v>270</v>
      </c>
      <c r="B25" t="s">
        <v>166</v>
      </c>
      <c r="C25" t="s">
        <v>189</v>
      </c>
      <c r="D25" t="s">
        <v>244</v>
      </c>
      <c r="E25">
        <v>65</v>
      </c>
      <c r="F25">
        <f>VLOOKUP(A25,PPL!B:M,12,0)</f>
        <v>80</v>
      </c>
      <c r="G25">
        <f t="shared" si="0"/>
        <v>15</v>
      </c>
    </row>
    <row r="26" spans="1:7" x14ac:dyDescent="0.25">
      <c r="A26" t="s">
        <v>271</v>
      </c>
      <c r="B26" t="s">
        <v>166</v>
      </c>
      <c r="C26" t="s">
        <v>189</v>
      </c>
      <c r="D26" t="s">
        <v>244</v>
      </c>
      <c r="E26">
        <v>74</v>
      </c>
      <c r="F26">
        <f>VLOOKUP(A26,PPL!B:M,12,0)</f>
        <v>85</v>
      </c>
      <c r="G26">
        <f t="shared" si="0"/>
        <v>11</v>
      </c>
    </row>
    <row r="27" spans="1:7" x14ac:dyDescent="0.25">
      <c r="A27" t="s">
        <v>272</v>
      </c>
      <c r="B27" t="s">
        <v>167</v>
      </c>
      <c r="C27" t="s">
        <v>182</v>
      </c>
      <c r="D27" t="s">
        <v>244</v>
      </c>
      <c r="E27">
        <v>68</v>
      </c>
      <c r="F27">
        <f>VLOOKUP(A27,PPL!B:M,12,0)</f>
        <v>75</v>
      </c>
      <c r="G27">
        <f t="shared" si="0"/>
        <v>7</v>
      </c>
    </row>
    <row r="28" spans="1:7" x14ac:dyDescent="0.25">
      <c r="A28" t="s">
        <v>273</v>
      </c>
      <c r="B28" t="s">
        <v>167</v>
      </c>
      <c r="C28" t="s">
        <v>182</v>
      </c>
      <c r="D28" t="s">
        <v>244</v>
      </c>
      <c r="E28">
        <v>80</v>
      </c>
      <c r="F28">
        <f>VLOOKUP(A28,PPL!B:M,12,0)</f>
        <v>92</v>
      </c>
      <c r="G28">
        <f t="shared" si="0"/>
        <v>12</v>
      </c>
    </row>
    <row r="29" spans="1:7" x14ac:dyDescent="0.25">
      <c r="A29" t="s">
        <v>274</v>
      </c>
      <c r="B29" t="s">
        <v>167</v>
      </c>
      <c r="C29" t="s">
        <v>182</v>
      </c>
      <c r="D29" t="s">
        <v>244</v>
      </c>
      <c r="E29">
        <v>40</v>
      </c>
      <c r="F29">
        <f>VLOOKUP(A29,PPL!B:M,12,0)</f>
        <v>50</v>
      </c>
      <c r="G29">
        <f t="shared" si="0"/>
        <v>10</v>
      </c>
    </row>
    <row r="30" spans="1:7" x14ac:dyDescent="0.25">
      <c r="A30" t="s">
        <v>275</v>
      </c>
      <c r="B30" t="s">
        <v>165</v>
      </c>
      <c r="C30" t="s">
        <v>181</v>
      </c>
      <c r="D30" t="s">
        <v>244</v>
      </c>
      <c r="E30">
        <v>81</v>
      </c>
      <c r="F30">
        <f>VLOOKUP(A30,PPL!B:M,12,0)</f>
        <v>105</v>
      </c>
      <c r="G30">
        <f t="shared" si="0"/>
        <v>24</v>
      </c>
    </row>
    <row r="31" spans="1:7" x14ac:dyDescent="0.25">
      <c r="A31" t="s">
        <v>276</v>
      </c>
      <c r="B31" t="s">
        <v>166</v>
      </c>
      <c r="C31" t="s">
        <v>189</v>
      </c>
      <c r="D31" t="s">
        <v>244</v>
      </c>
      <c r="E31">
        <v>62</v>
      </c>
      <c r="F31">
        <f>VLOOKUP(A31,PPL!B:M,12,0)</f>
        <v>87</v>
      </c>
      <c r="G31">
        <f t="shared" si="0"/>
        <v>25</v>
      </c>
    </row>
    <row r="32" spans="1:7" x14ac:dyDescent="0.25">
      <c r="A32" t="s">
        <v>277</v>
      </c>
      <c r="B32" t="s">
        <v>167</v>
      </c>
      <c r="C32" t="s">
        <v>182</v>
      </c>
      <c r="D32" t="s">
        <v>244</v>
      </c>
      <c r="E32">
        <v>47</v>
      </c>
      <c r="F32">
        <f>VLOOKUP(A32,PPL!B:M,12,0)</f>
        <v>58</v>
      </c>
      <c r="G32">
        <f t="shared" si="0"/>
        <v>11</v>
      </c>
    </row>
    <row r="33" spans="1:7" x14ac:dyDescent="0.25">
      <c r="A33" t="s">
        <v>278</v>
      </c>
      <c r="B33" t="s">
        <v>167</v>
      </c>
      <c r="C33" t="s">
        <v>182</v>
      </c>
      <c r="D33" t="s">
        <v>244</v>
      </c>
      <c r="E33">
        <v>43</v>
      </c>
      <c r="F33">
        <f>VLOOKUP(A33,PPL!B:M,12,0)</f>
        <v>58</v>
      </c>
      <c r="G33">
        <f t="shared" si="0"/>
        <v>15</v>
      </c>
    </row>
    <row r="34" spans="1:7" x14ac:dyDescent="0.25">
      <c r="A34" t="s">
        <v>279</v>
      </c>
      <c r="B34" t="s">
        <v>167</v>
      </c>
      <c r="C34" t="s">
        <v>182</v>
      </c>
      <c r="D34" t="s">
        <v>244</v>
      </c>
      <c r="E34">
        <v>71</v>
      </c>
      <c r="F34">
        <f>VLOOKUP(A34,PPL!B:M,12,0)</f>
        <v>83</v>
      </c>
      <c r="G34">
        <f t="shared" si="0"/>
        <v>12</v>
      </c>
    </row>
    <row r="35" spans="1:7" x14ac:dyDescent="0.25">
      <c r="A35" t="s">
        <v>280</v>
      </c>
      <c r="B35" t="s">
        <v>167</v>
      </c>
      <c r="C35" t="s">
        <v>182</v>
      </c>
      <c r="D35" t="s">
        <v>244</v>
      </c>
      <c r="E35">
        <v>88</v>
      </c>
      <c r="F35">
        <f>VLOOKUP(A35,PPL!B:M,12,0)</f>
        <v>98</v>
      </c>
      <c r="G35">
        <f t="shared" si="0"/>
        <v>10</v>
      </c>
    </row>
    <row r="36" spans="1:7" x14ac:dyDescent="0.25">
      <c r="A36" t="s">
        <v>281</v>
      </c>
      <c r="B36" t="s">
        <v>165</v>
      </c>
      <c r="C36" t="s">
        <v>181</v>
      </c>
      <c r="D36" t="s">
        <v>244</v>
      </c>
      <c r="E36">
        <v>65</v>
      </c>
      <c r="F36">
        <f>VLOOKUP(A36,PPL!B:M,12,0)</f>
        <v>67</v>
      </c>
      <c r="G36">
        <f t="shared" si="0"/>
        <v>2</v>
      </c>
    </row>
    <row r="37" spans="1:7" x14ac:dyDescent="0.25">
      <c r="A37" t="s">
        <v>282</v>
      </c>
      <c r="B37" t="s">
        <v>165</v>
      </c>
      <c r="C37" t="s">
        <v>181</v>
      </c>
      <c r="D37" t="s">
        <v>244</v>
      </c>
      <c r="E37">
        <v>57</v>
      </c>
      <c r="F37">
        <f>VLOOKUP(A37,PPL!B:M,12,0)</f>
        <v>68</v>
      </c>
      <c r="G37">
        <f t="shared" si="0"/>
        <v>11</v>
      </c>
    </row>
    <row r="38" spans="1:7" x14ac:dyDescent="0.25">
      <c r="A38" t="s">
        <v>283</v>
      </c>
      <c r="B38" t="s">
        <v>165</v>
      </c>
      <c r="C38" t="s">
        <v>181</v>
      </c>
      <c r="D38" t="s">
        <v>244</v>
      </c>
      <c r="E38">
        <v>151</v>
      </c>
      <c r="F38">
        <f>VLOOKUP(A38,PPL!B:M,12,0)</f>
        <v>173</v>
      </c>
      <c r="G38">
        <f t="shared" si="0"/>
        <v>22</v>
      </c>
    </row>
    <row r="39" spans="1:7" x14ac:dyDescent="0.25">
      <c r="A39" t="s">
        <v>284</v>
      </c>
      <c r="B39" t="s">
        <v>165</v>
      </c>
      <c r="C39" t="s">
        <v>181</v>
      </c>
      <c r="D39" t="s">
        <v>244</v>
      </c>
      <c r="E39">
        <v>81</v>
      </c>
      <c r="F39">
        <f>VLOOKUP(A39,PPL!B:M,12,0)</f>
        <v>92</v>
      </c>
      <c r="G39">
        <f t="shared" si="0"/>
        <v>11</v>
      </c>
    </row>
    <row r="40" spans="1:7" x14ac:dyDescent="0.25">
      <c r="A40" t="s">
        <v>285</v>
      </c>
      <c r="B40" t="s">
        <v>166</v>
      </c>
      <c r="C40" t="s">
        <v>189</v>
      </c>
      <c r="D40" t="s">
        <v>244</v>
      </c>
      <c r="E40">
        <v>57</v>
      </c>
      <c r="F40">
        <f>VLOOKUP(A40,PPL!B:M,12,0)</f>
        <v>71</v>
      </c>
      <c r="G40">
        <f t="shared" si="0"/>
        <v>14</v>
      </c>
    </row>
    <row r="41" spans="1:7" x14ac:dyDescent="0.25">
      <c r="A41" t="s">
        <v>286</v>
      </c>
      <c r="B41" t="s">
        <v>166</v>
      </c>
      <c r="C41" t="s">
        <v>189</v>
      </c>
      <c r="D41" t="s">
        <v>244</v>
      </c>
      <c r="E41">
        <v>35</v>
      </c>
      <c r="F41">
        <f>VLOOKUP(A41,PPL!B:M,12,0)</f>
        <v>46</v>
      </c>
      <c r="G41">
        <f t="shared" si="0"/>
        <v>11</v>
      </c>
    </row>
    <row r="42" spans="1:7" x14ac:dyDescent="0.25">
      <c r="A42" t="s">
        <v>287</v>
      </c>
      <c r="B42" t="s">
        <v>166</v>
      </c>
      <c r="C42" t="s">
        <v>189</v>
      </c>
      <c r="D42" t="s">
        <v>244</v>
      </c>
      <c r="E42">
        <v>45</v>
      </c>
      <c r="F42">
        <f>VLOOKUP(A42,PPL!B:M,12,0)</f>
        <v>54</v>
      </c>
      <c r="G42">
        <f t="shared" si="0"/>
        <v>9</v>
      </c>
    </row>
    <row r="43" spans="1:7" x14ac:dyDescent="0.25">
      <c r="A43" t="s">
        <v>288</v>
      </c>
      <c r="B43" t="s">
        <v>165</v>
      </c>
      <c r="C43" t="s">
        <v>181</v>
      </c>
      <c r="D43" t="s">
        <v>244</v>
      </c>
      <c r="E43">
        <v>49</v>
      </c>
      <c r="F43">
        <f>VLOOKUP(A43,PPL!B:M,12,0)</f>
        <v>56</v>
      </c>
      <c r="G43">
        <f t="shared" si="0"/>
        <v>7</v>
      </c>
    </row>
    <row r="44" spans="1:7" x14ac:dyDescent="0.25">
      <c r="A44" t="s">
        <v>289</v>
      </c>
      <c r="B44" t="s">
        <v>167</v>
      </c>
      <c r="C44" t="s">
        <v>182</v>
      </c>
      <c r="D44" t="s">
        <v>244</v>
      </c>
      <c r="E44">
        <v>42</v>
      </c>
      <c r="F44">
        <f>VLOOKUP(A44,PPL!B:M,12,0)</f>
        <v>50</v>
      </c>
      <c r="G44">
        <f t="shared" si="0"/>
        <v>8</v>
      </c>
    </row>
    <row r="45" spans="1:7" x14ac:dyDescent="0.25">
      <c r="A45" t="s">
        <v>290</v>
      </c>
      <c r="B45" t="s">
        <v>165</v>
      </c>
      <c r="C45" t="s">
        <v>181</v>
      </c>
      <c r="D45" t="s">
        <v>244</v>
      </c>
      <c r="E45">
        <v>98</v>
      </c>
      <c r="F45">
        <f>VLOOKUP(A45,PPL!B:M,12,0)</f>
        <v>113</v>
      </c>
      <c r="G45">
        <f t="shared" si="0"/>
        <v>15</v>
      </c>
    </row>
    <row r="46" spans="1:7" x14ac:dyDescent="0.25">
      <c r="A46" t="s">
        <v>291</v>
      </c>
      <c r="B46" t="s">
        <v>168</v>
      </c>
      <c r="C46" t="s">
        <v>199</v>
      </c>
      <c r="D46" t="s">
        <v>244</v>
      </c>
      <c r="E46">
        <v>20</v>
      </c>
      <c r="F46">
        <f>VLOOKUP(A46,PPL!B:M,12,0)</f>
        <v>37</v>
      </c>
      <c r="G46">
        <f t="shared" si="0"/>
        <v>17</v>
      </c>
    </row>
    <row r="47" spans="1:7" x14ac:dyDescent="0.25">
      <c r="A47" t="s">
        <v>292</v>
      </c>
      <c r="B47" t="s">
        <v>169</v>
      </c>
      <c r="C47" t="s">
        <v>197</v>
      </c>
      <c r="D47" t="s">
        <v>244</v>
      </c>
      <c r="E47">
        <v>63</v>
      </c>
      <c r="F47">
        <f>VLOOKUP(A47,PPL!B:M,12,0)</f>
        <v>83</v>
      </c>
      <c r="G47">
        <f t="shared" si="0"/>
        <v>20</v>
      </c>
    </row>
    <row r="48" spans="1:7" x14ac:dyDescent="0.25">
      <c r="A48" t="s">
        <v>293</v>
      </c>
      <c r="B48" t="s">
        <v>170</v>
      </c>
      <c r="C48" t="s">
        <v>196</v>
      </c>
      <c r="D48" t="s">
        <v>244</v>
      </c>
      <c r="E48">
        <v>87</v>
      </c>
      <c r="F48">
        <f>VLOOKUP(A48,PPL!B:M,12,0)</f>
        <v>98</v>
      </c>
      <c r="G48">
        <f t="shared" si="0"/>
        <v>11</v>
      </c>
    </row>
    <row r="49" spans="1:7" x14ac:dyDescent="0.25">
      <c r="A49" t="s">
        <v>294</v>
      </c>
      <c r="B49" t="s">
        <v>169</v>
      </c>
      <c r="C49" t="s">
        <v>197</v>
      </c>
      <c r="D49" t="s">
        <v>244</v>
      </c>
      <c r="E49">
        <v>92</v>
      </c>
      <c r="F49">
        <f>VLOOKUP(A49,PPL!B:M,12,0)</f>
        <v>97</v>
      </c>
      <c r="G49">
        <f t="shared" si="0"/>
        <v>5</v>
      </c>
    </row>
    <row r="50" spans="1:7" x14ac:dyDescent="0.25">
      <c r="A50" t="s">
        <v>295</v>
      </c>
      <c r="B50" t="s">
        <v>168</v>
      </c>
      <c r="C50" t="s">
        <v>199</v>
      </c>
      <c r="D50" t="s">
        <v>244</v>
      </c>
      <c r="E50">
        <v>45</v>
      </c>
      <c r="F50">
        <f>VLOOKUP(A50,PPL!B:M,12,0)</f>
        <v>61</v>
      </c>
      <c r="G50">
        <f t="shared" si="0"/>
        <v>16</v>
      </c>
    </row>
    <row r="51" spans="1:7" x14ac:dyDescent="0.25">
      <c r="A51" t="s">
        <v>296</v>
      </c>
      <c r="B51" t="s">
        <v>168</v>
      </c>
      <c r="C51" t="s">
        <v>199</v>
      </c>
      <c r="D51" t="s">
        <v>244</v>
      </c>
      <c r="E51">
        <v>69</v>
      </c>
      <c r="F51">
        <f>VLOOKUP(A51,PPL!B:M,12,0)</f>
        <v>80</v>
      </c>
      <c r="G51">
        <f t="shared" si="0"/>
        <v>11</v>
      </c>
    </row>
    <row r="52" spans="1:7" x14ac:dyDescent="0.25">
      <c r="A52" t="s">
        <v>297</v>
      </c>
      <c r="B52" t="s">
        <v>168</v>
      </c>
      <c r="C52" t="s">
        <v>199</v>
      </c>
      <c r="D52" t="s">
        <v>244</v>
      </c>
      <c r="E52">
        <v>65</v>
      </c>
      <c r="F52">
        <f>VLOOKUP(A52,PPL!B:M,12,0)</f>
        <v>73</v>
      </c>
      <c r="G52">
        <f t="shared" si="0"/>
        <v>8</v>
      </c>
    </row>
    <row r="53" spans="1:7" x14ac:dyDescent="0.25">
      <c r="A53" t="s">
        <v>298</v>
      </c>
      <c r="B53" t="s">
        <v>168</v>
      </c>
      <c r="C53" t="s">
        <v>199</v>
      </c>
      <c r="D53" t="s">
        <v>244</v>
      </c>
      <c r="E53">
        <v>69</v>
      </c>
      <c r="F53">
        <f>VLOOKUP(A53,PPL!B:M,12,0)</f>
        <v>72</v>
      </c>
      <c r="G53">
        <f t="shared" si="0"/>
        <v>3</v>
      </c>
    </row>
    <row r="54" spans="1:7" x14ac:dyDescent="0.25">
      <c r="A54" t="s">
        <v>299</v>
      </c>
      <c r="B54" t="s">
        <v>170</v>
      </c>
      <c r="C54" t="s">
        <v>196</v>
      </c>
      <c r="D54" t="s">
        <v>244</v>
      </c>
      <c r="E54">
        <v>85</v>
      </c>
      <c r="F54">
        <f>VLOOKUP(A54,PPL!B:M,12,0)</f>
        <v>96</v>
      </c>
      <c r="G54">
        <f t="shared" si="0"/>
        <v>11</v>
      </c>
    </row>
    <row r="55" spans="1:7" x14ac:dyDescent="0.25">
      <c r="A55" t="s">
        <v>300</v>
      </c>
      <c r="B55" t="s">
        <v>170</v>
      </c>
      <c r="C55" t="s">
        <v>196</v>
      </c>
      <c r="D55" t="s">
        <v>244</v>
      </c>
      <c r="E55">
        <v>75</v>
      </c>
      <c r="F55">
        <f>VLOOKUP(A55,PPL!B:M,12,0)</f>
        <v>91</v>
      </c>
      <c r="G55">
        <f t="shared" si="0"/>
        <v>16</v>
      </c>
    </row>
    <row r="56" spans="1:7" x14ac:dyDescent="0.25">
      <c r="A56" t="s">
        <v>301</v>
      </c>
      <c r="B56" t="s">
        <v>170</v>
      </c>
      <c r="C56" t="s">
        <v>196</v>
      </c>
      <c r="D56" t="s">
        <v>244</v>
      </c>
      <c r="E56">
        <v>108</v>
      </c>
      <c r="F56">
        <f>VLOOKUP(A56,PPL!B:M,12,0)</f>
        <v>109</v>
      </c>
      <c r="G56">
        <f t="shared" si="0"/>
        <v>1</v>
      </c>
    </row>
    <row r="57" spans="1:7" x14ac:dyDescent="0.25">
      <c r="A57" t="s">
        <v>302</v>
      </c>
      <c r="B57" t="s">
        <v>170</v>
      </c>
      <c r="C57" t="s">
        <v>196</v>
      </c>
      <c r="D57" t="s">
        <v>244</v>
      </c>
      <c r="E57">
        <v>77</v>
      </c>
      <c r="F57">
        <f>VLOOKUP(A57,PPL!B:M,12,0)</f>
        <v>77</v>
      </c>
      <c r="G57">
        <f t="shared" si="0"/>
        <v>0</v>
      </c>
    </row>
    <row r="58" spans="1:7" x14ac:dyDescent="0.25">
      <c r="A58" t="s">
        <v>303</v>
      </c>
      <c r="B58" t="s">
        <v>170</v>
      </c>
      <c r="C58" t="s">
        <v>196</v>
      </c>
      <c r="D58" t="s">
        <v>244</v>
      </c>
      <c r="E58">
        <v>75</v>
      </c>
      <c r="F58">
        <f>VLOOKUP(A58,PPL!B:M,12,0)</f>
        <v>77</v>
      </c>
      <c r="G58">
        <f t="shared" si="0"/>
        <v>2</v>
      </c>
    </row>
    <row r="59" spans="1:7" x14ac:dyDescent="0.25">
      <c r="A59" t="s">
        <v>304</v>
      </c>
      <c r="B59" t="s">
        <v>170</v>
      </c>
      <c r="C59" t="s">
        <v>196</v>
      </c>
      <c r="D59" t="s">
        <v>244</v>
      </c>
      <c r="E59">
        <v>44</v>
      </c>
      <c r="F59">
        <f>VLOOKUP(A59,PPL!B:M,12,0)</f>
        <v>44</v>
      </c>
      <c r="G59">
        <f t="shared" si="0"/>
        <v>0</v>
      </c>
    </row>
    <row r="60" spans="1:7" x14ac:dyDescent="0.25">
      <c r="A60" t="s">
        <v>305</v>
      </c>
      <c r="B60" t="s">
        <v>168</v>
      </c>
      <c r="C60" t="s">
        <v>199</v>
      </c>
      <c r="D60" t="s">
        <v>244</v>
      </c>
      <c r="E60">
        <v>43</v>
      </c>
      <c r="F60">
        <f>VLOOKUP(A60,PPL!B:M,12,0)</f>
        <v>55</v>
      </c>
      <c r="G60">
        <f t="shared" si="0"/>
        <v>12</v>
      </c>
    </row>
    <row r="61" spans="1:7" x14ac:dyDescent="0.25">
      <c r="A61" t="s">
        <v>306</v>
      </c>
      <c r="B61" t="s">
        <v>170</v>
      </c>
      <c r="C61" t="s">
        <v>196</v>
      </c>
      <c r="D61" t="s">
        <v>244</v>
      </c>
      <c r="E61">
        <v>76</v>
      </c>
      <c r="F61">
        <f>VLOOKUP(A61,PPL!B:M,12,0)</f>
        <v>91</v>
      </c>
      <c r="G61">
        <f t="shared" si="0"/>
        <v>15</v>
      </c>
    </row>
    <row r="62" spans="1:7" x14ac:dyDescent="0.25">
      <c r="A62" t="s">
        <v>307</v>
      </c>
      <c r="B62" t="s">
        <v>169</v>
      </c>
      <c r="C62" t="s">
        <v>197</v>
      </c>
      <c r="D62" t="s">
        <v>244</v>
      </c>
      <c r="E62">
        <v>48</v>
      </c>
      <c r="F62">
        <f>VLOOKUP(A62,PPL!B:M,12,0)</f>
        <v>57</v>
      </c>
      <c r="G62">
        <f t="shared" si="0"/>
        <v>9</v>
      </c>
    </row>
    <row r="63" spans="1:7" x14ac:dyDescent="0.25">
      <c r="A63" t="s">
        <v>308</v>
      </c>
      <c r="B63" t="s">
        <v>169</v>
      </c>
      <c r="C63" t="s">
        <v>197</v>
      </c>
      <c r="D63" t="s">
        <v>244</v>
      </c>
      <c r="E63">
        <v>79</v>
      </c>
      <c r="F63">
        <f>VLOOKUP(A63,PPL!B:M,12,0)</f>
        <v>96</v>
      </c>
      <c r="G63">
        <f t="shared" si="0"/>
        <v>17</v>
      </c>
    </row>
    <row r="64" spans="1:7" x14ac:dyDescent="0.25">
      <c r="A64" t="s">
        <v>309</v>
      </c>
      <c r="B64" t="s">
        <v>169</v>
      </c>
      <c r="C64" t="s">
        <v>197</v>
      </c>
      <c r="D64" t="s">
        <v>244</v>
      </c>
      <c r="E64">
        <v>103</v>
      </c>
      <c r="F64">
        <f>VLOOKUP(A64,PPL!B:M,12,0)</f>
        <v>121</v>
      </c>
      <c r="G64">
        <f t="shared" si="0"/>
        <v>18</v>
      </c>
    </row>
    <row r="65" spans="1:7" x14ac:dyDescent="0.25">
      <c r="A65" t="s">
        <v>310</v>
      </c>
      <c r="B65" t="s">
        <v>169</v>
      </c>
      <c r="C65" t="s">
        <v>197</v>
      </c>
      <c r="D65" t="s">
        <v>244</v>
      </c>
      <c r="E65">
        <v>87</v>
      </c>
      <c r="F65">
        <f>VLOOKUP(A65,PPL!B:M,12,0)</f>
        <v>104</v>
      </c>
      <c r="G65">
        <f t="shared" si="0"/>
        <v>17</v>
      </c>
    </row>
    <row r="66" spans="1:7" x14ac:dyDescent="0.25">
      <c r="A66" t="s">
        <v>311</v>
      </c>
      <c r="B66" t="s">
        <v>168</v>
      </c>
      <c r="C66" t="s">
        <v>199</v>
      </c>
      <c r="D66" t="s">
        <v>244</v>
      </c>
      <c r="E66">
        <v>71</v>
      </c>
      <c r="F66">
        <f>VLOOKUP(A66,PPL!B:M,12,0)</f>
        <v>82</v>
      </c>
      <c r="G66">
        <f t="shared" si="0"/>
        <v>11</v>
      </c>
    </row>
    <row r="67" spans="1:7" x14ac:dyDescent="0.25">
      <c r="A67" t="s">
        <v>312</v>
      </c>
      <c r="B67" t="s">
        <v>169</v>
      </c>
      <c r="C67" t="s">
        <v>197</v>
      </c>
      <c r="D67" t="s">
        <v>244</v>
      </c>
      <c r="E67">
        <v>73</v>
      </c>
      <c r="F67">
        <f>VLOOKUP(A67,PPL!B:M,12,0)</f>
        <v>85</v>
      </c>
      <c r="G67">
        <f t="shared" ref="G67:G130" si="1">F67-E67</f>
        <v>12</v>
      </c>
    </row>
    <row r="68" spans="1:7" x14ac:dyDescent="0.25">
      <c r="A68" t="s">
        <v>313</v>
      </c>
      <c r="B68" t="s">
        <v>169</v>
      </c>
      <c r="C68" t="s">
        <v>197</v>
      </c>
      <c r="D68" t="s">
        <v>244</v>
      </c>
      <c r="E68">
        <v>64</v>
      </c>
      <c r="F68">
        <f>VLOOKUP(A68,PPL!B:M,12,0)</f>
        <v>81</v>
      </c>
      <c r="G68">
        <f t="shared" si="1"/>
        <v>17</v>
      </c>
    </row>
    <row r="69" spans="1:7" x14ac:dyDescent="0.25">
      <c r="A69" t="s">
        <v>314</v>
      </c>
      <c r="B69" t="s">
        <v>169</v>
      </c>
      <c r="C69" t="s">
        <v>197</v>
      </c>
      <c r="D69" t="s">
        <v>244</v>
      </c>
      <c r="E69">
        <v>83</v>
      </c>
      <c r="F69">
        <f>VLOOKUP(A69,PPL!B:M,12,0)</f>
        <v>104</v>
      </c>
      <c r="G69">
        <f t="shared" si="1"/>
        <v>21</v>
      </c>
    </row>
    <row r="70" spans="1:7" x14ac:dyDescent="0.25">
      <c r="A70" t="s">
        <v>315</v>
      </c>
      <c r="B70" t="s">
        <v>168</v>
      </c>
      <c r="C70" t="s">
        <v>199</v>
      </c>
      <c r="D70" t="s">
        <v>244</v>
      </c>
      <c r="E70">
        <v>61</v>
      </c>
      <c r="F70">
        <f>VLOOKUP(A70,PPL!B:M,12,0)</f>
        <v>68</v>
      </c>
      <c r="G70">
        <f t="shared" si="1"/>
        <v>7</v>
      </c>
    </row>
    <row r="71" spans="1:7" x14ac:dyDescent="0.25">
      <c r="A71" t="s">
        <v>316</v>
      </c>
      <c r="B71" t="s">
        <v>171</v>
      </c>
      <c r="C71" t="s">
        <v>195</v>
      </c>
      <c r="D71" t="s">
        <v>244</v>
      </c>
      <c r="E71">
        <v>54</v>
      </c>
      <c r="F71">
        <f>VLOOKUP(A71,PPL!B:M,12,0)</f>
        <v>59</v>
      </c>
      <c r="G71">
        <f t="shared" si="1"/>
        <v>5</v>
      </c>
    </row>
    <row r="72" spans="1:7" x14ac:dyDescent="0.25">
      <c r="A72" t="s">
        <v>317</v>
      </c>
      <c r="B72" t="s">
        <v>171</v>
      </c>
      <c r="C72" t="s">
        <v>195</v>
      </c>
      <c r="D72" t="s">
        <v>244</v>
      </c>
      <c r="E72">
        <v>47</v>
      </c>
      <c r="F72">
        <f>VLOOKUP(A72,PPL!B:M,12,0)</f>
        <v>54</v>
      </c>
      <c r="G72">
        <f t="shared" si="1"/>
        <v>7</v>
      </c>
    </row>
    <row r="73" spans="1:7" x14ac:dyDescent="0.25">
      <c r="A73" t="s">
        <v>318</v>
      </c>
      <c r="B73" t="s">
        <v>171</v>
      </c>
      <c r="C73" t="s">
        <v>195</v>
      </c>
      <c r="D73" t="s">
        <v>244</v>
      </c>
      <c r="E73">
        <v>52</v>
      </c>
      <c r="F73">
        <f>VLOOKUP(A73,PPL!B:M,12,0)</f>
        <v>58</v>
      </c>
      <c r="G73">
        <f t="shared" si="1"/>
        <v>6</v>
      </c>
    </row>
    <row r="74" spans="1:7" x14ac:dyDescent="0.25">
      <c r="A74" t="s">
        <v>319</v>
      </c>
      <c r="B74" t="s">
        <v>171</v>
      </c>
      <c r="C74" t="s">
        <v>195</v>
      </c>
      <c r="D74" t="s">
        <v>244</v>
      </c>
      <c r="E74">
        <v>60</v>
      </c>
      <c r="F74">
        <f>VLOOKUP(A74,PPL!B:M,12,0)</f>
        <v>90</v>
      </c>
      <c r="G74">
        <f t="shared" si="1"/>
        <v>30</v>
      </c>
    </row>
    <row r="75" spans="1:7" x14ac:dyDescent="0.25">
      <c r="A75" t="s">
        <v>320</v>
      </c>
      <c r="B75" t="s">
        <v>171</v>
      </c>
      <c r="C75" t="s">
        <v>195</v>
      </c>
      <c r="D75" t="s">
        <v>244</v>
      </c>
      <c r="E75">
        <v>57</v>
      </c>
      <c r="F75">
        <f>VLOOKUP(A75,PPL!B:M,12,0)</f>
        <v>62</v>
      </c>
      <c r="G75">
        <f t="shared" si="1"/>
        <v>5</v>
      </c>
    </row>
    <row r="76" spans="1:7" x14ac:dyDescent="0.25">
      <c r="A76" t="s">
        <v>321</v>
      </c>
      <c r="B76" t="s">
        <v>171</v>
      </c>
      <c r="C76" t="s">
        <v>195</v>
      </c>
      <c r="D76" t="s">
        <v>244</v>
      </c>
      <c r="E76">
        <v>31</v>
      </c>
      <c r="F76">
        <f>VLOOKUP(A76,PPL!B:M,12,0)</f>
        <v>32</v>
      </c>
      <c r="G76">
        <f t="shared" si="1"/>
        <v>1</v>
      </c>
    </row>
    <row r="77" spans="1:7" x14ac:dyDescent="0.25">
      <c r="A77" t="s">
        <v>322</v>
      </c>
      <c r="B77" t="s">
        <v>171</v>
      </c>
      <c r="C77" t="s">
        <v>195</v>
      </c>
      <c r="D77" t="s">
        <v>244</v>
      </c>
      <c r="E77">
        <v>45</v>
      </c>
      <c r="F77">
        <f>VLOOKUP(A77,PPL!B:M,12,0)</f>
        <v>52</v>
      </c>
      <c r="G77">
        <f t="shared" si="1"/>
        <v>7</v>
      </c>
    </row>
    <row r="78" spans="1:7" x14ac:dyDescent="0.25">
      <c r="A78" t="s">
        <v>323</v>
      </c>
      <c r="B78" t="s">
        <v>171</v>
      </c>
      <c r="C78" t="s">
        <v>195</v>
      </c>
      <c r="D78" t="s">
        <v>244</v>
      </c>
      <c r="E78">
        <v>44</v>
      </c>
      <c r="F78">
        <f>VLOOKUP(A78,PPL!B:M,12,0)</f>
        <v>46</v>
      </c>
      <c r="G78">
        <f t="shared" si="1"/>
        <v>2</v>
      </c>
    </row>
    <row r="79" spans="1:7" x14ac:dyDescent="0.25">
      <c r="A79" t="s">
        <v>324</v>
      </c>
      <c r="B79" t="s">
        <v>172</v>
      </c>
      <c r="C79" t="s">
        <v>193</v>
      </c>
      <c r="D79" t="s">
        <v>244</v>
      </c>
      <c r="E79">
        <v>48</v>
      </c>
      <c r="F79">
        <f>VLOOKUP(A79,PPL!B:M,12,0)</f>
        <v>50</v>
      </c>
      <c r="G79">
        <f t="shared" si="1"/>
        <v>2</v>
      </c>
    </row>
    <row r="80" spans="1:7" x14ac:dyDescent="0.25">
      <c r="A80" t="s">
        <v>325</v>
      </c>
      <c r="B80" t="s">
        <v>172</v>
      </c>
      <c r="C80" t="s">
        <v>193</v>
      </c>
      <c r="D80" t="s">
        <v>244</v>
      </c>
      <c r="E80">
        <v>57</v>
      </c>
      <c r="F80">
        <f>VLOOKUP(A80,PPL!B:M,12,0)</f>
        <v>57</v>
      </c>
      <c r="G80">
        <f t="shared" si="1"/>
        <v>0</v>
      </c>
    </row>
    <row r="81" spans="1:7" x14ac:dyDescent="0.25">
      <c r="A81" t="s">
        <v>326</v>
      </c>
      <c r="B81" t="s">
        <v>172</v>
      </c>
      <c r="C81" t="s">
        <v>193</v>
      </c>
      <c r="D81" t="s">
        <v>244</v>
      </c>
      <c r="E81">
        <v>39</v>
      </c>
      <c r="F81">
        <f>VLOOKUP(A81,PPL!B:M,12,0)</f>
        <v>42</v>
      </c>
      <c r="G81">
        <f t="shared" si="1"/>
        <v>3</v>
      </c>
    </row>
    <row r="82" spans="1:7" x14ac:dyDescent="0.25">
      <c r="A82" t="s">
        <v>327</v>
      </c>
      <c r="B82" t="s">
        <v>172</v>
      </c>
      <c r="C82" t="s">
        <v>193</v>
      </c>
      <c r="D82" t="s">
        <v>244</v>
      </c>
      <c r="E82">
        <v>38</v>
      </c>
      <c r="F82">
        <f>VLOOKUP(A82,PPL!B:M,12,0)</f>
        <v>49</v>
      </c>
      <c r="G82">
        <f t="shared" si="1"/>
        <v>11</v>
      </c>
    </row>
    <row r="83" spans="1:7" x14ac:dyDescent="0.25">
      <c r="A83" t="s">
        <v>328</v>
      </c>
      <c r="B83" t="s">
        <v>172</v>
      </c>
      <c r="C83" t="s">
        <v>193</v>
      </c>
      <c r="D83" t="s">
        <v>244</v>
      </c>
      <c r="E83">
        <v>38</v>
      </c>
      <c r="F83">
        <f>VLOOKUP(A83,PPL!B:M,12,0)</f>
        <v>50</v>
      </c>
      <c r="G83">
        <f t="shared" si="1"/>
        <v>12</v>
      </c>
    </row>
    <row r="84" spans="1:7" x14ac:dyDescent="0.25">
      <c r="A84" t="s">
        <v>329</v>
      </c>
      <c r="B84" t="s">
        <v>172</v>
      </c>
      <c r="C84" t="s">
        <v>193</v>
      </c>
      <c r="D84" t="s">
        <v>244</v>
      </c>
      <c r="E84">
        <v>45</v>
      </c>
      <c r="F84">
        <f>VLOOKUP(A84,PPL!B:M,12,0)</f>
        <v>57</v>
      </c>
      <c r="G84">
        <f t="shared" si="1"/>
        <v>12</v>
      </c>
    </row>
    <row r="85" spans="1:7" x14ac:dyDescent="0.25">
      <c r="A85" t="s">
        <v>330</v>
      </c>
      <c r="B85" t="s">
        <v>172</v>
      </c>
      <c r="C85" t="s">
        <v>193</v>
      </c>
      <c r="D85" t="s">
        <v>244</v>
      </c>
      <c r="E85">
        <v>57</v>
      </c>
      <c r="F85">
        <f>VLOOKUP(A85,PPL!B:M,12,0)</f>
        <v>65</v>
      </c>
      <c r="G85">
        <f t="shared" si="1"/>
        <v>8</v>
      </c>
    </row>
    <row r="86" spans="1:7" x14ac:dyDescent="0.25">
      <c r="A86" t="s">
        <v>331</v>
      </c>
      <c r="B86" t="s">
        <v>172</v>
      </c>
      <c r="C86" t="s">
        <v>193</v>
      </c>
      <c r="D86" t="s">
        <v>244</v>
      </c>
      <c r="E86">
        <v>39</v>
      </c>
      <c r="F86">
        <f>VLOOKUP(A86,PPL!B:M,12,0)</f>
        <v>45</v>
      </c>
      <c r="G86">
        <f t="shared" si="1"/>
        <v>6</v>
      </c>
    </row>
    <row r="87" spans="1:7" x14ac:dyDescent="0.25">
      <c r="A87" t="s">
        <v>332</v>
      </c>
      <c r="B87" t="s">
        <v>173</v>
      </c>
      <c r="C87" t="s">
        <v>186</v>
      </c>
      <c r="D87" t="s">
        <v>244</v>
      </c>
      <c r="E87">
        <v>60</v>
      </c>
      <c r="F87">
        <f>VLOOKUP(A87,PPL!B:M,12,0)</f>
        <v>72</v>
      </c>
      <c r="G87">
        <f t="shared" si="1"/>
        <v>12</v>
      </c>
    </row>
    <row r="88" spans="1:7" x14ac:dyDescent="0.25">
      <c r="A88" t="s">
        <v>333</v>
      </c>
      <c r="B88" t="s">
        <v>174</v>
      </c>
      <c r="C88" t="s">
        <v>185</v>
      </c>
      <c r="D88" t="s">
        <v>244</v>
      </c>
      <c r="E88">
        <v>102</v>
      </c>
      <c r="F88">
        <f>VLOOKUP(A88,PPL!B:M,12,0)</f>
        <v>108</v>
      </c>
      <c r="G88">
        <f t="shared" si="1"/>
        <v>6</v>
      </c>
    </row>
    <row r="89" spans="1:7" x14ac:dyDescent="0.25">
      <c r="A89" t="s">
        <v>334</v>
      </c>
      <c r="B89" t="s">
        <v>175</v>
      </c>
      <c r="C89" t="s">
        <v>188</v>
      </c>
      <c r="D89" t="s">
        <v>244</v>
      </c>
      <c r="E89">
        <v>85</v>
      </c>
      <c r="F89">
        <f>VLOOKUP(A89,PPL!B:M,12,0)</f>
        <v>99</v>
      </c>
      <c r="G89">
        <f t="shared" si="1"/>
        <v>14</v>
      </c>
    </row>
    <row r="90" spans="1:7" x14ac:dyDescent="0.25">
      <c r="A90" t="s">
        <v>335</v>
      </c>
      <c r="B90" t="s">
        <v>173</v>
      </c>
      <c r="C90" t="s">
        <v>186</v>
      </c>
      <c r="D90" t="s">
        <v>244</v>
      </c>
      <c r="E90">
        <v>58</v>
      </c>
      <c r="F90">
        <f>VLOOKUP(A90,PPL!B:M,12,0)</f>
        <v>68</v>
      </c>
      <c r="G90">
        <f t="shared" si="1"/>
        <v>10</v>
      </c>
    </row>
    <row r="91" spans="1:7" x14ac:dyDescent="0.25">
      <c r="A91" t="s">
        <v>336</v>
      </c>
      <c r="B91" t="s">
        <v>174</v>
      </c>
      <c r="C91" t="s">
        <v>185</v>
      </c>
      <c r="D91" t="s">
        <v>244</v>
      </c>
      <c r="E91">
        <v>47</v>
      </c>
      <c r="F91">
        <f>VLOOKUP(A91,PPL!B:M,12,0)</f>
        <v>57</v>
      </c>
      <c r="G91">
        <f t="shared" si="1"/>
        <v>10</v>
      </c>
    </row>
    <row r="92" spans="1:7" x14ac:dyDescent="0.25">
      <c r="A92" t="s">
        <v>337</v>
      </c>
      <c r="B92" t="s">
        <v>173</v>
      </c>
      <c r="C92" t="s">
        <v>186</v>
      </c>
      <c r="D92" t="s">
        <v>244</v>
      </c>
      <c r="E92">
        <v>57</v>
      </c>
      <c r="F92">
        <f>VLOOKUP(A92,PPL!B:M,12,0)</f>
        <v>80</v>
      </c>
      <c r="G92">
        <f t="shared" si="1"/>
        <v>23</v>
      </c>
    </row>
    <row r="93" spans="1:7" x14ac:dyDescent="0.25">
      <c r="A93" t="s">
        <v>338</v>
      </c>
      <c r="B93" t="s">
        <v>175</v>
      </c>
      <c r="C93" t="s">
        <v>188</v>
      </c>
      <c r="D93" t="s">
        <v>244</v>
      </c>
      <c r="E93">
        <v>54</v>
      </c>
      <c r="F93">
        <f>VLOOKUP(A93,PPL!B:M,12,0)</f>
        <v>70</v>
      </c>
      <c r="G93">
        <f t="shared" si="1"/>
        <v>16</v>
      </c>
    </row>
    <row r="94" spans="1:7" x14ac:dyDescent="0.25">
      <c r="A94" t="s">
        <v>339</v>
      </c>
      <c r="B94" t="s">
        <v>175</v>
      </c>
      <c r="C94" t="s">
        <v>188</v>
      </c>
      <c r="D94" t="s">
        <v>244</v>
      </c>
      <c r="E94">
        <v>74</v>
      </c>
      <c r="F94">
        <f>VLOOKUP(A94,PPL!B:M,12,0)</f>
        <v>86</v>
      </c>
      <c r="G94">
        <f t="shared" si="1"/>
        <v>12</v>
      </c>
    </row>
    <row r="95" spans="1:7" x14ac:dyDescent="0.25">
      <c r="A95" t="s">
        <v>340</v>
      </c>
      <c r="B95" t="s">
        <v>174</v>
      </c>
      <c r="C95" t="s">
        <v>185</v>
      </c>
      <c r="D95" t="s">
        <v>244</v>
      </c>
      <c r="E95">
        <v>56</v>
      </c>
      <c r="F95">
        <f>VLOOKUP(A95,PPL!B:M,12,0)</f>
        <v>72</v>
      </c>
      <c r="G95">
        <f t="shared" si="1"/>
        <v>16</v>
      </c>
    </row>
    <row r="96" spans="1:7" x14ac:dyDescent="0.25">
      <c r="A96" t="s">
        <v>341</v>
      </c>
      <c r="B96" t="s">
        <v>174</v>
      </c>
      <c r="C96" t="s">
        <v>185</v>
      </c>
      <c r="D96" t="s">
        <v>244</v>
      </c>
      <c r="E96">
        <v>64</v>
      </c>
      <c r="F96">
        <f>VLOOKUP(A96,PPL!B:M,12,0)</f>
        <v>73</v>
      </c>
      <c r="G96">
        <f t="shared" si="1"/>
        <v>9</v>
      </c>
    </row>
    <row r="97" spans="1:7" x14ac:dyDescent="0.25">
      <c r="A97" t="s">
        <v>342</v>
      </c>
      <c r="B97" t="s">
        <v>175</v>
      </c>
      <c r="C97" t="s">
        <v>188</v>
      </c>
      <c r="D97" t="s">
        <v>244</v>
      </c>
      <c r="E97">
        <v>30</v>
      </c>
      <c r="F97">
        <f>VLOOKUP(A97,PPL!B:M,12,0)</f>
        <v>78</v>
      </c>
      <c r="G97">
        <f t="shared" si="1"/>
        <v>48</v>
      </c>
    </row>
    <row r="98" spans="1:7" x14ac:dyDescent="0.25">
      <c r="A98" t="s">
        <v>343</v>
      </c>
      <c r="B98" t="s">
        <v>175</v>
      </c>
      <c r="C98" t="s">
        <v>188</v>
      </c>
      <c r="D98" t="s">
        <v>244</v>
      </c>
      <c r="E98">
        <v>116</v>
      </c>
      <c r="F98">
        <f>VLOOKUP(A98,PPL!B:M,12,0)</f>
        <v>116</v>
      </c>
      <c r="G98">
        <f t="shared" si="1"/>
        <v>0</v>
      </c>
    </row>
    <row r="99" spans="1:7" x14ac:dyDescent="0.25">
      <c r="A99" t="s">
        <v>344</v>
      </c>
      <c r="B99" t="s">
        <v>175</v>
      </c>
      <c r="C99" t="s">
        <v>188</v>
      </c>
      <c r="D99" t="s">
        <v>244</v>
      </c>
      <c r="E99">
        <v>33</v>
      </c>
      <c r="F99">
        <f>VLOOKUP(A99,PPL!B:M,12,0)</f>
        <v>40</v>
      </c>
      <c r="G99">
        <f t="shared" si="1"/>
        <v>7</v>
      </c>
    </row>
    <row r="100" spans="1:7" x14ac:dyDescent="0.25">
      <c r="A100" t="s">
        <v>345</v>
      </c>
      <c r="B100" t="s">
        <v>173</v>
      </c>
      <c r="C100" t="s">
        <v>186</v>
      </c>
      <c r="D100" t="s">
        <v>244</v>
      </c>
      <c r="E100">
        <v>105</v>
      </c>
      <c r="F100">
        <f>VLOOKUP(A100,PPL!B:M,12,0)</f>
        <v>117</v>
      </c>
      <c r="G100">
        <f t="shared" si="1"/>
        <v>12</v>
      </c>
    </row>
    <row r="101" spans="1:7" x14ac:dyDescent="0.25">
      <c r="A101" t="s">
        <v>346</v>
      </c>
      <c r="B101" t="s">
        <v>173</v>
      </c>
      <c r="C101" t="s">
        <v>186</v>
      </c>
      <c r="D101" t="s">
        <v>244</v>
      </c>
      <c r="E101">
        <v>92</v>
      </c>
      <c r="F101">
        <f>VLOOKUP(A101,PPL!B:M,12,0)</f>
        <v>105</v>
      </c>
      <c r="G101">
        <f t="shared" si="1"/>
        <v>13</v>
      </c>
    </row>
    <row r="102" spans="1:7" x14ac:dyDescent="0.25">
      <c r="A102" t="s">
        <v>347</v>
      </c>
      <c r="B102" t="s">
        <v>175</v>
      </c>
      <c r="C102" t="s">
        <v>188</v>
      </c>
      <c r="D102" t="s">
        <v>244</v>
      </c>
      <c r="E102">
        <v>84</v>
      </c>
      <c r="F102">
        <f>VLOOKUP(A102,PPL!B:M,12,0)</f>
        <v>91</v>
      </c>
      <c r="G102">
        <f t="shared" si="1"/>
        <v>7</v>
      </c>
    </row>
    <row r="103" spans="1:7" x14ac:dyDescent="0.25">
      <c r="A103" t="s">
        <v>348</v>
      </c>
      <c r="B103" t="s">
        <v>174</v>
      </c>
      <c r="C103" t="s">
        <v>185</v>
      </c>
      <c r="D103" t="s">
        <v>244</v>
      </c>
      <c r="E103">
        <v>55</v>
      </c>
      <c r="F103">
        <f>VLOOKUP(A103,PPL!B:M,12,0)</f>
        <v>63</v>
      </c>
      <c r="G103">
        <f t="shared" si="1"/>
        <v>8</v>
      </c>
    </row>
    <row r="104" spans="1:7" x14ac:dyDescent="0.25">
      <c r="A104" t="s">
        <v>349</v>
      </c>
      <c r="B104" t="s">
        <v>173</v>
      </c>
      <c r="C104" t="s">
        <v>186</v>
      </c>
      <c r="D104" t="s">
        <v>244</v>
      </c>
      <c r="E104">
        <v>84</v>
      </c>
      <c r="F104">
        <f>VLOOKUP(A104,PPL!B:M,12,0)</f>
        <v>99</v>
      </c>
      <c r="G104">
        <f t="shared" si="1"/>
        <v>15</v>
      </c>
    </row>
    <row r="105" spans="1:7" x14ac:dyDescent="0.25">
      <c r="A105" t="s">
        <v>350</v>
      </c>
      <c r="B105" t="s">
        <v>174</v>
      </c>
      <c r="C105" t="s">
        <v>185</v>
      </c>
      <c r="D105" t="s">
        <v>244</v>
      </c>
      <c r="E105">
        <v>51</v>
      </c>
      <c r="F105">
        <f>VLOOKUP(A105,PPL!B:M,12,0)</f>
        <v>67</v>
      </c>
      <c r="G105">
        <f t="shared" si="1"/>
        <v>16</v>
      </c>
    </row>
    <row r="106" spans="1:7" x14ac:dyDescent="0.25">
      <c r="A106" t="s">
        <v>351</v>
      </c>
      <c r="B106" t="s">
        <v>176</v>
      </c>
      <c r="C106" t="s">
        <v>194</v>
      </c>
      <c r="D106" t="s">
        <v>244</v>
      </c>
      <c r="E106">
        <v>66</v>
      </c>
      <c r="F106">
        <f>VLOOKUP(A106,PPL!B:M,12,0)</f>
        <v>79</v>
      </c>
      <c r="G106">
        <f t="shared" si="1"/>
        <v>13</v>
      </c>
    </row>
    <row r="107" spans="1:7" x14ac:dyDescent="0.25">
      <c r="A107" t="s">
        <v>352</v>
      </c>
      <c r="B107" t="s">
        <v>176</v>
      </c>
      <c r="C107" t="s">
        <v>194</v>
      </c>
      <c r="D107" t="s">
        <v>244</v>
      </c>
      <c r="E107">
        <v>62</v>
      </c>
      <c r="F107">
        <f>VLOOKUP(A107,PPL!B:M,12,0)</f>
        <v>68</v>
      </c>
      <c r="G107">
        <f t="shared" si="1"/>
        <v>6</v>
      </c>
    </row>
    <row r="108" spans="1:7" x14ac:dyDescent="0.25">
      <c r="A108" t="s">
        <v>353</v>
      </c>
      <c r="B108" t="s">
        <v>176</v>
      </c>
      <c r="C108" t="s">
        <v>194</v>
      </c>
      <c r="D108" t="s">
        <v>244</v>
      </c>
      <c r="E108">
        <v>84</v>
      </c>
      <c r="F108">
        <f>VLOOKUP(A108,PPL!B:M,12,0)</f>
        <v>90</v>
      </c>
      <c r="G108">
        <f t="shared" si="1"/>
        <v>6</v>
      </c>
    </row>
    <row r="109" spans="1:7" x14ac:dyDescent="0.25">
      <c r="A109" t="s">
        <v>354</v>
      </c>
      <c r="B109" t="s">
        <v>176</v>
      </c>
      <c r="C109" t="s">
        <v>194</v>
      </c>
      <c r="D109" t="s">
        <v>244</v>
      </c>
      <c r="E109">
        <v>86</v>
      </c>
      <c r="F109">
        <f>VLOOKUP(A109,PPL!B:M,12,0)</f>
        <v>115</v>
      </c>
      <c r="G109">
        <f t="shared" si="1"/>
        <v>29</v>
      </c>
    </row>
    <row r="110" spans="1:7" x14ac:dyDescent="0.25">
      <c r="A110" t="s">
        <v>355</v>
      </c>
      <c r="B110" t="s">
        <v>177</v>
      </c>
      <c r="C110" t="s">
        <v>192</v>
      </c>
      <c r="D110" t="s">
        <v>244</v>
      </c>
      <c r="E110">
        <v>74</v>
      </c>
      <c r="F110">
        <f>VLOOKUP(A110,PPL!B:M,12,0)</f>
        <v>78</v>
      </c>
      <c r="G110">
        <f t="shared" si="1"/>
        <v>4</v>
      </c>
    </row>
    <row r="111" spans="1:7" x14ac:dyDescent="0.25">
      <c r="A111" t="s">
        <v>356</v>
      </c>
      <c r="B111" t="s">
        <v>178</v>
      </c>
      <c r="C111" t="s">
        <v>191</v>
      </c>
      <c r="D111" t="s">
        <v>244</v>
      </c>
      <c r="E111">
        <v>70</v>
      </c>
      <c r="F111">
        <f>VLOOKUP(A111,PPL!B:M,12,0)</f>
        <v>78</v>
      </c>
      <c r="G111">
        <f t="shared" si="1"/>
        <v>8</v>
      </c>
    </row>
    <row r="112" spans="1:7" x14ac:dyDescent="0.25">
      <c r="A112" t="s">
        <v>357</v>
      </c>
      <c r="B112" t="s">
        <v>178</v>
      </c>
      <c r="C112" t="s">
        <v>191</v>
      </c>
      <c r="D112" t="s">
        <v>244</v>
      </c>
      <c r="E112">
        <v>79</v>
      </c>
      <c r="F112">
        <f>VLOOKUP(A112,PPL!B:M,12,0)</f>
        <v>84</v>
      </c>
      <c r="G112">
        <f t="shared" si="1"/>
        <v>5</v>
      </c>
    </row>
    <row r="113" spans="1:7" x14ac:dyDescent="0.25">
      <c r="A113" t="s">
        <v>358</v>
      </c>
      <c r="B113" t="s">
        <v>178</v>
      </c>
      <c r="C113" t="s">
        <v>191</v>
      </c>
      <c r="D113" t="s">
        <v>244</v>
      </c>
      <c r="E113">
        <v>130</v>
      </c>
      <c r="F113">
        <f>VLOOKUP(A113,PPL!B:M,12,0)</f>
        <v>142</v>
      </c>
      <c r="G113">
        <f t="shared" si="1"/>
        <v>12</v>
      </c>
    </row>
    <row r="114" spans="1:7" x14ac:dyDescent="0.25">
      <c r="A114" t="s">
        <v>359</v>
      </c>
      <c r="B114" t="s">
        <v>178</v>
      </c>
      <c r="C114" t="s">
        <v>191</v>
      </c>
      <c r="D114" t="s">
        <v>244</v>
      </c>
      <c r="E114">
        <v>72</v>
      </c>
      <c r="F114">
        <f>VLOOKUP(A114,PPL!B:M,12,0)</f>
        <v>81</v>
      </c>
      <c r="G114">
        <f t="shared" si="1"/>
        <v>9</v>
      </c>
    </row>
    <row r="115" spans="1:7" x14ac:dyDescent="0.25">
      <c r="A115" t="s">
        <v>360</v>
      </c>
      <c r="B115" t="s">
        <v>178</v>
      </c>
      <c r="C115" t="s">
        <v>191</v>
      </c>
      <c r="D115" t="s">
        <v>244</v>
      </c>
      <c r="E115">
        <v>30</v>
      </c>
      <c r="F115">
        <f>VLOOKUP(A115,PPL!B:M,12,0)</f>
        <v>43</v>
      </c>
      <c r="G115">
        <f t="shared" si="1"/>
        <v>13</v>
      </c>
    </row>
    <row r="116" spans="1:7" x14ac:dyDescent="0.25">
      <c r="A116" t="s">
        <v>361</v>
      </c>
      <c r="B116" t="s">
        <v>178</v>
      </c>
      <c r="C116" t="s">
        <v>191</v>
      </c>
      <c r="D116" t="s">
        <v>244</v>
      </c>
      <c r="E116">
        <v>44</v>
      </c>
      <c r="F116">
        <f>VLOOKUP(A116,PPL!B:M,12,0)</f>
        <v>44</v>
      </c>
      <c r="G116">
        <f t="shared" si="1"/>
        <v>0</v>
      </c>
    </row>
    <row r="117" spans="1:7" x14ac:dyDescent="0.25">
      <c r="A117" t="s">
        <v>362</v>
      </c>
      <c r="B117" t="s">
        <v>176</v>
      </c>
      <c r="C117" t="s">
        <v>194</v>
      </c>
      <c r="D117" t="s">
        <v>244</v>
      </c>
      <c r="E117">
        <v>62</v>
      </c>
      <c r="F117">
        <f>VLOOKUP(A117,PPL!B:M,12,0)</f>
        <v>63</v>
      </c>
      <c r="G117">
        <f t="shared" si="1"/>
        <v>1</v>
      </c>
    </row>
    <row r="118" spans="1:7" x14ac:dyDescent="0.25">
      <c r="A118" t="s">
        <v>363</v>
      </c>
      <c r="B118" t="s">
        <v>176</v>
      </c>
      <c r="C118" t="s">
        <v>194</v>
      </c>
      <c r="D118" t="s">
        <v>244</v>
      </c>
      <c r="E118">
        <v>69</v>
      </c>
      <c r="F118">
        <f>VLOOKUP(A118,PPL!B:M,12,0)</f>
        <v>80</v>
      </c>
      <c r="G118">
        <f t="shared" si="1"/>
        <v>11</v>
      </c>
    </row>
    <row r="119" spans="1:7" x14ac:dyDescent="0.25">
      <c r="A119" t="s">
        <v>364</v>
      </c>
      <c r="B119" t="s">
        <v>176</v>
      </c>
      <c r="C119" t="s">
        <v>194</v>
      </c>
      <c r="D119" t="s">
        <v>244</v>
      </c>
      <c r="E119">
        <v>56</v>
      </c>
      <c r="F119">
        <f>VLOOKUP(A119,PPL!B:M,12,0)</f>
        <v>57</v>
      </c>
      <c r="G119">
        <f t="shared" si="1"/>
        <v>1</v>
      </c>
    </row>
    <row r="120" spans="1:7" x14ac:dyDescent="0.25">
      <c r="A120" t="s">
        <v>365</v>
      </c>
      <c r="B120" t="s">
        <v>178</v>
      </c>
      <c r="C120" t="s">
        <v>191</v>
      </c>
      <c r="D120" t="s">
        <v>244</v>
      </c>
      <c r="E120">
        <v>107</v>
      </c>
      <c r="F120">
        <f>VLOOKUP(A120,PPL!B:M,12,0)</f>
        <v>109</v>
      </c>
      <c r="G120">
        <f t="shared" si="1"/>
        <v>2</v>
      </c>
    </row>
    <row r="121" spans="1:7" x14ac:dyDescent="0.25">
      <c r="A121" t="s">
        <v>366</v>
      </c>
      <c r="B121" t="s">
        <v>177</v>
      </c>
      <c r="C121" t="s">
        <v>192</v>
      </c>
      <c r="D121" t="s">
        <v>244</v>
      </c>
      <c r="E121">
        <v>160</v>
      </c>
      <c r="F121">
        <f>VLOOKUP(A121,PPL!B:M,12,0)</f>
        <v>178</v>
      </c>
      <c r="G121">
        <f t="shared" si="1"/>
        <v>18</v>
      </c>
    </row>
    <row r="122" spans="1:7" x14ac:dyDescent="0.25">
      <c r="A122" t="s">
        <v>367</v>
      </c>
      <c r="B122" t="s">
        <v>177</v>
      </c>
      <c r="C122" t="s">
        <v>192</v>
      </c>
      <c r="D122" t="s">
        <v>244</v>
      </c>
      <c r="E122">
        <v>116</v>
      </c>
      <c r="F122">
        <f>VLOOKUP(A122,PPL!B:M,12,0)</f>
        <v>127</v>
      </c>
      <c r="G122">
        <f t="shared" si="1"/>
        <v>11</v>
      </c>
    </row>
    <row r="123" spans="1:7" x14ac:dyDescent="0.25">
      <c r="A123" t="s">
        <v>368</v>
      </c>
      <c r="B123" t="s">
        <v>177</v>
      </c>
      <c r="C123" t="s">
        <v>192</v>
      </c>
      <c r="D123" t="s">
        <v>244</v>
      </c>
      <c r="E123">
        <v>55</v>
      </c>
      <c r="F123">
        <f>VLOOKUP(A123,PPL!B:M,12,0)</f>
        <v>61</v>
      </c>
      <c r="G123">
        <f t="shared" si="1"/>
        <v>6</v>
      </c>
    </row>
    <row r="124" spans="1:7" x14ac:dyDescent="0.25">
      <c r="A124" t="s">
        <v>369</v>
      </c>
      <c r="B124" t="s">
        <v>177</v>
      </c>
      <c r="C124" t="s">
        <v>192</v>
      </c>
      <c r="D124" t="s">
        <v>244</v>
      </c>
      <c r="E124">
        <v>81</v>
      </c>
      <c r="F124">
        <f>VLOOKUP(A124,PPL!B:M,12,0)</f>
        <v>104</v>
      </c>
      <c r="G124">
        <f t="shared" si="1"/>
        <v>23</v>
      </c>
    </row>
    <row r="125" spans="1:7" x14ac:dyDescent="0.25">
      <c r="A125" t="s">
        <v>370</v>
      </c>
      <c r="B125" t="s">
        <v>177</v>
      </c>
      <c r="C125" t="s">
        <v>192</v>
      </c>
      <c r="D125" t="s">
        <v>244</v>
      </c>
      <c r="E125">
        <v>39</v>
      </c>
      <c r="F125">
        <f>VLOOKUP(A125,PPL!B:M,12,0)</f>
        <v>49</v>
      </c>
      <c r="G125">
        <f t="shared" si="1"/>
        <v>10</v>
      </c>
    </row>
    <row r="126" spans="1:7" x14ac:dyDescent="0.25">
      <c r="A126" t="s">
        <v>371</v>
      </c>
      <c r="B126" t="s">
        <v>177</v>
      </c>
      <c r="C126" t="s">
        <v>192</v>
      </c>
      <c r="D126" t="s">
        <v>244</v>
      </c>
      <c r="E126">
        <v>62</v>
      </c>
      <c r="F126">
        <f>VLOOKUP(A126,PPL!B:M,12,0)</f>
        <v>70</v>
      </c>
      <c r="G126">
        <f t="shared" si="1"/>
        <v>8</v>
      </c>
    </row>
    <row r="127" spans="1:7" x14ac:dyDescent="0.25">
      <c r="A127" t="s">
        <v>372</v>
      </c>
      <c r="B127" t="s">
        <v>179</v>
      </c>
      <c r="C127" t="s">
        <v>184</v>
      </c>
      <c r="D127" t="s">
        <v>244</v>
      </c>
      <c r="E127">
        <v>56</v>
      </c>
      <c r="F127">
        <f>VLOOKUP(A127,PPL!B:M,12,0)</f>
        <v>63</v>
      </c>
      <c r="G127">
        <f t="shared" si="1"/>
        <v>7</v>
      </c>
    </row>
    <row r="128" spans="1:7" x14ac:dyDescent="0.25">
      <c r="A128" t="s">
        <v>373</v>
      </c>
      <c r="B128" t="s">
        <v>180</v>
      </c>
      <c r="C128" t="s">
        <v>183</v>
      </c>
      <c r="D128" t="s">
        <v>244</v>
      </c>
      <c r="E128">
        <v>44</v>
      </c>
      <c r="F128">
        <f>VLOOKUP(A128,PPL!B:M,12,0)</f>
        <v>64</v>
      </c>
      <c r="G128">
        <f t="shared" si="1"/>
        <v>20</v>
      </c>
    </row>
    <row r="129" spans="1:7" x14ac:dyDescent="0.25">
      <c r="A129" t="s">
        <v>374</v>
      </c>
      <c r="B129" t="s">
        <v>180</v>
      </c>
      <c r="C129" t="s">
        <v>183</v>
      </c>
      <c r="D129" t="s">
        <v>244</v>
      </c>
      <c r="E129">
        <v>73</v>
      </c>
      <c r="F129">
        <f>VLOOKUP(A129,PPL!B:M,12,0)</f>
        <v>73</v>
      </c>
      <c r="G129">
        <f t="shared" si="1"/>
        <v>0</v>
      </c>
    </row>
    <row r="130" spans="1:7" x14ac:dyDescent="0.25">
      <c r="A130" t="s">
        <v>375</v>
      </c>
      <c r="B130" t="s">
        <v>180</v>
      </c>
      <c r="C130" t="s">
        <v>183</v>
      </c>
      <c r="D130" t="s">
        <v>244</v>
      </c>
      <c r="E130">
        <v>36</v>
      </c>
      <c r="F130">
        <f>VLOOKUP(A130,PPL!B:M,12,0)</f>
        <v>62</v>
      </c>
      <c r="G130">
        <f t="shared" si="1"/>
        <v>26</v>
      </c>
    </row>
    <row r="131" spans="1:7" x14ac:dyDescent="0.25">
      <c r="A131" t="s">
        <v>376</v>
      </c>
      <c r="B131" t="s">
        <v>180</v>
      </c>
      <c r="C131" t="s">
        <v>183</v>
      </c>
      <c r="D131" t="s">
        <v>244</v>
      </c>
      <c r="E131">
        <v>25</v>
      </c>
      <c r="F131">
        <f>VLOOKUP(A131,PPL!B:M,12,0)</f>
        <v>41</v>
      </c>
      <c r="G131">
        <f t="shared" ref="G131:G158" si="2">F131-E131</f>
        <v>16</v>
      </c>
    </row>
    <row r="132" spans="1:7" x14ac:dyDescent="0.25">
      <c r="A132" t="s">
        <v>377</v>
      </c>
      <c r="B132" t="s">
        <v>180</v>
      </c>
      <c r="C132" t="s">
        <v>183</v>
      </c>
      <c r="D132" t="s">
        <v>244</v>
      </c>
      <c r="E132">
        <v>14</v>
      </c>
      <c r="F132">
        <f>VLOOKUP(A132,PPL!B:M,12,0)</f>
        <v>14</v>
      </c>
      <c r="G132">
        <f t="shared" si="2"/>
        <v>0</v>
      </c>
    </row>
    <row r="133" spans="1:7" x14ac:dyDescent="0.25">
      <c r="A133" t="s">
        <v>378</v>
      </c>
      <c r="B133" t="s">
        <v>180</v>
      </c>
      <c r="C133" t="s">
        <v>183</v>
      </c>
      <c r="D133" t="s">
        <v>244</v>
      </c>
      <c r="E133">
        <v>55</v>
      </c>
      <c r="F133">
        <f>VLOOKUP(A133,PPL!B:M,12,0)</f>
        <v>67</v>
      </c>
      <c r="G133">
        <f t="shared" si="2"/>
        <v>12</v>
      </c>
    </row>
    <row r="134" spans="1:7" x14ac:dyDescent="0.25">
      <c r="A134" t="s">
        <v>379</v>
      </c>
      <c r="B134" t="s">
        <v>179</v>
      </c>
      <c r="C134" t="s">
        <v>184</v>
      </c>
      <c r="D134" t="s">
        <v>244</v>
      </c>
      <c r="E134">
        <v>59</v>
      </c>
      <c r="F134">
        <f>VLOOKUP(A134,PPL!B:M,12,0)</f>
        <v>65</v>
      </c>
      <c r="G134">
        <f t="shared" si="2"/>
        <v>6</v>
      </c>
    </row>
    <row r="135" spans="1:7" x14ac:dyDescent="0.25">
      <c r="A135" t="s">
        <v>380</v>
      </c>
      <c r="B135" t="s">
        <v>180</v>
      </c>
      <c r="C135" t="s">
        <v>183</v>
      </c>
      <c r="D135" t="s">
        <v>244</v>
      </c>
      <c r="E135">
        <v>29</v>
      </c>
      <c r="F135">
        <f>VLOOKUP(A135,PPL!B:M,12,0)</f>
        <v>32</v>
      </c>
      <c r="G135">
        <f t="shared" si="2"/>
        <v>3</v>
      </c>
    </row>
    <row r="136" spans="1:7" x14ac:dyDescent="0.25">
      <c r="A136" t="s">
        <v>381</v>
      </c>
      <c r="B136" t="s">
        <v>179</v>
      </c>
      <c r="C136" t="s">
        <v>184</v>
      </c>
      <c r="D136" t="s">
        <v>244</v>
      </c>
      <c r="E136">
        <v>54</v>
      </c>
      <c r="F136">
        <f>VLOOKUP(A136,PPL!B:M,12,0)</f>
        <v>60</v>
      </c>
      <c r="G136">
        <f t="shared" si="2"/>
        <v>6</v>
      </c>
    </row>
    <row r="137" spans="1:7" x14ac:dyDescent="0.25">
      <c r="A137" t="s">
        <v>382</v>
      </c>
      <c r="B137" t="s">
        <v>179</v>
      </c>
      <c r="C137" t="s">
        <v>184</v>
      </c>
      <c r="D137" t="s">
        <v>244</v>
      </c>
      <c r="E137">
        <v>85</v>
      </c>
      <c r="F137">
        <f>VLOOKUP(A137,PPL!B:M,12,0)</f>
        <v>90</v>
      </c>
      <c r="G137">
        <f t="shared" si="2"/>
        <v>5</v>
      </c>
    </row>
    <row r="138" spans="1:7" x14ac:dyDescent="0.25">
      <c r="A138" t="s">
        <v>383</v>
      </c>
      <c r="B138" t="s">
        <v>179</v>
      </c>
      <c r="C138" t="s">
        <v>184</v>
      </c>
      <c r="D138" t="s">
        <v>244</v>
      </c>
      <c r="E138">
        <v>116</v>
      </c>
      <c r="F138">
        <f>VLOOKUP(A138,PPL!B:M,12,0)</f>
        <v>118</v>
      </c>
      <c r="G138">
        <f t="shared" si="2"/>
        <v>2</v>
      </c>
    </row>
    <row r="139" spans="1:7" x14ac:dyDescent="0.25">
      <c r="A139" t="s">
        <v>384</v>
      </c>
      <c r="B139" t="s">
        <v>179</v>
      </c>
      <c r="C139" t="s">
        <v>184</v>
      </c>
      <c r="D139" t="s">
        <v>244</v>
      </c>
      <c r="E139">
        <v>51</v>
      </c>
      <c r="F139">
        <f>VLOOKUP(A139,PPL!B:M,12,0)</f>
        <v>70</v>
      </c>
      <c r="G139">
        <f t="shared" si="2"/>
        <v>19</v>
      </c>
    </row>
    <row r="140" spans="1:7" x14ac:dyDescent="0.25">
      <c r="A140" t="s">
        <v>162</v>
      </c>
      <c r="B140" t="s">
        <v>390</v>
      </c>
      <c r="C140" t="s">
        <v>198</v>
      </c>
      <c r="D140" t="s">
        <v>245</v>
      </c>
      <c r="E140">
        <v>85</v>
      </c>
      <c r="F140">
        <f>VLOOKUP(A140,PML!A:K,11,0)</f>
        <v>93</v>
      </c>
      <c r="G140">
        <f t="shared" si="2"/>
        <v>8</v>
      </c>
    </row>
    <row r="141" spans="1:7" x14ac:dyDescent="0.25">
      <c r="A141" t="s">
        <v>163</v>
      </c>
      <c r="B141" t="s">
        <v>390</v>
      </c>
      <c r="C141" t="s">
        <v>187</v>
      </c>
      <c r="D141" t="s">
        <v>245</v>
      </c>
      <c r="E141">
        <v>19</v>
      </c>
      <c r="F141">
        <f>VLOOKUP(A141,PML!A:K,11,0)</f>
        <v>18</v>
      </c>
      <c r="G141">
        <f t="shared" si="2"/>
        <v>-1</v>
      </c>
    </row>
    <row r="142" spans="1:7" x14ac:dyDescent="0.25">
      <c r="A142" t="s">
        <v>164</v>
      </c>
      <c r="B142" t="s">
        <v>390</v>
      </c>
      <c r="C142" t="s">
        <v>190</v>
      </c>
      <c r="D142" t="s">
        <v>245</v>
      </c>
      <c r="E142">
        <v>46</v>
      </c>
      <c r="F142">
        <f>VLOOKUP(A142,PML!A:K,11,0)</f>
        <v>44</v>
      </c>
      <c r="G142">
        <f t="shared" si="2"/>
        <v>-2</v>
      </c>
    </row>
    <row r="143" spans="1:7" x14ac:dyDescent="0.25">
      <c r="A143" t="s">
        <v>165</v>
      </c>
      <c r="B143" t="s">
        <v>390</v>
      </c>
      <c r="C143" t="s">
        <v>181</v>
      </c>
      <c r="D143" t="s">
        <v>245</v>
      </c>
      <c r="E143">
        <v>283</v>
      </c>
      <c r="F143">
        <f>VLOOKUP(A143,PML!A:K,11,0)</f>
        <v>272</v>
      </c>
      <c r="G143">
        <f t="shared" si="2"/>
        <v>-11</v>
      </c>
    </row>
    <row r="144" spans="1:7" x14ac:dyDescent="0.25">
      <c r="A144" t="s">
        <v>166</v>
      </c>
      <c r="B144" t="s">
        <v>390</v>
      </c>
      <c r="C144" t="s">
        <v>189</v>
      </c>
      <c r="D144" t="s">
        <v>245</v>
      </c>
      <c r="E144">
        <v>48</v>
      </c>
      <c r="F144">
        <f>VLOOKUP(A144,PML!A:K,11,0)</f>
        <v>62</v>
      </c>
      <c r="G144">
        <f t="shared" si="2"/>
        <v>14</v>
      </c>
    </row>
    <row r="145" spans="1:7" x14ac:dyDescent="0.25">
      <c r="A145" t="s">
        <v>167</v>
      </c>
      <c r="B145" t="s">
        <v>390</v>
      </c>
      <c r="C145" t="s">
        <v>182</v>
      </c>
      <c r="D145" t="s">
        <v>245</v>
      </c>
      <c r="E145">
        <v>3</v>
      </c>
      <c r="F145">
        <f>VLOOKUP(A145,PML!A:K,11,0)</f>
        <v>3</v>
      </c>
      <c r="G145">
        <f t="shared" si="2"/>
        <v>0</v>
      </c>
    </row>
    <row r="146" spans="1:7" x14ac:dyDescent="0.25">
      <c r="A146" t="s">
        <v>168</v>
      </c>
      <c r="B146" t="s">
        <v>390</v>
      </c>
      <c r="C146" t="s">
        <v>199</v>
      </c>
      <c r="D146" t="s">
        <v>245</v>
      </c>
      <c r="E146">
        <v>13</v>
      </c>
      <c r="F146">
        <f>VLOOKUP(A146,PML!A:K,11,0)</f>
        <v>8</v>
      </c>
      <c r="G146">
        <f t="shared" si="2"/>
        <v>-5</v>
      </c>
    </row>
    <row r="147" spans="1:7" x14ac:dyDescent="0.25">
      <c r="A147" t="s">
        <v>169</v>
      </c>
      <c r="B147" t="s">
        <v>390</v>
      </c>
      <c r="C147" t="s">
        <v>197</v>
      </c>
      <c r="D147" t="s">
        <v>245</v>
      </c>
      <c r="E147">
        <v>13</v>
      </c>
      <c r="F147">
        <f>VLOOKUP(A147,PML!A:K,11,0)</f>
        <v>11</v>
      </c>
      <c r="G147">
        <f t="shared" si="2"/>
        <v>-2</v>
      </c>
    </row>
    <row r="148" spans="1:7" x14ac:dyDescent="0.25">
      <c r="A148" t="s">
        <v>170</v>
      </c>
      <c r="B148" t="s">
        <v>390</v>
      </c>
      <c r="C148" t="s">
        <v>196</v>
      </c>
      <c r="D148" t="s">
        <v>245</v>
      </c>
      <c r="E148">
        <v>29</v>
      </c>
      <c r="F148">
        <f>VLOOKUP(A148,PML!A:K,11,0)</f>
        <v>88</v>
      </c>
      <c r="G148">
        <f t="shared" si="2"/>
        <v>59</v>
      </c>
    </row>
    <row r="149" spans="1:7" x14ac:dyDescent="0.25">
      <c r="A149" t="s">
        <v>171</v>
      </c>
      <c r="B149" t="s">
        <v>390</v>
      </c>
      <c r="C149" t="s">
        <v>195</v>
      </c>
      <c r="D149" t="s">
        <v>245</v>
      </c>
      <c r="E149">
        <v>74</v>
      </c>
      <c r="F149">
        <f>VLOOKUP(A149,PML!A:K,11,0)</f>
        <v>89</v>
      </c>
      <c r="G149">
        <f t="shared" si="2"/>
        <v>15</v>
      </c>
    </row>
    <row r="150" spans="1:7" x14ac:dyDescent="0.25">
      <c r="A150" t="s">
        <v>172</v>
      </c>
      <c r="B150" t="s">
        <v>390</v>
      </c>
      <c r="C150" t="s">
        <v>193</v>
      </c>
      <c r="D150" t="s">
        <v>245</v>
      </c>
      <c r="E150">
        <v>7</v>
      </c>
      <c r="F150">
        <f>VLOOKUP(A150,PML!A:K,11,0)</f>
        <v>8</v>
      </c>
      <c r="G150">
        <f t="shared" si="2"/>
        <v>1</v>
      </c>
    </row>
    <row r="151" spans="1:7" x14ac:dyDescent="0.25">
      <c r="A151" t="s">
        <v>173</v>
      </c>
      <c r="B151" t="s">
        <v>390</v>
      </c>
      <c r="C151" t="s">
        <v>186</v>
      </c>
      <c r="D151" t="s">
        <v>245</v>
      </c>
      <c r="E151">
        <v>47</v>
      </c>
      <c r="F151">
        <f>VLOOKUP(A151,PML!A:K,11,0)</f>
        <v>85</v>
      </c>
      <c r="G151">
        <f t="shared" si="2"/>
        <v>38</v>
      </c>
    </row>
    <row r="152" spans="1:7" x14ac:dyDescent="0.25">
      <c r="A152" t="s">
        <v>174</v>
      </c>
      <c r="B152" t="s">
        <v>390</v>
      </c>
      <c r="C152" t="s">
        <v>185</v>
      </c>
      <c r="D152" t="s">
        <v>245</v>
      </c>
      <c r="E152">
        <v>33</v>
      </c>
      <c r="F152">
        <f>VLOOKUP(A152,PML!A:K,11,0)</f>
        <v>33</v>
      </c>
      <c r="G152">
        <f t="shared" si="2"/>
        <v>0</v>
      </c>
    </row>
    <row r="153" spans="1:7" x14ac:dyDescent="0.25">
      <c r="A153" t="s">
        <v>175</v>
      </c>
      <c r="B153" t="s">
        <v>390</v>
      </c>
      <c r="C153" t="s">
        <v>188</v>
      </c>
      <c r="D153" t="s">
        <v>245</v>
      </c>
      <c r="E153">
        <v>51</v>
      </c>
      <c r="F153">
        <f>VLOOKUP(A153,PML!A:K,11,0)</f>
        <v>53</v>
      </c>
      <c r="G153">
        <f t="shared" si="2"/>
        <v>2</v>
      </c>
    </row>
    <row r="154" spans="1:7" x14ac:dyDescent="0.25">
      <c r="A154" t="s">
        <v>176</v>
      </c>
      <c r="B154" t="s">
        <v>390</v>
      </c>
      <c r="C154" t="s">
        <v>194</v>
      </c>
      <c r="D154" t="s">
        <v>245</v>
      </c>
      <c r="E154">
        <v>100</v>
      </c>
      <c r="F154">
        <f>VLOOKUP(A154,PML!A:K,11,0)</f>
        <v>134</v>
      </c>
      <c r="G154">
        <f t="shared" si="2"/>
        <v>34</v>
      </c>
    </row>
    <row r="155" spans="1:7" x14ac:dyDescent="0.25">
      <c r="A155" t="s">
        <v>177</v>
      </c>
      <c r="B155" t="s">
        <v>390</v>
      </c>
      <c r="C155" t="s">
        <v>192</v>
      </c>
      <c r="D155" t="s">
        <v>245</v>
      </c>
      <c r="E155">
        <v>169</v>
      </c>
      <c r="F155">
        <f>VLOOKUP(A155,PML!A:K,11,0)</f>
        <v>220</v>
      </c>
      <c r="G155">
        <f t="shared" si="2"/>
        <v>51</v>
      </c>
    </row>
    <row r="156" spans="1:7" x14ac:dyDescent="0.25">
      <c r="A156" t="s">
        <v>178</v>
      </c>
      <c r="B156" t="s">
        <v>390</v>
      </c>
      <c r="C156" t="s">
        <v>191</v>
      </c>
      <c r="D156" t="s">
        <v>245</v>
      </c>
      <c r="E156">
        <v>298</v>
      </c>
      <c r="F156">
        <f>VLOOKUP(A156,PML!A:K,11,0)</f>
        <v>320</v>
      </c>
      <c r="G156">
        <f t="shared" si="2"/>
        <v>22</v>
      </c>
    </row>
    <row r="157" spans="1:7" x14ac:dyDescent="0.25">
      <c r="A157" t="s">
        <v>179</v>
      </c>
      <c r="B157" t="s">
        <v>390</v>
      </c>
      <c r="C157" t="s">
        <v>184</v>
      </c>
      <c r="D157" t="s">
        <v>245</v>
      </c>
      <c r="E157">
        <v>4</v>
      </c>
      <c r="F157">
        <f>VLOOKUP(A157,PML!A:K,11,0)</f>
        <v>7</v>
      </c>
      <c r="G157">
        <f t="shared" si="2"/>
        <v>3</v>
      </c>
    </row>
    <row r="158" spans="1:7" x14ac:dyDescent="0.25">
      <c r="A158" t="s">
        <v>180</v>
      </c>
      <c r="B158" t="s">
        <v>390</v>
      </c>
      <c r="C158" t="s">
        <v>183</v>
      </c>
      <c r="D158" t="s">
        <v>245</v>
      </c>
      <c r="E158">
        <v>67</v>
      </c>
      <c r="F158">
        <f>VLOOKUP(A158,PML!A:K,11,0)</f>
        <v>79</v>
      </c>
      <c r="G158">
        <f t="shared" si="2"/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topLeftCell="A46" workbookViewId="0">
      <selection activeCell="D67" sqref="D67:D6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385</v>
      </c>
    </row>
    <row r="2" spans="1:13" x14ac:dyDescent="0.25">
      <c r="A2" t="s">
        <v>5</v>
      </c>
      <c r="B2" t="s">
        <v>247</v>
      </c>
      <c r="C2" t="s">
        <v>162</v>
      </c>
      <c r="D2" t="s">
        <v>198</v>
      </c>
      <c r="E2">
        <f>SUMIF(DATA!$A:$A,PPL!$A2,DATA!C:C)</f>
        <v>591</v>
      </c>
      <c r="F2">
        <f>SUMIF(DATA!$A:$A,PPL!$A2,DATA!D:D)</f>
        <v>4</v>
      </c>
      <c r="G2">
        <f>SUMIF(DATA!$A:$A,PPL!$A2,DATA!E:E)</f>
        <v>12</v>
      </c>
      <c r="H2">
        <f>SUMIF(DATA!$A:$A,PPL!$A2,DATA!F:F)</f>
        <v>495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80</v>
      </c>
      <c r="L2">
        <f>SUMIF(DATA!$A:$A,PPL!$A2,DATA!J:J)</f>
        <v>0</v>
      </c>
      <c r="M2">
        <f>F2+G2+I2+J2+K2+L2</f>
        <v>96</v>
      </c>
    </row>
    <row r="3" spans="1:13" x14ac:dyDescent="0.25">
      <c r="A3" t="s">
        <v>6</v>
      </c>
      <c r="B3" t="s">
        <v>248</v>
      </c>
      <c r="C3" t="s">
        <v>163</v>
      </c>
      <c r="D3" t="s">
        <v>187</v>
      </c>
      <c r="E3">
        <f>SUMIF(DATA!$A:$A,PPL!$A3,DATA!C:C)</f>
        <v>583</v>
      </c>
      <c r="F3">
        <f>SUMIF(DATA!$A:$A,PPL!$A3,DATA!D:D)</f>
        <v>3</v>
      </c>
      <c r="G3">
        <f>SUMIF(DATA!$A:$A,PPL!$A3,DATA!E:E)</f>
        <v>5</v>
      </c>
      <c r="H3">
        <f>SUMIF(DATA!$A:$A,PPL!$A3,DATA!F:F)</f>
        <v>512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63</v>
      </c>
      <c r="L3">
        <f>SUMIF(DATA!$A:$A,PPL!$A3,DATA!J:J)</f>
        <v>0</v>
      </c>
      <c r="M3">
        <f t="shared" ref="M3:M66" si="0">F3+G3+I3+J3+K3+L3</f>
        <v>71</v>
      </c>
    </row>
    <row r="4" spans="1:13" x14ac:dyDescent="0.25">
      <c r="A4" t="s">
        <v>7</v>
      </c>
      <c r="B4" t="s">
        <v>249</v>
      </c>
      <c r="C4" t="s">
        <v>162</v>
      </c>
      <c r="D4" t="s">
        <v>198</v>
      </c>
      <c r="E4">
        <f>SUMIF(DATA!$A:$A,PPL!$A4,DATA!C:C)</f>
        <v>612</v>
      </c>
      <c r="F4">
        <f>SUMIF(DATA!$A:$A,PPL!$A4,DATA!D:D)</f>
        <v>9</v>
      </c>
      <c r="G4">
        <f>SUMIF(DATA!$A:$A,PPL!$A4,DATA!E:E)</f>
        <v>7</v>
      </c>
      <c r="H4">
        <f>SUMIF(DATA!$A:$A,PPL!$A4,DATA!F:F)</f>
        <v>480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116</v>
      </c>
      <c r="L4">
        <f>SUMIF(DATA!$A:$A,PPL!$A4,DATA!J:J)</f>
        <v>0</v>
      </c>
      <c r="M4">
        <f t="shared" si="0"/>
        <v>132</v>
      </c>
    </row>
    <row r="5" spans="1:13" x14ac:dyDescent="0.25">
      <c r="A5" t="s">
        <v>8</v>
      </c>
      <c r="B5" t="s">
        <v>250</v>
      </c>
      <c r="C5" t="s">
        <v>162</v>
      </c>
      <c r="D5" t="s">
        <v>198</v>
      </c>
      <c r="E5">
        <f>SUMIF(DATA!$A:$A,PPL!$A5,DATA!C:C)</f>
        <v>603</v>
      </c>
      <c r="F5">
        <f>SUMIF(DATA!$A:$A,PPL!$A5,DATA!D:D)</f>
        <v>56</v>
      </c>
      <c r="G5">
        <f>SUMIF(DATA!$A:$A,PPL!$A5,DATA!E:E)</f>
        <v>2</v>
      </c>
      <c r="H5">
        <f>SUMIF(DATA!$A:$A,PPL!$A5,DATA!F:F)</f>
        <v>498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47</v>
      </c>
      <c r="L5">
        <f>SUMIF(DATA!$A:$A,PPL!$A5,DATA!J:J)</f>
        <v>0</v>
      </c>
      <c r="M5">
        <f t="shared" si="0"/>
        <v>105</v>
      </c>
    </row>
    <row r="6" spans="1:13" x14ac:dyDescent="0.25">
      <c r="A6" t="s">
        <v>9</v>
      </c>
      <c r="B6" t="s">
        <v>251</v>
      </c>
      <c r="C6" t="s">
        <v>162</v>
      </c>
      <c r="D6" t="s">
        <v>198</v>
      </c>
      <c r="E6">
        <f>SUMIF(DATA!$A:$A,PPL!$A6,DATA!C:C)</f>
        <v>622</v>
      </c>
      <c r="F6">
        <f>SUMIF(DATA!$A:$A,PPL!$A6,DATA!D:D)</f>
        <v>5</v>
      </c>
      <c r="G6">
        <f>SUMIF(DATA!$A:$A,PPL!$A6,DATA!E:E)</f>
        <v>12</v>
      </c>
      <c r="H6">
        <f>SUMIF(DATA!$A:$A,PPL!$A6,DATA!F:F)</f>
        <v>539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66</v>
      </c>
      <c r="L6">
        <f>SUMIF(DATA!$A:$A,PPL!$A6,DATA!J:J)</f>
        <v>0</v>
      </c>
      <c r="M6">
        <f t="shared" si="0"/>
        <v>83</v>
      </c>
    </row>
    <row r="7" spans="1:13" x14ac:dyDescent="0.25">
      <c r="A7" t="s">
        <v>10</v>
      </c>
      <c r="B7" t="s">
        <v>252</v>
      </c>
      <c r="C7" t="s">
        <v>162</v>
      </c>
      <c r="D7" t="s">
        <v>198</v>
      </c>
      <c r="E7">
        <f>SUMIF(DATA!$A:$A,PPL!$A7,DATA!C:C)</f>
        <v>568</v>
      </c>
      <c r="F7">
        <f>SUMIF(DATA!$A:$A,PPL!$A7,DATA!D:D)</f>
        <v>0</v>
      </c>
      <c r="G7">
        <f>SUMIF(DATA!$A:$A,PPL!$A7,DATA!E:E)</f>
        <v>13</v>
      </c>
      <c r="H7">
        <f>SUMIF(DATA!$A:$A,PPL!$A7,DATA!F:F)</f>
        <v>487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68</v>
      </c>
      <c r="L7">
        <f>SUMIF(DATA!$A:$A,PPL!$A7,DATA!J:J)</f>
        <v>0</v>
      </c>
      <c r="M7">
        <f t="shared" si="0"/>
        <v>81</v>
      </c>
    </row>
    <row r="8" spans="1:13" x14ac:dyDescent="0.25">
      <c r="A8" t="s">
        <v>11</v>
      </c>
      <c r="B8" t="s">
        <v>253</v>
      </c>
      <c r="C8" t="s">
        <v>163</v>
      </c>
      <c r="D8" t="s">
        <v>187</v>
      </c>
      <c r="E8">
        <f>SUMIF(DATA!$A:$A,PPL!$A8,DATA!C:C)</f>
        <v>596</v>
      </c>
      <c r="F8">
        <f>SUMIF(DATA!$A:$A,PPL!$A8,DATA!D:D)</f>
        <v>1</v>
      </c>
      <c r="G8">
        <f>SUMIF(DATA!$A:$A,PPL!$A8,DATA!E:E)</f>
        <v>30</v>
      </c>
      <c r="H8">
        <f>SUMIF(DATA!$A:$A,PPL!$A8,DATA!F:F)</f>
        <v>524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41</v>
      </c>
      <c r="L8">
        <f>SUMIF(DATA!$A:$A,PPL!$A8,DATA!J:J)</f>
        <v>0</v>
      </c>
      <c r="M8">
        <f t="shared" si="0"/>
        <v>72</v>
      </c>
    </row>
    <row r="9" spans="1:13" x14ac:dyDescent="0.25">
      <c r="A9" t="s">
        <v>12</v>
      </c>
      <c r="B9" t="s">
        <v>254</v>
      </c>
      <c r="C9" t="s">
        <v>163</v>
      </c>
      <c r="D9" t="s">
        <v>187</v>
      </c>
      <c r="E9">
        <f>SUMIF(DATA!$A:$A,PPL!$A9,DATA!C:C)</f>
        <v>558</v>
      </c>
      <c r="F9">
        <f>SUMIF(DATA!$A:$A,PPL!$A9,DATA!D:D)</f>
        <v>0</v>
      </c>
      <c r="G9">
        <f>SUMIF(DATA!$A:$A,PPL!$A9,DATA!E:E)</f>
        <v>1</v>
      </c>
      <c r="H9">
        <f>SUMIF(DATA!$A:$A,PPL!$A9,DATA!F:F)</f>
        <v>476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81</v>
      </c>
      <c r="L9">
        <f>SUMIF(DATA!$A:$A,PPL!$A9,DATA!J:J)</f>
        <v>0</v>
      </c>
      <c r="M9">
        <f t="shared" si="0"/>
        <v>82</v>
      </c>
    </row>
    <row r="10" spans="1:13" x14ac:dyDescent="0.25">
      <c r="A10" t="s">
        <v>13</v>
      </c>
      <c r="B10" t="s">
        <v>255</v>
      </c>
      <c r="C10" t="s">
        <v>162</v>
      </c>
      <c r="D10" t="s">
        <v>198</v>
      </c>
      <c r="E10">
        <f>SUMIF(DATA!$A:$A,PPL!$A10,DATA!C:C)</f>
        <v>600</v>
      </c>
      <c r="F10">
        <f>SUMIF(DATA!$A:$A,PPL!$A10,DATA!D:D)</f>
        <v>9</v>
      </c>
      <c r="G10">
        <f>SUMIF(DATA!$A:$A,PPL!$A10,DATA!E:E)</f>
        <v>5</v>
      </c>
      <c r="H10">
        <f>SUMIF(DATA!$A:$A,PPL!$A10,DATA!F:F)</f>
        <v>500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86</v>
      </c>
      <c r="L10">
        <f>SUMIF(DATA!$A:$A,PPL!$A10,DATA!J:J)</f>
        <v>0</v>
      </c>
      <c r="M10">
        <f t="shared" si="0"/>
        <v>100</v>
      </c>
    </row>
    <row r="11" spans="1:13" x14ac:dyDescent="0.25">
      <c r="A11" t="s">
        <v>14</v>
      </c>
      <c r="B11" t="s">
        <v>256</v>
      </c>
      <c r="C11" t="s">
        <v>163</v>
      </c>
      <c r="D11" t="s">
        <v>187</v>
      </c>
      <c r="E11">
        <f>SUMIF(DATA!$A:$A,PPL!$A11,DATA!C:C)</f>
        <v>606</v>
      </c>
      <c r="F11">
        <f>SUMIF(DATA!$A:$A,PPL!$A11,DATA!D:D)</f>
        <v>0</v>
      </c>
      <c r="G11">
        <f>SUMIF(DATA!$A:$A,PPL!$A11,DATA!E:E)</f>
        <v>1</v>
      </c>
      <c r="H11">
        <f>SUMIF(DATA!$A:$A,PPL!$A11,DATA!F:F)</f>
        <v>520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85</v>
      </c>
      <c r="L11">
        <f>SUMIF(DATA!$A:$A,PPL!$A11,DATA!J:J)</f>
        <v>0</v>
      </c>
      <c r="M11">
        <f t="shared" si="0"/>
        <v>86</v>
      </c>
    </row>
    <row r="12" spans="1:13" x14ac:dyDescent="0.25">
      <c r="A12" t="s">
        <v>15</v>
      </c>
      <c r="B12" t="s">
        <v>257</v>
      </c>
      <c r="C12" t="s">
        <v>163</v>
      </c>
      <c r="D12" t="s">
        <v>187</v>
      </c>
      <c r="E12">
        <f>SUMIF(DATA!$A:$A,PPL!$A12,DATA!C:C)</f>
        <v>599</v>
      </c>
      <c r="F12">
        <f>SUMIF(DATA!$A:$A,PPL!$A12,DATA!D:D)</f>
        <v>12</v>
      </c>
      <c r="G12">
        <f>SUMIF(DATA!$A:$A,PPL!$A12,DATA!E:E)</f>
        <v>7</v>
      </c>
      <c r="H12">
        <f>SUMIF(DATA!$A:$A,PPL!$A12,DATA!F:F)</f>
        <v>450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130</v>
      </c>
      <c r="L12">
        <f>SUMIF(DATA!$A:$A,PPL!$A12,DATA!J:J)</f>
        <v>0</v>
      </c>
      <c r="M12">
        <f t="shared" si="0"/>
        <v>149</v>
      </c>
    </row>
    <row r="13" spans="1:13" x14ac:dyDescent="0.25">
      <c r="A13" t="s">
        <v>16</v>
      </c>
      <c r="B13" t="s">
        <v>258</v>
      </c>
      <c r="C13" t="s">
        <v>163</v>
      </c>
      <c r="D13" t="s">
        <v>187</v>
      </c>
      <c r="E13">
        <f>SUMIF(DATA!$A:$A,PPL!$A13,DATA!C:C)</f>
        <v>568</v>
      </c>
      <c r="F13">
        <f>SUMIF(DATA!$A:$A,PPL!$A13,DATA!D:D)</f>
        <v>0</v>
      </c>
      <c r="G13">
        <f>SUMIF(DATA!$A:$A,PPL!$A13,DATA!E:E)</f>
        <v>0</v>
      </c>
      <c r="H13">
        <f>SUMIF(DATA!$A:$A,PPL!$A13,DATA!F:F)</f>
        <v>509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59</v>
      </c>
      <c r="L13">
        <f>SUMIF(DATA!$A:$A,PPL!$A13,DATA!J:J)</f>
        <v>0</v>
      </c>
      <c r="M13">
        <f t="shared" si="0"/>
        <v>59</v>
      </c>
    </row>
    <row r="14" spans="1:13" x14ac:dyDescent="0.25">
      <c r="A14" t="s">
        <v>17</v>
      </c>
      <c r="B14" t="s">
        <v>259</v>
      </c>
      <c r="C14" t="s">
        <v>164</v>
      </c>
      <c r="D14" t="s">
        <v>190</v>
      </c>
      <c r="E14">
        <f>SUMIF(DATA!$A:$A,PPL!$A14,DATA!C:C)</f>
        <v>614</v>
      </c>
      <c r="F14">
        <f>SUMIF(DATA!$A:$A,PPL!$A14,DATA!D:D)</f>
        <v>3</v>
      </c>
      <c r="G14">
        <f>SUMIF(DATA!$A:$A,PPL!$A14,DATA!E:E)</f>
        <v>11</v>
      </c>
      <c r="H14">
        <f>SUMIF(DATA!$A:$A,PPL!$A14,DATA!F:F)</f>
        <v>531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67</v>
      </c>
      <c r="L14">
        <f>SUMIF(DATA!$A:$A,PPL!$A14,DATA!J:J)</f>
        <v>0</v>
      </c>
      <c r="M14">
        <f t="shared" si="0"/>
        <v>83</v>
      </c>
    </row>
    <row r="15" spans="1:13" x14ac:dyDescent="0.25">
      <c r="A15" t="s">
        <v>18</v>
      </c>
      <c r="B15" t="s">
        <v>260</v>
      </c>
      <c r="C15" t="s">
        <v>164</v>
      </c>
      <c r="D15" t="s">
        <v>190</v>
      </c>
      <c r="E15">
        <f>SUMIF(DATA!$A:$A,PPL!$A15,DATA!C:C)</f>
        <v>594</v>
      </c>
      <c r="F15">
        <f>SUMIF(DATA!$A:$A,PPL!$A15,DATA!D:D)</f>
        <v>4</v>
      </c>
      <c r="G15">
        <f>SUMIF(DATA!$A:$A,PPL!$A15,DATA!E:E)</f>
        <v>7</v>
      </c>
      <c r="H15">
        <f>SUMIF(DATA!$A:$A,PPL!$A15,DATA!F:F)</f>
        <v>470</v>
      </c>
      <c r="I15">
        <f>SUMIF(DATA!$A:$A,PPL!$A15,DATA!G:G)</f>
        <v>19</v>
      </c>
      <c r="J15">
        <f>SUMIF(DATA!$A:$A,PPL!$A15,DATA!H:H)</f>
        <v>0</v>
      </c>
      <c r="K15">
        <f>SUMIF(DATA!$A:$A,PPL!$A15,DATA!I:I)</f>
        <v>94</v>
      </c>
      <c r="L15">
        <f>SUMIF(DATA!$A:$A,PPL!$A15,DATA!J:J)</f>
        <v>0</v>
      </c>
      <c r="M15">
        <f t="shared" si="0"/>
        <v>124</v>
      </c>
    </row>
    <row r="16" spans="1:13" x14ac:dyDescent="0.25">
      <c r="A16" t="s">
        <v>19</v>
      </c>
      <c r="B16" t="s">
        <v>261</v>
      </c>
      <c r="C16" t="s">
        <v>164</v>
      </c>
      <c r="D16" t="s">
        <v>190</v>
      </c>
      <c r="E16">
        <f>SUMIF(DATA!$A:$A,PPL!$A16,DATA!C:C)</f>
        <v>617</v>
      </c>
      <c r="F16">
        <f>SUMIF(DATA!$A:$A,PPL!$A16,DATA!D:D)</f>
        <v>0</v>
      </c>
      <c r="G16">
        <f>SUMIF(DATA!$A:$A,PPL!$A16,DATA!E:E)</f>
        <v>0</v>
      </c>
      <c r="H16">
        <f>SUMIF(DATA!$A:$A,PPL!$A16,DATA!F:F)</f>
        <v>502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113</v>
      </c>
      <c r="L16">
        <f>SUMIF(DATA!$A:$A,PPL!$A16,DATA!J:J)</f>
        <v>1</v>
      </c>
      <c r="M16">
        <f t="shared" si="0"/>
        <v>115</v>
      </c>
    </row>
    <row r="17" spans="1:13" x14ac:dyDescent="0.25">
      <c r="A17" t="s">
        <v>20</v>
      </c>
      <c r="B17" t="s">
        <v>262</v>
      </c>
      <c r="C17" t="s">
        <v>162</v>
      </c>
      <c r="D17" t="s">
        <v>198</v>
      </c>
      <c r="E17">
        <f>SUMIF(DATA!$A:$A,PPL!$A17,DATA!C:C)</f>
        <v>621</v>
      </c>
      <c r="F17">
        <f>SUMIF(DATA!$A:$A,PPL!$A17,DATA!D:D)</f>
        <v>10</v>
      </c>
      <c r="G17">
        <f>SUMIF(DATA!$A:$A,PPL!$A17,DATA!E:E)</f>
        <v>11</v>
      </c>
      <c r="H17">
        <f>SUMIF(DATA!$A:$A,PPL!$A17,DATA!F:F)</f>
        <v>521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79</v>
      </c>
      <c r="L17">
        <f>SUMIF(DATA!$A:$A,PPL!$A17,DATA!J:J)</f>
        <v>0</v>
      </c>
      <c r="M17">
        <f t="shared" si="0"/>
        <v>100</v>
      </c>
    </row>
    <row r="18" spans="1:13" x14ac:dyDescent="0.25">
      <c r="A18" t="s">
        <v>21</v>
      </c>
      <c r="B18" t="s">
        <v>263</v>
      </c>
      <c r="C18" t="s">
        <v>164</v>
      </c>
      <c r="D18" t="s">
        <v>190</v>
      </c>
      <c r="E18">
        <f>SUMIF(DATA!$A:$A,PPL!$A18,DATA!C:C)</f>
        <v>617</v>
      </c>
      <c r="F18">
        <f>SUMIF(DATA!$A:$A,PPL!$A18,DATA!D:D)</f>
        <v>5</v>
      </c>
      <c r="G18">
        <f>SUMIF(DATA!$A:$A,PPL!$A18,DATA!E:E)</f>
        <v>0</v>
      </c>
      <c r="H18">
        <f>SUMIF(DATA!$A:$A,PPL!$A18,DATA!F:F)</f>
        <v>511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100</v>
      </c>
      <c r="L18">
        <f>SUMIF(DATA!$A:$A,PPL!$A18,DATA!J:J)</f>
        <v>0</v>
      </c>
      <c r="M18">
        <f t="shared" si="0"/>
        <v>106</v>
      </c>
    </row>
    <row r="19" spans="1:13" x14ac:dyDescent="0.25">
      <c r="A19" t="s">
        <v>22</v>
      </c>
      <c r="B19" t="s">
        <v>264</v>
      </c>
      <c r="C19" t="s">
        <v>164</v>
      </c>
      <c r="D19" t="s">
        <v>190</v>
      </c>
      <c r="E19">
        <f>SUMIF(DATA!$A:$A,PPL!$A19,DATA!C:C)</f>
        <v>610</v>
      </c>
      <c r="F19">
        <f>SUMIF(DATA!$A:$A,PPL!$A19,DATA!D:D)</f>
        <v>1</v>
      </c>
      <c r="G19">
        <f>SUMIF(DATA!$A:$A,PPL!$A19,DATA!E:E)</f>
        <v>3</v>
      </c>
      <c r="H19">
        <f>SUMIF(DATA!$A:$A,PPL!$A19,DATA!F:F)</f>
        <v>509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95</v>
      </c>
      <c r="L19">
        <f>SUMIF(DATA!$A:$A,PPL!$A19,DATA!J:J)</f>
        <v>0</v>
      </c>
      <c r="M19">
        <f t="shared" si="0"/>
        <v>101</v>
      </c>
    </row>
    <row r="20" spans="1:13" x14ac:dyDescent="0.25">
      <c r="A20" t="s">
        <v>23</v>
      </c>
      <c r="B20" t="s">
        <v>265</v>
      </c>
      <c r="C20" t="s">
        <v>164</v>
      </c>
      <c r="D20" t="s">
        <v>190</v>
      </c>
      <c r="E20">
        <f>SUMIF(DATA!$A:$A,PPL!$A20,DATA!C:C)</f>
        <v>585</v>
      </c>
      <c r="F20">
        <f>SUMIF(DATA!$A:$A,PPL!$A20,DATA!D:D)</f>
        <v>0</v>
      </c>
      <c r="G20">
        <f>SUMIF(DATA!$A:$A,PPL!$A20,DATA!E:E)</f>
        <v>27</v>
      </c>
      <c r="H20">
        <f>SUMIF(DATA!$A:$A,PPL!$A20,DATA!F:F)</f>
        <v>494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64</v>
      </c>
      <c r="L20">
        <f>SUMIF(DATA!$A:$A,PPL!$A20,DATA!J:J)</f>
        <v>0</v>
      </c>
      <c r="M20">
        <f t="shared" si="0"/>
        <v>91</v>
      </c>
    </row>
    <row r="21" spans="1:13" x14ac:dyDescent="0.25">
      <c r="A21" t="s">
        <v>24</v>
      </c>
      <c r="B21" t="s">
        <v>266</v>
      </c>
      <c r="C21" t="s">
        <v>163</v>
      </c>
      <c r="D21" t="s">
        <v>187</v>
      </c>
      <c r="E21">
        <f>SUMIF(DATA!$A:$A,PPL!$A21,DATA!C:C)</f>
        <v>606</v>
      </c>
      <c r="F21">
        <f>SUMIF(DATA!$A:$A,PPL!$A21,DATA!D:D)</f>
        <v>2</v>
      </c>
      <c r="G21">
        <f>SUMIF(DATA!$A:$A,PPL!$A21,DATA!E:E)</f>
        <v>25</v>
      </c>
      <c r="H21">
        <f>SUMIF(DATA!$A:$A,PPL!$A21,DATA!F:F)</f>
        <v>533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46</v>
      </c>
      <c r="L21">
        <f>SUMIF(DATA!$A:$A,PPL!$A21,DATA!J:J)</f>
        <v>0</v>
      </c>
      <c r="M21">
        <f t="shared" si="0"/>
        <v>73</v>
      </c>
    </row>
    <row r="22" spans="1:13" x14ac:dyDescent="0.25">
      <c r="A22" t="s">
        <v>25</v>
      </c>
      <c r="B22" t="s">
        <v>267</v>
      </c>
      <c r="C22" t="s">
        <v>164</v>
      </c>
      <c r="D22" t="s">
        <v>190</v>
      </c>
      <c r="E22">
        <f>SUMIF(DATA!$A:$A,PPL!$A22,DATA!C:C)</f>
        <v>592</v>
      </c>
      <c r="F22">
        <f>SUMIF(DATA!$A:$A,PPL!$A22,DATA!D:D)</f>
        <v>6</v>
      </c>
      <c r="G22">
        <f>SUMIF(DATA!$A:$A,PPL!$A22,DATA!E:E)</f>
        <v>5</v>
      </c>
      <c r="H22">
        <f>SUMIF(DATA!$A:$A,PPL!$A22,DATA!F:F)</f>
        <v>471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110</v>
      </c>
      <c r="L22">
        <f>SUMIF(DATA!$A:$A,PPL!$A22,DATA!J:J)</f>
        <v>0</v>
      </c>
      <c r="M22">
        <f t="shared" si="0"/>
        <v>121</v>
      </c>
    </row>
    <row r="23" spans="1:13" x14ac:dyDescent="0.25">
      <c r="A23" t="s">
        <v>26</v>
      </c>
      <c r="B23" t="s">
        <v>268</v>
      </c>
      <c r="C23" t="s">
        <v>165</v>
      </c>
      <c r="D23" t="s">
        <v>181</v>
      </c>
      <c r="E23">
        <f>SUMIF(DATA!$A:$A,PPL!$A23,DATA!C:C)</f>
        <v>621</v>
      </c>
      <c r="F23">
        <f>SUMIF(DATA!$A:$A,PPL!$A23,DATA!D:D)</f>
        <v>43</v>
      </c>
      <c r="G23">
        <f>SUMIF(DATA!$A:$A,PPL!$A23,DATA!E:E)</f>
        <v>44</v>
      </c>
      <c r="H23">
        <f>SUMIF(DATA!$A:$A,PPL!$A23,DATA!F:F)</f>
        <v>499</v>
      </c>
      <c r="I23">
        <f>SUMIF(DATA!$A:$A,PPL!$A23,DATA!G:G)</f>
        <v>11</v>
      </c>
      <c r="J23">
        <f>SUMIF(DATA!$A:$A,PPL!$A23,DATA!H:H)</f>
        <v>0</v>
      </c>
      <c r="K23">
        <f>SUMIF(DATA!$A:$A,PPL!$A23,DATA!I:I)</f>
        <v>24</v>
      </c>
      <c r="L23">
        <f>SUMIF(DATA!$A:$A,PPL!$A23,DATA!J:J)</f>
        <v>0</v>
      </c>
      <c r="M23">
        <f t="shared" si="0"/>
        <v>122</v>
      </c>
    </row>
    <row r="24" spans="1:13" x14ac:dyDescent="0.25">
      <c r="A24" t="s">
        <v>27</v>
      </c>
      <c r="B24" t="s">
        <v>269</v>
      </c>
      <c r="C24" t="s">
        <v>166</v>
      </c>
      <c r="D24" t="s">
        <v>189</v>
      </c>
      <c r="E24">
        <f>SUMIF(DATA!$A:$A,PPL!$A24,DATA!C:C)</f>
        <v>616</v>
      </c>
      <c r="F24">
        <f>SUMIF(DATA!$A:$A,PPL!$A24,DATA!D:D)</f>
        <v>17</v>
      </c>
      <c r="G24">
        <f>SUMIF(DATA!$A:$A,PPL!$A24,DATA!E:E)</f>
        <v>0</v>
      </c>
      <c r="H24">
        <f>SUMIF(DATA!$A:$A,PPL!$A24,DATA!F:F)</f>
        <v>532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66</v>
      </c>
      <c r="L24">
        <f>SUMIF(DATA!$A:$A,PPL!$A24,DATA!J:J)</f>
        <v>0</v>
      </c>
      <c r="M24">
        <f t="shared" si="0"/>
        <v>84</v>
      </c>
    </row>
    <row r="25" spans="1:13" x14ac:dyDescent="0.25">
      <c r="A25" t="s">
        <v>28</v>
      </c>
      <c r="B25" t="s">
        <v>270</v>
      </c>
      <c r="C25" t="s">
        <v>166</v>
      </c>
      <c r="D25" t="s">
        <v>189</v>
      </c>
      <c r="E25">
        <f>SUMIF(DATA!$A:$A,PPL!$A25,DATA!C:C)</f>
        <v>612</v>
      </c>
      <c r="F25">
        <f>SUMIF(DATA!$A:$A,PPL!$A25,DATA!D:D)</f>
        <v>0</v>
      </c>
      <c r="G25">
        <f>SUMIF(DATA!$A:$A,PPL!$A25,DATA!E:E)</f>
        <v>13</v>
      </c>
      <c r="H25">
        <f>SUMIF(DATA!$A:$A,PPL!$A25,DATA!F:F)</f>
        <v>532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49</v>
      </c>
      <c r="L25">
        <f>SUMIF(DATA!$A:$A,PPL!$A25,DATA!J:J)</f>
        <v>0</v>
      </c>
      <c r="M25">
        <f t="shared" si="0"/>
        <v>80</v>
      </c>
    </row>
    <row r="26" spans="1:13" x14ac:dyDescent="0.25">
      <c r="A26" t="s">
        <v>29</v>
      </c>
      <c r="B26" t="s">
        <v>271</v>
      </c>
      <c r="C26" t="s">
        <v>166</v>
      </c>
      <c r="D26" t="s">
        <v>189</v>
      </c>
      <c r="E26">
        <f>SUMIF(DATA!$A:$A,PPL!$A26,DATA!C:C)</f>
        <v>633</v>
      </c>
      <c r="F26">
        <f>SUMIF(DATA!$A:$A,PPL!$A26,DATA!D:D)</f>
        <v>6</v>
      </c>
      <c r="G26">
        <f>SUMIF(DATA!$A:$A,PPL!$A26,DATA!E:E)</f>
        <v>9</v>
      </c>
      <c r="H26">
        <f>SUMIF(DATA!$A:$A,PPL!$A26,DATA!F:F)</f>
        <v>548</v>
      </c>
      <c r="I26">
        <f>SUMIF(DATA!$A:$A,PPL!$A26,DATA!G:G)</f>
        <v>0</v>
      </c>
      <c r="J26">
        <f>SUMIF(DATA!$A:$A,PPL!$A26,DATA!H:H)</f>
        <v>0</v>
      </c>
      <c r="K26">
        <f>SUMIF(DATA!$A:$A,PPL!$A26,DATA!I:I)</f>
        <v>70</v>
      </c>
      <c r="L26">
        <f>SUMIF(DATA!$A:$A,PPL!$A26,DATA!J:J)</f>
        <v>0</v>
      </c>
      <c r="M26">
        <f t="shared" si="0"/>
        <v>85</v>
      </c>
    </row>
    <row r="27" spans="1:13" x14ac:dyDescent="0.25">
      <c r="A27" t="s">
        <v>30</v>
      </c>
      <c r="B27" t="s">
        <v>272</v>
      </c>
      <c r="C27" t="s">
        <v>167</v>
      </c>
      <c r="D27" t="s">
        <v>182</v>
      </c>
      <c r="E27">
        <f>SUMIF(DATA!$A:$A,PPL!$A27,DATA!C:C)</f>
        <v>581</v>
      </c>
      <c r="F27">
        <f>SUMIF(DATA!$A:$A,PPL!$A27,DATA!D:D)</f>
        <v>0</v>
      </c>
      <c r="G27">
        <f>SUMIF(DATA!$A:$A,PPL!$A27,DATA!E:E)</f>
        <v>14</v>
      </c>
      <c r="H27">
        <f>SUMIF(DATA!$A:$A,PPL!$A27,DATA!F:F)</f>
        <v>506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61</v>
      </c>
      <c r="L27">
        <f>SUMIF(DATA!$A:$A,PPL!$A27,DATA!J:J)</f>
        <v>0</v>
      </c>
      <c r="M27">
        <f t="shared" si="0"/>
        <v>75</v>
      </c>
    </row>
    <row r="28" spans="1:13" x14ac:dyDescent="0.25">
      <c r="A28" t="s">
        <v>31</v>
      </c>
      <c r="B28" t="s">
        <v>273</v>
      </c>
      <c r="C28" t="s">
        <v>167</v>
      </c>
      <c r="D28" t="s">
        <v>182</v>
      </c>
      <c r="E28">
        <f>SUMIF(DATA!$A:$A,PPL!$A28,DATA!C:C)</f>
        <v>620</v>
      </c>
      <c r="F28">
        <f>SUMIF(DATA!$A:$A,PPL!$A28,DATA!D:D)</f>
        <v>0</v>
      </c>
      <c r="G28">
        <f>SUMIF(DATA!$A:$A,PPL!$A28,DATA!E:E)</f>
        <v>3</v>
      </c>
      <c r="H28">
        <f>SUMIF(DATA!$A:$A,PPL!$A28,DATA!F:F)</f>
        <v>528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89</v>
      </c>
      <c r="L28">
        <f>SUMIF(DATA!$A:$A,PPL!$A28,DATA!J:J)</f>
        <v>0</v>
      </c>
      <c r="M28">
        <f t="shared" si="0"/>
        <v>92</v>
      </c>
    </row>
    <row r="29" spans="1:13" x14ac:dyDescent="0.25">
      <c r="A29" t="s">
        <v>32</v>
      </c>
      <c r="B29" t="s">
        <v>274</v>
      </c>
      <c r="C29" t="s">
        <v>167</v>
      </c>
      <c r="D29" t="s">
        <v>182</v>
      </c>
      <c r="E29">
        <f>SUMIF(DATA!$A:$A,PPL!$A29,DATA!C:C)</f>
        <v>581</v>
      </c>
      <c r="F29">
        <f>SUMIF(DATA!$A:$A,PPL!$A29,DATA!D:D)</f>
        <v>3</v>
      </c>
      <c r="G29">
        <f>SUMIF(DATA!$A:$A,PPL!$A29,DATA!E:E)</f>
        <v>3</v>
      </c>
      <c r="H29">
        <f>SUMIF(DATA!$A:$A,PPL!$A29,DATA!F:F)</f>
        <v>531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44</v>
      </c>
      <c r="L29">
        <f>SUMIF(DATA!$A:$A,PPL!$A29,DATA!J:J)</f>
        <v>0</v>
      </c>
      <c r="M29">
        <f t="shared" si="0"/>
        <v>50</v>
      </c>
    </row>
    <row r="30" spans="1:13" x14ac:dyDescent="0.25">
      <c r="A30" t="s">
        <v>33</v>
      </c>
      <c r="B30" t="s">
        <v>275</v>
      </c>
      <c r="C30" t="s">
        <v>165</v>
      </c>
      <c r="D30" t="s">
        <v>181</v>
      </c>
      <c r="E30">
        <f>SUMIF(DATA!$A:$A,PPL!$A30,DATA!C:C)</f>
        <v>631</v>
      </c>
      <c r="F30">
        <f>SUMIF(DATA!$A:$A,PPL!$A30,DATA!D:D)</f>
        <v>63</v>
      </c>
      <c r="G30">
        <f>SUMIF(DATA!$A:$A,PPL!$A30,DATA!E:E)</f>
        <v>14</v>
      </c>
      <c r="H30">
        <f>SUMIF(DATA!$A:$A,PPL!$A30,DATA!F:F)</f>
        <v>526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28</v>
      </c>
      <c r="L30">
        <f>SUMIF(DATA!$A:$A,PPL!$A30,DATA!J:J)</f>
        <v>0</v>
      </c>
      <c r="M30">
        <f t="shared" si="0"/>
        <v>105</v>
      </c>
    </row>
    <row r="31" spans="1:13" x14ac:dyDescent="0.25">
      <c r="A31" t="s">
        <v>34</v>
      </c>
      <c r="B31" t="s">
        <v>276</v>
      </c>
      <c r="C31" t="s">
        <v>166</v>
      </c>
      <c r="D31" t="s">
        <v>189</v>
      </c>
      <c r="E31">
        <f>SUMIF(DATA!$A:$A,PPL!$A31,DATA!C:C)</f>
        <v>592</v>
      </c>
      <c r="F31">
        <f>SUMIF(DATA!$A:$A,PPL!$A31,DATA!D:D)</f>
        <v>0</v>
      </c>
      <c r="G31">
        <f>SUMIF(DATA!$A:$A,PPL!$A31,DATA!E:E)</f>
        <v>18</v>
      </c>
      <c r="H31">
        <f>SUMIF(DATA!$A:$A,PPL!$A31,DATA!F:F)</f>
        <v>505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69</v>
      </c>
      <c r="L31">
        <f>SUMIF(DATA!$A:$A,PPL!$A31,DATA!J:J)</f>
        <v>0</v>
      </c>
      <c r="M31">
        <f t="shared" si="0"/>
        <v>87</v>
      </c>
    </row>
    <row r="32" spans="1:13" x14ac:dyDescent="0.25">
      <c r="A32" t="s">
        <v>35</v>
      </c>
      <c r="B32" t="s">
        <v>277</v>
      </c>
      <c r="C32" t="s">
        <v>167</v>
      </c>
      <c r="D32" t="s">
        <v>182</v>
      </c>
      <c r="E32">
        <f>SUMIF(DATA!$A:$A,PPL!$A32,DATA!C:C)</f>
        <v>584</v>
      </c>
      <c r="F32">
        <f>SUMIF(DATA!$A:$A,PPL!$A32,DATA!D:D)</f>
        <v>0</v>
      </c>
      <c r="G32">
        <f>SUMIF(DATA!$A:$A,PPL!$A32,DATA!E:E)</f>
        <v>26</v>
      </c>
      <c r="H32">
        <f>SUMIF(DATA!$A:$A,PPL!$A32,DATA!F:F)</f>
        <v>526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32</v>
      </c>
      <c r="L32">
        <f>SUMIF(DATA!$A:$A,PPL!$A32,DATA!J:J)</f>
        <v>0</v>
      </c>
      <c r="M32">
        <f t="shared" si="0"/>
        <v>58</v>
      </c>
    </row>
    <row r="33" spans="1:13" x14ac:dyDescent="0.25">
      <c r="A33" t="s">
        <v>36</v>
      </c>
      <c r="B33" t="s">
        <v>278</v>
      </c>
      <c r="C33" t="s">
        <v>167</v>
      </c>
      <c r="D33" t="s">
        <v>182</v>
      </c>
      <c r="E33">
        <f>SUMIF(DATA!$A:$A,PPL!$A33,DATA!C:C)</f>
        <v>579</v>
      </c>
      <c r="F33">
        <f>SUMIF(DATA!$A:$A,PPL!$A33,DATA!D:D)</f>
        <v>0</v>
      </c>
      <c r="G33">
        <f>SUMIF(DATA!$A:$A,PPL!$A33,DATA!E:E)</f>
        <v>14</v>
      </c>
      <c r="H33">
        <f>SUMIF(DATA!$A:$A,PPL!$A33,DATA!F:F)</f>
        <v>521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44</v>
      </c>
      <c r="L33">
        <f>SUMIF(DATA!$A:$A,PPL!$A33,DATA!J:J)</f>
        <v>0</v>
      </c>
      <c r="M33">
        <f t="shared" si="0"/>
        <v>58</v>
      </c>
    </row>
    <row r="34" spans="1:13" x14ac:dyDescent="0.25">
      <c r="A34" t="s">
        <v>37</v>
      </c>
      <c r="B34" t="s">
        <v>279</v>
      </c>
      <c r="C34" t="s">
        <v>167</v>
      </c>
      <c r="D34" t="s">
        <v>182</v>
      </c>
      <c r="E34">
        <f>SUMIF(DATA!$A:$A,PPL!$A34,DATA!C:C)</f>
        <v>576</v>
      </c>
      <c r="F34">
        <f>SUMIF(DATA!$A:$A,PPL!$A34,DATA!D:D)</f>
        <v>0</v>
      </c>
      <c r="G34">
        <f>SUMIF(DATA!$A:$A,PPL!$A34,DATA!E:E)</f>
        <v>32</v>
      </c>
      <c r="H34">
        <f>SUMIF(DATA!$A:$A,PPL!$A34,DATA!F:F)</f>
        <v>493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51</v>
      </c>
      <c r="L34">
        <f>SUMIF(DATA!$A:$A,PPL!$A34,DATA!J:J)</f>
        <v>0</v>
      </c>
      <c r="M34">
        <f t="shared" si="0"/>
        <v>83</v>
      </c>
    </row>
    <row r="35" spans="1:13" x14ac:dyDescent="0.25">
      <c r="A35" t="s">
        <v>38</v>
      </c>
      <c r="B35" t="s">
        <v>280</v>
      </c>
      <c r="C35" t="s">
        <v>167</v>
      </c>
      <c r="D35" t="s">
        <v>182</v>
      </c>
      <c r="E35">
        <f>SUMIF(DATA!$A:$A,PPL!$A35,DATA!C:C)</f>
        <v>624</v>
      </c>
      <c r="F35">
        <f>SUMIF(DATA!$A:$A,PPL!$A35,DATA!D:D)</f>
        <v>0</v>
      </c>
      <c r="G35">
        <f>SUMIF(DATA!$A:$A,PPL!$A35,DATA!E:E)</f>
        <v>17</v>
      </c>
      <c r="H35">
        <f>SUMIF(DATA!$A:$A,PPL!$A35,DATA!F:F)</f>
        <v>526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81</v>
      </c>
      <c r="L35">
        <f>SUMIF(DATA!$A:$A,PPL!$A35,DATA!J:J)</f>
        <v>0</v>
      </c>
      <c r="M35">
        <f t="shared" si="0"/>
        <v>98</v>
      </c>
    </row>
    <row r="36" spans="1:13" x14ac:dyDescent="0.25">
      <c r="A36" t="s">
        <v>39</v>
      </c>
      <c r="B36" t="s">
        <v>281</v>
      </c>
      <c r="C36" t="s">
        <v>165</v>
      </c>
      <c r="D36" t="s">
        <v>181</v>
      </c>
      <c r="E36">
        <f>SUMIF(DATA!$A:$A,PPL!$A36,DATA!C:C)</f>
        <v>598</v>
      </c>
      <c r="F36">
        <f>SUMIF(DATA!$A:$A,PPL!$A36,DATA!D:D)</f>
        <v>1</v>
      </c>
      <c r="G36">
        <f>SUMIF(DATA!$A:$A,PPL!$A36,DATA!E:E)</f>
        <v>25</v>
      </c>
      <c r="H36">
        <f>SUMIF(DATA!$A:$A,PPL!$A36,DATA!F:F)</f>
        <v>531</v>
      </c>
      <c r="I36">
        <f>SUMIF(DATA!$A:$A,PPL!$A36,DATA!G:G)</f>
        <v>17</v>
      </c>
      <c r="J36">
        <f>SUMIF(DATA!$A:$A,PPL!$A36,DATA!H:H)</f>
        <v>0</v>
      </c>
      <c r="K36">
        <f>SUMIF(DATA!$A:$A,PPL!$A36,DATA!I:I)</f>
        <v>24</v>
      </c>
      <c r="L36">
        <f>SUMIF(DATA!$A:$A,PPL!$A36,DATA!J:J)</f>
        <v>0</v>
      </c>
      <c r="M36">
        <f t="shared" si="0"/>
        <v>67</v>
      </c>
    </row>
    <row r="37" spans="1:13" x14ac:dyDescent="0.25">
      <c r="A37" t="s">
        <v>40</v>
      </c>
      <c r="B37" t="s">
        <v>282</v>
      </c>
      <c r="C37" t="s">
        <v>165</v>
      </c>
      <c r="D37" t="s">
        <v>181</v>
      </c>
      <c r="E37">
        <f>SUMIF(DATA!$A:$A,PPL!$A37,DATA!C:C)</f>
        <v>577</v>
      </c>
      <c r="F37">
        <f>SUMIF(DATA!$A:$A,PPL!$A37,DATA!D:D)</f>
        <v>13</v>
      </c>
      <c r="G37">
        <f>SUMIF(DATA!$A:$A,PPL!$A37,DATA!E:E)</f>
        <v>51</v>
      </c>
      <c r="H37">
        <f>SUMIF(DATA!$A:$A,PPL!$A37,DATA!F:F)</f>
        <v>509</v>
      </c>
      <c r="I37">
        <f>SUMIF(DATA!$A:$A,PPL!$A37,DATA!G:G)</f>
        <v>4</v>
      </c>
      <c r="J37">
        <f>SUMIF(DATA!$A:$A,PPL!$A37,DATA!H:H)</f>
        <v>0</v>
      </c>
      <c r="K37">
        <f>SUMIF(DATA!$A:$A,PPL!$A37,DATA!I:I)</f>
        <v>0</v>
      </c>
      <c r="L37">
        <f>SUMIF(DATA!$A:$A,PPL!$A37,DATA!J:J)</f>
        <v>0</v>
      </c>
      <c r="M37">
        <f t="shared" si="0"/>
        <v>68</v>
      </c>
    </row>
    <row r="38" spans="1:13" x14ac:dyDescent="0.25">
      <c r="A38" t="s">
        <v>41</v>
      </c>
      <c r="B38" t="s">
        <v>283</v>
      </c>
      <c r="C38" t="s">
        <v>165</v>
      </c>
      <c r="D38" t="s">
        <v>181</v>
      </c>
      <c r="E38">
        <f>SUMIF(DATA!$A:$A,PPL!$A38,DATA!C:C)</f>
        <v>720</v>
      </c>
      <c r="F38">
        <f>SUMIF(DATA!$A:$A,PPL!$A38,DATA!D:D)</f>
        <v>66</v>
      </c>
      <c r="G38">
        <f>SUMIF(DATA!$A:$A,PPL!$A38,DATA!E:E)</f>
        <v>22</v>
      </c>
      <c r="H38">
        <f>SUMIF(DATA!$A:$A,PPL!$A38,DATA!F:F)</f>
        <v>547</v>
      </c>
      <c r="I38">
        <f>SUMIF(DATA!$A:$A,PPL!$A38,DATA!G:G)</f>
        <v>17</v>
      </c>
      <c r="J38">
        <f>SUMIF(DATA!$A:$A,PPL!$A38,DATA!H:H)</f>
        <v>0</v>
      </c>
      <c r="K38">
        <f>SUMIF(DATA!$A:$A,PPL!$A38,DATA!I:I)</f>
        <v>68</v>
      </c>
      <c r="L38">
        <f>SUMIF(DATA!$A:$A,PPL!$A38,DATA!J:J)</f>
        <v>0</v>
      </c>
      <c r="M38">
        <f t="shared" si="0"/>
        <v>173</v>
      </c>
    </row>
    <row r="39" spans="1:13" x14ac:dyDescent="0.25">
      <c r="A39" t="s">
        <v>42</v>
      </c>
      <c r="B39" t="s">
        <v>284</v>
      </c>
      <c r="C39" t="s">
        <v>165</v>
      </c>
      <c r="D39" t="s">
        <v>181</v>
      </c>
      <c r="E39">
        <f>SUMIF(DATA!$A:$A,PPL!$A39,DATA!C:C)</f>
        <v>588</v>
      </c>
      <c r="F39">
        <f>SUMIF(DATA!$A:$A,PPL!$A39,DATA!D:D)</f>
        <v>19</v>
      </c>
      <c r="G39">
        <f>SUMIF(DATA!$A:$A,PPL!$A39,DATA!E:E)</f>
        <v>40</v>
      </c>
      <c r="H39">
        <f>SUMIF(DATA!$A:$A,PPL!$A39,DATA!F:F)</f>
        <v>496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32</v>
      </c>
      <c r="L39">
        <f>SUMIF(DATA!$A:$A,PPL!$A39,DATA!J:J)</f>
        <v>0</v>
      </c>
      <c r="M39">
        <f t="shared" si="0"/>
        <v>92</v>
      </c>
    </row>
    <row r="40" spans="1:13" x14ac:dyDescent="0.25">
      <c r="A40" t="s">
        <v>43</v>
      </c>
      <c r="B40" t="s">
        <v>285</v>
      </c>
      <c r="C40" t="s">
        <v>166</v>
      </c>
      <c r="D40" t="s">
        <v>189</v>
      </c>
      <c r="E40">
        <f>SUMIF(DATA!$A:$A,PPL!$A40,DATA!C:C)</f>
        <v>634</v>
      </c>
      <c r="F40">
        <f>SUMIF(DATA!$A:$A,PPL!$A40,DATA!D:D)</f>
        <v>19</v>
      </c>
      <c r="G40">
        <f>SUMIF(DATA!$A:$A,PPL!$A40,DATA!E:E)</f>
        <v>3</v>
      </c>
      <c r="H40">
        <f>SUMIF(DATA!$A:$A,PPL!$A40,DATA!F:F)</f>
        <v>563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48</v>
      </c>
      <c r="L40">
        <f>SUMIF(DATA!$A:$A,PPL!$A40,DATA!J:J)</f>
        <v>0</v>
      </c>
      <c r="M40">
        <f t="shared" si="0"/>
        <v>71</v>
      </c>
    </row>
    <row r="41" spans="1:13" x14ac:dyDescent="0.25">
      <c r="A41" t="s">
        <v>44</v>
      </c>
      <c r="B41" t="s">
        <v>286</v>
      </c>
      <c r="C41" t="s">
        <v>166</v>
      </c>
      <c r="D41" t="s">
        <v>189</v>
      </c>
      <c r="E41">
        <f>SUMIF(DATA!$A:$A,PPL!$A41,DATA!C:C)</f>
        <v>603</v>
      </c>
      <c r="F41">
        <f>SUMIF(DATA!$A:$A,PPL!$A41,DATA!D:D)</f>
        <v>0</v>
      </c>
      <c r="G41">
        <f>SUMIF(DATA!$A:$A,PPL!$A41,DATA!E:E)</f>
        <v>0</v>
      </c>
      <c r="H41">
        <f>SUMIF(DATA!$A:$A,PPL!$A41,DATA!F:F)</f>
        <v>557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46</v>
      </c>
      <c r="L41">
        <f>SUMIF(DATA!$A:$A,PPL!$A41,DATA!J:J)</f>
        <v>0</v>
      </c>
      <c r="M41">
        <f t="shared" si="0"/>
        <v>46</v>
      </c>
    </row>
    <row r="42" spans="1:13" x14ac:dyDescent="0.25">
      <c r="A42" t="s">
        <v>45</v>
      </c>
      <c r="B42" t="s">
        <v>287</v>
      </c>
      <c r="C42" t="s">
        <v>166</v>
      </c>
      <c r="D42" t="s">
        <v>189</v>
      </c>
      <c r="E42">
        <f>SUMIF(DATA!$A:$A,PPL!$A42,DATA!C:C)</f>
        <v>587</v>
      </c>
      <c r="F42">
        <f>SUMIF(DATA!$A:$A,PPL!$A42,DATA!D:D)</f>
        <v>0</v>
      </c>
      <c r="G42">
        <f>SUMIF(DATA!$A:$A,PPL!$A42,DATA!E:E)</f>
        <v>1</v>
      </c>
      <c r="H42">
        <f>SUMIF(DATA!$A:$A,PPL!$A42,DATA!F:F)</f>
        <v>533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53</v>
      </c>
      <c r="L42">
        <f>SUMIF(DATA!$A:$A,PPL!$A42,DATA!J:J)</f>
        <v>0</v>
      </c>
      <c r="M42">
        <f t="shared" si="0"/>
        <v>54</v>
      </c>
    </row>
    <row r="43" spans="1:13" x14ac:dyDescent="0.25">
      <c r="A43" t="s">
        <v>46</v>
      </c>
      <c r="B43" t="s">
        <v>288</v>
      </c>
      <c r="C43" t="s">
        <v>165</v>
      </c>
      <c r="D43" t="s">
        <v>181</v>
      </c>
      <c r="E43">
        <f>SUMIF(DATA!$A:$A,PPL!$A43,DATA!C:C)</f>
        <v>590</v>
      </c>
      <c r="F43">
        <f>SUMIF(DATA!$A:$A,PPL!$A43,DATA!D:D)</f>
        <v>2</v>
      </c>
      <c r="G43">
        <f>SUMIF(DATA!$A:$A,PPL!$A43,DATA!E:E)</f>
        <v>15</v>
      </c>
      <c r="H43">
        <f>SUMIF(DATA!$A:$A,PPL!$A43,DATA!F:F)</f>
        <v>534</v>
      </c>
      <c r="I43">
        <f>SUMIF(DATA!$A:$A,PPL!$A43,DATA!G:G)</f>
        <v>10</v>
      </c>
      <c r="J43">
        <f>SUMIF(DATA!$A:$A,PPL!$A43,DATA!H:H)</f>
        <v>0</v>
      </c>
      <c r="K43">
        <f>SUMIF(DATA!$A:$A,PPL!$A43,DATA!I:I)</f>
        <v>29</v>
      </c>
      <c r="L43">
        <f>SUMIF(DATA!$A:$A,PPL!$A43,DATA!J:J)</f>
        <v>0</v>
      </c>
      <c r="M43">
        <f t="shared" si="0"/>
        <v>56</v>
      </c>
    </row>
    <row r="44" spans="1:13" x14ac:dyDescent="0.25">
      <c r="A44" t="s">
        <v>47</v>
      </c>
      <c r="B44" t="s">
        <v>289</v>
      </c>
      <c r="C44" t="s">
        <v>167</v>
      </c>
      <c r="D44" t="s">
        <v>182</v>
      </c>
      <c r="E44">
        <f>SUMIF(DATA!$A:$A,PPL!$A44,DATA!C:C)</f>
        <v>628</v>
      </c>
      <c r="F44">
        <f>SUMIF(DATA!$A:$A,PPL!$A44,DATA!D:D)</f>
        <v>0</v>
      </c>
      <c r="G44">
        <f>SUMIF(DATA!$A:$A,PPL!$A44,DATA!E:E)</f>
        <v>4</v>
      </c>
      <c r="H44">
        <f>SUMIF(DATA!$A:$A,PPL!$A44,DATA!F:F)</f>
        <v>578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46</v>
      </c>
      <c r="L44">
        <f>SUMIF(DATA!$A:$A,PPL!$A44,DATA!J:J)</f>
        <v>0</v>
      </c>
      <c r="M44">
        <f t="shared" si="0"/>
        <v>50</v>
      </c>
    </row>
    <row r="45" spans="1:13" x14ac:dyDescent="0.25">
      <c r="A45" t="s">
        <v>48</v>
      </c>
      <c r="B45" t="s">
        <v>290</v>
      </c>
      <c r="C45" t="s">
        <v>165</v>
      </c>
      <c r="D45" t="s">
        <v>181</v>
      </c>
      <c r="E45">
        <f>SUMIF(DATA!$A:$A,PPL!$A45,DATA!C:C)</f>
        <v>630</v>
      </c>
      <c r="F45">
        <f>SUMIF(DATA!$A:$A,PPL!$A45,DATA!D:D)</f>
        <v>4</v>
      </c>
      <c r="G45">
        <f>SUMIF(DATA!$A:$A,PPL!$A45,DATA!E:E)</f>
        <v>41</v>
      </c>
      <c r="H45">
        <f>SUMIF(DATA!$A:$A,PPL!$A45,DATA!F:F)</f>
        <v>517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67</v>
      </c>
      <c r="L45">
        <f>SUMIF(DATA!$A:$A,PPL!$A45,DATA!J:J)</f>
        <v>0</v>
      </c>
      <c r="M45">
        <f t="shared" si="0"/>
        <v>113</v>
      </c>
    </row>
    <row r="46" spans="1:13" x14ac:dyDescent="0.25">
      <c r="A46" t="s">
        <v>49</v>
      </c>
      <c r="B46" t="s">
        <v>291</v>
      </c>
      <c r="C46" t="s">
        <v>168</v>
      </c>
      <c r="D46" t="s">
        <v>197</v>
      </c>
      <c r="E46">
        <f>SUMIF(DATA!$A:$A,PPL!$A46,DATA!C:C)</f>
        <v>611</v>
      </c>
      <c r="F46">
        <f>SUMIF(DATA!$A:$A,PPL!$A46,DATA!D:D)</f>
        <v>3</v>
      </c>
      <c r="G46">
        <f>SUMIF(DATA!$A:$A,PPL!$A46,DATA!E:E)</f>
        <v>1</v>
      </c>
      <c r="H46">
        <f>SUMIF(DATA!$A:$A,PPL!$A46,DATA!F:F)</f>
        <v>574</v>
      </c>
      <c r="I46">
        <f>SUMIF(DATA!$A:$A,PPL!$A46,DATA!G:G)</f>
        <v>3</v>
      </c>
      <c r="J46">
        <f>SUMIF(DATA!$A:$A,PPL!$A46,DATA!H:H)</f>
        <v>0</v>
      </c>
      <c r="K46">
        <f>SUMIF(DATA!$A:$A,PPL!$A46,DATA!I:I)</f>
        <v>30</v>
      </c>
      <c r="L46">
        <f>SUMIF(DATA!$A:$A,PPL!$A46,DATA!J:J)</f>
        <v>0</v>
      </c>
      <c r="M46">
        <f t="shared" si="0"/>
        <v>37</v>
      </c>
    </row>
    <row r="47" spans="1:13" x14ac:dyDescent="0.25">
      <c r="A47" t="s">
        <v>50</v>
      </c>
      <c r="B47" t="s">
        <v>292</v>
      </c>
      <c r="C47" t="s">
        <v>169</v>
      </c>
      <c r="D47" t="s">
        <v>199</v>
      </c>
      <c r="E47">
        <f>SUMIF(DATA!$A:$A,PPL!$A47,DATA!C:C)</f>
        <v>605</v>
      </c>
      <c r="F47">
        <f>SUMIF(DATA!$A:$A,PPL!$A47,DATA!D:D)</f>
        <v>0</v>
      </c>
      <c r="G47">
        <f>SUMIF(DATA!$A:$A,PPL!$A47,DATA!E:E)</f>
        <v>16</v>
      </c>
      <c r="H47">
        <f>SUMIF(DATA!$A:$A,PPL!$A47,DATA!F:F)</f>
        <v>522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67</v>
      </c>
      <c r="L47">
        <f>SUMIF(DATA!$A:$A,PPL!$A47,DATA!J:J)</f>
        <v>0</v>
      </c>
      <c r="M47">
        <f t="shared" si="0"/>
        <v>83</v>
      </c>
    </row>
    <row r="48" spans="1:13" x14ac:dyDescent="0.25">
      <c r="A48" t="s">
        <v>51</v>
      </c>
      <c r="B48" t="s">
        <v>293</v>
      </c>
      <c r="C48" t="s">
        <v>170</v>
      </c>
      <c r="D48" t="s">
        <v>196</v>
      </c>
      <c r="E48">
        <f>SUMIF(DATA!$A:$A,PPL!$A48,DATA!C:C)</f>
        <v>435</v>
      </c>
      <c r="F48">
        <f>SUMIF(DATA!$A:$A,PPL!$A48,DATA!D:D)</f>
        <v>0</v>
      </c>
      <c r="G48">
        <f>SUMIF(DATA!$A:$A,PPL!$A48,DATA!E:E)</f>
        <v>21</v>
      </c>
      <c r="H48">
        <f>SUMIF(DATA!$A:$A,PPL!$A48,DATA!F:F)</f>
        <v>337</v>
      </c>
      <c r="I48">
        <f>SUMIF(DATA!$A:$A,PPL!$A48,DATA!G:G)</f>
        <v>1</v>
      </c>
      <c r="J48">
        <f>SUMIF(DATA!$A:$A,PPL!$A48,DATA!H:H)</f>
        <v>0</v>
      </c>
      <c r="K48">
        <f>SUMIF(DATA!$A:$A,PPL!$A48,DATA!I:I)</f>
        <v>76</v>
      </c>
      <c r="L48">
        <f>SUMIF(DATA!$A:$A,PPL!$A48,DATA!J:J)</f>
        <v>0</v>
      </c>
      <c r="M48">
        <f t="shared" si="0"/>
        <v>98</v>
      </c>
    </row>
    <row r="49" spans="1:13" x14ac:dyDescent="0.25">
      <c r="A49" t="s">
        <v>52</v>
      </c>
      <c r="B49" t="s">
        <v>294</v>
      </c>
      <c r="C49" t="s">
        <v>169</v>
      </c>
      <c r="D49" t="s">
        <v>199</v>
      </c>
      <c r="E49">
        <f>SUMIF(DATA!$A:$A,PPL!$A49,DATA!C:C)</f>
        <v>451</v>
      </c>
      <c r="F49">
        <f>SUMIF(DATA!$A:$A,PPL!$A49,DATA!D:D)</f>
        <v>2</v>
      </c>
      <c r="G49">
        <f>SUMIF(DATA!$A:$A,PPL!$A49,DATA!E:E)</f>
        <v>13</v>
      </c>
      <c r="H49">
        <f>SUMIF(DATA!$A:$A,PPL!$A49,DATA!F:F)</f>
        <v>354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82</v>
      </c>
      <c r="L49">
        <f>SUMIF(DATA!$A:$A,PPL!$A49,DATA!J:J)</f>
        <v>0</v>
      </c>
      <c r="M49">
        <f t="shared" si="0"/>
        <v>97</v>
      </c>
    </row>
    <row r="50" spans="1:13" x14ac:dyDescent="0.25">
      <c r="A50" t="s">
        <v>53</v>
      </c>
      <c r="B50" t="s">
        <v>295</v>
      </c>
      <c r="C50" t="s">
        <v>168</v>
      </c>
      <c r="D50" t="s">
        <v>197</v>
      </c>
      <c r="E50">
        <f>SUMIF(DATA!$A:$A,PPL!$A50,DATA!C:C)</f>
        <v>577</v>
      </c>
      <c r="F50">
        <f>SUMIF(DATA!$A:$A,PPL!$A50,DATA!D:D)</f>
        <v>0</v>
      </c>
      <c r="G50">
        <f>SUMIF(DATA!$A:$A,PPL!$A50,DATA!E:E)</f>
        <v>2</v>
      </c>
      <c r="H50">
        <f>SUMIF(DATA!$A:$A,PPL!$A50,DATA!F:F)</f>
        <v>516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59</v>
      </c>
      <c r="L50">
        <f>SUMIF(DATA!$A:$A,PPL!$A50,DATA!J:J)</f>
        <v>0</v>
      </c>
      <c r="M50">
        <f t="shared" si="0"/>
        <v>61</v>
      </c>
    </row>
    <row r="51" spans="1:13" x14ac:dyDescent="0.25">
      <c r="A51" t="s">
        <v>54</v>
      </c>
      <c r="B51" t="s">
        <v>296</v>
      </c>
      <c r="C51" t="s">
        <v>168</v>
      </c>
      <c r="D51" t="s">
        <v>197</v>
      </c>
      <c r="E51">
        <f>SUMIF(DATA!$A:$A,PPL!$A51,DATA!C:C)</f>
        <v>574</v>
      </c>
      <c r="F51">
        <f>SUMIF(DATA!$A:$A,PPL!$A51,DATA!D:D)</f>
        <v>1</v>
      </c>
      <c r="G51">
        <f>SUMIF(DATA!$A:$A,PPL!$A51,DATA!E:E)</f>
        <v>4</v>
      </c>
      <c r="H51">
        <f>SUMIF(DATA!$A:$A,PPL!$A51,DATA!F:F)</f>
        <v>494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75</v>
      </c>
      <c r="L51">
        <f>SUMIF(DATA!$A:$A,PPL!$A51,DATA!J:J)</f>
        <v>0</v>
      </c>
      <c r="M51">
        <f t="shared" si="0"/>
        <v>80</v>
      </c>
    </row>
    <row r="52" spans="1:13" x14ac:dyDescent="0.25">
      <c r="A52" t="s">
        <v>55</v>
      </c>
      <c r="B52" t="s">
        <v>297</v>
      </c>
      <c r="C52" t="s">
        <v>168</v>
      </c>
      <c r="D52" t="s">
        <v>197</v>
      </c>
      <c r="E52">
        <f>SUMIF(DATA!$A:$A,PPL!$A52,DATA!C:C)</f>
        <v>559</v>
      </c>
      <c r="F52">
        <f>SUMIF(DATA!$A:$A,PPL!$A52,DATA!D:D)</f>
        <v>0</v>
      </c>
      <c r="G52">
        <f>SUMIF(DATA!$A:$A,PPL!$A52,DATA!E:E)</f>
        <v>0</v>
      </c>
      <c r="H52">
        <f>SUMIF(DATA!$A:$A,PPL!$A52,DATA!F:F)</f>
        <v>486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73</v>
      </c>
      <c r="L52">
        <f>SUMIF(DATA!$A:$A,PPL!$A52,DATA!J:J)</f>
        <v>0</v>
      </c>
      <c r="M52">
        <f t="shared" si="0"/>
        <v>73</v>
      </c>
    </row>
    <row r="53" spans="1:13" x14ac:dyDescent="0.25">
      <c r="A53" t="s">
        <v>56</v>
      </c>
      <c r="B53" t="s">
        <v>298</v>
      </c>
      <c r="C53" t="s">
        <v>168</v>
      </c>
      <c r="D53" t="s">
        <v>197</v>
      </c>
      <c r="E53">
        <f>SUMIF(DATA!$A:$A,PPL!$A53,DATA!C:C)</f>
        <v>598</v>
      </c>
      <c r="F53">
        <f>SUMIF(DATA!$A:$A,PPL!$A53,DATA!D:D)</f>
        <v>0</v>
      </c>
      <c r="G53">
        <f>SUMIF(DATA!$A:$A,PPL!$A53,DATA!E:E)</f>
        <v>15</v>
      </c>
      <c r="H53">
        <f>SUMIF(DATA!$A:$A,PPL!$A53,DATA!F:F)</f>
        <v>526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57</v>
      </c>
      <c r="L53">
        <f>SUMIF(DATA!$A:$A,PPL!$A53,DATA!J:J)</f>
        <v>0</v>
      </c>
      <c r="M53">
        <f t="shared" si="0"/>
        <v>72</v>
      </c>
    </row>
    <row r="54" spans="1:13" x14ac:dyDescent="0.25">
      <c r="A54" t="s">
        <v>57</v>
      </c>
      <c r="B54" t="s">
        <v>299</v>
      </c>
      <c r="C54" t="s">
        <v>170</v>
      </c>
      <c r="D54" t="s">
        <v>196</v>
      </c>
      <c r="E54">
        <f>SUMIF(DATA!$A:$A,PPL!$A54,DATA!C:C)</f>
        <v>629</v>
      </c>
      <c r="F54">
        <f>SUMIF(DATA!$A:$A,PPL!$A54,DATA!D:D)</f>
        <v>29</v>
      </c>
      <c r="G54">
        <f>SUMIF(DATA!$A:$A,PPL!$A54,DATA!E:E)</f>
        <v>14</v>
      </c>
      <c r="H54">
        <f>SUMIF(DATA!$A:$A,PPL!$A54,DATA!F:F)</f>
        <v>533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53</v>
      </c>
      <c r="L54">
        <f>SUMIF(DATA!$A:$A,PPL!$A54,DATA!J:J)</f>
        <v>0</v>
      </c>
      <c r="M54">
        <f t="shared" si="0"/>
        <v>96</v>
      </c>
    </row>
    <row r="55" spans="1:13" x14ac:dyDescent="0.25">
      <c r="A55" t="s">
        <v>58</v>
      </c>
      <c r="B55" t="s">
        <v>300</v>
      </c>
      <c r="C55" t="s">
        <v>170</v>
      </c>
      <c r="D55" t="s">
        <v>196</v>
      </c>
      <c r="E55">
        <f>SUMIF(DATA!$A:$A,PPL!$A55,DATA!C:C)</f>
        <v>564</v>
      </c>
      <c r="F55">
        <f>SUMIF(DATA!$A:$A,PPL!$A55,DATA!D:D)</f>
        <v>13</v>
      </c>
      <c r="G55">
        <f>SUMIF(DATA!$A:$A,PPL!$A55,DATA!E:E)</f>
        <v>27</v>
      </c>
      <c r="H55">
        <f>SUMIF(DATA!$A:$A,PPL!$A55,DATA!F:F)</f>
        <v>473</v>
      </c>
      <c r="I55">
        <f>SUMIF(DATA!$A:$A,PPL!$A55,DATA!G:G)</f>
        <v>8</v>
      </c>
      <c r="J55">
        <f>SUMIF(DATA!$A:$A,PPL!$A55,DATA!H:H)</f>
        <v>0</v>
      </c>
      <c r="K55">
        <f>SUMIF(DATA!$A:$A,PPL!$A55,DATA!I:I)</f>
        <v>43</v>
      </c>
      <c r="L55">
        <f>SUMIF(DATA!$A:$A,PPL!$A55,DATA!J:J)</f>
        <v>0</v>
      </c>
      <c r="M55">
        <f t="shared" si="0"/>
        <v>91</v>
      </c>
    </row>
    <row r="56" spans="1:13" x14ac:dyDescent="0.25">
      <c r="A56" t="s">
        <v>59</v>
      </c>
      <c r="B56" t="s">
        <v>301</v>
      </c>
      <c r="C56" t="s">
        <v>170</v>
      </c>
      <c r="D56" t="s">
        <v>196</v>
      </c>
      <c r="E56">
        <f>SUMIF(DATA!$A:$A,PPL!$A56,DATA!C:C)</f>
        <v>598</v>
      </c>
      <c r="F56">
        <f>SUMIF(DATA!$A:$A,PPL!$A56,DATA!D:D)</f>
        <v>6</v>
      </c>
      <c r="G56">
        <f>SUMIF(DATA!$A:$A,PPL!$A56,DATA!E:E)</f>
        <v>16</v>
      </c>
      <c r="H56">
        <f>SUMIF(DATA!$A:$A,PPL!$A56,DATA!F:F)</f>
        <v>489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87</v>
      </c>
      <c r="L56">
        <f>SUMIF(DATA!$A:$A,PPL!$A56,DATA!J:J)</f>
        <v>0</v>
      </c>
      <c r="M56">
        <f t="shared" si="0"/>
        <v>109</v>
      </c>
    </row>
    <row r="57" spans="1:13" x14ac:dyDescent="0.25">
      <c r="A57" t="s">
        <v>60</v>
      </c>
      <c r="B57" t="s">
        <v>302</v>
      </c>
      <c r="C57" t="s">
        <v>170</v>
      </c>
      <c r="D57" t="s">
        <v>196</v>
      </c>
      <c r="E57">
        <f>SUMIF(DATA!$A:$A,PPL!$A57,DATA!C:C)</f>
        <v>604</v>
      </c>
      <c r="F57">
        <f>SUMIF(DATA!$A:$A,PPL!$A57,DATA!D:D)</f>
        <v>6</v>
      </c>
      <c r="G57">
        <f>SUMIF(DATA!$A:$A,PPL!$A57,DATA!E:E)</f>
        <v>16</v>
      </c>
      <c r="H57">
        <f>SUMIF(DATA!$A:$A,PPL!$A57,DATA!F:F)</f>
        <v>527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55</v>
      </c>
      <c r="L57">
        <f>SUMIF(DATA!$A:$A,PPL!$A57,DATA!J:J)</f>
        <v>0</v>
      </c>
      <c r="M57">
        <f t="shared" si="0"/>
        <v>77</v>
      </c>
    </row>
    <row r="58" spans="1:13" x14ac:dyDescent="0.25">
      <c r="A58" t="s">
        <v>61</v>
      </c>
      <c r="B58" t="s">
        <v>303</v>
      </c>
      <c r="C58" t="s">
        <v>170</v>
      </c>
      <c r="D58" t="s">
        <v>196</v>
      </c>
      <c r="E58">
        <f>SUMIF(DATA!$A:$A,PPL!$A58,DATA!C:C)</f>
        <v>604</v>
      </c>
      <c r="F58">
        <f>SUMIF(DATA!$A:$A,PPL!$A58,DATA!D:D)</f>
        <v>11</v>
      </c>
      <c r="G58">
        <f>SUMIF(DATA!$A:$A,PPL!$A58,DATA!E:E)</f>
        <v>9</v>
      </c>
      <c r="H58">
        <f>SUMIF(DATA!$A:$A,PPL!$A58,DATA!F:F)</f>
        <v>527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56</v>
      </c>
      <c r="L58">
        <f>SUMIF(DATA!$A:$A,PPL!$A58,DATA!J:J)</f>
        <v>0</v>
      </c>
      <c r="M58">
        <f t="shared" si="0"/>
        <v>77</v>
      </c>
    </row>
    <row r="59" spans="1:13" x14ac:dyDescent="0.25">
      <c r="A59" t="s">
        <v>62</v>
      </c>
      <c r="B59" t="s">
        <v>304</v>
      </c>
      <c r="C59" t="s">
        <v>170</v>
      </c>
      <c r="D59" t="s">
        <v>196</v>
      </c>
      <c r="E59">
        <f>SUMIF(DATA!$A:$A,PPL!$A59,DATA!C:C)</f>
        <v>640</v>
      </c>
      <c r="F59">
        <f>SUMIF(DATA!$A:$A,PPL!$A59,DATA!D:D)</f>
        <v>0</v>
      </c>
      <c r="G59">
        <f>SUMIF(DATA!$A:$A,PPL!$A59,DATA!E:E)</f>
        <v>9</v>
      </c>
      <c r="H59">
        <f>SUMIF(DATA!$A:$A,PPL!$A59,DATA!F:F)</f>
        <v>596</v>
      </c>
      <c r="I59">
        <f>SUMIF(DATA!$A:$A,PPL!$A59,DATA!G:G)</f>
        <v>13</v>
      </c>
      <c r="J59">
        <f>SUMIF(DATA!$A:$A,PPL!$A59,DATA!H:H)</f>
        <v>0</v>
      </c>
      <c r="K59">
        <f>SUMIF(DATA!$A:$A,PPL!$A59,DATA!I:I)</f>
        <v>22</v>
      </c>
      <c r="L59">
        <f>SUMIF(DATA!$A:$A,PPL!$A59,DATA!J:J)</f>
        <v>0</v>
      </c>
      <c r="M59">
        <f t="shared" si="0"/>
        <v>44</v>
      </c>
    </row>
    <row r="60" spans="1:13" x14ac:dyDescent="0.25">
      <c r="A60" t="s">
        <v>63</v>
      </c>
      <c r="B60" t="s">
        <v>305</v>
      </c>
      <c r="C60" t="s">
        <v>168</v>
      </c>
      <c r="D60" t="s">
        <v>197</v>
      </c>
      <c r="E60">
        <f>SUMIF(DATA!$A:$A,PPL!$A60,DATA!C:C)</f>
        <v>542</v>
      </c>
      <c r="F60">
        <f>SUMIF(DATA!$A:$A,PPL!$A60,DATA!D:D)</f>
        <v>0</v>
      </c>
      <c r="G60">
        <f>SUMIF(DATA!$A:$A,PPL!$A60,DATA!E:E)</f>
        <v>14</v>
      </c>
      <c r="H60">
        <f>SUMIF(DATA!$A:$A,PPL!$A60,DATA!F:F)</f>
        <v>487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40</v>
      </c>
      <c r="L60">
        <f>SUMIF(DATA!$A:$A,PPL!$A60,DATA!J:J)</f>
        <v>0</v>
      </c>
      <c r="M60">
        <f t="shared" si="0"/>
        <v>55</v>
      </c>
    </row>
    <row r="61" spans="1:13" x14ac:dyDescent="0.25">
      <c r="A61" t="s">
        <v>64</v>
      </c>
      <c r="B61" t="s">
        <v>306</v>
      </c>
      <c r="C61" t="s">
        <v>170</v>
      </c>
      <c r="D61" t="s">
        <v>196</v>
      </c>
      <c r="E61">
        <f>SUMIF(DATA!$A:$A,PPL!$A61,DATA!C:C)</f>
        <v>596</v>
      </c>
      <c r="F61">
        <f>SUMIF(DATA!$A:$A,PPL!$A61,DATA!D:D)</f>
        <v>0</v>
      </c>
      <c r="G61">
        <f>SUMIF(DATA!$A:$A,PPL!$A61,DATA!E:E)</f>
        <v>10</v>
      </c>
      <c r="H61">
        <f>SUMIF(DATA!$A:$A,PPL!$A61,DATA!F:F)</f>
        <v>505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81</v>
      </c>
      <c r="L61">
        <f>SUMIF(DATA!$A:$A,PPL!$A61,DATA!J:J)</f>
        <v>0</v>
      </c>
      <c r="M61">
        <f t="shared" si="0"/>
        <v>91</v>
      </c>
    </row>
    <row r="62" spans="1:13" x14ac:dyDescent="0.25">
      <c r="A62" t="s">
        <v>65</v>
      </c>
      <c r="B62" t="s">
        <v>307</v>
      </c>
      <c r="C62" t="s">
        <v>169</v>
      </c>
      <c r="D62" t="s">
        <v>199</v>
      </c>
      <c r="E62">
        <f>SUMIF(DATA!$A:$A,PPL!$A62,DATA!C:C)</f>
        <v>570</v>
      </c>
      <c r="F62">
        <f>SUMIF(DATA!$A:$A,PPL!$A62,DATA!D:D)</f>
        <v>0</v>
      </c>
      <c r="G62">
        <f>SUMIF(DATA!$A:$A,PPL!$A62,DATA!E:E)</f>
        <v>8</v>
      </c>
      <c r="H62">
        <f>SUMIF(DATA!$A:$A,PPL!$A62,DATA!F:F)</f>
        <v>513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49</v>
      </c>
      <c r="L62">
        <f>SUMIF(DATA!$A:$A,PPL!$A62,DATA!J:J)</f>
        <v>0</v>
      </c>
      <c r="M62">
        <f t="shared" si="0"/>
        <v>57</v>
      </c>
    </row>
    <row r="63" spans="1:13" x14ac:dyDescent="0.25">
      <c r="A63" t="s">
        <v>66</v>
      </c>
      <c r="B63" t="s">
        <v>308</v>
      </c>
      <c r="C63" t="s">
        <v>169</v>
      </c>
      <c r="D63" t="s">
        <v>199</v>
      </c>
      <c r="E63">
        <f>SUMIF(DATA!$A:$A,PPL!$A63,DATA!C:C)</f>
        <v>596</v>
      </c>
      <c r="F63">
        <f>SUMIF(DATA!$A:$A,PPL!$A63,DATA!D:D)</f>
        <v>0</v>
      </c>
      <c r="G63">
        <f>SUMIF(DATA!$A:$A,PPL!$A63,DATA!E:E)</f>
        <v>1</v>
      </c>
      <c r="H63">
        <f>SUMIF(DATA!$A:$A,PPL!$A63,DATA!F:F)</f>
        <v>500</v>
      </c>
      <c r="I63">
        <f>SUMIF(DATA!$A:$A,PPL!$A63,DATA!G:G)</f>
        <v>8</v>
      </c>
      <c r="J63">
        <f>SUMIF(DATA!$A:$A,PPL!$A63,DATA!H:H)</f>
        <v>0</v>
      </c>
      <c r="K63">
        <f>SUMIF(DATA!$A:$A,PPL!$A63,DATA!I:I)</f>
        <v>87</v>
      </c>
      <c r="L63">
        <f>SUMIF(DATA!$A:$A,PPL!$A63,DATA!J:J)</f>
        <v>0</v>
      </c>
      <c r="M63">
        <f t="shared" si="0"/>
        <v>96</v>
      </c>
    </row>
    <row r="64" spans="1:13" x14ac:dyDescent="0.25">
      <c r="A64" t="s">
        <v>67</v>
      </c>
      <c r="B64" t="s">
        <v>309</v>
      </c>
      <c r="C64" t="s">
        <v>169</v>
      </c>
      <c r="D64" t="s">
        <v>199</v>
      </c>
      <c r="E64">
        <f>SUMIF(DATA!$A:$A,PPL!$A64,DATA!C:C)</f>
        <v>580</v>
      </c>
      <c r="F64">
        <f>SUMIF(DATA!$A:$A,PPL!$A64,DATA!D:D)</f>
        <v>0</v>
      </c>
      <c r="G64">
        <f>SUMIF(DATA!$A:$A,PPL!$A64,DATA!E:E)</f>
        <v>22</v>
      </c>
      <c r="H64">
        <f>SUMIF(DATA!$A:$A,PPL!$A64,DATA!F:F)</f>
        <v>459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98</v>
      </c>
      <c r="L64">
        <f>SUMIF(DATA!$A:$A,PPL!$A64,DATA!J:J)</f>
        <v>0</v>
      </c>
      <c r="M64">
        <f t="shared" si="0"/>
        <v>121</v>
      </c>
    </row>
    <row r="65" spans="1:13" x14ac:dyDescent="0.25">
      <c r="A65" t="s">
        <v>68</v>
      </c>
      <c r="B65" t="s">
        <v>310</v>
      </c>
      <c r="C65" t="s">
        <v>169</v>
      </c>
      <c r="D65" t="s">
        <v>199</v>
      </c>
      <c r="E65">
        <f>SUMIF(DATA!$A:$A,PPL!$A65,DATA!C:C)</f>
        <v>622</v>
      </c>
      <c r="F65">
        <f>SUMIF(DATA!$A:$A,PPL!$A65,DATA!D:D)</f>
        <v>0</v>
      </c>
      <c r="G65">
        <f>SUMIF(DATA!$A:$A,PPL!$A65,DATA!E:E)</f>
        <v>14</v>
      </c>
      <c r="H65">
        <f>SUMIF(DATA!$A:$A,PPL!$A65,DATA!F:F)</f>
        <v>518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90</v>
      </c>
      <c r="L65">
        <f>SUMIF(DATA!$A:$A,PPL!$A65,DATA!J:J)</f>
        <v>0</v>
      </c>
      <c r="M65">
        <f t="shared" si="0"/>
        <v>104</v>
      </c>
    </row>
    <row r="66" spans="1:13" x14ac:dyDescent="0.25">
      <c r="A66" t="s">
        <v>69</v>
      </c>
      <c r="B66" t="s">
        <v>311</v>
      </c>
      <c r="C66" t="s">
        <v>168</v>
      </c>
      <c r="D66" t="s">
        <v>197</v>
      </c>
      <c r="E66">
        <f>SUMIF(DATA!$A:$A,PPL!$A66,DATA!C:C)</f>
        <v>605</v>
      </c>
      <c r="F66">
        <f>SUMIF(DATA!$A:$A,PPL!$A66,DATA!D:D)</f>
        <v>0</v>
      </c>
      <c r="G66">
        <f>SUMIF(DATA!$A:$A,PPL!$A66,DATA!E:E)</f>
        <v>16</v>
      </c>
      <c r="H66">
        <f>SUMIF(DATA!$A:$A,PPL!$A66,DATA!F:F)</f>
        <v>523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66</v>
      </c>
      <c r="L66">
        <f>SUMIF(DATA!$A:$A,PPL!$A66,DATA!J:J)</f>
        <v>0</v>
      </c>
      <c r="M66">
        <f t="shared" si="0"/>
        <v>82</v>
      </c>
    </row>
    <row r="67" spans="1:13" x14ac:dyDescent="0.25">
      <c r="A67" t="s">
        <v>70</v>
      </c>
      <c r="B67" t="s">
        <v>312</v>
      </c>
      <c r="C67" t="s">
        <v>169</v>
      </c>
      <c r="D67" t="s">
        <v>199</v>
      </c>
      <c r="E67">
        <f>SUMIF(DATA!$A:$A,PPL!$A67,DATA!C:C)</f>
        <v>564</v>
      </c>
      <c r="F67">
        <f>SUMIF(DATA!$A:$A,PPL!$A67,DATA!D:D)</f>
        <v>0</v>
      </c>
      <c r="G67">
        <f>SUMIF(DATA!$A:$A,PPL!$A67,DATA!E:E)</f>
        <v>4</v>
      </c>
      <c r="H67">
        <f>SUMIF(DATA!$A:$A,PPL!$A67,DATA!F:F)</f>
        <v>479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81</v>
      </c>
      <c r="L67">
        <f>SUMIF(DATA!$A:$A,PPL!$A67,DATA!J:J)</f>
        <v>0</v>
      </c>
      <c r="M67">
        <f t="shared" ref="M67:M130" si="1">F67+G67+I67+J67+K67+L67</f>
        <v>85</v>
      </c>
    </row>
    <row r="68" spans="1:13" x14ac:dyDescent="0.25">
      <c r="A68" t="s">
        <v>71</v>
      </c>
      <c r="B68" t="s">
        <v>313</v>
      </c>
      <c r="C68" t="s">
        <v>169</v>
      </c>
      <c r="D68" t="s">
        <v>199</v>
      </c>
      <c r="E68">
        <f>SUMIF(DATA!$A:$A,PPL!$A68,DATA!C:C)</f>
        <v>629</v>
      </c>
      <c r="F68">
        <f>SUMIF(DATA!$A:$A,PPL!$A68,DATA!D:D)</f>
        <v>0</v>
      </c>
      <c r="G68">
        <f>SUMIF(DATA!$A:$A,PPL!$A68,DATA!E:E)</f>
        <v>9</v>
      </c>
      <c r="H68">
        <f>SUMIF(DATA!$A:$A,PPL!$A68,DATA!F:F)</f>
        <v>548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72</v>
      </c>
      <c r="L68">
        <f>SUMIF(DATA!$A:$A,PPL!$A68,DATA!J:J)</f>
        <v>0</v>
      </c>
      <c r="M68">
        <f t="shared" si="1"/>
        <v>81</v>
      </c>
    </row>
    <row r="69" spans="1:13" x14ac:dyDescent="0.25">
      <c r="A69" t="s">
        <v>72</v>
      </c>
      <c r="B69" t="s">
        <v>314</v>
      </c>
      <c r="C69" t="s">
        <v>169</v>
      </c>
      <c r="D69" t="s">
        <v>199</v>
      </c>
      <c r="E69">
        <f>SUMIF(DATA!$A:$A,PPL!$A69,DATA!C:C)</f>
        <v>559</v>
      </c>
      <c r="F69">
        <f>SUMIF(DATA!$A:$A,PPL!$A69,DATA!D:D)</f>
        <v>0</v>
      </c>
      <c r="G69">
        <f>SUMIF(DATA!$A:$A,PPL!$A69,DATA!E:E)</f>
        <v>14</v>
      </c>
      <c r="H69">
        <f>SUMIF(DATA!$A:$A,PPL!$A69,DATA!F:F)</f>
        <v>455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90</v>
      </c>
      <c r="L69">
        <f>SUMIF(DATA!$A:$A,PPL!$A69,DATA!J:J)</f>
        <v>0</v>
      </c>
      <c r="M69">
        <f t="shared" si="1"/>
        <v>104</v>
      </c>
    </row>
    <row r="70" spans="1:13" x14ac:dyDescent="0.25">
      <c r="A70" t="s">
        <v>73</v>
      </c>
      <c r="B70" t="s">
        <v>315</v>
      </c>
      <c r="C70" t="s">
        <v>168</v>
      </c>
      <c r="D70" t="s">
        <v>197</v>
      </c>
      <c r="E70">
        <f>SUMIF(DATA!$A:$A,PPL!$A70,DATA!C:C)</f>
        <v>575</v>
      </c>
      <c r="F70">
        <f>SUMIF(DATA!$A:$A,PPL!$A70,DATA!D:D)</f>
        <v>0</v>
      </c>
      <c r="G70">
        <f>SUMIF(DATA!$A:$A,PPL!$A70,DATA!E:E)</f>
        <v>15</v>
      </c>
      <c r="H70">
        <f>SUMIF(DATA!$A:$A,PPL!$A70,DATA!F:F)</f>
        <v>507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53</v>
      </c>
      <c r="L70">
        <f>SUMIF(DATA!$A:$A,PPL!$A70,DATA!J:J)</f>
        <v>0</v>
      </c>
      <c r="M70">
        <f t="shared" si="1"/>
        <v>68</v>
      </c>
    </row>
    <row r="71" spans="1:13" x14ac:dyDescent="0.25">
      <c r="A71" t="s">
        <v>74</v>
      </c>
      <c r="B71" t="s">
        <v>316</v>
      </c>
      <c r="C71" t="s">
        <v>171</v>
      </c>
      <c r="D71" t="s">
        <v>195</v>
      </c>
      <c r="E71">
        <f>SUMIF(DATA!$A:$A,PPL!$A71,DATA!C:C)</f>
        <v>470</v>
      </c>
      <c r="F71">
        <f>SUMIF(DATA!$A:$A,PPL!$A71,DATA!D:D)</f>
        <v>23</v>
      </c>
      <c r="G71">
        <f>SUMIF(DATA!$A:$A,PPL!$A71,DATA!E:E)</f>
        <v>7</v>
      </c>
      <c r="H71">
        <f>SUMIF(DATA!$A:$A,PPL!$A71,DATA!F:F)</f>
        <v>411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29</v>
      </c>
      <c r="L71">
        <f>SUMIF(DATA!$A:$A,PPL!$A71,DATA!J:J)</f>
        <v>0</v>
      </c>
      <c r="M71">
        <f t="shared" si="1"/>
        <v>59</v>
      </c>
    </row>
    <row r="72" spans="1:13" x14ac:dyDescent="0.25">
      <c r="A72" t="s">
        <v>75</v>
      </c>
      <c r="B72" t="s">
        <v>317</v>
      </c>
      <c r="C72" t="s">
        <v>171</v>
      </c>
      <c r="D72" t="s">
        <v>195</v>
      </c>
      <c r="E72">
        <f>SUMIF(DATA!$A:$A,PPL!$A72,DATA!C:C)</f>
        <v>450</v>
      </c>
      <c r="F72">
        <f>SUMIF(DATA!$A:$A,PPL!$A72,DATA!D:D)</f>
        <v>7</v>
      </c>
      <c r="G72">
        <f>SUMIF(DATA!$A:$A,PPL!$A72,DATA!E:E)</f>
        <v>22</v>
      </c>
      <c r="H72">
        <f>SUMIF(DATA!$A:$A,PPL!$A72,DATA!F:F)</f>
        <v>396</v>
      </c>
      <c r="I72">
        <f>SUMIF(DATA!$A:$A,PPL!$A72,DATA!G:G)</f>
        <v>5</v>
      </c>
      <c r="J72">
        <f>SUMIF(DATA!$A:$A,PPL!$A72,DATA!H:H)</f>
        <v>0</v>
      </c>
      <c r="K72">
        <f>SUMIF(DATA!$A:$A,PPL!$A72,DATA!I:I)</f>
        <v>20</v>
      </c>
      <c r="L72">
        <f>SUMIF(DATA!$A:$A,PPL!$A72,DATA!J:J)</f>
        <v>0</v>
      </c>
      <c r="M72">
        <f t="shared" si="1"/>
        <v>54</v>
      </c>
    </row>
    <row r="73" spans="1:13" x14ac:dyDescent="0.25">
      <c r="A73" t="s">
        <v>76</v>
      </c>
      <c r="B73" t="s">
        <v>318</v>
      </c>
      <c r="C73" t="s">
        <v>171</v>
      </c>
      <c r="D73" t="s">
        <v>195</v>
      </c>
      <c r="E73">
        <f>SUMIF(DATA!$A:$A,PPL!$A73,DATA!C:C)</f>
        <v>469</v>
      </c>
      <c r="F73">
        <f>SUMIF(DATA!$A:$A,PPL!$A73,DATA!D:D)</f>
        <v>4</v>
      </c>
      <c r="G73">
        <f>SUMIF(DATA!$A:$A,PPL!$A73,DATA!E:E)</f>
        <v>18</v>
      </c>
      <c r="H73">
        <f>SUMIF(DATA!$A:$A,PPL!$A73,DATA!F:F)</f>
        <v>411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36</v>
      </c>
      <c r="L73">
        <f>SUMIF(DATA!$A:$A,PPL!$A73,DATA!J:J)</f>
        <v>0</v>
      </c>
      <c r="M73">
        <f t="shared" si="1"/>
        <v>58</v>
      </c>
    </row>
    <row r="74" spans="1:13" x14ac:dyDescent="0.25">
      <c r="A74" t="s">
        <v>77</v>
      </c>
      <c r="B74" t="s">
        <v>319</v>
      </c>
      <c r="C74" t="s">
        <v>171</v>
      </c>
      <c r="D74" t="s">
        <v>195</v>
      </c>
      <c r="E74">
        <f>SUMIF(DATA!$A:$A,PPL!$A74,DATA!C:C)</f>
        <v>432</v>
      </c>
      <c r="F74">
        <f>SUMIF(DATA!$A:$A,PPL!$A74,DATA!D:D)</f>
        <v>35</v>
      </c>
      <c r="G74">
        <f>SUMIF(DATA!$A:$A,PPL!$A74,DATA!E:E)</f>
        <v>20</v>
      </c>
      <c r="H74">
        <f>SUMIF(DATA!$A:$A,PPL!$A74,DATA!F:F)</f>
        <v>342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35</v>
      </c>
      <c r="L74">
        <f>SUMIF(DATA!$A:$A,PPL!$A74,DATA!J:J)</f>
        <v>0</v>
      </c>
      <c r="M74">
        <f t="shared" si="1"/>
        <v>90</v>
      </c>
    </row>
    <row r="75" spans="1:13" x14ac:dyDescent="0.25">
      <c r="A75" t="s">
        <v>78</v>
      </c>
      <c r="B75" t="s">
        <v>320</v>
      </c>
      <c r="C75" t="s">
        <v>171</v>
      </c>
      <c r="D75" t="s">
        <v>195</v>
      </c>
      <c r="E75">
        <f>SUMIF(DATA!$A:$A,PPL!$A75,DATA!C:C)</f>
        <v>525</v>
      </c>
      <c r="F75">
        <f>SUMIF(DATA!$A:$A,PPL!$A75,DATA!D:D)</f>
        <v>7</v>
      </c>
      <c r="G75">
        <f>SUMIF(DATA!$A:$A,PPL!$A75,DATA!E:E)</f>
        <v>21</v>
      </c>
      <c r="H75">
        <f>SUMIF(DATA!$A:$A,PPL!$A75,DATA!F:F)</f>
        <v>463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34</v>
      </c>
      <c r="L75">
        <f>SUMIF(DATA!$A:$A,PPL!$A75,DATA!J:J)</f>
        <v>0</v>
      </c>
      <c r="M75">
        <f t="shared" si="1"/>
        <v>62</v>
      </c>
    </row>
    <row r="76" spans="1:13" x14ac:dyDescent="0.25">
      <c r="A76" t="s">
        <v>79</v>
      </c>
      <c r="B76" t="s">
        <v>321</v>
      </c>
      <c r="C76" t="s">
        <v>171</v>
      </c>
      <c r="D76" t="s">
        <v>195</v>
      </c>
      <c r="E76">
        <f>SUMIF(DATA!$A:$A,PPL!$A76,DATA!C:C)</f>
        <v>467</v>
      </c>
      <c r="F76">
        <f>SUMIF(DATA!$A:$A,PPL!$A76,DATA!D:D)</f>
        <v>4</v>
      </c>
      <c r="G76">
        <f>SUMIF(DATA!$A:$A,PPL!$A76,DATA!E:E)</f>
        <v>13</v>
      </c>
      <c r="H76">
        <f>SUMIF(DATA!$A:$A,PPL!$A76,DATA!F:F)</f>
        <v>435</v>
      </c>
      <c r="I76">
        <f>SUMIF(DATA!$A:$A,PPL!$A76,DATA!G:G)</f>
        <v>3</v>
      </c>
      <c r="J76">
        <f>SUMIF(DATA!$A:$A,PPL!$A76,DATA!H:H)</f>
        <v>0</v>
      </c>
      <c r="K76">
        <f>SUMIF(DATA!$A:$A,PPL!$A76,DATA!I:I)</f>
        <v>12</v>
      </c>
      <c r="L76">
        <f>SUMIF(DATA!$A:$A,PPL!$A76,DATA!J:J)</f>
        <v>0</v>
      </c>
      <c r="M76">
        <f t="shared" si="1"/>
        <v>32</v>
      </c>
    </row>
    <row r="77" spans="1:13" x14ac:dyDescent="0.25">
      <c r="A77" t="s">
        <v>80</v>
      </c>
      <c r="B77" t="s">
        <v>322</v>
      </c>
      <c r="C77" t="s">
        <v>171</v>
      </c>
      <c r="D77" t="s">
        <v>195</v>
      </c>
      <c r="E77">
        <f>SUMIF(DATA!$A:$A,PPL!$A77,DATA!C:C)</f>
        <v>467</v>
      </c>
      <c r="F77">
        <f>SUMIF(DATA!$A:$A,PPL!$A77,DATA!D:D)</f>
        <v>0</v>
      </c>
      <c r="G77">
        <f>SUMIF(DATA!$A:$A,PPL!$A77,DATA!E:E)</f>
        <v>3</v>
      </c>
      <c r="H77">
        <f>SUMIF(DATA!$A:$A,PPL!$A77,DATA!F:F)</f>
        <v>415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49</v>
      </c>
      <c r="L77">
        <f>SUMIF(DATA!$A:$A,PPL!$A77,DATA!J:J)</f>
        <v>0</v>
      </c>
      <c r="M77">
        <f t="shared" si="1"/>
        <v>52</v>
      </c>
    </row>
    <row r="78" spans="1:13" x14ac:dyDescent="0.25">
      <c r="A78" t="s">
        <v>81</v>
      </c>
      <c r="B78" t="s">
        <v>323</v>
      </c>
      <c r="C78" t="s">
        <v>171</v>
      </c>
      <c r="D78" t="s">
        <v>195</v>
      </c>
      <c r="E78">
        <f>SUMIF(DATA!$A:$A,PPL!$A78,DATA!C:C)</f>
        <v>490</v>
      </c>
      <c r="F78">
        <f>SUMIF(DATA!$A:$A,PPL!$A78,DATA!D:D)</f>
        <v>0</v>
      </c>
      <c r="G78">
        <f>SUMIF(DATA!$A:$A,PPL!$A78,DATA!E:E)</f>
        <v>4</v>
      </c>
      <c r="H78">
        <f>SUMIF(DATA!$A:$A,PPL!$A78,DATA!F:F)</f>
        <v>444</v>
      </c>
      <c r="I78">
        <f>SUMIF(DATA!$A:$A,PPL!$A78,DATA!G:G)</f>
        <v>1</v>
      </c>
      <c r="J78">
        <f>SUMIF(DATA!$A:$A,PPL!$A78,DATA!H:H)</f>
        <v>0</v>
      </c>
      <c r="K78">
        <f>SUMIF(DATA!$A:$A,PPL!$A78,DATA!I:I)</f>
        <v>41</v>
      </c>
      <c r="L78">
        <f>SUMIF(DATA!$A:$A,PPL!$A78,DATA!J:J)</f>
        <v>0</v>
      </c>
      <c r="M78">
        <f t="shared" si="1"/>
        <v>46</v>
      </c>
    </row>
    <row r="79" spans="1:13" x14ac:dyDescent="0.25">
      <c r="A79" t="s">
        <v>82</v>
      </c>
      <c r="B79" t="s">
        <v>324</v>
      </c>
      <c r="C79" t="s">
        <v>172</v>
      </c>
      <c r="D79" t="s">
        <v>193</v>
      </c>
      <c r="E79">
        <f>SUMIF(DATA!$A:$A,PPL!$A79,DATA!C:C)</f>
        <v>424</v>
      </c>
      <c r="F79">
        <f>SUMIF(DATA!$A:$A,PPL!$A79,DATA!D:D)</f>
        <v>0</v>
      </c>
      <c r="G79">
        <f>SUMIF(DATA!$A:$A,PPL!$A79,DATA!E:E)</f>
        <v>10</v>
      </c>
      <c r="H79">
        <f>SUMIF(DATA!$A:$A,PPL!$A79,DATA!F:F)</f>
        <v>374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40</v>
      </c>
      <c r="L79">
        <f>SUMIF(DATA!$A:$A,PPL!$A79,DATA!J:J)</f>
        <v>0</v>
      </c>
      <c r="M79">
        <f t="shared" si="1"/>
        <v>50</v>
      </c>
    </row>
    <row r="80" spans="1:13" x14ac:dyDescent="0.25">
      <c r="A80" t="s">
        <v>83</v>
      </c>
      <c r="B80" t="s">
        <v>325</v>
      </c>
      <c r="C80" t="s">
        <v>172</v>
      </c>
      <c r="D80" t="s">
        <v>193</v>
      </c>
      <c r="E80">
        <f>SUMIF(DATA!$A:$A,PPL!$A80,DATA!C:C)</f>
        <v>420</v>
      </c>
      <c r="F80">
        <f>SUMIF(DATA!$A:$A,PPL!$A80,DATA!D:D)</f>
        <v>0</v>
      </c>
      <c r="G80">
        <f>SUMIF(DATA!$A:$A,PPL!$A80,DATA!E:E)</f>
        <v>4</v>
      </c>
      <c r="H80">
        <f>SUMIF(DATA!$A:$A,PPL!$A80,DATA!F:F)</f>
        <v>363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53</v>
      </c>
      <c r="L80">
        <f>SUMIF(DATA!$A:$A,PPL!$A80,DATA!J:J)</f>
        <v>0</v>
      </c>
      <c r="M80">
        <f t="shared" si="1"/>
        <v>57</v>
      </c>
    </row>
    <row r="81" spans="1:13" x14ac:dyDescent="0.25">
      <c r="A81" t="s">
        <v>84</v>
      </c>
      <c r="B81" t="s">
        <v>326</v>
      </c>
      <c r="C81" t="s">
        <v>172</v>
      </c>
      <c r="D81" t="s">
        <v>193</v>
      </c>
      <c r="E81">
        <f>SUMIF(DATA!$A:$A,PPL!$A81,DATA!C:C)</f>
        <v>450</v>
      </c>
      <c r="F81">
        <f>SUMIF(DATA!$A:$A,PPL!$A81,DATA!D:D)</f>
        <v>0</v>
      </c>
      <c r="G81">
        <f>SUMIF(DATA!$A:$A,PPL!$A81,DATA!E:E)</f>
        <v>3</v>
      </c>
      <c r="H81">
        <f>SUMIF(DATA!$A:$A,PPL!$A81,DATA!F:F)</f>
        <v>408</v>
      </c>
      <c r="I81">
        <f>SUMIF(DATA!$A:$A,PPL!$A81,DATA!G:G)</f>
        <v>1</v>
      </c>
      <c r="J81">
        <f>SUMIF(DATA!$A:$A,PPL!$A81,DATA!H:H)</f>
        <v>0</v>
      </c>
      <c r="K81">
        <f>SUMIF(DATA!$A:$A,PPL!$A81,DATA!I:I)</f>
        <v>38</v>
      </c>
      <c r="L81">
        <f>SUMIF(DATA!$A:$A,PPL!$A81,DATA!J:J)</f>
        <v>0</v>
      </c>
      <c r="M81">
        <f t="shared" si="1"/>
        <v>42</v>
      </c>
    </row>
    <row r="82" spans="1:13" x14ac:dyDescent="0.25">
      <c r="A82" t="s">
        <v>85</v>
      </c>
      <c r="B82" t="s">
        <v>327</v>
      </c>
      <c r="C82" t="s">
        <v>172</v>
      </c>
      <c r="D82" t="s">
        <v>193</v>
      </c>
      <c r="E82">
        <f>SUMIF(DATA!$A:$A,PPL!$A82,DATA!C:C)</f>
        <v>425</v>
      </c>
      <c r="F82">
        <f>SUMIF(DATA!$A:$A,PPL!$A82,DATA!D:D)</f>
        <v>0</v>
      </c>
      <c r="G82">
        <f>SUMIF(DATA!$A:$A,PPL!$A82,DATA!E:E)</f>
        <v>2</v>
      </c>
      <c r="H82">
        <f>SUMIF(DATA!$A:$A,PPL!$A82,DATA!F:F)</f>
        <v>376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47</v>
      </c>
      <c r="L82">
        <f>SUMIF(DATA!$A:$A,PPL!$A82,DATA!J:J)</f>
        <v>0</v>
      </c>
      <c r="M82">
        <f t="shared" si="1"/>
        <v>49</v>
      </c>
    </row>
    <row r="83" spans="1:13" x14ac:dyDescent="0.25">
      <c r="A83" t="s">
        <v>86</v>
      </c>
      <c r="B83" t="s">
        <v>328</v>
      </c>
      <c r="C83" t="s">
        <v>172</v>
      </c>
      <c r="D83" t="s">
        <v>193</v>
      </c>
      <c r="E83">
        <f>SUMIF(DATA!$A:$A,PPL!$A83,DATA!C:C)</f>
        <v>423</v>
      </c>
      <c r="F83">
        <f>SUMIF(DATA!$A:$A,PPL!$A83,DATA!D:D)</f>
        <v>0</v>
      </c>
      <c r="G83">
        <f>SUMIF(DATA!$A:$A,PPL!$A83,DATA!E:E)</f>
        <v>6</v>
      </c>
      <c r="H83">
        <f>SUMIF(DATA!$A:$A,PPL!$A83,DATA!F:F)</f>
        <v>373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44</v>
      </c>
      <c r="L83">
        <f>SUMIF(DATA!$A:$A,PPL!$A83,DATA!J:J)</f>
        <v>0</v>
      </c>
      <c r="M83">
        <f t="shared" si="1"/>
        <v>50</v>
      </c>
    </row>
    <row r="84" spans="1:13" x14ac:dyDescent="0.25">
      <c r="A84" t="s">
        <v>87</v>
      </c>
      <c r="B84" t="s">
        <v>329</v>
      </c>
      <c r="C84" t="s">
        <v>172</v>
      </c>
      <c r="D84" t="s">
        <v>193</v>
      </c>
      <c r="E84">
        <f>SUMIF(DATA!$A:$A,PPL!$A84,DATA!C:C)</f>
        <v>391</v>
      </c>
      <c r="F84">
        <f>SUMIF(DATA!$A:$A,PPL!$A84,DATA!D:D)</f>
        <v>0</v>
      </c>
      <c r="G84">
        <f>SUMIF(DATA!$A:$A,PPL!$A84,DATA!E:E)</f>
        <v>2</v>
      </c>
      <c r="H84">
        <f>SUMIF(DATA!$A:$A,PPL!$A84,DATA!F:F)</f>
        <v>334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55</v>
      </c>
      <c r="L84">
        <f>SUMIF(DATA!$A:$A,PPL!$A84,DATA!J:J)</f>
        <v>0</v>
      </c>
      <c r="M84">
        <f t="shared" si="1"/>
        <v>57</v>
      </c>
    </row>
    <row r="85" spans="1:13" x14ac:dyDescent="0.25">
      <c r="A85" t="s">
        <v>88</v>
      </c>
      <c r="B85" t="s">
        <v>330</v>
      </c>
      <c r="C85" t="s">
        <v>172</v>
      </c>
      <c r="D85" t="s">
        <v>193</v>
      </c>
      <c r="E85">
        <f>SUMIF(DATA!$A:$A,PPL!$A85,DATA!C:C)</f>
        <v>414</v>
      </c>
      <c r="F85">
        <f>SUMIF(DATA!$A:$A,PPL!$A85,DATA!D:D)</f>
        <v>0</v>
      </c>
      <c r="G85">
        <f>SUMIF(DATA!$A:$A,PPL!$A85,DATA!E:E)</f>
        <v>3</v>
      </c>
      <c r="H85">
        <f>SUMIF(DATA!$A:$A,PPL!$A85,DATA!F:F)</f>
        <v>349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62</v>
      </c>
      <c r="L85">
        <f>SUMIF(DATA!$A:$A,PPL!$A85,DATA!J:J)</f>
        <v>0</v>
      </c>
      <c r="M85">
        <f t="shared" si="1"/>
        <v>65</v>
      </c>
    </row>
    <row r="86" spans="1:13" x14ac:dyDescent="0.25">
      <c r="A86" t="s">
        <v>89</v>
      </c>
      <c r="B86" t="s">
        <v>331</v>
      </c>
      <c r="C86" t="s">
        <v>172</v>
      </c>
      <c r="D86" t="s">
        <v>193</v>
      </c>
      <c r="E86">
        <f>SUMIF(DATA!$A:$A,PPL!$A86,DATA!C:C)</f>
        <v>396</v>
      </c>
      <c r="F86">
        <f>SUMIF(DATA!$A:$A,PPL!$A86,DATA!D:D)</f>
        <v>0</v>
      </c>
      <c r="G86">
        <f>SUMIF(DATA!$A:$A,PPL!$A86,DATA!E:E)</f>
        <v>0</v>
      </c>
      <c r="H86">
        <f>SUMIF(DATA!$A:$A,PPL!$A86,DATA!F:F)</f>
        <v>351</v>
      </c>
      <c r="I86">
        <f>SUMIF(DATA!$A:$A,PPL!$A86,DATA!G:G)</f>
        <v>7</v>
      </c>
      <c r="J86">
        <f>SUMIF(DATA!$A:$A,PPL!$A86,DATA!H:H)</f>
        <v>0</v>
      </c>
      <c r="K86">
        <f>SUMIF(DATA!$A:$A,PPL!$A86,DATA!I:I)</f>
        <v>38</v>
      </c>
      <c r="L86">
        <f>SUMIF(DATA!$A:$A,PPL!$A86,DATA!J:J)</f>
        <v>0</v>
      </c>
      <c r="M86">
        <f t="shared" si="1"/>
        <v>45</v>
      </c>
    </row>
    <row r="87" spans="1:13" x14ac:dyDescent="0.25">
      <c r="A87" t="s">
        <v>90</v>
      </c>
      <c r="B87" t="s">
        <v>332</v>
      </c>
      <c r="C87" t="s">
        <v>173</v>
      </c>
      <c r="D87" t="s">
        <v>186</v>
      </c>
      <c r="E87">
        <f>SUMIF(DATA!$A:$A,PPL!$A87,DATA!C:C)</f>
        <v>636</v>
      </c>
      <c r="F87">
        <f>SUMIF(DATA!$A:$A,PPL!$A87,DATA!D:D)</f>
        <v>27</v>
      </c>
      <c r="G87">
        <f>SUMIF(DATA!$A:$A,PPL!$A87,DATA!E:E)</f>
        <v>2</v>
      </c>
      <c r="H87">
        <f>SUMIF(DATA!$A:$A,PPL!$A87,DATA!F:F)</f>
        <v>564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43</v>
      </c>
      <c r="L87">
        <f>SUMIF(DATA!$A:$A,PPL!$A87,DATA!J:J)</f>
        <v>0</v>
      </c>
      <c r="M87">
        <f t="shared" si="1"/>
        <v>72</v>
      </c>
    </row>
    <row r="88" spans="1:13" x14ac:dyDescent="0.25">
      <c r="A88" t="s">
        <v>91</v>
      </c>
      <c r="B88" t="s">
        <v>333</v>
      </c>
      <c r="C88" t="s">
        <v>174</v>
      </c>
      <c r="D88" t="s">
        <v>185</v>
      </c>
      <c r="E88">
        <f>SUMIF(DATA!$A:$A,PPL!$A88,DATA!C:C)</f>
        <v>611</v>
      </c>
      <c r="F88">
        <f>SUMIF(DATA!$A:$A,PPL!$A88,DATA!D:D)</f>
        <v>6</v>
      </c>
      <c r="G88">
        <f>SUMIF(DATA!$A:$A,PPL!$A88,DATA!E:E)</f>
        <v>2</v>
      </c>
      <c r="H88">
        <f>SUMIF(DATA!$A:$A,PPL!$A88,DATA!F:F)</f>
        <v>503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100</v>
      </c>
      <c r="L88">
        <f>SUMIF(DATA!$A:$A,PPL!$A88,DATA!J:J)</f>
        <v>0</v>
      </c>
      <c r="M88">
        <f t="shared" si="1"/>
        <v>108</v>
      </c>
    </row>
    <row r="89" spans="1:13" x14ac:dyDescent="0.25">
      <c r="A89" t="s">
        <v>92</v>
      </c>
      <c r="B89" t="s">
        <v>334</v>
      </c>
      <c r="C89" t="s">
        <v>175</v>
      </c>
      <c r="D89" t="s">
        <v>188</v>
      </c>
      <c r="E89">
        <f>SUMIF(DATA!$A:$A,PPL!$A89,DATA!C:C)</f>
        <v>563</v>
      </c>
      <c r="F89">
        <f>SUMIF(DATA!$A:$A,PPL!$A89,DATA!D:D)</f>
        <v>12</v>
      </c>
      <c r="G89">
        <f>SUMIF(DATA!$A:$A,PPL!$A89,DATA!E:E)</f>
        <v>28</v>
      </c>
      <c r="H89">
        <f>SUMIF(DATA!$A:$A,PPL!$A89,DATA!F:F)</f>
        <v>464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59</v>
      </c>
      <c r="L89">
        <f>SUMIF(DATA!$A:$A,PPL!$A89,DATA!J:J)</f>
        <v>0</v>
      </c>
      <c r="M89">
        <f t="shared" si="1"/>
        <v>99</v>
      </c>
    </row>
    <row r="90" spans="1:13" x14ac:dyDescent="0.25">
      <c r="A90" t="s">
        <v>93</v>
      </c>
      <c r="B90" t="s">
        <v>335</v>
      </c>
      <c r="C90" t="s">
        <v>173</v>
      </c>
      <c r="D90" t="s">
        <v>186</v>
      </c>
      <c r="E90">
        <f>SUMIF(DATA!$A:$A,PPL!$A90,DATA!C:C)</f>
        <v>579</v>
      </c>
      <c r="F90">
        <f>SUMIF(DATA!$A:$A,PPL!$A90,DATA!D:D)</f>
        <v>10</v>
      </c>
      <c r="G90">
        <f>SUMIF(DATA!$A:$A,PPL!$A90,DATA!E:E)</f>
        <v>38</v>
      </c>
      <c r="H90">
        <f>SUMIF(DATA!$A:$A,PPL!$A90,DATA!F:F)</f>
        <v>511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20</v>
      </c>
      <c r="L90">
        <f>SUMIF(DATA!$A:$A,PPL!$A90,DATA!J:J)</f>
        <v>0</v>
      </c>
      <c r="M90">
        <f t="shared" si="1"/>
        <v>68</v>
      </c>
    </row>
    <row r="91" spans="1:13" x14ac:dyDescent="0.25">
      <c r="A91" t="s">
        <v>94</v>
      </c>
      <c r="B91" t="s">
        <v>336</v>
      </c>
      <c r="C91" t="s">
        <v>174</v>
      </c>
      <c r="D91" t="s">
        <v>185</v>
      </c>
      <c r="E91">
        <f>SUMIF(DATA!$A:$A,PPL!$A91,DATA!C:C)</f>
        <v>548</v>
      </c>
      <c r="F91">
        <f>SUMIF(DATA!$A:$A,PPL!$A91,DATA!D:D)</f>
        <v>0</v>
      </c>
      <c r="G91">
        <f>SUMIF(DATA!$A:$A,PPL!$A91,DATA!E:E)</f>
        <v>22</v>
      </c>
      <c r="H91">
        <f>SUMIF(DATA!$A:$A,PPL!$A91,DATA!F:F)</f>
        <v>491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35</v>
      </c>
      <c r="L91">
        <f>SUMIF(DATA!$A:$A,PPL!$A91,DATA!J:J)</f>
        <v>0</v>
      </c>
      <c r="M91">
        <f t="shared" si="1"/>
        <v>57</v>
      </c>
    </row>
    <row r="92" spans="1:13" x14ac:dyDescent="0.25">
      <c r="A92" t="s">
        <v>95</v>
      </c>
      <c r="B92" t="s">
        <v>337</v>
      </c>
      <c r="C92" t="s">
        <v>173</v>
      </c>
      <c r="D92" t="s">
        <v>186</v>
      </c>
      <c r="E92">
        <f>SUMIF(DATA!$A:$A,PPL!$A92,DATA!C:C)</f>
        <v>574</v>
      </c>
      <c r="F92">
        <f>SUMIF(DATA!$A:$A,PPL!$A92,DATA!D:D)</f>
        <v>25</v>
      </c>
      <c r="G92">
        <f>SUMIF(DATA!$A:$A,PPL!$A92,DATA!E:E)</f>
        <v>10</v>
      </c>
      <c r="H92">
        <f>SUMIF(DATA!$A:$A,PPL!$A92,DATA!F:F)</f>
        <v>494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45</v>
      </c>
      <c r="L92">
        <f>SUMIF(DATA!$A:$A,PPL!$A92,DATA!J:J)</f>
        <v>0</v>
      </c>
      <c r="M92">
        <f t="shared" si="1"/>
        <v>80</v>
      </c>
    </row>
    <row r="93" spans="1:13" x14ac:dyDescent="0.25">
      <c r="A93" t="s">
        <v>96</v>
      </c>
      <c r="B93" t="s">
        <v>338</v>
      </c>
      <c r="C93" t="s">
        <v>175</v>
      </c>
      <c r="D93" t="s">
        <v>188</v>
      </c>
      <c r="E93">
        <f>SUMIF(DATA!$A:$A,PPL!$A93,DATA!C:C)</f>
        <v>575</v>
      </c>
      <c r="F93">
        <f>SUMIF(DATA!$A:$A,PPL!$A93,DATA!D:D)</f>
        <v>0</v>
      </c>
      <c r="G93">
        <f>SUMIF(DATA!$A:$A,PPL!$A93,DATA!E:E)</f>
        <v>30</v>
      </c>
      <c r="H93">
        <f>SUMIF(DATA!$A:$A,PPL!$A93,DATA!F:F)</f>
        <v>505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40</v>
      </c>
      <c r="L93">
        <f>SUMIF(DATA!$A:$A,PPL!$A93,DATA!J:J)</f>
        <v>0</v>
      </c>
      <c r="M93">
        <f t="shared" si="1"/>
        <v>70</v>
      </c>
    </row>
    <row r="94" spans="1:13" x14ac:dyDescent="0.25">
      <c r="A94" t="s">
        <v>97</v>
      </c>
      <c r="B94" t="s">
        <v>339</v>
      </c>
      <c r="C94" t="s">
        <v>175</v>
      </c>
      <c r="D94" t="s">
        <v>188</v>
      </c>
      <c r="E94">
        <f>SUMIF(DATA!$A:$A,PPL!$A94,DATA!C:C)</f>
        <v>574</v>
      </c>
      <c r="F94">
        <f>SUMIF(DATA!$A:$A,PPL!$A94,DATA!D:D)</f>
        <v>1</v>
      </c>
      <c r="G94">
        <f>SUMIF(DATA!$A:$A,PPL!$A94,DATA!E:E)</f>
        <v>9</v>
      </c>
      <c r="H94">
        <f>SUMIF(DATA!$A:$A,PPL!$A94,DATA!F:F)</f>
        <v>488</v>
      </c>
      <c r="I94">
        <f>SUMIF(DATA!$A:$A,PPL!$A94,DATA!G:G)</f>
        <v>3</v>
      </c>
      <c r="J94">
        <f>SUMIF(DATA!$A:$A,PPL!$A94,DATA!H:H)</f>
        <v>0</v>
      </c>
      <c r="K94">
        <f>SUMIF(DATA!$A:$A,PPL!$A94,DATA!I:I)</f>
        <v>73</v>
      </c>
      <c r="L94">
        <f>SUMIF(DATA!$A:$A,PPL!$A94,DATA!J:J)</f>
        <v>0</v>
      </c>
      <c r="M94">
        <f t="shared" si="1"/>
        <v>86</v>
      </c>
    </row>
    <row r="95" spans="1:13" x14ac:dyDescent="0.25">
      <c r="A95" t="s">
        <v>98</v>
      </c>
      <c r="B95" t="s">
        <v>340</v>
      </c>
      <c r="C95" t="s">
        <v>174</v>
      </c>
      <c r="D95" t="s">
        <v>185</v>
      </c>
      <c r="E95">
        <f>SUMIF(DATA!$A:$A,PPL!$A95,DATA!C:C)</f>
        <v>561</v>
      </c>
      <c r="F95">
        <f>SUMIF(DATA!$A:$A,PPL!$A95,DATA!D:D)</f>
        <v>22</v>
      </c>
      <c r="G95">
        <f>SUMIF(DATA!$A:$A,PPL!$A95,DATA!E:E)</f>
        <v>28</v>
      </c>
      <c r="H95">
        <f>SUMIF(DATA!$A:$A,PPL!$A95,DATA!F:F)</f>
        <v>489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22</v>
      </c>
      <c r="L95">
        <f>SUMIF(DATA!$A:$A,PPL!$A95,DATA!J:J)</f>
        <v>0</v>
      </c>
      <c r="M95">
        <f t="shared" si="1"/>
        <v>72</v>
      </c>
    </row>
    <row r="96" spans="1:13" x14ac:dyDescent="0.25">
      <c r="A96" t="s">
        <v>99</v>
      </c>
      <c r="B96" t="s">
        <v>341</v>
      </c>
      <c r="C96" t="s">
        <v>174</v>
      </c>
      <c r="D96" t="s">
        <v>185</v>
      </c>
      <c r="E96">
        <f>SUMIF(DATA!$A:$A,PPL!$A96,DATA!C:C)</f>
        <v>595</v>
      </c>
      <c r="F96">
        <f>SUMIF(DATA!$A:$A,PPL!$A96,DATA!D:D)</f>
        <v>3</v>
      </c>
      <c r="G96">
        <f>SUMIF(DATA!$A:$A,PPL!$A96,DATA!E:E)</f>
        <v>25</v>
      </c>
      <c r="H96">
        <f>SUMIF(DATA!$A:$A,PPL!$A96,DATA!F:F)</f>
        <v>522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44</v>
      </c>
      <c r="L96">
        <f>SUMIF(DATA!$A:$A,PPL!$A96,DATA!J:J)</f>
        <v>0</v>
      </c>
      <c r="M96">
        <f t="shared" si="1"/>
        <v>73</v>
      </c>
    </row>
    <row r="97" spans="1:13" x14ac:dyDescent="0.25">
      <c r="A97" t="s">
        <v>100</v>
      </c>
      <c r="B97" t="s">
        <v>342</v>
      </c>
      <c r="C97" t="s">
        <v>175</v>
      </c>
      <c r="D97" t="s">
        <v>188</v>
      </c>
      <c r="E97">
        <f>SUMIF(DATA!$A:$A,PPL!$A97,DATA!C:C)</f>
        <v>572</v>
      </c>
      <c r="F97">
        <f>SUMIF(DATA!$A:$A,PPL!$A97,DATA!D:D)</f>
        <v>0</v>
      </c>
      <c r="G97">
        <f>SUMIF(DATA!$A:$A,PPL!$A97,DATA!E:E)</f>
        <v>26</v>
      </c>
      <c r="H97">
        <f>SUMIF(DATA!$A:$A,PPL!$A97,DATA!F:F)</f>
        <v>494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52</v>
      </c>
      <c r="L97">
        <f>SUMIF(DATA!$A:$A,PPL!$A97,DATA!J:J)</f>
        <v>0</v>
      </c>
      <c r="M97">
        <f t="shared" si="1"/>
        <v>78</v>
      </c>
    </row>
    <row r="98" spans="1:13" x14ac:dyDescent="0.25">
      <c r="A98" t="s">
        <v>101</v>
      </c>
      <c r="B98" t="s">
        <v>343</v>
      </c>
      <c r="C98" t="s">
        <v>175</v>
      </c>
      <c r="D98" t="s">
        <v>188</v>
      </c>
      <c r="E98">
        <f>SUMIF(DATA!$A:$A,PPL!$A98,DATA!C:C)</f>
        <v>590</v>
      </c>
      <c r="F98">
        <f>SUMIF(DATA!$A:$A,PPL!$A98,DATA!D:D)</f>
        <v>34</v>
      </c>
      <c r="G98">
        <f>SUMIF(DATA!$A:$A,PPL!$A98,DATA!E:E)</f>
        <v>0</v>
      </c>
      <c r="H98">
        <f>SUMIF(DATA!$A:$A,PPL!$A98,DATA!F:F)</f>
        <v>474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82</v>
      </c>
      <c r="L98">
        <f>SUMIF(DATA!$A:$A,PPL!$A98,DATA!J:J)</f>
        <v>0</v>
      </c>
      <c r="M98">
        <f t="shared" si="1"/>
        <v>116</v>
      </c>
    </row>
    <row r="99" spans="1:13" x14ac:dyDescent="0.25">
      <c r="A99" t="s">
        <v>102</v>
      </c>
      <c r="B99" t="s">
        <v>344</v>
      </c>
      <c r="C99" t="s">
        <v>175</v>
      </c>
      <c r="D99" t="s">
        <v>188</v>
      </c>
      <c r="E99">
        <f>SUMIF(DATA!$A:$A,PPL!$A99,DATA!C:C)</f>
        <v>588</v>
      </c>
      <c r="F99">
        <f>SUMIF(DATA!$A:$A,PPL!$A99,DATA!D:D)</f>
        <v>1</v>
      </c>
      <c r="G99">
        <f>SUMIF(DATA!$A:$A,PPL!$A99,DATA!E:E)</f>
        <v>10</v>
      </c>
      <c r="H99">
        <f>SUMIF(DATA!$A:$A,PPL!$A99,DATA!F:F)</f>
        <v>548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29</v>
      </c>
      <c r="L99">
        <f>SUMIF(DATA!$A:$A,PPL!$A99,DATA!J:J)</f>
        <v>0</v>
      </c>
      <c r="M99">
        <f t="shared" si="1"/>
        <v>40</v>
      </c>
    </row>
    <row r="100" spans="1:13" x14ac:dyDescent="0.25">
      <c r="A100" t="s">
        <v>103</v>
      </c>
      <c r="B100" t="s">
        <v>345</v>
      </c>
      <c r="C100" t="s">
        <v>173</v>
      </c>
      <c r="D100" t="s">
        <v>186</v>
      </c>
      <c r="E100">
        <f>SUMIF(DATA!$A:$A,PPL!$A100,DATA!C:C)</f>
        <v>569</v>
      </c>
      <c r="F100">
        <f>SUMIF(DATA!$A:$A,PPL!$A100,DATA!D:D)</f>
        <v>5</v>
      </c>
      <c r="G100">
        <f>SUMIF(DATA!$A:$A,PPL!$A100,DATA!E:E)</f>
        <v>1</v>
      </c>
      <c r="H100">
        <f>SUMIF(DATA!$A:$A,PPL!$A100,DATA!F:F)</f>
        <v>452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111</v>
      </c>
      <c r="L100">
        <f>SUMIF(DATA!$A:$A,PPL!$A100,DATA!J:J)</f>
        <v>0</v>
      </c>
      <c r="M100">
        <f t="shared" si="1"/>
        <v>117</v>
      </c>
    </row>
    <row r="101" spans="1:13" x14ac:dyDescent="0.25">
      <c r="A101" t="s">
        <v>104</v>
      </c>
      <c r="B101" t="s">
        <v>346</v>
      </c>
      <c r="C101" t="s">
        <v>173</v>
      </c>
      <c r="D101" t="s">
        <v>186</v>
      </c>
      <c r="E101">
        <f>SUMIF(DATA!$A:$A,PPL!$A101,DATA!C:C)</f>
        <v>598</v>
      </c>
      <c r="F101">
        <f>SUMIF(DATA!$A:$A,PPL!$A101,DATA!D:D)</f>
        <v>1</v>
      </c>
      <c r="G101">
        <f>SUMIF(DATA!$A:$A,PPL!$A101,DATA!E:E)</f>
        <v>11</v>
      </c>
      <c r="H101">
        <f>SUMIF(DATA!$A:$A,PPL!$A101,DATA!F:F)</f>
        <v>493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93</v>
      </c>
      <c r="L101">
        <f>SUMIF(DATA!$A:$A,PPL!$A101,DATA!J:J)</f>
        <v>0</v>
      </c>
      <c r="M101">
        <f t="shared" si="1"/>
        <v>105</v>
      </c>
    </row>
    <row r="102" spans="1:13" x14ac:dyDescent="0.25">
      <c r="A102" t="s">
        <v>105</v>
      </c>
      <c r="B102" t="s">
        <v>347</v>
      </c>
      <c r="C102" t="s">
        <v>175</v>
      </c>
      <c r="D102" t="s">
        <v>188</v>
      </c>
      <c r="E102">
        <f>SUMIF(DATA!$A:$A,PPL!$A102,DATA!C:C)</f>
        <v>386</v>
      </c>
      <c r="F102">
        <f>SUMIF(DATA!$A:$A,PPL!$A102,DATA!D:D)</f>
        <v>2</v>
      </c>
      <c r="G102">
        <f>SUMIF(DATA!$A:$A,PPL!$A102,DATA!E:E)</f>
        <v>31</v>
      </c>
      <c r="H102">
        <f>SUMIF(DATA!$A:$A,PPL!$A102,DATA!F:F)</f>
        <v>295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58</v>
      </c>
      <c r="L102">
        <f>SUMIF(DATA!$A:$A,PPL!$A102,DATA!J:J)</f>
        <v>0</v>
      </c>
      <c r="M102">
        <f t="shared" si="1"/>
        <v>91</v>
      </c>
    </row>
    <row r="103" spans="1:13" x14ac:dyDescent="0.25">
      <c r="A103" t="s">
        <v>106</v>
      </c>
      <c r="B103" t="s">
        <v>348</v>
      </c>
      <c r="C103" t="s">
        <v>174</v>
      </c>
      <c r="D103" t="s">
        <v>185</v>
      </c>
      <c r="E103">
        <f>SUMIF(DATA!$A:$A,PPL!$A103,DATA!C:C)</f>
        <v>508</v>
      </c>
      <c r="F103">
        <f>SUMIF(DATA!$A:$A,PPL!$A103,DATA!D:D)</f>
        <v>0</v>
      </c>
      <c r="G103">
        <f>SUMIF(DATA!$A:$A,PPL!$A103,DATA!E:E)</f>
        <v>13</v>
      </c>
      <c r="H103">
        <f>SUMIF(DATA!$A:$A,PPL!$A103,DATA!F:F)</f>
        <v>445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50</v>
      </c>
      <c r="L103">
        <f>SUMIF(DATA!$A:$A,PPL!$A103,DATA!J:J)</f>
        <v>0</v>
      </c>
      <c r="M103">
        <f t="shared" si="1"/>
        <v>63</v>
      </c>
    </row>
    <row r="104" spans="1:13" x14ac:dyDescent="0.25">
      <c r="A104" t="s">
        <v>107</v>
      </c>
      <c r="B104" t="s">
        <v>349</v>
      </c>
      <c r="C104" t="s">
        <v>173</v>
      </c>
      <c r="D104" t="s">
        <v>186</v>
      </c>
      <c r="E104">
        <f>SUMIF(DATA!$A:$A,PPL!$A104,DATA!C:C)</f>
        <v>586</v>
      </c>
      <c r="F104">
        <f>SUMIF(DATA!$A:$A,PPL!$A104,DATA!D:D)</f>
        <v>13</v>
      </c>
      <c r="G104">
        <f>SUMIF(DATA!$A:$A,PPL!$A104,DATA!E:E)</f>
        <v>33</v>
      </c>
      <c r="H104">
        <f>SUMIF(DATA!$A:$A,PPL!$A104,DATA!F:F)</f>
        <v>487</v>
      </c>
      <c r="I104">
        <f>SUMIF(DATA!$A:$A,PPL!$A104,DATA!G:G)</f>
        <v>4</v>
      </c>
      <c r="J104">
        <f>SUMIF(DATA!$A:$A,PPL!$A104,DATA!H:H)</f>
        <v>0</v>
      </c>
      <c r="K104">
        <f>SUMIF(DATA!$A:$A,PPL!$A104,DATA!I:I)</f>
        <v>49</v>
      </c>
      <c r="L104">
        <f>SUMIF(DATA!$A:$A,PPL!$A104,DATA!J:J)</f>
        <v>0</v>
      </c>
      <c r="M104">
        <f t="shared" si="1"/>
        <v>99</v>
      </c>
    </row>
    <row r="105" spans="1:13" x14ac:dyDescent="0.25">
      <c r="A105" t="s">
        <v>108</v>
      </c>
      <c r="B105" t="s">
        <v>350</v>
      </c>
      <c r="C105" t="s">
        <v>174</v>
      </c>
      <c r="D105" t="s">
        <v>185</v>
      </c>
      <c r="E105">
        <f>SUMIF(DATA!$A:$A,PPL!$A105,DATA!C:C)</f>
        <v>597</v>
      </c>
      <c r="F105">
        <f>SUMIF(DATA!$A:$A,PPL!$A105,DATA!D:D)</f>
        <v>1</v>
      </c>
      <c r="G105">
        <f>SUMIF(DATA!$A:$A,PPL!$A105,DATA!E:E)</f>
        <v>27</v>
      </c>
      <c r="H105">
        <f>SUMIF(DATA!$A:$A,PPL!$A105,DATA!F:F)</f>
        <v>530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39</v>
      </c>
      <c r="L105">
        <f>SUMIF(DATA!$A:$A,PPL!$A105,DATA!J:J)</f>
        <v>0</v>
      </c>
      <c r="M105">
        <f t="shared" si="1"/>
        <v>67</v>
      </c>
    </row>
    <row r="106" spans="1:13" x14ac:dyDescent="0.25">
      <c r="A106" t="s">
        <v>109</v>
      </c>
      <c r="B106" t="s">
        <v>351</v>
      </c>
      <c r="C106" t="s">
        <v>176</v>
      </c>
      <c r="D106" t="s">
        <v>194</v>
      </c>
      <c r="E106">
        <f>SUMIF(DATA!$A:$A,PPL!$A106,DATA!C:C)</f>
        <v>589</v>
      </c>
      <c r="F106">
        <f>SUMIF(DATA!$A:$A,PPL!$A106,DATA!D:D)</f>
        <v>19</v>
      </c>
      <c r="G106">
        <f>SUMIF(DATA!$A:$A,PPL!$A106,DATA!E:E)</f>
        <v>43</v>
      </c>
      <c r="H106">
        <f>SUMIF(DATA!$A:$A,PPL!$A106,DATA!F:F)</f>
        <v>510</v>
      </c>
      <c r="I106">
        <f>SUMIF(DATA!$A:$A,PPL!$A106,DATA!G:G)</f>
        <v>2</v>
      </c>
      <c r="J106">
        <f>SUMIF(DATA!$A:$A,PPL!$A106,DATA!H:H)</f>
        <v>0</v>
      </c>
      <c r="K106">
        <f>SUMIF(DATA!$A:$A,PPL!$A106,DATA!I:I)</f>
        <v>15</v>
      </c>
      <c r="L106">
        <f>SUMIF(DATA!$A:$A,PPL!$A106,DATA!J:J)</f>
        <v>0</v>
      </c>
      <c r="M106">
        <f t="shared" si="1"/>
        <v>79</v>
      </c>
    </row>
    <row r="107" spans="1:13" x14ac:dyDescent="0.25">
      <c r="A107" t="s">
        <v>110</v>
      </c>
      <c r="B107" t="s">
        <v>352</v>
      </c>
      <c r="C107" t="s">
        <v>176</v>
      </c>
      <c r="D107" t="s">
        <v>194</v>
      </c>
      <c r="E107">
        <f>SUMIF(DATA!$A:$A,PPL!$A107,DATA!C:C)</f>
        <v>597</v>
      </c>
      <c r="F107">
        <f>SUMIF(DATA!$A:$A,PPL!$A107,DATA!D:D)</f>
        <v>4</v>
      </c>
      <c r="G107">
        <f>SUMIF(DATA!$A:$A,PPL!$A107,DATA!E:E)</f>
        <v>12</v>
      </c>
      <c r="H107">
        <f>SUMIF(DATA!$A:$A,PPL!$A107,DATA!F:F)</f>
        <v>529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52</v>
      </c>
      <c r="L107">
        <f>SUMIF(DATA!$A:$A,PPL!$A107,DATA!J:J)</f>
        <v>0</v>
      </c>
      <c r="M107">
        <f t="shared" si="1"/>
        <v>68</v>
      </c>
    </row>
    <row r="108" spans="1:13" x14ac:dyDescent="0.25">
      <c r="A108" t="s">
        <v>111</v>
      </c>
      <c r="B108" t="s">
        <v>353</v>
      </c>
      <c r="C108" t="s">
        <v>176</v>
      </c>
      <c r="D108" t="s">
        <v>194</v>
      </c>
      <c r="E108">
        <f>SUMIF(DATA!$A:$A,PPL!$A108,DATA!C:C)</f>
        <v>591</v>
      </c>
      <c r="F108">
        <f>SUMIF(DATA!$A:$A,PPL!$A108,DATA!D:D)</f>
        <v>39</v>
      </c>
      <c r="G108">
        <f>SUMIF(DATA!$A:$A,PPL!$A108,DATA!E:E)</f>
        <v>10</v>
      </c>
      <c r="H108">
        <f>SUMIF(DATA!$A:$A,PPL!$A108,DATA!F:F)</f>
        <v>501</v>
      </c>
      <c r="I108">
        <f>SUMIF(DATA!$A:$A,PPL!$A108,DATA!G:G)</f>
        <v>11</v>
      </c>
      <c r="J108">
        <f>SUMIF(DATA!$A:$A,PPL!$A108,DATA!H:H)</f>
        <v>0</v>
      </c>
      <c r="K108">
        <f>SUMIF(DATA!$A:$A,PPL!$A108,DATA!I:I)</f>
        <v>30</v>
      </c>
      <c r="L108">
        <f>SUMIF(DATA!$A:$A,PPL!$A108,DATA!J:J)</f>
        <v>0</v>
      </c>
      <c r="M108">
        <f t="shared" si="1"/>
        <v>90</v>
      </c>
    </row>
    <row r="109" spans="1:13" x14ac:dyDescent="0.25">
      <c r="A109" t="s">
        <v>112</v>
      </c>
      <c r="B109" t="s">
        <v>354</v>
      </c>
      <c r="C109" t="s">
        <v>176</v>
      </c>
      <c r="D109" t="s">
        <v>194</v>
      </c>
      <c r="E109">
        <f>SUMIF(DATA!$A:$A,PPL!$A109,DATA!C:C)</f>
        <v>617</v>
      </c>
      <c r="F109">
        <f>SUMIF(DATA!$A:$A,PPL!$A109,DATA!D:D)</f>
        <v>29</v>
      </c>
      <c r="G109">
        <f>SUMIF(DATA!$A:$A,PPL!$A109,DATA!E:E)</f>
        <v>53</v>
      </c>
      <c r="H109">
        <f>SUMIF(DATA!$A:$A,PPL!$A109,DATA!F:F)</f>
        <v>502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32</v>
      </c>
      <c r="L109">
        <f>SUMIF(DATA!$A:$A,PPL!$A109,DATA!J:J)</f>
        <v>0</v>
      </c>
      <c r="M109">
        <f t="shared" si="1"/>
        <v>115</v>
      </c>
    </row>
    <row r="110" spans="1:13" x14ac:dyDescent="0.25">
      <c r="A110" t="s">
        <v>113</v>
      </c>
      <c r="B110" t="s">
        <v>355</v>
      </c>
      <c r="C110" t="s">
        <v>177</v>
      </c>
      <c r="D110" t="s">
        <v>192</v>
      </c>
      <c r="E110">
        <f>SUMIF(DATA!$A:$A,PPL!$A110,DATA!C:C)</f>
        <v>610</v>
      </c>
      <c r="F110">
        <f>SUMIF(DATA!$A:$A,PPL!$A110,DATA!D:D)</f>
        <v>21</v>
      </c>
      <c r="G110">
        <f>SUMIF(DATA!$A:$A,PPL!$A110,DATA!E:E)</f>
        <v>15</v>
      </c>
      <c r="H110">
        <f>SUMIF(DATA!$A:$A,PPL!$A110,DATA!F:F)</f>
        <v>532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42</v>
      </c>
      <c r="L110">
        <f>SUMIF(DATA!$A:$A,PPL!$A110,DATA!J:J)</f>
        <v>0</v>
      </c>
      <c r="M110">
        <f t="shared" si="1"/>
        <v>78</v>
      </c>
    </row>
    <row r="111" spans="1:13" x14ac:dyDescent="0.25">
      <c r="A111" t="s">
        <v>114</v>
      </c>
      <c r="B111" t="s">
        <v>356</v>
      </c>
      <c r="C111" t="s">
        <v>178</v>
      </c>
      <c r="D111" t="s">
        <v>191</v>
      </c>
      <c r="E111">
        <f>SUMIF(DATA!$A:$A,PPL!$A111,DATA!C:C)</f>
        <v>601</v>
      </c>
      <c r="F111">
        <f>SUMIF(DATA!$A:$A,PPL!$A111,DATA!D:D)</f>
        <v>32</v>
      </c>
      <c r="G111">
        <f>SUMIF(DATA!$A:$A,PPL!$A111,DATA!E:E)</f>
        <v>12</v>
      </c>
      <c r="H111">
        <f>SUMIF(DATA!$A:$A,PPL!$A111,DATA!F:F)</f>
        <v>523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33</v>
      </c>
      <c r="L111">
        <f>SUMIF(DATA!$A:$A,PPL!$A111,DATA!J:J)</f>
        <v>0</v>
      </c>
      <c r="M111">
        <f t="shared" si="1"/>
        <v>78</v>
      </c>
    </row>
    <row r="112" spans="1:13" x14ac:dyDescent="0.25">
      <c r="A112" t="s">
        <v>115</v>
      </c>
      <c r="B112" t="s">
        <v>357</v>
      </c>
      <c r="C112" t="s">
        <v>178</v>
      </c>
      <c r="D112" t="s">
        <v>191</v>
      </c>
      <c r="E112">
        <f>SUMIF(DATA!$A:$A,PPL!$A112,DATA!C:C)</f>
        <v>573</v>
      </c>
      <c r="F112">
        <f>SUMIF(DATA!$A:$A,PPL!$A112,DATA!D:D)</f>
        <v>16</v>
      </c>
      <c r="G112">
        <f>SUMIF(DATA!$A:$A,PPL!$A112,DATA!E:E)</f>
        <v>4</v>
      </c>
      <c r="H112">
        <f>SUMIF(DATA!$A:$A,PPL!$A112,DATA!F:F)</f>
        <v>489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64</v>
      </c>
      <c r="L112">
        <f>SUMIF(DATA!$A:$A,PPL!$A112,DATA!J:J)</f>
        <v>0</v>
      </c>
      <c r="M112">
        <f t="shared" si="1"/>
        <v>84</v>
      </c>
    </row>
    <row r="113" spans="1:13" x14ac:dyDescent="0.25">
      <c r="A113" t="s">
        <v>116</v>
      </c>
      <c r="B113" t="s">
        <v>358</v>
      </c>
      <c r="C113" t="s">
        <v>178</v>
      </c>
      <c r="D113" t="s">
        <v>191</v>
      </c>
      <c r="E113">
        <f>SUMIF(DATA!$A:$A,PPL!$A113,DATA!C:C)</f>
        <v>588</v>
      </c>
      <c r="F113">
        <f>SUMIF(DATA!$A:$A,PPL!$A113,DATA!D:D)</f>
        <v>97</v>
      </c>
      <c r="G113">
        <f>SUMIF(DATA!$A:$A,PPL!$A113,DATA!E:E)</f>
        <v>0</v>
      </c>
      <c r="H113">
        <f>SUMIF(DATA!$A:$A,PPL!$A113,DATA!F:F)</f>
        <v>446</v>
      </c>
      <c r="I113">
        <f>SUMIF(DATA!$A:$A,PPL!$A113,DATA!G:G)</f>
        <v>1</v>
      </c>
      <c r="J113">
        <f>SUMIF(DATA!$A:$A,PPL!$A113,DATA!H:H)</f>
        <v>0</v>
      </c>
      <c r="K113">
        <f>SUMIF(DATA!$A:$A,PPL!$A113,DATA!I:I)</f>
        <v>44</v>
      </c>
      <c r="L113">
        <f>SUMIF(DATA!$A:$A,PPL!$A113,DATA!J:J)</f>
        <v>0</v>
      </c>
      <c r="M113">
        <f t="shared" si="1"/>
        <v>142</v>
      </c>
    </row>
    <row r="114" spans="1:13" x14ac:dyDescent="0.25">
      <c r="A114" t="s">
        <v>117</v>
      </c>
      <c r="B114" t="s">
        <v>359</v>
      </c>
      <c r="C114" t="s">
        <v>178</v>
      </c>
      <c r="D114" t="s">
        <v>191</v>
      </c>
      <c r="E114">
        <f>SUMIF(DATA!$A:$A,PPL!$A114,DATA!C:C)</f>
        <v>591</v>
      </c>
      <c r="F114">
        <f>SUMIF(DATA!$A:$A,PPL!$A114,DATA!D:D)</f>
        <v>31</v>
      </c>
      <c r="G114">
        <f>SUMIF(DATA!$A:$A,PPL!$A114,DATA!E:E)</f>
        <v>45</v>
      </c>
      <c r="H114">
        <f>SUMIF(DATA!$A:$A,PPL!$A114,DATA!F:F)</f>
        <v>510</v>
      </c>
      <c r="I114">
        <f>SUMIF(DATA!$A:$A,PPL!$A114,DATA!G:G)</f>
        <v>5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1"/>
        <v>81</v>
      </c>
    </row>
    <row r="115" spans="1:13" x14ac:dyDescent="0.25">
      <c r="A115" t="s">
        <v>118</v>
      </c>
      <c r="B115" t="s">
        <v>360</v>
      </c>
      <c r="C115" t="s">
        <v>178</v>
      </c>
      <c r="D115" t="s">
        <v>191</v>
      </c>
      <c r="E115">
        <f>SUMIF(DATA!$A:$A,PPL!$A115,DATA!C:C)</f>
        <v>541</v>
      </c>
      <c r="F115">
        <f>SUMIF(DATA!$A:$A,PPL!$A115,DATA!D:D)</f>
        <v>37</v>
      </c>
      <c r="G115">
        <f>SUMIF(DATA!$A:$A,PPL!$A115,DATA!E:E)</f>
        <v>4</v>
      </c>
      <c r="H115">
        <f>SUMIF(DATA!$A:$A,PPL!$A115,DATA!F:F)</f>
        <v>498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2</v>
      </c>
      <c r="L115">
        <f>SUMIF(DATA!$A:$A,PPL!$A115,DATA!J:J)</f>
        <v>0</v>
      </c>
      <c r="M115">
        <f t="shared" si="1"/>
        <v>43</v>
      </c>
    </row>
    <row r="116" spans="1:13" x14ac:dyDescent="0.25">
      <c r="A116" t="s">
        <v>119</v>
      </c>
      <c r="B116" t="s">
        <v>361</v>
      </c>
      <c r="C116" t="s">
        <v>178</v>
      </c>
      <c r="D116" t="s">
        <v>191</v>
      </c>
      <c r="E116">
        <f>SUMIF(DATA!$A:$A,PPL!$A116,DATA!C:C)</f>
        <v>601</v>
      </c>
      <c r="F116">
        <f>SUMIF(DATA!$A:$A,PPL!$A116,DATA!D:D)</f>
        <v>16</v>
      </c>
      <c r="G116">
        <f>SUMIF(DATA!$A:$A,PPL!$A116,DATA!E:E)</f>
        <v>19</v>
      </c>
      <c r="H116">
        <f>SUMIF(DATA!$A:$A,PPL!$A116,DATA!F:F)</f>
        <v>557</v>
      </c>
      <c r="I116">
        <f>SUMIF(DATA!$A:$A,PPL!$A116,DATA!G:G)</f>
        <v>8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1"/>
        <v>44</v>
      </c>
    </row>
    <row r="117" spans="1:13" x14ac:dyDescent="0.25">
      <c r="A117" t="s">
        <v>120</v>
      </c>
      <c r="B117" t="s">
        <v>362</v>
      </c>
      <c r="C117" t="s">
        <v>176</v>
      </c>
      <c r="D117" t="s">
        <v>194</v>
      </c>
      <c r="E117">
        <f>SUMIF(DATA!$A:$A,PPL!$A117,DATA!C:C)</f>
        <v>617</v>
      </c>
      <c r="F117">
        <f>SUMIF(DATA!$A:$A,PPL!$A117,DATA!D:D)</f>
        <v>2</v>
      </c>
      <c r="G117">
        <f>SUMIF(DATA!$A:$A,PPL!$A117,DATA!E:E)</f>
        <v>18</v>
      </c>
      <c r="H117">
        <f>SUMIF(DATA!$A:$A,PPL!$A117,DATA!F:F)</f>
        <v>554</v>
      </c>
      <c r="I117">
        <f>SUMIF(DATA!$A:$A,PPL!$A117,DATA!G:G)</f>
        <v>21</v>
      </c>
      <c r="J117">
        <f>SUMIF(DATA!$A:$A,PPL!$A117,DATA!H:H)</f>
        <v>0</v>
      </c>
      <c r="K117">
        <f>SUMIF(DATA!$A:$A,PPL!$A117,DATA!I:I)</f>
        <v>22</v>
      </c>
      <c r="L117">
        <f>SUMIF(DATA!$A:$A,PPL!$A117,DATA!J:J)</f>
        <v>0</v>
      </c>
      <c r="M117">
        <f t="shared" si="1"/>
        <v>63</v>
      </c>
    </row>
    <row r="118" spans="1:13" x14ac:dyDescent="0.25">
      <c r="A118" t="s">
        <v>121</v>
      </c>
      <c r="B118" t="s">
        <v>363</v>
      </c>
      <c r="C118" t="s">
        <v>176</v>
      </c>
      <c r="D118" t="s">
        <v>194</v>
      </c>
      <c r="E118">
        <f>SUMIF(DATA!$A:$A,PPL!$A118,DATA!C:C)</f>
        <v>618</v>
      </c>
      <c r="F118">
        <f>SUMIF(DATA!$A:$A,PPL!$A118,DATA!D:D)</f>
        <v>1</v>
      </c>
      <c r="G118">
        <f>SUMIF(DATA!$A:$A,PPL!$A118,DATA!E:E)</f>
        <v>28</v>
      </c>
      <c r="H118">
        <f>SUMIF(DATA!$A:$A,PPL!$A118,DATA!F:F)</f>
        <v>538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49</v>
      </c>
      <c r="L118">
        <f>SUMIF(DATA!$A:$A,PPL!$A118,DATA!J:J)</f>
        <v>0</v>
      </c>
      <c r="M118">
        <f t="shared" si="1"/>
        <v>80</v>
      </c>
    </row>
    <row r="119" spans="1:13" x14ac:dyDescent="0.25">
      <c r="A119" t="s">
        <v>122</v>
      </c>
      <c r="B119" t="s">
        <v>364</v>
      </c>
      <c r="C119" t="s">
        <v>176</v>
      </c>
      <c r="D119" t="s">
        <v>194</v>
      </c>
      <c r="E119">
        <f>SUMIF(DATA!$A:$A,PPL!$A119,DATA!C:C)</f>
        <v>582</v>
      </c>
      <c r="F119">
        <f>SUMIF(DATA!$A:$A,PPL!$A119,DATA!D:D)</f>
        <v>3</v>
      </c>
      <c r="G119">
        <f>SUMIF(DATA!$A:$A,PPL!$A119,DATA!E:E)</f>
        <v>25</v>
      </c>
      <c r="H119">
        <f>SUMIF(DATA!$A:$A,PPL!$A119,DATA!F:F)</f>
        <v>525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29</v>
      </c>
      <c r="L119">
        <f>SUMIF(DATA!$A:$A,PPL!$A119,DATA!J:J)</f>
        <v>0</v>
      </c>
      <c r="M119">
        <f t="shared" si="1"/>
        <v>57</v>
      </c>
    </row>
    <row r="120" spans="1:13" x14ac:dyDescent="0.25">
      <c r="A120" t="s">
        <v>123</v>
      </c>
      <c r="B120" t="s">
        <v>365</v>
      </c>
      <c r="C120" t="s">
        <v>178</v>
      </c>
      <c r="D120" t="s">
        <v>191</v>
      </c>
      <c r="E120">
        <f>SUMIF(DATA!$A:$A,PPL!$A120,DATA!C:C)</f>
        <v>595</v>
      </c>
      <c r="F120">
        <f>SUMIF(DATA!$A:$A,PPL!$A120,DATA!D:D)</f>
        <v>31</v>
      </c>
      <c r="G120">
        <f>SUMIF(DATA!$A:$A,PPL!$A120,DATA!E:E)</f>
        <v>14</v>
      </c>
      <c r="H120">
        <f>SUMIF(DATA!$A:$A,PPL!$A120,DATA!F:F)</f>
        <v>486</v>
      </c>
      <c r="I120">
        <f>SUMIF(DATA!$A:$A,PPL!$A120,DATA!G:G)</f>
        <v>45</v>
      </c>
      <c r="J120">
        <f>SUMIF(DATA!$A:$A,PPL!$A120,DATA!H:H)</f>
        <v>0</v>
      </c>
      <c r="K120">
        <f>SUMIF(DATA!$A:$A,PPL!$A120,DATA!I:I)</f>
        <v>19</v>
      </c>
      <c r="L120">
        <f>SUMIF(DATA!$A:$A,PPL!$A120,DATA!J:J)</f>
        <v>0</v>
      </c>
      <c r="M120">
        <f t="shared" si="1"/>
        <v>109</v>
      </c>
    </row>
    <row r="121" spans="1:13" x14ac:dyDescent="0.25">
      <c r="A121" t="s">
        <v>124</v>
      </c>
      <c r="B121" t="s">
        <v>366</v>
      </c>
      <c r="C121" t="s">
        <v>177</v>
      </c>
      <c r="D121" t="s">
        <v>192</v>
      </c>
      <c r="E121">
        <f>SUMIF(DATA!$A:$A,PPL!$A121,DATA!C:C)</f>
        <v>601</v>
      </c>
      <c r="F121">
        <f>SUMIF(DATA!$A:$A,PPL!$A121,DATA!D:D)</f>
        <v>37</v>
      </c>
      <c r="G121">
        <f>SUMIF(DATA!$A:$A,PPL!$A121,DATA!E:E)</f>
        <v>69</v>
      </c>
      <c r="H121">
        <f>SUMIF(DATA!$A:$A,PPL!$A121,DATA!F:F)</f>
        <v>423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72</v>
      </c>
      <c r="L121">
        <f>SUMIF(DATA!$A:$A,PPL!$A121,DATA!J:J)</f>
        <v>0</v>
      </c>
      <c r="M121">
        <f t="shared" si="1"/>
        <v>178</v>
      </c>
    </row>
    <row r="122" spans="1:13" x14ac:dyDescent="0.25">
      <c r="A122" t="s">
        <v>125</v>
      </c>
      <c r="B122" t="s">
        <v>367</v>
      </c>
      <c r="C122" t="s">
        <v>177</v>
      </c>
      <c r="D122" t="s">
        <v>192</v>
      </c>
      <c r="E122">
        <f>SUMIF(DATA!$A:$A,PPL!$A122,DATA!C:C)</f>
        <v>607</v>
      </c>
      <c r="F122">
        <f>SUMIF(DATA!$A:$A,PPL!$A122,DATA!D:D)</f>
        <v>61</v>
      </c>
      <c r="G122">
        <f>SUMIF(DATA!$A:$A,PPL!$A122,DATA!E:E)</f>
        <v>19</v>
      </c>
      <c r="H122">
        <f>SUMIF(DATA!$A:$A,PPL!$A122,DATA!F:F)</f>
        <v>480</v>
      </c>
      <c r="I122">
        <f>SUMIF(DATA!$A:$A,PPL!$A122,DATA!G:G)</f>
        <v>6</v>
      </c>
      <c r="J122">
        <f>SUMIF(DATA!$A:$A,PPL!$A122,DATA!H:H)</f>
        <v>0</v>
      </c>
      <c r="K122">
        <f>SUMIF(DATA!$A:$A,PPL!$A122,DATA!I:I)</f>
        <v>41</v>
      </c>
      <c r="L122">
        <f>SUMIF(DATA!$A:$A,PPL!$A122,DATA!J:J)</f>
        <v>0</v>
      </c>
      <c r="M122">
        <f t="shared" si="1"/>
        <v>127</v>
      </c>
    </row>
    <row r="123" spans="1:13" x14ac:dyDescent="0.25">
      <c r="A123" t="s">
        <v>126</v>
      </c>
      <c r="B123" t="s">
        <v>368</v>
      </c>
      <c r="C123" t="s">
        <v>177</v>
      </c>
      <c r="D123" t="s">
        <v>192</v>
      </c>
      <c r="E123">
        <f>SUMIF(DATA!$A:$A,PPL!$A123,DATA!C:C)</f>
        <v>608</v>
      </c>
      <c r="F123">
        <f>SUMIF(DATA!$A:$A,PPL!$A123,DATA!D:D)</f>
        <v>10</v>
      </c>
      <c r="G123">
        <f>SUMIF(DATA!$A:$A,PPL!$A123,DATA!E:E)</f>
        <v>12</v>
      </c>
      <c r="H123">
        <f>SUMIF(DATA!$A:$A,PPL!$A123,DATA!F:F)</f>
        <v>547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39</v>
      </c>
      <c r="L123">
        <f>SUMIF(DATA!$A:$A,PPL!$A123,DATA!J:J)</f>
        <v>0</v>
      </c>
      <c r="M123">
        <f t="shared" si="1"/>
        <v>61</v>
      </c>
    </row>
    <row r="124" spans="1:13" x14ac:dyDescent="0.25">
      <c r="A124" t="s">
        <v>127</v>
      </c>
      <c r="B124" t="s">
        <v>369</v>
      </c>
      <c r="C124" t="s">
        <v>177</v>
      </c>
      <c r="D124" t="s">
        <v>192</v>
      </c>
      <c r="E124">
        <f>SUMIF(DATA!$A:$A,PPL!$A124,DATA!C:C)</f>
        <v>585</v>
      </c>
      <c r="F124">
        <f>SUMIF(DATA!$A:$A,PPL!$A124,DATA!D:D)</f>
        <v>24</v>
      </c>
      <c r="G124">
        <f>SUMIF(DATA!$A:$A,PPL!$A124,DATA!E:E)</f>
        <v>16</v>
      </c>
      <c r="H124">
        <f>SUMIF(DATA!$A:$A,PPL!$A124,DATA!F:F)</f>
        <v>481</v>
      </c>
      <c r="I124">
        <f>SUMIF(DATA!$A:$A,PPL!$A124,DATA!G:G)</f>
        <v>5</v>
      </c>
      <c r="J124">
        <f>SUMIF(DATA!$A:$A,PPL!$A124,DATA!H:H)</f>
        <v>0</v>
      </c>
      <c r="K124">
        <f>SUMIF(DATA!$A:$A,PPL!$A124,DATA!I:I)</f>
        <v>59</v>
      </c>
      <c r="L124">
        <f>SUMIF(DATA!$A:$A,PPL!$A124,DATA!J:J)</f>
        <v>0</v>
      </c>
      <c r="M124">
        <f t="shared" si="1"/>
        <v>104</v>
      </c>
    </row>
    <row r="125" spans="1:13" x14ac:dyDescent="0.25">
      <c r="A125" t="s">
        <v>128</v>
      </c>
      <c r="B125" t="s">
        <v>370</v>
      </c>
      <c r="C125" t="s">
        <v>177</v>
      </c>
      <c r="D125" t="s">
        <v>192</v>
      </c>
      <c r="E125">
        <f>SUMIF(DATA!$A:$A,PPL!$A125,DATA!C:C)</f>
        <v>569</v>
      </c>
      <c r="F125">
        <f>SUMIF(DATA!$A:$A,PPL!$A125,DATA!D:D)</f>
        <v>4</v>
      </c>
      <c r="G125">
        <f>SUMIF(DATA!$A:$A,PPL!$A125,DATA!E:E)</f>
        <v>11</v>
      </c>
      <c r="H125">
        <f>SUMIF(DATA!$A:$A,PPL!$A125,DATA!F:F)</f>
        <v>520</v>
      </c>
      <c r="I125">
        <f>SUMIF(DATA!$A:$A,PPL!$A125,DATA!G:G)</f>
        <v>11</v>
      </c>
      <c r="J125">
        <f>SUMIF(DATA!$A:$A,PPL!$A125,DATA!H:H)</f>
        <v>0</v>
      </c>
      <c r="K125">
        <f>SUMIF(DATA!$A:$A,PPL!$A125,DATA!I:I)</f>
        <v>23</v>
      </c>
      <c r="L125">
        <f>SUMIF(DATA!$A:$A,PPL!$A125,DATA!J:J)</f>
        <v>0</v>
      </c>
      <c r="M125">
        <f t="shared" si="1"/>
        <v>49</v>
      </c>
    </row>
    <row r="126" spans="1:13" x14ac:dyDescent="0.25">
      <c r="A126" t="s">
        <v>129</v>
      </c>
      <c r="B126" t="s">
        <v>371</v>
      </c>
      <c r="C126" t="s">
        <v>177</v>
      </c>
      <c r="D126" t="s">
        <v>192</v>
      </c>
      <c r="E126">
        <f>SUMIF(DATA!$A:$A,PPL!$A126,DATA!C:C)</f>
        <v>581</v>
      </c>
      <c r="F126">
        <f>SUMIF(DATA!$A:$A,PPL!$A126,DATA!D:D)</f>
        <v>39</v>
      </c>
      <c r="G126">
        <f>SUMIF(DATA!$A:$A,PPL!$A126,DATA!E:E)</f>
        <v>18</v>
      </c>
      <c r="H126">
        <f>SUMIF(DATA!$A:$A,PPL!$A126,DATA!F:F)</f>
        <v>511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11</v>
      </c>
      <c r="L126">
        <f>SUMIF(DATA!$A:$A,PPL!$A126,DATA!J:J)</f>
        <v>0</v>
      </c>
      <c r="M126">
        <f t="shared" si="1"/>
        <v>70</v>
      </c>
    </row>
    <row r="127" spans="1:13" x14ac:dyDescent="0.25">
      <c r="A127" t="s">
        <v>130</v>
      </c>
      <c r="B127" t="s">
        <v>372</v>
      </c>
      <c r="C127" t="s">
        <v>179</v>
      </c>
      <c r="D127" t="s">
        <v>184</v>
      </c>
      <c r="E127">
        <f>SUMIF(DATA!$A:$A,PPL!$A127,DATA!C:C)</f>
        <v>597</v>
      </c>
      <c r="F127">
        <f>SUMIF(DATA!$A:$A,PPL!$A127,DATA!D:D)</f>
        <v>0</v>
      </c>
      <c r="G127">
        <f>SUMIF(DATA!$A:$A,PPL!$A127,DATA!E:E)</f>
        <v>20</v>
      </c>
      <c r="H127">
        <f>SUMIF(DATA!$A:$A,PPL!$A127,DATA!F:F)</f>
        <v>534</v>
      </c>
      <c r="I127">
        <f>SUMIF(DATA!$A:$A,PPL!$A127,DATA!G:G)</f>
        <v>2</v>
      </c>
      <c r="J127">
        <f>SUMIF(DATA!$A:$A,PPL!$A127,DATA!H:H)</f>
        <v>0</v>
      </c>
      <c r="K127">
        <f>SUMIF(DATA!$A:$A,PPL!$A127,DATA!I:I)</f>
        <v>41</v>
      </c>
      <c r="L127">
        <f>SUMIF(DATA!$A:$A,PPL!$A127,DATA!J:J)</f>
        <v>0</v>
      </c>
      <c r="M127">
        <f t="shared" si="1"/>
        <v>63</v>
      </c>
    </row>
    <row r="128" spans="1:13" x14ac:dyDescent="0.25">
      <c r="A128" t="s">
        <v>131</v>
      </c>
      <c r="B128" t="s">
        <v>373</v>
      </c>
      <c r="C128" t="s">
        <v>180</v>
      </c>
      <c r="D128" t="s">
        <v>183</v>
      </c>
      <c r="E128">
        <f>SUMIF(DATA!$A:$A,PPL!$A128,DATA!C:C)</f>
        <v>615</v>
      </c>
      <c r="F128">
        <f>SUMIF(DATA!$A:$A,PPL!$A128,DATA!D:D)</f>
        <v>0</v>
      </c>
      <c r="G128">
        <f>SUMIF(DATA!$A:$A,PPL!$A128,DATA!E:E)</f>
        <v>26</v>
      </c>
      <c r="H128">
        <f>SUMIF(DATA!$A:$A,PPL!$A128,DATA!F:F)</f>
        <v>551</v>
      </c>
      <c r="I128">
        <f>SUMIF(DATA!$A:$A,PPL!$A128,DATA!G:G)</f>
        <v>8</v>
      </c>
      <c r="J128">
        <f>SUMIF(DATA!$A:$A,PPL!$A128,DATA!H:H)</f>
        <v>0</v>
      </c>
      <c r="K128">
        <f>SUMIF(DATA!$A:$A,PPL!$A128,DATA!I:I)</f>
        <v>30</v>
      </c>
      <c r="L128">
        <f>SUMIF(DATA!$A:$A,PPL!$A128,DATA!J:J)</f>
        <v>0</v>
      </c>
      <c r="M128">
        <f t="shared" si="1"/>
        <v>64</v>
      </c>
    </row>
    <row r="129" spans="1:13" x14ac:dyDescent="0.25">
      <c r="A129" t="s">
        <v>132</v>
      </c>
      <c r="B129" t="s">
        <v>374</v>
      </c>
      <c r="C129" t="s">
        <v>180</v>
      </c>
      <c r="D129" t="s">
        <v>183</v>
      </c>
      <c r="E129">
        <f>SUMIF(DATA!$A:$A,PPL!$A129,DATA!C:C)</f>
        <v>561</v>
      </c>
      <c r="F129">
        <f>SUMIF(DATA!$A:$A,PPL!$A129,DATA!D:D)</f>
        <v>54</v>
      </c>
      <c r="G129">
        <f>SUMIF(DATA!$A:$A,PPL!$A129,DATA!E:E)</f>
        <v>13</v>
      </c>
      <c r="H129">
        <f>SUMIF(DATA!$A:$A,PPL!$A129,DATA!F:F)</f>
        <v>488</v>
      </c>
      <c r="I129">
        <f>SUMIF(DATA!$A:$A,PPL!$A129,DATA!G:G)</f>
        <v>4</v>
      </c>
      <c r="J129">
        <f>SUMIF(DATA!$A:$A,PPL!$A129,DATA!H:H)</f>
        <v>0</v>
      </c>
      <c r="K129">
        <f>SUMIF(DATA!$A:$A,PPL!$A129,DATA!I:I)</f>
        <v>2</v>
      </c>
      <c r="L129">
        <f>SUMIF(DATA!$A:$A,PPL!$A129,DATA!J:J)</f>
        <v>0</v>
      </c>
      <c r="M129">
        <f t="shared" si="1"/>
        <v>73</v>
      </c>
    </row>
    <row r="130" spans="1:13" x14ac:dyDescent="0.25">
      <c r="A130" t="s">
        <v>133</v>
      </c>
      <c r="B130" t="s">
        <v>375</v>
      </c>
      <c r="C130" t="s">
        <v>180</v>
      </c>
      <c r="D130" t="s">
        <v>183</v>
      </c>
      <c r="E130">
        <f>SUMIF(DATA!$A:$A,PPL!$A130,DATA!C:C)</f>
        <v>578</v>
      </c>
      <c r="F130">
        <f>SUMIF(DATA!$A:$A,PPL!$A130,DATA!D:D)</f>
        <v>4</v>
      </c>
      <c r="G130">
        <f>SUMIF(DATA!$A:$A,PPL!$A130,DATA!E:E)</f>
        <v>1</v>
      </c>
      <c r="H130">
        <f>SUMIF(DATA!$A:$A,PPL!$A130,DATA!F:F)</f>
        <v>516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56</v>
      </c>
      <c r="L130">
        <f>SUMIF(DATA!$A:$A,PPL!$A130,DATA!J:J)</f>
        <v>1</v>
      </c>
      <c r="M130">
        <f t="shared" si="1"/>
        <v>62</v>
      </c>
    </row>
    <row r="131" spans="1:13" x14ac:dyDescent="0.25">
      <c r="A131" t="s">
        <v>134</v>
      </c>
      <c r="B131" t="s">
        <v>376</v>
      </c>
      <c r="C131" t="s">
        <v>180</v>
      </c>
      <c r="D131" t="s">
        <v>183</v>
      </c>
      <c r="E131">
        <f>SUMIF(DATA!$A:$A,PPL!$A131,DATA!C:C)</f>
        <v>573</v>
      </c>
      <c r="F131">
        <f>SUMIF(DATA!$A:$A,PPL!$A131,DATA!D:D)</f>
        <v>0</v>
      </c>
      <c r="G131">
        <f>SUMIF(DATA!$A:$A,PPL!$A131,DATA!E:E)</f>
        <v>4</v>
      </c>
      <c r="H131">
        <f>SUMIF(DATA!$A:$A,PPL!$A131,DATA!F:F)</f>
        <v>532</v>
      </c>
      <c r="I131">
        <f>SUMIF(DATA!$A:$A,PPL!$A131,DATA!G:G)</f>
        <v>2</v>
      </c>
      <c r="J131">
        <f>SUMIF(DATA!$A:$A,PPL!$A131,DATA!H:H)</f>
        <v>0</v>
      </c>
      <c r="K131">
        <f>SUMIF(DATA!$A:$A,PPL!$A131,DATA!I:I)</f>
        <v>35</v>
      </c>
      <c r="L131">
        <f>SUMIF(DATA!$A:$A,PPL!$A131,DATA!J:J)</f>
        <v>0</v>
      </c>
      <c r="M131">
        <f t="shared" ref="M131:M139" si="2">F131+G131+I131+J131+K131+L131</f>
        <v>41</v>
      </c>
    </row>
    <row r="132" spans="1:13" x14ac:dyDescent="0.25">
      <c r="A132" t="s">
        <v>135</v>
      </c>
      <c r="B132" t="s">
        <v>377</v>
      </c>
      <c r="C132" t="s">
        <v>180</v>
      </c>
      <c r="D132" t="s">
        <v>183</v>
      </c>
      <c r="E132">
        <f>SUMIF(DATA!$A:$A,PPL!$A132,DATA!C:C)</f>
        <v>538</v>
      </c>
      <c r="F132">
        <f>SUMIF(DATA!$A:$A,PPL!$A132,DATA!D:D)</f>
        <v>3</v>
      </c>
      <c r="G132">
        <f>SUMIF(DATA!$A:$A,PPL!$A132,DATA!E:E)</f>
        <v>3</v>
      </c>
      <c r="H132">
        <f>SUMIF(DATA!$A:$A,PPL!$A132,DATA!F:F)</f>
        <v>524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8</v>
      </c>
      <c r="L132">
        <f>SUMIF(DATA!$A:$A,PPL!$A132,DATA!J:J)</f>
        <v>0</v>
      </c>
      <c r="M132">
        <f t="shared" si="2"/>
        <v>14</v>
      </c>
    </row>
    <row r="133" spans="1:13" x14ac:dyDescent="0.25">
      <c r="A133" t="s">
        <v>136</v>
      </c>
      <c r="B133" t="s">
        <v>378</v>
      </c>
      <c r="C133" t="s">
        <v>180</v>
      </c>
      <c r="D133" t="s">
        <v>183</v>
      </c>
      <c r="E133">
        <f>SUMIF(DATA!$A:$A,PPL!$A133,DATA!C:C)</f>
        <v>594</v>
      </c>
      <c r="F133">
        <f>SUMIF(DATA!$A:$A,PPL!$A133,DATA!D:D)</f>
        <v>0</v>
      </c>
      <c r="G133">
        <f>SUMIF(DATA!$A:$A,PPL!$A133,DATA!E:E)</f>
        <v>34</v>
      </c>
      <c r="H133">
        <f>SUMIF(DATA!$A:$A,PPL!$A133,DATA!F:F)</f>
        <v>527</v>
      </c>
      <c r="I133">
        <f>SUMIF(DATA!$A:$A,PPL!$A133,DATA!G:G)</f>
        <v>4</v>
      </c>
      <c r="J133">
        <f>SUMIF(DATA!$A:$A,PPL!$A133,DATA!H:H)</f>
        <v>0</v>
      </c>
      <c r="K133">
        <f>SUMIF(DATA!$A:$A,PPL!$A133,DATA!I:I)</f>
        <v>29</v>
      </c>
      <c r="L133">
        <f>SUMIF(DATA!$A:$A,PPL!$A133,DATA!J:J)</f>
        <v>0</v>
      </c>
      <c r="M133">
        <f t="shared" si="2"/>
        <v>67</v>
      </c>
    </row>
    <row r="134" spans="1:13" x14ac:dyDescent="0.25">
      <c r="A134" t="s">
        <v>137</v>
      </c>
      <c r="B134" t="s">
        <v>379</v>
      </c>
      <c r="C134" t="s">
        <v>179</v>
      </c>
      <c r="D134" t="s">
        <v>184</v>
      </c>
      <c r="E134">
        <f>SUMIF(DATA!$A:$A,PPL!$A134,DATA!C:C)</f>
        <v>568</v>
      </c>
      <c r="F134">
        <f>SUMIF(DATA!$A:$A,PPL!$A134,DATA!D:D)</f>
        <v>0</v>
      </c>
      <c r="G134">
        <f>SUMIF(DATA!$A:$A,PPL!$A134,DATA!E:E)</f>
        <v>0</v>
      </c>
      <c r="H134">
        <f>SUMIF(DATA!$A:$A,PPL!$A134,DATA!F:F)</f>
        <v>503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65</v>
      </c>
      <c r="L134">
        <f>SUMIF(DATA!$A:$A,PPL!$A134,DATA!J:J)</f>
        <v>0</v>
      </c>
      <c r="M134">
        <f t="shared" si="2"/>
        <v>65</v>
      </c>
    </row>
    <row r="135" spans="1:13" x14ac:dyDescent="0.25">
      <c r="A135" t="s">
        <v>138</v>
      </c>
      <c r="B135" t="s">
        <v>380</v>
      </c>
      <c r="C135" t="s">
        <v>180</v>
      </c>
      <c r="D135" t="s">
        <v>183</v>
      </c>
      <c r="E135">
        <f>SUMIF(DATA!$A:$A,PPL!$A135,DATA!C:C)</f>
        <v>578</v>
      </c>
      <c r="F135">
        <f>SUMIF(DATA!$A:$A,PPL!$A135,DATA!D:D)</f>
        <v>0</v>
      </c>
      <c r="G135">
        <f>SUMIF(DATA!$A:$A,PPL!$A135,DATA!E:E)</f>
        <v>11</v>
      </c>
      <c r="H135">
        <f>SUMIF(DATA!$A:$A,PPL!$A135,DATA!F:F)</f>
        <v>546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21</v>
      </c>
      <c r="L135">
        <f>SUMIF(DATA!$A:$A,PPL!$A135,DATA!J:J)</f>
        <v>0</v>
      </c>
      <c r="M135">
        <f t="shared" si="2"/>
        <v>32</v>
      </c>
    </row>
    <row r="136" spans="1:13" x14ac:dyDescent="0.25">
      <c r="A136" t="s">
        <v>139</v>
      </c>
      <c r="B136" t="s">
        <v>381</v>
      </c>
      <c r="C136" t="s">
        <v>179</v>
      </c>
      <c r="D136" t="s">
        <v>184</v>
      </c>
      <c r="E136">
        <f>SUMIF(DATA!$A:$A,PPL!$A136,DATA!C:C)</f>
        <v>509</v>
      </c>
      <c r="F136">
        <f>SUMIF(DATA!$A:$A,PPL!$A136,DATA!D:D)</f>
        <v>0</v>
      </c>
      <c r="G136">
        <f>SUMIF(DATA!$A:$A,PPL!$A136,DATA!E:E)</f>
        <v>24</v>
      </c>
      <c r="H136">
        <f>SUMIF(DATA!$A:$A,PPL!$A136,DATA!F:F)</f>
        <v>449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36</v>
      </c>
      <c r="L136">
        <f>SUMIF(DATA!$A:$A,PPL!$A136,DATA!J:J)</f>
        <v>0</v>
      </c>
      <c r="M136">
        <f t="shared" si="2"/>
        <v>60</v>
      </c>
    </row>
    <row r="137" spans="1:13" x14ac:dyDescent="0.25">
      <c r="A137" t="s">
        <v>140</v>
      </c>
      <c r="B137" t="s">
        <v>382</v>
      </c>
      <c r="C137" t="s">
        <v>179</v>
      </c>
      <c r="D137" t="s">
        <v>184</v>
      </c>
      <c r="E137">
        <f>SUMIF(DATA!$A:$A,PPL!$A137,DATA!C:C)</f>
        <v>562</v>
      </c>
      <c r="F137">
        <f>SUMIF(DATA!$A:$A,PPL!$A137,DATA!D:D)</f>
        <v>1</v>
      </c>
      <c r="G137">
        <f>SUMIF(DATA!$A:$A,PPL!$A137,DATA!E:E)</f>
        <v>23</v>
      </c>
      <c r="H137">
        <f>SUMIF(DATA!$A:$A,PPL!$A137,DATA!F:F)</f>
        <v>472</v>
      </c>
      <c r="I137">
        <f>SUMIF(DATA!$A:$A,PPL!$A137,DATA!G:G)</f>
        <v>3</v>
      </c>
      <c r="J137">
        <f>SUMIF(DATA!$A:$A,PPL!$A137,DATA!H:H)</f>
        <v>0</v>
      </c>
      <c r="K137">
        <f>SUMIF(DATA!$A:$A,PPL!$A137,DATA!I:I)</f>
        <v>63</v>
      </c>
      <c r="L137">
        <f>SUMIF(DATA!$A:$A,PPL!$A137,DATA!J:J)</f>
        <v>0</v>
      </c>
      <c r="M137">
        <f t="shared" si="2"/>
        <v>90</v>
      </c>
    </row>
    <row r="138" spans="1:13" x14ac:dyDescent="0.25">
      <c r="A138" t="s">
        <v>141</v>
      </c>
      <c r="B138" t="s">
        <v>383</v>
      </c>
      <c r="C138" t="s">
        <v>179</v>
      </c>
      <c r="D138" t="s">
        <v>184</v>
      </c>
      <c r="E138">
        <f>SUMIF(DATA!$A:$A,PPL!$A138,DATA!C:C)</f>
        <v>587</v>
      </c>
      <c r="F138">
        <f>SUMIF(DATA!$A:$A,PPL!$A138,DATA!D:D)</f>
        <v>0</v>
      </c>
      <c r="G138">
        <f>SUMIF(DATA!$A:$A,PPL!$A138,DATA!E:E)</f>
        <v>46</v>
      </c>
      <c r="H138">
        <f>SUMIF(DATA!$A:$A,PPL!$A138,DATA!F:F)</f>
        <v>469</v>
      </c>
      <c r="I138">
        <f>SUMIF(DATA!$A:$A,PPL!$A138,DATA!G:G)</f>
        <v>1</v>
      </c>
      <c r="J138">
        <f>SUMIF(DATA!$A:$A,PPL!$A138,DATA!H:H)</f>
        <v>0</v>
      </c>
      <c r="K138">
        <f>SUMIF(DATA!$A:$A,PPL!$A138,DATA!I:I)</f>
        <v>71</v>
      </c>
      <c r="L138">
        <f>SUMIF(DATA!$A:$A,PPL!$A138,DATA!J:J)</f>
        <v>0</v>
      </c>
      <c r="M138">
        <f t="shared" si="2"/>
        <v>118</v>
      </c>
    </row>
    <row r="139" spans="1:13" x14ac:dyDescent="0.25">
      <c r="A139" t="s">
        <v>142</v>
      </c>
      <c r="B139" t="s">
        <v>384</v>
      </c>
      <c r="C139" t="s">
        <v>179</v>
      </c>
      <c r="D139" t="s">
        <v>184</v>
      </c>
      <c r="E139">
        <f>SUMIF(DATA!$A:$A,PPL!$A139,DATA!C:C)</f>
        <v>667</v>
      </c>
      <c r="F139">
        <f>SUMIF(DATA!$A:$A,PPL!$A139,DATA!D:D)</f>
        <v>0</v>
      </c>
      <c r="G139">
        <f>SUMIF(DATA!$A:$A,PPL!$A139,DATA!E:E)</f>
        <v>24</v>
      </c>
      <c r="H139">
        <f>SUMIF(DATA!$A:$A,PPL!$A139,DATA!F:F)</f>
        <v>597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46</v>
      </c>
      <c r="L139">
        <f>SUMIF(DATA!$A:$A,PPL!$A139,DATA!J:J)</f>
        <v>0</v>
      </c>
      <c r="M139">
        <f t="shared" si="2"/>
        <v>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workbookViewId="0">
      <selection activeCell="B9" sqref="B9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385</v>
      </c>
    </row>
    <row r="2" spans="1:11" x14ac:dyDescent="0.25">
      <c r="A2" t="s">
        <v>162</v>
      </c>
      <c r="B2" t="s">
        <v>198</v>
      </c>
      <c r="C2">
        <f>SUMIF(PPL!$C:$C,PML!$A2,PPL!E:E)</f>
        <v>4217</v>
      </c>
      <c r="D2">
        <f>SUMIF(PPL!$C:$C,PML!$A2,PPL!F:F)</f>
        <v>93</v>
      </c>
      <c r="E2">
        <f>SUMIF(PPL!$C:$C,PML!$A2,PPL!G:G)</f>
        <v>62</v>
      </c>
      <c r="F2">
        <f>SUMIF(PPL!$C:$C,PML!$A2,PPL!H:H)</f>
        <v>3520</v>
      </c>
      <c r="G2">
        <f>SUMIF(PPL!$C:$C,PML!$A2,PPL!I:I)</f>
        <v>0</v>
      </c>
      <c r="H2">
        <f>SUMIF(PPL!$C:$C,PML!$A2,PPL!J:J)</f>
        <v>0</v>
      </c>
      <c r="I2">
        <f>SUMIF(PPL!$C:$C,PML!$A2,PPL!K:K)</f>
        <v>542</v>
      </c>
      <c r="J2">
        <f>SUMIF(PPL!$C:$C,PML!$A2,PPL!L:L)</f>
        <v>0</v>
      </c>
      <c r="K2">
        <f>D2+G2+H2</f>
        <v>93</v>
      </c>
    </row>
    <row r="3" spans="1:11" x14ac:dyDescent="0.25">
      <c r="A3" t="s">
        <v>163</v>
      </c>
      <c r="B3" t="s">
        <v>187</v>
      </c>
      <c r="C3">
        <f>SUMIF(PPL!$C:$C,PML!$A3,PPL!E:E)</f>
        <v>4116</v>
      </c>
      <c r="D3">
        <f>SUMIF(PPL!$C:$C,PML!$A3,PPL!F:F)</f>
        <v>18</v>
      </c>
      <c r="E3">
        <f>SUMIF(PPL!$C:$C,PML!$A3,PPL!G:G)</f>
        <v>69</v>
      </c>
      <c r="F3">
        <f>SUMIF(PPL!$C:$C,PML!$A3,PPL!H:H)</f>
        <v>3524</v>
      </c>
      <c r="G3">
        <f>SUMIF(PPL!$C:$C,PML!$A3,PPL!I:I)</f>
        <v>0</v>
      </c>
      <c r="H3">
        <f>SUMIF(PPL!$C:$C,PML!$A3,PPL!J:J)</f>
        <v>0</v>
      </c>
      <c r="I3">
        <f>SUMIF(PPL!$C:$C,PML!$A3,PPL!K:K)</f>
        <v>505</v>
      </c>
      <c r="J3">
        <f>SUMIF(PPL!$C:$C,PML!$A3,PPL!L:L)</f>
        <v>0</v>
      </c>
      <c r="K3">
        <f t="shared" ref="K3:K20" si="0">D3+G3+H3</f>
        <v>18</v>
      </c>
    </row>
    <row r="4" spans="1:11" x14ac:dyDescent="0.25">
      <c r="A4" t="s">
        <v>164</v>
      </c>
      <c r="B4" t="s">
        <v>190</v>
      </c>
      <c r="C4">
        <f>SUMIF(PPL!$C:$C,PML!$A4,PPL!E:E)</f>
        <v>4229</v>
      </c>
      <c r="D4">
        <f>SUMIF(PPL!$C:$C,PML!$A4,PPL!F:F)</f>
        <v>19</v>
      </c>
      <c r="E4">
        <f>SUMIF(PPL!$C:$C,PML!$A4,PPL!G:G)</f>
        <v>53</v>
      </c>
      <c r="F4">
        <f>SUMIF(PPL!$C:$C,PML!$A4,PPL!H:H)</f>
        <v>3488</v>
      </c>
      <c r="G4">
        <f>SUMIF(PPL!$C:$C,PML!$A4,PPL!I:I)</f>
        <v>25</v>
      </c>
      <c r="H4">
        <f>SUMIF(PPL!$C:$C,PML!$A4,PPL!J:J)</f>
        <v>0</v>
      </c>
      <c r="I4">
        <f>SUMIF(PPL!$C:$C,PML!$A4,PPL!K:K)</f>
        <v>643</v>
      </c>
      <c r="J4">
        <f>SUMIF(PPL!$C:$C,PML!$A4,PPL!L:L)</f>
        <v>1</v>
      </c>
      <c r="K4">
        <f t="shared" si="0"/>
        <v>44</v>
      </c>
    </row>
    <row r="5" spans="1:11" x14ac:dyDescent="0.25">
      <c r="A5" t="s">
        <v>165</v>
      </c>
      <c r="B5" t="s">
        <v>181</v>
      </c>
      <c r="C5">
        <f>SUMIF(PPL!$C:$C,PML!$A5,PPL!E:E)</f>
        <v>4955</v>
      </c>
      <c r="D5">
        <f>SUMIF(PPL!$C:$C,PML!$A5,PPL!F:F)</f>
        <v>211</v>
      </c>
      <c r="E5">
        <f>SUMIF(PPL!$C:$C,PML!$A5,PPL!G:G)</f>
        <v>252</v>
      </c>
      <c r="F5">
        <f>SUMIF(PPL!$C:$C,PML!$A5,PPL!H:H)</f>
        <v>4159</v>
      </c>
      <c r="G5">
        <f>SUMIF(PPL!$C:$C,PML!$A5,PPL!I:I)</f>
        <v>61</v>
      </c>
      <c r="H5">
        <f>SUMIF(PPL!$C:$C,PML!$A5,PPL!J:J)</f>
        <v>0</v>
      </c>
      <c r="I5">
        <f>SUMIF(PPL!$C:$C,PML!$A5,PPL!K:K)</f>
        <v>272</v>
      </c>
      <c r="J5">
        <f>SUMIF(PPL!$C:$C,PML!$A5,PPL!L:L)</f>
        <v>0</v>
      </c>
      <c r="K5">
        <f t="shared" si="0"/>
        <v>272</v>
      </c>
    </row>
    <row r="6" spans="1:11" x14ac:dyDescent="0.25">
      <c r="A6" t="s">
        <v>166</v>
      </c>
      <c r="B6" t="s">
        <v>189</v>
      </c>
      <c r="C6">
        <f>SUMIF(PPL!$C:$C,PML!$A6,PPL!E:E)</f>
        <v>4277</v>
      </c>
      <c r="D6">
        <f>SUMIF(PPL!$C:$C,PML!$A6,PPL!F:F)</f>
        <v>42</v>
      </c>
      <c r="E6">
        <f>SUMIF(PPL!$C:$C,PML!$A6,PPL!G:G)</f>
        <v>44</v>
      </c>
      <c r="F6">
        <f>SUMIF(PPL!$C:$C,PML!$A6,PPL!H:H)</f>
        <v>3770</v>
      </c>
      <c r="G6">
        <f>SUMIF(PPL!$C:$C,PML!$A6,PPL!I:I)</f>
        <v>20</v>
      </c>
      <c r="H6">
        <f>SUMIF(PPL!$C:$C,PML!$A6,PPL!J:J)</f>
        <v>0</v>
      </c>
      <c r="I6">
        <f>SUMIF(PPL!$C:$C,PML!$A6,PPL!K:K)</f>
        <v>401</v>
      </c>
      <c r="J6">
        <f>SUMIF(PPL!$C:$C,PML!$A6,PPL!L:L)</f>
        <v>0</v>
      </c>
      <c r="K6">
        <f t="shared" si="0"/>
        <v>62</v>
      </c>
    </row>
    <row r="7" spans="1:11" x14ac:dyDescent="0.25">
      <c r="A7" t="s">
        <v>167</v>
      </c>
      <c r="B7" t="s">
        <v>182</v>
      </c>
      <c r="C7">
        <f>SUMIF(PPL!$C:$C,PML!$A7,PPL!E:E)</f>
        <v>4773</v>
      </c>
      <c r="D7">
        <f>SUMIF(PPL!$C:$C,PML!$A7,PPL!F:F)</f>
        <v>3</v>
      </c>
      <c r="E7">
        <f>SUMIF(PPL!$C:$C,PML!$A7,PPL!G:G)</f>
        <v>113</v>
      </c>
      <c r="F7">
        <f>SUMIF(PPL!$C:$C,PML!$A7,PPL!H:H)</f>
        <v>4209</v>
      </c>
      <c r="G7">
        <f>SUMIF(PPL!$C:$C,PML!$A7,PPL!I:I)</f>
        <v>0</v>
      </c>
      <c r="H7">
        <f>SUMIF(PPL!$C:$C,PML!$A7,PPL!J:J)</f>
        <v>0</v>
      </c>
      <c r="I7">
        <f>SUMIF(PPL!$C:$C,PML!$A7,PPL!K:K)</f>
        <v>448</v>
      </c>
      <c r="J7">
        <f>SUMIF(PPL!$C:$C,PML!$A7,PPL!L:L)</f>
        <v>0</v>
      </c>
      <c r="K7">
        <f t="shared" si="0"/>
        <v>3</v>
      </c>
    </row>
    <row r="8" spans="1:11" x14ac:dyDescent="0.25">
      <c r="A8" t="s">
        <v>168</v>
      </c>
      <c r="B8" t="s">
        <v>197</v>
      </c>
      <c r="C8">
        <f>SUMIF(PPL!$C:$C,PML!$A8,PPL!E:E)</f>
        <v>4641</v>
      </c>
      <c r="D8">
        <f>SUMIF(PPL!$C:$C,PML!$A8,PPL!F:F)</f>
        <v>4</v>
      </c>
      <c r="E8">
        <f>SUMIF(PPL!$C:$C,PML!$A8,PPL!G:G)</f>
        <v>67</v>
      </c>
      <c r="F8">
        <f>SUMIF(PPL!$C:$C,PML!$A8,PPL!H:H)</f>
        <v>4113</v>
      </c>
      <c r="G8">
        <f>SUMIF(PPL!$C:$C,PML!$A8,PPL!I:I)</f>
        <v>4</v>
      </c>
      <c r="H8">
        <f>SUMIF(PPL!$C:$C,PML!$A8,PPL!J:J)</f>
        <v>0</v>
      </c>
      <c r="I8">
        <f>SUMIF(PPL!$C:$C,PML!$A8,PPL!K:K)</f>
        <v>453</v>
      </c>
      <c r="J8">
        <f>SUMIF(PPL!$C:$C,PML!$A8,PPL!L:L)</f>
        <v>0</v>
      </c>
      <c r="K8">
        <f t="shared" si="0"/>
        <v>8</v>
      </c>
    </row>
    <row r="9" spans="1:11" x14ac:dyDescent="0.25">
      <c r="A9" t="s">
        <v>169</v>
      </c>
      <c r="B9" t="s">
        <v>199</v>
      </c>
      <c r="C9">
        <f>SUMIF(PPL!$C:$C,PML!$A9,PPL!E:E)</f>
        <v>5176</v>
      </c>
      <c r="D9">
        <f>SUMIF(PPL!$C:$C,PML!$A9,PPL!F:F)</f>
        <v>2</v>
      </c>
      <c r="E9">
        <f>SUMIF(PPL!$C:$C,PML!$A9,PPL!G:G)</f>
        <v>101</v>
      </c>
      <c r="F9">
        <f>SUMIF(PPL!$C:$C,PML!$A9,PPL!H:H)</f>
        <v>4348</v>
      </c>
      <c r="G9">
        <f>SUMIF(PPL!$C:$C,PML!$A9,PPL!I:I)</f>
        <v>9</v>
      </c>
      <c r="H9">
        <f>SUMIF(PPL!$C:$C,PML!$A9,PPL!J:J)</f>
        <v>0</v>
      </c>
      <c r="I9">
        <f>SUMIF(PPL!$C:$C,PML!$A9,PPL!K:K)</f>
        <v>716</v>
      </c>
      <c r="J9">
        <f>SUMIF(PPL!$C:$C,PML!$A9,PPL!L:L)</f>
        <v>0</v>
      </c>
      <c r="K9">
        <f t="shared" si="0"/>
        <v>11</v>
      </c>
    </row>
    <row r="10" spans="1:11" x14ac:dyDescent="0.25">
      <c r="A10" t="s">
        <v>170</v>
      </c>
      <c r="B10" t="s">
        <v>196</v>
      </c>
      <c r="C10">
        <f>SUMIF(PPL!$C:$C,PML!$A10,PPL!E:E)</f>
        <v>4670</v>
      </c>
      <c r="D10">
        <f>SUMIF(PPL!$C:$C,PML!$A10,PPL!F:F)</f>
        <v>65</v>
      </c>
      <c r="E10">
        <f>SUMIF(PPL!$C:$C,PML!$A10,PPL!G:G)</f>
        <v>122</v>
      </c>
      <c r="F10">
        <f>SUMIF(PPL!$C:$C,PML!$A10,PPL!H:H)</f>
        <v>3987</v>
      </c>
      <c r="G10">
        <f>SUMIF(PPL!$C:$C,PML!$A10,PPL!I:I)</f>
        <v>23</v>
      </c>
      <c r="H10">
        <f>SUMIF(PPL!$C:$C,PML!$A10,PPL!J:J)</f>
        <v>0</v>
      </c>
      <c r="I10">
        <f>SUMIF(PPL!$C:$C,PML!$A10,PPL!K:K)</f>
        <v>473</v>
      </c>
      <c r="J10">
        <f>SUMIF(PPL!$C:$C,PML!$A10,PPL!L:L)</f>
        <v>0</v>
      </c>
      <c r="K10">
        <f t="shared" si="0"/>
        <v>88</v>
      </c>
    </row>
    <row r="11" spans="1:11" x14ac:dyDescent="0.25">
      <c r="A11" t="s">
        <v>171</v>
      </c>
      <c r="B11" t="s">
        <v>195</v>
      </c>
      <c r="C11">
        <f>SUMIF(PPL!$C:$C,PML!$A11,PPL!E:E)</f>
        <v>3770</v>
      </c>
      <c r="D11">
        <f>SUMIF(PPL!$C:$C,PML!$A11,PPL!F:F)</f>
        <v>80</v>
      </c>
      <c r="E11">
        <f>SUMIF(PPL!$C:$C,PML!$A11,PPL!G:G)</f>
        <v>108</v>
      </c>
      <c r="F11">
        <f>SUMIF(PPL!$C:$C,PML!$A11,PPL!H:H)</f>
        <v>3317</v>
      </c>
      <c r="G11">
        <f>SUMIF(PPL!$C:$C,PML!$A11,PPL!I:I)</f>
        <v>9</v>
      </c>
      <c r="H11">
        <f>SUMIF(PPL!$C:$C,PML!$A11,PPL!J:J)</f>
        <v>0</v>
      </c>
      <c r="I11">
        <f>SUMIF(PPL!$C:$C,PML!$A11,PPL!K:K)</f>
        <v>256</v>
      </c>
      <c r="J11">
        <f>SUMIF(PPL!$C:$C,PML!$A11,PPL!L:L)</f>
        <v>0</v>
      </c>
      <c r="K11">
        <f t="shared" si="0"/>
        <v>89</v>
      </c>
    </row>
    <row r="12" spans="1:11" x14ac:dyDescent="0.25">
      <c r="A12" t="s">
        <v>172</v>
      </c>
      <c r="B12" t="s">
        <v>193</v>
      </c>
      <c r="C12">
        <f>SUMIF(PPL!$C:$C,PML!$A12,PPL!E:E)</f>
        <v>3343</v>
      </c>
      <c r="D12">
        <f>SUMIF(PPL!$C:$C,PML!$A12,PPL!F:F)</f>
        <v>0</v>
      </c>
      <c r="E12">
        <f>SUMIF(PPL!$C:$C,PML!$A12,PPL!G:G)</f>
        <v>30</v>
      </c>
      <c r="F12">
        <f>SUMIF(PPL!$C:$C,PML!$A12,PPL!H:H)</f>
        <v>2928</v>
      </c>
      <c r="G12">
        <f>SUMIF(PPL!$C:$C,PML!$A12,PPL!I:I)</f>
        <v>8</v>
      </c>
      <c r="H12">
        <f>SUMIF(PPL!$C:$C,PML!$A12,PPL!J:J)</f>
        <v>0</v>
      </c>
      <c r="I12">
        <f>SUMIF(PPL!$C:$C,PML!$A12,PPL!K:K)</f>
        <v>377</v>
      </c>
      <c r="J12">
        <f>SUMIF(PPL!$C:$C,PML!$A12,PPL!L:L)</f>
        <v>0</v>
      </c>
      <c r="K12">
        <f t="shared" si="0"/>
        <v>8</v>
      </c>
    </row>
    <row r="13" spans="1:11" x14ac:dyDescent="0.25">
      <c r="A13" t="s">
        <v>173</v>
      </c>
      <c r="B13" t="s">
        <v>186</v>
      </c>
      <c r="C13">
        <f>SUMIF(PPL!$C:$C,PML!$A13,PPL!E:E)</f>
        <v>3542</v>
      </c>
      <c r="D13">
        <f>SUMIF(PPL!$C:$C,PML!$A13,PPL!F:F)</f>
        <v>81</v>
      </c>
      <c r="E13">
        <f>SUMIF(PPL!$C:$C,PML!$A13,PPL!G:G)</f>
        <v>95</v>
      </c>
      <c r="F13">
        <f>SUMIF(PPL!$C:$C,PML!$A13,PPL!H:H)</f>
        <v>3001</v>
      </c>
      <c r="G13">
        <f>SUMIF(PPL!$C:$C,PML!$A13,PPL!I:I)</f>
        <v>4</v>
      </c>
      <c r="H13">
        <f>SUMIF(PPL!$C:$C,PML!$A13,PPL!J:J)</f>
        <v>0</v>
      </c>
      <c r="I13">
        <f>SUMIF(PPL!$C:$C,PML!$A13,PPL!K:K)</f>
        <v>361</v>
      </c>
      <c r="J13">
        <f>SUMIF(PPL!$C:$C,PML!$A13,PPL!L:L)</f>
        <v>0</v>
      </c>
      <c r="K13">
        <f t="shared" si="0"/>
        <v>85</v>
      </c>
    </row>
    <row r="14" spans="1:11" x14ac:dyDescent="0.25">
      <c r="A14" t="s">
        <v>174</v>
      </c>
      <c r="B14" t="s">
        <v>185</v>
      </c>
      <c r="C14">
        <f>SUMIF(PPL!$C:$C,PML!$A14,PPL!E:E)</f>
        <v>3420</v>
      </c>
      <c r="D14">
        <f>SUMIF(PPL!$C:$C,PML!$A14,PPL!F:F)</f>
        <v>32</v>
      </c>
      <c r="E14">
        <f>SUMIF(PPL!$C:$C,PML!$A14,PPL!G:G)</f>
        <v>117</v>
      </c>
      <c r="F14">
        <f>SUMIF(PPL!$C:$C,PML!$A14,PPL!H:H)</f>
        <v>2980</v>
      </c>
      <c r="G14">
        <f>SUMIF(PPL!$C:$C,PML!$A14,PPL!I:I)</f>
        <v>1</v>
      </c>
      <c r="H14">
        <f>SUMIF(PPL!$C:$C,PML!$A14,PPL!J:J)</f>
        <v>0</v>
      </c>
      <c r="I14">
        <f>SUMIF(PPL!$C:$C,PML!$A14,PPL!K:K)</f>
        <v>290</v>
      </c>
      <c r="J14">
        <f>SUMIF(PPL!$C:$C,PML!$A14,PPL!L:L)</f>
        <v>0</v>
      </c>
      <c r="K14">
        <f t="shared" si="0"/>
        <v>33</v>
      </c>
    </row>
    <row r="15" spans="1:11" x14ac:dyDescent="0.25">
      <c r="A15" t="s">
        <v>175</v>
      </c>
      <c r="B15" t="s">
        <v>188</v>
      </c>
      <c r="C15">
        <f>SUMIF(PPL!$C:$C,PML!$A15,PPL!E:E)</f>
        <v>3848</v>
      </c>
      <c r="D15">
        <f>SUMIF(PPL!$C:$C,PML!$A15,PPL!F:F)</f>
        <v>50</v>
      </c>
      <c r="E15">
        <f>SUMIF(PPL!$C:$C,PML!$A15,PPL!G:G)</f>
        <v>134</v>
      </c>
      <c r="F15">
        <f>SUMIF(PPL!$C:$C,PML!$A15,PPL!H:H)</f>
        <v>3268</v>
      </c>
      <c r="G15">
        <f>SUMIF(PPL!$C:$C,PML!$A15,PPL!I:I)</f>
        <v>3</v>
      </c>
      <c r="H15">
        <f>SUMIF(PPL!$C:$C,PML!$A15,PPL!J:J)</f>
        <v>0</v>
      </c>
      <c r="I15">
        <f>SUMIF(PPL!$C:$C,PML!$A15,PPL!K:K)</f>
        <v>393</v>
      </c>
      <c r="J15">
        <f>SUMIF(PPL!$C:$C,PML!$A15,PPL!L:L)</f>
        <v>0</v>
      </c>
      <c r="K15">
        <f t="shared" si="0"/>
        <v>53</v>
      </c>
    </row>
    <row r="16" spans="1:11" x14ac:dyDescent="0.25">
      <c r="A16" t="s">
        <v>176</v>
      </c>
      <c r="B16" t="s">
        <v>194</v>
      </c>
      <c r="C16">
        <f>SUMIF(PPL!$C:$C,PML!$A16,PPL!E:E)</f>
        <v>4211</v>
      </c>
      <c r="D16">
        <f>SUMIF(PPL!$C:$C,PML!$A16,PPL!F:F)</f>
        <v>97</v>
      </c>
      <c r="E16">
        <f>SUMIF(PPL!$C:$C,PML!$A16,PPL!G:G)</f>
        <v>189</v>
      </c>
      <c r="F16">
        <f>SUMIF(PPL!$C:$C,PML!$A16,PPL!H:H)</f>
        <v>3659</v>
      </c>
      <c r="G16">
        <f>SUMIF(PPL!$C:$C,PML!$A16,PPL!I:I)</f>
        <v>37</v>
      </c>
      <c r="H16">
        <f>SUMIF(PPL!$C:$C,PML!$A16,PPL!J:J)</f>
        <v>0</v>
      </c>
      <c r="I16">
        <f>SUMIF(PPL!$C:$C,PML!$A16,PPL!K:K)</f>
        <v>229</v>
      </c>
      <c r="J16">
        <f>SUMIF(PPL!$C:$C,PML!$A16,PPL!L:L)</f>
        <v>0</v>
      </c>
      <c r="K16">
        <f t="shared" si="0"/>
        <v>134</v>
      </c>
    </row>
    <row r="17" spans="1:11" x14ac:dyDescent="0.25">
      <c r="A17" t="s">
        <v>177</v>
      </c>
      <c r="B17" t="s">
        <v>192</v>
      </c>
      <c r="C17">
        <f>SUMIF(PPL!$C:$C,PML!$A17,PPL!E:E)</f>
        <v>4161</v>
      </c>
      <c r="D17">
        <f>SUMIF(PPL!$C:$C,PML!$A17,PPL!F:F)</f>
        <v>196</v>
      </c>
      <c r="E17">
        <f>SUMIF(PPL!$C:$C,PML!$A17,PPL!G:G)</f>
        <v>160</v>
      </c>
      <c r="F17">
        <f>SUMIF(PPL!$C:$C,PML!$A17,PPL!H:H)</f>
        <v>3494</v>
      </c>
      <c r="G17">
        <f>SUMIF(PPL!$C:$C,PML!$A17,PPL!I:I)</f>
        <v>24</v>
      </c>
      <c r="H17">
        <f>SUMIF(PPL!$C:$C,PML!$A17,PPL!J:J)</f>
        <v>0</v>
      </c>
      <c r="I17">
        <f>SUMIF(PPL!$C:$C,PML!$A17,PPL!K:K)</f>
        <v>287</v>
      </c>
      <c r="J17">
        <f>SUMIF(PPL!$C:$C,PML!$A17,PPL!L:L)</f>
        <v>0</v>
      </c>
      <c r="K17">
        <f t="shared" si="0"/>
        <v>220</v>
      </c>
    </row>
    <row r="18" spans="1:11" x14ac:dyDescent="0.25">
      <c r="A18" t="s">
        <v>178</v>
      </c>
      <c r="B18" t="s">
        <v>191</v>
      </c>
      <c r="C18">
        <f>SUMIF(PPL!$C:$C,PML!$A18,PPL!E:E)</f>
        <v>4090</v>
      </c>
      <c r="D18">
        <f>SUMIF(PPL!$C:$C,PML!$A18,PPL!F:F)</f>
        <v>260</v>
      </c>
      <c r="E18">
        <f>SUMIF(PPL!$C:$C,PML!$A18,PPL!G:G)</f>
        <v>98</v>
      </c>
      <c r="F18">
        <f>SUMIF(PPL!$C:$C,PML!$A18,PPL!H:H)</f>
        <v>3509</v>
      </c>
      <c r="G18">
        <f>SUMIF(PPL!$C:$C,PML!$A18,PPL!I:I)</f>
        <v>60</v>
      </c>
      <c r="H18">
        <f>SUMIF(PPL!$C:$C,PML!$A18,PPL!J:J)</f>
        <v>0</v>
      </c>
      <c r="I18">
        <f>SUMIF(PPL!$C:$C,PML!$A18,PPL!K:K)</f>
        <v>163</v>
      </c>
      <c r="J18">
        <f>SUMIF(PPL!$C:$C,PML!$A18,PPL!L:L)</f>
        <v>0</v>
      </c>
      <c r="K18">
        <f t="shared" si="0"/>
        <v>320</v>
      </c>
    </row>
    <row r="19" spans="1:11" x14ac:dyDescent="0.25">
      <c r="A19" t="s">
        <v>179</v>
      </c>
      <c r="B19" t="s">
        <v>184</v>
      </c>
      <c r="C19">
        <f>SUMIF(PPL!$C:$C,PML!$A19,PPL!E:E)</f>
        <v>3490</v>
      </c>
      <c r="D19">
        <f>SUMIF(PPL!$C:$C,PML!$A19,PPL!F:F)</f>
        <v>1</v>
      </c>
      <c r="E19">
        <f>SUMIF(PPL!$C:$C,PML!$A19,PPL!G:G)</f>
        <v>137</v>
      </c>
      <c r="F19">
        <f>SUMIF(PPL!$C:$C,PML!$A19,PPL!H:H)</f>
        <v>3024</v>
      </c>
      <c r="G19">
        <f>SUMIF(PPL!$C:$C,PML!$A19,PPL!I:I)</f>
        <v>6</v>
      </c>
      <c r="H19">
        <f>SUMIF(PPL!$C:$C,PML!$A19,PPL!J:J)</f>
        <v>0</v>
      </c>
      <c r="I19">
        <f>SUMIF(PPL!$C:$C,PML!$A19,PPL!K:K)</f>
        <v>322</v>
      </c>
      <c r="J19">
        <f>SUMIF(PPL!$C:$C,PML!$A19,PPL!L:L)</f>
        <v>0</v>
      </c>
      <c r="K19">
        <f t="shared" si="0"/>
        <v>7</v>
      </c>
    </row>
    <row r="20" spans="1:11" x14ac:dyDescent="0.25">
      <c r="A20" t="s">
        <v>180</v>
      </c>
      <c r="B20" t="s">
        <v>183</v>
      </c>
      <c r="C20">
        <f>SUMIF(PPL!$C:$C,PML!$A20,PPL!E:E)</f>
        <v>4037</v>
      </c>
      <c r="D20">
        <f>SUMIF(PPL!$C:$C,PML!$A20,PPL!F:F)</f>
        <v>61</v>
      </c>
      <c r="E20">
        <f>SUMIF(PPL!$C:$C,PML!$A20,PPL!G:G)</f>
        <v>92</v>
      </c>
      <c r="F20">
        <f>SUMIF(PPL!$C:$C,PML!$A20,PPL!H:H)</f>
        <v>3684</v>
      </c>
      <c r="G20">
        <f>SUMIF(PPL!$C:$C,PML!$A20,PPL!I:I)</f>
        <v>18</v>
      </c>
      <c r="H20">
        <f>SUMIF(PPL!$C:$C,PML!$A20,PPL!J:J)</f>
        <v>0</v>
      </c>
      <c r="I20">
        <f>SUMIF(PPL!$C:$C,PML!$A20,PPL!K:K)</f>
        <v>181</v>
      </c>
      <c r="J20">
        <f>SUMIF(PPL!$C:$C,PML!$A20,PPL!L:L)</f>
        <v>1</v>
      </c>
      <c r="K20">
        <f t="shared" si="0"/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region_summary (8)</vt:lpstr>
      <vt:lpstr>DATA</vt:lpstr>
      <vt:lpstr>HARIAN</vt:lpstr>
      <vt:lpstr>PPL</vt:lpstr>
      <vt:lpstr>PML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2026-06-24T07:36:57Z</dcterms:modified>
</cp:coreProperties>
</file>