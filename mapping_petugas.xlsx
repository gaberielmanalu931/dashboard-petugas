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0E8365B-C264-485B-864C-914B444BCE2A}" xr6:coauthVersionLast="47" xr6:coauthVersionMax="47" xr10:uidLastSave="{00000000-0000-0000-0000-000000000000}"/>
  <bookViews>
    <workbookView xWindow="0" yWindow="0" windowWidth="28800" windowHeight="15480" activeTab="3" xr2:uid="{00000000-000D-0000-FFFF-FFFF00000000}"/>
  </bookViews>
  <sheets>
    <sheet name="Sheet1" sheetId="1" r:id="rId1"/>
    <sheet name="region_summary (33)" sheetId="23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(33)'!$A$1:$J$1058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86" i="4" l="1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6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7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<sst xmlns="http://schemas.openxmlformats.org/spreadsheetml/2006/main" count="3652" uniqueCount="399">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</sst>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CBF8A3D2-10FE-4328-A359-C435F2C8CD51}" autoFormatId="16" applyNumberFormats="0" applyBorderFormats="0" applyFontFormats="0" applyPatternFormats="0" applyAlignmentFormats="0" applyWidthHeightFormats="0">
  <queryTableRefresh nextId="14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8" name="OP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</queryTableFields>
    <queryTableDeletedFields count="2">
      <deletedField name="EDITED BY Pengawas"/>
      <deletedField name="EDITED BY Admin Kabupaten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2CA39-8078-4428-917D-C497CECFC222}" name="region_summary__33" displayName="region_summary__33" ref="A1:J1058" tableType="queryTable" totalsRowShown="0">
  <autoFilter ref="A1:J1058" xr:uid="{DE92CA39-8078-4428-917D-C497CECFC222}"/>
  <tableColumns count="10">
    <tableColumn id="1" xr3:uid="{6AF4D4F0-AF10-4CAC-A3EB-52F1BD4945FA}" uniqueName="1" name="email" queryTableFieldId="1" dataDxfId="0"/>
    <tableColumn id="2" xr3:uid="{6CBB8C44-B3D0-41A0-A0E1-352199E7095F}" uniqueName="2" name="regionCode" queryTableFieldId="2"/>
    <tableColumn id="3" xr3:uid="{4DF566E5-AF2A-4714-BC73-EAE68F8738A4}" uniqueName="3" name="total" queryTableFieldId="3"/>
    <tableColumn id="4" xr3:uid="{1A4FBFF0-8988-4450-A1ED-502F3700455A}" uniqueName="4" name="APPROVED BY Pengawas" queryTableFieldId="4"/>
    <tableColumn id="5" xr3:uid="{12E19749-DBEA-4CF2-ABFA-1A92D1A3074F}" uniqueName="5" name="DRAFT" queryTableFieldId="5"/>
    <tableColumn id="8" xr3:uid="{AD8B03BF-1225-4671-AF19-23365DD113CB}" uniqueName="8" name="OPEN" queryTableFieldId="8"/>
    <tableColumn id="9" xr3:uid="{D04607F8-DFB9-4E31-9D99-8EA0A5FBD202}" uniqueName="9" name="REJECTED BY Pengawas" queryTableFieldId="9"/>
    <tableColumn id="10" xr3:uid="{75376262-DB7E-494D-BEA9-1A36EC6733E8}" uniqueName="10" name="REVOKED BY Pengawas" queryTableFieldId="10"/>
    <tableColumn id="11" xr3:uid="{B8A0FA78-EE5D-4370-9892-C30004021058}" uniqueName="11" name="SUBMITTED BY Pencacah" queryTableFieldId="11"/>
    <tableColumn id="12" xr3:uid="{E2A4F3A7-F0A8-421E-A04F-8D0CDD5BDE4B}" uniqueName="12" name="SUBMITTED RESPONDENT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146CA-7A07-4242-AF16-6C5A183307AE}">
  <dimension ref="A1:J1058"/>
  <sheetViews>
    <sheetView topLeftCell="A1027" workbookViewId="0">
      <selection activeCell="A2" sqref="A2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4" t="s">
        <v>10</v>
      </c>
      <c r="B2">
        <v>7172010009002700</v>
      </c>
      <c r="C2">
        <v>103</v>
      </c>
      <c r="D2">
        <v>17</v>
      </c>
      <c r="E2">
        <v>8</v>
      </c>
      <c r="F2">
        <v>17</v>
      </c>
      <c r="G2">
        <v>0</v>
      </c>
      <c r="H2">
        <v>1</v>
      </c>
      <c r="I2">
        <v>60</v>
      </c>
      <c r="J2">
        <v>0</v>
      </c>
    </row>
    <row r="3" spans="1:10" x14ac:dyDescent="0.25">
      <c r="A3" s="4" t="s">
        <v>10</v>
      </c>
      <c r="B3">
        <v>7172010009002800</v>
      </c>
      <c r="C3">
        <v>103</v>
      </c>
      <c r="D3">
        <v>29</v>
      </c>
      <c r="E3">
        <v>5</v>
      </c>
      <c r="F3">
        <v>2</v>
      </c>
      <c r="G3">
        <v>52</v>
      </c>
      <c r="H3">
        <v>0</v>
      </c>
      <c r="I3">
        <v>15</v>
      </c>
      <c r="J3">
        <v>0</v>
      </c>
    </row>
    <row r="4" spans="1:10" x14ac:dyDescent="0.25">
      <c r="A4" s="4" t="s">
        <v>10</v>
      </c>
      <c r="B4">
        <v>7172010009002600</v>
      </c>
      <c r="C4">
        <v>90</v>
      </c>
      <c r="D4">
        <v>0</v>
      </c>
      <c r="E4">
        <v>8</v>
      </c>
      <c r="F4">
        <v>39</v>
      </c>
      <c r="G4">
        <v>0</v>
      </c>
      <c r="H4">
        <v>0</v>
      </c>
      <c r="I4">
        <v>43</v>
      </c>
      <c r="J4">
        <v>0</v>
      </c>
    </row>
    <row r="5" spans="1:10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4" t="s">
        <v>6</v>
      </c>
      <c r="B12">
        <v>7172010008000500</v>
      </c>
      <c r="C12">
        <v>82</v>
      </c>
      <c r="D12">
        <v>14</v>
      </c>
      <c r="E12">
        <v>8</v>
      </c>
      <c r="F12">
        <v>42</v>
      </c>
      <c r="G12">
        <v>0</v>
      </c>
      <c r="H12">
        <v>0</v>
      </c>
      <c r="I12">
        <v>18</v>
      </c>
      <c r="J12">
        <v>0</v>
      </c>
    </row>
    <row r="13" spans="1:10" x14ac:dyDescent="0.25">
      <c r="A13" s="4" t="s">
        <v>6</v>
      </c>
      <c r="B13">
        <v>7172010008000200</v>
      </c>
      <c r="C13">
        <v>73</v>
      </c>
      <c r="D13">
        <v>68</v>
      </c>
      <c r="E13">
        <v>2</v>
      </c>
      <c r="F13">
        <v>0</v>
      </c>
      <c r="G13">
        <v>3</v>
      </c>
      <c r="H13">
        <v>0</v>
      </c>
      <c r="I13">
        <v>0</v>
      </c>
      <c r="J13">
        <v>0</v>
      </c>
    </row>
    <row r="14" spans="1:10" x14ac:dyDescent="0.25">
      <c r="A14" s="4" t="s">
        <v>6</v>
      </c>
      <c r="B14">
        <v>7172010008000400</v>
      </c>
      <c r="C14">
        <v>71</v>
      </c>
      <c r="D14">
        <v>12</v>
      </c>
      <c r="E14">
        <v>3</v>
      </c>
      <c r="F14">
        <v>7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4" t="s">
        <v>6</v>
      </c>
      <c r="B16">
        <v>7172010008000300</v>
      </c>
      <c r="C16">
        <v>43</v>
      </c>
      <c r="D16">
        <v>29</v>
      </c>
      <c r="E16">
        <v>1</v>
      </c>
      <c r="F16">
        <v>0</v>
      </c>
      <c r="G16">
        <v>8</v>
      </c>
      <c r="H16">
        <v>0</v>
      </c>
      <c r="I16">
        <v>5</v>
      </c>
      <c r="J16">
        <v>0</v>
      </c>
    </row>
    <row r="17" spans="1:10" x14ac:dyDescent="0.25">
      <c r="A17" s="4" t="s">
        <v>13</v>
      </c>
      <c r="B17">
        <v>7172010010002100</v>
      </c>
      <c r="C17">
        <v>85</v>
      </c>
      <c r="D17">
        <v>29</v>
      </c>
      <c r="E17">
        <v>1</v>
      </c>
      <c r="F17">
        <v>4</v>
      </c>
      <c r="G17">
        <v>0</v>
      </c>
      <c r="H17">
        <v>0</v>
      </c>
      <c r="I17">
        <v>51</v>
      </c>
      <c r="J17">
        <v>0</v>
      </c>
    </row>
    <row r="18" spans="1:10" x14ac:dyDescent="0.25">
      <c r="A18" s="4" t="s">
        <v>13</v>
      </c>
      <c r="B18">
        <v>7172010010001600</v>
      </c>
      <c r="C18">
        <v>80</v>
      </c>
      <c r="D18">
        <v>19</v>
      </c>
      <c r="E18">
        <v>4</v>
      </c>
      <c r="F18">
        <v>17</v>
      </c>
      <c r="G18">
        <v>0</v>
      </c>
      <c r="H18">
        <v>0</v>
      </c>
      <c r="I18">
        <v>40</v>
      </c>
      <c r="J18">
        <v>0</v>
      </c>
    </row>
    <row r="19" spans="1:10" x14ac:dyDescent="0.25">
      <c r="A19" s="4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4" t="s">
        <v>13</v>
      </c>
      <c r="B22">
        <v>7172010010001700</v>
      </c>
      <c r="C22">
        <v>46</v>
      </c>
      <c r="D22">
        <v>11</v>
      </c>
      <c r="E22">
        <v>1</v>
      </c>
      <c r="F22">
        <v>9</v>
      </c>
      <c r="G22">
        <v>0</v>
      </c>
      <c r="H22">
        <v>0</v>
      </c>
      <c r="I22">
        <v>25</v>
      </c>
      <c r="J22">
        <v>0</v>
      </c>
    </row>
    <row r="23" spans="1:10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4" t="s">
        <v>13</v>
      </c>
      <c r="B26">
        <v>7172010010002200</v>
      </c>
      <c r="C26">
        <v>31</v>
      </c>
      <c r="D26">
        <v>0</v>
      </c>
      <c r="E26">
        <v>0</v>
      </c>
      <c r="F26">
        <v>27</v>
      </c>
      <c r="G26">
        <v>0</v>
      </c>
      <c r="H26">
        <v>0</v>
      </c>
      <c r="I26">
        <v>4</v>
      </c>
      <c r="J26">
        <v>0</v>
      </c>
    </row>
    <row r="27" spans="1:10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4" t="s">
        <v>16</v>
      </c>
      <c r="B33">
        <v>7172010012001500</v>
      </c>
      <c r="C33">
        <v>57</v>
      </c>
      <c r="D33">
        <v>0</v>
      </c>
      <c r="E33">
        <v>8</v>
      </c>
      <c r="F33">
        <v>16</v>
      </c>
      <c r="G33">
        <v>0</v>
      </c>
      <c r="H33">
        <v>0</v>
      </c>
      <c r="I33">
        <v>33</v>
      </c>
      <c r="J33">
        <v>0</v>
      </c>
    </row>
    <row r="34" spans="1:10" x14ac:dyDescent="0.25">
      <c r="A34" s="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37</v>
      </c>
      <c r="J34">
        <v>0</v>
      </c>
    </row>
    <row r="35" spans="1:10" x14ac:dyDescent="0.25">
      <c r="A35" s="4" t="s">
        <v>16</v>
      </c>
      <c r="B35">
        <v>7172010012002400</v>
      </c>
      <c r="C35">
        <v>51</v>
      </c>
      <c r="D35">
        <v>0</v>
      </c>
      <c r="E35">
        <v>0</v>
      </c>
      <c r="F35">
        <v>51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4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4" t="s">
        <v>16</v>
      </c>
      <c r="B37">
        <v>7172010012001400</v>
      </c>
      <c r="C37">
        <v>45</v>
      </c>
      <c r="D37">
        <v>10</v>
      </c>
      <c r="E37">
        <v>5</v>
      </c>
      <c r="F37">
        <v>1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4" t="s">
        <v>16</v>
      </c>
      <c r="B39">
        <v>7172010012001300</v>
      </c>
      <c r="C39">
        <v>30</v>
      </c>
      <c r="D39">
        <v>13</v>
      </c>
      <c r="E39">
        <v>0</v>
      </c>
      <c r="F39">
        <v>0</v>
      </c>
      <c r="G39">
        <v>3</v>
      </c>
      <c r="H39">
        <v>0</v>
      </c>
      <c r="I39">
        <v>14</v>
      </c>
      <c r="J39">
        <v>0</v>
      </c>
    </row>
    <row r="40" spans="1:10" x14ac:dyDescent="0.25">
      <c r="A40" s="4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4" t="s">
        <v>17</v>
      </c>
      <c r="B42">
        <v>7172010015003400</v>
      </c>
      <c r="C42">
        <v>227</v>
      </c>
      <c r="D42">
        <v>27</v>
      </c>
      <c r="E42">
        <v>9</v>
      </c>
      <c r="F42">
        <v>36</v>
      </c>
      <c r="G42">
        <v>1</v>
      </c>
      <c r="H42">
        <v>0</v>
      </c>
      <c r="I42">
        <v>154</v>
      </c>
      <c r="J42">
        <v>0</v>
      </c>
    </row>
    <row r="43" spans="1:10" x14ac:dyDescent="0.25">
      <c r="A43" s="4" t="s">
        <v>17</v>
      </c>
      <c r="B43">
        <v>7172010015003300</v>
      </c>
      <c r="C43">
        <v>194</v>
      </c>
      <c r="D43">
        <v>4</v>
      </c>
      <c r="E43">
        <v>9</v>
      </c>
      <c r="F43">
        <v>158</v>
      </c>
      <c r="G43">
        <v>1</v>
      </c>
      <c r="H43">
        <v>0</v>
      </c>
      <c r="I43">
        <v>22</v>
      </c>
      <c r="J43">
        <v>0</v>
      </c>
    </row>
    <row r="44" spans="1:10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4" t="s">
        <v>20</v>
      </c>
      <c r="B49">
        <v>7172010016001700</v>
      </c>
      <c r="C49">
        <v>101</v>
      </c>
      <c r="D49">
        <v>36</v>
      </c>
      <c r="E49">
        <v>0</v>
      </c>
      <c r="F49">
        <v>8</v>
      </c>
      <c r="G49">
        <v>0</v>
      </c>
      <c r="H49">
        <v>0</v>
      </c>
      <c r="I49">
        <v>57</v>
      </c>
      <c r="J49">
        <v>0</v>
      </c>
    </row>
    <row r="50" spans="1:10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4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s="4" t="s">
        <v>20</v>
      </c>
      <c r="B52">
        <v>7172010016002200</v>
      </c>
      <c r="C52">
        <v>62</v>
      </c>
      <c r="D52">
        <v>12</v>
      </c>
      <c r="E52">
        <v>3</v>
      </c>
      <c r="F52">
        <v>13</v>
      </c>
      <c r="G52">
        <v>1</v>
      </c>
      <c r="H52">
        <v>0</v>
      </c>
      <c r="I52">
        <v>33</v>
      </c>
      <c r="J52">
        <v>0</v>
      </c>
    </row>
    <row r="53" spans="1:10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4" t="s">
        <v>20</v>
      </c>
      <c r="B58">
        <v>7172010016001500</v>
      </c>
      <c r="C58">
        <v>42</v>
      </c>
      <c r="D58">
        <v>12</v>
      </c>
      <c r="E58">
        <v>2</v>
      </c>
      <c r="F58">
        <v>11</v>
      </c>
      <c r="G58">
        <v>17</v>
      </c>
      <c r="H58">
        <v>0</v>
      </c>
      <c r="I58">
        <v>0</v>
      </c>
      <c r="J58">
        <v>0</v>
      </c>
    </row>
    <row r="59" spans="1:10" x14ac:dyDescent="0.25">
      <c r="A59" s="4" t="s">
        <v>18</v>
      </c>
      <c r="B59">
        <v>7172010017001300</v>
      </c>
      <c r="C59">
        <v>149</v>
      </c>
      <c r="D59">
        <v>97</v>
      </c>
      <c r="E59">
        <v>4</v>
      </c>
      <c r="F59">
        <v>0</v>
      </c>
      <c r="G59">
        <v>20</v>
      </c>
      <c r="H59">
        <v>0</v>
      </c>
      <c r="I59">
        <v>28</v>
      </c>
      <c r="J59">
        <v>0</v>
      </c>
    </row>
    <row r="60" spans="1:10" x14ac:dyDescent="0.25">
      <c r="A60" s="4" t="s">
        <v>18</v>
      </c>
      <c r="B60">
        <v>7172010017001800</v>
      </c>
      <c r="C60">
        <v>102</v>
      </c>
      <c r="D60">
        <v>31</v>
      </c>
      <c r="E60">
        <v>8</v>
      </c>
      <c r="F60">
        <v>0</v>
      </c>
      <c r="G60">
        <v>0</v>
      </c>
      <c r="H60">
        <v>0</v>
      </c>
      <c r="I60">
        <v>63</v>
      </c>
      <c r="J60">
        <v>0</v>
      </c>
    </row>
    <row r="61" spans="1:10" x14ac:dyDescent="0.25">
      <c r="A61" s="4" t="s">
        <v>18</v>
      </c>
      <c r="B61">
        <v>7172010017002100</v>
      </c>
      <c r="C61">
        <v>88</v>
      </c>
      <c r="D61">
        <v>3</v>
      </c>
      <c r="E61">
        <v>18</v>
      </c>
      <c r="F61">
        <v>57</v>
      </c>
      <c r="G61">
        <v>0</v>
      </c>
      <c r="H61">
        <v>0</v>
      </c>
      <c r="I61">
        <v>10</v>
      </c>
      <c r="J61">
        <v>0</v>
      </c>
    </row>
    <row r="62" spans="1:10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4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4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s="4" t="s">
        <v>22</v>
      </c>
      <c r="B69">
        <v>7172010015002100</v>
      </c>
      <c r="C69">
        <v>130</v>
      </c>
      <c r="D69">
        <v>20</v>
      </c>
      <c r="E69">
        <v>5</v>
      </c>
      <c r="F69">
        <v>42</v>
      </c>
      <c r="G69">
        <v>1</v>
      </c>
      <c r="H69">
        <v>0</v>
      </c>
      <c r="I69">
        <v>62</v>
      </c>
      <c r="J69">
        <v>0</v>
      </c>
    </row>
    <row r="70" spans="1:10" x14ac:dyDescent="0.25">
      <c r="A70" s="4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4" t="s">
        <v>24</v>
      </c>
      <c r="B76">
        <v>7172010016001300</v>
      </c>
      <c r="C76">
        <v>101</v>
      </c>
      <c r="D76">
        <v>22</v>
      </c>
      <c r="E76">
        <v>7</v>
      </c>
      <c r="F76">
        <v>3</v>
      </c>
      <c r="G76">
        <v>2</v>
      </c>
      <c r="H76">
        <v>0</v>
      </c>
      <c r="I76">
        <v>67</v>
      </c>
      <c r="J76">
        <v>0</v>
      </c>
    </row>
    <row r="77" spans="1:10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4" t="s">
        <v>24</v>
      </c>
      <c r="B78">
        <v>7172010016000700</v>
      </c>
      <c r="C78">
        <v>71</v>
      </c>
      <c r="D78">
        <v>8</v>
      </c>
      <c r="E78">
        <v>0</v>
      </c>
      <c r="F78">
        <v>5</v>
      </c>
      <c r="G78">
        <v>1</v>
      </c>
      <c r="H78">
        <v>0</v>
      </c>
      <c r="I78">
        <v>57</v>
      </c>
      <c r="J78">
        <v>0</v>
      </c>
    </row>
    <row r="79" spans="1:10" x14ac:dyDescent="0.25">
      <c r="A79" s="4" t="s">
        <v>24</v>
      </c>
      <c r="B79">
        <v>7172010016000800</v>
      </c>
      <c r="C79">
        <v>65</v>
      </c>
      <c r="D79">
        <v>0</v>
      </c>
      <c r="E79">
        <v>29</v>
      </c>
      <c r="F79">
        <v>9</v>
      </c>
      <c r="G79">
        <v>0</v>
      </c>
      <c r="H79">
        <v>0</v>
      </c>
      <c r="I79">
        <v>27</v>
      </c>
      <c r="J79">
        <v>0</v>
      </c>
    </row>
    <row r="80" spans="1:10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4" t="s">
        <v>24</v>
      </c>
      <c r="B82">
        <v>7172010016001000</v>
      </c>
      <c r="C82">
        <v>54</v>
      </c>
      <c r="D82">
        <v>0</v>
      </c>
      <c r="E82">
        <v>0</v>
      </c>
      <c r="F82">
        <v>45</v>
      </c>
      <c r="G82">
        <v>0</v>
      </c>
      <c r="H82">
        <v>0</v>
      </c>
      <c r="I82">
        <v>9</v>
      </c>
      <c r="J82">
        <v>0</v>
      </c>
    </row>
    <row r="83" spans="1:10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4" t="s">
        <v>26</v>
      </c>
      <c r="B87">
        <v>7172011001000100</v>
      </c>
      <c r="C87">
        <v>154</v>
      </c>
      <c r="D87">
        <v>71</v>
      </c>
      <c r="E87">
        <v>56</v>
      </c>
      <c r="F87">
        <v>22</v>
      </c>
      <c r="G87">
        <v>4</v>
      </c>
      <c r="H87">
        <v>0</v>
      </c>
      <c r="I87">
        <v>1</v>
      </c>
      <c r="J87">
        <v>0</v>
      </c>
    </row>
    <row r="88" spans="1:10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4" t="s">
        <v>26</v>
      </c>
      <c r="B89">
        <v>7172011001000600</v>
      </c>
      <c r="C89">
        <v>91</v>
      </c>
      <c r="D89">
        <v>23</v>
      </c>
      <c r="E89">
        <v>48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4" t="s">
        <v>26</v>
      </c>
      <c r="B91">
        <v>7172011001000300</v>
      </c>
      <c r="C91">
        <v>74</v>
      </c>
      <c r="D91">
        <v>0</v>
      </c>
      <c r="E91">
        <v>4</v>
      </c>
      <c r="F91">
        <v>68</v>
      </c>
      <c r="G91">
        <v>0</v>
      </c>
      <c r="H91">
        <v>0</v>
      </c>
      <c r="I91">
        <v>2</v>
      </c>
      <c r="J91">
        <v>0</v>
      </c>
    </row>
    <row r="92" spans="1:10" x14ac:dyDescent="0.25">
      <c r="A92" s="4" t="s">
        <v>26</v>
      </c>
      <c r="B92">
        <v>7172011001000200</v>
      </c>
      <c r="C92">
        <v>72</v>
      </c>
      <c r="D92">
        <v>0</v>
      </c>
      <c r="E92">
        <v>5</v>
      </c>
      <c r="F92">
        <v>66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s="4" t="s">
        <v>26</v>
      </c>
      <c r="B93">
        <v>7172011001000500</v>
      </c>
      <c r="C93">
        <v>70</v>
      </c>
      <c r="D93">
        <v>22</v>
      </c>
      <c r="E93">
        <v>15</v>
      </c>
      <c r="F93">
        <v>16</v>
      </c>
      <c r="G93">
        <v>10</v>
      </c>
      <c r="H93">
        <v>0</v>
      </c>
      <c r="I93">
        <v>7</v>
      </c>
      <c r="J93">
        <v>0</v>
      </c>
    </row>
    <row r="94" spans="1:10" x14ac:dyDescent="0.25">
      <c r="A94" s="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s="4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78</v>
      </c>
      <c r="H96">
        <v>0</v>
      </c>
      <c r="I96">
        <v>8</v>
      </c>
      <c r="J96">
        <v>0</v>
      </c>
    </row>
    <row r="97" spans="1:10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s="4" t="s">
        <v>19</v>
      </c>
      <c r="B99">
        <v>7172010017000100</v>
      </c>
      <c r="C99">
        <v>53</v>
      </c>
      <c r="D99">
        <v>21</v>
      </c>
      <c r="E99">
        <v>0</v>
      </c>
      <c r="F99">
        <v>0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s="4" t="s">
        <v>19</v>
      </c>
      <c r="B100">
        <v>7172010017000200</v>
      </c>
      <c r="C100">
        <v>49</v>
      </c>
      <c r="D100">
        <v>13</v>
      </c>
      <c r="E100">
        <v>0</v>
      </c>
      <c r="F100">
        <v>16</v>
      </c>
      <c r="G100">
        <v>0</v>
      </c>
      <c r="H100">
        <v>0</v>
      </c>
      <c r="I100">
        <v>20</v>
      </c>
      <c r="J100">
        <v>0</v>
      </c>
    </row>
    <row r="101" spans="1:10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11</v>
      </c>
      <c r="H104">
        <v>0</v>
      </c>
      <c r="I104">
        <v>6</v>
      </c>
      <c r="J104">
        <v>0</v>
      </c>
    </row>
    <row r="105" spans="1:10" x14ac:dyDescent="0.25">
      <c r="A105" s="4" t="s">
        <v>28</v>
      </c>
      <c r="B105">
        <v>7172011002000700</v>
      </c>
      <c r="C105">
        <v>115</v>
      </c>
      <c r="D105">
        <v>17</v>
      </c>
      <c r="E105">
        <v>11</v>
      </c>
      <c r="F105">
        <v>44</v>
      </c>
      <c r="G105">
        <v>1</v>
      </c>
      <c r="H105">
        <v>0</v>
      </c>
      <c r="I105">
        <v>42</v>
      </c>
      <c r="J105">
        <v>0</v>
      </c>
    </row>
    <row r="106" spans="1:10" x14ac:dyDescent="0.25">
      <c r="A106" s="4" t="s">
        <v>28</v>
      </c>
      <c r="B106">
        <v>7172011002000500</v>
      </c>
      <c r="C106">
        <v>106</v>
      </c>
      <c r="D106">
        <v>29</v>
      </c>
      <c r="E106">
        <v>17</v>
      </c>
      <c r="F106">
        <v>27</v>
      </c>
      <c r="G106">
        <v>1</v>
      </c>
      <c r="H106">
        <v>0</v>
      </c>
      <c r="I106">
        <v>32</v>
      </c>
      <c r="J106">
        <v>0</v>
      </c>
    </row>
    <row r="107" spans="1:10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4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s="4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s="4" t="s">
        <v>42</v>
      </c>
      <c r="B112">
        <v>7172011014001600</v>
      </c>
      <c r="C112">
        <v>127</v>
      </c>
      <c r="D112">
        <v>58</v>
      </c>
      <c r="E112">
        <v>43</v>
      </c>
      <c r="F112">
        <v>0</v>
      </c>
      <c r="G112">
        <v>16</v>
      </c>
      <c r="H112">
        <v>8</v>
      </c>
      <c r="I112">
        <v>2</v>
      </c>
      <c r="J112">
        <v>0</v>
      </c>
    </row>
    <row r="113" spans="1:10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4" t="s">
        <v>42</v>
      </c>
      <c r="B115">
        <v>7172011014001703</v>
      </c>
      <c r="C115">
        <v>68</v>
      </c>
      <c r="D115">
        <v>0</v>
      </c>
      <c r="E115">
        <v>35</v>
      </c>
      <c r="F115">
        <v>33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4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4" t="s">
        <v>45</v>
      </c>
      <c r="B119">
        <v>7172011012001200</v>
      </c>
      <c r="C119">
        <v>129</v>
      </c>
      <c r="D119">
        <v>11</v>
      </c>
      <c r="E119">
        <v>3</v>
      </c>
      <c r="F119">
        <v>96</v>
      </c>
      <c r="G119">
        <v>0</v>
      </c>
      <c r="H119">
        <v>0</v>
      </c>
      <c r="I119">
        <v>19</v>
      </c>
      <c r="J119">
        <v>0</v>
      </c>
    </row>
    <row r="120" spans="1:10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4" t="s">
        <v>45</v>
      </c>
      <c r="B121">
        <v>7172011012001300</v>
      </c>
      <c r="C121">
        <v>111</v>
      </c>
      <c r="D121">
        <v>31</v>
      </c>
      <c r="E121">
        <v>14</v>
      </c>
      <c r="F121">
        <v>33</v>
      </c>
      <c r="G121">
        <v>0</v>
      </c>
      <c r="H121">
        <v>0</v>
      </c>
      <c r="I121">
        <v>33</v>
      </c>
      <c r="J121">
        <v>0</v>
      </c>
    </row>
    <row r="122" spans="1:10" x14ac:dyDescent="0.25">
      <c r="A122" s="4" t="s">
        <v>45</v>
      </c>
      <c r="B122">
        <v>7172011013000200</v>
      </c>
      <c r="C122">
        <v>60</v>
      </c>
      <c r="D122">
        <v>33</v>
      </c>
      <c r="E122">
        <v>4</v>
      </c>
      <c r="F122">
        <v>2</v>
      </c>
      <c r="G122">
        <v>0</v>
      </c>
      <c r="H122">
        <v>0</v>
      </c>
      <c r="I122">
        <v>21</v>
      </c>
      <c r="J122">
        <v>0</v>
      </c>
    </row>
    <row r="123" spans="1:10" x14ac:dyDescent="0.25">
      <c r="A123" s="4" t="s">
        <v>45</v>
      </c>
      <c r="B123">
        <v>7172011013000100</v>
      </c>
      <c r="C123">
        <v>59</v>
      </c>
      <c r="D123">
        <v>7</v>
      </c>
      <c r="E123">
        <v>0</v>
      </c>
      <c r="F123">
        <v>19</v>
      </c>
      <c r="G123">
        <v>0</v>
      </c>
      <c r="H123">
        <v>0</v>
      </c>
      <c r="I123">
        <v>33</v>
      </c>
      <c r="J123">
        <v>0</v>
      </c>
    </row>
    <row r="124" spans="1:10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4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4" t="s">
        <v>35</v>
      </c>
      <c r="B126">
        <v>7172011003001900</v>
      </c>
      <c r="C126">
        <v>129</v>
      </c>
      <c r="D126">
        <v>43</v>
      </c>
      <c r="E126">
        <v>46</v>
      </c>
      <c r="F126">
        <v>2</v>
      </c>
      <c r="G126">
        <v>23</v>
      </c>
      <c r="H126">
        <v>0</v>
      </c>
      <c r="I126">
        <v>15</v>
      </c>
      <c r="J126">
        <v>0</v>
      </c>
    </row>
    <row r="127" spans="1:10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4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4" t="s">
        <v>37</v>
      </c>
      <c r="B131">
        <v>7172011003002602</v>
      </c>
      <c r="C131">
        <v>218</v>
      </c>
      <c r="D131">
        <v>44</v>
      </c>
      <c r="E131">
        <v>23</v>
      </c>
      <c r="F131">
        <v>42</v>
      </c>
      <c r="G131">
        <v>5</v>
      </c>
      <c r="H131">
        <v>1</v>
      </c>
      <c r="I131">
        <v>103</v>
      </c>
      <c r="J131">
        <v>0</v>
      </c>
    </row>
    <row r="132" spans="1:10" x14ac:dyDescent="0.25">
      <c r="A132" s="4" t="s">
        <v>37</v>
      </c>
      <c r="B132">
        <v>7172011003002500</v>
      </c>
      <c r="C132">
        <v>173</v>
      </c>
      <c r="D132">
        <v>0</v>
      </c>
      <c r="E132">
        <v>22</v>
      </c>
      <c r="F132">
        <v>109</v>
      </c>
      <c r="G132">
        <v>0</v>
      </c>
      <c r="H132">
        <v>0</v>
      </c>
      <c r="I132">
        <v>42</v>
      </c>
      <c r="J132">
        <v>0</v>
      </c>
    </row>
    <row r="133" spans="1:10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4" t="s">
        <v>31</v>
      </c>
      <c r="B136">
        <v>7172011003001100</v>
      </c>
      <c r="C136">
        <v>258</v>
      </c>
      <c r="D136">
        <v>7</v>
      </c>
      <c r="E136">
        <v>1</v>
      </c>
      <c r="F136">
        <v>187</v>
      </c>
      <c r="G136">
        <v>0</v>
      </c>
      <c r="H136">
        <v>0</v>
      </c>
      <c r="I136">
        <v>63</v>
      </c>
      <c r="J136">
        <v>0</v>
      </c>
    </row>
    <row r="137" spans="1:10" x14ac:dyDescent="0.25">
      <c r="A137" s="4" t="s">
        <v>31</v>
      </c>
      <c r="B137">
        <v>7172011003003600</v>
      </c>
      <c r="C137">
        <v>250</v>
      </c>
      <c r="D137">
        <v>37</v>
      </c>
      <c r="E137">
        <v>1</v>
      </c>
      <c r="F137">
        <v>107</v>
      </c>
      <c r="G137">
        <v>0</v>
      </c>
      <c r="H137">
        <v>0</v>
      </c>
      <c r="I137">
        <v>105</v>
      </c>
      <c r="J137">
        <v>0</v>
      </c>
    </row>
    <row r="138" spans="1:10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4" t="s">
        <v>41</v>
      </c>
      <c r="B140">
        <v>7172011004001800</v>
      </c>
      <c r="C140">
        <v>271</v>
      </c>
      <c r="D140">
        <v>123</v>
      </c>
      <c r="E140">
        <v>16</v>
      </c>
      <c r="F140">
        <v>23</v>
      </c>
      <c r="G140">
        <v>12</v>
      </c>
      <c r="H140">
        <v>3</v>
      </c>
      <c r="I140">
        <v>94</v>
      </c>
      <c r="J140">
        <v>0</v>
      </c>
    </row>
    <row r="141" spans="1:10" x14ac:dyDescent="0.25">
      <c r="A141" s="4" t="s">
        <v>41</v>
      </c>
      <c r="B141">
        <v>7172011004001500</v>
      </c>
      <c r="C141">
        <v>150</v>
      </c>
      <c r="D141">
        <v>33</v>
      </c>
      <c r="E141">
        <v>30</v>
      </c>
      <c r="F141">
        <v>65</v>
      </c>
      <c r="G141">
        <v>18</v>
      </c>
      <c r="H141">
        <v>1</v>
      </c>
      <c r="I141">
        <v>3</v>
      </c>
      <c r="J141">
        <v>0</v>
      </c>
    </row>
    <row r="142" spans="1:10" x14ac:dyDescent="0.25">
      <c r="A142" s="4" t="s">
        <v>41</v>
      </c>
      <c r="B142">
        <v>7172011004001900</v>
      </c>
      <c r="C142">
        <v>92</v>
      </c>
      <c r="D142">
        <v>5</v>
      </c>
      <c r="E142">
        <v>23</v>
      </c>
      <c r="F142">
        <v>52</v>
      </c>
      <c r="G142">
        <v>1</v>
      </c>
      <c r="H142">
        <v>0</v>
      </c>
      <c r="I142">
        <v>11</v>
      </c>
      <c r="J142">
        <v>0</v>
      </c>
    </row>
    <row r="143" spans="1:10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4" t="s">
        <v>46</v>
      </c>
      <c r="B147">
        <v>7172011013000800</v>
      </c>
      <c r="C147">
        <v>92</v>
      </c>
      <c r="D147">
        <v>6</v>
      </c>
      <c r="E147">
        <v>13</v>
      </c>
      <c r="F147">
        <v>31</v>
      </c>
      <c r="G147">
        <v>31</v>
      </c>
      <c r="H147">
        <v>0</v>
      </c>
      <c r="I147">
        <v>11</v>
      </c>
      <c r="J147">
        <v>0</v>
      </c>
    </row>
    <row r="148" spans="1:10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39</v>
      </c>
      <c r="H148">
        <v>2</v>
      </c>
      <c r="I148">
        <v>18</v>
      </c>
      <c r="J148">
        <v>0</v>
      </c>
    </row>
    <row r="149" spans="1:10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4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4" t="s">
        <v>39</v>
      </c>
      <c r="B161">
        <v>7172011004000100</v>
      </c>
      <c r="C161">
        <v>153</v>
      </c>
      <c r="D161">
        <v>36</v>
      </c>
      <c r="E161">
        <v>60</v>
      </c>
      <c r="F161">
        <v>52</v>
      </c>
      <c r="G161">
        <v>2</v>
      </c>
      <c r="H161">
        <v>0</v>
      </c>
      <c r="I161">
        <v>3</v>
      </c>
      <c r="J161">
        <v>0</v>
      </c>
    </row>
    <row r="162" spans="1:10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4" t="s">
        <v>39</v>
      </c>
      <c r="B164">
        <v>7172011004000400</v>
      </c>
      <c r="C164">
        <v>99</v>
      </c>
      <c r="D164">
        <v>63</v>
      </c>
      <c r="E164">
        <v>25</v>
      </c>
      <c r="F164">
        <v>1</v>
      </c>
      <c r="G164">
        <v>6</v>
      </c>
      <c r="H164">
        <v>0</v>
      </c>
      <c r="I164">
        <v>4</v>
      </c>
      <c r="J164">
        <v>0</v>
      </c>
    </row>
    <row r="165" spans="1:10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4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4" t="s">
        <v>50</v>
      </c>
      <c r="B167">
        <v>7172012001000200</v>
      </c>
      <c r="C167">
        <v>151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s="4" t="s">
        <v>50</v>
      </c>
      <c r="B168">
        <v>7172012001000900</v>
      </c>
      <c r="C168">
        <v>140</v>
      </c>
      <c r="D168">
        <v>37</v>
      </c>
      <c r="E168">
        <v>15</v>
      </c>
      <c r="F168">
        <v>15</v>
      </c>
      <c r="G168">
        <v>1</v>
      </c>
      <c r="H168">
        <v>0</v>
      </c>
      <c r="I168">
        <v>72</v>
      </c>
      <c r="J168">
        <v>0</v>
      </c>
    </row>
    <row r="169" spans="1:10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s="4" t="s">
        <v>50</v>
      </c>
      <c r="B171">
        <v>7172012001000800</v>
      </c>
      <c r="C171">
        <v>96</v>
      </c>
      <c r="D171">
        <v>0</v>
      </c>
      <c r="E171">
        <v>13</v>
      </c>
      <c r="F171">
        <v>45</v>
      </c>
      <c r="G171">
        <v>0</v>
      </c>
      <c r="H171">
        <v>0</v>
      </c>
      <c r="I171">
        <v>38</v>
      </c>
      <c r="J171">
        <v>0</v>
      </c>
    </row>
    <row r="172" spans="1:10" x14ac:dyDescent="0.25">
      <c r="A172" s="4" t="s">
        <v>44</v>
      </c>
      <c r="B172">
        <v>7172011012000700</v>
      </c>
      <c r="C172">
        <v>168</v>
      </c>
      <c r="D172">
        <v>55</v>
      </c>
      <c r="E172">
        <v>11</v>
      </c>
      <c r="F172">
        <v>34</v>
      </c>
      <c r="G172">
        <v>2</v>
      </c>
      <c r="H172">
        <v>0</v>
      </c>
      <c r="I172">
        <v>66</v>
      </c>
      <c r="J172">
        <v>0</v>
      </c>
    </row>
    <row r="173" spans="1:10" x14ac:dyDescent="0.25">
      <c r="A173" s="4" t="s">
        <v>44</v>
      </c>
      <c r="B173">
        <v>7172011012000200</v>
      </c>
      <c r="C173">
        <v>107</v>
      </c>
      <c r="D173">
        <v>0</v>
      </c>
      <c r="E173">
        <v>8</v>
      </c>
      <c r="F173">
        <v>74</v>
      </c>
      <c r="G173">
        <v>0</v>
      </c>
      <c r="H173">
        <v>0</v>
      </c>
      <c r="I173">
        <v>25</v>
      </c>
      <c r="J173">
        <v>0</v>
      </c>
    </row>
    <row r="174" spans="1:10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4" t="s">
        <v>54</v>
      </c>
      <c r="B181">
        <v>7172012002000600</v>
      </c>
      <c r="C181">
        <v>120</v>
      </c>
      <c r="D181">
        <v>35</v>
      </c>
      <c r="E181">
        <v>9</v>
      </c>
      <c r="F181">
        <v>9</v>
      </c>
      <c r="G181">
        <v>0</v>
      </c>
      <c r="H181">
        <v>0</v>
      </c>
      <c r="I181">
        <v>67</v>
      </c>
      <c r="J181">
        <v>0</v>
      </c>
    </row>
    <row r="182" spans="1:10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s="4" t="s">
        <v>54</v>
      </c>
      <c r="B183">
        <v>7172012002000300</v>
      </c>
      <c r="C183">
        <v>107</v>
      </c>
      <c r="D183">
        <v>28</v>
      </c>
      <c r="E183">
        <v>16</v>
      </c>
      <c r="F183">
        <v>27</v>
      </c>
      <c r="G183">
        <v>2</v>
      </c>
      <c r="H183">
        <v>0</v>
      </c>
      <c r="I183">
        <v>34</v>
      </c>
      <c r="J183">
        <v>0</v>
      </c>
    </row>
    <row r="184" spans="1:10" x14ac:dyDescent="0.25">
      <c r="A184" s="4" t="s">
        <v>54</v>
      </c>
      <c r="B184">
        <v>7172012002000800</v>
      </c>
      <c r="C184">
        <v>99</v>
      </c>
      <c r="D184">
        <v>0</v>
      </c>
      <c r="E184">
        <v>7</v>
      </c>
      <c r="F184">
        <v>88</v>
      </c>
      <c r="G184">
        <v>0</v>
      </c>
      <c r="H184">
        <v>0</v>
      </c>
      <c r="I184">
        <v>4</v>
      </c>
      <c r="J184">
        <v>0</v>
      </c>
    </row>
    <row r="185" spans="1:10" x14ac:dyDescent="0.25">
      <c r="A185" s="4" t="s">
        <v>54</v>
      </c>
      <c r="B185">
        <v>7172012002000700</v>
      </c>
      <c r="C185">
        <v>90</v>
      </c>
      <c r="D185">
        <v>3</v>
      </c>
      <c r="E185">
        <v>5</v>
      </c>
      <c r="F185">
        <v>69</v>
      </c>
      <c r="G185">
        <v>1</v>
      </c>
      <c r="H185">
        <v>0</v>
      </c>
      <c r="I185">
        <v>12</v>
      </c>
      <c r="J185">
        <v>0</v>
      </c>
    </row>
    <row r="186" spans="1:10" x14ac:dyDescent="0.25">
      <c r="A186" s="4" t="s">
        <v>54</v>
      </c>
      <c r="B186">
        <v>7172012002000402</v>
      </c>
      <c r="C186">
        <v>88</v>
      </c>
      <c r="D186">
        <v>0</v>
      </c>
      <c r="E186">
        <v>0</v>
      </c>
      <c r="F186">
        <v>88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4" t="s">
        <v>229</v>
      </c>
      <c r="B187">
        <v>7172012002001302</v>
      </c>
      <c r="C187">
        <v>145</v>
      </c>
      <c r="D187">
        <v>29</v>
      </c>
      <c r="E187">
        <v>25</v>
      </c>
      <c r="F187">
        <v>31</v>
      </c>
      <c r="G187">
        <v>4</v>
      </c>
      <c r="H187">
        <v>0</v>
      </c>
      <c r="I187">
        <v>56</v>
      </c>
      <c r="J187">
        <v>0</v>
      </c>
    </row>
    <row r="188" spans="1:10" x14ac:dyDescent="0.25">
      <c r="A188" s="4" t="s">
        <v>229</v>
      </c>
      <c r="B188">
        <v>7172012002001301</v>
      </c>
      <c r="C188">
        <v>144</v>
      </c>
      <c r="D188">
        <v>20</v>
      </c>
      <c r="E188">
        <v>38</v>
      </c>
      <c r="F188">
        <v>72</v>
      </c>
      <c r="G188">
        <v>1</v>
      </c>
      <c r="H188">
        <v>0</v>
      </c>
      <c r="I188">
        <v>13</v>
      </c>
      <c r="J188">
        <v>0</v>
      </c>
    </row>
    <row r="189" spans="1:10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s="4" t="s">
        <v>38</v>
      </c>
      <c r="B193">
        <v>7172011003003100</v>
      </c>
      <c r="C193">
        <v>205</v>
      </c>
      <c r="D193">
        <v>63</v>
      </c>
      <c r="E193">
        <v>14</v>
      </c>
      <c r="F193">
        <v>3</v>
      </c>
      <c r="G193">
        <v>0</v>
      </c>
      <c r="H193">
        <v>0</v>
      </c>
      <c r="I193">
        <v>125</v>
      </c>
      <c r="J193">
        <v>0</v>
      </c>
    </row>
    <row r="194" spans="1:10" x14ac:dyDescent="0.25">
      <c r="A194" s="4" t="s">
        <v>38</v>
      </c>
      <c r="B194">
        <v>7172011003003000</v>
      </c>
      <c r="C194">
        <v>116</v>
      </c>
      <c r="D194">
        <v>0</v>
      </c>
      <c r="E194">
        <v>2</v>
      </c>
      <c r="F194">
        <v>60</v>
      </c>
      <c r="G194">
        <v>0</v>
      </c>
      <c r="H194">
        <v>0</v>
      </c>
      <c r="I194">
        <v>54</v>
      </c>
      <c r="J194">
        <v>0</v>
      </c>
    </row>
    <row r="195" spans="1:10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4" t="s">
        <v>60</v>
      </c>
      <c r="B199">
        <v>7172012004001900</v>
      </c>
      <c r="C199">
        <v>180</v>
      </c>
      <c r="D199">
        <v>51</v>
      </c>
      <c r="E199">
        <v>18</v>
      </c>
      <c r="F199">
        <v>31</v>
      </c>
      <c r="G199">
        <v>1</v>
      </c>
      <c r="H199">
        <v>0</v>
      </c>
      <c r="I199">
        <v>79</v>
      </c>
      <c r="J199">
        <v>0</v>
      </c>
    </row>
    <row r="200" spans="1:10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4" t="s">
        <v>60</v>
      </c>
      <c r="B203">
        <v>7172012004001400</v>
      </c>
      <c r="C203">
        <v>88</v>
      </c>
      <c r="D203">
        <v>8</v>
      </c>
      <c r="E203">
        <v>30</v>
      </c>
      <c r="F203">
        <v>50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4" t="s">
        <v>63</v>
      </c>
      <c r="B204">
        <v>7172012004001701</v>
      </c>
      <c r="C204">
        <v>338</v>
      </c>
      <c r="D204">
        <v>8</v>
      </c>
      <c r="E204">
        <v>56</v>
      </c>
      <c r="F204">
        <v>190</v>
      </c>
      <c r="G204">
        <v>6</v>
      </c>
      <c r="H204">
        <v>0</v>
      </c>
      <c r="I204">
        <v>78</v>
      </c>
      <c r="J204">
        <v>0</v>
      </c>
    </row>
    <row r="205" spans="1:10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4" t="s">
        <v>63</v>
      </c>
      <c r="B207">
        <v>7172012004002402</v>
      </c>
      <c r="C207">
        <v>19</v>
      </c>
      <c r="D207">
        <v>0</v>
      </c>
      <c r="E207">
        <v>0</v>
      </c>
      <c r="F207">
        <v>10</v>
      </c>
      <c r="G207">
        <v>2</v>
      </c>
      <c r="H207">
        <v>0</v>
      </c>
      <c r="I207">
        <v>7</v>
      </c>
      <c r="J207">
        <v>0</v>
      </c>
    </row>
    <row r="208" spans="1:10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4" t="s">
        <v>64</v>
      </c>
      <c r="B209">
        <v>7172012004002200</v>
      </c>
      <c r="C209">
        <v>171</v>
      </c>
      <c r="D209">
        <v>67</v>
      </c>
      <c r="E209">
        <v>3</v>
      </c>
      <c r="F209">
        <v>14</v>
      </c>
      <c r="G209">
        <v>24</v>
      </c>
      <c r="H209">
        <v>0</v>
      </c>
      <c r="I209">
        <v>63</v>
      </c>
      <c r="J209">
        <v>0</v>
      </c>
    </row>
    <row r="210" spans="1:10" x14ac:dyDescent="0.25">
      <c r="A210" s="4" t="s">
        <v>64</v>
      </c>
      <c r="B210">
        <v>7172012004002500</v>
      </c>
      <c r="C210">
        <v>147</v>
      </c>
      <c r="D210">
        <v>0</v>
      </c>
      <c r="E210">
        <v>21</v>
      </c>
      <c r="F210">
        <v>125</v>
      </c>
      <c r="G210">
        <v>0</v>
      </c>
      <c r="H210">
        <v>0</v>
      </c>
      <c r="I210">
        <v>1</v>
      </c>
      <c r="J210">
        <v>0</v>
      </c>
    </row>
    <row r="211" spans="1:10" x14ac:dyDescent="0.25">
      <c r="A211" s="4" t="s">
        <v>64</v>
      </c>
      <c r="B211">
        <v>7172012004002401</v>
      </c>
      <c r="C211">
        <v>143</v>
      </c>
      <c r="D211">
        <v>35</v>
      </c>
      <c r="E211">
        <v>14</v>
      </c>
      <c r="F211">
        <v>24</v>
      </c>
      <c r="G211">
        <v>0</v>
      </c>
      <c r="H211">
        <v>0</v>
      </c>
      <c r="I211">
        <v>70</v>
      </c>
      <c r="J211">
        <v>0</v>
      </c>
    </row>
    <row r="212" spans="1:10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4" t="s">
        <v>65</v>
      </c>
      <c r="B213">
        <v>7172012004002600</v>
      </c>
      <c r="C213">
        <v>125</v>
      </c>
      <c r="D213">
        <v>32</v>
      </c>
      <c r="E213">
        <v>3</v>
      </c>
      <c r="F213">
        <v>14</v>
      </c>
      <c r="G213">
        <v>22</v>
      </c>
      <c r="H213">
        <v>0</v>
      </c>
      <c r="I213">
        <v>54</v>
      </c>
      <c r="J213">
        <v>0</v>
      </c>
    </row>
    <row r="214" spans="1:10" x14ac:dyDescent="0.25">
      <c r="A214" s="4" t="s">
        <v>65</v>
      </c>
      <c r="B214">
        <v>7172012004002403</v>
      </c>
      <c r="C214">
        <v>92</v>
      </c>
      <c r="D214">
        <v>51</v>
      </c>
      <c r="E214">
        <v>14</v>
      </c>
      <c r="F214">
        <v>14</v>
      </c>
      <c r="G214">
        <v>2</v>
      </c>
      <c r="H214">
        <v>0</v>
      </c>
      <c r="I214">
        <v>11</v>
      </c>
      <c r="J214">
        <v>0</v>
      </c>
    </row>
    <row r="215" spans="1:10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4" t="s">
        <v>65</v>
      </c>
      <c r="B218">
        <v>7172012005000200</v>
      </c>
      <c r="C218">
        <v>45</v>
      </c>
      <c r="D218">
        <v>0</v>
      </c>
      <c r="E218">
        <v>6</v>
      </c>
      <c r="F218">
        <v>39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4" t="s">
        <v>70</v>
      </c>
      <c r="B219">
        <v>7172012006001600</v>
      </c>
      <c r="C219">
        <v>116</v>
      </c>
      <c r="D219">
        <v>8</v>
      </c>
      <c r="E219">
        <v>20</v>
      </c>
      <c r="F219">
        <v>35</v>
      </c>
      <c r="G219">
        <v>0</v>
      </c>
      <c r="H219">
        <v>0</v>
      </c>
      <c r="I219">
        <v>53</v>
      </c>
      <c r="J219">
        <v>0</v>
      </c>
    </row>
    <row r="220" spans="1:10" x14ac:dyDescent="0.25">
      <c r="A220" s="4" t="s">
        <v>70</v>
      </c>
      <c r="B220">
        <v>7172012006000902</v>
      </c>
      <c r="C220">
        <v>102</v>
      </c>
      <c r="D220">
        <v>16</v>
      </c>
      <c r="E220">
        <v>12</v>
      </c>
      <c r="F220">
        <v>73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s="4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s="4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4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4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4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4" t="s">
        <v>67</v>
      </c>
      <c r="B229">
        <v>7172012005001700</v>
      </c>
      <c r="C229">
        <v>101</v>
      </c>
      <c r="D229">
        <v>8</v>
      </c>
      <c r="E229">
        <v>0</v>
      </c>
      <c r="F229">
        <v>27</v>
      </c>
      <c r="G229">
        <v>0</v>
      </c>
      <c r="H229">
        <v>0</v>
      </c>
      <c r="I229">
        <v>66</v>
      </c>
      <c r="J229">
        <v>0</v>
      </c>
    </row>
    <row r="230" spans="1:10" x14ac:dyDescent="0.25">
      <c r="A230" s="4" t="s">
        <v>67</v>
      </c>
      <c r="B230">
        <v>7172012005001800</v>
      </c>
      <c r="C230">
        <v>70</v>
      </c>
      <c r="D230">
        <v>1</v>
      </c>
      <c r="E230">
        <v>1</v>
      </c>
      <c r="F230">
        <v>44</v>
      </c>
      <c r="G230">
        <v>0</v>
      </c>
      <c r="H230">
        <v>0</v>
      </c>
      <c r="I230">
        <v>24</v>
      </c>
      <c r="J230">
        <v>0</v>
      </c>
    </row>
    <row r="231" spans="1:10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s="4" t="s">
        <v>67</v>
      </c>
      <c r="B232">
        <v>7172012005001300</v>
      </c>
      <c r="C232">
        <v>54</v>
      </c>
      <c r="D232">
        <v>16</v>
      </c>
      <c r="E232">
        <v>3</v>
      </c>
      <c r="F232">
        <v>2</v>
      </c>
      <c r="G232">
        <v>13</v>
      </c>
      <c r="H232">
        <v>0</v>
      </c>
      <c r="I232">
        <v>20</v>
      </c>
      <c r="J232">
        <v>0</v>
      </c>
    </row>
    <row r="233" spans="1:10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s="4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4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s="4" t="s">
        <v>230</v>
      </c>
      <c r="B239">
        <v>7172012007000200</v>
      </c>
      <c r="C239">
        <v>125</v>
      </c>
      <c r="D239">
        <v>0</v>
      </c>
      <c r="E239">
        <v>67</v>
      </c>
      <c r="F239">
        <v>43</v>
      </c>
      <c r="G239">
        <v>0</v>
      </c>
      <c r="H239">
        <v>0</v>
      </c>
      <c r="I239">
        <v>15</v>
      </c>
      <c r="J239">
        <v>0</v>
      </c>
    </row>
    <row r="240" spans="1:10" x14ac:dyDescent="0.25">
      <c r="A240" s="4" t="s">
        <v>230</v>
      </c>
      <c r="B240">
        <v>7172012007000400</v>
      </c>
      <c r="C240">
        <v>100</v>
      </c>
      <c r="D240">
        <v>0</v>
      </c>
      <c r="E240">
        <v>19</v>
      </c>
      <c r="F240">
        <v>72</v>
      </c>
      <c r="G240">
        <v>0</v>
      </c>
      <c r="H240">
        <v>0</v>
      </c>
      <c r="I240">
        <v>9</v>
      </c>
      <c r="J240">
        <v>0</v>
      </c>
    </row>
    <row r="241" spans="1:10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4" t="s">
        <v>72</v>
      </c>
      <c r="B242">
        <v>7172012007000800</v>
      </c>
      <c r="C242">
        <v>154</v>
      </c>
      <c r="D242">
        <v>0</v>
      </c>
      <c r="E242">
        <v>62</v>
      </c>
      <c r="F242">
        <v>87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s="4" t="s">
        <v>72</v>
      </c>
      <c r="B243">
        <v>7172012007000900</v>
      </c>
      <c r="C243">
        <v>119</v>
      </c>
      <c r="D243">
        <v>31</v>
      </c>
      <c r="E243">
        <v>8</v>
      </c>
      <c r="F243">
        <v>2</v>
      </c>
      <c r="G243">
        <v>9</v>
      </c>
      <c r="H243">
        <v>0</v>
      </c>
      <c r="I243">
        <v>69</v>
      </c>
      <c r="J243">
        <v>0</v>
      </c>
    </row>
    <row r="244" spans="1:10" x14ac:dyDescent="0.25">
      <c r="A244" s="4" t="s">
        <v>72</v>
      </c>
      <c r="B244">
        <v>7172012007000500</v>
      </c>
      <c r="C244">
        <v>92</v>
      </c>
      <c r="D244">
        <v>0</v>
      </c>
      <c r="E244">
        <v>27</v>
      </c>
      <c r="F244">
        <v>52</v>
      </c>
      <c r="G244">
        <v>2</v>
      </c>
      <c r="H244">
        <v>0</v>
      </c>
      <c r="I244">
        <v>11</v>
      </c>
      <c r="J244">
        <v>0</v>
      </c>
    </row>
    <row r="245" spans="1:10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4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4" t="s">
        <v>75</v>
      </c>
      <c r="B248">
        <v>7172021006000100</v>
      </c>
      <c r="C248">
        <v>90</v>
      </c>
      <c r="D248">
        <v>17</v>
      </c>
      <c r="E248">
        <v>0</v>
      </c>
      <c r="F248">
        <v>72</v>
      </c>
      <c r="G248">
        <v>0</v>
      </c>
      <c r="H248">
        <v>0</v>
      </c>
      <c r="I248">
        <v>1</v>
      </c>
      <c r="J248">
        <v>0</v>
      </c>
    </row>
    <row r="249" spans="1:10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4" t="s">
        <v>231</v>
      </c>
      <c r="B253">
        <v>7172021003000100</v>
      </c>
      <c r="C253">
        <v>107</v>
      </c>
      <c r="D253">
        <v>21</v>
      </c>
      <c r="E253">
        <v>9</v>
      </c>
      <c r="F253">
        <v>70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4" t="s">
        <v>231</v>
      </c>
      <c r="B258">
        <v>7172021006002000</v>
      </c>
      <c r="C258">
        <v>57</v>
      </c>
      <c r="D258">
        <v>18</v>
      </c>
      <c r="E258">
        <v>8</v>
      </c>
      <c r="F258">
        <v>18</v>
      </c>
      <c r="G258">
        <v>0</v>
      </c>
      <c r="H258">
        <v>0</v>
      </c>
      <c r="I258">
        <v>13</v>
      </c>
      <c r="J258">
        <v>0</v>
      </c>
    </row>
    <row r="259" spans="1:10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s="4" t="s">
        <v>74</v>
      </c>
      <c r="B261">
        <v>7172021002000200</v>
      </c>
      <c r="C261">
        <v>81</v>
      </c>
      <c r="D261">
        <v>28</v>
      </c>
      <c r="E261">
        <v>19</v>
      </c>
      <c r="F261">
        <v>28</v>
      </c>
      <c r="G261">
        <v>0</v>
      </c>
      <c r="H261">
        <v>0</v>
      </c>
      <c r="I261">
        <v>6</v>
      </c>
      <c r="J261">
        <v>0</v>
      </c>
    </row>
    <row r="262" spans="1:10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4" t="s">
        <v>74</v>
      </c>
      <c r="B263">
        <v>7172021001000300</v>
      </c>
      <c r="C263">
        <v>63</v>
      </c>
      <c r="D263">
        <v>11</v>
      </c>
      <c r="E263">
        <v>3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4" t="s">
        <v>74</v>
      </c>
      <c r="B264">
        <v>7172021002000100</v>
      </c>
      <c r="C264">
        <v>55</v>
      </c>
      <c r="D264">
        <v>13</v>
      </c>
      <c r="E264">
        <v>0</v>
      </c>
      <c r="F264">
        <v>41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s="4" t="s">
        <v>74</v>
      </c>
      <c r="B265">
        <v>7172021001000400</v>
      </c>
      <c r="C265">
        <v>41</v>
      </c>
      <c r="D265">
        <v>21</v>
      </c>
      <c r="E265">
        <v>4</v>
      </c>
      <c r="F265">
        <v>2</v>
      </c>
      <c r="G265">
        <v>0</v>
      </c>
      <c r="H265">
        <v>0</v>
      </c>
      <c r="I265">
        <v>14</v>
      </c>
      <c r="J265">
        <v>0</v>
      </c>
    </row>
    <row r="266" spans="1:10" x14ac:dyDescent="0.25">
      <c r="A266" s="4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s="4" t="s">
        <v>74</v>
      </c>
      <c r="B267">
        <v>7172021001000100</v>
      </c>
      <c r="C267">
        <v>32</v>
      </c>
      <c r="D267">
        <v>10</v>
      </c>
      <c r="E267">
        <v>9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4" t="s">
        <v>78</v>
      </c>
      <c r="B268">
        <v>7172021005000100</v>
      </c>
      <c r="C268">
        <v>100</v>
      </c>
      <c r="D268">
        <v>15</v>
      </c>
      <c r="E268">
        <v>5</v>
      </c>
      <c r="F268">
        <v>17</v>
      </c>
      <c r="G268">
        <v>0</v>
      </c>
      <c r="H268">
        <v>0</v>
      </c>
      <c r="I268">
        <v>63</v>
      </c>
      <c r="J268">
        <v>0</v>
      </c>
    </row>
    <row r="269" spans="1:10" x14ac:dyDescent="0.25">
      <c r="A269" s="4" t="s">
        <v>78</v>
      </c>
      <c r="B269">
        <v>7172021004000500</v>
      </c>
      <c r="C269">
        <v>97</v>
      </c>
      <c r="D269">
        <v>11</v>
      </c>
      <c r="E269">
        <v>0</v>
      </c>
      <c r="F269">
        <v>82</v>
      </c>
      <c r="G269">
        <v>0</v>
      </c>
      <c r="H269">
        <v>0</v>
      </c>
      <c r="I269">
        <v>4</v>
      </c>
      <c r="J269">
        <v>0</v>
      </c>
    </row>
    <row r="270" spans="1:10" x14ac:dyDescent="0.25">
      <c r="A270" s="4" t="s">
        <v>78</v>
      </c>
      <c r="B270">
        <v>7172021004000600</v>
      </c>
      <c r="C270">
        <v>78</v>
      </c>
      <c r="D270">
        <v>4</v>
      </c>
      <c r="E270">
        <v>0</v>
      </c>
      <c r="F270">
        <v>62</v>
      </c>
      <c r="G270">
        <v>0</v>
      </c>
      <c r="H270">
        <v>0</v>
      </c>
      <c r="I270">
        <v>12</v>
      </c>
      <c r="J270">
        <v>0</v>
      </c>
    </row>
    <row r="271" spans="1:10" x14ac:dyDescent="0.25">
      <c r="A271" s="4" t="s">
        <v>78</v>
      </c>
      <c r="B271">
        <v>7172021004000200</v>
      </c>
      <c r="C271">
        <v>76</v>
      </c>
      <c r="D271">
        <v>4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4" t="s">
        <v>78</v>
      </c>
      <c r="B273">
        <v>7172021004000100</v>
      </c>
      <c r="C273">
        <v>66</v>
      </c>
      <c r="D273">
        <v>3</v>
      </c>
      <c r="E273">
        <v>12</v>
      </c>
      <c r="F273">
        <v>18</v>
      </c>
      <c r="G273">
        <v>0</v>
      </c>
      <c r="H273">
        <v>0</v>
      </c>
      <c r="I273">
        <v>33</v>
      </c>
      <c r="J273">
        <v>0</v>
      </c>
    </row>
    <row r="274" spans="1:10" x14ac:dyDescent="0.25">
      <c r="A274" s="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s="4" t="s">
        <v>79</v>
      </c>
      <c r="B275">
        <v>7172021006000400</v>
      </c>
      <c r="C275">
        <v>88</v>
      </c>
      <c r="D275">
        <v>32</v>
      </c>
      <c r="E275">
        <v>19</v>
      </c>
      <c r="F275">
        <v>18</v>
      </c>
      <c r="G275">
        <v>0</v>
      </c>
      <c r="H275">
        <v>0</v>
      </c>
      <c r="I275">
        <v>19</v>
      </c>
      <c r="J275">
        <v>0</v>
      </c>
    </row>
    <row r="276" spans="1:10" x14ac:dyDescent="0.25">
      <c r="A276" s="4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s="4" t="s">
        <v>79</v>
      </c>
      <c r="B277">
        <v>7172021006000300</v>
      </c>
      <c r="C277">
        <v>82</v>
      </c>
      <c r="D277">
        <v>13</v>
      </c>
      <c r="E277">
        <v>4</v>
      </c>
      <c r="F277">
        <v>62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38</v>
      </c>
      <c r="G280">
        <v>0</v>
      </c>
      <c r="H280">
        <v>0</v>
      </c>
      <c r="I280">
        <v>7</v>
      </c>
      <c r="J280">
        <v>0</v>
      </c>
    </row>
    <row r="281" spans="1:10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33</v>
      </c>
      <c r="G281">
        <v>0</v>
      </c>
      <c r="H281">
        <v>0</v>
      </c>
      <c r="I281">
        <v>3</v>
      </c>
      <c r="J281">
        <v>0</v>
      </c>
    </row>
    <row r="282" spans="1:10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s="4" t="s">
        <v>232</v>
      </c>
      <c r="B284">
        <v>7172022001000900</v>
      </c>
      <c r="C284">
        <v>64</v>
      </c>
      <c r="D284">
        <v>0</v>
      </c>
      <c r="E284">
        <v>3</v>
      </c>
      <c r="F284">
        <v>61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9</v>
      </c>
      <c r="H286">
        <v>0</v>
      </c>
      <c r="I286">
        <v>26</v>
      </c>
      <c r="J286">
        <v>0</v>
      </c>
    </row>
    <row r="287" spans="1:10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s="4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4" t="s">
        <v>89</v>
      </c>
      <c r="B291">
        <v>7172022008000400</v>
      </c>
      <c r="C291">
        <v>98</v>
      </c>
      <c r="D291">
        <v>42</v>
      </c>
      <c r="E291">
        <v>16</v>
      </c>
      <c r="F291">
        <v>10</v>
      </c>
      <c r="G291">
        <v>7</v>
      </c>
      <c r="H291">
        <v>0</v>
      </c>
      <c r="I291">
        <v>23</v>
      </c>
      <c r="J291">
        <v>0</v>
      </c>
    </row>
    <row r="292" spans="1:10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4" t="s">
        <v>89</v>
      </c>
      <c r="B293">
        <v>7172022009000400</v>
      </c>
      <c r="C293">
        <v>58</v>
      </c>
      <c r="D293">
        <v>2</v>
      </c>
      <c r="E293">
        <v>12</v>
      </c>
      <c r="F293">
        <v>28</v>
      </c>
      <c r="G293">
        <v>0</v>
      </c>
      <c r="H293">
        <v>0</v>
      </c>
      <c r="I293">
        <v>16</v>
      </c>
      <c r="J293">
        <v>0</v>
      </c>
    </row>
    <row r="294" spans="1:10" x14ac:dyDescent="0.25">
      <c r="A294" s="4" t="s">
        <v>89</v>
      </c>
      <c r="B294">
        <v>7172022009000300</v>
      </c>
      <c r="C294">
        <v>47</v>
      </c>
      <c r="D294">
        <v>26</v>
      </c>
      <c r="E294">
        <v>2</v>
      </c>
      <c r="F294">
        <v>6</v>
      </c>
      <c r="G294">
        <v>0</v>
      </c>
      <c r="H294">
        <v>0</v>
      </c>
      <c r="I294">
        <v>13</v>
      </c>
      <c r="J294">
        <v>0</v>
      </c>
    </row>
    <row r="295" spans="1:10" x14ac:dyDescent="0.25">
      <c r="A295" s="4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s="4" t="s">
        <v>90</v>
      </c>
      <c r="B297">
        <v>7172030006000900</v>
      </c>
      <c r="C297">
        <v>86</v>
      </c>
      <c r="D297">
        <v>9</v>
      </c>
      <c r="E297">
        <v>10</v>
      </c>
      <c r="F297">
        <v>58</v>
      </c>
      <c r="G297">
        <v>0</v>
      </c>
      <c r="H297">
        <v>0</v>
      </c>
      <c r="I297">
        <v>9</v>
      </c>
      <c r="J297">
        <v>0</v>
      </c>
    </row>
    <row r="298" spans="1:10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4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18</v>
      </c>
      <c r="H299">
        <v>0</v>
      </c>
      <c r="I299">
        <v>9</v>
      </c>
      <c r="J299">
        <v>0</v>
      </c>
    </row>
    <row r="300" spans="1:10" x14ac:dyDescent="0.25">
      <c r="A300" s="4" t="s">
        <v>90</v>
      </c>
      <c r="B300">
        <v>7172030006000300</v>
      </c>
      <c r="C300">
        <v>70</v>
      </c>
      <c r="D300">
        <v>9</v>
      </c>
      <c r="E300">
        <v>23</v>
      </c>
      <c r="F300">
        <v>26</v>
      </c>
      <c r="G300">
        <v>0</v>
      </c>
      <c r="H300">
        <v>0</v>
      </c>
      <c r="I300">
        <v>12</v>
      </c>
      <c r="J300">
        <v>0</v>
      </c>
    </row>
    <row r="301" spans="1:10" x14ac:dyDescent="0.25">
      <c r="A301" s="4" t="s">
        <v>90</v>
      </c>
      <c r="B301">
        <v>7172030006000700</v>
      </c>
      <c r="C301">
        <v>68</v>
      </c>
      <c r="D301">
        <v>2</v>
      </c>
      <c r="E301">
        <v>12</v>
      </c>
      <c r="F301">
        <v>54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4" t="s">
        <v>90</v>
      </c>
      <c r="B303">
        <v>7172030006000400</v>
      </c>
      <c r="C303">
        <v>64</v>
      </c>
      <c r="D303">
        <v>39</v>
      </c>
      <c r="E303">
        <v>4</v>
      </c>
      <c r="F303">
        <v>0</v>
      </c>
      <c r="G303">
        <v>0</v>
      </c>
      <c r="H303">
        <v>0</v>
      </c>
      <c r="I303">
        <v>21</v>
      </c>
      <c r="J303">
        <v>0</v>
      </c>
    </row>
    <row r="304" spans="1:10" x14ac:dyDescent="0.25">
      <c r="A304" s="4" t="s">
        <v>90</v>
      </c>
      <c r="B304">
        <v>7172030006000500</v>
      </c>
      <c r="C304">
        <v>51</v>
      </c>
      <c r="D304">
        <v>16</v>
      </c>
      <c r="E304">
        <v>6</v>
      </c>
      <c r="F304">
        <v>21</v>
      </c>
      <c r="G304">
        <v>0</v>
      </c>
      <c r="H304">
        <v>0</v>
      </c>
      <c r="I304">
        <v>8</v>
      </c>
      <c r="J304">
        <v>0</v>
      </c>
    </row>
    <row r="305" spans="1:10" x14ac:dyDescent="0.25">
      <c r="A305" s="4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s="4" t="s">
        <v>85</v>
      </c>
      <c r="B306">
        <v>7172022003000400</v>
      </c>
      <c r="C306">
        <v>64</v>
      </c>
      <c r="D306">
        <v>0</v>
      </c>
      <c r="E306">
        <v>6</v>
      </c>
      <c r="F306">
        <v>53</v>
      </c>
      <c r="G306">
        <v>0</v>
      </c>
      <c r="H306">
        <v>0</v>
      </c>
      <c r="I306">
        <v>5</v>
      </c>
      <c r="J306">
        <v>0</v>
      </c>
    </row>
    <row r="307" spans="1:10" x14ac:dyDescent="0.25">
      <c r="A307" s="4" t="s">
        <v>85</v>
      </c>
      <c r="B307">
        <v>7172022003000300</v>
      </c>
      <c r="C307">
        <v>58</v>
      </c>
      <c r="D307">
        <v>16</v>
      </c>
      <c r="E307">
        <v>10</v>
      </c>
      <c r="F307">
        <v>5</v>
      </c>
      <c r="G307">
        <v>4</v>
      </c>
      <c r="H307">
        <v>0</v>
      </c>
      <c r="I307">
        <v>23</v>
      </c>
      <c r="J307">
        <v>0</v>
      </c>
    </row>
    <row r="308" spans="1:10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4" t="s">
        <v>92</v>
      </c>
      <c r="B313">
        <v>7172030007000200</v>
      </c>
      <c r="C313">
        <v>143</v>
      </c>
      <c r="D313">
        <v>7</v>
      </c>
      <c r="E313">
        <v>27</v>
      </c>
      <c r="F313">
        <v>46</v>
      </c>
      <c r="G313">
        <v>0</v>
      </c>
      <c r="H313">
        <v>0</v>
      </c>
      <c r="I313">
        <v>62</v>
      </c>
      <c r="J313">
        <v>0</v>
      </c>
    </row>
    <row r="314" spans="1:10" x14ac:dyDescent="0.25">
      <c r="A314" s="4" t="s">
        <v>92</v>
      </c>
      <c r="B314">
        <v>7172030012000700</v>
      </c>
      <c r="C314">
        <v>104</v>
      </c>
      <c r="D314">
        <v>26</v>
      </c>
      <c r="E314">
        <v>3</v>
      </c>
      <c r="F314">
        <v>29</v>
      </c>
      <c r="G314">
        <v>0</v>
      </c>
      <c r="H314">
        <v>0</v>
      </c>
      <c r="I314">
        <v>46</v>
      </c>
      <c r="J314">
        <v>0</v>
      </c>
    </row>
    <row r="315" spans="1:10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4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37</v>
      </c>
      <c r="J317">
        <v>0</v>
      </c>
    </row>
    <row r="318" spans="1:10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4" t="s">
        <v>233</v>
      </c>
      <c r="B322">
        <v>7172030007001000</v>
      </c>
      <c r="C322">
        <v>152</v>
      </c>
      <c r="D322">
        <v>60</v>
      </c>
      <c r="E322">
        <v>58</v>
      </c>
      <c r="F322">
        <v>4</v>
      </c>
      <c r="G322">
        <v>1</v>
      </c>
      <c r="H322">
        <v>0</v>
      </c>
      <c r="I322">
        <v>29</v>
      </c>
      <c r="J322">
        <v>0</v>
      </c>
    </row>
    <row r="323" spans="1:10" x14ac:dyDescent="0.25">
      <c r="A323" s="4" t="s">
        <v>233</v>
      </c>
      <c r="B323">
        <v>7172030007000900</v>
      </c>
      <c r="C323">
        <v>84</v>
      </c>
      <c r="D323">
        <v>37</v>
      </c>
      <c r="E323">
        <v>4</v>
      </c>
      <c r="F323">
        <v>20</v>
      </c>
      <c r="G323">
        <v>1</v>
      </c>
      <c r="H323">
        <v>0</v>
      </c>
      <c r="I323">
        <v>22</v>
      </c>
      <c r="J323">
        <v>0</v>
      </c>
    </row>
    <row r="324" spans="1:10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4" t="s">
        <v>91</v>
      </c>
      <c r="B328">
        <v>7172030006001100</v>
      </c>
      <c r="C328">
        <v>95</v>
      </c>
      <c r="D328">
        <v>6</v>
      </c>
      <c r="E328">
        <v>1</v>
      </c>
      <c r="F328">
        <v>88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4" t="s">
        <v>91</v>
      </c>
      <c r="B330">
        <v>7172030006001600</v>
      </c>
      <c r="C330">
        <v>66</v>
      </c>
      <c r="D330">
        <v>25</v>
      </c>
      <c r="E330">
        <v>3</v>
      </c>
      <c r="F330">
        <v>19</v>
      </c>
      <c r="G330">
        <v>0</v>
      </c>
      <c r="H330">
        <v>0</v>
      </c>
      <c r="I330">
        <v>19</v>
      </c>
      <c r="J330">
        <v>0</v>
      </c>
    </row>
    <row r="331" spans="1:10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s="4" t="s">
        <v>91</v>
      </c>
      <c r="B332">
        <v>7172030006001700</v>
      </c>
      <c r="C332">
        <v>54</v>
      </c>
      <c r="D332">
        <v>15</v>
      </c>
      <c r="E332">
        <v>4</v>
      </c>
      <c r="F332">
        <v>21</v>
      </c>
      <c r="G332">
        <v>0</v>
      </c>
      <c r="H332">
        <v>0</v>
      </c>
      <c r="I332">
        <v>14</v>
      </c>
      <c r="J332">
        <v>0</v>
      </c>
    </row>
    <row r="333" spans="1:10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7</v>
      </c>
      <c r="G333">
        <v>0</v>
      </c>
      <c r="H333">
        <v>0</v>
      </c>
      <c r="I333">
        <v>25</v>
      </c>
      <c r="J333">
        <v>0</v>
      </c>
    </row>
    <row r="334" spans="1:10" x14ac:dyDescent="0.25">
      <c r="A334" s="4" t="s">
        <v>91</v>
      </c>
      <c r="B334">
        <v>7172030006001500</v>
      </c>
      <c r="C334">
        <v>47</v>
      </c>
      <c r="D334">
        <v>16</v>
      </c>
      <c r="E334">
        <v>4</v>
      </c>
      <c r="F334">
        <v>8</v>
      </c>
      <c r="G334">
        <v>0</v>
      </c>
      <c r="H334">
        <v>0</v>
      </c>
      <c r="I334">
        <v>19</v>
      </c>
      <c r="J334">
        <v>0</v>
      </c>
    </row>
    <row r="335" spans="1:10" x14ac:dyDescent="0.25">
      <c r="A335" s="4" t="s">
        <v>91</v>
      </c>
      <c r="B335">
        <v>7172030006001900</v>
      </c>
      <c r="C335">
        <v>47</v>
      </c>
      <c r="D335">
        <v>12</v>
      </c>
      <c r="E335">
        <v>1</v>
      </c>
      <c r="F335">
        <v>4</v>
      </c>
      <c r="G335">
        <v>0</v>
      </c>
      <c r="H335">
        <v>0</v>
      </c>
      <c r="I335">
        <v>30</v>
      </c>
      <c r="J335">
        <v>0</v>
      </c>
    </row>
    <row r="336" spans="1:10" x14ac:dyDescent="0.25">
      <c r="A336" s="4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4" t="s">
        <v>97</v>
      </c>
      <c r="B337">
        <v>7172030012000100</v>
      </c>
      <c r="C337">
        <v>93</v>
      </c>
      <c r="D337">
        <v>10</v>
      </c>
      <c r="E337">
        <v>30</v>
      </c>
      <c r="F337">
        <v>7</v>
      </c>
      <c r="G337">
        <v>1</v>
      </c>
      <c r="H337">
        <v>0</v>
      </c>
      <c r="I337">
        <v>45</v>
      </c>
      <c r="J337">
        <v>0</v>
      </c>
    </row>
    <row r="338" spans="1:10" x14ac:dyDescent="0.25">
      <c r="A338" s="4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4" t="s">
        <v>97</v>
      </c>
      <c r="B345">
        <v>7172030016000200</v>
      </c>
      <c r="C345">
        <v>40</v>
      </c>
      <c r="D345">
        <v>0</v>
      </c>
      <c r="E345">
        <v>0</v>
      </c>
      <c r="F345">
        <v>28</v>
      </c>
      <c r="G345">
        <v>0</v>
      </c>
      <c r="H345">
        <v>0</v>
      </c>
      <c r="I345">
        <v>12</v>
      </c>
      <c r="J345">
        <v>0</v>
      </c>
    </row>
    <row r="346" spans="1:10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4" t="s">
        <v>99</v>
      </c>
      <c r="B348">
        <v>7172030013000100</v>
      </c>
      <c r="C348">
        <v>173</v>
      </c>
      <c r="D348">
        <v>0</v>
      </c>
      <c r="E348">
        <v>0</v>
      </c>
      <c r="F348">
        <v>161</v>
      </c>
      <c r="G348">
        <v>0</v>
      </c>
      <c r="H348">
        <v>0</v>
      </c>
      <c r="I348">
        <v>12</v>
      </c>
      <c r="J348">
        <v>0</v>
      </c>
    </row>
    <row r="349" spans="1:10" x14ac:dyDescent="0.25">
      <c r="A349" s="4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s="4" t="s">
        <v>99</v>
      </c>
      <c r="B350">
        <v>7172030012001700</v>
      </c>
      <c r="C350">
        <v>78</v>
      </c>
      <c r="D350">
        <v>20</v>
      </c>
      <c r="E350">
        <v>2</v>
      </c>
      <c r="F350">
        <v>13</v>
      </c>
      <c r="G350">
        <v>1</v>
      </c>
      <c r="H350">
        <v>0</v>
      </c>
      <c r="I350">
        <v>42</v>
      </c>
      <c r="J350">
        <v>0</v>
      </c>
    </row>
    <row r="351" spans="1:10" x14ac:dyDescent="0.25">
      <c r="A351" s="4" t="s">
        <v>99</v>
      </c>
      <c r="B351">
        <v>7172030012001900</v>
      </c>
      <c r="C351">
        <v>76</v>
      </c>
      <c r="D351">
        <v>22</v>
      </c>
      <c r="E351">
        <v>12</v>
      </c>
      <c r="F351">
        <v>25</v>
      </c>
      <c r="G351">
        <v>0</v>
      </c>
      <c r="H351">
        <v>0</v>
      </c>
      <c r="I351">
        <v>17</v>
      </c>
      <c r="J351">
        <v>0</v>
      </c>
    </row>
    <row r="352" spans="1:10" x14ac:dyDescent="0.25">
      <c r="A352" s="4" t="s">
        <v>99</v>
      </c>
      <c r="B352">
        <v>7172030012001800</v>
      </c>
      <c r="C352">
        <v>73</v>
      </c>
      <c r="D352">
        <v>17</v>
      </c>
      <c r="E352">
        <v>1</v>
      </c>
      <c r="F352">
        <v>36</v>
      </c>
      <c r="G352">
        <v>0</v>
      </c>
      <c r="H352">
        <v>0</v>
      </c>
      <c r="I352">
        <v>19</v>
      </c>
      <c r="J352">
        <v>0</v>
      </c>
    </row>
    <row r="353" spans="1:10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4" t="s">
        <v>99</v>
      </c>
      <c r="B354">
        <v>7172030012002000</v>
      </c>
      <c r="C354">
        <v>50</v>
      </c>
      <c r="D354">
        <v>2</v>
      </c>
      <c r="E354">
        <v>5</v>
      </c>
      <c r="F354">
        <v>23</v>
      </c>
      <c r="G354">
        <v>0</v>
      </c>
      <c r="H354">
        <v>0</v>
      </c>
      <c r="I354">
        <v>20</v>
      </c>
      <c r="J354">
        <v>0</v>
      </c>
    </row>
    <row r="355" spans="1:10" x14ac:dyDescent="0.25">
      <c r="A355" s="4" t="s">
        <v>99</v>
      </c>
      <c r="B355">
        <v>7172030013000300</v>
      </c>
      <c r="C355">
        <v>47</v>
      </c>
      <c r="D355">
        <v>0</v>
      </c>
      <c r="E355">
        <v>4</v>
      </c>
      <c r="F355">
        <v>39</v>
      </c>
      <c r="G355">
        <v>0</v>
      </c>
      <c r="H355">
        <v>0</v>
      </c>
      <c r="I355">
        <v>4</v>
      </c>
      <c r="J355">
        <v>0</v>
      </c>
    </row>
    <row r="356" spans="1:10" x14ac:dyDescent="0.25">
      <c r="A356" s="4" t="s">
        <v>234</v>
      </c>
      <c r="B356">
        <v>7172030008000902</v>
      </c>
      <c r="C356">
        <v>148</v>
      </c>
      <c r="D356">
        <v>38</v>
      </c>
      <c r="E356">
        <v>0</v>
      </c>
      <c r="F356">
        <v>13</v>
      </c>
      <c r="G356">
        <v>81</v>
      </c>
      <c r="H356">
        <v>2</v>
      </c>
      <c r="I356">
        <v>14</v>
      </c>
      <c r="J356">
        <v>0</v>
      </c>
    </row>
    <row r="357" spans="1:10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4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s="4" t="s">
        <v>234</v>
      </c>
      <c r="B361">
        <v>7172030008000901</v>
      </c>
      <c r="C361">
        <v>52</v>
      </c>
      <c r="D361">
        <v>31</v>
      </c>
      <c r="E361">
        <v>0</v>
      </c>
      <c r="F361">
        <v>5</v>
      </c>
      <c r="G361">
        <v>0</v>
      </c>
      <c r="H361">
        <v>0</v>
      </c>
      <c r="I361">
        <v>16</v>
      </c>
      <c r="J361">
        <v>0</v>
      </c>
    </row>
    <row r="362" spans="1:10" x14ac:dyDescent="0.25">
      <c r="A362" s="4" t="s">
        <v>234</v>
      </c>
      <c r="B362">
        <v>7172030008000600</v>
      </c>
      <c r="C362">
        <v>49</v>
      </c>
      <c r="D362">
        <v>14</v>
      </c>
      <c r="E362">
        <v>0</v>
      </c>
      <c r="F362">
        <v>35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4" t="s">
        <v>234</v>
      </c>
      <c r="B363">
        <v>7172030008000700</v>
      </c>
      <c r="C363">
        <v>40</v>
      </c>
      <c r="D363">
        <v>5</v>
      </c>
      <c r="E363">
        <v>2</v>
      </c>
      <c r="F363">
        <v>33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4" t="s">
        <v>235</v>
      </c>
      <c r="B368">
        <v>7172030015000300</v>
      </c>
      <c r="C368">
        <v>122</v>
      </c>
      <c r="D368">
        <v>14</v>
      </c>
      <c r="E368">
        <v>17</v>
      </c>
      <c r="F368">
        <v>42</v>
      </c>
      <c r="G368">
        <v>1</v>
      </c>
      <c r="H368">
        <v>0</v>
      </c>
      <c r="I368">
        <v>48</v>
      </c>
      <c r="J368">
        <v>0</v>
      </c>
    </row>
    <row r="369" spans="1:10" x14ac:dyDescent="0.25">
      <c r="A369" s="4" t="s">
        <v>235</v>
      </c>
      <c r="B369">
        <v>7172030015000400</v>
      </c>
      <c r="C369">
        <v>83</v>
      </c>
      <c r="D369">
        <v>1</v>
      </c>
      <c r="E369">
        <v>5</v>
      </c>
      <c r="F369">
        <v>35</v>
      </c>
      <c r="G369">
        <v>0</v>
      </c>
      <c r="H369">
        <v>0</v>
      </c>
      <c r="I369">
        <v>42</v>
      </c>
      <c r="J369">
        <v>0</v>
      </c>
    </row>
    <row r="370" spans="1:10" x14ac:dyDescent="0.25">
      <c r="A370" s="4" t="s">
        <v>235</v>
      </c>
      <c r="B370">
        <v>7172030015001000</v>
      </c>
      <c r="C370">
        <v>81</v>
      </c>
      <c r="D370">
        <v>9</v>
      </c>
      <c r="E370">
        <v>8</v>
      </c>
      <c r="F370">
        <v>11</v>
      </c>
      <c r="G370">
        <v>0</v>
      </c>
      <c r="H370">
        <v>0</v>
      </c>
      <c r="I370">
        <v>53</v>
      </c>
      <c r="J370">
        <v>0</v>
      </c>
    </row>
    <row r="371" spans="1:10" x14ac:dyDescent="0.25">
      <c r="A371" s="4" t="s">
        <v>235</v>
      </c>
      <c r="B371">
        <v>7172030015001100</v>
      </c>
      <c r="C371">
        <v>61</v>
      </c>
      <c r="D371">
        <v>11</v>
      </c>
      <c r="E371">
        <v>4</v>
      </c>
      <c r="F371">
        <v>17</v>
      </c>
      <c r="G371">
        <v>1</v>
      </c>
      <c r="H371">
        <v>0</v>
      </c>
      <c r="I371">
        <v>28</v>
      </c>
      <c r="J371">
        <v>0</v>
      </c>
    </row>
    <row r="372" spans="1:10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4" t="s">
        <v>236</v>
      </c>
      <c r="B376">
        <v>7172030014001100</v>
      </c>
      <c r="C376">
        <v>248</v>
      </c>
      <c r="D376">
        <v>67</v>
      </c>
      <c r="E376">
        <v>0</v>
      </c>
      <c r="F376">
        <v>27</v>
      </c>
      <c r="G376">
        <v>12</v>
      </c>
      <c r="H376">
        <v>0</v>
      </c>
      <c r="I376">
        <v>142</v>
      </c>
      <c r="J376">
        <v>0</v>
      </c>
    </row>
    <row r="377" spans="1:10" x14ac:dyDescent="0.25">
      <c r="A377" s="4" t="s">
        <v>236</v>
      </c>
      <c r="B377">
        <v>7172030014001200</v>
      </c>
      <c r="C377">
        <v>122</v>
      </c>
      <c r="D377">
        <v>13</v>
      </c>
      <c r="E377">
        <v>0</v>
      </c>
      <c r="F377">
        <v>84</v>
      </c>
      <c r="G377">
        <v>1</v>
      </c>
      <c r="H377">
        <v>0</v>
      </c>
      <c r="I377">
        <v>24</v>
      </c>
      <c r="J377">
        <v>0</v>
      </c>
    </row>
    <row r="378" spans="1:10" x14ac:dyDescent="0.25">
      <c r="A378" s="4" t="s">
        <v>236</v>
      </c>
      <c r="B378">
        <v>7172030014001000</v>
      </c>
      <c r="C378">
        <v>118</v>
      </c>
      <c r="D378">
        <v>12</v>
      </c>
      <c r="E378">
        <v>1</v>
      </c>
      <c r="F378">
        <v>86</v>
      </c>
      <c r="G378">
        <v>0</v>
      </c>
      <c r="H378">
        <v>0</v>
      </c>
      <c r="I378">
        <v>19</v>
      </c>
      <c r="J378">
        <v>0</v>
      </c>
    </row>
    <row r="379" spans="1:10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4" t="s">
        <v>105</v>
      </c>
      <c r="B382">
        <v>7172030015001701</v>
      </c>
      <c r="C382">
        <v>110</v>
      </c>
      <c r="D382">
        <v>0</v>
      </c>
      <c r="E382">
        <v>18</v>
      </c>
      <c r="F382">
        <v>48</v>
      </c>
      <c r="G382">
        <v>0</v>
      </c>
      <c r="H382">
        <v>0</v>
      </c>
      <c r="I382">
        <v>44</v>
      </c>
      <c r="J382">
        <v>0</v>
      </c>
    </row>
    <row r="383" spans="1:10" x14ac:dyDescent="0.25">
      <c r="A383" s="4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s="4" t="s">
        <v>105</v>
      </c>
      <c r="B384">
        <v>7172030015001200</v>
      </c>
      <c r="C384">
        <v>67</v>
      </c>
      <c r="D384">
        <v>28</v>
      </c>
      <c r="E384">
        <v>2</v>
      </c>
      <c r="F384">
        <v>1</v>
      </c>
      <c r="G384">
        <v>0</v>
      </c>
      <c r="H384">
        <v>1</v>
      </c>
      <c r="I384">
        <v>35</v>
      </c>
      <c r="J384">
        <v>0</v>
      </c>
    </row>
    <row r="385" spans="1:10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4" t="s">
        <v>109</v>
      </c>
      <c r="B387">
        <v>7172031001000800</v>
      </c>
      <c r="C387">
        <v>59</v>
      </c>
      <c r="D387">
        <v>20</v>
      </c>
      <c r="E387">
        <v>13</v>
      </c>
      <c r="F387">
        <v>1</v>
      </c>
      <c r="G387">
        <v>2</v>
      </c>
      <c r="H387">
        <v>0</v>
      </c>
      <c r="I387">
        <v>23</v>
      </c>
      <c r="J387">
        <v>0</v>
      </c>
    </row>
    <row r="388" spans="1:10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4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6</v>
      </c>
      <c r="H391">
        <v>0</v>
      </c>
      <c r="I391">
        <v>7</v>
      </c>
      <c r="J391">
        <v>0</v>
      </c>
    </row>
    <row r="392" spans="1:10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4" t="s">
        <v>109</v>
      </c>
      <c r="B394">
        <v>7172031001001000</v>
      </c>
      <c r="C394">
        <v>40</v>
      </c>
      <c r="D394">
        <v>9</v>
      </c>
      <c r="E394">
        <v>20</v>
      </c>
      <c r="F394">
        <v>11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4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4" t="s">
        <v>109</v>
      </c>
      <c r="B396">
        <v>7172031001000900</v>
      </c>
      <c r="C396">
        <v>34</v>
      </c>
      <c r="D396">
        <v>10</v>
      </c>
      <c r="E396">
        <v>17</v>
      </c>
      <c r="F396">
        <v>1</v>
      </c>
      <c r="G396">
        <v>3</v>
      </c>
      <c r="H396">
        <v>0</v>
      </c>
      <c r="I396">
        <v>3</v>
      </c>
      <c r="J396">
        <v>0</v>
      </c>
    </row>
    <row r="397" spans="1:10" x14ac:dyDescent="0.25">
      <c r="A397" s="4" t="s">
        <v>109</v>
      </c>
      <c r="B397">
        <v>7172031001000100</v>
      </c>
      <c r="C397">
        <v>32</v>
      </c>
      <c r="D397">
        <v>15</v>
      </c>
      <c r="E397">
        <v>15</v>
      </c>
      <c r="F397">
        <v>2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4" t="s">
        <v>109</v>
      </c>
      <c r="B398">
        <v>7172031001000300</v>
      </c>
      <c r="C398">
        <v>31</v>
      </c>
      <c r="D398">
        <v>0</v>
      </c>
      <c r="E398">
        <v>1</v>
      </c>
      <c r="F398">
        <v>30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4" t="s">
        <v>109</v>
      </c>
      <c r="B399">
        <v>7172031001000200</v>
      </c>
      <c r="C399">
        <v>28</v>
      </c>
      <c r="D399">
        <v>0</v>
      </c>
      <c r="E399">
        <v>5</v>
      </c>
      <c r="F399">
        <v>23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4" t="s">
        <v>113</v>
      </c>
      <c r="B400">
        <v>7172031005001800</v>
      </c>
      <c r="C400">
        <v>108</v>
      </c>
      <c r="D400">
        <v>0</v>
      </c>
      <c r="E400">
        <v>2</v>
      </c>
      <c r="F400">
        <v>99</v>
      </c>
      <c r="G400">
        <v>0</v>
      </c>
      <c r="H400">
        <v>0</v>
      </c>
      <c r="I400">
        <v>7</v>
      </c>
      <c r="J400">
        <v>0</v>
      </c>
    </row>
    <row r="401" spans="1:10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4" t="s">
        <v>113</v>
      </c>
      <c r="B402">
        <v>7172031005001500</v>
      </c>
      <c r="C402">
        <v>82</v>
      </c>
      <c r="D402">
        <v>53</v>
      </c>
      <c r="E402">
        <v>6</v>
      </c>
      <c r="F402">
        <v>0</v>
      </c>
      <c r="G402">
        <v>16</v>
      </c>
      <c r="H402">
        <v>0</v>
      </c>
      <c r="I402">
        <v>7</v>
      </c>
      <c r="J402">
        <v>0</v>
      </c>
    </row>
    <row r="403" spans="1:10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80</v>
      </c>
      <c r="G403">
        <v>0</v>
      </c>
      <c r="H403">
        <v>0</v>
      </c>
      <c r="I403">
        <v>1</v>
      </c>
      <c r="J403">
        <v>0</v>
      </c>
    </row>
    <row r="404" spans="1:10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4" t="s">
        <v>113</v>
      </c>
      <c r="B405">
        <v>7172031005001600</v>
      </c>
      <c r="C405">
        <v>74</v>
      </c>
      <c r="D405">
        <v>23</v>
      </c>
      <c r="E405">
        <v>35</v>
      </c>
      <c r="F405">
        <v>8</v>
      </c>
      <c r="G405">
        <v>6</v>
      </c>
      <c r="H405">
        <v>0</v>
      </c>
      <c r="I405">
        <v>2</v>
      </c>
      <c r="J405">
        <v>0</v>
      </c>
    </row>
    <row r="406" spans="1:10" x14ac:dyDescent="0.25">
      <c r="A406" s="4" t="s">
        <v>113</v>
      </c>
      <c r="B406">
        <v>7172031005001400</v>
      </c>
      <c r="C406">
        <v>68</v>
      </c>
      <c r="D406">
        <v>45</v>
      </c>
      <c r="E406">
        <v>7</v>
      </c>
      <c r="F406">
        <v>2</v>
      </c>
      <c r="G406">
        <v>12</v>
      </c>
      <c r="H406">
        <v>0</v>
      </c>
      <c r="I406">
        <v>2</v>
      </c>
      <c r="J406">
        <v>0</v>
      </c>
    </row>
    <row r="407" spans="1:10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4" t="s">
        <v>114</v>
      </c>
      <c r="B408">
        <v>7172031003001300</v>
      </c>
      <c r="C408">
        <v>85</v>
      </c>
      <c r="D408">
        <v>83</v>
      </c>
      <c r="E408">
        <v>2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4" t="s">
        <v>114</v>
      </c>
      <c r="B409">
        <v>7172031003000500</v>
      </c>
      <c r="C409">
        <v>67</v>
      </c>
      <c r="D409">
        <v>5</v>
      </c>
      <c r="E409">
        <v>0</v>
      </c>
      <c r="F409">
        <v>62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4" t="s">
        <v>114</v>
      </c>
      <c r="B411">
        <v>7172031003001000</v>
      </c>
      <c r="C411">
        <v>59</v>
      </c>
      <c r="D411">
        <v>30</v>
      </c>
      <c r="E411">
        <v>2</v>
      </c>
      <c r="F411">
        <v>24</v>
      </c>
      <c r="G411">
        <v>3</v>
      </c>
      <c r="H411">
        <v>0</v>
      </c>
      <c r="I411">
        <v>0</v>
      </c>
      <c r="J411">
        <v>0</v>
      </c>
    </row>
    <row r="412" spans="1:10" x14ac:dyDescent="0.25">
      <c r="A412" s="4" t="s">
        <v>114</v>
      </c>
      <c r="B412">
        <v>7172031003000900</v>
      </c>
      <c r="C412">
        <v>58</v>
      </c>
      <c r="D412">
        <v>55</v>
      </c>
      <c r="E412">
        <v>2</v>
      </c>
      <c r="F412">
        <v>0</v>
      </c>
      <c r="G412">
        <v>1</v>
      </c>
      <c r="H412">
        <v>0</v>
      </c>
      <c r="I412">
        <v>0</v>
      </c>
      <c r="J412">
        <v>0</v>
      </c>
    </row>
    <row r="413" spans="1:10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4" t="s">
        <v>119</v>
      </c>
      <c r="B421">
        <v>7172031005000400</v>
      </c>
      <c r="C421">
        <v>76</v>
      </c>
      <c r="D421">
        <v>3</v>
      </c>
      <c r="E421">
        <v>22</v>
      </c>
      <c r="F421">
        <v>51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4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4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4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4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4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4" t="s">
        <v>121</v>
      </c>
      <c r="B433">
        <v>7172031006001100</v>
      </c>
      <c r="C433">
        <v>204</v>
      </c>
      <c r="D433">
        <v>89</v>
      </c>
      <c r="E433">
        <v>37</v>
      </c>
      <c r="F433">
        <v>7</v>
      </c>
      <c r="G433">
        <v>47</v>
      </c>
      <c r="H433">
        <v>0</v>
      </c>
      <c r="I433">
        <v>24</v>
      </c>
      <c r="J433">
        <v>0</v>
      </c>
    </row>
    <row r="434" spans="1:10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4" t="s">
        <v>121</v>
      </c>
      <c r="B435">
        <v>7172031006000600</v>
      </c>
      <c r="C435">
        <v>121</v>
      </c>
      <c r="D435">
        <v>9</v>
      </c>
      <c r="E435">
        <v>23</v>
      </c>
      <c r="F435">
        <v>62</v>
      </c>
      <c r="G435">
        <v>1</v>
      </c>
      <c r="H435">
        <v>0</v>
      </c>
      <c r="I435">
        <v>26</v>
      </c>
      <c r="J435">
        <v>0</v>
      </c>
    </row>
    <row r="436" spans="1:10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4" t="s">
        <v>125</v>
      </c>
      <c r="B439">
        <v>7172031007000800</v>
      </c>
      <c r="C439">
        <v>132</v>
      </c>
      <c r="D439">
        <v>41</v>
      </c>
      <c r="E439">
        <v>5</v>
      </c>
      <c r="F439">
        <v>27</v>
      </c>
      <c r="G439">
        <v>13</v>
      </c>
      <c r="H439">
        <v>0</v>
      </c>
      <c r="I439">
        <v>46</v>
      </c>
      <c r="J439">
        <v>0</v>
      </c>
    </row>
    <row r="440" spans="1:10" x14ac:dyDescent="0.25">
      <c r="A440" s="4" t="s">
        <v>125</v>
      </c>
      <c r="B440">
        <v>7172031007000500</v>
      </c>
      <c r="C440">
        <v>100</v>
      </c>
      <c r="D440">
        <v>77</v>
      </c>
      <c r="E440">
        <v>13</v>
      </c>
      <c r="F440">
        <v>5</v>
      </c>
      <c r="G440">
        <v>5</v>
      </c>
      <c r="H440">
        <v>0</v>
      </c>
      <c r="I440">
        <v>0</v>
      </c>
      <c r="J440">
        <v>0</v>
      </c>
    </row>
    <row r="441" spans="1:10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4" t="s">
        <v>125</v>
      </c>
      <c r="B442">
        <v>7172031007002500</v>
      </c>
      <c r="C442">
        <v>81</v>
      </c>
      <c r="D442">
        <v>20</v>
      </c>
      <c r="E442">
        <v>6</v>
      </c>
      <c r="F442">
        <v>26</v>
      </c>
      <c r="G442">
        <v>0</v>
      </c>
      <c r="H442">
        <v>0</v>
      </c>
      <c r="I442">
        <v>29</v>
      </c>
      <c r="J442">
        <v>0</v>
      </c>
    </row>
    <row r="443" spans="1:10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4" t="s">
        <v>125</v>
      </c>
      <c r="B444">
        <v>7172031008000400</v>
      </c>
      <c r="C444">
        <v>34</v>
      </c>
      <c r="D444">
        <v>28</v>
      </c>
      <c r="E444">
        <v>0</v>
      </c>
      <c r="F444">
        <v>0</v>
      </c>
      <c r="G444">
        <v>0</v>
      </c>
      <c r="H444">
        <v>0</v>
      </c>
      <c r="I444">
        <v>6</v>
      </c>
      <c r="J444">
        <v>0</v>
      </c>
    </row>
    <row r="445" spans="1:10" x14ac:dyDescent="0.25">
      <c r="A445" s="4" t="s">
        <v>126</v>
      </c>
      <c r="B445">
        <v>7172031007000600</v>
      </c>
      <c r="C445">
        <v>184</v>
      </c>
      <c r="D445">
        <v>166</v>
      </c>
      <c r="E445">
        <v>4</v>
      </c>
      <c r="F445">
        <v>0</v>
      </c>
      <c r="G445">
        <v>7</v>
      </c>
      <c r="H445">
        <v>0</v>
      </c>
      <c r="I445">
        <v>7</v>
      </c>
      <c r="J445">
        <v>0</v>
      </c>
    </row>
    <row r="446" spans="1:10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4" t="s">
        <v>126</v>
      </c>
      <c r="B447">
        <v>7172031007000700</v>
      </c>
      <c r="C447">
        <v>94</v>
      </c>
      <c r="D447">
        <v>24</v>
      </c>
      <c r="E447">
        <v>11</v>
      </c>
      <c r="F447">
        <v>42</v>
      </c>
      <c r="G447">
        <v>0</v>
      </c>
      <c r="H447">
        <v>1</v>
      </c>
      <c r="I447">
        <v>16</v>
      </c>
      <c r="J447">
        <v>0</v>
      </c>
    </row>
    <row r="448" spans="1:10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s="4" t="s">
        <v>123</v>
      </c>
      <c r="B451">
        <v>7172031007002700</v>
      </c>
      <c r="C451">
        <v>182</v>
      </c>
      <c r="D451">
        <v>175</v>
      </c>
      <c r="E451">
        <v>4</v>
      </c>
      <c r="F451">
        <v>2</v>
      </c>
      <c r="G451">
        <v>1</v>
      </c>
      <c r="H451">
        <v>0</v>
      </c>
      <c r="I451">
        <v>0</v>
      </c>
      <c r="J451">
        <v>0</v>
      </c>
    </row>
    <row r="452" spans="1:10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4" t="s">
        <v>123</v>
      </c>
      <c r="B455">
        <v>7172031008000100</v>
      </c>
      <c r="C455">
        <v>81</v>
      </c>
      <c r="D455">
        <v>24</v>
      </c>
      <c r="E455">
        <v>21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4" t="s">
        <v>128</v>
      </c>
      <c r="B457">
        <v>7172031007001900</v>
      </c>
      <c r="C457">
        <v>140</v>
      </c>
      <c r="D457">
        <v>2</v>
      </c>
      <c r="E457">
        <v>51</v>
      </c>
      <c r="F457">
        <v>80</v>
      </c>
      <c r="G457">
        <v>0</v>
      </c>
      <c r="H457">
        <v>0</v>
      </c>
      <c r="I457">
        <v>7</v>
      </c>
      <c r="J457">
        <v>0</v>
      </c>
    </row>
    <row r="458" spans="1:10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4" t="s">
        <v>128</v>
      </c>
      <c r="B460">
        <v>7172031007001500</v>
      </c>
      <c r="C460">
        <v>92</v>
      </c>
      <c r="D460">
        <v>36</v>
      </c>
      <c r="E460">
        <v>1</v>
      </c>
      <c r="F460">
        <v>0</v>
      </c>
      <c r="G460">
        <v>0</v>
      </c>
      <c r="H460">
        <v>1</v>
      </c>
      <c r="I460">
        <v>54</v>
      </c>
      <c r="J460">
        <v>0</v>
      </c>
    </row>
    <row r="461" spans="1:10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4" t="s">
        <v>134</v>
      </c>
      <c r="B463">
        <v>7172040003001200</v>
      </c>
      <c r="C463">
        <v>200</v>
      </c>
      <c r="D463">
        <v>25</v>
      </c>
      <c r="E463">
        <v>0</v>
      </c>
      <c r="F463">
        <v>113</v>
      </c>
      <c r="G463">
        <v>0</v>
      </c>
      <c r="H463">
        <v>0</v>
      </c>
      <c r="I463">
        <v>62</v>
      </c>
      <c r="J463">
        <v>0</v>
      </c>
    </row>
    <row r="464" spans="1:10" x14ac:dyDescent="0.25">
      <c r="A464" s="4" t="s">
        <v>134</v>
      </c>
      <c r="B464">
        <v>7172040003001000</v>
      </c>
      <c r="C464">
        <v>142</v>
      </c>
      <c r="D464">
        <v>94</v>
      </c>
      <c r="E464">
        <v>3</v>
      </c>
      <c r="F464">
        <v>22</v>
      </c>
      <c r="G464">
        <v>0</v>
      </c>
      <c r="H464">
        <v>0</v>
      </c>
      <c r="I464">
        <v>23</v>
      </c>
      <c r="J464">
        <v>0</v>
      </c>
    </row>
    <row r="465" spans="1:10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4" t="s">
        <v>131</v>
      </c>
      <c r="B468">
        <v>7172040007000300</v>
      </c>
      <c r="C468">
        <v>100</v>
      </c>
      <c r="D468">
        <v>53</v>
      </c>
      <c r="E468">
        <v>0</v>
      </c>
      <c r="F468">
        <v>1</v>
      </c>
      <c r="G468">
        <v>40</v>
      </c>
      <c r="H468">
        <v>1</v>
      </c>
      <c r="I468">
        <v>5</v>
      </c>
      <c r="J468">
        <v>0</v>
      </c>
    </row>
    <row r="469" spans="1:10" x14ac:dyDescent="0.25">
      <c r="A469" s="4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s="4" t="s">
        <v>131</v>
      </c>
      <c r="B470">
        <v>7172040007000100</v>
      </c>
      <c r="C470">
        <v>76</v>
      </c>
      <c r="D470">
        <v>9</v>
      </c>
      <c r="E470">
        <v>0</v>
      </c>
      <c r="F470">
        <v>53</v>
      </c>
      <c r="G470">
        <v>0</v>
      </c>
      <c r="H470">
        <v>0</v>
      </c>
      <c r="I470">
        <v>14</v>
      </c>
      <c r="J470">
        <v>0</v>
      </c>
    </row>
    <row r="471" spans="1:10" x14ac:dyDescent="0.25">
      <c r="A471" s="4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4" t="s">
        <v>131</v>
      </c>
      <c r="B475">
        <v>7172040007000400</v>
      </c>
      <c r="C475">
        <v>47</v>
      </c>
      <c r="D475">
        <v>18</v>
      </c>
      <c r="E475">
        <v>0</v>
      </c>
      <c r="F475">
        <v>1</v>
      </c>
      <c r="G475">
        <v>27</v>
      </c>
      <c r="H475">
        <v>0</v>
      </c>
      <c r="I475">
        <v>1</v>
      </c>
      <c r="J475">
        <v>0</v>
      </c>
    </row>
    <row r="476" spans="1:10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4" t="s">
        <v>137</v>
      </c>
      <c r="B478">
        <v>7172040005000200</v>
      </c>
      <c r="C478">
        <v>147</v>
      </c>
      <c r="D478">
        <v>22</v>
      </c>
      <c r="E478">
        <v>62</v>
      </c>
      <c r="F478">
        <v>45</v>
      </c>
      <c r="G478">
        <v>0</v>
      </c>
      <c r="H478">
        <v>0</v>
      </c>
      <c r="I478">
        <v>18</v>
      </c>
      <c r="J478">
        <v>0</v>
      </c>
    </row>
    <row r="479" spans="1:10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72</v>
      </c>
      <c r="G479">
        <v>0</v>
      </c>
      <c r="H479">
        <v>0</v>
      </c>
      <c r="I479">
        <v>5</v>
      </c>
      <c r="J479">
        <v>0</v>
      </c>
    </row>
    <row r="480" spans="1:10" x14ac:dyDescent="0.25">
      <c r="A480" s="4" t="s">
        <v>137</v>
      </c>
      <c r="B480">
        <v>7172040005000700</v>
      </c>
      <c r="C480">
        <v>63</v>
      </c>
      <c r="D480">
        <v>58</v>
      </c>
      <c r="E480">
        <v>0</v>
      </c>
      <c r="F480">
        <v>5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50</v>
      </c>
      <c r="G482">
        <v>0</v>
      </c>
      <c r="H482">
        <v>0</v>
      </c>
      <c r="I482">
        <v>2</v>
      </c>
      <c r="J482">
        <v>0</v>
      </c>
    </row>
    <row r="483" spans="1:10" x14ac:dyDescent="0.25">
      <c r="A483" s="4" t="s">
        <v>137</v>
      </c>
      <c r="B483">
        <v>7172040005001000</v>
      </c>
      <c r="C483">
        <v>49</v>
      </c>
      <c r="D483">
        <v>6</v>
      </c>
      <c r="E483">
        <v>1</v>
      </c>
      <c r="F483">
        <v>4</v>
      </c>
      <c r="G483">
        <v>0</v>
      </c>
      <c r="H483">
        <v>0</v>
      </c>
      <c r="I483">
        <v>38</v>
      </c>
      <c r="J483">
        <v>0</v>
      </c>
    </row>
    <row r="484" spans="1:10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47</v>
      </c>
      <c r="G484">
        <v>0</v>
      </c>
      <c r="H484">
        <v>0</v>
      </c>
      <c r="I484">
        <v>1</v>
      </c>
      <c r="J484">
        <v>0</v>
      </c>
    </row>
    <row r="485" spans="1:10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39</v>
      </c>
      <c r="G486">
        <v>0</v>
      </c>
      <c r="H486">
        <v>0</v>
      </c>
      <c r="I486">
        <v>1</v>
      </c>
      <c r="J486">
        <v>0</v>
      </c>
    </row>
    <row r="487" spans="1:10" x14ac:dyDescent="0.25">
      <c r="A487" s="4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4" t="s">
        <v>138</v>
      </c>
      <c r="B490">
        <v>7172040005001800</v>
      </c>
      <c r="C490">
        <v>118</v>
      </c>
      <c r="D490">
        <v>7</v>
      </c>
      <c r="E490">
        <v>16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4" t="s">
        <v>138</v>
      </c>
      <c r="B492">
        <v>7172040005001402</v>
      </c>
      <c r="C492">
        <v>74</v>
      </c>
      <c r="D492">
        <v>4</v>
      </c>
      <c r="E492">
        <v>21</v>
      </c>
      <c r="F492">
        <v>35</v>
      </c>
      <c r="G492">
        <v>5</v>
      </c>
      <c r="H492">
        <v>0</v>
      </c>
      <c r="I492">
        <v>9</v>
      </c>
      <c r="J492">
        <v>0</v>
      </c>
    </row>
    <row r="493" spans="1:10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4" t="s">
        <v>138</v>
      </c>
      <c r="B494">
        <v>7172040005001300</v>
      </c>
      <c r="C494">
        <v>56</v>
      </c>
      <c r="D494">
        <v>7</v>
      </c>
      <c r="E494">
        <v>11</v>
      </c>
      <c r="F494">
        <v>10</v>
      </c>
      <c r="G494">
        <v>6</v>
      </c>
      <c r="H494">
        <v>0</v>
      </c>
      <c r="I494">
        <v>22</v>
      </c>
      <c r="J494">
        <v>0</v>
      </c>
    </row>
    <row r="495" spans="1:10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4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20</v>
      </c>
      <c r="H496">
        <v>0</v>
      </c>
      <c r="I496">
        <v>59</v>
      </c>
      <c r="J496">
        <v>0</v>
      </c>
    </row>
    <row r="497" spans="1:10" x14ac:dyDescent="0.25">
      <c r="A497" s="4" t="s">
        <v>141</v>
      </c>
      <c r="B497">
        <v>7172040013000200</v>
      </c>
      <c r="C497">
        <v>98</v>
      </c>
      <c r="D497">
        <v>40</v>
      </c>
      <c r="E497">
        <v>46</v>
      </c>
      <c r="F497">
        <v>6</v>
      </c>
      <c r="G497">
        <v>0</v>
      </c>
      <c r="H497">
        <v>0</v>
      </c>
      <c r="I497">
        <v>6</v>
      </c>
      <c r="J497">
        <v>0</v>
      </c>
    </row>
    <row r="498" spans="1:10" x14ac:dyDescent="0.25">
      <c r="A498" s="4" t="s">
        <v>141</v>
      </c>
      <c r="B498">
        <v>7172040012001200</v>
      </c>
      <c r="C498">
        <v>73</v>
      </c>
      <c r="D498">
        <v>8</v>
      </c>
      <c r="E498">
        <v>4</v>
      </c>
      <c r="F498">
        <v>54</v>
      </c>
      <c r="G498">
        <v>0</v>
      </c>
      <c r="H498">
        <v>0</v>
      </c>
      <c r="I498">
        <v>7</v>
      </c>
      <c r="J498">
        <v>0</v>
      </c>
    </row>
    <row r="499" spans="1:10" x14ac:dyDescent="0.25">
      <c r="A499" s="4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s="4" t="s">
        <v>141</v>
      </c>
      <c r="B500">
        <v>7172040012001400</v>
      </c>
      <c r="C500">
        <v>53</v>
      </c>
      <c r="D500">
        <v>12</v>
      </c>
      <c r="E500">
        <v>34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4" t="s">
        <v>141</v>
      </c>
      <c r="B502">
        <v>7172040012001100</v>
      </c>
      <c r="C502">
        <v>40</v>
      </c>
      <c r="D502">
        <v>4</v>
      </c>
      <c r="E502">
        <v>3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s="4" t="s">
        <v>141</v>
      </c>
      <c r="B503">
        <v>7172040012000700</v>
      </c>
      <c r="C503">
        <v>38</v>
      </c>
      <c r="D503">
        <v>0</v>
      </c>
      <c r="E503">
        <v>14</v>
      </c>
      <c r="F503">
        <v>24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4" t="s">
        <v>142</v>
      </c>
      <c r="B506">
        <v>7172040013000600</v>
      </c>
      <c r="C506">
        <v>127</v>
      </c>
      <c r="D506">
        <v>37</v>
      </c>
      <c r="E506">
        <v>27</v>
      </c>
      <c r="F506">
        <v>20</v>
      </c>
      <c r="G506">
        <v>1</v>
      </c>
      <c r="H506">
        <v>0</v>
      </c>
      <c r="I506">
        <v>42</v>
      </c>
      <c r="J506">
        <v>0</v>
      </c>
    </row>
    <row r="507" spans="1:10" x14ac:dyDescent="0.25">
      <c r="A507" s="4" t="s">
        <v>142</v>
      </c>
      <c r="B507">
        <v>7172040013000800</v>
      </c>
      <c r="C507">
        <v>88</v>
      </c>
      <c r="D507">
        <v>31</v>
      </c>
      <c r="E507">
        <v>5</v>
      </c>
      <c r="F507">
        <v>5</v>
      </c>
      <c r="G507">
        <v>25</v>
      </c>
      <c r="H507">
        <v>0</v>
      </c>
      <c r="I507">
        <v>22</v>
      </c>
      <c r="J507">
        <v>0</v>
      </c>
    </row>
    <row r="508" spans="1:10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4" t="s">
        <v>142</v>
      </c>
      <c r="B512">
        <v>7172040013000900</v>
      </c>
      <c r="C512">
        <v>54</v>
      </c>
      <c r="D512">
        <v>0</v>
      </c>
      <c r="E512">
        <v>6</v>
      </c>
      <c r="F512">
        <v>48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4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4" t="s">
        <v>5</v>
      </c>
      <c r="B517">
        <v>7172010008001300</v>
      </c>
      <c r="C517">
        <v>142</v>
      </c>
      <c r="D517">
        <v>46</v>
      </c>
      <c r="E517">
        <v>6</v>
      </c>
      <c r="F517">
        <v>42</v>
      </c>
      <c r="G517">
        <v>0</v>
      </c>
      <c r="H517">
        <v>0</v>
      </c>
      <c r="I517">
        <v>48</v>
      </c>
      <c r="J517">
        <v>0</v>
      </c>
    </row>
    <row r="518" spans="1:10" x14ac:dyDescent="0.25">
      <c r="A518" s="4" t="s">
        <v>5</v>
      </c>
      <c r="B518">
        <v>7172010008001102</v>
      </c>
      <c r="C518">
        <v>112</v>
      </c>
      <c r="D518">
        <v>1</v>
      </c>
      <c r="E518">
        <v>24</v>
      </c>
      <c r="F518">
        <v>51</v>
      </c>
      <c r="G518">
        <v>1</v>
      </c>
      <c r="H518">
        <v>0</v>
      </c>
      <c r="I518">
        <v>35</v>
      </c>
      <c r="J518">
        <v>0</v>
      </c>
    </row>
    <row r="519" spans="1:10" x14ac:dyDescent="0.25">
      <c r="A519" s="4" t="s">
        <v>5</v>
      </c>
      <c r="B519">
        <v>7172010008001400</v>
      </c>
      <c r="C519">
        <v>110</v>
      </c>
      <c r="D519">
        <v>9</v>
      </c>
      <c r="E519">
        <v>5</v>
      </c>
      <c r="F519">
        <v>6</v>
      </c>
      <c r="G519">
        <v>58</v>
      </c>
      <c r="H519">
        <v>0</v>
      </c>
      <c r="I519">
        <v>32</v>
      </c>
      <c r="J519">
        <v>0</v>
      </c>
    </row>
    <row r="520" spans="1:10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4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40</v>
      </c>
      <c r="J523">
        <v>0</v>
      </c>
    </row>
    <row r="524" spans="1:10" x14ac:dyDescent="0.25">
      <c r="A524" s="4" t="s">
        <v>8</v>
      </c>
      <c r="B524">
        <v>7172010009000400</v>
      </c>
      <c r="C524">
        <v>75</v>
      </c>
      <c r="D524">
        <v>39</v>
      </c>
      <c r="E524">
        <v>0</v>
      </c>
      <c r="F524">
        <v>7</v>
      </c>
      <c r="G524">
        <v>0</v>
      </c>
      <c r="H524">
        <v>0</v>
      </c>
      <c r="I524">
        <v>29</v>
      </c>
      <c r="J524">
        <v>0</v>
      </c>
    </row>
    <row r="525" spans="1:10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4" t="s">
        <v>8</v>
      </c>
      <c r="B532">
        <v>7172010009000500</v>
      </c>
      <c r="C532">
        <v>34</v>
      </c>
      <c r="D532">
        <v>0</v>
      </c>
      <c r="E532">
        <v>0</v>
      </c>
      <c r="F532">
        <v>5</v>
      </c>
      <c r="G532">
        <v>0</v>
      </c>
      <c r="H532">
        <v>0</v>
      </c>
      <c r="I532">
        <v>29</v>
      </c>
      <c r="J532">
        <v>0</v>
      </c>
    </row>
    <row r="533" spans="1:10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4" t="s">
        <v>9</v>
      </c>
      <c r="B537">
        <v>7172010009001100</v>
      </c>
      <c r="C537">
        <v>63</v>
      </c>
      <c r="D537">
        <v>7</v>
      </c>
      <c r="E537">
        <v>8</v>
      </c>
      <c r="F537">
        <v>7</v>
      </c>
      <c r="G537">
        <v>33</v>
      </c>
      <c r="H537">
        <v>0</v>
      </c>
      <c r="I537">
        <v>8</v>
      </c>
      <c r="J537">
        <v>0</v>
      </c>
    </row>
    <row r="538" spans="1:10" x14ac:dyDescent="0.25">
      <c r="A538" s="4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20</v>
      </c>
      <c r="H538">
        <v>0</v>
      </c>
      <c r="I538">
        <v>16</v>
      </c>
      <c r="J538">
        <v>0</v>
      </c>
    </row>
    <row r="539" spans="1:10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4" t="s">
        <v>9</v>
      </c>
      <c r="B540">
        <v>7172010009001000</v>
      </c>
      <c r="C540">
        <v>59</v>
      </c>
      <c r="D540">
        <v>7</v>
      </c>
      <c r="E540">
        <v>6</v>
      </c>
      <c r="F540">
        <v>23</v>
      </c>
      <c r="G540">
        <v>0</v>
      </c>
      <c r="H540">
        <v>0</v>
      </c>
      <c r="I540">
        <v>23</v>
      </c>
      <c r="J540">
        <v>0</v>
      </c>
    </row>
    <row r="541" spans="1:10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4" t="s">
        <v>9</v>
      </c>
      <c r="B543">
        <v>7172010009000900</v>
      </c>
      <c r="C543">
        <v>45</v>
      </c>
      <c r="D543">
        <v>10</v>
      </c>
      <c r="E543">
        <v>16</v>
      </c>
      <c r="F543">
        <v>12</v>
      </c>
      <c r="G543">
        <v>0</v>
      </c>
      <c r="H543">
        <v>0</v>
      </c>
      <c r="I543">
        <v>7</v>
      </c>
      <c r="J543">
        <v>0</v>
      </c>
    </row>
    <row r="544" spans="1:10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4" t="s">
        <v>9</v>
      </c>
      <c r="B548">
        <v>7172010009000800</v>
      </c>
      <c r="C548">
        <v>36</v>
      </c>
      <c r="D548">
        <v>11</v>
      </c>
      <c r="E548">
        <v>7</v>
      </c>
      <c r="F548">
        <v>4</v>
      </c>
      <c r="G548">
        <v>0</v>
      </c>
      <c r="H548">
        <v>0</v>
      </c>
      <c r="I548">
        <v>14</v>
      </c>
      <c r="J548">
        <v>0</v>
      </c>
    </row>
    <row r="549" spans="1:10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4" t="s">
        <v>11</v>
      </c>
      <c r="B551">
        <v>7172010010000200</v>
      </c>
      <c r="C551">
        <v>131</v>
      </c>
      <c r="D551">
        <v>25</v>
      </c>
      <c r="E551">
        <v>38</v>
      </c>
      <c r="F551">
        <v>10</v>
      </c>
      <c r="G551">
        <v>0</v>
      </c>
      <c r="H551">
        <v>0</v>
      </c>
      <c r="I551">
        <v>58</v>
      </c>
      <c r="J551">
        <v>0</v>
      </c>
    </row>
    <row r="552" spans="1:10" x14ac:dyDescent="0.25">
      <c r="A552" s="4" t="s">
        <v>11</v>
      </c>
      <c r="B552">
        <v>7172010009003100</v>
      </c>
      <c r="C552">
        <v>102</v>
      </c>
      <c r="D552">
        <v>23</v>
      </c>
      <c r="E552">
        <v>2</v>
      </c>
      <c r="F552">
        <v>0</v>
      </c>
      <c r="G552">
        <v>5</v>
      </c>
      <c r="H552">
        <v>0</v>
      </c>
      <c r="I552">
        <v>72</v>
      </c>
      <c r="J552">
        <v>0</v>
      </c>
    </row>
    <row r="553" spans="1:10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4" t="s">
        <v>12</v>
      </c>
      <c r="B559">
        <v>7172010010000600</v>
      </c>
      <c r="C559">
        <v>89</v>
      </c>
      <c r="D559">
        <v>9</v>
      </c>
      <c r="E559">
        <v>0</v>
      </c>
      <c r="F559">
        <v>10</v>
      </c>
      <c r="G559">
        <v>2</v>
      </c>
      <c r="H559">
        <v>0</v>
      </c>
      <c r="I559">
        <v>68</v>
      </c>
      <c r="J559">
        <v>0</v>
      </c>
    </row>
    <row r="560" spans="1:10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s="4" t="s">
        <v>12</v>
      </c>
      <c r="B565">
        <v>7172010010001400</v>
      </c>
      <c r="C565">
        <v>50</v>
      </c>
      <c r="D565">
        <v>0</v>
      </c>
      <c r="E565">
        <v>0</v>
      </c>
      <c r="F565">
        <v>31</v>
      </c>
      <c r="G565">
        <v>0</v>
      </c>
      <c r="H565">
        <v>0</v>
      </c>
      <c r="I565">
        <v>19</v>
      </c>
      <c r="J565">
        <v>0</v>
      </c>
    </row>
    <row r="566" spans="1:10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4" t="s">
        <v>14</v>
      </c>
      <c r="B571">
        <v>7172010011000700</v>
      </c>
      <c r="C571">
        <v>61</v>
      </c>
      <c r="D571">
        <v>5</v>
      </c>
      <c r="E571">
        <v>0</v>
      </c>
      <c r="F571">
        <v>1</v>
      </c>
      <c r="G571">
        <v>0</v>
      </c>
      <c r="H571">
        <v>0</v>
      </c>
      <c r="I571">
        <v>55</v>
      </c>
      <c r="J571">
        <v>0</v>
      </c>
    </row>
    <row r="572" spans="1:10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s="4" t="s">
        <v>14</v>
      </c>
      <c r="B573">
        <v>7172010011001800</v>
      </c>
      <c r="C573">
        <v>55</v>
      </c>
      <c r="D573">
        <v>0</v>
      </c>
      <c r="E573">
        <v>1</v>
      </c>
      <c r="F573">
        <v>28</v>
      </c>
      <c r="G573">
        <v>0</v>
      </c>
      <c r="H573">
        <v>0</v>
      </c>
      <c r="I573">
        <v>26</v>
      </c>
      <c r="J573">
        <v>0</v>
      </c>
    </row>
    <row r="574" spans="1:10" x14ac:dyDescent="0.25">
      <c r="A574" s="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4" t="s">
        <v>14</v>
      </c>
      <c r="B576">
        <v>7172010011001200</v>
      </c>
      <c r="C576">
        <v>37</v>
      </c>
      <c r="D576">
        <v>3</v>
      </c>
      <c r="E576">
        <v>1</v>
      </c>
      <c r="F576">
        <v>1</v>
      </c>
      <c r="G576">
        <v>0</v>
      </c>
      <c r="H576">
        <v>0</v>
      </c>
      <c r="I576">
        <v>32</v>
      </c>
      <c r="J576">
        <v>0</v>
      </c>
    </row>
    <row r="577" spans="1:10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4" t="s">
        <v>14</v>
      </c>
      <c r="B583">
        <v>7172010011001300</v>
      </c>
      <c r="C583">
        <v>23</v>
      </c>
      <c r="D583">
        <v>7</v>
      </c>
      <c r="E583">
        <v>1</v>
      </c>
      <c r="F583">
        <v>3</v>
      </c>
      <c r="G583">
        <v>0</v>
      </c>
      <c r="H583">
        <v>0</v>
      </c>
      <c r="I583">
        <v>12</v>
      </c>
      <c r="J583">
        <v>0</v>
      </c>
    </row>
    <row r="584" spans="1:10" x14ac:dyDescent="0.25">
      <c r="A584" s="4" t="s">
        <v>15</v>
      </c>
      <c r="B584">
        <v>7172010011002200</v>
      </c>
      <c r="C584">
        <v>89</v>
      </c>
      <c r="D584">
        <v>26</v>
      </c>
      <c r="E584">
        <v>5</v>
      </c>
      <c r="F584">
        <v>3</v>
      </c>
      <c r="G584">
        <v>52</v>
      </c>
      <c r="H584">
        <v>0</v>
      </c>
      <c r="I584">
        <v>3</v>
      </c>
      <c r="J584">
        <v>0</v>
      </c>
    </row>
    <row r="585" spans="1:10" x14ac:dyDescent="0.25">
      <c r="A585" s="4" t="s">
        <v>15</v>
      </c>
      <c r="B585">
        <v>7172010012000300</v>
      </c>
      <c r="C585">
        <v>82</v>
      </c>
      <c r="D585">
        <v>28</v>
      </c>
      <c r="E585">
        <v>6</v>
      </c>
      <c r="F585">
        <v>5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s="4" t="s">
        <v>15</v>
      </c>
      <c r="B586">
        <v>7172010012000700</v>
      </c>
      <c r="C586">
        <v>75</v>
      </c>
      <c r="D586">
        <v>51</v>
      </c>
      <c r="E586">
        <v>12</v>
      </c>
      <c r="F586">
        <v>1</v>
      </c>
      <c r="G586">
        <v>0</v>
      </c>
      <c r="H586">
        <v>0</v>
      </c>
      <c r="I586">
        <v>11</v>
      </c>
      <c r="J586">
        <v>0</v>
      </c>
    </row>
    <row r="587" spans="1:10" x14ac:dyDescent="0.25">
      <c r="A587" s="4" t="s">
        <v>15</v>
      </c>
      <c r="B587">
        <v>7172010012000500</v>
      </c>
      <c r="C587">
        <v>67</v>
      </c>
      <c r="D587">
        <v>0</v>
      </c>
      <c r="E587">
        <v>14</v>
      </c>
      <c r="F587">
        <v>16</v>
      </c>
      <c r="G587">
        <v>0</v>
      </c>
      <c r="H587">
        <v>0</v>
      </c>
      <c r="I587">
        <v>37</v>
      </c>
      <c r="J587">
        <v>0</v>
      </c>
    </row>
    <row r="588" spans="1:10" x14ac:dyDescent="0.25">
      <c r="A588" s="4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4" t="s">
        <v>15</v>
      </c>
      <c r="B589">
        <v>7172010012000100</v>
      </c>
      <c r="C589">
        <v>50</v>
      </c>
      <c r="D589">
        <v>29</v>
      </c>
      <c r="E589">
        <v>2</v>
      </c>
      <c r="F589">
        <v>9</v>
      </c>
      <c r="G589">
        <v>1</v>
      </c>
      <c r="H589">
        <v>0</v>
      </c>
      <c r="I589">
        <v>9</v>
      </c>
      <c r="J589">
        <v>0</v>
      </c>
    </row>
    <row r="590" spans="1:10" x14ac:dyDescent="0.25">
      <c r="A590" s="4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4" t="s">
        <v>15</v>
      </c>
      <c r="B594">
        <v>7172010012000400</v>
      </c>
      <c r="C594">
        <v>34</v>
      </c>
      <c r="D594">
        <v>0</v>
      </c>
      <c r="E594">
        <v>1</v>
      </c>
      <c r="F594">
        <v>31</v>
      </c>
      <c r="G594">
        <v>0</v>
      </c>
      <c r="H594">
        <v>0</v>
      </c>
      <c r="I594">
        <v>2</v>
      </c>
      <c r="J594">
        <v>0</v>
      </c>
    </row>
    <row r="595" spans="1:10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4" t="s">
        <v>23</v>
      </c>
      <c r="B598">
        <v>7172010015003100</v>
      </c>
      <c r="C598">
        <v>145</v>
      </c>
      <c r="D598">
        <v>19</v>
      </c>
      <c r="E598">
        <v>16</v>
      </c>
      <c r="F598">
        <v>21</v>
      </c>
      <c r="G598">
        <v>2</v>
      </c>
      <c r="H598">
        <v>0</v>
      </c>
      <c r="I598">
        <v>87</v>
      </c>
      <c r="J598">
        <v>0</v>
      </c>
    </row>
    <row r="599" spans="1:10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4" t="s">
        <v>23</v>
      </c>
      <c r="B600">
        <v>7172010015003000</v>
      </c>
      <c r="C600">
        <v>69</v>
      </c>
      <c r="D600">
        <v>5</v>
      </c>
      <c r="E600">
        <v>13</v>
      </c>
      <c r="F600">
        <v>28</v>
      </c>
      <c r="G600">
        <v>0</v>
      </c>
      <c r="H600">
        <v>0</v>
      </c>
      <c r="I600">
        <v>23</v>
      </c>
      <c r="J600">
        <v>0</v>
      </c>
    </row>
    <row r="601" spans="1:10" x14ac:dyDescent="0.25">
      <c r="A601" s="4" t="s">
        <v>23</v>
      </c>
      <c r="B601">
        <v>7172010015002900</v>
      </c>
      <c r="C601">
        <v>67</v>
      </c>
      <c r="D601">
        <v>0</v>
      </c>
      <c r="E601">
        <v>9</v>
      </c>
      <c r="F601">
        <v>42</v>
      </c>
      <c r="G601">
        <v>0</v>
      </c>
      <c r="H601">
        <v>0</v>
      </c>
      <c r="I601">
        <v>16</v>
      </c>
      <c r="J601">
        <v>0</v>
      </c>
    </row>
    <row r="602" spans="1:10" x14ac:dyDescent="0.25">
      <c r="A602" s="4" t="s">
        <v>23</v>
      </c>
      <c r="B602">
        <v>7172010015002800</v>
      </c>
      <c r="C602">
        <v>59</v>
      </c>
      <c r="D602">
        <v>2</v>
      </c>
      <c r="E602">
        <v>8</v>
      </c>
      <c r="F602">
        <v>22</v>
      </c>
      <c r="G602">
        <v>0</v>
      </c>
      <c r="H602">
        <v>0</v>
      </c>
      <c r="I602">
        <v>27</v>
      </c>
      <c r="J602">
        <v>0</v>
      </c>
    </row>
    <row r="603" spans="1:10" x14ac:dyDescent="0.25">
      <c r="A603" s="4" t="s">
        <v>23</v>
      </c>
      <c r="B603">
        <v>7172010015001200</v>
      </c>
      <c r="C603">
        <v>37</v>
      </c>
      <c r="D603">
        <v>1</v>
      </c>
      <c r="E603">
        <v>5</v>
      </c>
      <c r="F603">
        <v>20</v>
      </c>
      <c r="G603">
        <v>0</v>
      </c>
      <c r="H603">
        <v>0</v>
      </c>
      <c r="I603">
        <v>11</v>
      </c>
      <c r="J603">
        <v>0</v>
      </c>
    </row>
    <row r="604" spans="1:10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4" t="s">
        <v>21</v>
      </c>
      <c r="B605">
        <v>7172010015001600</v>
      </c>
      <c r="C605">
        <v>126</v>
      </c>
      <c r="D605">
        <v>12</v>
      </c>
      <c r="E605">
        <v>0</v>
      </c>
      <c r="F605">
        <v>78</v>
      </c>
      <c r="G605">
        <v>1</v>
      </c>
      <c r="H605">
        <v>0</v>
      </c>
      <c r="I605">
        <v>35</v>
      </c>
      <c r="J605">
        <v>0</v>
      </c>
    </row>
    <row r="606" spans="1:10" x14ac:dyDescent="0.25">
      <c r="A606" s="4" t="s">
        <v>21</v>
      </c>
      <c r="B606">
        <v>7172010015001500</v>
      </c>
      <c r="C606">
        <v>118</v>
      </c>
      <c r="D606">
        <v>88</v>
      </c>
      <c r="E606">
        <v>0</v>
      </c>
      <c r="F606">
        <v>0</v>
      </c>
      <c r="G606">
        <v>26</v>
      </c>
      <c r="H606">
        <v>0</v>
      </c>
      <c r="I606">
        <v>4</v>
      </c>
      <c r="J606">
        <v>0</v>
      </c>
    </row>
    <row r="607" spans="1:10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4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4" t="s">
        <v>7</v>
      </c>
      <c r="B611">
        <v>7172010008001000</v>
      </c>
      <c r="C611">
        <v>197</v>
      </c>
      <c r="D611">
        <v>83</v>
      </c>
      <c r="E611">
        <v>4</v>
      </c>
      <c r="F611">
        <v>6</v>
      </c>
      <c r="G611">
        <v>87</v>
      </c>
      <c r="H611">
        <v>0</v>
      </c>
      <c r="I611">
        <v>17</v>
      </c>
      <c r="J611">
        <v>0</v>
      </c>
    </row>
    <row r="612" spans="1:10" x14ac:dyDescent="0.25">
      <c r="A612" s="4" t="s">
        <v>7</v>
      </c>
      <c r="B612">
        <v>7172010008001101</v>
      </c>
      <c r="C612">
        <v>174</v>
      </c>
      <c r="D612">
        <v>4</v>
      </c>
      <c r="E612">
        <v>0</v>
      </c>
      <c r="F612">
        <v>147</v>
      </c>
      <c r="G612">
        <v>0</v>
      </c>
      <c r="H612">
        <v>0</v>
      </c>
      <c r="I612">
        <v>23</v>
      </c>
      <c r="J612">
        <v>0</v>
      </c>
    </row>
    <row r="613" spans="1:10" x14ac:dyDescent="0.25">
      <c r="A613" s="4" t="s">
        <v>7</v>
      </c>
      <c r="B613">
        <v>7172010008000800</v>
      </c>
      <c r="C613">
        <v>160</v>
      </c>
      <c r="D613">
        <v>85</v>
      </c>
      <c r="E613">
        <v>1</v>
      </c>
      <c r="F613">
        <v>1</v>
      </c>
      <c r="G613">
        <v>50</v>
      </c>
      <c r="H613">
        <v>0</v>
      </c>
      <c r="I613">
        <v>23</v>
      </c>
      <c r="J613">
        <v>0</v>
      </c>
    </row>
    <row r="614" spans="1:10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4" t="s">
        <v>237</v>
      </c>
      <c r="B617">
        <v>7172010017001200</v>
      </c>
      <c r="C617">
        <v>143</v>
      </c>
      <c r="D617">
        <v>10</v>
      </c>
      <c r="E617">
        <v>30</v>
      </c>
      <c r="F617">
        <v>34</v>
      </c>
      <c r="G617">
        <v>0</v>
      </c>
      <c r="H617">
        <v>0</v>
      </c>
      <c r="I617">
        <v>69</v>
      </c>
      <c r="J617">
        <v>0</v>
      </c>
    </row>
    <row r="618" spans="1:10" x14ac:dyDescent="0.25">
      <c r="A618" s="4" t="s">
        <v>237</v>
      </c>
      <c r="B618">
        <v>7172010017000800</v>
      </c>
      <c r="C618">
        <v>96</v>
      </c>
      <c r="D618">
        <v>40</v>
      </c>
      <c r="E618">
        <v>2</v>
      </c>
      <c r="F618">
        <v>0</v>
      </c>
      <c r="G618">
        <v>27</v>
      </c>
      <c r="H618">
        <v>0</v>
      </c>
      <c r="I618">
        <v>27</v>
      </c>
      <c r="J618">
        <v>0</v>
      </c>
    </row>
    <row r="619" spans="1:10" x14ac:dyDescent="0.25">
      <c r="A619" s="4" t="s">
        <v>237</v>
      </c>
      <c r="B619">
        <v>7172010017001100</v>
      </c>
      <c r="C619">
        <v>80</v>
      </c>
      <c r="D619">
        <v>8</v>
      </c>
      <c r="E619">
        <v>0</v>
      </c>
      <c r="F619">
        <v>71</v>
      </c>
      <c r="G619">
        <v>0</v>
      </c>
      <c r="H619">
        <v>0</v>
      </c>
      <c r="I619">
        <v>1</v>
      </c>
      <c r="J619">
        <v>0</v>
      </c>
    </row>
    <row r="620" spans="1:10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s="4" t="s">
        <v>27</v>
      </c>
      <c r="B627">
        <v>7172011002000600</v>
      </c>
      <c r="C627">
        <v>175</v>
      </c>
      <c r="D627">
        <v>54</v>
      </c>
      <c r="E627">
        <v>9</v>
      </c>
      <c r="F627">
        <v>29</v>
      </c>
      <c r="G627">
        <v>0</v>
      </c>
      <c r="H627">
        <v>0</v>
      </c>
      <c r="I627">
        <v>83</v>
      </c>
      <c r="J627">
        <v>0</v>
      </c>
    </row>
    <row r="628" spans="1:10" x14ac:dyDescent="0.25">
      <c r="A628" s="4" t="s">
        <v>27</v>
      </c>
      <c r="B628">
        <v>7172011002000900</v>
      </c>
      <c r="C628">
        <v>105</v>
      </c>
      <c r="D628">
        <v>0</v>
      </c>
      <c r="E628">
        <v>0</v>
      </c>
      <c r="F628">
        <v>99</v>
      </c>
      <c r="G628">
        <v>0</v>
      </c>
      <c r="H628">
        <v>0</v>
      </c>
      <c r="I628">
        <v>6</v>
      </c>
      <c r="J628">
        <v>0</v>
      </c>
    </row>
    <row r="629" spans="1:10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" t="s">
        <v>29</v>
      </c>
      <c r="B633">
        <v>7172011002001600</v>
      </c>
      <c r="C633">
        <v>129</v>
      </c>
      <c r="D633">
        <v>49</v>
      </c>
      <c r="E633">
        <v>11</v>
      </c>
      <c r="F633">
        <v>32</v>
      </c>
      <c r="G633">
        <v>1</v>
      </c>
      <c r="H633">
        <v>0</v>
      </c>
      <c r="I633">
        <v>36</v>
      </c>
      <c r="J633">
        <v>0</v>
      </c>
    </row>
    <row r="634" spans="1:10" x14ac:dyDescent="0.25">
      <c r="A634" s="4" t="s">
        <v>29</v>
      </c>
      <c r="B634">
        <v>7172011002001200</v>
      </c>
      <c r="C634">
        <v>114</v>
      </c>
      <c r="D634">
        <v>47</v>
      </c>
      <c r="E634">
        <v>13</v>
      </c>
      <c r="F634">
        <v>32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s="4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1</v>
      </c>
      <c r="H635">
        <v>0</v>
      </c>
      <c r="I635">
        <v>32</v>
      </c>
      <c r="J635">
        <v>0</v>
      </c>
    </row>
    <row r="636" spans="1:10" x14ac:dyDescent="0.25">
      <c r="A636" s="4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" t="s">
        <v>30</v>
      </c>
      <c r="B643">
        <v>7172011003001803</v>
      </c>
      <c r="C643">
        <v>166</v>
      </c>
      <c r="D643">
        <v>69</v>
      </c>
      <c r="E643">
        <v>28</v>
      </c>
      <c r="F643">
        <v>15</v>
      </c>
      <c r="G643">
        <v>0</v>
      </c>
      <c r="H643">
        <v>0</v>
      </c>
      <c r="I643">
        <v>54</v>
      </c>
      <c r="J643">
        <v>0</v>
      </c>
    </row>
    <row r="644" spans="1:10" x14ac:dyDescent="0.25">
      <c r="A644" s="4" t="s">
        <v>30</v>
      </c>
      <c r="B644">
        <v>7172011003000400</v>
      </c>
      <c r="C644">
        <v>150</v>
      </c>
      <c r="D644">
        <v>0</v>
      </c>
      <c r="E644">
        <v>44</v>
      </c>
      <c r="F644">
        <v>69</v>
      </c>
      <c r="G644">
        <v>0</v>
      </c>
      <c r="H644">
        <v>0</v>
      </c>
      <c r="I644">
        <v>37</v>
      </c>
      <c r="J644">
        <v>0</v>
      </c>
    </row>
    <row r="645" spans="1:10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" t="s">
        <v>30</v>
      </c>
      <c r="B646">
        <v>7172011003000700</v>
      </c>
      <c r="C646">
        <v>119</v>
      </c>
      <c r="D646">
        <v>0</v>
      </c>
      <c r="E646">
        <v>2</v>
      </c>
      <c r="F646">
        <v>112</v>
      </c>
      <c r="G646">
        <v>0</v>
      </c>
      <c r="H646">
        <v>0</v>
      </c>
      <c r="I646">
        <v>5</v>
      </c>
      <c r="J646">
        <v>0</v>
      </c>
    </row>
    <row r="647" spans="1:10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" t="s">
        <v>32</v>
      </c>
      <c r="B648">
        <v>7172011003000300</v>
      </c>
      <c r="C648">
        <v>205</v>
      </c>
      <c r="D648">
        <v>30</v>
      </c>
      <c r="E648">
        <v>36</v>
      </c>
      <c r="F648">
        <v>75</v>
      </c>
      <c r="G648">
        <v>1</v>
      </c>
      <c r="H648">
        <v>0</v>
      </c>
      <c r="I648">
        <v>63</v>
      </c>
      <c r="J648">
        <v>0</v>
      </c>
    </row>
    <row r="649" spans="1:10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1</v>
      </c>
      <c r="H652">
        <v>0</v>
      </c>
      <c r="I652">
        <v>0</v>
      </c>
      <c r="J652">
        <v>0</v>
      </c>
    </row>
    <row r="653" spans="1:10" x14ac:dyDescent="0.25">
      <c r="A653" s="4" t="s">
        <v>33</v>
      </c>
      <c r="B653">
        <v>7172011014001702</v>
      </c>
      <c r="C653">
        <v>119</v>
      </c>
      <c r="D653">
        <v>77</v>
      </c>
      <c r="E653">
        <v>2</v>
      </c>
      <c r="F653">
        <v>0</v>
      </c>
      <c r="G653">
        <v>11</v>
      </c>
      <c r="H653">
        <v>1</v>
      </c>
      <c r="I653">
        <v>28</v>
      </c>
      <c r="J653">
        <v>0</v>
      </c>
    </row>
    <row r="654" spans="1:10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" t="s">
        <v>33</v>
      </c>
      <c r="B655">
        <v>7172011003003503</v>
      </c>
      <c r="C655">
        <v>116</v>
      </c>
      <c r="D655">
        <v>14</v>
      </c>
      <c r="E655">
        <v>25</v>
      </c>
      <c r="F655">
        <v>75</v>
      </c>
      <c r="G655">
        <v>2</v>
      </c>
      <c r="H655">
        <v>0</v>
      </c>
      <c r="I655">
        <v>0</v>
      </c>
      <c r="J655">
        <v>0</v>
      </c>
    </row>
    <row r="656" spans="1:10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" t="s">
        <v>33</v>
      </c>
      <c r="B658">
        <v>7172011003003502</v>
      </c>
      <c r="C658">
        <v>64</v>
      </c>
      <c r="D658">
        <v>21</v>
      </c>
      <c r="E658">
        <v>30</v>
      </c>
      <c r="F658">
        <v>12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3</v>
      </c>
      <c r="H660">
        <v>0</v>
      </c>
      <c r="I660">
        <v>46</v>
      </c>
      <c r="J660">
        <v>0</v>
      </c>
    </row>
    <row r="661" spans="1:10" x14ac:dyDescent="0.25">
      <c r="A661" s="4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s="4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s="4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" t="s">
        <v>40</v>
      </c>
      <c r="B665">
        <v>7172011004001200</v>
      </c>
      <c r="C665">
        <v>167</v>
      </c>
      <c r="D665">
        <v>0</v>
      </c>
      <c r="E665">
        <v>66</v>
      </c>
      <c r="F665">
        <v>101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" t="s">
        <v>40</v>
      </c>
      <c r="B667">
        <v>7172011004000700</v>
      </c>
      <c r="C667">
        <v>138</v>
      </c>
      <c r="D667">
        <v>69</v>
      </c>
      <c r="E667">
        <v>37</v>
      </c>
      <c r="F667">
        <v>13</v>
      </c>
      <c r="G667">
        <v>5</v>
      </c>
      <c r="H667">
        <v>1</v>
      </c>
      <c r="I667">
        <v>13</v>
      </c>
      <c r="J667">
        <v>0</v>
      </c>
    </row>
    <row r="668" spans="1:10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" t="s">
        <v>43</v>
      </c>
      <c r="B672">
        <v>7172011011000600</v>
      </c>
      <c r="C672">
        <v>69</v>
      </c>
      <c r="D672">
        <v>15</v>
      </c>
      <c r="E672">
        <v>6</v>
      </c>
      <c r="F672">
        <v>14</v>
      </c>
      <c r="G672">
        <v>0</v>
      </c>
      <c r="H672">
        <v>0</v>
      </c>
      <c r="I672">
        <v>34</v>
      </c>
      <c r="J672">
        <v>0</v>
      </c>
    </row>
    <row r="673" spans="1:10" x14ac:dyDescent="0.25">
      <c r="A673" s="4" t="s">
        <v>43</v>
      </c>
      <c r="B673">
        <v>7172011011000900</v>
      </c>
      <c r="C673">
        <v>64</v>
      </c>
      <c r="D673">
        <v>30</v>
      </c>
      <c r="E673">
        <v>6</v>
      </c>
      <c r="F673">
        <v>10</v>
      </c>
      <c r="G673">
        <v>1</v>
      </c>
      <c r="H673">
        <v>0</v>
      </c>
      <c r="I673">
        <v>17</v>
      </c>
      <c r="J673">
        <v>0</v>
      </c>
    </row>
    <row r="674" spans="1:10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s="4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s="4" t="s">
        <v>43</v>
      </c>
      <c r="B680">
        <v>7172011011000700</v>
      </c>
      <c r="C680">
        <v>29</v>
      </c>
      <c r="D680">
        <v>1</v>
      </c>
      <c r="E680">
        <v>10</v>
      </c>
      <c r="F680">
        <v>12</v>
      </c>
      <c r="G680">
        <v>0</v>
      </c>
      <c r="H680">
        <v>0</v>
      </c>
      <c r="I680">
        <v>6</v>
      </c>
      <c r="J680">
        <v>0</v>
      </c>
    </row>
    <row r="681" spans="1:10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4" t="s">
        <v>47</v>
      </c>
      <c r="B683">
        <v>7172011014000600</v>
      </c>
      <c r="C683">
        <v>189</v>
      </c>
      <c r="D683">
        <v>90</v>
      </c>
      <c r="E683">
        <v>0</v>
      </c>
      <c r="F683">
        <v>2</v>
      </c>
      <c r="G683">
        <v>15</v>
      </c>
      <c r="H683">
        <v>0</v>
      </c>
      <c r="I683">
        <v>82</v>
      </c>
      <c r="J683">
        <v>0</v>
      </c>
    </row>
    <row r="684" spans="1:10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s="4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" t="s">
        <v>48</v>
      </c>
      <c r="B688">
        <v>7172011014001200</v>
      </c>
      <c r="C688">
        <v>218</v>
      </c>
      <c r="D688">
        <v>29</v>
      </c>
      <c r="E688">
        <v>20</v>
      </c>
      <c r="F688">
        <v>65</v>
      </c>
      <c r="G688">
        <v>48</v>
      </c>
      <c r="H688">
        <v>0</v>
      </c>
      <c r="I688">
        <v>56</v>
      </c>
      <c r="J688">
        <v>0</v>
      </c>
    </row>
    <row r="689" spans="1:10" x14ac:dyDescent="0.25">
      <c r="A689" s="4" t="s">
        <v>48</v>
      </c>
      <c r="B689">
        <v>7172011014001100</v>
      </c>
      <c r="C689">
        <v>164</v>
      </c>
      <c r="D689">
        <v>0</v>
      </c>
      <c r="E689">
        <v>15</v>
      </c>
      <c r="F689">
        <v>74</v>
      </c>
      <c r="G689">
        <v>0</v>
      </c>
      <c r="H689">
        <v>0</v>
      </c>
      <c r="I689">
        <v>75</v>
      </c>
      <c r="J689">
        <v>0</v>
      </c>
    </row>
    <row r="690" spans="1:10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" t="s">
        <v>51</v>
      </c>
      <c r="B694">
        <v>7172012001000500</v>
      </c>
      <c r="C694">
        <v>188</v>
      </c>
      <c r="D694">
        <v>66</v>
      </c>
      <c r="E694">
        <v>11</v>
      </c>
      <c r="F694">
        <v>4</v>
      </c>
      <c r="G694">
        <v>13</v>
      </c>
      <c r="H694">
        <v>0</v>
      </c>
      <c r="I694">
        <v>94</v>
      </c>
      <c r="J694">
        <v>0</v>
      </c>
    </row>
    <row r="695" spans="1:10" x14ac:dyDescent="0.25">
      <c r="A695" s="4" t="s">
        <v>51</v>
      </c>
      <c r="B695">
        <v>7172012001001001</v>
      </c>
      <c r="C695">
        <v>144</v>
      </c>
      <c r="D695">
        <v>8</v>
      </c>
      <c r="E695">
        <v>7</v>
      </c>
      <c r="F695">
        <v>104</v>
      </c>
      <c r="G695">
        <v>1</v>
      </c>
      <c r="H695">
        <v>0</v>
      </c>
      <c r="I695">
        <v>24</v>
      </c>
      <c r="J695">
        <v>0</v>
      </c>
    </row>
    <row r="696" spans="1:10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4" t="s">
        <v>52</v>
      </c>
      <c r="B697">
        <v>7172012001000700</v>
      </c>
      <c r="C697">
        <v>300</v>
      </c>
      <c r="D697">
        <v>51</v>
      </c>
      <c r="E697">
        <v>9</v>
      </c>
      <c r="F697">
        <v>99</v>
      </c>
      <c r="G697">
        <v>24</v>
      </c>
      <c r="H697">
        <v>0</v>
      </c>
      <c r="I697">
        <v>117</v>
      </c>
      <c r="J697">
        <v>0</v>
      </c>
    </row>
    <row r="698" spans="1:10" x14ac:dyDescent="0.25">
      <c r="A698" s="4" t="s">
        <v>52</v>
      </c>
      <c r="B698">
        <v>7172012001000602</v>
      </c>
      <c r="C698">
        <v>212</v>
      </c>
      <c r="D698">
        <v>0</v>
      </c>
      <c r="E698">
        <v>17</v>
      </c>
      <c r="F698">
        <v>168</v>
      </c>
      <c r="G698">
        <v>0</v>
      </c>
      <c r="H698">
        <v>0</v>
      </c>
      <c r="I698">
        <v>27</v>
      </c>
      <c r="J698">
        <v>0</v>
      </c>
    </row>
    <row r="699" spans="1:10" x14ac:dyDescent="0.25">
      <c r="A699" s="4" t="s">
        <v>49</v>
      </c>
      <c r="B699">
        <v>7172012002000101</v>
      </c>
      <c r="C699">
        <v>150</v>
      </c>
      <c r="D699">
        <v>1</v>
      </c>
      <c r="E699">
        <v>44</v>
      </c>
      <c r="F699">
        <v>97</v>
      </c>
      <c r="G699">
        <v>2</v>
      </c>
      <c r="H699">
        <v>0</v>
      </c>
      <c r="I699">
        <v>6</v>
      </c>
      <c r="J699">
        <v>0</v>
      </c>
    </row>
    <row r="700" spans="1:10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4" t="s">
        <v>49</v>
      </c>
      <c r="B701">
        <v>7172012001000100</v>
      </c>
      <c r="C701">
        <v>125</v>
      </c>
      <c r="D701">
        <v>28</v>
      </c>
      <c r="E701">
        <v>5</v>
      </c>
      <c r="F701">
        <v>11</v>
      </c>
      <c r="G701">
        <v>8</v>
      </c>
      <c r="H701">
        <v>0</v>
      </c>
      <c r="I701">
        <v>73</v>
      </c>
      <c r="J701">
        <v>0</v>
      </c>
    </row>
    <row r="702" spans="1:10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4" t="s">
        <v>53</v>
      </c>
      <c r="B705">
        <v>7172012002000200</v>
      </c>
      <c r="C705">
        <v>183</v>
      </c>
      <c r="D705">
        <v>78</v>
      </c>
      <c r="E705">
        <v>2</v>
      </c>
      <c r="F705">
        <v>21</v>
      </c>
      <c r="G705">
        <v>13</v>
      </c>
      <c r="H705">
        <v>0</v>
      </c>
      <c r="I705">
        <v>69</v>
      </c>
      <c r="J705">
        <v>0</v>
      </c>
    </row>
    <row r="706" spans="1:10" x14ac:dyDescent="0.25">
      <c r="A706" s="4" t="s">
        <v>53</v>
      </c>
      <c r="B706">
        <v>7172012002000900</v>
      </c>
      <c r="C706">
        <v>137</v>
      </c>
      <c r="D706">
        <v>9</v>
      </c>
      <c r="E706">
        <v>1</v>
      </c>
      <c r="F706">
        <v>76</v>
      </c>
      <c r="G706">
        <v>0</v>
      </c>
      <c r="H706">
        <v>0</v>
      </c>
      <c r="I706">
        <v>51</v>
      </c>
      <c r="J706">
        <v>0</v>
      </c>
    </row>
    <row r="707" spans="1:10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" t="s">
        <v>58</v>
      </c>
      <c r="B710">
        <v>7172012003000400</v>
      </c>
      <c r="C710">
        <v>134</v>
      </c>
      <c r="D710">
        <v>24</v>
      </c>
      <c r="E710">
        <v>44</v>
      </c>
      <c r="F710">
        <v>32</v>
      </c>
      <c r="G710">
        <v>17</v>
      </c>
      <c r="H710">
        <v>0</v>
      </c>
      <c r="I710">
        <v>17</v>
      </c>
      <c r="J710">
        <v>0</v>
      </c>
    </row>
    <row r="711" spans="1:10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" t="s">
        <v>58</v>
      </c>
      <c r="B713">
        <v>7172012003000300</v>
      </c>
      <c r="C713">
        <v>73</v>
      </c>
      <c r="D713">
        <v>25</v>
      </c>
      <c r="E713">
        <v>3</v>
      </c>
      <c r="F713">
        <v>8</v>
      </c>
      <c r="G713">
        <v>17</v>
      </c>
      <c r="H713">
        <v>0</v>
      </c>
      <c r="I713">
        <v>20</v>
      </c>
      <c r="J713">
        <v>0</v>
      </c>
    </row>
    <row r="714" spans="1:10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" t="s">
        <v>58</v>
      </c>
      <c r="B715">
        <v>7172012003000200</v>
      </c>
      <c r="C715">
        <v>65</v>
      </c>
      <c r="D715">
        <v>16</v>
      </c>
      <c r="E715">
        <v>9</v>
      </c>
      <c r="F715">
        <v>4</v>
      </c>
      <c r="G715">
        <v>29</v>
      </c>
      <c r="H715">
        <v>0</v>
      </c>
      <c r="I715">
        <v>7</v>
      </c>
      <c r="J715">
        <v>0</v>
      </c>
    </row>
    <row r="716" spans="1:10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4" t="s">
        <v>57</v>
      </c>
      <c r="B717">
        <v>7172012003001100</v>
      </c>
      <c r="C717">
        <v>123</v>
      </c>
      <c r="D717">
        <v>62</v>
      </c>
      <c r="E717">
        <v>15</v>
      </c>
      <c r="F717">
        <v>11</v>
      </c>
      <c r="G717">
        <v>14</v>
      </c>
      <c r="H717">
        <v>0</v>
      </c>
      <c r="I717">
        <v>21</v>
      </c>
      <c r="J717">
        <v>0</v>
      </c>
    </row>
    <row r="718" spans="1:10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" t="s">
        <v>57</v>
      </c>
      <c r="B719">
        <v>7172012003000600</v>
      </c>
      <c r="C719">
        <v>88</v>
      </c>
      <c r="D719">
        <v>9</v>
      </c>
      <c r="E719">
        <v>19</v>
      </c>
      <c r="F719">
        <v>49</v>
      </c>
      <c r="G719">
        <v>0</v>
      </c>
      <c r="H719">
        <v>0</v>
      </c>
      <c r="I719">
        <v>11</v>
      </c>
      <c r="J719">
        <v>0</v>
      </c>
    </row>
    <row r="720" spans="1:10" x14ac:dyDescent="0.25">
      <c r="A720" s="4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" t="s">
        <v>57</v>
      </c>
      <c r="B722">
        <v>7172012003000500</v>
      </c>
      <c r="C722">
        <v>62</v>
      </c>
      <c r="D722">
        <v>9</v>
      </c>
      <c r="E722">
        <v>9</v>
      </c>
      <c r="F722">
        <v>32</v>
      </c>
      <c r="G722">
        <v>8</v>
      </c>
      <c r="H722">
        <v>0</v>
      </c>
      <c r="I722">
        <v>4</v>
      </c>
      <c r="J722">
        <v>0</v>
      </c>
    </row>
    <row r="723" spans="1:10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" t="s">
        <v>57</v>
      </c>
      <c r="B724">
        <v>7172012003000100</v>
      </c>
      <c r="C724">
        <v>56</v>
      </c>
      <c r="D724">
        <v>8</v>
      </c>
      <c r="E724">
        <v>9</v>
      </c>
      <c r="F724">
        <v>25</v>
      </c>
      <c r="G724">
        <v>3</v>
      </c>
      <c r="H724">
        <v>0</v>
      </c>
      <c r="I724">
        <v>11</v>
      </c>
      <c r="J724">
        <v>0</v>
      </c>
    </row>
    <row r="725" spans="1:10" x14ac:dyDescent="0.25">
      <c r="A725" s="4" t="s">
        <v>238</v>
      </c>
      <c r="B725">
        <v>7172012004000500</v>
      </c>
      <c r="C725">
        <v>167</v>
      </c>
      <c r="D725">
        <v>47</v>
      </c>
      <c r="E725">
        <v>0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" t="s">
        <v>238</v>
      </c>
      <c r="B727">
        <v>7172012004000700</v>
      </c>
      <c r="C727">
        <v>108</v>
      </c>
      <c r="D727">
        <v>16</v>
      </c>
      <c r="E727">
        <v>3</v>
      </c>
      <c r="F727">
        <v>35</v>
      </c>
      <c r="G727">
        <v>0</v>
      </c>
      <c r="H727">
        <v>0</v>
      </c>
      <c r="I727">
        <v>54</v>
      </c>
      <c r="J727">
        <v>0</v>
      </c>
    </row>
    <row r="728" spans="1:10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" t="s">
        <v>238</v>
      </c>
      <c r="B730">
        <v>7172012004000800</v>
      </c>
      <c r="C730">
        <v>77</v>
      </c>
      <c r="D730">
        <v>34</v>
      </c>
      <c r="E730">
        <v>3</v>
      </c>
      <c r="F730">
        <v>10</v>
      </c>
      <c r="G730">
        <v>20</v>
      </c>
      <c r="H730">
        <v>0</v>
      </c>
      <c r="I730">
        <v>10</v>
      </c>
      <c r="J730">
        <v>0</v>
      </c>
    </row>
    <row r="731" spans="1:10" x14ac:dyDescent="0.25">
      <c r="A731" s="4" t="s">
        <v>61</v>
      </c>
      <c r="B731">
        <v>7172012004001201</v>
      </c>
      <c r="C731">
        <v>236</v>
      </c>
      <c r="D731">
        <v>5</v>
      </c>
      <c r="E731">
        <v>0</v>
      </c>
      <c r="F731">
        <v>230</v>
      </c>
      <c r="G731">
        <v>0</v>
      </c>
      <c r="H731">
        <v>0</v>
      </c>
      <c r="I731">
        <v>1</v>
      </c>
      <c r="J731">
        <v>0</v>
      </c>
    </row>
    <row r="732" spans="1:10" x14ac:dyDescent="0.25">
      <c r="A732" s="4" t="s">
        <v>61</v>
      </c>
      <c r="B732">
        <v>7172012004001100</v>
      </c>
      <c r="C732">
        <v>179</v>
      </c>
      <c r="D732">
        <v>52</v>
      </c>
      <c r="E732">
        <v>3</v>
      </c>
      <c r="F732">
        <v>43</v>
      </c>
      <c r="G732">
        <v>0</v>
      </c>
      <c r="H732">
        <v>0</v>
      </c>
      <c r="I732">
        <v>81</v>
      </c>
      <c r="J732">
        <v>0</v>
      </c>
    </row>
    <row r="733" spans="1:10" x14ac:dyDescent="0.25">
      <c r="A733" s="4" t="s">
        <v>61</v>
      </c>
      <c r="B733">
        <v>7172012004001202</v>
      </c>
      <c r="C733">
        <v>96</v>
      </c>
      <c r="D733">
        <v>2</v>
      </c>
      <c r="E733">
        <v>10</v>
      </c>
      <c r="F733">
        <v>76</v>
      </c>
      <c r="G733">
        <v>0</v>
      </c>
      <c r="H733">
        <v>0</v>
      </c>
      <c r="I733">
        <v>8</v>
      </c>
      <c r="J733">
        <v>0</v>
      </c>
    </row>
    <row r="734" spans="1:10" x14ac:dyDescent="0.25">
      <c r="A734" s="4" t="s">
        <v>61</v>
      </c>
      <c r="B734">
        <v>7172012004001003</v>
      </c>
      <c r="C734">
        <v>93</v>
      </c>
      <c r="D734">
        <v>11</v>
      </c>
      <c r="E734">
        <v>1</v>
      </c>
      <c r="F734">
        <v>74</v>
      </c>
      <c r="G734">
        <v>0</v>
      </c>
      <c r="H734">
        <v>0</v>
      </c>
      <c r="I734">
        <v>7</v>
      </c>
      <c r="J734">
        <v>0</v>
      </c>
    </row>
    <row r="735" spans="1:10" x14ac:dyDescent="0.25">
      <c r="A735" s="4" t="s">
        <v>61</v>
      </c>
      <c r="B735">
        <v>7172012004001002</v>
      </c>
      <c r="C735">
        <v>67</v>
      </c>
      <c r="D735">
        <v>17</v>
      </c>
      <c r="E735">
        <v>1</v>
      </c>
      <c r="F735">
        <v>18</v>
      </c>
      <c r="G735">
        <v>29</v>
      </c>
      <c r="H735">
        <v>0</v>
      </c>
      <c r="I735">
        <v>2</v>
      </c>
      <c r="J735">
        <v>0</v>
      </c>
    </row>
    <row r="736" spans="1:10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" t="s">
        <v>66</v>
      </c>
      <c r="B738">
        <v>7172012005000400</v>
      </c>
      <c r="C738">
        <v>59</v>
      </c>
      <c r="D738">
        <v>22</v>
      </c>
      <c r="E738">
        <v>0</v>
      </c>
      <c r="F738">
        <v>12</v>
      </c>
      <c r="G738">
        <v>14</v>
      </c>
      <c r="H738">
        <v>0</v>
      </c>
      <c r="I738">
        <v>11</v>
      </c>
      <c r="J738">
        <v>0</v>
      </c>
    </row>
    <row r="739" spans="1:10" x14ac:dyDescent="0.25">
      <c r="A739" s="4" t="s">
        <v>66</v>
      </c>
      <c r="B739">
        <v>7172012005000600</v>
      </c>
      <c r="C739">
        <v>58</v>
      </c>
      <c r="D739">
        <v>3</v>
      </c>
      <c r="E739">
        <v>1</v>
      </c>
      <c r="F739">
        <v>10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s="4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s="4" t="s">
        <v>66</v>
      </c>
      <c r="B741">
        <v>7172012005002400</v>
      </c>
      <c r="C741">
        <v>49</v>
      </c>
      <c r="D741">
        <v>0</v>
      </c>
      <c r="E741">
        <v>4</v>
      </c>
      <c r="F741">
        <v>22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4" t="s">
        <v>66</v>
      </c>
      <c r="B743">
        <v>7172012005000300</v>
      </c>
      <c r="C743">
        <v>42</v>
      </c>
      <c r="D743">
        <v>19</v>
      </c>
      <c r="E743">
        <v>0</v>
      </c>
      <c r="F743">
        <v>3</v>
      </c>
      <c r="G743">
        <v>0</v>
      </c>
      <c r="H743">
        <v>0</v>
      </c>
      <c r="I743">
        <v>20</v>
      </c>
      <c r="J743">
        <v>0</v>
      </c>
    </row>
    <row r="744" spans="1:10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" t="s">
        <v>68</v>
      </c>
      <c r="B747">
        <v>7172012007002000</v>
      </c>
      <c r="C747">
        <v>121</v>
      </c>
      <c r="D747">
        <v>23</v>
      </c>
      <c r="E747">
        <v>5</v>
      </c>
      <c r="F747">
        <v>7</v>
      </c>
      <c r="G747">
        <v>30</v>
      </c>
      <c r="H747">
        <v>1</v>
      </c>
      <c r="I747">
        <v>55</v>
      </c>
      <c r="J747">
        <v>0</v>
      </c>
    </row>
    <row r="748" spans="1:10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112</v>
      </c>
      <c r="G748">
        <v>0</v>
      </c>
      <c r="H748">
        <v>0</v>
      </c>
      <c r="I748">
        <v>4</v>
      </c>
      <c r="J748">
        <v>0</v>
      </c>
    </row>
    <row r="749" spans="1:10" x14ac:dyDescent="0.25">
      <c r="A749" s="4" t="s">
        <v>68</v>
      </c>
      <c r="B749">
        <v>7172012007001800</v>
      </c>
      <c r="C749">
        <v>103</v>
      </c>
      <c r="D749">
        <v>0</v>
      </c>
      <c r="E749">
        <v>9</v>
      </c>
      <c r="F749">
        <v>82</v>
      </c>
      <c r="G749">
        <v>0</v>
      </c>
      <c r="H749">
        <v>0</v>
      </c>
      <c r="I749">
        <v>12</v>
      </c>
      <c r="J749">
        <v>0</v>
      </c>
    </row>
    <row r="750" spans="1:10" x14ac:dyDescent="0.25">
      <c r="A750" s="4" t="s">
        <v>68</v>
      </c>
      <c r="B750">
        <v>7172012007002100</v>
      </c>
      <c r="C750">
        <v>102</v>
      </c>
      <c r="D750">
        <v>19</v>
      </c>
      <c r="E750">
        <v>7</v>
      </c>
      <c r="F750">
        <v>21</v>
      </c>
      <c r="G750">
        <v>0</v>
      </c>
      <c r="H750">
        <v>0</v>
      </c>
      <c r="I750">
        <v>55</v>
      </c>
      <c r="J750">
        <v>0</v>
      </c>
    </row>
    <row r="751" spans="1:10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" t="s">
        <v>69</v>
      </c>
      <c r="B757">
        <v>7172012006000802</v>
      </c>
      <c r="C757">
        <v>121</v>
      </c>
      <c r="D757">
        <v>37</v>
      </c>
      <c r="E757">
        <v>15</v>
      </c>
      <c r="F757">
        <v>15</v>
      </c>
      <c r="G757">
        <v>6</v>
      </c>
      <c r="H757">
        <v>0</v>
      </c>
      <c r="I757">
        <v>48</v>
      </c>
      <c r="J757">
        <v>0</v>
      </c>
    </row>
    <row r="758" spans="1:10" x14ac:dyDescent="0.25">
      <c r="A758" s="4" t="s">
        <v>69</v>
      </c>
      <c r="B758">
        <v>7172012006000801</v>
      </c>
      <c r="C758">
        <v>116</v>
      </c>
      <c r="D758">
        <v>1</v>
      </c>
      <c r="E758">
        <v>19</v>
      </c>
      <c r="F758">
        <v>87</v>
      </c>
      <c r="G758">
        <v>3</v>
      </c>
      <c r="H758">
        <v>0</v>
      </c>
      <c r="I758">
        <v>6</v>
      </c>
      <c r="J758">
        <v>0</v>
      </c>
    </row>
    <row r="759" spans="1:10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" t="s">
        <v>69</v>
      </c>
      <c r="B760">
        <v>7172012006000500</v>
      </c>
      <c r="C760">
        <v>74</v>
      </c>
      <c r="D760">
        <v>32</v>
      </c>
      <c r="E760">
        <v>3</v>
      </c>
      <c r="F760">
        <v>9</v>
      </c>
      <c r="G760">
        <v>14</v>
      </c>
      <c r="H760">
        <v>0</v>
      </c>
      <c r="I760">
        <v>16</v>
      </c>
      <c r="J760">
        <v>0</v>
      </c>
    </row>
    <row r="761" spans="1:10" x14ac:dyDescent="0.25">
      <c r="A761" s="4" t="s">
        <v>55</v>
      </c>
      <c r="B761">
        <v>7172012006001800</v>
      </c>
      <c r="C761">
        <v>163</v>
      </c>
      <c r="D761">
        <v>13</v>
      </c>
      <c r="E761">
        <v>0</v>
      </c>
      <c r="F761">
        <v>27</v>
      </c>
      <c r="G761">
        <v>1</v>
      </c>
      <c r="H761">
        <v>0</v>
      </c>
      <c r="I761">
        <v>122</v>
      </c>
      <c r="J761">
        <v>0</v>
      </c>
    </row>
    <row r="762" spans="1:10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" t="s">
        <v>55</v>
      </c>
      <c r="B763">
        <v>7172012006001900</v>
      </c>
      <c r="C763">
        <v>132</v>
      </c>
      <c r="D763">
        <v>0</v>
      </c>
      <c r="E763">
        <v>0</v>
      </c>
      <c r="F763">
        <v>111</v>
      </c>
      <c r="G763">
        <v>0</v>
      </c>
      <c r="H763">
        <v>0</v>
      </c>
      <c r="I763">
        <v>21</v>
      </c>
      <c r="J763">
        <v>0</v>
      </c>
    </row>
    <row r="764" spans="1:10" x14ac:dyDescent="0.25">
      <c r="A764" s="4" t="s">
        <v>55</v>
      </c>
      <c r="B764">
        <v>7172012006001400</v>
      </c>
      <c r="C764">
        <v>107</v>
      </c>
      <c r="D764">
        <v>8</v>
      </c>
      <c r="E764">
        <v>0</v>
      </c>
      <c r="F764">
        <v>48</v>
      </c>
      <c r="G764">
        <v>0</v>
      </c>
      <c r="H764">
        <v>0</v>
      </c>
      <c r="I764">
        <v>51</v>
      </c>
      <c r="J764">
        <v>0</v>
      </c>
    </row>
    <row r="765" spans="1:10" x14ac:dyDescent="0.25">
      <c r="A765" s="4" t="s">
        <v>55</v>
      </c>
      <c r="B765">
        <v>7172012002001200</v>
      </c>
      <c r="C765">
        <v>55</v>
      </c>
      <c r="D765">
        <v>1</v>
      </c>
      <c r="E765">
        <v>1</v>
      </c>
      <c r="F765">
        <v>51</v>
      </c>
      <c r="G765">
        <v>0</v>
      </c>
      <c r="H765">
        <v>0</v>
      </c>
      <c r="I765">
        <v>2</v>
      </c>
      <c r="J765">
        <v>0</v>
      </c>
    </row>
    <row r="766" spans="1:10" x14ac:dyDescent="0.25">
      <c r="A766" s="4" t="s">
        <v>73</v>
      </c>
      <c r="B766">
        <v>7172012007001300</v>
      </c>
      <c r="C766">
        <v>160</v>
      </c>
      <c r="D766">
        <v>21</v>
      </c>
      <c r="E766">
        <v>49</v>
      </c>
      <c r="F766">
        <v>76</v>
      </c>
      <c r="G766">
        <v>7</v>
      </c>
      <c r="H766">
        <v>0</v>
      </c>
      <c r="I766">
        <v>7</v>
      </c>
      <c r="J766">
        <v>0</v>
      </c>
    </row>
    <row r="767" spans="1:10" x14ac:dyDescent="0.25">
      <c r="A767" s="4" t="s">
        <v>73</v>
      </c>
      <c r="B767">
        <v>7172012007001500</v>
      </c>
      <c r="C767">
        <v>103</v>
      </c>
      <c r="D767">
        <v>17</v>
      </c>
      <c r="E767">
        <v>10</v>
      </c>
      <c r="F767">
        <v>30</v>
      </c>
      <c r="G767">
        <v>5</v>
      </c>
      <c r="H767">
        <v>0</v>
      </c>
      <c r="I767">
        <v>41</v>
      </c>
      <c r="J767">
        <v>0</v>
      </c>
    </row>
    <row r="768" spans="1:10" x14ac:dyDescent="0.25">
      <c r="A768" s="4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s="4" t="s">
        <v>77</v>
      </c>
      <c r="B773">
        <v>7172021003000400</v>
      </c>
      <c r="C773">
        <v>105</v>
      </c>
      <c r="D773">
        <v>35</v>
      </c>
      <c r="E773">
        <v>21</v>
      </c>
      <c r="F773">
        <v>32</v>
      </c>
      <c r="G773">
        <v>0</v>
      </c>
      <c r="H773">
        <v>0</v>
      </c>
      <c r="I773">
        <v>17</v>
      </c>
      <c r="J773">
        <v>0</v>
      </c>
    </row>
    <row r="774" spans="1:10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s="4" t="s">
        <v>80</v>
      </c>
      <c r="B778">
        <v>7172021006001400</v>
      </c>
      <c r="C778">
        <v>81</v>
      </c>
      <c r="D778">
        <v>5</v>
      </c>
      <c r="E778">
        <v>19</v>
      </c>
      <c r="F778">
        <v>30</v>
      </c>
      <c r="G778">
        <v>0</v>
      </c>
      <c r="H778">
        <v>0</v>
      </c>
      <c r="I778">
        <v>27</v>
      </c>
      <c r="J778">
        <v>0</v>
      </c>
    </row>
    <row r="779" spans="1:10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" t="s">
        <v>239</v>
      </c>
      <c r="B786">
        <v>7172021006001600</v>
      </c>
      <c r="C786">
        <v>71</v>
      </c>
      <c r="D786">
        <v>4</v>
      </c>
      <c r="E786">
        <v>27</v>
      </c>
      <c r="F786">
        <v>11</v>
      </c>
      <c r="G786">
        <v>0</v>
      </c>
      <c r="H786">
        <v>0</v>
      </c>
      <c r="I786">
        <v>29</v>
      </c>
      <c r="J786">
        <v>0</v>
      </c>
    </row>
    <row r="787" spans="1:10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s="4" t="s">
        <v>239</v>
      </c>
      <c r="B788">
        <v>7172021007000400</v>
      </c>
      <c r="C788">
        <v>55</v>
      </c>
      <c r="D788">
        <v>3</v>
      </c>
      <c r="E788">
        <v>1</v>
      </c>
      <c r="F788">
        <v>51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4" t="s">
        <v>239</v>
      </c>
      <c r="B789">
        <v>7172021007000100</v>
      </c>
      <c r="C789">
        <v>52</v>
      </c>
      <c r="D789">
        <v>16</v>
      </c>
      <c r="E789">
        <v>17</v>
      </c>
      <c r="F789">
        <v>6</v>
      </c>
      <c r="G789">
        <v>0</v>
      </c>
      <c r="H789">
        <v>0</v>
      </c>
      <c r="I789">
        <v>13</v>
      </c>
      <c r="J789">
        <v>0</v>
      </c>
    </row>
    <row r="790" spans="1:10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s="4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4" t="s">
        <v>239</v>
      </c>
      <c r="B792">
        <v>7172021007000200</v>
      </c>
      <c r="C792">
        <v>39</v>
      </c>
      <c r="D792">
        <v>7</v>
      </c>
      <c r="E792">
        <v>2</v>
      </c>
      <c r="F792">
        <v>30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s="4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4" t="s">
        <v>82</v>
      </c>
      <c r="B795">
        <v>7172022001000200</v>
      </c>
      <c r="C795">
        <v>105</v>
      </c>
      <c r="D795">
        <v>32</v>
      </c>
      <c r="E795">
        <v>44</v>
      </c>
      <c r="F795">
        <v>11</v>
      </c>
      <c r="G795">
        <v>1</v>
      </c>
      <c r="H795">
        <v>0</v>
      </c>
      <c r="I795">
        <v>17</v>
      </c>
      <c r="J795">
        <v>0</v>
      </c>
    </row>
    <row r="796" spans="1:10" x14ac:dyDescent="0.25">
      <c r="A796" s="4" t="s">
        <v>82</v>
      </c>
      <c r="B796">
        <v>7172022001000300</v>
      </c>
      <c r="C796">
        <v>97</v>
      </c>
      <c r="D796">
        <v>9</v>
      </c>
      <c r="E796">
        <v>20</v>
      </c>
      <c r="F796">
        <v>58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4" t="s">
        <v>82</v>
      </c>
      <c r="B798">
        <v>7172022001000100</v>
      </c>
      <c r="C798">
        <v>85</v>
      </c>
      <c r="D798">
        <v>22</v>
      </c>
      <c r="E798">
        <v>29</v>
      </c>
      <c r="F798">
        <v>7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4" t="s">
        <v>84</v>
      </c>
      <c r="B800">
        <v>7172022002000100</v>
      </c>
      <c r="C800">
        <v>89</v>
      </c>
      <c r="D800">
        <v>16</v>
      </c>
      <c r="E800">
        <v>17</v>
      </c>
      <c r="F800">
        <v>28</v>
      </c>
      <c r="G800">
        <v>8</v>
      </c>
      <c r="H800">
        <v>1</v>
      </c>
      <c r="I800">
        <v>19</v>
      </c>
      <c r="J800">
        <v>0</v>
      </c>
    </row>
    <row r="801" spans="1:10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" t="s">
        <v>84</v>
      </c>
      <c r="B803">
        <v>7172022006000100</v>
      </c>
      <c r="C803">
        <v>53</v>
      </c>
      <c r="D803">
        <v>0</v>
      </c>
      <c r="E803">
        <v>15</v>
      </c>
      <c r="F803">
        <v>38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" t="s">
        <v>84</v>
      </c>
      <c r="B804">
        <v>7172022006000400</v>
      </c>
      <c r="C804">
        <v>47</v>
      </c>
      <c r="D804">
        <v>2</v>
      </c>
      <c r="E804">
        <v>18</v>
      </c>
      <c r="F804">
        <v>27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" t="s">
        <v>84</v>
      </c>
      <c r="B806">
        <v>7172022006000500</v>
      </c>
      <c r="C806">
        <v>41</v>
      </c>
      <c r="D806">
        <v>0</v>
      </c>
      <c r="E806">
        <v>7</v>
      </c>
      <c r="F806">
        <v>34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" t="s">
        <v>84</v>
      </c>
      <c r="B807">
        <v>7172022006000300</v>
      </c>
      <c r="C807">
        <v>39</v>
      </c>
      <c r="D807">
        <v>0</v>
      </c>
      <c r="E807">
        <v>8</v>
      </c>
      <c r="F807">
        <v>30</v>
      </c>
      <c r="G807">
        <v>0</v>
      </c>
      <c r="H807">
        <v>0</v>
      </c>
      <c r="I807">
        <v>1</v>
      </c>
      <c r="J807">
        <v>0</v>
      </c>
    </row>
    <row r="808" spans="1:10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" t="s">
        <v>86</v>
      </c>
      <c r="B809">
        <v>7172022009000500</v>
      </c>
      <c r="C809">
        <v>71</v>
      </c>
      <c r="D809">
        <v>25</v>
      </c>
      <c r="E809">
        <v>5</v>
      </c>
      <c r="F809">
        <v>8</v>
      </c>
      <c r="G809">
        <v>3</v>
      </c>
      <c r="H809">
        <v>0</v>
      </c>
      <c r="I809">
        <v>30</v>
      </c>
      <c r="J809">
        <v>0</v>
      </c>
    </row>
    <row r="810" spans="1:10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" t="s">
        <v>86</v>
      </c>
      <c r="B811">
        <v>7172022003000100</v>
      </c>
      <c r="C811">
        <v>54</v>
      </c>
      <c r="D811">
        <v>31</v>
      </c>
      <c r="E811">
        <v>0</v>
      </c>
      <c r="F811">
        <v>6</v>
      </c>
      <c r="G811">
        <v>7</v>
      </c>
      <c r="H811">
        <v>0</v>
      </c>
      <c r="I811">
        <v>10</v>
      </c>
      <c r="J811">
        <v>0</v>
      </c>
    </row>
    <row r="812" spans="1:10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" t="s">
        <v>86</v>
      </c>
      <c r="B813">
        <v>7172022010000100</v>
      </c>
      <c r="C813">
        <v>45</v>
      </c>
      <c r="D813">
        <v>0</v>
      </c>
      <c r="E813">
        <v>7</v>
      </c>
      <c r="F813">
        <v>29</v>
      </c>
      <c r="G813">
        <v>0</v>
      </c>
      <c r="H813">
        <v>0</v>
      </c>
      <c r="I813">
        <v>9</v>
      </c>
      <c r="J813">
        <v>0</v>
      </c>
    </row>
    <row r="814" spans="1:10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" t="s">
        <v>86</v>
      </c>
      <c r="B817">
        <v>7172022010000200</v>
      </c>
      <c r="C817">
        <v>33</v>
      </c>
      <c r="D817">
        <v>0</v>
      </c>
      <c r="E817">
        <v>2</v>
      </c>
      <c r="F817">
        <v>23</v>
      </c>
      <c r="G817">
        <v>0</v>
      </c>
      <c r="H817">
        <v>0</v>
      </c>
      <c r="I817">
        <v>8</v>
      </c>
      <c r="J817">
        <v>0</v>
      </c>
    </row>
    <row r="818" spans="1:10" x14ac:dyDescent="0.25">
      <c r="A818" s="4" t="s">
        <v>87</v>
      </c>
      <c r="B818">
        <v>7172022005000200</v>
      </c>
      <c r="C818">
        <v>57</v>
      </c>
      <c r="D818">
        <v>0</v>
      </c>
      <c r="E818">
        <v>4</v>
      </c>
      <c r="F818">
        <v>40</v>
      </c>
      <c r="G818">
        <v>0</v>
      </c>
      <c r="H818">
        <v>0</v>
      </c>
      <c r="I818">
        <v>13</v>
      </c>
      <c r="J818">
        <v>0</v>
      </c>
    </row>
    <row r="819" spans="1:10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7</v>
      </c>
      <c r="H820">
        <v>0</v>
      </c>
      <c r="I820">
        <v>13</v>
      </c>
      <c r="J820">
        <v>0</v>
      </c>
    </row>
    <row r="821" spans="1:10" x14ac:dyDescent="0.25">
      <c r="A821" s="4" t="s">
        <v>87</v>
      </c>
      <c r="B821">
        <v>7172022004000200</v>
      </c>
      <c r="C821">
        <v>47</v>
      </c>
      <c r="D821">
        <v>24</v>
      </c>
      <c r="E821">
        <v>4</v>
      </c>
      <c r="F821">
        <v>0</v>
      </c>
      <c r="G821">
        <v>0</v>
      </c>
      <c r="H821">
        <v>0</v>
      </c>
      <c r="I821">
        <v>19</v>
      </c>
      <c r="J821">
        <v>0</v>
      </c>
    </row>
    <row r="822" spans="1:10" x14ac:dyDescent="0.25">
      <c r="A822" s="4" t="s">
        <v>87</v>
      </c>
      <c r="B822">
        <v>7172022005000100</v>
      </c>
      <c r="C822">
        <v>45</v>
      </c>
      <c r="D822">
        <v>18</v>
      </c>
      <c r="E822">
        <v>0</v>
      </c>
      <c r="F822">
        <v>7</v>
      </c>
      <c r="G822">
        <v>3</v>
      </c>
      <c r="H822">
        <v>0</v>
      </c>
      <c r="I822">
        <v>17</v>
      </c>
      <c r="J822">
        <v>0</v>
      </c>
    </row>
    <row r="823" spans="1:10" x14ac:dyDescent="0.25">
      <c r="A823" s="4" t="s">
        <v>87</v>
      </c>
      <c r="B823">
        <v>7172022005000400</v>
      </c>
      <c r="C823">
        <v>40</v>
      </c>
      <c r="D823">
        <v>0</v>
      </c>
      <c r="E823">
        <v>3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" t="s">
        <v>240</v>
      </c>
      <c r="B828">
        <v>7172022007000300</v>
      </c>
      <c r="C828">
        <v>70</v>
      </c>
      <c r="D828">
        <v>3</v>
      </c>
      <c r="E828">
        <v>7</v>
      </c>
      <c r="F828">
        <v>43</v>
      </c>
      <c r="G828">
        <v>0</v>
      </c>
      <c r="H828">
        <v>0</v>
      </c>
      <c r="I828">
        <v>17</v>
      </c>
      <c r="J828">
        <v>0</v>
      </c>
    </row>
    <row r="829" spans="1:10" x14ac:dyDescent="0.25">
      <c r="A829" s="4" t="s">
        <v>240</v>
      </c>
      <c r="B829">
        <v>7172022008000100</v>
      </c>
      <c r="C829">
        <v>67</v>
      </c>
      <c r="D829">
        <v>15</v>
      </c>
      <c r="E829">
        <v>5</v>
      </c>
      <c r="F829">
        <v>18</v>
      </c>
      <c r="G829">
        <v>8</v>
      </c>
      <c r="H829">
        <v>0</v>
      </c>
      <c r="I829">
        <v>21</v>
      </c>
      <c r="J829">
        <v>0</v>
      </c>
    </row>
    <row r="830" spans="1:10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" t="s">
        <v>240</v>
      </c>
      <c r="B831">
        <v>7172022008000300</v>
      </c>
      <c r="C831">
        <v>61</v>
      </c>
      <c r="D831">
        <v>12</v>
      </c>
      <c r="E831">
        <v>4</v>
      </c>
      <c r="F831">
        <v>9</v>
      </c>
      <c r="G831">
        <v>0</v>
      </c>
      <c r="H831">
        <v>0</v>
      </c>
      <c r="I831">
        <v>36</v>
      </c>
      <c r="J831">
        <v>0</v>
      </c>
    </row>
    <row r="832" spans="1:10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4" t="s">
        <v>240</v>
      </c>
      <c r="B834">
        <v>7172022008000200</v>
      </c>
      <c r="C834">
        <v>51</v>
      </c>
      <c r="D834">
        <v>26</v>
      </c>
      <c r="E834">
        <v>1</v>
      </c>
      <c r="F834">
        <v>14</v>
      </c>
      <c r="G834">
        <v>5</v>
      </c>
      <c r="H834">
        <v>0</v>
      </c>
      <c r="I834">
        <v>5</v>
      </c>
      <c r="J834">
        <v>0</v>
      </c>
    </row>
    <row r="835" spans="1:10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64</v>
      </c>
      <c r="G838">
        <v>0</v>
      </c>
      <c r="H838">
        <v>0</v>
      </c>
      <c r="I838">
        <v>12</v>
      </c>
      <c r="J838">
        <v>0</v>
      </c>
    </row>
    <row r="839" spans="1:10" x14ac:dyDescent="0.25">
      <c r="A839" s="4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46</v>
      </c>
      <c r="J839">
        <v>0</v>
      </c>
    </row>
    <row r="840" spans="1:10" x14ac:dyDescent="0.25">
      <c r="A840" s="4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7</v>
      </c>
      <c r="J840">
        <v>0</v>
      </c>
    </row>
    <row r="841" spans="1:10" x14ac:dyDescent="0.25">
      <c r="A841" s="4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4" t="s">
        <v>94</v>
      </c>
      <c r="B842">
        <v>7172030007001300</v>
      </c>
      <c r="C842">
        <v>44</v>
      </c>
      <c r="D842">
        <v>5</v>
      </c>
      <c r="E842">
        <v>17</v>
      </c>
      <c r="F842">
        <v>3</v>
      </c>
      <c r="G842">
        <v>0</v>
      </c>
      <c r="H842">
        <v>0</v>
      </c>
      <c r="I842">
        <v>19</v>
      </c>
      <c r="J842">
        <v>0</v>
      </c>
    </row>
    <row r="843" spans="1:10" x14ac:dyDescent="0.25">
      <c r="A843" s="4" t="s">
        <v>94</v>
      </c>
      <c r="B843">
        <v>7172030007001400</v>
      </c>
      <c r="C843">
        <v>42</v>
      </c>
      <c r="D843">
        <v>0</v>
      </c>
      <c r="E843">
        <v>16</v>
      </c>
      <c r="F843">
        <v>22</v>
      </c>
      <c r="G843">
        <v>0</v>
      </c>
      <c r="H843">
        <v>0</v>
      </c>
      <c r="I843">
        <v>4</v>
      </c>
      <c r="J843">
        <v>0</v>
      </c>
    </row>
    <row r="844" spans="1:10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4" t="s">
        <v>96</v>
      </c>
      <c r="B845">
        <v>7172030017000500</v>
      </c>
      <c r="C845">
        <v>88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61</v>
      </c>
      <c r="J845">
        <v>0</v>
      </c>
    </row>
    <row r="846" spans="1:10" x14ac:dyDescent="0.25">
      <c r="A846" s="4" t="s">
        <v>96</v>
      </c>
      <c r="B846">
        <v>7172030017000100</v>
      </c>
      <c r="C846">
        <v>72</v>
      </c>
      <c r="D846">
        <v>8</v>
      </c>
      <c r="E846">
        <v>45</v>
      </c>
      <c r="F846">
        <v>0</v>
      </c>
      <c r="G846">
        <v>0</v>
      </c>
      <c r="H846">
        <v>0</v>
      </c>
      <c r="I846">
        <v>19</v>
      </c>
      <c r="J846">
        <v>0</v>
      </c>
    </row>
    <row r="847" spans="1:10" x14ac:dyDescent="0.25">
      <c r="A847" s="4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" t="s">
        <v>96</v>
      </c>
      <c r="B851">
        <v>7172030009000400</v>
      </c>
      <c r="C851">
        <v>37</v>
      </c>
      <c r="D851">
        <v>0</v>
      </c>
      <c r="E851">
        <v>0</v>
      </c>
      <c r="F851">
        <v>33</v>
      </c>
      <c r="G851">
        <v>0</v>
      </c>
      <c r="H851">
        <v>0</v>
      </c>
      <c r="I851">
        <v>4</v>
      </c>
      <c r="J851">
        <v>0</v>
      </c>
    </row>
    <row r="852" spans="1:10" x14ac:dyDescent="0.25">
      <c r="A852" s="4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" t="s">
        <v>96</v>
      </c>
      <c r="B855">
        <v>7172030009000700</v>
      </c>
      <c r="C855">
        <v>22</v>
      </c>
      <c r="D855">
        <v>0</v>
      </c>
      <c r="E855">
        <v>8</v>
      </c>
      <c r="F855">
        <v>14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" t="s">
        <v>98</v>
      </c>
      <c r="B858">
        <v>7172030012001000</v>
      </c>
      <c r="C858">
        <v>104</v>
      </c>
      <c r="D858">
        <v>20</v>
      </c>
      <c r="E858">
        <v>38</v>
      </c>
      <c r="F858">
        <v>41</v>
      </c>
      <c r="G858">
        <v>0</v>
      </c>
      <c r="H858">
        <v>0</v>
      </c>
      <c r="I858">
        <v>5</v>
      </c>
      <c r="J858">
        <v>0</v>
      </c>
    </row>
    <row r="859" spans="1:10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4" t="s">
        <v>98</v>
      </c>
      <c r="B860">
        <v>7172030012001100</v>
      </c>
      <c r="C860">
        <v>97</v>
      </c>
      <c r="D860">
        <v>52</v>
      </c>
      <c r="E860">
        <v>33</v>
      </c>
      <c r="F860">
        <v>5</v>
      </c>
      <c r="G860">
        <v>1</v>
      </c>
      <c r="H860">
        <v>0</v>
      </c>
      <c r="I860">
        <v>6</v>
      </c>
      <c r="J860">
        <v>0</v>
      </c>
    </row>
    <row r="861" spans="1:10" x14ac:dyDescent="0.25">
      <c r="A861" s="4" t="s">
        <v>98</v>
      </c>
      <c r="B861">
        <v>7172030012000600</v>
      </c>
      <c r="C861">
        <v>89</v>
      </c>
      <c r="D861">
        <v>32</v>
      </c>
      <c r="E861">
        <v>17</v>
      </c>
      <c r="F861">
        <v>37</v>
      </c>
      <c r="G861">
        <v>1</v>
      </c>
      <c r="H861">
        <v>0</v>
      </c>
      <c r="I861">
        <v>2</v>
      </c>
      <c r="J861">
        <v>0</v>
      </c>
    </row>
    <row r="862" spans="1:10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s="4" t="s">
        <v>241</v>
      </c>
      <c r="B864">
        <v>7172030013001000</v>
      </c>
      <c r="C864">
        <v>111</v>
      </c>
      <c r="D864">
        <v>0</v>
      </c>
      <c r="E864">
        <v>16</v>
      </c>
      <c r="F864">
        <v>63</v>
      </c>
      <c r="G864">
        <v>0</v>
      </c>
      <c r="H864">
        <v>0</v>
      </c>
      <c r="I864">
        <v>32</v>
      </c>
      <c r="J864">
        <v>0</v>
      </c>
    </row>
    <row r="865" spans="1:10" x14ac:dyDescent="0.25">
      <c r="A865" s="4" t="s">
        <v>241</v>
      </c>
      <c r="B865">
        <v>7172030013000200</v>
      </c>
      <c r="C865">
        <v>85</v>
      </c>
      <c r="D865">
        <v>18</v>
      </c>
      <c r="E865">
        <v>16</v>
      </c>
      <c r="F865">
        <v>24</v>
      </c>
      <c r="G865">
        <v>0</v>
      </c>
      <c r="H865">
        <v>0</v>
      </c>
      <c r="I865">
        <v>27</v>
      </c>
      <c r="J865">
        <v>0</v>
      </c>
    </row>
    <row r="866" spans="1:10" x14ac:dyDescent="0.25">
      <c r="A866" s="4" t="s">
        <v>241</v>
      </c>
      <c r="B866">
        <v>7172030013001200</v>
      </c>
      <c r="C866">
        <v>76</v>
      </c>
      <c r="D866">
        <v>0</v>
      </c>
      <c r="E866">
        <v>6</v>
      </c>
      <c r="F866">
        <v>64</v>
      </c>
      <c r="G866">
        <v>0</v>
      </c>
      <c r="H866">
        <v>0</v>
      </c>
      <c r="I866">
        <v>6</v>
      </c>
      <c r="J866">
        <v>0</v>
      </c>
    </row>
    <row r="867" spans="1:10" x14ac:dyDescent="0.25">
      <c r="A867" s="4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4" t="s">
        <v>241</v>
      </c>
      <c r="B868">
        <v>7172030013000400</v>
      </c>
      <c r="C868">
        <v>57</v>
      </c>
      <c r="D868">
        <v>22</v>
      </c>
      <c r="E868">
        <v>6</v>
      </c>
      <c r="F868">
        <v>18</v>
      </c>
      <c r="G868">
        <v>0</v>
      </c>
      <c r="H868">
        <v>0</v>
      </c>
      <c r="I868">
        <v>11</v>
      </c>
      <c r="J868">
        <v>0</v>
      </c>
    </row>
    <row r="869" spans="1:10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4" t="s">
        <v>242</v>
      </c>
      <c r="B873">
        <v>7172030013001300</v>
      </c>
      <c r="C873">
        <v>132</v>
      </c>
      <c r="D873">
        <v>48</v>
      </c>
      <c r="E873">
        <v>0</v>
      </c>
      <c r="F873">
        <v>17</v>
      </c>
      <c r="G873">
        <v>5</v>
      </c>
      <c r="H873">
        <v>0</v>
      </c>
      <c r="I873">
        <v>62</v>
      </c>
      <c r="J873">
        <v>0</v>
      </c>
    </row>
    <row r="874" spans="1:10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92</v>
      </c>
      <c r="G874">
        <v>0</v>
      </c>
      <c r="H874">
        <v>0</v>
      </c>
      <c r="I874">
        <v>17</v>
      </c>
      <c r="J874">
        <v>0</v>
      </c>
    </row>
    <row r="875" spans="1:10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79</v>
      </c>
      <c r="G875">
        <v>0</v>
      </c>
      <c r="H875">
        <v>0</v>
      </c>
      <c r="I875">
        <v>15</v>
      </c>
      <c r="J875">
        <v>0</v>
      </c>
    </row>
    <row r="876" spans="1:10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63</v>
      </c>
      <c r="G877">
        <v>0</v>
      </c>
      <c r="H877">
        <v>0</v>
      </c>
      <c r="I877">
        <v>6</v>
      </c>
      <c r="J877">
        <v>0</v>
      </c>
    </row>
    <row r="878" spans="1:10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1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s="4" t="s">
        <v>102</v>
      </c>
      <c r="B880">
        <v>7172030014000500</v>
      </c>
      <c r="C880">
        <v>108</v>
      </c>
      <c r="D880">
        <v>0</v>
      </c>
      <c r="E880">
        <v>42</v>
      </c>
      <c r="F880">
        <v>56</v>
      </c>
      <c r="G880">
        <v>0</v>
      </c>
      <c r="H880">
        <v>0</v>
      </c>
      <c r="I880">
        <v>10</v>
      </c>
      <c r="J880">
        <v>0</v>
      </c>
    </row>
    <row r="881" spans="1:10" x14ac:dyDescent="0.25">
      <c r="A881" s="4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" t="s">
        <v>102</v>
      </c>
      <c r="B882">
        <v>7172030014000300</v>
      </c>
      <c r="C882">
        <v>96</v>
      </c>
      <c r="D882">
        <v>33</v>
      </c>
      <c r="E882">
        <v>15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" t="s">
        <v>102</v>
      </c>
      <c r="B886">
        <v>7172030014000400</v>
      </c>
      <c r="C886">
        <v>62</v>
      </c>
      <c r="D886">
        <v>20</v>
      </c>
      <c r="E886">
        <v>20</v>
      </c>
      <c r="F886">
        <v>0</v>
      </c>
      <c r="G886">
        <v>0</v>
      </c>
      <c r="H886">
        <v>0</v>
      </c>
      <c r="I886">
        <v>22</v>
      </c>
      <c r="J886">
        <v>0</v>
      </c>
    </row>
    <row r="887" spans="1:10" x14ac:dyDescent="0.25">
      <c r="A887" s="4" t="s">
        <v>106</v>
      </c>
      <c r="B887">
        <v>7172030015001500</v>
      </c>
      <c r="C887">
        <v>222</v>
      </c>
      <c r="D887">
        <v>17</v>
      </c>
      <c r="E887">
        <v>3</v>
      </c>
      <c r="F887">
        <v>1</v>
      </c>
      <c r="G887">
        <v>0</v>
      </c>
      <c r="H887">
        <v>0</v>
      </c>
      <c r="I887">
        <v>201</v>
      </c>
      <c r="J887">
        <v>0</v>
      </c>
    </row>
    <row r="888" spans="1:10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" t="s">
        <v>106</v>
      </c>
      <c r="B890">
        <v>7172030015001400</v>
      </c>
      <c r="C890">
        <v>49</v>
      </c>
      <c r="D890">
        <v>0</v>
      </c>
      <c r="E890">
        <v>4</v>
      </c>
      <c r="F890">
        <v>39</v>
      </c>
      <c r="G890">
        <v>0</v>
      </c>
      <c r="H890">
        <v>0</v>
      </c>
      <c r="I890">
        <v>6</v>
      </c>
      <c r="J890">
        <v>0</v>
      </c>
    </row>
    <row r="891" spans="1:10" x14ac:dyDescent="0.25">
      <c r="A891" s="4" t="s">
        <v>107</v>
      </c>
      <c r="B891">
        <v>7172030017000400</v>
      </c>
      <c r="C891">
        <v>123</v>
      </c>
      <c r="D891">
        <v>16</v>
      </c>
      <c r="E891">
        <v>18</v>
      </c>
      <c r="F891">
        <v>76</v>
      </c>
      <c r="G891">
        <v>3</v>
      </c>
      <c r="H891">
        <v>0</v>
      </c>
      <c r="I891">
        <v>10</v>
      </c>
      <c r="J891">
        <v>0</v>
      </c>
    </row>
    <row r="892" spans="1:10" x14ac:dyDescent="0.25">
      <c r="A892" s="4" t="s">
        <v>107</v>
      </c>
      <c r="B892">
        <v>7172030017000700</v>
      </c>
      <c r="C892">
        <v>108</v>
      </c>
      <c r="D892">
        <v>18</v>
      </c>
      <c r="E892">
        <v>14</v>
      </c>
      <c r="F892">
        <v>37</v>
      </c>
      <c r="G892">
        <v>2</v>
      </c>
      <c r="H892">
        <v>0</v>
      </c>
      <c r="I892">
        <v>37</v>
      </c>
      <c r="J892">
        <v>0</v>
      </c>
    </row>
    <row r="893" spans="1:10" x14ac:dyDescent="0.25">
      <c r="A893" s="4" t="s">
        <v>107</v>
      </c>
      <c r="B893">
        <v>7172030017000600</v>
      </c>
      <c r="C893">
        <v>97</v>
      </c>
      <c r="D893">
        <v>14</v>
      </c>
      <c r="E893">
        <v>17</v>
      </c>
      <c r="F893">
        <v>59</v>
      </c>
      <c r="G893">
        <v>0</v>
      </c>
      <c r="H893">
        <v>0</v>
      </c>
      <c r="I893">
        <v>7</v>
      </c>
      <c r="J893">
        <v>0</v>
      </c>
    </row>
    <row r="894" spans="1:10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" t="s">
        <v>107</v>
      </c>
      <c r="B895">
        <v>7172030017000800</v>
      </c>
      <c r="C895">
        <v>48</v>
      </c>
      <c r="D895">
        <v>13</v>
      </c>
      <c r="E895">
        <v>4</v>
      </c>
      <c r="F895">
        <v>15</v>
      </c>
      <c r="G895">
        <v>8</v>
      </c>
      <c r="H895">
        <v>0</v>
      </c>
      <c r="I895">
        <v>8</v>
      </c>
      <c r="J895">
        <v>0</v>
      </c>
    </row>
    <row r="896" spans="1:10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s="4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" t="s">
        <v>108</v>
      </c>
      <c r="B901">
        <v>7172030017001900</v>
      </c>
      <c r="C901">
        <v>120</v>
      </c>
      <c r="D901">
        <v>18</v>
      </c>
      <c r="E901">
        <v>16</v>
      </c>
      <c r="F901">
        <v>71</v>
      </c>
      <c r="G901">
        <v>1</v>
      </c>
      <c r="H901">
        <v>0</v>
      </c>
      <c r="I901">
        <v>14</v>
      </c>
      <c r="J901">
        <v>0</v>
      </c>
    </row>
    <row r="902" spans="1:10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" t="s">
        <v>108</v>
      </c>
      <c r="B903">
        <v>7172030017001700</v>
      </c>
      <c r="C903">
        <v>96</v>
      </c>
      <c r="D903">
        <v>0</v>
      </c>
      <c r="E903">
        <v>13</v>
      </c>
      <c r="F903">
        <v>75</v>
      </c>
      <c r="G903">
        <v>0</v>
      </c>
      <c r="H903">
        <v>0</v>
      </c>
      <c r="I903">
        <v>8</v>
      </c>
      <c r="J903">
        <v>0</v>
      </c>
    </row>
    <row r="904" spans="1:10" x14ac:dyDescent="0.25">
      <c r="A904" s="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" t="s">
        <v>108</v>
      </c>
      <c r="B907">
        <v>7172030017001600</v>
      </c>
      <c r="C907">
        <v>65</v>
      </c>
      <c r="D907">
        <v>0</v>
      </c>
      <c r="E907">
        <v>14</v>
      </c>
      <c r="F907">
        <v>36</v>
      </c>
      <c r="G907">
        <v>0</v>
      </c>
      <c r="H907">
        <v>0</v>
      </c>
      <c r="I907">
        <v>15</v>
      </c>
      <c r="J907">
        <v>0</v>
      </c>
    </row>
    <row r="908" spans="1:10" x14ac:dyDescent="0.25">
      <c r="A908" s="4" t="s">
        <v>110</v>
      </c>
      <c r="B908">
        <v>7172031002000100</v>
      </c>
      <c r="C908">
        <v>227</v>
      </c>
      <c r="D908">
        <v>139</v>
      </c>
      <c r="E908">
        <v>40</v>
      </c>
      <c r="F908">
        <v>7</v>
      </c>
      <c r="G908">
        <v>22</v>
      </c>
      <c r="H908">
        <v>0</v>
      </c>
      <c r="I908">
        <v>19</v>
      </c>
      <c r="J908">
        <v>0</v>
      </c>
    </row>
    <row r="909" spans="1:10" x14ac:dyDescent="0.25">
      <c r="A909" s="4" t="s">
        <v>110</v>
      </c>
      <c r="B909">
        <v>7172031002000200</v>
      </c>
      <c r="C909">
        <v>188</v>
      </c>
      <c r="D909">
        <v>114</v>
      </c>
      <c r="E909">
        <v>31</v>
      </c>
      <c r="F909">
        <v>39</v>
      </c>
      <c r="G909">
        <v>4</v>
      </c>
      <c r="H909">
        <v>0</v>
      </c>
      <c r="I909">
        <v>0</v>
      </c>
      <c r="J909">
        <v>0</v>
      </c>
    </row>
    <row r="910" spans="1:10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s="4" t="s">
        <v>111</v>
      </c>
      <c r="B912">
        <v>7172031002000500</v>
      </c>
      <c r="C912">
        <v>135</v>
      </c>
      <c r="D912">
        <v>33</v>
      </c>
      <c r="E912">
        <v>17</v>
      </c>
      <c r="F912">
        <v>42</v>
      </c>
      <c r="G912">
        <v>8</v>
      </c>
      <c r="H912">
        <v>0</v>
      </c>
      <c r="I912">
        <v>35</v>
      </c>
      <c r="J912">
        <v>0</v>
      </c>
    </row>
    <row r="913" spans="1:10" x14ac:dyDescent="0.25">
      <c r="A913" s="4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4</v>
      </c>
      <c r="H913">
        <v>0</v>
      </c>
      <c r="I913">
        <v>28</v>
      </c>
      <c r="J913">
        <v>0</v>
      </c>
    </row>
    <row r="914" spans="1:10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" t="s">
        <v>112</v>
      </c>
      <c r="B920">
        <v>7172031002001102</v>
      </c>
      <c r="C920">
        <v>137</v>
      </c>
      <c r="D920">
        <v>10</v>
      </c>
      <c r="E920">
        <v>7</v>
      </c>
      <c r="F920">
        <v>100</v>
      </c>
      <c r="G920">
        <v>20</v>
      </c>
      <c r="H920">
        <v>0</v>
      </c>
      <c r="I920">
        <v>0</v>
      </c>
      <c r="J920">
        <v>0</v>
      </c>
    </row>
    <row r="921" spans="1:10" x14ac:dyDescent="0.25">
      <c r="A921" s="4" t="s">
        <v>112</v>
      </c>
      <c r="B921">
        <v>7172031002001000</v>
      </c>
      <c r="C921">
        <v>130</v>
      </c>
      <c r="D921">
        <v>19</v>
      </c>
      <c r="E921">
        <v>44</v>
      </c>
      <c r="F921">
        <v>59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s="4" t="s">
        <v>112</v>
      </c>
      <c r="B922">
        <v>7172031002001300</v>
      </c>
      <c r="C922">
        <v>87</v>
      </c>
      <c r="D922">
        <v>38</v>
      </c>
      <c r="E922">
        <v>20</v>
      </c>
      <c r="F922">
        <v>21</v>
      </c>
      <c r="G922">
        <v>0</v>
      </c>
      <c r="H922">
        <v>0</v>
      </c>
      <c r="I922">
        <v>8</v>
      </c>
      <c r="J922">
        <v>0</v>
      </c>
    </row>
    <row r="923" spans="1:10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4" t="s">
        <v>112</v>
      </c>
      <c r="B925">
        <v>7172031008000800</v>
      </c>
      <c r="C925">
        <v>57</v>
      </c>
      <c r="D925">
        <v>33</v>
      </c>
      <c r="E925">
        <v>16</v>
      </c>
      <c r="F925">
        <v>0</v>
      </c>
      <c r="G925">
        <v>0</v>
      </c>
      <c r="H925">
        <v>0</v>
      </c>
      <c r="I925">
        <v>8</v>
      </c>
      <c r="J925">
        <v>0</v>
      </c>
    </row>
    <row r="926" spans="1:10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" t="s">
        <v>112</v>
      </c>
      <c r="B927">
        <v>7172031008001500</v>
      </c>
      <c r="C927">
        <v>30</v>
      </c>
      <c r="D927">
        <v>28</v>
      </c>
      <c r="E927">
        <v>0</v>
      </c>
      <c r="F927">
        <v>0</v>
      </c>
      <c r="G927">
        <v>0</v>
      </c>
      <c r="H927">
        <v>0</v>
      </c>
      <c r="I927">
        <v>2</v>
      </c>
      <c r="J927">
        <v>0</v>
      </c>
    </row>
    <row r="928" spans="1:10" x14ac:dyDescent="0.25">
      <c r="A928" s="4" t="s">
        <v>115</v>
      </c>
      <c r="B928">
        <v>7172031003002000</v>
      </c>
      <c r="C928">
        <v>199</v>
      </c>
      <c r="D928">
        <v>165</v>
      </c>
      <c r="E928">
        <v>6</v>
      </c>
      <c r="F928">
        <v>16</v>
      </c>
      <c r="G928">
        <v>12</v>
      </c>
      <c r="H928">
        <v>0</v>
      </c>
      <c r="I928">
        <v>0</v>
      </c>
      <c r="J928">
        <v>0</v>
      </c>
    </row>
    <row r="929" spans="1:10" x14ac:dyDescent="0.25">
      <c r="A929" s="4" t="s">
        <v>115</v>
      </c>
      <c r="B929">
        <v>7172031003002100</v>
      </c>
      <c r="C929">
        <v>139</v>
      </c>
      <c r="D929">
        <v>44</v>
      </c>
      <c r="E929">
        <v>5</v>
      </c>
      <c r="F929">
        <v>89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s="4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" t="s">
        <v>115</v>
      </c>
      <c r="B931">
        <v>7172031003001900</v>
      </c>
      <c r="C931">
        <v>62</v>
      </c>
      <c r="D931">
        <v>24</v>
      </c>
      <c r="E931">
        <v>2</v>
      </c>
      <c r="F931">
        <v>36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" t="s">
        <v>243</v>
      </c>
      <c r="B933">
        <v>7172031003001800</v>
      </c>
      <c r="C933">
        <v>145</v>
      </c>
      <c r="D933">
        <v>118</v>
      </c>
      <c r="E933">
        <v>0</v>
      </c>
      <c r="F933">
        <v>14</v>
      </c>
      <c r="G933">
        <v>13</v>
      </c>
      <c r="H933">
        <v>0</v>
      </c>
      <c r="I933">
        <v>0</v>
      </c>
      <c r="J933">
        <v>0</v>
      </c>
    </row>
    <row r="934" spans="1:10" x14ac:dyDescent="0.25">
      <c r="A934" s="4" t="s">
        <v>243</v>
      </c>
      <c r="B934">
        <v>7172031003002500</v>
      </c>
      <c r="C934">
        <v>106</v>
      </c>
      <c r="D934">
        <v>56</v>
      </c>
      <c r="E934">
        <v>5</v>
      </c>
      <c r="F934">
        <v>24</v>
      </c>
      <c r="G934">
        <v>13</v>
      </c>
      <c r="H934">
        <v>0</v>
      </c>
      <c r="I934">
        <v>8</v>
      </c>
      <c r="J934">
        <v>0</v>
      </c>
    </row>
    <row r="935" spans="1:10" x14ac:dyDescent="0.25">
      <c r="A935" s="4" t="s">
        <v>243</v>
      </c>
      <c r="B935">
        <v>7172031003002700</v>
      </c>
      <c r="C935">
        <v>98</v>
      </c>
      <c r="D935">
        <v>2</v>
      </c>
      <c r="E935">
        <v>0</v>
      </c>
      <c r="F935">
        <v>96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4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" t="s">
        <v>243</v>
      </c>
      <c r="B939">
        <v>7172031003002400</v>
      </c>
      <c r="C939">
        <v>60</v>
      </c>
      <c r="D939">
        <v>47</v>
      </c>
      <c r="E939">
        <v>0</v>
      </c>
      <c r="F939">
        <v>11</v>
      </c>
      <c r="G939">
        <v>2</v>
      </c>
      <c r="H939">
        <v>0</v>
      </c>
      <c r="I939">
        <v>0</v>
      </c>
      <c r="J939">
        <v>0</v>
      </c>
    </row>
    <row r="940" spans="1:10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" t="s">
        <v>117</v>
      </c>
      <c r="B941">
        <v>7172031004000900</v>
      </c>
      <c r="C941">
        <v>78</v>
      </c>
      <c r="D941">
        <v>58</v>
      </c>
      <c r="E941">
        <v>19</v>
      </c>
      <c r="F941">
        <v>0</v>
      </c>
      <c r="G941">
        <v>0</v>
      </c>
      <c r="H941">
        <v>0</v>
      </c>
      <c r="I941">
        <v>1</v>
      </c>
      <c r="J941">
        <v>0</v>
      </c>
    </row>
    <row r="942" spans="1:10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" t="s">
        <v>117</v>
      </c>
      <c r="B945">
        <v>7172031004001000</v>
      </c>
      <c r="C945">
        <v>48</v>
      </c>
      <c r="D945">
        <v>2</v>
      </c>
      <c r="E945">
        <v>29</v>
      </c>
      <c r="F945">
        <v>16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" t="s">
        <v>117</v>
      </c>
      <c r="B949">
        <v>7172031004000600</v>
      </c>
      <c r="C949">
        <v>39</v>
      </c>
      <c r="D949">
        <v>7</v>
      </c>
      <c r="E949">
        <v>9</v>
      </c>
      <c r="F949">
        <v>23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4" t="s">
        <v>120</v>
      </c>
      <c r="B951">
        <v>7172031006000101</v>
      </c>
      <c r="C951">
        <v>228</v>
      </c>
      <c r="D951">
        <v>12</v>
      </c>
      <c r="E951">
        <v>78</v>
      </c>
      <c r="F951">
        <v>64</v>
      </c>
      <c r="G951">
        <v>0</v>
      </c>
      <c r="H951">
        <v>0</v>
      </c>
      <c r="I951">
        <v>74</v>
      </c>
      <c r="J951">
        <v>0</v>
      </c>
    </row>
    <row r="952" spans="1:10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" t="s">
        <v>120</v>
      </c>
      <c r="B955">
        <v>7172031006000102</v>
      </c>
      <c r="C955">
        <v>56</v>
      </c>
      <c r="D955">
        <v>0</v>
      </c>
      <c r="E955">
        <v>14</v>
      </c>
      <c r="F955">
        <v>37</v>
      </c>
      <c r="G955">
        <v>0</v>
      </c>
      <c r="H955">
        <v>0</v>
      </c>
      <c r="I955">
        <v>5</v>
      </c>
      <c r="J955">
        <v>0</v>
      </c>
    </row>
    <row r="956" spans="1:10" x14ac:dyDescent="0.25">
      <c r="A956" s="4" t="s">
        <v>122</v>
      </c>
      <c r="B956">
        <v>7172031006000900</v>
      </c>
      <c r="C956">
        <v>187</v>
      </c>
      <c r="D956">
        <v>68</v>
      </c>
      <c r="E956">
        <v>47</v>
      </c>
      <c r="F956">
        <v>61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" t="s">
        <v>122</v>
      </c>
      <c r="B958">
        <v>7172031006001300</v>
      </c>
      <c r="C958">
        <v>115</v>
      </c>
      <c r="D958">
        <v>66</v>
      </c>
      <c r="E958">
        <v>12</v>
      </c>
      <c r="F958">
        <v>0</v>
      </c>
      <c r="G958">
        <v>36</v>
      </c>
      <c r="H958">
        <v>0</v>
      </c>
      <c r="I958">
        <v>1</v>
      </c>
      <c r="J958">
        <v>0</v>
      </c>
    </row>
    <row r="959" spans="1:10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s="4" t="s">
        <v>124</v>
      </c>
      <c r="B962">
        <v>7172031006001700</v>
      </c>
      <c r="C962">
        <v>138</v>
      </c>
      <c r="D962">
        <v>112</v>
      </c>
      <c r="E962">
        <v>4</v>
      </c>
      <c r="F962">
        <v>9</v>
      </c>
      <c r="G962">
        <v>13</v>
      </c>
      <c r="H962">
        <v>0</v>
      </c>
      <c r="I962">
        <v>0</v>
      </c>
      <c r="J962">
        <v>0</v>
      </c>
    </row>
    <row r="963" spans="1:10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" t="s">
        <v>124</v>
      </c>
      <c r="B965">
        <v>7172031006001600</v>
      </c>
      <c r="C965">
        <v>86</v>
      </c>
      <c r="D965">
        <v>9</v>
      </c>
      <c r="E965">
        <v>30</v>
      </c>
      <c r="F965">
        <v>43</v>
      </c>
      <c r="G965">
        <v>3</v>
      </c>
      <c r="H965">
        <v>0</v>
      </c>
      <c r="I965">
        <v>1</v>
      </c>
      <c r="J965">
        <v>0</v>
      </c>
    </row>
    <row r="966" spans="1:10" x14ac:dyDescent="0.25">
      <c r="A966" s="4" t="s">
        <v>127</v>
      </c>
      <c r="B966">
        <v>7172031007001600</v>
      </c>
      <c r="C966">
        <v>134</v>
      </c>
      <c r="D966">
        <v>13</v>
      </c>
      <c r="E966">
        <v>9</v>
      </c>
      <c r="F966">
        <v>91</v>
      </c>
      <c r="G966">
        <v>0</v>
      </c>
      <c r="H966">
        <v>0</v>
      </c>
      <c r="I966">
        <v>21</v>
      </c>
      <c r="J966">
        <v>0</v>
      </c>
    </row>
    <row r="967" spans="1:10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4" t="s">
        <v>127</v>
      </c>
      <c r="B968">
        <v>7172031007001200</v>
      </c>
      <c r="C968">
        <v>106</v>
      </c>
      <c r="D968">
        <v>44</v>
      </c>
      <c r="E968">
        <v>5</v>
      </c>
      <c r="F968">
        <v>11</v>
      </c>
      <c r="G968">
        <v>3</v>
      </c>
      <c r="H968">
        <v>0</v>
      </c>
      <c r="I968">
        <v>43</v>
      </c>
      <c r="J968">
        <v>0</v>
      </c>
    </row>
    <row r="969" spans="1:10" x14ac:dyDescent="0.25">
      <c r="A969" s="4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1</v>
      </c>
      <c r="H969">
        <v>0</v>
      </c>
      <c r="I969">
        <v>48</v>
      </c>
      <c r="J969">
        <v>0</v>
      </c>
    </row>
    <row r="970" spans="1:10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" t="s">
        <v>129</v>
      </c>
      <c r="B972">
        <v>7172031008000300</v>
      </c>
      <c r="C972">
        <v>88</v>
      </c>
      <c r="D972">
        <v>53</v>
      </c>
      <c r="E972">
        <v>20</v>
      </c>
      <c r="F972">
        <v>5</v>
      </c>
      <c r="G972">
        <v>1</v>
      </c>
      <c r="H972">
        <v>0</v>
      </c>
      <c r="I972">
        <v>9</v>
      </c>
      <c r="J972">
        <v>0</v>
      </c>
    </row>
    <row r="973" spans="1:10" x14ac:dyDescent="0.25">
      <c r="A973" s="4" t="s">
        <v>129</v>
      </c>
      <c r="B973">
        <v>7172031008000900</v>
      </c>
      <c r="C973">
        <v>86</v>
      </c>
      <c r="D973">
        <v>2</v>
      </c>
      <c r="E973">
        <v>0</v>
      </c>
      <c r="F973">
        <v>82</v>
      </c>
      <c r="G973">
        <v>0</v>
      </c>
      <c r="H973">
        <v>0</v>
      </c>
      <c r="I973">
        <v>2</v>
      </c>
      <c r="J973">
        <v>0</v>
      </c>
    </row>
    <row r="974" spans="1:10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4" t="s">
        <v>129</v>
      </c>
      <c r="B978">
        <v>7172031008000500</v>
      </c>
      <c r="C978">
        <v>46</v>
      </c>
      <c r="D978">
        <v>0</v>
      </c>
      <c r="E978">
        <v>21</v>
      </c>
      <c r="F978">
        <v>16</v>
      </c>
      <c r="G978">
        <v>0</v>
      </c>
      <c r="H978">
        <v>0</v>
      </c>
      <c r="I978">
        <v>9</v>
      </c>
      <c r="J978">
        <v>0</v>
      </c>
    </row>
    <row r="979" spans="1:10" x14ac:dyDescent="0.25">
      <c r="A979" s="4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5</v>
      </c>
      <c r="H979">
        <v>0</v>
      </c>
      <c r="I979">
        <v>12</v>
      </c>
      <c r="J979">
        <v>0</v>
      </c>
    </row>
    <row r="980" spans="1:10" x14ac:dyDescent="0.25">
      <c r="A980" s="4" t="s">
        <v>129</v>
      </c>
      <c r="B980">
        <v>7172031008000700</v>
      </c>
      <c r="C980">
        <v>26</v>
      </c>
      <c r="D980">
        <v>19</v>
      </c>
      <c r="E980">
        <v>0</v>
      </c>
      <c r="F980">
        <v>0</v>
      </c>
      <c r="G980">
        <v>1</v>
      </c>
      <c r="H980">
        <v>0</v>
      </c>
      <c r="I980">
        <v>6</v>
      </c>
      <c r="J980">
        <v>0</v>
      </c>
    </row>
    <row r="981" spans="1:10" x14ac:dyDescent="0.25">
      <c r="A981" s="4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s="4" t="s">
        <v>130</v>
      </c>
      <c r="B982">
        <v>7172040009000500</v>
      </c>
      <c r="C982">
        <v>88</v>
      </c>
      <c r="D982">
        <v>0</v>
      </c>
      <c r="E982">
        <v>24</v>
      </c>
      <c r="F982">
        <v>47</v>
      </c>
      <c r="G982">
        <v>0</v>
      </c>
      <c r="H982">
        <v>0</v>
      </c>
      <c r="I982">
        <v>17</v>
      </c>
      <c r="J982">
        <v>0</v>
      </c>
    </row>
    <row r="983" spans="1:10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" t="s">
        <v>132</v>
      </c>
      <c r="B991">
        <v>7172040003000601</v>
      </c>
      <c r="C991">
        <v>192</v>
      </c>
      <c r="D991">
        <v>75</v>
      </c>
      <c r="E991">
        <v>25</v>
      </c>
      <c r="F991">
        <v>82</v>
      </c>
      <c r="G991">
        <v>6</v>
      </c>
      <c r="H991">
        <v>0</v>
      </c>
      <c r="I991">
        <v>4</v>
      </c>
      <c r="J991">
        <v>0</v>
      </c>
    </row>
    <row r="992" spans="1:10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" t="s">
        <v>132</v>
      </c>
      <c r="B994">
        <v>7172040005001900</v>
      </c>
      <c r="C994">
        <v>90</v>
      </c>
      <c r="D994">
        <v>0</v>
      </c>
      <c r="E994">
        <v>0</v>
      </c>
      <c r="F994">
        <v>81</v>
      </c>
      <c r="G994">
        <v>0</v>
      </c>
      <c r="H994">
        <v>0</v>
      </c>
      <c r="I994">
        <v>9</v>
      </c>
      <c r="J994">
        <v>0</v>
      </c>
    </row>
    <row r="995" spans="1:10" x14ac:dyDescent="0.25">
      <c r="A995" s="4" t="s">
        <v>132</v>
      </c>
      <c r="B995">
        <v>7172040005002002</v>
      </c>
      <c r="C995">
        <v>70</v>
      </c>
      <c r="D995">
        <v>7</v>
      </c>
      <c r="E995">
        <v>14</v>
      </c>
      <c r="F995">
        <v>22</v>
      </c>
      <c r="G995">
        <v>0</v>
      </c>
      <c r="H995">
        <v>0</v>
      </c>
      <c r="I995">
        <v>27</v>
      </c>
      <c r="J995">
        <v>0</v>
      </c>
    </row>
    <row r="996" spans="1:10" x14ac:dyDescent="0.25">
      <c r="A996" s="4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s="4" t="s">
        <v>133</v>
      </c>
      <c r="B997">
        <v>7172040003000102</v>
      </c>
      <c r="C997">
        <v>131</v>
      </c>
      <c r="D997">
        <v>26</v>
      </c>
      <c r="E997">
        <v>1</v>
      </c>
      <c r="F997">
        <v>98</v>
      </c>
      <c r="G997">
        <v>0</v>
      </c>
      <c r="H997">
        <v>0</v>
      </c>
      <c r="I997">
        <v>6</v>
      </c>
      <c r="J997">
        <v>0</v>
      </c>
    </row>
    <row r="998" spans="1:10" x14ac:dyDescent="0.25">
      <c r="A998" s="4" t="s">
        <v>133</v>
      </c>
      <c r="B998">
        <v>7172040003000602</v>
      </c>
      <c r="C998">
        <v>98</v>
      </c>
      <c r="D998">
        <v>57</v>
      </c>
      <c r="E998">
        <v>1</v>
      </c>
      <c r="F998">
        <v>31</v>
      </c>
      <c r="G998">
        <v>0</v>
      </c>
      <c r="H998">
        <v>0</v>
      </c>
      <c r="I998">
        <v>8</v>
      </c>
      <c r="J998">
        <v>1</v>
      </c>
    </row>
    <row r="999" spans="1:10" x14ac:dyDescent="0.25">
      <c r="A999" s="4" t="s">
        <v>133</v>
      </c>
      <c r="B999">
        <v>7172040003000400</v>
      </c>
      <c r="C999">
        <v>73</v>
      </c>
      <c r="D999">
        <v>6</v>
      </c>
      <c r="E999">
        <v>1</v>
      </c>
      <c r="F999">
        <v>66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" t="s">
        <v>136</v>
      </c>
      <c r="B1006">
        <v>7172040008000200</v>
      </c>
      <c r="C1006">
        <v>56</v>
      </c>
      <c r="D1006">
        <v>21</v>
      </c>
      <c r="E1006">
        <v>7</v>
      </c>
      <c r="F1006">
        <v>19</v>
      </c>
      <c r="G1006">
        <v>0</v>
      </c>
      <c r="H1006">
        <v>1</v>
      </c>
      <c r="I1006">
        <v>8</v>
      </c>
      <c r="J1006">
        <v>0</v>
      </c>
    </row>
    <row r="1007" spans="1:10" x14ac:dyDescent="0.25">
      <c r="A1007" s="4" t="s">
        <v>136</v>
      </c>
      <c r="B1007">
        <v>7172040004000100</v>
      </c>
      <c r="C1007">
        <v>54</v>
      </c>
      <c r="D1007">
        <v>0</v>
      </c>
      <c r="E1007">
        <v>0</v>
      </c>
      <c r="F1007">
        <v>54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4" t="s">
        <v>136</v>
      </c>
      <c r="B1008">
        <v>7172040008000300</v>
      </c>
      <c r="C1008">
        <v>51</v>
      </c>
      <c r="D1008">
        <v>14</v>
      </c>
      <c r="E1008">
        <v>16</v>
      </c>
      <c r="F1008">
        <v>11</v>
      </c>
      <c r="G1008">
        <v>6</v>
      </c>
      <c r="H1008">
        <v>0</v>
      </c>
      <c r="I1008">
        <v>4</v>
      </c>
      <c r="J1008">
        <v>0</v>
      </c>
    </row>
    <row r="1009" spans="1:10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0</v>
      </c>
      <c r="H1010">
        <v>0</v>
      </c>
      <c r="I1010">
        <v>5</v>
      </c>
      <c r="J1010">
        <v>0</v>
      </c>
    </row>
    <row r="1011" spans="1:10" x14ac:dyDescent="0.25">
      <c r="A1011" s="4" t="s">
        <v>136</v>
      </c>
      <c r="B1011">
        <v>7172040008000400</v>
      </c>
      <c r="C1011">
        <v>40</v>
      </c>
      <c r="D1011">
        <v>10</v>
      </c>
      <c r="E1011">
        <v>0</v>
      </c>
      <c r="F1011">
        <v>0</v>
      </c>
      <c r="G1011">
        <v>30</v>
      </c>
      <c r="H1011">
        <v>0</v>
      </c>
      <c r="I1011">
        <v>0</v>
      </c>
      <c r="J1011">
        <v>0</v>
      </c>
    </row>
    <row r="1012" spans="1:10" x14ac:dyDescent="0.25">
      <c r="A1012" s="4" t="s">
        <v>136</v>
      </c>
      <c r="B1012">
        <v>7172040008000100</v>
      </c>
      <c r="C1012">
        <v>39</v>
      </c>
      <c r="D1012">
        <v>24</v>
      </c>
      <c r="E1012">
        <v>8</v>
      </c>
      <c r="F1012">
        <v>0</v>
      </c>
      <c r="G1012">
        <v>1</v>
      </c>
      <c r="H1012">
        <v>0</v>
      </c>
      <c r="I1012">
        <v>6</v>
      </c>
      <c r="J1012">
        <v>0</v>
      </c>
    </row>
    <row r="1013" spans="1:10" x14ac:dyDescent="0.25">
      <c r="A1013" s="4" t="s">
        <v>139</v>
      </c>
      <c r="B1013">
        <v>7172040006000100</v>
      </c>
      <c r="C1013">
        <v>90</v>
      </c>
      <c r="D1013">
        <v>20</v>
      </c>
      <c r="E1013">
        <v>12</v>
      </c>
      <c r="F1013">
        <v>10</v>
      </c>
      <c r="G1013">
        <v>10</v>
      </c>
      <c r="H1013">
        <v>0</v>
      </c>
      <c r="I1013">
        <v>38</v>
      </c>
      <c r="J1013">
        <v>0</v>
      </c>
    </row>
    <row r="1014" spans="1:10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4" t="s">
        <v>139</v>
      </c>
      <c r="B1015">
        <v>7172040006000200</v>
      </c>
      <c r="C1015">
        <v>69</v>
      </c>
      <c r="D1015">
        <v>0</v>
      </c>
      <c r="E1015">
        <v>16</v>
      </c>
      <c r="F1015">
        <v>29</v>
      </c>
      <c r="G1015">
        <v>0</v>
      </c>
      <c r="H1015">
        <v>0</v>
      </c>
      <c r="I1015">
        <v>24</v>
      </c>
      <c r="J1015">
        <v>0</v>
      </c>
    </row>
    <row r="1016" spans="1:10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s="4" t="s">
        <v>140</v>
      </c>
      <c r="B1023">
        <v>7172040012000200</v>
      </c>
      <c r="C1023">
        <v>94</v>
      </c>
      <c r="D1023">
        <v>33</v>
      </c>
      <c r="E1023">
        <v>7</v>
      </c>
      <c r="F1023">
        <v>1</v>
      </c>
      <c r="G1023">
        <v>0</v>
      </c>
      <c r="H1023">
        <v>0</v>
      </c>
      <c r="I1023">
        <v>53</v>
      </c>
      <c r="J1023">
        <v>0</v>
      </c>
    </row>
    <row r="1024" spans="1:10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41</v>
      </c>
      <c r="G1025">
        <v>0</v>
      </c>
      <c r="H1025">
        <v>0</v>
      </c>
      <c r="I1025">
        <v>2</v>
      </c>
      <c r="J1025">
        <v>0</v>
      </c>
    </row>
    <row r="1026" spans="1:10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" t="s">
        <v>140</v>
      </c>
      <c r="B1029">
        <v>7172040012000500</v>
      </c>
      <c r="C1029">
        <v>40</v>
      </c>
      <c r="D1029">
        <v>15</v>
      </c>
      <c r="E1029">
        <v>8</v>
      </c>
      <c r="F1029">
        <v>11</v>
      </c>
      <c r="G1029">
        <v>0</v>
      </c>
      <c r="H1029">
        <v>0</v>
      </c>
      <c r="I1029">
        <v>6</v>
      </c>
      <c r="J1029">
        <v>0</v>
      </c>
    </row>
    <row r="1030" spans="1:10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" t="s">
        <v>118</v>
      </c>
      <c r="B1034">
        <v>7172031004001400</v>
      </c>
      <c r="C1034">
        <v>129</v>
      </c>
      <c r="D1034">
        <v>49</v>
      </c>
      <c r="E1034">
        <v>8</v>
      </c>
      <c r="F1034">
        <v>67</v>
      </c>
      <c r="G1034">
        <v>4</v>
      </c>
      <c r="H1034">
        <v>0</v>
      </c>
      <c r="I1034">
        <v>1</v>
      </c>
      <c r="J1034">
        <v>0</v>
      </c>
    </row>
    <row r="1035" spans="1:10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" t="s">
        <v>118</v>
      </c>
      <c r="B1036">
        <v>7172031004001300</v>
      </c>
      <c r="C1036">
        <v>64</v>
      </c>
      <c r="D1036">
        <v>21</v>
      </c>
      <c r="E1036">
        <v>1</v>
      </c>
      <c r="F1036">
        <v>38</v>
      </c>
      <c r="G1036">
        <v>4</v>
      </c>
      <c r="H1036">
        <v>0</v>
      </c>
      <c r="I1036">
        <v>0</v>
      </c>
      <c r="J1036">
        <v>0</v>
      </c>
    </row>
    <row r="1037" spans="1:10" x14ac:dyDescent="0.25">
      <c r="A1037" s="4" t="s">
        <v>118</v>
      </c>
      <c r="B1037">
        <v>7172031004001200</v>
      </c>
      <c r="C1037">
        <v>58</v>
      </c>
      <c r="D1037">
        <v>50</v>
      </c>
      <c r="E1037">
        <v>1</v>
      </c>
      <c r="F1037">
        <v>1</v>
      </c>
      <c r="G1037">
        <v>5</v>
      </c>
      <c r="H1037">
        <v>0</v>
      </c>
      <c r="I1037">
        <v>1</v>
      </c>
      <c r="J1037">
        <v>0</v>
      </c>
    </row>
    <row r="1038" spans="1:10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4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4" t="s">
        <v>389</v>
      </c>
      <c r="B1043">
        <v>7172012004001702</v>
      </c>
      <c r="C1043">
        <v>127</v>
      </c>
      <c r="D1043">
        <v>1</v>
      </c>
      <c r="E1043">
        <v>9</v>
      </c>
      <c r="F1043">
        <v>82</v>
      </c>
      <c r="G1043">
        <v>13</v>
      </c>
      <c r="H1043">
        <v>0</v>
      </c>
      <c r="I1043">
        <v>22</v>
      </c>
      <c r="J1043">
        <v>0</v>
      </c>
    </row>
    <row r="1044" spans="1:10" x14ac:dyDescent="0.25">
      <c r="A1044" s="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106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" t="s">
        <v>389</v>
      </c>
      <c r="B1045">
        <v>7172012004001300</v>
      </c>
      <c r="C1045">
        <v>92</v>
      </c>
      <c r="D1045">
        <v>35</v>
      </c>
      <c r="E1045">
        <v>6</v>
      </c>
      <c r="F1045">
        <v>8</v>
      </c>
      <c r="G1045">
        <v>0</v>
      </c>
      <c r="H1045">
        <v>0</v>
      </c>
      <c r="I1045">
        <v>43</v>
      </c>
      <c r="J1045">
        <v>0</v>
      </c>
    </row>
    <row r="1046" spans="1:10" x14ac:dyDescent="0.25">
      <c r="A1046" s="4" t="s">
        <v>389</v>
      </c>
      <c r="B1046">
        <v>7172012004001203</v>
      </c>
      <c r="C1046">
        <v>76</v>
      </c>
      <c r="D1046">
        <v>7</v>
      </c>
      <c r="E1046">
        <v>8</v>
      </c>
      <c r="F1046">
        <v>51</v>
      </c>
      <c r="G1046">
        <v>2</v>
      </c>
      <c r="H1046">
        <v>0</v>
      </c>
      <c r="I1046">
        <v>8</v>
      </c>
      <c r="J1046">
        <v>0</v>
      </c>
    </row>
    <row r="1047" spans="1:10" x14ac:dyDescent="0.25">
      <c r="A1047" s="4" t="s">
        <v>390</v>
      </c>
      <c r="B1047">
        <v>7172040003001502</v>
      </c>
      <c r="C1047">
        <v>244</v>
      </c>
      <c r="D1047">
        <v>168</v>
      </c>
      <c r="E1047">
        <v>0</v>
      </c>
      <c r="F1047">
        <v>28</v>
      </c>
      <c r="G1047">
        <v>0</v>
      </c>
      <c r="H1047">
        <v>0</v>
      </c>
      <c r="I1047">
        <v>48</v>
      </c>
      <c r="J1047">
        <v>0</v>
      </c>
    </row>
    <row r="1048" spans="1:10" x14ac:dyDescent="0.25">
      <c r="A1048" s="4" t="s">
        <v>390</v>
      </c>
      <c r="B1048">
        <v>7172040003001501</v>
      </c>
      <c r="C1048">
        <v>182</v>
      </c>
      <c r="D1048">
        <v>0</v>
      </c>
      <c r="E1048">
        <v>0</v>
      </c>
      <c r="F1048">
        <v>182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4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" t="s">
        <v>390</v>
      </c>
      <c r="B1051">
        <v>7172040003000800</v>
      </c>
      <c r="C1051">
        <v>87</v>
      </c>
      <c r="D1051">
        <v>33</v>
      </c>
      <c r="E1051">
        <v>30</v>
      </c>
      <c r="F1051">
        <v>4</v>
      </c>
      <c r="G1051">
        <v>0</v>
      </c>
      <c r="H1051">
        <v>3</v>
      </c>
      <c r="I1051">
        <v>17</v>
      </c>
      <c r="J1051">
        <v>0</v>
      </c>
    </row>
    <row r="1052" spans="1:10" x14ac:dyDescent="0.25">
      <c r="A1052" s="4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4" t="s">
        <v>36</v>
      </c>
      <c r="B1053">
        <v>7172011003002401</v>
      </c>
      <c r="C1053">
        <v>195</v>
      </c>
      <c r="D1053">
        <v>112</v>
      </c>
      <c r="E1053">
        <v>10</v>
      </c>
      <c r="F1053">
        <v>0</v>
      </c>
      <c r="G1053">
        <v>2</v>
      </c>
      <c r="H1053">
        <v>0</v>
      </c>
      <c r="I1053">
        <v>71</v>
      </c>
      <c r="J1053">
        <v>0</v>
      </c>
    </row>
    <row r="1054" spans="1:10" x14ac:dyDescent="0.25">
      <c r="A1054" s="4" t="s">
        <v>36</v>
      </c>
      <c r="B1054">
        <v>7172011003002000</v>
      </c>
      <c r="C1054">
        <v>128</v>
      </c>
      <c r="D1054">
        <v>0</v>
      </c>
      <c r="E1054">
        <v>9</v>
      </c>
      <c r="F1054">
        <v>87</v>
      </c>
      <c r="G1054">
        <v>0</v>
      </c>
      <c r="H1054">
        <v>0</v>
      </c>
      <c r="I1054">
        <v>32</v>
      </c>
      <c r="J1054">
        <v>0</v>
      </c>
    </row>
    <row r="1055" spans="1:10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4" t="s">
        <v>36</v>
      </c>
      <c r="B1057">
        <v>7172011003002402</v>
      </c>
      <c r="C1057">
        <v>92</v>
      </c>
      <c r="D1057">
        <v>2</v>
      </c>
      <c r="E1057">
        <v>14</v>
      </c>
      <c r="F1057">
        <v>6</v>
      </c>
      <c r="G1057">
        <v>1</v>
      </c>
      <c r="H1057">
        <v>0</v>
      </c>
      <c r="I1057">
        <v>69</v>
      </c>
      <c r="J1057">
        <v>0</v>
      </c>
    </row>
    <row r="1058" spans="1:10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D1058" sqref="D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17</v>
      </c>
      <c r="E2">
        <v>8</v>
      </c>
      <c r="F2">
        <v>17</v>
      </c>
      <c r="G2">
        <v>0</v>
      </c>
      <c r="H2">
        <v>1</v>
      </c>
      <c r="I2">
        <v>60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29</v>
      </c>
      <c r="E3">
        <v>5</v>
      </c>
      <c r="F3">
        <v>2</v>
      </c>
      <c r="G3">
        <v>52</v>
      </c>
      <c r="H3">
        <v>0</v>
      </c>
      <c r="I3">
        <v>15</v>
      </c>
      <c r="J3">
        <v>0</v>
      </c>
    </row>
    <row r="4" spans="1:10" x14ac:dyDescent="0.25">
      <c r="A4" t="s">
        <v>10</v>
      </c>
      <c r="B4">
        <v>7172010009002600</v>
      </c>
      <c r="C4">
        <v>90</v>
      </c>
      <c r="D4">
        <v>0</v>
      </c>
      <c r="E4">
        <v>8</v>
      </c>
      <c r="F4">
        <v>39</v>
      </c>
      <c r="G4">
        <v>0</v>
      </c>
      <c r="H4">
        <v>0</v>
      </c>
      <c r="I4">
        <v>43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82</v>
      </c>
      <c r="D12">
        <v>14</v>
      </c>
      <c r="E12">
        <v>8</v>
      </c>
      <c r="F12">
        <v>42</v>
      </c>
      <c r="G12">
        <v>0</v>
      </c>
      <c r="H12">
        <v>0</v>
      </c>
      <c r="I12">
        <v>18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68</v>
      </c>
      <c r="E13">
        <v>2</v>
      </c>
      <c r="F13">
        <v>0</v>
      </c>
      <c r="G13">
        <v>3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12</v>
      </c>
      <c r="E14">
        <v>3</v>
      </c>
      <c r="F14">
        <v>7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29</v>
      </c>
      <c r="E16">
        <v>1</v>
      </c>
      <c r="F16">
        <v>0</v>
      </c>
      <c r="G16">
        <v>8</v>
      </c>
      <c r="H16">
        <v>0</v>
      </c>
      <c r="I16">
        <v>5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29</v>
      </c>
      <c r="E17">
        <v>1</v>
      </c>
      <c r="F17">
        <v>4</v>
      </c>
      <c r="G17">
        <v>0</v>
      </c>
      <c r="H17">
        <v>0</v>
      </c>
      <c r="I17">
        <v>51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19</v>
      </c>
      <c r="E18">
        <v>4</v>
      </c>
      <c r="F18">
        <v>17</v>
      </c>
      <c r="G18">
        <v>0</v>
      </c>
      <c r="H18">
        <v>0</v>
      </c>
      <c r="I18">
        <v>40</v>
      </c>
      <c r="J18">
        <v>0</v>
      </c>
    </row>
    <row r="19" spans="1:10" x14ac:dyDescent="0.25">
      <c r="A19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7172010010001700</v>
      </c>
      <c r="C22">
        <v>46</v>
      </c>
      <c r="D22">
        <v>11</v>
      </c>
      <c r="E22">
        <v>1</v>
      </c>
      <c r="F22">
        <v>9</v>
      </c>
      <c r="G22">
        <v>0</v>
      </c>
      <c r="H22">
        <v>0</v>
      </c>
      <c r="I22">
        <v>25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31</v>
      </c>
      <c r="D26">
        <v>0</v>
      </c>
      <c r="E26">
        <v>0</v>
      </c>
      <c r="F26">
        <v>27</v>
      </c>
      <c r="G26">
        <v>0</v>
      </c>
      <c r="H26">
        <v>0</v>
      </c>
      <c r="I26">
        <v>4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7172010012001500</v>
      </c>
      <c r="C33">
        <v>57</v>
      </c>
      <c r="D33">
        <v>0</v>
      </c>
      <c r="E33">
        <v>8</v>
      </c>
      <c r="F33">
        <v>16</v>
      </c>
      <c r="G33">
        <v>0</v>
      </c>
      <c r="H33">
        <v>0</v>
      </c>
      <c r="I33">
        <v>33</v>
      </c>
      <c r="J33">
        <v>0</v>
      </c>
    </row>
    <row r="34" spans="1:10" x14ac:dyDescent="0.25">
      <c r="A3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37</v>
      </c>
      <c r="J34">
        <v>0</v>
      </c>
    </row>
    <row r="35" spans="1:10" x14ac:dyDescent="0.25">
      <c r="A35" t="s">
        <v>16</v>
      </c>
      <c r="B35">
        <v>7172010012002400</v>
      </c>
      <c r="C35">
        <v>51</v>
      </c>
      <c r="D35">
        <v>0</v>
      </c>
      <c r="E35">
        <v>0</v>
      </c>
      <c r="F35">
        <v>51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10</v>
      </c>
      <c r="E37">
        <v>5</v>
      </c>
      <c r="F37">
        <v>1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13</v>
      </c>
      <c r="E39">
        <v>0</v>
      </c>
      <c r="F39">
        <v>0</v>
      </c>
      <c r="G39">
        <v>3</v>
      </c>
      <c r="H39">
        <v>0</v>
      </c>
      <c r="I39">
        <v>14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27</v>
      </c>
      <c r="E42">
        <v>9</v>
      </c>
      <c r="F42">
        <v>36</v>
      </c>
      <c r="G42">
        <v>1</v>
      </c>
      <c r="H42">
        <v>0</v>
      </c>
      <c r="I42">
        <v>154</v>
      </c>
      <c r="J42">
        <v>0</v>
      </c>
    </row>
    <row r="43" spans="1:10" x14ac:dyDescent="0.25">
      <c r="A43" t="s">
        <v>17</v>
      </c>
      <c r="B43">
        <v>7172010015003300</v>
      </c>
      <c r="C43">
        <v>194</v>
      </c>
      <c r="D43">
        <v>4</v>
      </c>
      <c r="E43">
        <v>9</v>
      </c>
      <c r="F43">
        <v>158</v>
      </c>
      <c r="G43">
        <v>1</v>
      </c>
      <c r="H43">
        <v>0</v>
      </c>
      <c r="I43">
        <v>22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36</v>
      </c>
      <c r="E49">
        <v>0</v>
      </c>
      <c r="F49">
        <v>8</v>
      </c>
      <c r="G49">
        <v>0</v>
      </c>
      <c r="H49">
        <v>0</v>
      </c>
      <c r="I49">
        <v>57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12</v>
      </c>
      <c r="E52">
        <v>3</v>
      </c>
      <c r="F52">
        <v>13</v>
      </c>
      <c r="G52">
        <v>1</v>
      </c>
      <c r="H52">
        <v>0</v>
      </c>
      <c r="I52">
        <v>33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42</v>
      </c>
      <c r="D58">
        <v>12</v>
      </c>
      <c r="E58">
        <v>2</v>
      </c>
      <c r="F58">
        <v>11</v>
      </c>
      <c r="G58">
        <v>17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97</v>
      </c>
      <c r="E59">
        <v>4</v>
      </c>
      <c r="F59">
        <v>0</v>
      </c>
      <c r="G59">
        <v>20</v>
      </c>
      <c r="H59">
        <v>0</v>
      </c>
      <c r="I59">
        <v>28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8</v>
      </c>
      <c r="F60">
        <v>0</v>
      </c>
      <c r="G60">
        <v>0</v>
      </c>
      <c r="H60">
        <v>0</v>
      </c>
      <c r="I60">
        <v>63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3</v>
      </c>
      <c r="E61">
        <v>18</v>
      </c>
      <c r="F61">
        <v>57</v>
      </c>
      <c r="G61">
        <v>0</v>
      </c>
      <c r="H61">
        <v>0</v>
      </c>
      <c r="I61">
        <v>10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t="s">
        <v>22</v>
      </c>
      <c r="B69">
        <v>7172010015002100</v>
      </c>
      <c r="C69">
        <v>130</v>
      </c>
      <c r="D69">
        <v>20</v>
      </c>
      <c r="E69">
        <v>5</v>
      </c>
      <c r="F69">
        <v>42</v>
      </c>
      <c r="G69">
        <v>1</v>
      </c>
      <c r="H69">
        <v>0</v>
      </c>
      <c r="I69">
        <v>62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7</v>
      </c>
      <c r="F76">
        <v>3</v>
      </c>
      <c r="G76">
        <v>2</v>
      </c>
      <c r="H76">
        <v>0</v>
      </c>
      <c r="I76">
        <v>67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71</v>
      </c>
      <c r="D78">
        <v>8</v>
      </c>
      <c r="E78">
        <v>0</v>
      </c>
      <c r="F78">
        <v>5</v>
      </c>
      <c r="G78">
        <v>1</v>
      </c>
      <c r="H78">
        <v>0</v>
      </c>
      <c r="I78">
        <v>57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0</v>
      </c>
      <c r="E79">
        <v>29</v>
      </c>
      <c r="F79">
        <v>9</v>
      </c>
      <c r="G79">
        <v>0</v>
      </c>
      <c r="H79">
        <v>0</v>
      </c>
      <c r="I79">
        <v>27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0</v>
      </c>
      <c r="E82">
        <v>0</v>
      </c>
      <c r="F82">
        <v>45</v>
      </c>
      <c r="G82">
        <v>0</v>
      </c>
      <c r="H82">
        <v>0</v>
      </c>
      <c r="I82">
        <v>9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71</v>
      </c>
      <c r="E87">
        <v>56</v>
      </c>
      <c r="F87">
        <v>22</v>
      </c>
      <c r="G87">
        <v>4</v>
      </c>
      <c r="H87">
        <v>0</v>
      </c>
      <c r="I87">
        <v>1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91</v>
      </c>
      <c r="D89">
        <v>23</v>
      </c>
      <c r="E89">
        <v>48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74</v>
      </c>
      <c r="D91">
        <v>0</v>
      </c>
      <c r="E91">
        <v>4</v>
      </c>
      <c r="F91">
        <v>68</v>
      </c>
      <c r="G91">
        <v>0</v>
      </c>
      <c r="H91">
        <v>0</v>
      </c>
      <c r="I91">
        <v>2</v>
      </c>
      <c r="J91">
        <v>0</v>
      </c>
    </row>
    <row r="92" spans="1:10" x14ac:dyDescent="0.25">
      <c r="A92" t="s">
        <v>26</v>
      </c>
      <c r="B92">
        <v>7172011001000200</v>
      </c>
      <c r="C92">
        <v>72</v>
      </c>
      <c r="D92">
        <v>0</v>
      </c>
      <c r="E92">
        <v>5</v>
      </c>
      <c r="F92">
        <v>66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22</v>
      </c>
      <c r="E93">
        <v>15</v>
      </c>
      <c r="F93">
        <v>16</v>
      </c>
      <c r="G93">
        <v>10</v>
      </c>
      <c r="H93">
        <v>0</v>
      </c>
      <c r="I93">
        <v>7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78</v>
      </c>
      <c r="H96">
        <v>0</v>
      </c>
      <c r="I96">
        <v>8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21</v>
      </c>
      <c r="E99">
        <v>0</v>
      </c>
      <c r="F99">
        <v>0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7172010017000200</v>
      </c>
      <c r="C100">
        <v>49</v>
      </c>
      <c r="D100">
        <v>13</v>
      </c>
      <c r="E100">
        <v>0</v>
      </c>
      <c r="F100">
        <v>16</v>
      </c>
      <c r="G100">
        <v>0</v>
      </c>
      <c r="H100">
        <v>0</v>
      </c>
      <c r="I100">
        <v>20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11</v>
      </c>
      <c r="H104">
        <v>0</v>
      </c>
      <c r="I104">
        <v>6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17</v>
      </c>
      <c r="E105">
        <v>11</v>
      </c>
      <c r="F105">
        <v>44</v>
      </c>
      <c r="G105">
        <v>1</v>
      </c>
      <c r="H105">
        <v>0</v>
      </c>
      <c r="I105">
        <v>42</v>
      </c>
      <c r="J105">
        <v>0</v>
      </c>
    </row>
    <row r="106" spans="1:10" x14ac:dyDescent="0.25">
      <c r="A106" t="s">
        <v>28</v>
      </c>
      <c r="B106">
        <v>7172011002000500</v>
      </c>
      <c r="C106">
        <v>106</v>
      </c>
      <c r="D106">
        <v>29</v>
      </c>
      <c r="E106">
        <v>17</v>
      </c>
      <c r="F106">
        <v>27</v>
      </c>
      <c r="G106">
        <v>1</v>
      </c>
      <c r="H106">
        <v>0</v>
      </c>
      <c r="I106">
        <v>32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58</v>
      </c>
      <c r="E112">
        <v>43</v>
      </c>
      <c r="F112">
        <v>0</v>
      </c>
      <c r="G112">
        <v>16</v>
      </c>
      <c r="H112">
        <v>8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7172011014001703</v>
      </c>
      <c r="C115">
        <v>68</v>
      </c>
      <c r="D115">
        <v>0</v>
      </c>
      <c r="E115">
        <v>35</v>
      </c>
      <c r="F115">
        <v>33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11</v>
      </c>
      <c r="E119">
        <v>3</v>
      </c>
      <c r="F119">
        <v>96</v>
      </c>
      <c r="G119">
        <v>0</v>
      </c>
      <c r="H119">
        <v>0</v>
      </c>
      <c r="I119">
        <v>19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111</v>
      </c>
      <c r="D121">
        <v>31</v>
      </c>
      <c r="E121">
        <v>14</v>
      </c>
      <c r="F121">
        <v>33</v>
      </c>
      <c r="G121">
        <v>0</v>
      </c>
      <c r="H121">
        <v>0</v>
      </c>
      <c r="I121">
        <v>33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33</v>
      </c>
      <c r="E122">
        <v>4</v>
      </c>
      <c r="F122">
        <v>2</v>
      </c>
      <c r="G122">
        <v>0</v>
      </c>
      <c r="H122">
        <v>0</v>
      </c>
      <c r="I122">
        <v>21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7</v>
      </c>
      <c r="E123">
        <v>0</v>
      </c>
      <c r="F123">
        <v>19</v>
      </c>
      <c r="G123">
        <v>0</v>
      </c>
      <c r="H123">
        <v>0</v>
      </c>
      <c r="I123">
        <v>33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129</v>
      </c>
      <c r="D126">
        <v>43</v>
      </c>
      <c r="E126">
        <v>46</v>
      </c>
      <c r="F126">
        <v>2</v>
      </c>
      <c r="G126">
        <v>23</v>
      </c>
      <c r="H126">
        <v>0</v>
      </c>
      <c r="I126">
        <v>15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44</v>
      </c>
      <c r="E131">
        <v>23</v>
      </c>
      <c r="F131">
        <v>42</v>
      </c>
      <c r="G131">
        <v>5</v>
      </c>
      <c r="H131">
        <v>1</v>
      </c>
      <c r="I131">
        <v>103</v>
      </c>
      <c r="J131">
        <v>0</v>
      </c>
    </row>
    <row r="132" spans="1:10" x14ac:dyDescent="0.25">
      <c r="A132" t="s">
        <v>37</v>
      </c>
      <c r="B132">
        <v>7172011003002500</v>
      </c>
      <c r="C132">
        <v>173</v>
      </c>
      <c r="D132">
        <v>0</v>
      </c>
      <c r="E132">
        <v>22</v>
      </c>
      <c r="F132">
        <v>109</v>
      </c>
      <c r="G132">
        <v>0</v>
      </c>
      <c r="H132">
        <v>0</v>
      </c>
      <c r="I132">
        <v>42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258</v>
      </c>
      <c r="D136">
        <v>7</v>
      </c>
      <c r="E136">
        <v>1</v>
      </c>
      <c r="F136">
        <v>187</v>
      </c>
      <c r="G136">
        <v>0</v>
      </c>
      <c r="H136">
        <v>0</v>
      </c>
      <c r="I136">
        <v>63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37</v>
      </c>
      <c r="E137">
        <v>1</v>
      </c>
      <c r="F137">
        <v>107</v>
      </c>
      <c r="G137">
        <v>0</v>
      </c>
      <c r="H137">
        <v>0</v>
      </c>
      <c r="I137">
        <v>105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123</v>
      </c>
      <c r="E140">
        <v>16</v>
      </c>
      <c r="F140">
        <v>23</v>
      </c>
      <c r="G140">
        <v>12</v>
      </c>
      <c r="H140">
        <v>3</v>
      </c>
      <c r="I140">
        <v>94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33</v>
      </c>
      <c r="E141">
        <v>30</v>
      </c>
      <c r="F141">
        <v>65</v>
      </c>
      <c r="G141">
        <v>18</v>
      </c>
      <c r="H141">
        <v>1</v>
      </c>
      <c r="I141">
        <v>3</v>
      </c>
      <c r="J141">
        <v>0</v>
      </c>
    </row>
    <row r="142" spans="1:10" x14ac:dyDescent="0.25">
      <c r="A142" t="s">
        <v>41</v>
      </c>
      <c r="B142">
        <v>7172011004001900</v>
      </c>
      <c r="C142">
        <v>92</v>
      </c>
      <c r="D142">
        <v>5</v>
      </c>
      <c r="E142">
        <v>23</v>
      </c>
      <c r="F142">
        <v>52</v>
      </c>
      <c r="G142">
        <v>1</v>
      </c>
      <c r="H142">
        <v>0</v>
      </c>
      <c r="I142">
        <v>11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6</v>
      </c>
      <c r="E147">
        <v>13</v>
      </c>
      <c r="F147">
        <v>31</v>
      </c>
      <c r="G147">
        <v>31</v>
      </c>
      <c r="H147">
        <v>0</v>
      </c>
      <c r="I147">
        <v>11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39</v>
      </c>
      <c r="H148">
        <v>2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153</v>
      </c>
      <c r="D161">
        <v>36</v>
      </c>
      <c r="E161">
        <v>60</v>
      </c>
      <c r="F161">
        <v>52</v>
      </c>
      <c r="G161">
        <v>2</v>
      </c>
      <c r="H161">
        <v>0</v>
      </c>
      <c r="I161">
        <v>3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63</v>
      </c>
      <c r="E164">
        <v>25</v>
      </c>
      <c r="F164">
        <v>1</v>
      </c>
      <c r="G164">
        <v>6</v>
      </c>
      <c r="H164">
        <v>0</v>
      </c>
      <c r="I164">
        <v>4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151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140</v>
      </c>
      <c r="D168">
        <v>37</v>
      </c>
      <c r="E168">
        <v>15</v>
      </c>
      <c r="F168">
        <v>15</v>
      </c>
      <c r="G168">
        <v>1</v>
      </c>
      <c r="H168">
        <v>0</v>
      </c>
      <c r="I168">
        <v>72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96</v>
      </c>
      <c r="D171">
        <v>0</v>
      </c>
      <c r="E171">
        <v>13</v>
      </c>
      <c r="F171">
        <v>45</v>
      </c>
      <c r="G171">
        <v>0</v>
      </c>
      <c r="H171">
        <v>0</v>
      </c>
      <c r="I171">
        <v>38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55</v>
      </c>
      <c r="E172">
        <v>11</v>
      </c>
      <c r="F172">
        <v>34</v>
      </c>
      <c r="G172">
        <v>2</v>
      </c>
      <c r="H172">
        <v>0</v>
      </c>
      <c r="I172">
        <v>66</v>
      </c>
      <c r="J172">
        <v>0</v>
      </c>
    </row>
    <row r="173" spans="1:10" x14ac:dyDescent="0.25">
      <c r="A173" t="s">
        <v>44</v>
      </c>
      <c r="B173">
        <v>7172011012000200</v>
      </c>
      <c r="C173">
        <v>107</v>
      </c>
      <c r="D173">
        <v>0</v>
      </c>
      <c r="E173">
        <v>8</v>
      </c>
      <c r="F173">
        <v>74</v>
      </c>
      <c r="G173">
        <v>0</v>
      </c>
      <c r="H173">
        <v>0</v>
      </c>
      <c r="I173">
        <v>25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35</v>
      </c>
      <c r="E181">
        <v>9</v>
      </c>
      <c r="F181">
        <v>9</v>
      </c>
      <c r="G181">
        <v>0</v>
      </c>
      <c r="H181">
        <v>0</v>
      </c>
      <c r="I181">
        <v>67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28</v>
      </c>
      <c r="E183">
        <v>16</v>
      </c>
      <c r="F183">
        <v>27</v>
      </c>
      <c r="G183">
        <v>2</v>
      </c>
      <c r="H183">
        <v>0</v>
      </c>
      <c r="I183">
        <v>34</v>
      </c>
      <c r="J183">
        <v>0</v>
      </c>
    </row>
    <row r="184" spans="1:10" x14ac:dyDescent="0.25">
      <c r="A184" t="s">
        <v>54</v>
      </c>
      <c r="B184">
        <v>7172012002000800</v>
      </c>
      <c r="C184">
        <v>99</v>
      </c>
      <c r="D184">
        <v>0</v>
      </c>
      <c r="E184">
        <v>7</v>
      </c>
      <c r="F184">
        <v>88</v>
      </c>
      <c r="G184">
        <v>0</v>
      </c>
      <c r="H184">
        <v>0</v>
      </c>
      <c r="I184">
        <v>4</v>
      </c>
      <c r="J184">
        <v>0</v>
      </c>
    </row>
    <row r="185" spans="1:10" x14ac:dyDescent="0.25">
      <c r="A185" t="s">
        <v>54</v>
      </c>
      <c r="B185">
        <v>7172012002000700</v>
      </c>
      <c r="C185">
        <v>90</v>
      </c>
      <c r="D185">
        <v>3</v>
      </c>
      <c r="E185">
        <v>5</v>
      </c>
      <c r="F185">
        <v>69</v>
      </c>
      <c r="G185">
        <v>1</v>
      </c>
      <c r="H185">
        <v>0</v>
      </c>
      <c r="I185">
        <v>12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0</v>
      </c>
      <c r="E186">
        <v>0</v>
      </c>
      <c r="F186">
        <v>88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7172012002001302</v>
      </c>
      <c r="C187">
        <v>145</v>
      </c>
      <c r="D187">
        <v>29</v>
      </c>
      <c r="E187">
        <v>25</v>
      </c>
      <c r="F187">
        <v>31</v>
      </c>
      <c r="G187">
        <v>4</v>
      </c>
      <c r="H187">
        <v>0</v>
      </c>
      <c r="I187">
        <v>56</v>
      </c>
      <c r="J187">
        <v>0</v>
      </c>
    </row>
    <row r="188" spans="1:10" x14ac:dyDescent="0.25">
      <c r="A188" t="s">
        <v>229</v>
      </c>
      <c r="B188">
        <v>7172012002001301</v>
      </c>
      <c r="C188">
        <v>144</v>
      </c>
      <c r="D188">
        <v>20</v>
      </c>
      <c r="E188">
        <v>38</v>
      </c>
      <c r="F188">
        <v>72</v>
      </c>
      <c r="G188">
        <v>1</v>
      </c>
      <c r="H188">
        <v>0</v>
      </c>
      <c r="I188">
        <v>13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63</v>
      </c>
      <c r="E193">
        <v>14</v>
      </c>
      <c r="F193">
        <v>3</v>
      </c>
      <c r="G193">
        <v>0</v>
      </c>
      <c r="H193">
        <v>0</v>
      </c>
      <c r="I193">
        <v>125</v>
      </c>
      <c r="J193">
        <v>0</v>
      </c>
    </row>
    <row r="194" spans="1:10" x14ac:dyDescent="0.25">
      <c r="A194" t="s">
        <v>38</v>
      </c>
      <c r="B194">
        <v>7172011003003000</v>
      </c>
      <c r="C194">
        <v>116</v>
      </c>
      <c r="D194">
        <v>0</v>
      </c>
      <c r="E194">
        <v>2</v>
      </c>
      <c r="F194">
        <v>60</v>
      </c>
      <c r="G194">
        <v>0</v>
      </c>
      <c r="H194">
        <v>0</v>
      </c>
      <c r="I194">
        <v>54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51</v>
      </c>
      <c r="E199">
        <v>18</v>
      </c>
      <c r="F199">
        <v>31</v>
      </c>
      <c r="G199">
        <v>1</v>
      </c>
      <c r="H199">
        <v>0</v>
      </c>
      <c r="I199">
        <v>79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8</v>
      </c>
      <c r="E203">
        <v>30</v>
      </c>
      <c r="F203">
        <v>50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338</v>
      </c>
      <c r="D204">
        <v>8</v>
      </c>
      <c r="E204">
        <v>56</v>
      </c>
      <c r="F204">
        <v>190</v>
      </c>
      <c r="G204">
        <v>6</v>
      </c>
      <c r="H204">
        <v>0</v>
      </c>
      <c r="I204">
        <v>78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19</v>
      </c>
      <c r="D207">
        <v>0</v>
      </c>
      <c r="E207">
        <v>0</v>
      </c>
      <c r="F207">
        <v>10</v>
      </c>
      <c r="G207">
        <v>2</v>
      </c>
      <c r="H207">
        <v>0</v>
      </c>
      <c r="I207">
        <v>7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67</v>
      </c>
      <c r="E209">
        <v>3</v>
      </c>
      <c r="F209">
        <v>14</v>
      </c>
      <c r="G209">
        <v>24</v>
      </c>
      <c r="H209">
        <v>0</v>
      </c>
      <c r="I209">
        <v>63</v>
      </c>
      <c r="J209">
        <v>0</v>
      </c>
    </row>
    <row r="210" spans="1:10" x14ac:dyDescent="0.25">
      <c r="A210" t="s">
        <v>64</v>
      </c>
      <c r="B210">
        <v>7172012004002500</v>
      </c>
      <c r="C210">
        <v>147</v>
      </c>
      <c r="D210">
        <v>0</v>
      </c>
      <c r="E210">
        <v>21</v>
      </c>
      <c r="F210">
        <v>125</v>
      </c>
      <c r="G210">
        <v>0</v>
      </c>
      <c r="H210">
        <v>0</v>
      </c>
      <c r="I210">
        <v>1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35</v>
      </c>
      <c r="E211">
        <v>14</v>
      </c>
      <c r="F211">
        <v>24</v>
      </c>
      <c r="G211">
        <v>0</v>
      </c>
      <c r="H211">
        <v>0</v>
      </c>
      <c r="I211">
        <v>70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125</v>
      </c>
      <c r="D213">
        <v>32</v>
      </c>
      <c r="E213">
        <v>3</v>
      </c>
      <c r="F213">
        <v>14</v>
      </c>
      <c r="G213">
        <v>22</v>
      </c>
      <c r="H213">
        <v>0</v>
      </c>
      <c r="I213">
        <v>54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51</v>
      </c>
      <c r="E214">
        <v>14</v>
      </c>
      <c r="F214">
        <v>14</v>
      </c>
      <c r="G214">
        <v>2</v>
      </c>
      <c r="H214">
        <v>0</v>
      </c>
      <c r="I214">
        <v>11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45</v>
      </c>
      <c r="D218">
        <v>0</v>
      </c>
      <c r="E218">
        <v>6</v>
      </c>
      <c r="F218">
        <v>39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116</v>
      </c>
      <c r="D219">
        <v>8</v>
      </c>
      <c r="E219">
        <v>20</v>
      </c>
      <c r="F219">
        <v>35</v>
      </c>
      <c r="G219">
        <v>0</v>
      </c>
      <c r="H219">
        <v>0</v>
      </c>
      <c r="I219">
        <v>53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12</v>
      </c>
      <c r="F220">
        <v>73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101</v>
      </c>
      <c r="D229">
        <v>8</v>
      </c>
      <c r="E229">
        <v>0</v>
      </c>
      <c r="F229">
        <v>27</v>
      </c>
      <c r="G229">
        <v>0</v>
      </c>
      <c r="H229">
        <v>0</v>
      </c>
      <c r="I229">
        <v>66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1</v>
      </c>
      <c r="F230">
        <v>44</v>
      </c>
      <c r="G230">
        <v>0</v>
      </c>
      <c r="H230">
        <v>0</v>
      </c>
      <c r="I230">
        <v>24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16</v>
      </c>
      <c r="E232">
        <v>3</v>
      </c>
      <c r="F232">
        <v>2</v>
      </c>
      <c r="G232">
        <v>13</v>
      </c>
      <c r="H232">
        <v>0</v>
      </c>
      <c r="I232">
        <v>20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0</v>
      </c>
      <c r="E239">
        <v>67</v>
      </c>
      <c r="F239">
        <v>43</v>
      </c>
      <c r="G239">
        <v>0</v>
      </c>
      <c r="H239">
        <v>0</v>
      </c>
      <c r="I239">
        <v>15</v>
      </c>
      <c r="J239">
        <v>0</v>
      </c>
    </row>
    <row r="240" spans="1:10" x14ac:dyDescent="0.25">
      <c r="A240" t="s">
        <v>230</v>
      </c>
      <c r="B240">
        <v>7172012007000400</v>
      </c>
      <c r="C240">
        <v>100</v>
      </c>
      <c r="D240">
        <v>0</v>
      </c>
      <c r="E240">
        <v>19</v>
      </c>
      <c r="F240">
        <v>72</v>
      </c>
      <c r="G240">
        <v>0</v>
      </c>
      <c r="H240">
        <v>0</v>
      </c>
      <c r="I240">
        <v>9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154</v>
      </c>
      <c r="D242">
        <v>0</v>
      </c>
      <c r="E242">
        <v>62</v>
      </c>
      <c r="F242">
        <v>87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31</v>
      </c>
      <c r="E243">
        <v>8</v>
      </c>
      <c r="F243">
        <v>2</v>
      </c>
      <c r="G243">
        <v>9</v>
      </c>
      <c r="H243">
        <v>0</v>
      </c>
      <c r="I243">
        <v>69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27</v>
      </c>
      <c r="F244">
        <v>52</v>
      </c>
      <c r="G244">
        <v>2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17</v>
      </c>
      <c r="E248">
        <v>0</v>
      </c>
      <c r="F248">
        <v>72</v>
      </c>
      <c r="G248">
        <v>0</v>
      </c>
      <c r="H248">
        <v>0</v>
      </c>
      <c r="I248">
        <v>1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21</v>
      </c>
      <c r="E253">
        <v>9</v>
      </c>
      <c r="F253">
        <v>70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57</v>
      </c>
      <c r="D258">
        <v>18</v>
      </c>
      <c r="E258">
        <v>8</v>
      </c>
      <c r="F258">
        <v>18</v>
      </c>
      <c r="G258">
        <v>0</v>
      </c>
      <c r="H258">
        <v>0</v>
      </c>
      <c r="I258">
        <v>13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81</v>
      </c>
      <c r="D261">
        <v>28</v>
      </c>
      <c r="E261">
        <v>19</v>
      </c>
      <c r="F261">
        <v>28</v>
      </c>
      <c r="G261">
        <v>0</v>
      </c>
      <c r="H261">
        <v>0</v>
      </c>
      <c r="I261">
        <v>6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11</v>
      </c>
      <c r="E263">
        <v>3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13</v>
      </c>
      <c r="E264">
        <v>0</v>
      </c>
      <c r="F264">
        <v>41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21</v>
      </c>
      <c r="E265">
        <v>4</v>
      </c>
      <c r="F265">
        <v>2</v>
      </c>
      <c r="G265">
        <v>0</v>
      </c>
      <c r="H265">
        <v>0</v>
      </c>
      <c r="I265">
        <v>14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10</v>
      </c>
      <c r="E267">
        <v>9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5</v>
      </c>
      <c r="F268">
        <v>17</v>
      </c>
      <c r="G268">
        <v>0</v>
      </c>
      <c r="H268">
        <v>0</v>
      </c>
      <c r="I268">
        <v>63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11</v>
      </c>
      <c r="E269">
        <v>0</v>
      </c>
      <c r="F269">
        <v>82</v>
      </c>
      <c r="G269">
        <v>0</v>
      </c>
      <c r="H269">
        <v>0</v>
      </c>
      <c r="I269">
        <v>4</v>
      </c>
      <c r="J269">
        <v>0</v>
      </c>
    </row>
    <row r="270" spans="1:10" x14ac:dyDescent="0.25">
      <c r="A270" t="s">
        <v>78</v>
      </c>
      <c r="B270">
        <v>7172021004000600</v>
      </c>
      <c r="C270">
        <v>78</v>
      </c>
      <c r="D270">
        <v>4</v>
      </c>
      <c r="E270">
        <v>0</v>
      </c>
      <c r="F270">
        <v>62</v>
      </c>
      <c r="G270">
        <v>0</v>
      </c>
      <c r="H270">
        <v>0</v>
      </c>
      <c r="I270">
        <v>12</v>
      </c>
      <c r="J270">
        <v>0</v>
      </c>
    </row>
    <row r="271" spans="1:10" x14ac:dyDescent="0.25">
      <c r="A271" t="s">
        <v>78</v>
      </c>
      <c r="B271">
        <v>7172021004000200</v>
      </c>
      <c r="C271">
        <v>76</v>
      </c>
      <c r="D271">
        <v>4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66</v>
      </c>
      <c r="D273">
        <v>3</v>
      </c>
      <c r="E273">
        <v>12</v>
      </c>
      <c r="F273">
        <v>18</v>
      </c>
      <c r="G273">
        <v>0</v>
      </c>
      <c r="H273">
        <v>0</v>
      </c>
      <c r="I273">
        <v>33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79</v>
      </c>
      <c r="B275">
        <v>7172021006000400</v>
      </c>
      <c r="C275">
        <v>88</v>
      </c>
      <c r="D275">
        <v>32</v>
      </c>
      <c r="E275">
        <v>19</v>
      </c>
      <c r="F275">
        <v>18</v>
      </c>
      <c r="G275">
        <v>0</v>
      </c>
      <c r="H275">
        <v>0</v>
      </c>
      <c r="I275">
        <v>19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t="s">
        <v>79</v>
      </c>
      <c r="B277">
        <v>7172021006000300</v>
      </c>
      <c r="C277">
        <v>82</v>
      </c>
      <c r="D277">
        <v>13</v>
      </c>
      <c r="E277">
        <v>4</v>
      </c>
      <c r="F277">
        <v>62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38</v>
      </c>
      <c r="G280">
        <v>0</v>
      </c>
      <c r="H280">
        <v>0</v>
      </c>
      <c r="I280">
        <v>7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33</v>
      </c>
      <c r="G281">
        <v>0</v>
      </c>
      <c r="H281">
        <v>0</v>
      </c>
      <c r="I281">
        <v>3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61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9</v>
      </c>
      <c r="H286">
        <v>0</v>
      </c>
      <c r="I286">
        <v>26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16</v>
      </c>
      <c r="F291">
        <v>10</v>
      </c>
      <c r="G291">
        <v>7</v>
      </c>
      <c r="H291">
        <v>0</v>
      </c>
      <c r="I291">
        <v>23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58</v>
      </c>
      <c r="D293">
        <v>2</v>
      </c>
      <c r="E293">
        <v>12</v>
      </c>
      <c r="F293">
        <v>28</v>
      </c>
      <c r="G293">
        <v>0</v>
      </c>
      <c r="H293">
        <v>0</v>
      </c>
      <c r="I293">
        <v>16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26</v>
      </c>
      <c r="E294">
        <v>2</v>
      </c>
      <c r="F294">
        <v>6</v>
      </c>
      <c r="G294">
        <v>0</v>
      </c>
      <c r="H294">
        <v>0</v>
      </c>
      <c r="I294">
        <v>13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9</v>
      </c>
      <c r="E297">
        <v>10</v>
      </c>
      <c r="F297">
        <v>58</v>
      </c>
      <c r="G297">
        <v>0</v>
      </c>
      <c r="H297">
        <v>0</v>
      </c>
      <c r="I297">
        <v>9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18</v>
      </c>
      <c r="H299">
        <v>0</v>
      </c>
      <c r="I299">
        <v>9</v>
      </c>
      <c r="J299">
        <v>0</v>
      </c>
    </row>
    <row r="300" spans="1:10" x14ac:dyDescent="0.25">
      <c r="A300" t="s">
        <v>90</v>
      </c>
      <c r="B300">
        <v>7172030006000300</v>
      </c>
      <c r="C300">
        <v>70</v>
      </c>
      <c r="D300">
        <v>9</v>
      </c>
      <c r="E300">
        <v>23</v>
      </c>
      <c r="F300">
        <v>26</v>
      </c>
      <c r="G300">
        <v>0</v>
      </c>
      <c r="H300">
        <v>0</v>
      </c>
      <c r="I300">
        <v>12</v>
      </c>
      <c r="J300">
        <v>0</v>
      </c>
    </row>
    <row r="301" spans="1:10" x14ac:dyDescent="0.25">
      <c r="A301" t="s">
        <v>90</v>
      </c>
      <c r="B301">
        <v>7172030006000700</v>
      </c>
      <c r="C301">
        <v>68</v>
      </c>
      <c r="D301">
        <v>2</v>
      </c>
      <c r="E301">
        <v>12</v>
      </c>
      <c r="F301">
        <v>54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39</v>
      </c>
      <c r="E303">
        <v>4</v>
      </c>
      <c r="F303">
        <v>0</v>
      </c>
      <c r="G303">
        <v>0</v>
      </c>
      <c r="H303">
        <v>0</v>
      </c>
      <c r="I303">
        <v>21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16</v>
      </c>
      <c r="E304">
        <v>6</v>
      </c>
      <c r="F304">
        <v>21</v>
      </c>
      <c r="G304">
        <v>0</v>
      </c>
      <c r="H304">
        <v>0</v>
      </c>
      <c r="I304">
        <v>8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t="s">
        <v>85</v>
      </c>
      <c r="B306">
        <v>7172022003000400</v>
      </c>
      <c r="C306">
        <v>64</v>
      </c>
      <c r="D306">
        <v>0</v>
      </c>
      <c r="E306">
        <v>6</v>
      </c>
      <c r="F306">
        <v>53</v>
      </c>
      <c r="G306">
        <v>0</v>
      </c>
      <c r="H306">
        <v>0</v>
      </c>
      <c r="I306">
        <v>5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16</v>
      </c>
      <c r="E307">
        <v>10</v>
      </c>
      <c r="F307">
        <v>5</v>
      </c>
      <c r="G307">
        <v>4</v>
      </c>
      <c r="H307">
        <v>0</v>
      </c>
      <c r="I307">
        <v>23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27</v>
      </c>
      <c r="F313">
        <v>46</v>
      </c>
      <c r="G313">
        <v>0</v>
      </c>
      <c r="H313">
        <v>0</v>
      </c>
      <c r="I313">
        <v>62</v>
      </c>
      <c r="J313">
        <v>0</v>
      </c>
    </row>
    <row r="314" spans="1:10" x14ac:dyDescent="0.25">
      <c r="A314" t="s">
        <v>92</v>
      </c>
      <c r="B314">
        <v>7172030012000700</v>
      </c>
      <c r="C314">
        <v>104</v>
      </c>
      <c r="D314">
        <v>26</v>
      </c>
      <c r="E314">
        <v>3</v>
      </c>
      <c r="F314">
        <v>29</v>
      </c>
      <c r="G314">
        <v>0</v>
      </c>
      <c r="H314">
        <v>0</v>
      </c>
      <c r="I314">
        <v>46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60</v>
      </c>
      <c r="E322">
        <v>58</v>
      </c>
      <c r="F322">
        <v>4</v>
      </c>
      <c r="G322">
        <v>1</v>
      </c>
      <c r="H322">
        <v>0</v>
      </c>
      <c r="I322">
        <v>29</v>
      </c>
      <c r="J322">
        <v>0</v>
      </c>
    </row>
    <row r="323" spans="1:10" x14ac:dyDescent="0.25">
      <c r="A323" t="s">
        <v>233</v>
      </c>
      <c r="B323">
        <v>7172030007000900</v>
      </c>
      <c r="C323">
        <v>84</v>
      </c>
      <c r="D323">
        <v>37</v>
      </c>
      <c r="E323">
        <v>4</v>
      </c>
      <c r="F323">
        <v>20</v>
      </c>
      <c r="G323">
        <v>1</v>
      </c>
      <c r="H323">
        <v>0</v>
      </c>
      <c r="I323">
        <v>22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95</v>
      </c>
      <c r="D328">
        <v>6</v>
      </c>
      <c r="E328">
        <v>1</v>
      </c>
      <c r="F328">
        <v>88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66</v>
      </c>
      <c r="D330">
        <v>25</v>
      </c>
      <c r="E330">
        <v>3</v>
      </c>
      <c r="F330">
        <v>19</v>
      </c>
      <c r="G330">
        <v>0</v>
      </c>
      <c r="H330">
        <v>0</v>
      </c>
      <c r="I330">
        <v>19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54</v>
      </c>
      <c r="D332">
        <v>15</v>
      </c>
      <c r="E332">
        <v>4</v>
      </c>
      <c r="F332">
        <v>21</v>
      </c>
      <c r="G332">
        <v>0</v>
      </c>
      <c r="H332">
        <v>0</v>
      </c>
      <c r="I332">
        <v>14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7</v>
      </c>
      <c r="G333">
        <v>0</v>
      </c>
      <c r="H333">
        <v>0</v>
      </c>
      <c r="I333">
        <v>25</v>
      </c>
      <c r="J333">
        <v>0</v>
      </c>
    </row>
    <row r="334" spans="1:10" x14ac:dyDescent="0.25">
      <c r="A334" t="s">
        <v>91</v>
      </c>
      <c r="B334">
        <v>7172030006001500</v>
      </c>
      <c r="C334">
        <v>47</v>
      </c>
      <c r="D334">
        <v>16</v>
      </c>
      <c r="E334">
        <v>4</v>
      </c>
      <c r="F334">
        <v>8</v>
      </c>
      <c r="G334">
        <v>0</v>
      </c>
      <c r="H334">
        <v>0</v>
      </c>
      <c r="I334">
        <v>19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12</v>
      </c>
      <c r="E335">
        <v>1</v>
      </c>
      <c r="F335">
        <v>4</v>
      </c>
      <c r="G335">
        <v>0</v>
      </c>
      <c r="H335">
        <v>0</v>
      </c>
      <c r="I335">
        <v>30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10</v>
      </c>
      <c r="E337">
        <v>30</v>
      </c>
      <c r="F337">
        <v>7</v>
      </c>
      <c r="G337">
        <v>1</v>
      </c>
      <c r="H337">
        <v>0</v>
      </c>
      <c r="I337">
        <v>45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40</v>
      </c>
      <c r="D345">
        <v>0</v>
      </c>
      <c r="E345">
        <v>0</v>
      </c>
      <c r="F345">
        <v>28</v>
      </c>
      <c r="G345">
        <v>0</v>
      </c>
      <c r="H345">
        <v>0</v>
      </c>
      <c r="I345">
        <v>12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0</v>
      </c>
      <c r="E348">
        <v>0</v>
      </c>
      <c r="F348">
        <v>161</v>
      </c>
      <c r="G348">
        <v>0</v>
      </c>
      <c r="H348">
        <v>0</v>
      </c>
      <c r="I348">
        <v>12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20</v>
      </c>
      <c r="E350">
        <v>2</v>
      </c>
      <c r="F350">
        <v>13</v>
      </c>
      <c r="G350">
        <v>1</v>
      </c>
      <c r="H350">
        <v>0</v>
      </c>
      <c r="I350">
        <v>42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22</v>
      </c>
      <c r="E351">
        <v>12</v>
      </c>
      <c r="F351">
        <v>25</v>
      </c>
      <c r="G351">
        <v>0</v>
      </c>
      <c r="H351">
        <v>0</v>
      </c>
      <c r="I351">
        <v>17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1</v>
      </c>
      <c r="F352">
        <v>36</v>
      </c>
      <c r="G352">
        <v>0</v>
      </c>
      <c r="H352">
        <v>0</v>
      </c>
      <c r="I352">
        <v>19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</v>
      </c>
      <c r="E354">
        <v>5</v>
      </c>
      <c r="F354">
        <v>23</v>
      </c>
      <c r="G354">
        <v>0</v>
      </c>
      <c r="H354">
        <v>0</v>
      </c>
      <c r="I354">
        <v>20</v>
      </c>
      <c r="J354">
        <v>0</v>
      </c>
    </row>
    <row r="355" spans="1:10" x14ac:dyDescent="0.25">
      <c r="A355" t="s">
        <v>99</v>
      </c>
      <c r="B355">
        <v>7172030013000300</v>
      </c>
      <c r="C355">
        <v>47</v>
      </c>
      <c r="D355">
        <v>0</v>
      </c>
      <c r="E355">
        <v>4</v>
      </c>
      <c r="F355">
        <v>39</v>
      </c>
      <c r="G355">
        <v>0</v>
      </c>
      <c r="H355">
        <v>0</v>
      </c>
      <c r="I355">
        <v>4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38</v>
      </c>
      <c r="E356">
        <v>0</v>
      </c>
      <c r="F356">
        <v>13</v>
      </c>
      <c r="G356">
        <v>81</v>
      </c>
      <c r="H356">
        <v>2</v>
      </c>
      <c r="I356">
        <v>14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7172030008000901</v>
      </c>
      <c r="C361">
        <v>52</v>
      </c>
      <c r="D361">
        <v>31</v>
      </c>
      <c r="E361">
        <v>0</v>
      </c>
      <c r="F361">
        <v>5</v>
      </c>
      <c r="G361">
        <v>0</v>
      </c>
      <c r="H361">
        <v>0</v>
      </c>
      <c r="I361">
        <v>16</v>
      </c>
      <c r="J361">
        <v>0</v>
      </c>
    </row>
    <row r="362" spans="1:10" x14ac:dyDescent="0.25">
      <c r="A362" t="s">
        <v>234</v>
      </c>
      <c r="B362">
        <v>7172030008000600</v>
      </c>
      <c r="C362">
        <v>49</v>
      </c>
      <c r="D362">
        <v>14</v>
      </c>
      <c r="E362">
        <v>0</v>
      </c>
      <c r="F362">
        <v>35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2</v>
      </c>
      <c r="F363">
        <v>33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122</v>
      </c>
      <c r="D368">
        <v>14</v>
      </c>
      <c r="E368">
        <v>17</v>
      </c>
      <c r="F368">
        <v>42</v>
      </c>
      <c r="G368">
        <v>1</v>
      </c>
      <c r="H368">
        <v>0</v>
      </c>
      <c r="I368">
        <v>48</v>
      </c>
      <c r="J368">
        <v>0</v>
      </c>
    </row>
    <row r="369" spans="1:10" x14ac:dyDescent="0.25">
      <c r="A369" t="s">
        <v>235</v>
      </c>
      <c r="B369">
        <v>7172030015000400</v>
      </c>
      <c r="C369">
        <v>83</v>
      </c>
      <c r="D369">
        <v>1</v>
      </c>
      <c r="E369">
        <v>5</v>
      </c>
      <c r="F369">
        <v>35</v>
      </c>
      <c r="G369">
        <v>0</v>
      </c>
      <c r="H369">
        <v>0</v>
      </c>
      <c r="I369">
        <v>42</v>
      </c>
      <c r="J369">
        <v>0</v>
      </c>
    </row>
    <row r="370" spans="1:10" x14ac:dyDescent="0.25">
      <c r="A370" t="s">
        <v>235</v>
      </c>
      <c r="B370">
        <v>7172030015001000</v>
      </c>
      <c r="C370">
        <v>81</v>
      </c>
      <c r="D370">
        <v>9</v>
      </c>
      <c r="E370">
        <v>8</v>
      </c>
      <c r="F370">
        <v>11</v>
      </c>
      <c r="G370">
        <v>0</v>
      </c>
      <c r="H370">
        <v>0</v>
      </c>
      <c r="I370">
        <v>53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11</v>
      </c>
      <c r="E371">
        <v>4</v>
      </c>
      <c r="F371">
        <v>17</v>
      </c>
      <c r="G371">
        <v>1</v>
      </c>
      <c r="H371">
        <v>0</v>
      </c>
      <c r="I371">
        <v>28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67</v>
      </c>
      <c r="E376">
        <v>0</v>
      </c>
      <c r="F376">
        <v>27</v>
      </c>
      <c r="G376">
        <v>12</v>
      </c>
      <c r="H376">
        <v>0</v>
      </c>
      <c r="I376">
        <v>142</v>
      </c>
      <c r="J376">
        <v>0</v>
      </c>
    </row>
    <row r="377" spans="1:10" x14ac:dyDescent="0.25">
      <c r="A377" t="s">
        <v>236</v>
      </c>
      <c r="B377">
        <v>7172030014001200</v>
      </c>
      <c r="C377">
        <v>122</v>
      </c>
      <c r="D377">
        <v>13</v>
      </c>
      <c r="E377">
        <v>0</v>
      </c>
      <c r="F377">
        <v>84</v>
      </c>
      <c r="G377">
        <v>1</v>
      </c>
      <c r="H377">
        <v>0</v>
      </c>
      <c r="I377">
        <v>24</v>
      </c>
      <c r="J377">
        <v>0</v>
      </c>
    </row>
    <row r="378" spans="1:10" x14ac:dyDescent="0.25">
      <c r="A378" t="s">
        <v>236</v>
      </c>
      <c r="B378">
        <v>7172030014001000</v>
      </c>
      <c r="C378">
        <v>118</v>
      </c>
      <c r="D378">
        <v>12</v>
      </c>
      <c r="E378">
        <v>1</v>
      </c>
      <c r="F378">
        <v>86</v>
      </c>
      <c r="G378">
        <v>0</v>
      </c>
      <c r="H378">
        <v>0</v>
      </c>
      <c r="I378">
        <v>19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110</v>
      </c>
      <c r="D382">
        <v>0</v>
      </c>
      <c r="E382">
        <v>18</v>
      </c>
      <c r="F382">
        <v>48</v>
      </c>
      <c r="G382">
        <v>0</v>
      </c>
      <c r="H382">
        <v>0</v>
      </c>
      <c r="I382">
        <v>44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28</v>
      </c>
      <c r="E384">
        <v>2</v>
      </c>
      <c r="F384">
        <v>1</v>
      </c>
      <c r="G384">
        <v>0</v>
      </c>
      <c r="H384">
        <v>1</v>
      </c>
      <c r="I384">
        <v>35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20</v>
      </c>
      <c r="E387">
        <v>13</v>
      </c>
      <c r="F387">
        <v>1</v>
      </c>
      <c r="G387">
        <v>2</v>
      </c>
      <c r="H387">
        <v>0</v>
      </c>
      <c r="I387">
        <v>23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6</v>
      </c>
      <c r="H391">
        <v>0</v>
      </c>
      <c r="I391">
        <v>7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9</v>
      </c>
      <c r="E394">
        <v>20</v>
      </c>
      <c r="F394">
        <v>11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7172031001000900</v>
      </c>
      <c r="C396">
        <v>34</v>
      </c>
      <c r="D396">
        <v>10</v>
      </c>
      <c r="E396">
        <v>17</v>
      </c>
      <c r="F396">
        <v>1</v>
      </c>
      <c r="G396">
        <v>3</v>
      </c>
      <c r="H396">
        <v>0</v>
      </c>
      <c r="I396">
        <v>3</v>
      </c>
      <c r="J396">
        <v>0</v>
      </c>
    </row>
    <row r="397" spans="1:10" x14ac:dyDescent="0.25">
      <c r="A397" t="s">
        <v>109</v>
      </c>
      <c r="B397">
        <v>7172031001000100</v>
      </c>
      <c r="C397">
        <v>32</v>
      </c>
      <c r="D397">
        <v>15</v>
      </c>
      <c r="E397">
        <v>15</v>
      </c>
      <c r="F397">
        <v>2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7172031001000300</v>
      </c>
      <c r="C398">
        <v>31</v>
      </c>
      <c r="D398">
        <v>0</v>
      </c>
      <c r="E398">
        <v>1</v>
      </c>
      <c r="F398">
        <v>30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28</v>
      </c>
      <c r="D399">
        <v>0</v>
      </c>
      <c r="E399">
        <v>5</v>
      </c>
      <c r="F399">
        <v>23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108</v>
      </c>
      <c r="D400">
        <v>0</v>
      </c>
      <c r="E400">
        <v>2</v>
      </c>
      <c r="F400">
        <v>99</v>
      </c>
      <c r="G400">
        <v>0</v>
      </c>
      <c r="H400">
        <v>0</v>
      </c>
      <c r="I400">
        <v>7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53</v>
      </c>
      <c r="E402">
        <v>6</v>
      </c>
      <c r="F402">
        <v>0</v>
      </c>
      <c r="G402">
        <v>16</v>
      </c>
      <c r="H402">
        <v>0</v>
      </c>
      <c r="I402">
        <v>7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80</v>
      </c>
      <c r="G403">
        <v>0</v>
      </c>
      <c r="H403">
        <v>0</v>
      </c>
      <c r="I403">
        <v>1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7172031005001600</v>
      </c>
      <c r="C405">
        <v>74</v>
      </c>
      <c r="D405">
        <v>23</v>
      </c>
      <c r="E405">
        <v>35</v>
      </c>
      <c r="F405">
        <v>8</v>
      </c>
      <c r="G405">
        <v>6</v>
      </c>
      <c r="H405">
        <v>0</v>
      </c>
      <c r="I405">
        <v>2</v>
      </c>
      <c r="J405">
        <v>0</v>
      </c>
    </row>
    <row r="406" spans="1:10" x14ac:dyDescent="0.25">
      <c r="A406" t="s">
        <v>113</v>
      </c>
      <c r="B406">
        <v>7172031005001400</v>
      </c>
      <c r="C406">
        <v>68</v>
      </c>
      <c r="D406">
        <v>45</v>
      </c>
      <c r="E406">
        <v>7</v>
      </c>
      <c r="F406">
        <v>2</v>
      </c>
      <c r="G406">
        <v>12</v>
      </c>
      <c r="H406">
        <v>0</v>
      </c>
      <c r="I406">
        <v>2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83</v>
      </c>
      <c r="E408">
        <v>2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5</v>
      </c>
      <c r="E409">
        <v>0</v>
      </c>
      <c r="F409">
        <v>62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7172031003001000</v>
      </c>
      <c r="C411">
        <v>59</v>
      </c>
      <c r="D411">
        <v>30</v>
      </c>
      <c r="E411">
        <v>2</v>
      </c>
      <c r="F411">
        <v>24</v>
      </c>
      <c r="G411">
        <v>3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55</v>
      </c>
      <c r="E412">
        <v>2</v>
      </c>
      <c r="F412">
        <v>0</v>
      </c>
      <c r="G412">
        <v>1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76</v>
      </c>
      <c r="D421">
        <v>3</v>
      </c>
      <c r="E421">
        <v>22</v>
      </c>
      <c r="F421">
        <v>51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89</v>
      </c>
      <c r="E433">
        <v>37</v>
      </c>
      <c r="F433">
        <v>7</v>
      </c>
      <c r="G433">
        <v>47</v>
      </c>
      <c r="H433">
        <v>0</v>
      </c>
      <c r="I433">
        <v>24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121</v>
      </c>
      <c r="D435">
        <v>9</v>
      </c>
      <c r="E435">
        <v>23</v>
      </c>
      <c r="F435">
        <v>62</v>
      </c>
      <c r="G435">
        <v>1</v>
      </c>
      <c r="H435">
        <v>0</v>
      </c>
      <c r="I435">
        <v>26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41</v>
      </c>
      <c r="E439">
        <v>5</v>
      </c>
      <c r="F439">
        <v>27</v>
      </c>
      <c r="G439">
        <v>13</v>
      </c>
      <c r="H439">
        <v>0</v>
      </c>
      <c r="I439">
        <v>46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77</v>
      </c>
      <c r="E440">
        <v>13</v>
      </c>
      <c r="F440">
        <v>5</v>
      </c>
      <c r="G440">
        <v>5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81</v>
      </c>
      <c r="D442">
        <v>20</v>
      </c>
      <c r="E442">
        <v>6</v>
      </c>
      <c r="F442">
        <v>26</v>
      </c>
      <c r="G442">
        <v>0</v>
      </c>
      <c r="H442">
        <v>0</v>
      </c>
      <c r="I442">
        <v>29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28</v>
      </c>
      <c r="E444">
        <v>0</v>
      </c>
      <c r="F444">
        <v>0</v>
      </c>
      <c r="G444">
        <v>0</v>
      </c>
      <c r="H444">
        <v>0</v>
      </c>
      <c r="I444">
        <v>6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166</v>
      </c>
      <c r="E445">
        <v>4</v>
      </c>
      <c r="F445">
        <v>0</v>
      </c>
      <c r="G445">
        <v>7</v>
      </c>
      <c r="H445">
        <v>0</v>
      </c>
      <c r="I445">
        <v>7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94</v>
      </c>
      <c r="D447">
        <v>24</v>
      </c>
      <c r="E447">
        <v>11</v>
      </c>
      <c r="F447">
        <v>42</v>
      </c>
      <c r="G447">
        <v>0</v>
      </c>
      <c r="H447">
        <v>1</v>
      </c>
      <c r="I447">
        <v>16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175</v>
      </c>
      <c r="E451">
        <v>4</v>
      </c>
      <c r="F451">
        <v>2</v>
      </c>
      <c r="G451">
        <v>1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81</v>
      </c>
      <c r="D455">
        <v>24</v>
      </c>
      <c r="E455">
        <v>21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140</v>
      </c>
      <c r="D457">
        <v>2</v>
      </c>
      <c r="E457">
        <v>51</v>
      </c>
      <c r="F457">
        <v>80</v>
      </c>
      <c r="G457">
        <v>0</v>
      </c>
      <c r="H457">
        <v>0</v>
      </c>
      <c r="I457">
        <v>7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36</v>
      </c>
      <c r="E460">
        <v>1</v>
      </c>
      <c r="F460">
        <v>0</v>
      </c>
      <c r="G460">
        <v>0</v>
      </c>
      <c r="H460">
        <v>1</v>
      </c>
      <c r="I460">
        <v>54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200</v>
      </c>
      <c r="D463">
        <v>25</v>
      </c>
      <c r="E463">
        <v>0</v>
      </c>
      <c r="F463">
        <v>113</v>
      </c>
      <c r="G463">
        <v>0</v>
      </c>
      <c r="H463">
        <v>0</v>
      </c>
      <c r="I463">
        <v>62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94</v>
      </c>
      <c r="E464">
        <v>3</v>
      </c>
      <c r="F464">
        <v>22</v>
      </c>
      <c r="G464">
        <v>0</v>
      </c>
      <c r="H464">
        <v>0</v>
      </c>
      <c r="I464">
        <v>23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53</v>
      </c>
      <c r="E468">
        <v>0</v>
      </c>
      <c r="F468">
        <v>1</v>
      </c>
      <c r="G468">
        <v>40</v>
      </c>
      <c r="H468">
        <v>1</v>
      </c>
      <c r="I468">
        <v>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7172040007000100</v>
      </c>
      <c r="C470">
        <v>76</v>
      </c>
      <c r="D470">
        <v>9</v>
      </c>
      <c r="E470">
        <v>0</v>
      </c>
      <c r="F470">
        <v>53</v>
      </c>
      <c r="G470">
        <v>0</v>
      </c>
      <c r="H470">
        <v>0</v>
      </c>
      <c r="I470">
        <v>14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18</v>
      </c>
      <c r="E475">
        <v>0</v>
      </c>
      <c r="F475">
        <v>1</v>
      </c>
      <c r="G475">
        <v>27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147</v>
      </c>
      <c r="D478">
        <v>22</v>
      </c>
      <c r="E478">
        <v>62</v>
      </c>
      <c r="F478">
        <v>45</v>
      </c>
      <c r="G478">
        <v>0</v>
      </c>
      <c r="H478">
        <v>0</v>
      </c>
      <c r="I478">
        <v>18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72</v>
      </c>
      <c r="G479">
        <v>0</v>
      </c>
      <c r="H479">
        <v>0</v>
      </c>
      <c r="I479">
        <v>5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58</v>
      </c>
      <c r="E480">
        <v>0</v>
      </c>
      <c r="F480">
        <v>5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50</v>
      </c>
      <c r="G482">
        <v>0</v>
      </c>
      <c r="H482">
        <v>0</v>
      </c>
      <c r="I482">
        <v>2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1</v>
      </c>
      <c r="F483">
        <v>4</v>
      </c>
      <c r="G483">
        <v>0</v>
      </c>
      <c r="H483">
        <v>0</v>
      </c>
      <c r="I483">
        <v>38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47</v>
      </c>
      <c r="G484">
        <v>0</v>
      </c>
      <c r="H484">
        <v>0</v>
      </c>
      <c r="I484">
        <v>1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39</v>
      </c>
      <c r="G486">
        <v>0</v>
      </c>
      <c r="H486">
        <v>0</v>
      </c>
      <c r="I486">
        <v>1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118</v>
      </c>
      <c r="D490">
        <v>7</v>
      </c>
      <c r="E490">
        <v>16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4</v>
      </c>
      <c r="E492">
        <v>21</v>
      </c>
      <c r="F492">
        <v>35</v>
      </c>
      <c r="G492">
        <v>5</v>
      </c>
      <c r="H492">
        <v>0</v>
      </c>
      <c r="I492">
        <v>9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7</v>
      </c>
      <c r="E494">
        <v>11</v>
      </c>
      <c r="F494">
        <v>10</v>
      </c>
      <c r="G494">
        <v>6</v>
      </c>
      <c r="H494">
        <v>0</v>
      </c>
      <c r="I494">
        <v>22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20</v>
      </c>
      <c r="H496">
        <v>0</v>
      </c>
      <c r="I496">
        <v>59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46</v>
      </c>
      <c r="F497">
        <v>6</v>
      </c>
      <c r="G497">
        <v>0</v>
      </c>
      <c r="H497">
        <v>0</v>
      </c>
      <c r="I497">
        <v>6</v>
      </c>
      <c r="J497">
        <v>0</v>
      </c>
    </row>
    <row r="498" spans="1:10" x14ac:dyDescent="0.25">
      <c r="A498" t="s">
        <v>141</v>
      </c>
      <c r="B498">
        <v>7172040012001200</v>
      </c>
      <c r="C498">
        <v>73</v>
      </c>
      <c r="D498">
        <v>8</v>
      </c>
      <c r="E498">
        <v>4</v>
      </c>
      <c r="F498">
        <v>54</v>
      </c>
      <c r="G498">
        <v>0</v>
      </c>
      <c r="H498">
        <v>0</v>
      </c>
      <c r="I498">
        <v>7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34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3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14</v>
      </c>
      <c r="F503">
        <v>24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127</v>
      </c>
      <c r="D506">
        <v>37</v>
      </c>
      <c r="E506">
        <v>27</v>
      </c>
      <c r="F506">
        <v>20</v>
      </c>
      <c r="G506">
        <v>1</v>
      </c>
      <c r="H506">
        <v>0</v>
      </c>
      <c r="I506">
        <v>42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31</v>
      </c>
      <c r="E507">
        <v>5</v>
      </c>
      <c r="F507">
        <v>5</v>
      </c>
      <c r="G507">
        <v>25</v>
      </c>
      <c r="H507">
        <v>0</v>
      </c>
      <c r="I507">
        <v>22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7172040013000900</v>
      </c>
      <c r="C512">
        <v>54</v>
      </c>
      <c r="D512">
        <v>0</v>
      </c>
      <c r="E512">
        <v>6</v>
      </c>
      <c r="F512">
        <v>48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46</v>
      </c>
      <c r="E517">
        <v>6</v>
      </c>
      <c r="F517">
        <v>42</v>
      </c>
      <c r="G517">
        <v>0</v>
      </c>
      <c r="H517">
        <v>0</v>
      </c>
      <c r="I517">
        <v>48</v>
      </c>
      <c r="J517">
        <v>0</v>
      </c>
    </row>
    <row r="518" spans="1:10" x14ac:dyDescent="0.25">
      <c r="A518" t="s">
        <v>5</v>
      </c>
      <c r="B518">
        <v>7172010008001102</v>
      </c>
      <c r="C518">
        <v>112</v>
      </c>
      <c r="D518">
        <v>1</v>
      </c>
      <c r="E518">
        <v>24</v>
      </c>
      <c r="F518">
        <v>51</v>
      </c>
      <c r="G518">
        <v>1</v>
      </c>
      <c r="H518">
        <v>0</v>
      </c>
      <c r="I518">
        <v>35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9</v>
      </c>
      <c r="E519">
        <v>5</v>
      </c>
      <c r="F519">
        <v>6</v>
      </c>
      <c r="G519">
        <v>58</v>
      </c>
      <c r="H519">
        <v>0</v>
      </c>
      <c r="I519">
        <v>32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40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39</v>
      </c>
      <c r="E524">
        <v>0</v>
      </c>
      <c r="F524">
        <v>7</v>
      </c>
      <c r="G524">
        <v>0</v>
      </c>
      <c r="H524">
        <v>0</v>
      </c>
      <c r="I524">
        <v>29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0</v>
      </c>
      <c r="E532">
        <v>0</v>
      </c>
      <c r="F532">
        <v>5</v>
      </c>
      <c r="G532">
        <v>0</v>
      </c>
      <c r="H532">
        <v>0</v>
      </c>
      <c r="I532">
        <v>29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63</v>
      </c>
      <c r="D537">
        <v>7</v>
      </c>
      <c r="E537">
        <v>8</v>
      </c>
      <c r="F537">
        <v>7</v>
      </c>
      <c r="G537">
        <v>33</v>
      </c>
      <c r="H537">
        <v>0</v>
      </c>
      <c r="I537">
        <v>8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20</v>
      </c>
      <c r="H538">
        <v>0</v>
      </c>
      <c r="I538">
        <v>16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7</v>
      </c>
      <c r="E540">
        <v>6</v>
      </c>
      <c r="F540">
        <v>23</v>
      </c>
      <c r="G540">
        <v>0</v>
      </c>
      <c r="H540">
        <v>0</v>
      </c>
      <c r="I540">
        <v>23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45</v>
      </c>
      <c r="D543">
        <v>10</v>
      </c>
      <c r="E543">
        <v>16</v>
      </c>
      <c r="F543">
        <v>12</v>
      </c>
      <c r="G543">
        <v>0</v>
      </c>
      <c r="H543">
        <v>0</v>
      </c>
      <c r="I543">
        <v>7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11</v>
      </c>
      <c r="E548">
        <v>7</v>
      </c>
      <c r="F548">
        <v>4</v>
      </c>
      <c r="G548">
        <v>0</v>
      </c>
      <c r="H548">
        <v>0</v>
      </c>
      <c r="I548">
        <v>14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131</v>
      </c>
      <c r="D551">
        <v>25</v>
      </c>
      <c r="E551">
        <v>38</v>
      </c>
      <c r="F551">
        <v>10</v>
      </c>
      <c r="G551">
        <v>0</v>
      </c>
      <c r="H551">
        <v>0</v>
      </c>
      <c r="I551">
        <v>58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23</v>
      </c>
      <c r="E552">
        <v>2</v>
      </c>
      <c r="F552">
        <v>0</v>
      </c>
      <c r="G552">
        <v>5</v>
      </c>
      <c r="H552">
        <v>0</v>
      </c>
      <c r="I552">
        <v>72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9</v>
      </c>
      <c r="E559">
        <v>0</v>
      </c>
      <c r="F559">
        <v>10</v>
      </c>
      <c r="G559">
        <v>2</v>
      </c>
      <c r="H559">
        <v>0</v>
      </c>
      <c r="I559">
        <v>68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t="s">
        <v>12</v>
      </c>
      <c r="B565">
        <v>7172010010001400</v>
      </c>
      <c r="C565">
        <v>50</v>
      </c>
      <c r="D565">
        <v>0</v>
      </c>
      <c r="E565">
        <v>0</v>
      </c>
      <c r="F565">
        <v>31</v>
      </c>
      <c r="G565">
        <v>0</v>
      </c>
      <c r="H565">
        <v>0</v>
      </c>
      <c r="I565">
        <v>19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5</v>
      </c>
      <c r="E571">
        <v>0</v>
      </c>
      <c r="F571">
        <v>1</v>
      </c>
      <c r="G571">
        <v>0</v>
      </c>
      <c r="H571">
        <v>0</v>
      </c>
      <c r="I571">
        <v>55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55</v>
      </c>
      <c r="D573">
        <v>0</v>
      </c>
      <c r="E573">
        <v>1</v>
      </c>
      <c r="F573">
        <v>28</v>
      </c>
      <c r="G573">
        <v>0</v>
      </c>
      <c r="H573">
        <v>0</v>
      </c>
      <c r="I573">
        <v>26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</v>
      </c>
      <c r="E576">
        <v>1</v>
      </c>
      <c r="F576">
        <v>1</v>
      </c>
      <c r="G576">
        <v>0</v>
      </c>
      <c r="H576">
        <v>0</v>
      </c>
      <c r="I576">
        <v>32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7</v>
      </c>
      <c r="E583">
        <v>1</v>
      </c>
      <c r="F583">
        <v>3</v>
      </c>
      <c r="G583">
        <v>0</v>
      </c>
      <c r="H583">
        <v>0</v>
      </c>
      <c r="I583">
        <v>12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5</v>
      </c>
      <c r="F584">
        <v>3</v>
      </c>
      <c r="G584">
        <v>52</v>
      </c>
      <c r="H584">
        <v>0</v>
      </c>
      <c r="I584">
        <v>3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28</v>
      </c>
      <c r="E585">
        <v>6</v>
      </c>
      <c r="F585">
        <v>5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7172010012000700</v>
      </c>
      <c r="C586">
        <v>75</v>
      </c>
      <c r="D586">
        <v>51</v>
      </c>
      <c r="E586">
        <v>12</v>
      </c>
      <c r="F586">
        <v>1</v>
      </c>
      <c r="G586">
        <v>0</v>
      </c>
      <c r="H586">
        <v>0</v>
      </c>
      <c r="I586">
        <v>11</v>
      </c>
      <c r="J586">
        <v>0</v>
      </c>
    </row>
    <row r="587" spans="1:10" x14ac:dyDescent="0.25">
      <c r="A587" t="s">
        <v>15</v>
      </c>
      <c r="B587">
        <v>7172010012000500</v>
      </c>
      <c r="C587">
        <v>67</v>
      </c>
      <c r="D587">
        <v>0</v>
      </c>
      <c r="E587">
        <v>14</v>
      </c>
      <c r="F587">
        <v>16</v>
      </c>
      <c r="G587">
        <v>0</v>
      </c>
      <c r="H587">
        <v>0</v>
      </c>
      <c r="I587">
        <v>37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29</v>
      </c>
      <c r="E589">
        <v>2</v>
      </c>
      <c r="F589">
        <v>9</v>
      </c>
      <c r="G589">
        <v>1</v>
      </c>
      <c r="H589">
        <v>0</v>
      </c>
      <c r="I589">
        <v>9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34</v>
      </c>
      <c r="D594">
        <v>0</v>
      </c>
      <c r="E594">
        <v>1</v>
      </c>
      <c r="F594">
        <v>31</v>
      </c>
      <c r="G594">
        <v>0</v>
      </c>
      <c r="H594">
        <v>0</v>
      </c>
      <c r="I594">
        <v>2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16</v>
      </c>
      <c r="F598">
        <v>21</v>
      </c>
      <c r="G598">
        <v>2</v>
      </c>
      <c r="H598">
        <v>0</v>
      </c>
      <c r="I598">
        <v>87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5</v>
      </c>
      <c r="E600">
        <v>13</v>
      </c>
      <c r="F600">
        <v>28</v>
      </c>
      <c r="G600">
        <v>0</v>
      </c>
      <c r="H600">
        <v>0</v>
      </c>
      <c r="I600">
        <v>23</v>
      </c>
      <c r="J600">
        <v>0</v>
      </c>
    </row>
    <row r="601" spans="1:10" x14ac:dyDescent="0.25">
      <c r="A601" t="s">
        <v>23</v>
      </c>
      <c r="B601">
        <v>7172010015002900</v>
      </c>
      <c r="C601">
        <v>67</v>
      </c>
      <c r="D601">
        <v>0</v>
      </c>
      <c r="E601">
        <v>9</v>
      </c>
      <c r="F601">
        <v>42</v>
      </c>
      <c r="G601">
        <v>0</v>
      </c>
      <c r="H601">
        <v>0</v>
      </c>
      <c r="I601">
        <v>16</v>
      </c>
      <c r="J601">
        <v>0</v>
      </c>
    </row>
    <row r="602" spans="1:10" x14ac:dyDescent="0.25">
      <c r="A602" t="s">
        <v>23</v>
      </c>
      <c r="B602">
        <v>7172010015002800</v>
      </c>
      <c r="C602">
        <v>59</v>
      </c>
      <c r="D602">
        <v>2</v>
      </c>
      <c r="E602">
        <v>8</v>
      </c>
      <c r="F602">
        <v>22</v>
      </c>
      <c r="G602">
        <v>0</v>
      </c>
      <c r="H602">
        <v>0</v>
      </c>
      <c r="I602">
        <v>27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1</v>
      </c>
      <c r="E603">
        <v>5</v>
      </c>
      <c r="F603">
        <v>20</v>
      </c>
      <c r="G603">
        <v>0</v>
      </c>
      <c r="H603">
        <v>0</v>
      </c>
      <c r="I603">
        <v>11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126</v>
      </c>
      <c r="D605">
        <v>12</v>
      </c>
      <c r="E605">
        <v>0</v>
      </c>
      <c r="F605">
        <v>78</v>
      </c>
      <c r="G605">
        <v>1</v>
      </c>
      <c r="H605">
        <v>0</v>
      </c>
      <c r="I605">
        <v>35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88</v>
      </c>
      <c r="E606">
        <v>0</v>
      </c>
      <c r="F606">
        <v>0</v>
      </c>
      <c r="G606">
        <v>26</v>
      </c>
      <c r="H606">
        <v>0</v>
      </c>
      <c r="I606">
        <v>4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83</v>
      </c>
      <c r="E611">
        <v>4</v>
      </c>
      <c r="F611">
        <v>6</v>
      </c>
      <c r="G611">
        <v>87</v>
      </c>
      <c r="H611">
        <v>0</v>
      </c>
      <c r="I611">
        <v>17</v>
      </c>
      <c r="J611">
        <v>0</v>
      </c>
    </row>
    <row r="612" spans="1:10" x14ac:dyDescent="0.25">
      <c r="A612" t="s">
        <v>7</v>
      </c>
      <c r="B612">
        <v>7172010008001101</v>
      </c>
      <c r="C612">
        <v>174</v>
      </c>
      <c r="D612">
        <v>4</v>
      </c>
      <c r="E612">
        <v>0</v>
      </c>
      <c r="F612">
        <v>147</v>
      </c>
      <c r="G612">
        <v>0</v>
      </c>
      <c r="H612">
        <v>0</v>
      </c>
      <c r="I612">
        <v>23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85</v>
      </c>
      <c r="E613">
        <v>1</v>
      </c>
      <c r="F613">
        <v>1</v>
      </c>
      <c r="G613">
        <v>50</v>
      </c>
      <c r="H613">
        <v>0</v>
      </c>
      <c r="I613">
        <v>23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143</v>
      </c>
      <c r="D617">
        <v>10</v>
      </c>
      <c r="E617">
        <v>30</v>
      </c>
      <c r="F617">
        <v>34</v>
      </c>
      <c r="G617">
        <v>0</v>
      </c>
      <c r="H617">
        <v>0</v>
      </c>
      <c r="I617">
        <v>69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40</v>
      </c>
      <c r="E618">
        <v>2</v>
      </c>
      <c r="F618">
        <v>0</v>
      </c>
      <c r="G618">
        <v>27</v>
      </c>
      <c r="H618">
        <v>0</v>
      </c>
      <c r="I618">
        <v>27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8</v>
      </c>
      <c r="E619">
        <v>0</v>
      </c>
      <c r="F619">
        <v>71</v>
      </c>
      <c r="G619">
        <v>0</v>
      </c>
      <c r="H619">
        <v>0</v>
      </c>
      <c r="I619">
        <v>1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t="s">
        <v>27</v>
      </c>
      <c r="B627">
        <v>7172011002000600</v>
      </c>
      <c r="C627">
        <v>175</v>
      </c>
      <c r="D627">
        <v>54</v>
      </c>
      <c r="E627">
        <v>9</v>
      </c>
      <c r="F627">
        <v>29</v>
      </c>
      <c r="G627">
        <v>0</v>
      </c>
      <c r="H627">
        <v>0</v>
      </c>
      <c r="I627">
        <v>83</v>
      </c>
      <c r="J627">
        <v>0</v>
      </c>
    </row>
    <row r="628" spans="1:10" x14ac:dyDescent="0.25">
      <c r="A628" t="s">
        <v>27</v>
      </c>
      <c r="B628">
        <v>7172011002000900</v>
      </c>
      <c r="C628">
        <v>105</v>
      </c>
      <c r="D628">
        <v>0</v>
      </c>
      <c r="E628">
        <v>0</v>
      </c>
      <c r="F628">
        <v>99</v>
      </c>
      <c r="G628">
        <v>0</v>
      </c>
      <c r="H628">
        <v>0</v>
      </c>
      <c r="I628">
        <v>6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129</v>
      </c>
      <c r="D633">
        <v>49</v>
      </c>
      <c r="E633">
        <v>11</v>
      </c>
      <c r="F633">
        <v>32</v>
      </c>
      <c r="G633">
        <v>1</v>
      </c>
      <c r="H633">
        <v>0</v>
      </c>
      <c r="I633">
        <v>36</v>
      </c>
      <c r="J633">
        <v>0</v>
      </c>
    </row>
    <row r="634" spans="1:10" x14ac:dyDescent="0.25">
      <c r="A634" t="s">
        <v>29</v>
      </c>
      <c r="B634">
        <v>7172011002001200</v>
      </c>
      <c r="C634">
        <v>114</v>
      </c>
      <c r="D634">
        <v>47</v>
      </c>
      <c r="E634">
        <v>13</v>
      </c>
      <c r="F634">
        <v>32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1</v>
      </c>
      <c r="H635">
        <v>0</v>
      </c>
      <c r="I635">
        <v>32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69</v>
      </c>
      <c r="E643">
        <v>28</v>
      </c>
      <c r="F643">
        <v>15</v>
      </c>
      <c r="G643">
        <v>0</v>
      </c>
      <c r="H643">
        <v>0</v>
      </c>
      <c r="I643">
        <v>54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0</v>
      </c>
      <c r="E644">
        <v>44</v>
      </c>
      <c r="F644">
        <v>69</v>
      </c>
      <c r="G644">
        <v>0</v>
      </c>
      <c r="H644">
        <v>0</v>
      </c>
      <c r="I644">
        <v>37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119</v>
      </c>
      <c r="D646">
        <v>0</v>
      </c>
      <c r="E646">
        <v>2</v>
      </c>
      <c r="F646">
        <v>112</v>
      </c>
      <c r="G646">
        <v>0</v>
      </c>
      <c r="H646">
        <v>0</v>
      </c>
      <c r="I646">
        <v>5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205</v>
      </c>
      <c r="D648">
        <v>30</v>
      </c>
      <c r="E648">
        <v>36</v>
      </c>
      <c r="F648">
        <v>75</v>
      </c>
      <c r="G648">
        <v>1</v>
      </c>
      <c r="H648">
        <v>0</v>
      </c>
      <c r="I648">
        <v>63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1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77</v>
      </c>
      <c r="E653">
        <v>2</v>
      </c>
      <c r="F653">
        <v>0</v>
      </c>
      <c r="G653">
        <v>11</v>
      </c>
      <c r="H653">
        <v>1</v>
      </c>
      <c r="I653">
        <v>28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116</v>
      </c>
      <c r="D655">
        <v>14</v>
      </c>
      <c r="E655">
        <v>25</v>
      </c>
      <c r="F655">
        <v>75</v>
      </c>
      <c r="G655">
        <v>2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64</v>
      </c>
      <c r="D658">
        <v>21</v>
      </c>
      <c r="E658">
        <v>30</v>
      </c>
      <c r="F658">
        <v>12</v>
      </c>
      <c r="G658">
        <v>1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3</v>
      </c>
      <c r="H660">
        <v>0</v>
      </c>
      <c r="I660">
        <v>46</v>
      </c>
      <c r="J660">
        <v>0</v>
      </c>
    </row>
    <row r="661" spans="1:10" x14ac:dyDescent="0.25">
      <c r="A661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167</v>
      </c>
      <c r="D665">
        <v>0</v>
      </c>
      <c r="E665">
        <v>66</v>
      </c>
      <c r="F665">
        <v>101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69</v>
      </c>
      <c r="E667">
        <v>37</v>
      </c>
      <c r="F667">
        <v>13</v>
      </c>
      <c r="G667">
        <v>5</v>
      </c>
      <c r="H667">
        <v>1</v>
      </c>
      <c r="I667">
        <v>13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69</v>
      </c>
      <c r="D672">
        <v>15</v>
      </c>
      <c r="E672">
        <v>6</v>
      </c>
      <c r="F672">
        <v>14</v>
      </c>
      <c r="G672">
        <v>0</v>
      </c>
      <c r="H672">
        <v>0</v>
      </c>
      <c r="I672">
        <v>34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30</v>
      </c>
      <c r="E673">
        <v>6</v>
      </c>
      <c r="F673">
        <v>10</v>
      </c>
      <c r="G673">
        <v>1</v>
      </c>
      <c r="H673">
        <v>0</v>
      </c>
      <c r="I673">
        <v>17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1</v>
      </c>
      <c r="E680">
        <v>10</v>
      </c>
      <c r="F680">
        <v>12</v>
      </c>
      <c r="G680">
        <v>0</v>
      </c>
      <c r="H680">
        <v>0</v>
      </c>
      <c r="I680">
        <v>6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90</v>
      </c>
      <c r="E683">
        <v>0</v>
      </c>
      <c r="F683">
        <v>2</v>
      </c>
      <c r="G683">
        <v>15</v>
      </c>
      <c r="H683">
        <v>0</v>
      </c>
      <c r="I683">
        <v>82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20</v>
      </c>
      <c r="F688">
        <v>65</v>
      </c>
      <c r="G688">
        <v>48</v>
      </c>
      <c r="H688">
        <v>0</v>
      </c>
      <c r="I688">
        <v>56</v>
      </c>
      <c r="J688">
        <v>0</v>
      </c>
    </row>
    <row r="689" spans="1:10" x14ac:dyDescent="0.25">
      <c r="A689" t="s">
        <v>48</v>
      </c>
      <c r="B689">
        <v>7172011014001100</v>
      </c>
      <c r="C689">
        <v>164</v>
      </c>
      <c r="D689">
        <v>0</v>
      </c>
      <c r="E689">
        <v>15</v>
      </c>
      <c r="F689">
        <v>74</v>
      </c>
      <c r="G689">
        <v>0</v>
      </c>
      <c r="H689">
        <v>0</v>
      </c>
      <c r="I689">
        <v>75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66</v>
      </c>
      <c r="E694">
        <v>11</v>
      </c>
      <c r="F694">
        <v>4</v>
      </c>
      <c r="G694">
        <v>13</v>
      </c>
      <c r="H694">
        <v>0</v>
      </c>
      <c r="I694">
        <v>94</v>
      </c>
      <c r="J694">
        <v>0</v>
      </c>
    </row>
    <row r="695" spans="1:10" x14ac:dyDescent="0.25">
      <c r="A695" t="s">
        <v>51</v>
      </c>
      <c r="B695">
        <v>7172012001001001</v>
      </c>
      <c r="C695">
        <v>144</v>
      </c>
      <c r="D695">
        <v>8</v>
      </c>
      <c r="E695">
        <v>7</v>
      </c>
      <c r="F695">
        <v>104</v>
      </c>
      <c r="G695">
        <v>1</v>
      </c>
      <c r="H695">
        <v>0</v>
      </c>
      <c r="I695">
        <v>24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51</v>
      </c>
      <c r="E697">
        <v>9</v>
      </c>
      <c r="F697">
        <v>99</v>
      </c>
      <c r="G697">
        <v>24</v>
      </c>
      <c r="H697">
        <v>0</v>
      </c>
      <c r="I697">
        <v>117</v>
      </c>
      <c r="J697">
        <v>0</v>
      </c>
    </row>
    <row r="698" spans="1:10" x14ac:dyDescent="0.25">
      <c r="A698" t="s">
        <v>52</v>
      </c>
      <c r="B698">
        <v>7172012001000602</v>
      </c>
      <c r="C698">
        <v>212</v>
      </c>
      <c r="D698">
        <v>0</v>
      </c>
      <c r="E698">
        <v>17</v>
      </c>
      <c r="F698">
        <v>168</v>
      </c>
      <c r="G698">
        <v>0</v>
      </c>
      <c r="H698">
        <v>0</v>
      </c>
      <c r="I698">
        <v>27</v>
      </c>
      <c r="J698">
        <v>0</v>
      </c>
    </row>
    <row r="699" spans="1:10" x14ac:dyDescent="0.25">
      <c r="A699" t="s">
        <v>49</v>
      </c>
      <c r="B699">
        <v>7172012002000101</v>
      </c>
      <c r="C699">
        <v>150</v>
      </c>
      <c r="D699">
        <v>1</v>
      </c>
      <c r="E699">
        <v>44</v>
      </c>
      <c r="F699">
        <v>97</v>
      </c>
      <c r="G699">
        <v>2</v>
      </c>
      <c r="H699">
        <v>0</v>
      </c>
      <c r="I699">
        <v>6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28</v>
      </c>
      <c r="E701">
        <v>5</v>
      </c>
      <c r="F701">
        <v>11</v>
      </c>
      <c r="G701">
        <v>8</v>
      </c>
      <c r="H701">
        <v>0</v>
      </c>
      <c r="I701">
        <v>73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183</v>
      </c>
      <c r="D705">
        <v>78</v>
      </c>
      <c r="E705">
        <v>2</v>
      </c>
      <c r="F705">
        <v>21</v>
      </c>
      <c r="G705">
        <v>13</v>
      </c>
      <c r="H705">
        <v>0</v>
      </c>
      <c r="I705">
        <v>69</v>
      </c>
      <c r="J705">
        <v>0</v>
      </c>
    </row>
    <row r="706" spans="1:10" x14ac:dyDescent="0.25">
      <c r="A706" t="s">
        <v>53</v>
      </c>
      <c r="B706">
        <v>7172012002000900</v>
      </c>
      <c r="C706">
        <v>137</v>
      </c>
      <c r="D706">
        <v>9</v>
      </c>
      <c r="E706">
        <v>1</v>
      </c>
      <c r="F706">
        <v>76</v>
      </c>
      <c r="G706">
        <v>0</v>
      </c>
      <c r="H706">
        <v>0</v>
      </c>
      <c r="I706">
        <v>51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134</v>
      </c>
      <c r="D710">
        <v>24</v>
      </c>
      <c r="E710">
        <v>44</v>
      </c>
      <c r="F710">
        <v>32</v>
      </c>
      <c r="G710">
        <v>17</v>
      </c>
      <c r="H710">
        <v>0</v>
      </c>
      <c r="I710">
        <v>17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25</v>
      </c>
      <c r="E713">
        <v>3</v>
      </c>
      <c r="F713">
        <v>8</v>
      </c>
      <c r="G713">
        <v>17</v>
      </c>
      <c r="H713">
        <v>0</v>
      </c>
      <c r="I713">
        <v>20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65</v>
      </c>
      <c r="D715">
        <v>16</v>
      </c>
      <c r="E715">
        <v>9</v>
      </c>
      <c r="F715">
        <v>4</v>
      </c>
      <c r="G715">
        <v>29</v>
      </c>
      <c r="H715">
        <v>0</v>
      </c>
      <c r="I715">
        <v>7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7172012003001100</v>
      </c>
      <c r="C717">
        <v>123</v>
      </c>
      <c r="D717">
        <v>62</v>
      </c>
      <c r="E717">
        <v>15</v>
      </c>
      <c r="F717">
        <v>11</v>
      </c>
      <c r="G717">
        <v>14</v>
      </c>
      <c r="H717">
        <v>0</v>
      </c>
      <c r="I717">
        <v>21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88</v>
      </c>
      <c r="D719">
        <v>9</v>
      </c>
      <c r="E719">
        <v>19</v>
      </c>
      <c r="F719">
        <v>49</v>
      </c>
      <c r="G719">
        <v>0</v>
      </c>
      <c r="H719">
        <v>0</v>
      </c>
      <c r="I719">
        <v>11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9</v>
      </c>
      <c r="E722">
        <v>9</v>
      </c>
      <c r="F722">
        <v>32</v>
      </c>
      <c r="G722">
        <v>8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8</v>
      </c>
      <c r="E724">
        <v>9</v>
      </c>
      <c r="F724">
        <v>25</v>
      </c>
      <c r="G724">
        <v>3</v>
      </c>
      <c r="H724">
        <v>0</v>
      </c>
      <c r="I724">
        <v>11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47</v>
      </c>
      <c r="E725">
        <v>0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108</v>
      </c>
      <c r="D727">
        <v>16</v>
      </c>
      <c r="E727">
        <v>3</v>
      </c>
      <c r="F727">
        <v>35</v>
      </c>
      <c r="G727">
        <v>0</v>
      </c>
      <c r="H727">
        <v>0</v>
      </c>
      <c r="I727">
        <v>54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3</v>
      </c>
      <c r="F730">
        <v>10</v>
      </c>
      <c r="G730">
        <v>20</v>
      </c>
      <c r="H730">
        <v>0</v>
      </c>
      <c r="I730">
        <v>10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5</v>
      </c>
      <c r="E731">
        <v>0</v>
      </c>
      <c r="F731">
        <v>230</v>
      </c>
      <c r="G731">
        <v>0</v>
      </c>
      <c r="H731">
        <v>0</v>
      </c>
      <c r="I731">
        <v>1</v>
      </c>
      <c r="J731">
        <v>0</v>
      </c>
    </row>
    <row r="732" spans="1:10" x14ac:dyDescent="0.25">
      <c r="A732" t="s">
        <v>61</v>
      </c>
      <c r="B732">
        <v>7172012004001100</v>
      </c>
      <c r="C732">
        <v>179</v>
      </c>
      <c r="D732">
        <v>52</v>
      </c>
      <c r="E732">
        <v>3</v>
      </c>
      <c r="F732">
        <v>43</v>
      </c>
      <c r="G732">
        <v>0</v>
      </c>
      <c r="H732">
        <v>0</v>
      </c>
      <c r="I732">
        <v>81</v>
      </c>
      <c r="J732">
        <v>0</v>
      </c>
    </row>
    <row r="733" spans="1:10" x14ac:dyDescent="0.25">
      <c r="A733" t="s">
        <v>61</v>
      </c>
      <c r="B733">
        <v>7172012004001202</v>
      </c>
      <c r="C733">
        <v>96</v>
      </c>
      <c r="D733">
        <v>2</v>
      </c>
      <c r="E733">
        <v>10</v>
      </c>
      <c r="F733">
        <v>76</v>
      </c>
      <c r="G733">
        <v>0</v>
      </c>
      <c r="H733">
        <v>0</v>
      </c>
      <c r="I733">
        <v>8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11</v>
      </c>
      <c r="E734">
        <v>1</v>
      </c>
      <c r="F734">
        <v>74</v>
      </c>
      <c r="G734">
        <v>0</v>
      </c>
      <c r="H734">
        <v>0</v>
      </c>
      <c r="I734">
        <v>7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1</v>
      </c>
      <c r="F735">
        <v>18</v>
      </c>
      <c r="G735">
        <v>29</v>
      </c>
      <c r="H735">
        <v>0</v>
      </c>
      <c r="I735">
        <v>2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59</v>
      </c>
      <c r="D738">
        <v>22</v>
      </c>
      <c r="E738">
        <v>0</v>
      </c>
      <c r="F738">
        <v>12</v>
      </c>
      <c r="G738">
        <v>14</v>
      </c>
      <c r="H738">
        <v>0</v>
      </c>
      <c r="I738">
        <v>11</v>
      </c>
      <c r="J738">
        <v>0</v>
      </c>
    </row>
    <row r="739" spans="1:10" x14ac:dyDescent="0.25">
      <c r="A739" t="s">
        <v>66</v>
      </c>
      <c r="B739">
        <v>7172012005000600</v>
      </c>
      <c r="C739">
        <v>58</v>
      </c>
      <c r="D739">
        <v>3</v>
      </c>
      <c r="E739">
        <v>1</v>
      </c>
      <c r="F739">
        <v>10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t="s">
        <v>66</v>
      </c>
      <c r="B741">
        <v>7172012005002400</v>
      </c>
      <c r="C741">
        <v>49</v>
      </c>
      <c r="D741">
        <v>0</v>
      </c>
      <c r="E741">
        <v>4</v>
      </c>
      <c r="F741">
        <v>22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42</v>
      </c>
      <c r="D743">
        <v>19</v>
      </c>
      <c r="E743">
        <v>0</v>
      </c>
      <c r="F743">
        <v>3</v>
      </c>
      <c r="G743">
        <v>0</v>
      </c>
      <c r="H743">
        <v>0</v>
      </c>
      <c r="I743">
        <v>20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121</v>
      </c>
      <c r="D747">
        <v>23</v>
      </c>
      <c r="E747">
        <v>5</v>
      </c>
      <c r="F747">
        <v>7</v>
      </c>
      <c r="G747">
        <v>30</v>
      </c>
      <c r="H747">
        <v>1</v>
      </c>
      <c r="I747">
        <v>55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112</v>
      </c>
      <c r="G748">
        <v>0</v>
      </c>
      <c r="H748">
        <v>0</v>
      </c>
      <c r="I748">
        <v>4</v>
      </c>
      <c r="J748">
        <v>0</v>
      </c>
    </row>
    <row r="749" spans="1:10" x14ac:dyDescent="0.25">
      <c r="A749" t="s">
        <v>68</v>
      </c>
      <c r="B749">
        <v>7172012007001800</v>
      </c>
      <c r="C749">
        <v>103</v>
      </c>
      <c r="D749">
        <v>0</v>
      </c>
      <c r="E749">
        <v>9</v>
      </c>
      <c r="F749">
        <v>82</v>
      </c>
      <c r="G749">
        <v>0</v>
      </c>
      <c r="H749">
        <v>0</v>
      </c>
      <c r="I749">
        <v>12</v>
      </c>
      <c r="J749">
        <v>0</v>
      </c>
    </row>
    <row r="750" spans="1:10" x14ac:dyDescent="0.25">
      <c r="A750" t="s">
        <v>68</v>
      </c>
      <c r="B750">
        <v>7172012007002100</v>
      </c>
      <c r="C750">
        <v>102</v>
      </c>
      <c r="D750">
        <v>19</v>
      </c>
      <c r="E750">
        <v>7</v>
      </c>
      <c r="F750">
        <v>21</v>
      </c>
      <c r="G750">
        <v>0</v>
      </c>
      <c r="H750">
        <v>0</v>
      </c>
      <c r="I750">
        <v>55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121</v>
      </c>
      <c r="D757">
        <v>37</v>
      </c>
      <c r="E757">
        <v>15</v>
      </c>
      <c r="F757">
        <v>15</v>
      </c>
      <c r="G757">
        <v>6</v>
      </c>
      <c r="H757">
        <v>0</v>
      </c>
      <c r="I757">
        <v>48</v>
      </c>
      <c r="J757">
        <v>0</v>
      </c>
    </row>
    <row r="758" spans="1:10" x14ac:dyDescent="0.25">
      <c r="A758" t="s">
        <v>69</v>
      </c>
      <c r="B758">
        <v>7172012006000801</v>
      </c>
      <c r="C758">
        <v>116</v>
      </c>
      <c r="D758">
        <v>1</v>
      </c>
      <c r="E758">
        <v>19</v>
      </c>
      <c r="F758">
        <v>87</v>
      </c>
      <c r="G758">
        <v>3</v>
      </c>
      <c r="H758">
        <v>0</v>
      </c>
      <c r="I758">
        <v>6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32</v>
      </c>
      <c r="E760">
        <v>3</v>
      </c>
      <c r="F760">
        <v>9</v>
      </c>
      <c r="G760">
        <v>14</v>
      </c>
      <c r="H760">
        <v>0</v>
      </c>
      <c r="I760">
        <v>16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13</v>
      </c>
      <c r="E761">
        <v>0</v>
      </c>
      <c r="F761">
        <v>27</v>
      </c>
      <c r="G761">
        <v>1</v>
      </c>
      <c r="H761">
        <v>0</v>
      </c>
      <c r="I761">
        <v>122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0</v>
      </c>
      <c r="E763">
        <v>0</v>
      </c>
      <c r="F763">
        <v>111</v>
      </c>
      <c r="G763">
        <v>0</v>
      </c>
      <c r="H763">
        <v>0</v>
      </c>
      <c r="I763">
        <v>21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8</v>
      </c>
      <c r="E764">
        <v>0</v>
      </c>
      <c r="F764">
        <v>48</v>
      </c>
      <c r="G764">
        <v>0</v>
      </c>
      <c r="H764">
        <v>0</v>
      </c>
      <c r="I764">
        <v>51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1</v>
      </c>
      <c r="E765">
        <v>1</v>
      </c>
      <c r="F765">
        <v>51</v>
      </c>
      <c r="G765">
        <v>0</v>
      </c>
      <c r="H765">
        <v>0</v>
      </c>
      <c r="I765">
        <v>2</v>
      </c>
      <c r="J765">
        <v>0</v>
      </c>
    </row>
    <row r="766" spans="1:10" x14ac:dyDescent="0.25">
      <c r="A766" t="s">
        <v>73</v>
      </c>
      <c r="B766">
        <v>7172012007001300</v>
      </c>
      <c r="C766">
        <v>160</v>
      </c>
      <c r="D766">
        <v>21</v>
      </c>
      <c r="E766">
        <v>49</v>
      </c>
      <c r="F766">
        <v>76</v>
      </c>
      <c r="G766">
        <v>7</v>
      </c>
      <c r="H766">
        <v>0</v>
      </c>
      <c r="I766">
        <v>7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17</v>
      </c>
      <c r="E767">
        <v>10</v>
      </c>
      <c r="F767">
        <v>30</v>
      </c>
      <c r="G767">
        <v>5</v>
      </c>
      <c r="H767">
        <v>0</v>
      </c>
      <c r="I767">
        <v>41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35</v>
      </c>
      <c r="E773">
        <v>21</v>
      </c>
      <c r="F773">
        <v>32</v>
      </c>
      <c r="G773">
        <v>0</v>
      </c>
      <c r="H773">
        <v>0</v>
      </c>
      <c r="I773">
        <v>17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5</v>
      </c>
      <c r="E778">
        <v>19</v>
      </c>
      <c r="F778">
        <v>30</v>
      </c>
      <c r="G778">
        <v>0</v>
      </c>
      <c r="H778">
        <v>0</v>
      </c>
      <c r="I778">
        <v>27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71</v>
      </c>
      <c r="D786">
        <v>4</v>
      </c>
      <c r="E786">
        <v>27</v>
      </c>
      <c r="F786">
        <v>11</v>
      </c>
      <c r="G786">
        <v>0</v>
      </c>
      <c r="H786">
        <v>0</v>
      </c>
      <c r="I786">
        <v>29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3</v>
      </c>
      <c r="E788">
        <v>1</v>
      </c>
      <c r="F788">
        <v>51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16</v>
      </c>
      <c r="E789">
        <v>17</v>
      </c>
      <c r="F789">
        <v>6</v>
      </c>
      <c r="G789">
        <v>0</v>
      </c>
      <c r="H789">
        <v>0</v>
      </c>
      <c r="I789">
        <v>13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7</v>
      </c>
      <c r="E792">
        <v>2</v>
      </c>
      <c r="F792">
        <v>30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105</v>
      </c>
      <c r="D795">
        <v>32</v>
      </c>
      <c r="E795">
        <v>44</v>
      </c>
      <c r="F795">
        <v>11</v>
      </c>
      <c r="G795">
        <v>1</v>
      </c>
      <c r="H795">
        <v>0</v>
      </c>
      <c r="I795">
        <v>17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20</v>
      </c>
      <c r="F796">
        <v>58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22</v>
      </c>
      <c r="E798">
        <v>29</v>
      </c>
      <c r="F798">
        <v>7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17</v>
      </c>
      <c r="F800">
        <v>28</v>
      </c>
      <c r="G800">
        <v>8</v>
      </c>
      <c r="H800">
        <v>1</v>
      </c>
      <c r="I800">
        <v>19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0</v>
      </c>
      <c r="E803">
        <v>15</v>
      </c>
      <c r="F803">
        <v>38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2</v>
      </c>
      <c r="E804">
        <v>18</v>
      </c>
      <c r="F804">
        <v>27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7</v>
      </c>
      <c r="F806">
        <v>34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8</v>
      </c>
      <c r="F807">
        <v>30</v>
      </c>
      <c r="G807">
        <v>0</v>
      </c>
      <c r="H807">
        <v>0</v>
      </c>
      <c r="I807">
        <v>1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25</v>
      </c>
      <c r="E809">
        <v>5</v>
      </c>
      <c r="F809">
        <v>8</v>
      </c>
      <c r="G809">
        <v>3</v>
      </c>
      <c r="H809">
        <v>0</v>
      </c>
      <c r="I809">
        <v>30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31</v>
      </c>
      <c r="E811">
        <v>0</v>
      </c>
      <c r="F811">
        <v>6</v>
      </c>
      <c r="G811">
        <v>7</v>
      </c>
      <c r="H811">
        <v>0</v>
      </c>
      <c r="I811">
        <v>10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7</v>
      </c>
      <c r="F813">
        <v>29</v>
      </c>
      <c r="G813">
        <v>0</v>
      </c>
      <c r="H813">
        <v>0</v>
      </c>
      <c r="I813">
        <v>9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2</v>
      </c>
      <c r="F817">
        <v>23</v>
      </c>
      <c r="G817">
        <v>0</v>
      </c>
      <c r="H817">
        <v>0</v>
      </c>
      <c r="I817">
        <v>8</v>
      </c>
      <c r="J817">
        <v>0</v>
      </c>
    </row>
    <row r="818" spans="1:10" x14ac:dyDescent="0.25">
      <c r="A818" t="s">
        <v>87</v>
      </c>
      <c r="B818">
        <v>7172022005000200</v>
      </c>
      <c r="C818">
        <v>57</v>
      </c>
      <c r="D818">
        <v>0</v>
      </c>
      <c r="E818">
        <v>4</v>
      </c>
      <c r="F818">
        <v>40</v>
      </c>
      <c r="G818">
        <v>0</v>
      </c>
      <c r="H818">
        <v>0</v>
      </c>
      <c r="I818">
        <v>13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7</v>
      </c>
      <c r="H820">
        <v>0</v>
      </c>
      <c r="I820">
        <v>13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4</v>
      </c>
      <c r="F821">
        <v>0</v>
      </c>
      <c r="G821">
        <v>0</v>
      </c>
      <c r="H821">
        <v>0</v>
      </c>
      <c r="I821">
        <v>19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0</v>
      </c>
      <c r="F822">
        <v>7</v>
      </c>
      <c r="G822">
        <v>3</v>
      </c>
      <c r="H822">
        <v>0</v>
      </c>
      <c r="I822">
        <v>17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3</v>
      </c>
      <c r="F823">
        <v>35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7</v>
      </c>
      <c r="F828">
        <v>43</v>
      </c>
      <c r="G828">
        <v>0</v>
      </c>
      <c r="H828">
        <v>0</v>
      </c>
      <c r="I828">
        <v>17</v>
      </c>
      <c r="J828">
        <v>0</v>
      </c>
    </row>
    <row r="829" spans="1:10" x14ac:dyDescent="0.25">
      <c r="A829" t="s">
        <v>240</v>
      </c>
      <c r="B829">
        <v>7172022008000100</v>
      </c>
      <c r="C829">
        <v>67</v>
      </c>
      <c r="D829">
        <v>15</v>
      </c>
      <c r="E829">
        <v>5</v>
      </c>
      <c r="F829">
        <v>18</v>
      </c>
      <c r="G829">
        <v>8</v>
      </c>
      <c r="H829">
        <v>0</v>
      </c>
      <c r="I829">
        <v>21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4</v>
      </c>
      <c r="F831">
        <v>9</v>
      </c>
      <c r="G831">
        <v>0</v>
      </c>
      <c r="H831">
        <v>0</v>
      </c>
      <c r="I831">
        <v>36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14</v>
      </c>
      <c r="G834">
        <v>5</v>
      </c>
      <c r="H834">
        <v>0</v>
      </c>
      <c r="I834">
        <v>5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64</v>
      </c>
      <c r="G838">
        <v>0</v>
      </c>
      <c r="H838">
        <v>0</v>
      </c>
      <c r="I838">
        <v>12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46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7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44</v>
      </c>
      <c r="D842">
        <v>5</v>
      </c>
      <c r="E842">
        <v>17</v>
      </c>
      <c r="F842">
        <v>3</v>
      </c>
      <c r="G842">
        <v>0</v>
      </c>
      <c r="H842">
        <v>0</v>
      </c>
      <c r="I842">
        <v>19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0</v>
      </c>
      <c r="E843">
        <v>16</v>
      </c>
      <c r="F843">
        <v>22</v>
      </c>
      <c r="G843">
        <v>0</v>
      </c>
      <c r="H843">
        <v>0</v>
      </c>
      <c r="I843">
        <v>4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61</v>
      </c>
      <c r="J845">
        <v>0</v>
      </c>
    </row>
    <row r="846" spans="1:10" x14ac:dyDescent="0.25">
      <c r="A846" t="s">
        <v>96</v>
      </c>
      <c r="B846">
        <v>7172030017000100</v>
      </c>
      <c r="C846">
        <v>72</v>
      </c>
      <c r="D846">
        <v>8</v>
      </c>
      <c r="E846">
        <v>45</v>
      </c>
      <c r="F846">
        <v>0</v>
      </c>
      <c r="G846">
        <v>0</v>
      </c>
      <c r="H846">
        <v>0</v>
      </c>
      <c r="I846">
        <v>19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0</v>
      </c>
      <c r="F851">
        <v>33</v>
      </c>
      <c r="G851">
        <v>0</v>
      </c>
      <c r="H851">
        <v>0</v>
      </c>
      <c r="I851">
        <v>4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8</v>
      </c>
      <c r="F855">
        <v>14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20</v>
      </c>
      <c r="E858">
        <v>38</v>
      </c>
      <c r="F858">
        <v>41</v>
      </c>
      <c r="G858">
        <v>0</v>
      </c>
      <c r="H858">
        <v>0</v>
      </c>
      <c r="I858">
        <v>5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52</v>
      </c>
      <c r="E860">
        <v>33</v>
      </c>
      <c r="F860">
        <v>5</v>
      </c>
      <c r="G860">
        <v>1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89</v>
      </c>
      <c r="D861">
        <v>32</v>
      </c>
      <c r="E861">
        <v>17</v>
      </c>
      <c r="F861">
        <v>37</v>
      </c>
      <c r="G861">
        <v>1</v>
      </c>
      <c r="H861">
        <v>0</v>
      </c>
      <c r="I861">
        <v>2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16</v>
      </c>
      <c r="F864">
        <v>63</v>
      </c>
      <c r="G864">
        <v>0</v>
      </c>
      <c r="H864">
        <v>0</v>
      </c>
      <c r="I864">
        <v>32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18</v>
      </c>
      <c r="E865">
        <v>16</v>
      </c>
      <c r="F865">
        <v>24</v>
      </c>
      <c r="G865">
        <v>0</v>
      </c>
      <c r="H865">
        <v>0</v>
      </c>
      <c r="I865">
        <v>27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6</v>
      </c>
      <c r="F866">
        <v>64</v>
      </c>
      <c r="G866">
        <v>0</v>
      </c>
      <c r="H866">
        <v>0</v>
      </c>
      <c r="I866">
        <v>6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22</v>
      </c>
      <c r="E868">
        <v>6</v>
      </c>
      <c r="F868">
        <v>18</v>
      </c>
      <c r="G868">
        <v>0</v>
      </c>
      <c r="H868">
        <v>0</v>
      </c>
      <c r="I868">
        <v>11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48</v>
      </c>
      <c r="E873">
        <v>0</v>
      </c>
      <c r="F873">
        <v>17</v>
      </c>
      <c r="G873">
        <v>5</v>
      </c>
      <c r="H873">
        <v>0</v>
      </c>
      <c r="I873">
        <v>62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92</v>
      </c>
      <c r="G874">
        <v>0</v>
      </c>
      <c r="H874">
        <v>0</v>
      </c>
      <c r="I874">
        <v>17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79</v>
      </c>
      <c r="G875">
        <v>0</v>
      </c>
      <c r="H875">
        <v>0</v>
      </c>
      <c r="I875">
        <v>15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63</v>
      </c>
      <c r="G877">
        <v>0</v>
      </c>
      <c r="H877">
        <v>0</v>
      </c>
      <c r="I877">
        <v>6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1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0</v>
      </c>
      <c r="E880">
        <v>42</v>
      </c>
      <c r="F880">
        <v>56</v>
      </c>
      <c r="G880">
        <v>0</v>
      </c>
      <c r="H880">
        <v>0</v>
      </c>
      <c r="I880">
        <v>10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33</v>
      </c>
      <c r="E882">
        <v>15</v>
      </c>
      <c r="F882">
        <v>1</v>
      </c>
      <c r="G882">
        <v>3</v>
      </c>
      <c r="H882">
        <v>0</v>
      </c>
      <c r="I882">
        <v>44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20</v>
      </c>
      <c r="E886">
        <v>20</v>
      </c>
      <c r="F886">
        <v>0</v>
      </c>
      <c r="G886">
        <v>0</v>
      </c>
      <c r="H886">
        <v>0</v>
      </c>
      <c r="I886">
        <v>22</v>
      </c>
      <c r="J886">
        <v>0</v>
      </c>
    </row>
    <row r="887" spans="1:10" x14ac:dyDescent="0.25">
      <c r="A887" t="s">
        <v>106</v>
      </c>
      <c r="B887">
        <v>7172030015001500</v>
      </c>
      <c r="C887">
        <v>222</v>
      </c>
      <c r="D887">
        <v>17</v>
      </c>
      <c r="E887">
        <v>3</v>
      </c>
      <c r="F887">
        <v>1</v>
      </c>
      <c r="G887">
        <v>0</v>
      </c>
      <c r="H887">
        <v>0</v>
      </c>
      <c r="I887">
        <v>201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49</v>
      </c>
      <c r="D890">
        <v>0</v>
      </c>
      <c r="E890">
        <v>4</v>
      </c>
      <c r="F890">
        <v>39</v>
      </c>
      <c r="G890">
        <v>0</v>
      </c>
      <c r="H890">
        <v>0</v>
      </c>
      <c r="I890">
        <v>6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16</v>
      </c>
      <c r="E891">
        <v>18</v>
      </c>
      <c r="F891">
        <v>76</v>
      </c>
      <c r="G891">
        <v>3</v>
      </c>
      <c r="H891">
        <v>0</v>
      </c>
      <c r="I891">
        <v>10</v>
      </c>
      <c r="J891">
        <v>0</v>
      </c>
    </row>
    <row r="892" spans="1:10" x14ac:dyDescent="0.25">
      <c r="A892" t="s">
        <v>107</v>
      </c>
      <c r="B892">
        <v>7172030017000700</v>
      </c>
      <c r="C892">
        <v>108</v>
      </c>
      <c r="D892">
        <v>18</v>
      </c>
      <c r="E892">
        <v>14</v>
      </c>
      <c r="F892">
        <v>37</v>
      </c>
      <c r="G892">
        <v>2</v>
      </c>
      <c r="H892">
        <v>0</v>
      </c>
      <c r="I892">
        <v>37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17</v>
      </c>
      <c r="F893">
        <v>59</v>
      </c>
      <c r="G893">
        <v>0</v>
      </c>
      <c r="H893">
        <v>0</v>
      </c>
      <c r="I893">
        <v>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13</v>
      </c>
      <c r="E895">
        <v>4</v>
      </c>
      <c r="F895">
        <v>15</v>
      </c>
      <c r="G895">
        <v>8</v>
      </c>
      <c r="H895">
        <v>0</v>
      </c>
      <c r="I895">
        <v>8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120</v>
      </c>
      <c r="D901">
        <v>18</v>
      </c>
      <c r="E901">
        <v>16</v>
      </c>
      <c r="F901">
        <v>71</v>
      </c>
      <c r="G901">
        <v>1</v>
      </c>
      <c r="H901">
        <v>0</v>
      </c>
      <c r="I901">
        <v>14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7172030017001700</v>
      </c>
      <c r="C903">
        <v>96</v>
      </c>
      <c r="D903">
        <v>0</v>
      </c>
      <c r="E903">
        <v>13</v>
      </c>
      <c r="F903">
        <v>75</v>
      </c>
      <c r="G903">
        <v>0</v>
      </c>
      <c r="H903">
        <v>0</v>
      </c>
      <c r="I903">
        <v>8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65</v>
      </c>
      <c r="D907">
        <v>0</v>
      </c>
      <c r="E907">
        <v>14</v>
      </c>
      <c r="F907">
        <v>36</v>
      </c>
      <c r="G907">
        <v>0</v>
      </c>
      <c r="H907">
        <v>0</v>
      </c>
      <c r="I907">
        <v>15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139</v>
      </c>
      <c r="E908">
        <v>40</v>
      </c>
      <c r="F908">
        <v>7</v>
      </c>
      <c r="G908">
        <v>22</v>
      </c>
      <c r="H908">
        <v>0</v>
      </c>
      <c r="I908">
        <v>19</v>
      </c>
      <c r="J908">
        <v>0</v>
      </c>
    </row>
    <row r="909" spans="1:10" x14ac:dyDescent="0.25">
      <c r="A909" t="s">
        <v>110</v>
      </c>
      <c r="B909">
        <v>7172031002000200</v>
      </c>
      <c r="C909">
        <v>188</v>
      </c>
      <c r="D909">
        <v>114</v>
      </c>
      <c r="E909">
        <v>31</v>
      </c>
      <c r="F909">
        <v>39</v>
      </c>
      <c r="G909">
        <v>4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135</v>
      </c>
      <c r="D912">
        <v>33</v>
      </c>
      <c r="E912">
        <v>17</v>
      </c>
      <c r="F912">
        <v>42</v>
      </c>
      <c r="G912">
        <v>8</v>
      </c>
      <c r="H912">
        <v>0</v>
      </c>
      <c r="I912">
        <v>35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4</v>
      </c>
      <c r="H913">
        <v>0</v>
      </c>
      <c r="I913">
        <v>28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137</v>
      </c>
      <c r="D920">
        <v>10</v>
      </c>
      <c r="E920">
        <v>7</v>
      </c>
      <c r="F920">
        <v>100</v>
      </c>
      <c r="G920">
        <v>20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130</v>
      </c>
      <c r="D921">
        <v>19</v>
      </c>
      <c r="E921">
        <v>44</v>
      </c>
      <c r="F921">
        <v>59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112</v>
      </c>
      <c r="B922">
        <v>7172031002001300</v>
      </c>
      <c r="C922">
        <v>87</v>
      </c>
      <c r="D922">
        <v>38</v>
      </c>
      <c r="E922">
        <v>20</v>
      </c>
      <c r="F922">
        <v>21</v>
      </c>
      <c r="G922">
        <v>0</v>
      </c>
      <c r="H922">
        <v>0</v>
      </c>
      <c r="I922">
        <v>8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33</v>
      </c>
      <c r="E925">
        <v>16</v>
      </c>
      <c r="F925">
        <v>0</v>
      </c>
      <c r="G925">
        <v>0</v>
      </c>
      <c r="H925">
        <v>0</v>
      </c>
      <c r="I925">
        <v>8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28</v>
      </c>
      <c r="E927">
        <v>0</v>
      </c>
      <c r="F927">
        <v>0</v>
      </c>
      <c r="G927">
        <v>0</v>
      </c>
      <c r="H927">
        <v>0</v>
      </c>
      <c r="I927">
        <v>2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165</v>
      </c>
      <c r="E928">
        <v>6</v>
      </c>
      <c r="F928">
        <v>16</v>
      </c>
      <c r="G928">
        <v>12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5</v>
      </c>
      <c r="F929">
        <v>89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24</v>
      </c>
      <c r="E931">
        <v>2</v>
      </c>
      <c r="F931">
        <v>36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145</v>
      </c>
      <c r="D933">
        <v>118</v>
      </c>
      <c r="E933">
        <v>0</v>
      </c>
      <c r="F933">
        <v>14</v>
      </c>
      <c r="G933">
        <v>13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106</v>
      </c>
      <c r="D934">
        <v>56</v>
      </c>
      <c r="E934">
        <v>5</v>
      </c>
      <c r="F934">
        <v>24</v>
      </c>
      <c r="G934">
        <v>13</v>
      </c>
      <c r="H934">
        <v>0</v>
      </c>
      <c r="I934">
        <v>8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2</v>
      </c>
      <c r="E935">
        <v>0</v>
      </c>
      <c r="F935">
        <v>96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47</v>
      </c>
      <c r="E939">
        <v>0</v>
      </c>
      <c r="F939">
        <v>11</v>
      </c>
      <c r="G939">
        <v>2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58</v>
      </c>
      <c r="E941">
        <v>19</v>
      </c>
      <c r="F941">
        <v>0</v>
      </c>
      <c r="G941">
        <v>0</v>
      </c>
      <c r="H941">
        <v>0</v>
      </c>
      <c r="I941">
        <v>1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29</v>
      </c>
      <c r="F945">
        <v>16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39</v>
      </c>
      <c r="D949">
        <v>7</v>
      </c>
      <c r="E949">
        <v>9</v>
      </c>
      <c r="F949">
        <v>23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228</v>
      </c>
      <c r="D951">
        <v>12</v>
      </c>
      <c r="E951">
        <v>78</v>
      </c>
      <c r="F951">
        <v>64</v>
      </c>
      <c r="G951">
        <v>0</v>
      </c>
      <c r="H951">
        <v>0</v>
      </c>
      <c r="I951">
        <v>74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56</v>
      </c>
      <c r="D955">
        <v>0</v>
      </c>
      <c r="E955">
        <v>14</v>
      </c>
      <c r="F955">
        <v>37</v>
      </c>
      <c r="G955">
        <v>0</v>
      </c>
      <c r="H955">
        <v>0</v>
      </c>
      <c r="I955">
        <v>5</v>
      </c>
      <c r="J955">
        <v>0</v>
      </c>
    </row>
    <row r="956" spans="1:10" x14ac:dyDescent="0.25">
      <c r="A956" t="s">
        <v>122</v>
      </c>
      <c r="B956">
        <v>7172031006000900</v>
      </c>
      <c r="C956">
        <v>187</v>
      </c>
      <c r="D956">
        <v>68</v>
      </c>
      <c r="E956">
        <v>47</v>
      </c>
      <c r="F956">
        <v>61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66</v>
      </c>
      <c r="E958">
        <v>12</v>
      </c>
      <c r="F958">
        <v>0</v>
      </c>
      <c r="G958">
        <v>36</v>
      </c>
      <c r="H958">
        <v>0</v>
      </c>
      <c r="I958">
        <v>1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112</v>
      </c>
      <c r="E962">
        <v>4</v>
      </c>
      <c r="F962">
        <v>9</v>
      </c>
      <c r="G962">
        <v>13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86</v>
      </c>
      <c r="D965">
        <v>9</v>
      </c>
      <c r="E965">
        <v>30</v>
      </c>
      <c r="F965">
        <v>43</v>
      </c>
      <c r="G965">
        <v>3</v>
      </c>
      <c r="H965">
        <v>0</v>
      </c>
      <c r="I965">
        <v>1</v>
      </c>
      <c r="J965">
        <v>0</v>
      </c>
    </row>
    <row r="966" spans="1:10" x14ac:dyDescent="0.25">
      <c r="A966" t="s">
        <v>127</v>
      </c>
      <c r="B966">
        <v>7172031007001600</v>
      </c>
      <c r="C966">
        <v>134</v>
      </c>
      <c r="D966">
        <v>13</v>
      </c>
      <c r="E966">
        <v>9</v>
      </c>
      <c r="F966">
        <v>91</v>
      </c>
      <c r="G966">
        <v>0</v>
      </c>
      <c r="H966">
        <v>0</v>
      </c>
      <c r="I966">
        <v>21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44</v>
      </c>
      <c r="E968">
        <v>5</v>
      </c>
      <c r="F968">
        <v>11</v>
      </c>
      <c r="G968">
        <v>3</v>
      </c>
      <c r="H968">
        <v>0</v>
      </c>
      <c r="I968">
        <v>43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1</v>
      </c>
      <c r="H969">
        <v>0</v>
      </c>
      <c r="I969">
        <v>48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88</v>
      </c>
      <c r="D972">
        <v>53</v>
      </c>
      <c r="E972">
        <v>20</v>
      </c>
      <c r="F972">
        <v>5</v>
      </c>
      <c r="G972">
        <v>1</v>
      </c>
      <c r="H972">
        <v>0</v>
      </c>
      <c r="I972">
        <v>9</v>
      </c>
      <c r="J972">
        <v>0</v>
      </c>
    </row>
    <row r="973" spans="1:10" x14ac:dyDescent="0.25">
      <c r="A973" t="s">
        <v>129</v>
      </c>
      <c r="B973">
        <v>7172031008000900</v>
      </c>
      <c r="C973">
        <v>86</v>
      </c>
      <c r="D973">
        <v>2</v>
      </c>
      <c r="E973">
        <v>0</v>
      </c>
      <c r="F973">
        <v>82</v>
      </c>
      <c r="G973">
        <v>0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46</v>
      </c>
      <c r="D978">
        <v>0</v>
      </c>
      <c r="E978">
        <v>21</v>
      </c>
      <c r="F978">
        <v>16</v>
      </c>
      <c r="G978">
        <v>0</v>
      </c>
      <c r="H978">
        <v>0</v>
      </c>
      <c r="I978">
        <v>9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5</v>
      </c>
      <c r="H979">
        <v>0</v>
      </c>
      <c r="I979">
        <v>12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19</v>
      </c>
      <c r="E980">
        <v>0</v>
      </c>
      <c r="F980">
        <v>0</v>
      </c>
      <c r="G980">
        <v>1</v>
      </c>
      <c r="H980">
        <v>0</v>
      </c>
      <c r="I980">
        <v>6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t="s">
        <v>130</v>
      </c>
      <c r="B982">
        <v>7172040009000500</v>
      </c>
      <c r="C982">
        <v>88</v>
      </c>
      <c r="D982">
        <v>0</v>
      </c>
      <c r="E982">
        <v>24</v>
      </c>
      <c r="F982">
        <v>47</v>
      </c>
      <c r="G982">
        <v>0</v>
      </c>
      <c r="H982">
        <v>0</v>
      </c>
      <c r="I982">
        <v>17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192</v>
      </c>
      <c r="D991">
        <v>75</v>
      </c>
      <c r="E991">
        <v>25</v>
      </c>
      <c r="F991">
        <v>82</v>
      </c>
      <c r="G991">
        <v>6</v>
      </c>
      <c r="H991">
        <v>0</v>
      </c>
      <c r="I991">
        <v>4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90</v>
      </c>
      <c r="D994">
        <v>0</v>
      </c>
      <c r="E994">
        <v>0</v>
      </c>
      <c r="F994">
        <v>81</v>
      </c>
      <c r="G994">
        <v>0</v>
      </c>
      <c r="H994">
        <v>0</v>
      </c>
      <c r="I994">
        <v>9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7</v>
      </c>
      <c r="E995">
        <v>14</v>
      </c>
      <c r="F995">
        <v>22</v>
      </c>
      <c r="G995">
        <v>0</v>
      </c>
      <c r="H995">
        <v>0</v>
      </c>
      <c r="I995">
        <v>27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t="s">
        <v>133</v>
      </c>
      <c r="B997">
        <v>7172040003000102</v>
      </c>
      <c r="C997">
        <v>131</v>
      </c>
      <c r="D997">
        <v>26</v>
      </c>
      <c r="E997">
        <v>1</v>
      </c>
      <c r="F997">
        <v>98</v>
      </c>
      <c r="G997">
        <v>0</v>
      </c>
      <c r="H997">
        <v>0</v>
      </c>
      <c r="I997">
        <v>6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57</v>
      </c>
      <c r="E998">
        <v>1</v>
      </c>
      <c r="F998">
        <v>31</v>
      </c>
      <c r="G998">
        <v>0</v>
      </c>
      <c r="H998">
        <v>0</v>
      </c>
      <c r="I998">
        <v>8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6</v>
      </c>
      <c r="E999">
        <v>1</v>
      </c>
      <c r="F999">
        <v>66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56</v>
      </c>
      <c r="D1006">
        <v>21</v>
      </c>
      <c r="E1006">
        <v>7</v>
      </c>
      <c r="F1006">
        <v>19</v>
      </c>
      <c r="G1006">
        <v>0</v>
      </c>
      <c r="H1006">
        <v>1</v>
      </c>
      <c r="I1006">
        <v>8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0</v>
      </c>
      <c r="E1007">
        <v>0</v>
      </c>
      <c r="F1007">
        <v>54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14</v>
      </c>
      <c r="E1008">
        <v>16</v>
      </c>
      <c r="F1008">
        <v>11</v>
      </c>
      <c r="G1008">
        <v>6</v>
      </c>
      <c r="H1008">
        <v>0</v>
      </c>
      <c r="I1008">
        <v>4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0</v>
      </c>
      <c r="H1010">
        <v>0</v>
      </c>
      <c r="I1010">
        <v>5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40</v>
      </c>
      <c r="D1011">
        <v>10</v>
      </c>
      <c r="E1011">
        <v>0</v>
      </c>
      <c r="F1011">
        <v>0</v>
      </c>
      <c r="G1011">
        <v>30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24</v>
      </c>
      <c r="E1012">
        <v>8</v>
      </c>
      <c r="F1012">
        <v>0</v>
      </c>
      <c r="G1012">
        <v>1</v>
      </c>
      <c r="H1012">
        <v>0</v>
      </c>
      <c r="I1012">
        <v>6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20</v>
      </c>
      <c r="E1013">
        <v>12</v>
      </c>
      <c r="F1013">
        <v>10</v>
      </c>
      <c r="G1013">
        <v>10</v>
      </c>
      <c r="H1013">
        <v>0</v>
      </c>
      <c r="I1013">
        <v>38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69</v>
      </c>
      <c r="D1015">
        <v>0</v>
      </c>
      <c r="E1015">
        <v>16</v>
      </c>
      <c r="F1015">
        <v>29</v>
      </c>
      <c r="G1015">
        <v>0</v>
      </c>
      <c r="H1015">
        <v>0</v>
      </c>
      <c r="I1015">
        <v>24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94</v>
      </c>
      <c r="D1023">
        <v>33</v>
      </c>
      <c r="E1023">
        <v>7</v>
      </c>
      <c r="F1023">
        <v>1</v>
      </c>
      <c r="G1023">
        <v>0</v>
      </c>
      <c r="H1023">
        <v>0</v>
      </c>
      <c r="I1023">
        <v>53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41</v>
      </c>
      <c r="G1025">
        <v>0</v>
      </c>
      <c r="H1025">
        <v>0</v>
      </c>
      <c r="I1025">
        <v>2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40</v>
      </c>
      <c r="D1029">
        <v>15</v>
      </c>
      <c r="E1029">
        <v>8</v>
      </c>
      <c r="F1029">
        <v>11</v>
      </c>
      <c r="G1029">
        <v>0</v>
      </c>
      <c r="H1029">
        <v>0</v>
      </c>
      <c r="I1029">
        <v>6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49</v>
      </c>
      <c r="E1034">
        <v>8</v>
      </c>
      <c r="F1034">
        <v>67</v>
      </c>
      <c r="G1034">
        <v>4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21</v>
      </c>
      <c r="E1036">
        <v>1</v>
      </c>
      <c r="F1036">
        <v>38</v>
      </c>
      <c r="G1036">
        <v>4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50</v>
      </c>
      <c r="E1037">
        <v>1</v>
      </c>
      <c r="F1037">
        <v>1</v>
      </c>
      <c r="G1037">
        <v>5</v>
      </c>
      <c r="H1037">
        <v>0</v>
      </c>
      <c r="I1037">
        <v>1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1</v>
      </c>
      <c r="E1043">
        <v>9</v>
      </c>
      <c r="F1043">
        <v>82</v>
      </c>
      <c r="G1043">
        <v>13</v>
      </c>
      <c r="H1043">
        <v>0</v>
      </c>
      <c r="I1043">
        <v>22</v>
      </c>
      <c r="J1043">
        <v>0</v>
      </c>
    </row>
    <row r="1044" spans="1:10" x14ac:dyDescent="0.25">
      <c r="A104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106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389</v>
      </c>
      <c r="B1045">
        <v>7172012004001300</v>
      </c>
      <c r="C1045">
        <v>92</v>
      </c>
      <c r="D1045">
        <v>35</v>
      </c>
      <c r="E1045">
        <v>6</v>
      </c>
      <c r="F1045">
        <v>8</v>
      </c>
      <c r="G1045">
        <v>0</v>
      </c>
      <c r="H1045">
        <v>0</v>
      </c>
      <c r="I1045">
        <v>43</v>
      </c>
      <c r="J1045">
        <v>0</v>
      </c>
    </row>
    <row r="1046" spans="1:10" x14ac:dyDescent="0.25">
      <c r="A1046" t="s">
        <v>389</v>
      </c>
      <c r="B1046">
        <v>7172012004001203</v>
      </c>
      <c r="C1046">
        <v>76</v>
      </c>
      <c r="D1046">
        <v>7</v>
      </c>
      <c r="E1046">
        <v>8</v>
      </c>
      <c r="F1046">
        <v>51</v>
      </c>
      <c r="G1046">
        <v>2</v>
      </c>
      <c r="H1046">
        <v>0</v>
      </c>
      <c r="I1046">
        <v>8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244</v>
      </c>
      <c r="D1047">
        <v>168</v>
      </c>
      <c r="E1047">
        <v>0</v>
      </c>
      <c r="F1047">
        <v>28</v>
      </c>
      <c r="G1047">
        <v>0</v>
      </c>
      <c r="H1047">
        <v>0</v>
      </c>
      <c r="I1047">
        <v>48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182</v>
      </c>
      <c r="D1048">
        <v>0</v>
      </c>
      <c r="E1048">
        <v>0</v>
      </c>
      <c r="F1048">
        <v>182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87</v>
      </c>
      <c r="D1051">
        <v>33</v>
      </c>
      <c r="E1051">
        <v>30</v>
      </c>
      <c r="F1051">
        <v>4</v>
      </c>
      <c r="G1051">
        <v>0</v>
      </c>
      <c r="H1051">
        <v>3</v>
      </c>
      <c r="I1051">
        <v>17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112</v>
      </c>
      <c r="E1053">
        <v>10</v>
      </c>
      <c r="F1053">
        <v>0</v>
      </c>
      <c r="G1053">
        <v>2</v>
      </c>
      <c r="H1053">
        <v>0</v>
      </c>
      <c r="I1053">
        <v>71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128</v>
      </c>
      <c r="D1054">
        <v>0</v>
      </c>
      <c r="E1054">
        <v>9</v>
      </c>
      <c r="F1054">
        <v>87</v>
      </c>
      <c r="G1054">
        <v>0</v>
      </c>
      <c r="H1054">
        <v>0</v>
      </c>
      <c r="I1054">
        <v>32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</v>
      </c>
      <c r="E1057">
        <v>14</v>
      </c>
      <c r="F1057">
        <v>6</v>
      </c>
      <c r="G1057">
        <v>1</v>
      </c>
      <c r="H1057">
        <v>0</v>
      </c>
      <c r="I1057">
        <v>69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H4" sqref="H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199</v>
      </c>
      <c r="F2">
        <v>243</v>
      </c>
      <c r="G2">
        <f>VLOOKUP(A2,PPL!B:M,12,0)</f>
        <v>265</v>
      </c>
      <c r="H2">
        <f>G2-F2</f>
        <v>22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177</v>
      </c>
      <c r="F3">
        <v>209</v>
      </c>
      <c r="G3">
        <f>VLOOKUP(A3,PPL!B:M,12,0)</f>
        <v>220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366</v>
      </c>
      <c r="F4">
        <v>377</v>
      </c>
      <c r="G4">
        <f>VLOOKUP(A4,PPL!B:M,12,0)</f>
        <v>377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249</v>
      </c>
      <c r="F5">
        <v>251</v>
      </c>
      <c r="G5">
        <f>VLOOKUP(A5,PPL!B:M,12,0)</f>
        <v>264</v>
      </c>
      <c r="H5">
        <f t="shared" si="0"/>
        <v>13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206</v>
      </c>
      <c r="F6">
        <v>209</v>
      </c>
      <c r="G6">
        <f>VLOOKUP(A6,PPL!B:M,12,0)</f>
        <v>218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188</v>
      </c>
      <c r="F7">
        <v>218</v>
      </c>
      <c r="G7">
        <f>VLOOKUP(A7,PPL!B:M,12,0)</f>
        <v>238</v>
      </c>
      <c r="H7">
        <f t="shared" si="0"/>
        <v>20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184</v>
      </c>
      <c r="F8">
        <v>201</v>
      </c>
      <c r="G8">
        <f>VLOOKUP(A8,PPL!B:M,12,0)</f>
        <v>223</v>
      </c>
      <c r="H8">
        <f t="shared" si="0"/>
        <v>22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180</v>
      </c>
      <c r="F9">
        <v>198</v>
      </c>
      <c r="G9">
        <f>VLOOKUP(A9,PPL!B:M,12,0)</f>
        <v>217</v>
      </c>
      <c r="H9">
        <f t="shared" si="0"/>
        <v>19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217</v>
      </c>
      <c r="F10">
        <v>235</v>
      </c>
      <c r="G10">
        <f>VLOOKUP(A10,PPL!B:M,12,0)</f>
        <v>240</v>
      </c>
      <c r="H10">
        <f t="shared" si="0"/>
        <v>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200</v>
      </c>
      <c r="F11">
        <v>217</v>
      </c>
      <c r="G11">
        <f>VLOOKUP(A11,PPL!B:M,12,0)</f>
        <v>241</v>
      </c>
      <c r="H11">
        <f t="shared" si="0"/>
        <v>24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334</v>
      </c>
      <c r="F12">
        <v>360</v>
      </c>
      <c r="G12">
        <f>VLOOKUP(A12,PPL!B:M,12,0)</f>
        <v>372</v>
      </c>
      <c r="H12">
        <f t="shared" si="0"/>
        <v>12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172</v>
      </c>
      <c r="F13">
        <v>181</v>
      </c>
      <c r="G13">
        <f>VLOOKUP(A13,PPL!B:M,12,0)</f>
        <v>198</v>
      </c>
      <c r="H13">
        <f t="shared" si="0"/>
        <v>17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203</v>
      </c>
      <c r="F14">
        <v>215</v>
      </c>
      <c r="G14">
        <f>VLOOKUP(A14,PPL!B:M,12,0)</f>
        <v>227</v>
      </c>
      <c r="H14">
        <f t="shared" si="0"/>
        <v>12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310</v>
      </c>
      <c r="F15">
        <v>310</v>
      </c>
      <c r="G15">
        <f>VLOOKUP(A15,PPL!B:M,12,0)</f>
        <v>322</v>
      </c>
      <c r="H15">
        <f t="shared" si="0"/>
        <v>12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212</v>
      </c>
      <c r="F16">
        <v>213</v>
      </c>
      <c r="G16">
        <f>VLOOKUP(A16,PPL!B:M,12,0)</f>
        <v>213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204</v>
      </c>
      <c r="F17">
        <v>204</v>
      </c>
      <c r="G17">
        <f>VLOOKUP(A17,PPL!B:M,12,0)</f>
        <v>216</v>
      </c>
      <c r="H17">
        <f t="shared" si="0"/>
        <v>12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203</v>
      </c>
      <c r="F18">
        <v>211</v>
      </c>
      <c r="G18">
        <f>VLOOKUP(A18,PPL!B:M,12,0)</f>
        <v>232</v>
      </c>
      <c r="H18">
        <f t="shared" si="0"/>
        <v>21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264</v>
      </c>
      <c r="F19">
        <v>273</v>
      </c>
      <c r="G19">
        <f>VLOOKUP(A19,PPL!B:M,12,0)</f>
        <v>283</v>
      </c>
      <c r="H19">
        <f t="shared" si="0"/>
        <v>10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225</v>
      </c>
      <c r="F20">
        <v>235</v>
      </c>
      <c r="G20">
        <f>VLOOKUP(A20,PPL!B:M,12,0)</f>
        <v>244</v>
      </c>
      <c r="H20">
        <f t="shared" si="0"/>
        <v>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178</v>
      </c>
      <c r="F21">
        <v>190</v>
      </c>
      <c r="G21">
        <f>VLOOKUP(A21,PPL!B:M,12,0)</f>
        <v>230</v>
      </c>
      <c r="H21">
        <f t="shared" si="0"/>
        <v>40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207</v>
      </c>
      <c r="F22">
        <v>208</v>
      </c>
      <c r="G22">
        <f>VLOOKUP(A22,PPL!B:M,12,0)</f>
        <v>215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261</v>
      </c>
      <c r="F23">
        <v>291</v>
      </c>
      <c r="G23">
        <f>VLOOKUP(A23,PPL!B:M,12,0)</f>
        <v>294</v>
      </c>
      <c r="H23">
        <f t="shared" si="0"/>
        <v>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266</v>
      </c>
      <c r="F24">
        <v>277</v>
      </c>
      <c r="G24">
        <f>VLOOKUP(A24,PPL!B:M,12,0)</f>
        <v>290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180</v>
      </c>
      <c r="F25">
        <v>192</v>
      </c>
      <c r="G25">
        <f>VLOOKUP(A25,PPL!B:M,12,0)</f>
        <v>192</v>
      </c>
      <c r="H25">
        <f t="shared" si="0"/>
        <v>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222</v>
      </c>
      <c r="F26">
        <v>237</v>
      </c>
      <c r="G26">
        <f>VLOOKUP(A26,PPL!B:M,12,0)</f>
        <v>269</v>
      </c>
      <c r="H26">
        <f t="shared" si="0"/>
        <v>32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219</v>
      </c>
      <c r="F27">
        <v>224</v>
      </c>
      <c r="G27">
        <f>VLOOKUP(A27,PPL!B:M,12,0)</f>
        <v>239</v>
      </c>
      <c r="H27">
        <f t="shared" si="0"/>
        <v>15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202</v>
      </c>
      <c r="F28">
        <v>220</v>
      </c>
      <c r="G28">
        <f>VLOOKUP(A28,PPL!B:M,12,0)</f>
        <v>221</v>
      </c>
      <c r="H28">
        <f t="shared" si="0"/>
        <v>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121</v>
      </c>
      <c r="F29">
        <v>131</v>
      </c>
      <c r="G29">
        <f>VLOOKUP(A29,PPL!B:M,12,0)</f>
        <v>131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196</v>
      </c>
      <c r="F30">
        <v>200</v>
      </c>
      <c r="G30">
        <f>VLOOKUP(A30,PPL!B:M,12,0)</f>
        <v>213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215</v>
      </c>
      <c r="F31">
        <v>232</v>
      </c>
      <c r="G31">
        <f>VLOOKUP(A31,PPL!B:M,12,0)</f>
        <v>232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160</v>
      </c>
      <c r="F32">
        <v>161</v>
      </c>
      <c r="G32">
        <f>VLOOKUP(A32,PPL!B:M,12,0)</f>
        <v>161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302</v>
      </c>
      <c r="F33">
        <v>312</v>
      </c>
      <c r="G33">
        <f>VLOOKUP(A33,PPL!B:M,12,0)</f>
        <v>322</v>
      </c>
      <c r="H33">
        <f t="shared" si="0"/>
        <v>10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222</v>
      </c>
      <c r="F34">
        <v>235</v>
      </c>
      <c r="G34">
        <f>VLOOKUP(A34,PPL!B:M,12,0)</f>
        <v>240</v>
      </c>
      <c r="H34">
        <f t="shared" si="0"/>
        <v>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251</v>
      </c>
      <c r="F35">
        <v>254</v>
      </c>
      <c r="G35">
        <f>VLOOKUP(A35,PPL!B:M,12,0)</f>
        <v>258</v>
      </c>
      <c r="H35">
        <f t="shared" si="0"/>
        <v>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223</v>
      </c>
      <c r="F36">
        <v>235</v>
      </c>
      <c r="G36">
        <f>VLOOKUP(A36,PPL!B:M,12,0)</f>
        <v>244</v>
      </c>
      <c r="H36">
        <f t="shared" si="0"/>
        <v>9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170</v>
      </c>
      <c r="F37">
        <v>177</v>
      </c>
      <c r="G37">
        <f>VLOOKUP(A37,PPL!B:M,12,0)</f>
        <v>191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347</v>
      </c>
      <c r="F38">
        <v>372</v>
      </c>
      <c r="G38">
        <f>VLOOKUP(A38,PPL!B:M,12,0)</f>
        <v>373</v>
      </c>
      <c r="H38">
        <f t="shared" si="0"/>
        <v>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187</v>
      </c>
      <c r="F39">
        <v>203</v>
      </c>
      <c r="G39">
        <f>VLOOKUP(A39,PPL!B:M,12,0)</f>
        <v>210</v>
      </c>
      <c r="H39">
        <f t="shared" si="0"/>
        <v>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259</v>
      </c>
      <c r="F40">
        <v>260</v>
      </c>
      <c r="G40">
        <f>VLOOKUP(A40,PPL!B:M,12,0)</f>
        <v>260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141</v>
      </c>
      <c r="F41">
        <v>148</v>
      </c>
      <c r="G41">
        <f>VLOOKUP(A41,PPL!B:M,12,0)</f>
        <v>167</v>
      </c>
      <c r="H41">
        <f t="shared" si="0"/>
        <v>19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174</v>
      </c>
      <c r="F42">
        <v>190</v>
      </c>
      <c r="G42">
        <f>VLOOKUP(A42,PPL!B:M,12,0)</f>
        <v>209</v>
      </c>
      <c r="H42">
        <f t="shared" si="0"/>
        <v>19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115</v>
      </c>
      <c r="F43">
        <v>147</v>
      </c>
      <c r="G43">
        <f>VLOOKUP(A43,PPL!B:M,12,0)</f>
        <v>147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202</v>
      </c>
      <c r="F44">
        <v>202</v>
      </c>
      <c r="G44">
        <f>VLOOKUP(A44,PPL!B:M,12,0)</f>
        <v>202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238</v>
      </c>
      <c r="F45">
        <v>243</v>
      </c>
      <c r="G45">
        <f>VLOOKUP(A45,PPL!B:M,12,0)</f>
        <v>243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137</v>
      </c>
      <c r="F46">
        <v>161</v>
      </c>
      <c r="G46">
        <f>VLOOKUP(A46,PPL!B:M,12,0)</f>
        <v>178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190</v>
      </c>
      <c r="F47">
        <v>203</v>
      </c>
      <c r="G47">
        <f>VLOOKUP(A47,PPL!B:M,12,0)</f>
        <v>220</v>
      </c>
      <c r="H47">
        <f t="shared" si="0"/>
        <v>17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214</v>
      </c>
      <c r="F48">
        <v>222</v>
      </c>
      <c r="G48">
        <f>VLOOKUP(A48,PPL!B:M,12,0)</f>
        <v>224</v>
      </c>
      <c r="H48">
        <f t="shared" si="0"/>
        <v>2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221</v>
      </c>
      <c r="F49">
        <v>226</v>
      </c>
      <c r="G49">
        <f>VLOOKUP(A49,PPL!B:M,12,0)</f>
        <v>245</v>
      </c>
      <c r="H49">
        <f t="shared" si="0"/>
        <v>19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205</v>
      </c>
      <c r="F50">
        <v>206</v>
      </c>
      <c r="G50">
        <f>VLOOKUP(A50,PPL!B:M,12,0)</f>
        <v>223</v>
      </c>
      <c r="H50">
        <f t="shared" si="0"/>
        <v>17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210</v>
      </c>
      <c r="F51">
        <v>213</v>
      </c>
      <c r="G51">
        <f>VLOOKUP(A51,PPL!B:M,12,0)</f>
        <v>223</v>
      </c>
      <c r="H51">
        <f t="shared" si="0"/>
        <v>10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192</v>
      </c>
      <c r="F52">
        <v>205</v>
      </c>
      <c r="G52">
        <f>VLOOKUP(A52,PPL!B:M,12,0)</f>
        <v>220</v>
      </c>
      <c r="H52">
        <f t="shared" si="0"/>
        <v>15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180</v>
      </c>
      <c r="F53">
        <v>186</v>
      </c>
      <c r="G53">
        <f>VLOOKUP(A53,PPL!B:M,12,0)</f>
        <v>200</v>
      </c>
      <c r="H53">
        <f t="shared" si="0"/>
        <v>14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196</v>
      </c>
      <c r="F54">
        <v>205</v>
      </c>
      <c r="G54">
        <f>VLOOKUP(A54,PPL!B:M,12,0)</f>
        <v>212</v>
      </c>
      <c r="H54">
        <f t="shared" si="0"/>
        <v>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187</v>
      </c>
      <c r="F55">
        <v>203</v>
      </c>
      <c r="G55">
        <f>VLOOKUP(A55,PPL!B:M,12,0)</f>
        <v>228</v>
      </c>
      <c r="H55">
        <f t="shared" si="0"/>
        <v>25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274</v>
      </c>
      <c r="F56">
        <v>286</v>
      </c>
      <c r="G56">
        <f>VLOOKUP(A56,PPL!B:M,12,0)</f>
        <v>295</v>
      </c>
      <c r="H56">
        <f t="shared" si="0"/>
        <v>9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171</v>
      </c>
      <c r="F57">
        <v>171</v>
      </c>
      <c r="G57">
        <f>VLOOKUP(A57,PPL!B:M,12,0)</f>
        <v>187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191</v>
      </c>
      <c r="F58">
        <v>203</v>
      </c>
      <c r="G58">
        <f>VLOOKUP(A58,PPL!B:M,12,0)</f>
        <v>230</v>
      </c>
      <c r="H58">
        <f t="shared" si="0"/>
        <v>27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141</v>
      </c>
      <c r="F59">
        <v>152</v>
      </c>
      <c r="G59">
        <f>VLOOKUP(A59,PPL!B:M,12,0)</f>
        <v>164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246</v>
      </c>
      <c r="F60">
        <v>275</v>
      </c>
      <c r="G60">
        <f>VLOOKUP(A60,PPL!B:M,12,0)</f>
        <v>298</v>
      </c>
      <c r="H60">
        <f t="shared" si="0"/>
        <v>23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178</v>
      </c>
      <c r="F61">
        <v>187</v>
      </c>
      <c r="G61">
        <f>VLOOKUP(A61,PPL!B:M,12,0)</f>
        <v>195</v>
      </c>
      <c r="H61">
        <f t="shared" si="0"/>
        <v>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197</v>
      </c>
      <c r="F62">
        <v>210</v>
      </c>
      <c r="G62">
        <f>VLOOKUP(A62,PPL!B:M,12,0)</f>
        <v>211</v>
      </c>
      <c r="H62">
        <f t="shared" si="0"/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265</v>
      </c>
      <c r="F63">
        <v>272</v>
      </c>
      <c r="G63">
        <f>VLOOKUP(A63,PPL!B:M,12,0)</f>
        <v>283</v>
      </c>
      <c r="H63">
        <f t="shared" si="0"/>
        <v>11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201</v>
      </c>
      <c r="F64">
        <v>211</v>
      </c>
      <c r="G64">
        <f>VLOOKUP(A64,PPL!B:M,12,0)</f>
        <v>220</v>
      </c>
      <c r="H64">
        <f t="shared" si="0"/>
        <v>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185</v>
      </c>
      <c r="F65">
        <v>190</v>
      </c>
      <c r="G65">
        <f>VLOOKUP(A65,PPL!B:M,12,0)</f>
        <v>200</v>
      </c>
      <c r="H65">
        <f t="shared" si="0"/>
        <v>10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210</v>
      </c>
      <c r="F66">
        <v>216</v>
      </c>
      <c r="G66">
        <f>VLOOKUP(A66,PPL!B:M,12,0)</f>
        <v>225</v>
      </c>
      <c r="H66">
        <f t="shared" ref="H66:H129" si="2">G66-F66</f>
        <v>9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182</v>
      </c>
      <c r="F67">
        <v>219</v>
      </c>
      <c r="G67">
        <f>VLOOKUP(A67,PPL!B:M,12,0)</f>
        <v>224</v>
      </c>
      <c r="H67">
        <f t="shared" si="2"/>
        <v>5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192</v>
      </c>
      <c r="F68">
        <v>208</v>
      </c>
      <c r="G68">
        <f>VLOOKUP(A68,PPL!B:M,12,0)</f>
        <v>224</v>
      </c>
      <c r="H68">
        <f t="shared" si="2"/>
        <v>16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144</v>
      </c>
      <c r="F69">
        <v>153</v>
      </c>
      <c r="G69">
        <f>VLOOKUP(A69,PPL!B:M,12,0)</f>
        <v>161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180</v>
      </c>
      <c r="F70">
        <v>188</v>
      </c>
      <c r="G70">
        <f>VLOOKUP(A70,PPL!B:M,12,0)</f>
        <v>200</v>
      </c>
      <c r="H70">
        <f t="shared" si="2"/>
        <v>12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180</v>
      </c>
      <c r="F71">
        <v>184</v>
      </c>
      <c r="G71">
        <f>VLOOKUP(A71,PPL!B:M,12,0)</f>
        <v>184</v>
      </c>
      <c r="H71">
        <f t="shared" si="2"/>
        <v>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165</v>
      </c>
      <c r="F72">
        <v>177</v>
      </c>
      <c r="G72">
        <f>VLOOKUP(A72,PPL!B:M,12,0)</f>
        <v>179</v>
      </c>
      <c r="H72">
        <f t="shared" si="2"/>
        <v>2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164</v>
      </c>
      <c r="F73">
        <v>186</v>
      </c>
      <c r="G73">
        <f>VLOOKUP(A73,PPL!B:M,12,0)</f>
        <v>186</v>
      </c>
      <c r="H73">
        <f t="shared" si="2"/>
        <v>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161</v>
      </c>
      <c r="F74">
        <v>173</v>
      </c>
      <c r="G74">
        <f>VLOOKUP(A74,PPL!B:M,12,0)</f>
        <v>185</v>
      </c>
      <c r="H74">
        <f t="shared" si="2"/>
        <v>12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160</v>
      </c>
      <c r="F75">
        <v>176</v>
      </c>
      <c r="G75">
        <f>VLOOKUP(A75,PPL!B:M,12,0)</f>
        <v>192</v>
      </c>
      <c r="H75">
        <f t="shared" si="2"/>
        <v>16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125</v>
      </c>
      <c r="F76">
        <v>125</v>
      </c>
      <c r="G76">
        <f>VLOOKUP(A76,PPL!B:M,12,0)</f>
        <v>141</v>
      </c>
      <c r="H76">
        <f t="shared" si="2"/>
        <v>16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193</v>
      </c>
      <c r="F77">
        <v>194</v>
      </c>
      <c r="G77">
        <f>VLOOKUP(A77,PPL!B:M,12,0)</f>
        <v>207</v>
      </c>
      <c r="H77">
        <f t="shared" si="2"/>
        <v>13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181</v>
      </c>
      <c r="F78">
        <v>195</v>
      </c>
      <c r="G78">
        <f>VLOOKUP(A78,PPL!B:M,12,0)</f>
        <v>211</v>
      </c>
      <c r="H78">
        <f t="shared" si="2"/>
        <v>16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108</v>
      </c>
      <c r="F79">
        <v>111</v>
      </c>
      <c r="G79">
        <f>VLOOKUP(A79,PPL!B:M,12,0)</f>
        <v>111</v>
      </c>
      <c r="H79">
        <f t="shared" si="2"/>
        <v>0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73</v>
      </c>
      <c r="F80">
        <v>90</v>
      </c>
      <c r="G80">
        <f>VLOOKUP(A80,PPL!B:M,12,0)</f>
        <v>113</v>
      </c>
      <c r="H80">
        <f t="shared" si="2"/>
        <v>23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148</v>
      </c>
      <c r="F81">
        <v>159</v>
      </c>
      <c r="G81">
        <f>VLOOKUP(A81,PPL!B:M,12,0)</f>
        <v>173</v>
      </c>
      <c r="H81">
        <f t="shared" si="2"/>
        <v>14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113</v>
      </c>
      <c r="F82">
        <v>119</v>
      </c>
      <c r="G82">
        <f>VLOOKUP(A82,PPL!B:M,12,0)</f>
        <v>137</v>
      </c>
      <c r="H82">
        <f t="shared" si="2"/>
        <v>18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136</v>
      </c>
      <c r="F83">
        <v>147</v>
      </c>
      <c r="G83">
        <f>VLOOKUP(A83,PPL!B:M,12,0)</f>
        <v>157</v>
      </c>
      <c r="H83">
        <f t="shared" si="2"/>
        <v>10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159</v>
      </c>
      <c r="F84">
        <v>162</v>
      </c>
      <c r="G84">
        <f>VLOOKUP(A84,PPL!B:M,12,0)</f>
        <v>165</v>
      </c>
      <c r="H84">
        <f t="shared" si="2"/>
        <v>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151</v>
      </c>
      <c r="F85">
        <v>168</v>
      </c>
      <c r="G85">
        <f>VLOOKUP(A85,PPL!B:M,12,0)</f>
        <v>177</v>
      </c>
      <c r="H85">
        <f t="shared" si="2"/>
        <v>9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197</v>
      </c>
      <c r="F86">
        <v>234</v>
      </c>
      <c r="G86">
        <f>VLOOKUP(A86,PPL!B:M,12,0)</f>
        <v>234</v>
      </c>
      <c r="H86">
        <f t="shared" si="2"/>
        <v>0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215</v>
      </c>
      <c r="F87">
        <v>224</v>
      </c>
      <c r="G87">
        <f>VLOOKUP(A87,PPL!B:M,12,0)</f>
        <v>229</v>
      </c>
      <c r="H87">
        <f t="shared" si="2"/>
        <v>5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206</v>
      </c>
      <c r="F88">
        <v>226</v>
      </c>
      <c r="G88">
        <f>VLOOKUP(A88,PPL!B:M,12,0)</f>
        <v>232</v>
      </c>
      <c r="H88">
        <f t="shared" si="2"/>
        <v>6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191</v>
      </c>
      <c r="F89">
        <v>204</v>
      </c>
      <c r="G89">
        <f>VLOOKUP(A89,PPL!B:M,12,0)</f>
        <v>212</v>
      </c>
      <c r="H89">
        <f t="shared" si="2"/>
        <v>8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150</v>
      </c>
      <c r="F90">
        <v>163</v>
      </c>
      <c r="G90">
        <f>VLOOKUP(A90,PPL!B:M,12,0)</f>
        <v>187</v>
      </c>
      <c r="H90">
        <f t="shared" si="2"/>
        <v>24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214</v>
      </c>
      <c r="F91">
        <v>228</v>
      </c>
      <c r="G91">
        <f>VLOOKUP(A91,PPL!B:M,12,0)</f>
        <v>241</v>
      </c>
      <c r="H91">
        <f t="shared" si="2"/>
        <v>13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211</v>
      </c>
      <c r="F92">
        <v>214</v>
      </c>
      <c r="G92">
        <f>VLOOKUP(A92,PPL!B:M,12,0)</f>
        <v>223</v>
      </c>
      <c r="H92">
        <f t="shared" si="2"/>
        <v>9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174</v>
      </c>
      <c r="F93">
        <v>215</v>
      </c>
      <c r="G93">
        <f>VLOOKUP(A93,PPL!B:M,12,0)</f>
        <v>227</v>
      </c>
      <c r="H93">
        <f t="shared" si="2"/>
        <v>12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186</v>
      </c>
      <c r="F94">
        <v>222</v>
      </c>
      <c r="G94">
        <f>VLOOKUP(A94,PPL!B:M,12,0)</f>
        <v>249</v>
      </c>
      <c r="H94">
        <f t="shared" si="2"/>
        <v>27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195</v>
      </c>
      <c r="F95">
        <v>214</v>
      </c>
      <c r="G95">
        <f>VLOOKUP(A95,PPL!B:M,12,0)</f>
        <v>225</v>
      </c>
      <c r="H95">
        <f t="shared" si="2"/>
        <v>11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180</v>
      </c>
      <c r="F96">
        <v>185</v>
      </c>
      <c r="G96">
        <f>VLOOKUP(A96,PPL!B:M,12,0)</f>
        <v>218</v>
      </c>
      <c r="H96">
        <f t="shared" si="2"/>
        <v>33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220</v>
      </c>
      <c r="F97">
        <v>233</v>
      </c>
      <c r="G97">
        <f>VLOOKUP(A97,PPL!B:M,12,0)</f>
        <v>246</v>
      </c>
      <c r="H97">
        <f t="shared" si="2"/>
        <v>13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160</v>
      </c>
      <c r="F98">
        <v>180</v>
      </c>
      <c r="G98">
        <f>VLOOKUP(A98,PPL!B:M,12,0)</f>
        <v>209</v>
      </c>
      <c r="H98">
        <f t="shared" si="2"/>
        <v>29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269</v>
      </c>
      <c r="F99">
        <v>289</v>
      </c>
      <c r="G99">
        <f>VLOOKUP(A99,PPL!B:M,12,0)</f>
        <v>291</v>
      </c>
      <c r="H99">
        <f t="shared" si="2"/>
        <v>2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226</v>
      </c>
      <c r="F100">
        <v>241</v>
      </c>
      <c r="G100">
        <f>VLOOKUP(A100,PPL!B:M,12,0)</f>
        <v>243</v>
      </c>
      <c r="H100">
        <f t="shared" si="2"/>
        <v>2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189</v>
      </c>
      <c r="F101">
        <v>196</v>
      </c>
      <c r="G101">
        <f>VLOOKUP(A101,PPL!B:M,12,0)</f>
        <v>213</v>
      </c>
      <c r="H101">
        <f t="shared" si="2"/>
        <v>17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198</v>
      </c>
      <c r="F102">
        <v>232</v>
      </c>
      <c r="G102">
        <f>VLOOKUP(A102,PPL!B:M,12,0)</f>
        <v>232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222</v>
      </c>
      <c r="F103">
        <v>235</v>
      </c>
      <c r="G103">
        <f>VLOOKUP(A103,PPL!B:M,12,0)</f>
        <v>237</v>
      </c>
      <c r="H103">
        <f t="shared" si="2"/>
        <v>2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162</v>
      </c>
      <c r="F104">
        <v>168</v>
      </c>
      <c r="G104">
        <f>VLOOKUP(A104,PPL!B:M,12,0)</f>
        <v>180</v>
      </c>
      <c r="H104">
        <f t="shared" si="2"/>
        <v>12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209</v>
      </c>
      <c r="F105">
        <v>227</v>
      </c>
      <c r="G105">
        <f>VLOOKUP(A105,PPL!B:M,12,0)</f>
        <v>257</v>
      </c>
      <c r="H105">
        <f t="shared" si="2"/>
        <v>30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399</v>
      </c>
      <c r="F106">
        <v>414</v>
      </c>
      <c r="G106">
        <f>VLOOKUP(A106,PPL!B:M,12,0)</f>
        <v>464</v>
      </c>
      <c r="H106">
        <f t="shared" si="2"/>
        <v>50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179</v>
      </c>
      <c r="F107">
        <v>179</v>
      </c>
      <c r="G107">
        <f>VLOOKUP(A107,PPL!B:M,12,0)</f>
        <v>199</v>
      </c>
      <c r="H107">
        <f t="shared" si="2"/>
        <v>20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201</v>
      </c>
      <c r="F108">
        <v>227</v>
      </c>
      <c r="G108">
        <f>VLOOKUP(A108,PPL!B:M,12,0)</f>
        <v>262</v>
      </c>
      <c r="H108">
        <f t="shared" si="2"/>
        <v>35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196</v>
      </c>
      <c r="F109">
        <v>214</v>
      </c>
      <c r="G109">
        <f>VLOOKUP(A109,PPL!B:M,12,0)</f>
        <v>224</v>
      </c>
      <c r="H109">
        <f t="shared" si="2"/>
        <v>10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187</v>
      </c>
      <c r="F110">
        <v>203</v>
      </c>
      <c r="G110">
        <f>VLOOKUP(A110,PPL!B:M,12,0)</f>
        <v>207</v>
      </c>
      <c r="H110">
        <f t="shared" si="2"/>
        <v>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200</v>
      </c>
      <c r="F111">
        <v>254</v>
      </c>
      <c r="G111">
        <f>VLOOKUP(A111,PPL!B:M,12,0)</f>
        <v>260</v>
      </c>
      <c r="H111">
        <f t="shared" si="2"/>
        <v>6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247</v>
      </c>
      <c r="F112">
        <v>248</v>
      </c>
      <c r="G112">
        <f>VLOOKUP(A112,PPL!B:M,12,0)</f>
        <v>267</v>
      </c>
      <c r="H112">
        <f t="shared" si="2"/>
        <v>19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159</v>
      </c>
      <c r="F113">
        <v>167</v>
      </c>
      <c r="G113">
        <f>VLOOKUP(A113,PPL!B:M,12,0)</f>
        <v>168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124</v>
      </c>
      <c r="F114">
        <v>140</v>
      </c>
      <c r="G114">
        <f>VLOOKUP(A114,PPL!B:M,12,0)</f>
        <v>145</v>
      </c>
      <c r="H114">
        <f t="shared" si="2"/>
        <v>5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104</v>
      </c>
      <c r="F115">
        <v>113</v>
      </c>
      <c r="G115">
        <f>VLOOKUP(A115,PPL!B:M,12,0)</f>
        <v>119</v>
      </c>
      <c r="H115">
        <f t="shared" si="2"/>
        <v>6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151</v>
      </c>
      <c r="F116">
        <v>161</v>
      </c>
      <c r="G116">
        <f>VLOOKUP(A116,PPL!B:M,12,0)</f>
        <v>183</v>
      </c>
      <c r="H116">
        <f t="shared" si="2"/>
        <v>22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248</v>
      </c>
      <c r="F117">
        <v>248</v>
      </c>
      <c r="G117">
        <f>VLOOKUP(A117,PPL!B:M,12,0)</f>
        <v>256</v>
      </c>
      <c r="H117">
        <f t="shared" si="2"/>
        <v>8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176</v>
      </c>
      <c r="F118">
        <v>204</v>
      </c>
      <c r="G118">
        <f>VLOOKUP(A118,PPL!B:M,12,0)</f>
        <v>241</v>
      </c>
      <c r="H118">
        <f t="shared" si="2"/>
        <v>37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250</v>
      </c>
      <c r="F119">
        <v>250</v>
      </c>
      <c r="G119">
        <f>VLOOKUP(A119,PPL!B:M,12,0)</f>
        <v>260</v>
      </c>
      <c r="H119">
        <f t="shared" si="2"/>
        <v>10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339</v>
      </c>
      <c r="F120">
        <v>350</v>
      </c>
      <c r="G120">
        <f>VLOOKUP(A120,PPL!B:M,12,0)</f>
        <v>350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269</v>
      </c>
      <c r="F121">
        <v>269</v>
      </c>
      <c r="G121">
        <f>VLOOKUP(A121,PPL!B:M,12,0)</f>
        <v>289</v>
      </c>
      <c r="H121">
        <f t="shared" si="2"/>
        <v>20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238</v>
      </c>
      <c r="F122">
        <v>238</v>
      </c>
      <c r="G122">
        <f>VLOOKUP(A122,PPL!B:M,12,0)</f>
        <v>238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224</v>
      </c>
      <c r="F123">
        <v>230</v>
      </c>
      <c r="G123">
        <f>VLOOKUP(A123,PPL!B:M,12,0)</f>
        <v>235</v>
      </c>
      <c r="H123">
        <f t="shared" si="2"/>
        <v>5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144</v>
      </c>
      <c r="F124">
        <v>151</v>
      </c>
      <c r="G124">
        <f>VLOOKUP(A124,PPL!B:M,12,0)</f>
        <v>152</v>
      </c>
      <c r="H124">
        <f t="shared" si="2"/>
        <v>1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206</v>
      </c>
      <c r="F125">
        <v>206</v>
      </c>
      <c r="G125">
        <f>VLOOKUP(A125,PPL!B:M,12,0)</f>
        <v>210</v>
      </c>
      <c r="H125">
        <f t="shared" si="2"/>
        <v>4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116</v>
      </c>
      <c r="F126">
        <v>116</v>
      </c>
      <c r="G126">
        <f>VLOOKUP(A126,PPL!B:M,12,0)</f>
        <v>116</v>
      </c>
      <c r="H126">
        <f t="shared" si="2"/>
        <v>0</v>
      </c>
      <c r="I126" t="b">
        <f t="shared" si="3"/>
        <v>1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166</v>
      </c>
      <c r="F127">
        <v>171</v>
      </c>
      <c r="G127">
        <f>VLOOKUP(A127,PPL!B:M,12,0)</f>
        <v>179</v>
      </c>
      <c r="H127">
        <f t="shared" si="2"/>
        <v>8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140</v>
      </c>
      <c r="F128">
        <v>150</v>
      </c>
      <c r="G128">
        <f>VLOOKUP(A128,PPL!B:M,12,0)</f>
        <v>168</v>
      </c>
      <c r="H128">
        <f t="shared" si="2"/>
        <v>18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144</v>
      </c>
      <c r="F129">
        <v>160</v>
      </c>
      <c r="G129">
        <f>VLOOKUP(A129,PPL!B:M,12,0)</f>
        <v>170</v>
      </c>
      <c r="H129">
        <f t="shared" si="2"/>
        <v>10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176</v>
      </c>
      <c r="F130">
        <v>191</v>
      </c>
      <c r="G130">
        <f>VLOOKUP(A130,PPL!B:M,12,0)</f>
        <v>207</v>
      </c>
      <c r="H130">
        <f t="shared" ref="H130:H158" si="4">G130-F130</f>
        <v>16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139</v>
      </c>
      <c r="F131">
        <v>139</v>
      </c>
      <c r="G131">
        <f>VLOOKUP(A131,PPL!B:M,12,0)</f>
        <v>166</v>
      </c>
      <c r="H131">
        <f t="shared" si="4"/>
        <v>27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191</v>
      </c>
      <c r="F132">
        <v>195</v>
      </c>
      <c r="G132">
        <f>VLOOKUP(A132,PPL!B:M,12,0)</f>
        <v>220</v>
      </c>
      <c r="H132">
        <f t="shared" si="4"/>
        <v>25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118</v>
      </c>
      <c r="F133">
        <v>123</v>
      </c>
      <c r="G133">
        <f>VLOOKUP(A133,PPL!B:M,12,0)</f>
        <v>123</v>
      </c>
      <c r="H133">
        <f t="shared" si="4"/>
        <v>0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122</v>
      </c>
      <c r="F134">
        <v>141</v>
      </c>
      <c r="G134">
        <f>VLOOKUP(A134,PPL!B:M,12,0)</f>
        <v>141</v>
      </c>
      <c r="H134">
        <f t="shared" si="4"/>
        <v>0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236</v>
      </c>
      <c r="F135">
        <v>236</v>
      </c>
      <c r="G135">
        <f>VLOOKUP(A135,PPL!B:M,12,0)</f>
        <v>244</v>
      </c>
      <c r="H135">
        <f t="shared" si="4"/>
        <v>8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331</v>
      </c>
      <c r="F136">
        <v>331</v>
      </c>
      <c r="G136">
        <f>VLOOKUP(A136,PPL!B:M,12,0)</f>
        <v>352</v>
      </c>
      <c r="H136">
        <f t="shared" si="4"/>
        <v>21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172</v>
      </c>
      <c r="F137">
        <v>186</v>
      </c>
      <c r="G137">
        <f>VLOOKUP(A137,PPL!B:M,12,0)</f>
        <v>197</v>
      </c>
      <c r="H137">
        <f t="shared" si="4"/>
        <v>11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126</v>
      </c>
      <c r="F138">
        <v>133</v>
      </c>
      <c r="G138">
        <f>VLOOKUP(A138,PPL!B:M,12,0)</f>
        <v>154</v>
      </c>
      <c r="H138">
        <f t="shared" si="4"/>
        <v>21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169</v>
      </c>
      <c r="F139">
        <v>251</v>
      </c>
      <c r="G139">
        <f>VLOOKUP(A139,PPL!B:M,12,0)</f>
        <v>299</v>
      </c>
      <c r="H139">
        <f t="shared" si="4"/>
        <v>48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848</v>
      </c>
      <c r="F140">
        <v>882</v>
      </c>
      <c r="G140">
        <f>VLOOKUP(A140,PML!A:K,11,0)</f>
        <v>925</v>
      </c>
      <c r="H140">
        <f t="shared" si="4"/>
        <v>43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578</v>
      </c>
      <c r="F141">
        <v>591</v>
      </c>
      <c r="G141">
        <f>VLOOKUP(A141,PML!A:K,11,0)</f>
        <v>660</v>
      </c>
      <c r="H141">
        <f t="shared" si="4"/>
        <v>69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469</v>
      </c>
      <c r="F142">
        <v>545</v>
      </c>
      <c r="G142">
        <f>VLOOKUP(A142,PML!A:K,11,0)</f>
        <v>663</v>
      </c>
      <c r="H142">
        <f t="shared" si="4"/>
        <v>118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693</v>
      </c>
      <c r="F143">
        <v>800</v>
      </c>
      <c r="G143">
        <f>VLOOKUP(A143,PML!A:K,11,0)</f>
        <v>904</v>
      </c>
      <c r="H143">
        <f t="shared" si="4"/>
        <v>104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551</v>
      </c>
      <c r="F144">
        <v>585</v>
      </c>
      <c r="G144">
        <f>VLOOKUP(A144,PML!A:K,11,0)</f>
        <v>642</v>
      </c>
      <c r="H144">
        <f t="shared" si="4"/>
        <v>57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413</v>
      </c>
      <c r="F145">
        <v>493</v>
      </c>
      <c r="G145">
        <f>VLOOKUP(A145,PML!A:K,11,0)</f>
        <v>551</v>
      </c>
      <c r="H145">
        <f t="shared" si="4"/>
        <v>58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417</v>
      </c>
      <c r="F146">
        <v>401</v>
      </c>
      <c r="G146">
        <f>VLOOKUP(A146,PML!A:K,11,0)</f>
        <v>466</v>
      </c>
      <c r="H146">
        <f t="shared" si="4"/>
        <v>65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372</v>
      </c>
      <c r="F147">
        <v>409</v>
      </c>
      <c r="G147">
        <f>VLOOKUP(A147,PML!A:K,11,0)</f>
        <v>440</v>
      </c>
      <c r="H147">
        <f t="shared" si="4"/>
        <v>31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789</v>
      </c>
      <c r="F148">
        <v>785</v>
      </c>
      <c r="G148">
        <f>VLOOKUP(A148,PML!A:K,11,0)</f>
        <v>808</v>
      </c>
      <c r="H148">
        <f t="shared" si="4"/>
        <v>23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537</v>
      </c>
      <c r="F149">
        <v>567</v>
      </c>
      <c r="G149">
        <f>VLOOKUP(A149,PML!A:K,11,0)</f>
        <v>582</v>
      </c>
      <c r="H149">
        <f t="shared" si="4"/>
        <v>15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563</v>
      </c>
      <c r="F150">
        <v>537</v>
      </c>
      <c r="G150">
        <f>VLOOKUP(A150,PML!A:K,11,0)</f>
        <v>528</v>
      </c>
      <c r="H150">
        <f t="shared" si="4"/>
        <v>-9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640</v>
      </c>
      <c r="F151">
        <v>659</v>
      </c>
      <c r="G151">
        <f>VLOOKUP(A151,PML!A:K,11,0)</f>
        <v>667</v>
      </c>
      <c r="H151">
        <f t="shared" si="4"/>
        <v>8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342</v>
      </c>
      <c r="F152">
        <v>348</v>
      </c>
      <c r="G152">
        <f>VLOOKUP(A152,PML!A:K,11,0)</f>
        <v>368</v>
      </c>
      <c r="H152">
        <f t="shared" si="4"/>
        <v>20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439</v>
      </c>
      <c r="F153">
        <v>443</v>
      </c>
      <c r="G153">
        <f>VLOOKUP(A153,PML!A:K,11,0)</f>
        <v>442</v>
      </c>
      <c r="H153">
        <f t="shared" si="4"/>
        <v>-1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704</v>
      </c>
      <c r="F154">
        <v>887</v>
      </c>
      <c r="G154">
        <f>VLOOKUP(A154,PML!A:K,11,0)</f>
        <v>1058</v>
      </c>
      <c r="H154">
        <f t="shared" si="4"/>
        <v>171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1086</v>
      </c>
      <c r="F155">
        <v>1082</v>
      </c>
      <c r="G155">
        <f>VLOOKUP(A155,PML!A:K,11,0)</f>
        <v>1103</v>
      </c>
      <c r="H155">
        <f t="shared" si="4"/>
        <v>21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1093</v>
      </c>
      <c r="F156">
        <v>1189</v>
      </c>
      <c r="G156">
        <f>VLOOKUP(A156,PML!A:K,11,0)</f>
        <v>1229</v>
      </c>
      <c r="H156">
        <f t="shared" si="4"/>
        <v>40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421</v>
      </c>
      <c r="F157">
        <v>434</v>
      </c>
      <c r="G157">
        <f>VLOOKUP(A157,PML!A:K,11,0)</f>
        <v>462</v>
      </c>
      <c r="H157">
        <f t="shared" si="4"/>
        <v>28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761</v>
      </c>
      <c r="F158">
        <v>886</v>
      </c>
      <c r="G158">
        <f>VLOOKUP(A158,PML!A:K,11,0)</f>
        <v>953</v>
      </c>
      <c r="H158">
        <f t="shared" si="4"/>
        <v>67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618</v>
      </c>
      <c r="F2">
        <f>SUMIF(DATA!$A:$A,PPL!$A2,DATA!D:D)</f>
        <v>56</v>
      </c>
      <c r="G2">
        <f>SUMIF(DATA!$A:$A,PPL!$A2,DATA!E:E)</f>
        <v>35</v>
      </c>
      <c r="H2">
        <f>SUMIF(DATA!$A:$A,PPL!$A2,DATA!F:F)</f>
        <v>353</v>
      </c>
      <c r="I2">
        <f>SUMIF(DATA!$A:$A,PPL!$A2,DATA!G:G)</f>
        <v>59</v>
      </c>
      <c r="J2">
        <f>SUMIF(DATA!$A:$A,PPL!$A2,DATA!H:H)</f>
        <v>0</v>
      </c>
      <c r="K2">
        <f>SUMIF(DATA!$A:$A,PPL!$A2,DATA!I:I)</f>
        <v>115</v>
      </c>
      <c r="L2">
        <f>SUMIF(DATA!$A:$A,PPL!$A2,DATA!J:J)</f>
        <v>0</v>
      </c>
      <c r="M2">
        <f>F2+G2+I2+J2+K2+L2</f>
        <v>265</v>
      </c>
      <c r="N2" s="3">
        <f>(SUM(F2,K2)/E2)*100</f>
        <v>27.669902912621357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606</v>
      </c>
      <c r="F3">
        <f>SUMIF(DATA!$A:$A,PPL!$A3,DATA!D:D)</f>
        <v>123</v>
      </c>
      <c r="G3">
        <f>SUMIF(DATA!$A:$A,PPL!$A3,DATA!E:E)</f>
        <v>14</v>
      </c>
      <c r="H3">
        <f>SUMIF(DATA!$A:$A,PPL!$A3,DATA!F:F)</f>
        <v>386</v>
      </c>
      <c r="I3">
        <f>SUMIF(DATA!$A:$A,PPL!$A3,DATA!G:G)</f>
        <v>11</v>
      </c>
      <c r="J3">
        <f>SUMIF(DATA!$A:$A,PPL!$A3,DATA!H:H)</f>
        <v>0</v>
      </c>
      <c r="K3">
        <f>SUMIF(DATA!$A:$A,PPL!$A3,DATA!I:I)</f>
        <v>72</v>
      </c>
      <c r="L3">
        <f>SUMIF(DATA!$A:$A,PPL!$A3,DATA!J:J)</f>
        <v>0</v>
      </c>
      <c r="M3">
        <f t="shared" ref="M3:M65" si="0">F3+G3+I3+J3+K3+L3</f>
        <v>220</v>
      </c>
      <c r="N3" s="3">
        <f t="shared" ref="N3:N66" si="1">(SUM(F3,K3)/E3)*100</f>
        <v>32.178217821782177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673</v>
      </c>
      <c r="F4">
        <f>SUMIF(DATA!$A:$A,PPL!$A4,DATA!D:D)</f>
        <v>172</v>
      </c>
      <c r="G4">
        <f>SUMIF(DATA!$A:$A,PPL!$A4,DATA!E:E)</f>
        <v>5</v>
      </c>
      <c r="H4">
        <f>SUMIF(DATA!$A:$A,PPL!$A4,DATA!F:F)</f>
        <v>296</v>
      </c>
      <c r="I4">
        <f>SUMIF(DATA!$A:$A,PPL!$A4,DATA!G:G)</f>
        <v>137</v>
      </c>
      <c r="J4">
        <f>SUMIF(DATA!$A:$A,PPL!$A4,DATA!H:H)</f>
        <v>0</v>
      </c>
      <c r="K4">
        <f>SUMIF(DATA!$A:$A,PPL!$A4,DATA!I:I)</f>
        <v>63</v>
      </c>
      <c r="L4">
        <f>SUMIF(DATA!$A:$A,PPL!$A4,DATA!J:J)</f>
        <v>0</v>
      </c>
      <c r="M4">
        <f t="shared" si="0"/>
        <v>377</v>
      </c>
      <c r="N4" s="3">
        <f t="shared" si="1"/>
        <v>34.91827637444279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138</v>
      </c>
      <c r="G5">
        <f>SUMIF(DATA!$A:$A,PPL!$A5,DATA!E:E)</f>
        <v>1</v>
      </c>
      <c r="H5">
        <f>SUMIF(DATA!$A:$A,PPL!$A5,DATA!F:F)</f>
        <v>365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125</v>
      </c>
      <c r="L5">
        <f>SUMIF(DATA!$A:$A,PPL!$A5,DATA!J:J)</f>
        <v>0</v>
      </c>
      <c r="M5">
        <f t="shared" si="0"/>
        <v>264</v>
      </c>
      <c r="N5" s="3">
        <f t="shared" si="1"/>
        <v>41.812400635930047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652</v>
      </c>
      <c r="F6">
        <f>SUMIF(DATA!$A:$A,PPL!$A6,DATA!D:D)</f>
        <v>55</v>
      </c>
      <c r="G6">
        <f>SUMIF(DATA!$A:$A,PPL!$A6,DATA!E:E)</f>
        <v>42</v>
      </c>
      <c r="H6">
        <f>SUMIF(DATA!$A:$A,PPL!$A6,DATA!F:F)</f>
        <v>434</v>
      </c>
      <c r="I6">
        <f>SUMIF(DATA!$A:$A,PPL!$A6,DATA!G:G)</f>
        <v>53</v>
      </c>
      <c r="J6">
        <f>SUMIF(DATA!$A:$A,PPL!$A6,DATA!H:H)</f>
        <v>0</v>
      </c>
      <c r="K6">
        <f>SUMIF(DATA!$A:$A,PPL!$A6,DATA!I:I)</f>
        <v>68</v>
      </c>
      <c r="L6">
        <f>SUMIF(DATA!$A:$A,PPL!$A6,DATA!J:J)</f>
        <v>0</v>
      </c>
      <c r="M6">
        <f t="shared" si="0"/>
        <v>218</v>
      </c>
      <c r="N6" s="3">
        <f t="shared" si="1"/>
        <v>18.865030674846626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603</v>
      </c>
      <c r="F7">
        <f>SUMIF(DATA!$A:$A,PPL!$A7,DATA!D:D)</f>
        <v>46</v>
      </c>
      <c r="G7">
        <f>SUMIF(DATA!$A:$A,PPL!$A7,DATA!E:E)</f>
        <v>21</v>
      </c>
      <c r="H7">
        <f>SUMIF(DATA!$A:$A,PPL!$A7,DATA!F:F)</f>
        <v>365</v>
      </c>
      <c r="I7">
        <f>SUMIF(DATA!$A:$A,PPL!$A7,DATA!G:G)</f>
        <v>52</v>
      </c>
      <c r="J7">
        <f>SUMIF(DATA!$A:$A,PPL!$A7,DATA!H:H)</f>
        <v>1</v>
      </c>
      <c r="K7">
        <f>SUMIF(DATA!$A:$A,PPL!$A7,DATA!I:I)</f>
        <v>118</v>
      </c>
      <c r="L7">
        <f>SUMIF(DATA!$A:$A,PPL!$A7,DATA!J:J)</f>
        <v>0</v>
      </c>
      <c r="M7">
        <f t="shared" si="0"/>
        <v>238</v>
      </c>
      <c r="N7" s="3">
        <f t="shared" si="1"/>
        <v>27.197346600331674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635</v>
      </c>
      <c r="F8">
        <f>SUMIF(DATA!$A:$A,PPL!$A8,DATA!D:D)</f>
        <v>48</v>
      </c>
      <c r="G8">
        <f>SUMIF(DATA!$A:$A,PPL!$A8,DATA!E:E)</f>
        <v>40</v>
      </c>
      <c r="H8">
        <f>SUMIF(DATA!$A:$A,PPL!$A8,DATA!F:F)</f>
        <v>412</v>
      </c>
      <c r="I8">
        <f>SUMIF(DATA!$A:$A,PPL!$A8,DATA!G:G)</f>
        <v>5</v>
      </c>
      <c r="J8">
        <f>SUMIF(DATA!$A:$A,PPL!$A8,DATA!H:H)</f>
        <v>0</v>
      </c>
      <c r="K8">
        <f>SUMIF(DATA!$A:$A,PPL!$A8,DATA!I:I)</f>
        <v>130</v>
      </c>
      <c r="L8">
        <f>SUMIF(DATA!$A:$A,PPL!$A8,DATA!J:J)</f>
        <v>0</v>
      </c>
      <c r="M8">
        <f t="shared" si="0"/>
        <v>223</v>
      </c>
      <c r="N8" s="3">
        <f t="shared" si="1"/>
        <v>28.031496062992129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565</v>
      </c>
      <c r="F9">
        <f>SUMIF(DATA!$A:$A,PPL!$A9,DATA!D:D)</f>
        <v>54</v>
      </c>
      <c r="G9">
        <f>SUMIF(DATA!$A:$A,PPL!$A9,DATA!E:E)</f>
        <v>1</v>
      </c>
      <c r="H9">
        <f>SUMIF(DATA!$A:$A,PPL!$A9,DATA!F:F)</f>
        <v>348</v>
      </c>
      <c r="I9">
        <f>SUMIF(DATA!$A:$A,PPL!$A9,DATA!G:G)</f>
        <v>74</v>
      </c>
      <c r="J9">
        <f>SUMIF(DATA!$A:$A,PPL!$A9,DATA!H:H)</f>
        <v>0</v>
      </c>
      <c r="K9">
        <f>SUMIF(DATA!$A:$A,PPL!$A9,DATA!I:I)</f>
        <v>88</v>
      </c>
      <c r="L9">
        <f>SUMIF(DATA!$A:$A,PPL!$A9,DATA!J:J)</f>
        <v>0</v>
      </c>
      <c r="M9">
        <f t="shared" si="0"/>
        <v>217</v>
      </c>
      <c r="N9" s="3">
        <f t="shared" si="1"/>
        <v>25.13274336283186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641</v>
      </c>
      <c r="F10">
        <f>SUMIF(DATA!$A:$A,PPL!$A10,DATA!D:D)</f>
        <v>62</v>
      </c>
      <c r="G10">
        <f>SUMIF(DATA!$A:$A,PPL!$A10,DATA!E:E)</f>
        <v>8</v>
      </c>
      <c r="H10">
        <f>SUMIF(DATA!$A:$A,PPL!$A10,DATA!F:F)</f>
        <v>401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170</v>
      </c>
      <c r="L10">
        <f>SUMIF(DATA!$A:$A,PPL!$A10,DATA!J:J)</f>
        <v>0</v>
      </c>
      <c r="M10">
        <f t="shared" si="0"/>
        <v>240</v>
      </c>
      <c r="N10" s="3">
        <f t="shared" si="1"/>
        <v>36.193447737909516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639</v>
      </c>
      <c r="F11">
        <f>SUMIF(DATA!$A:$A,PPL!$A11,DATA!D:D)</f>
        <v>64</v>
      </c>
      <c r="G11">
        <f>SUMIF(DATA!$A:$A,PPL!$A11,DATA!E:E)</f>
        <v>3</v>
      </c>
      <c r="H11">
        <f>SUMIF(DATA!$A:$A,PPL!$A11,DATA!F:F)</f>
        <v>398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174</v>
      </c>
      <c r="L11">
        <f>SUMIF(DATA!$A:$A,PPL!$A11,DATA!J:J)</f>
        <v>0</v>
      </c>
      <c r="M11">
        <f t="shared" si="0"/>
        <v>241</v>
      </c>
      <c r="N11" s="3">
        <f t="shared" si="1"/>
        <v>37.245696400625974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675</v>
      </c>
      <c r="F12">
        <f>SUMIF(DATA!$A:$A,PPL!$A12,DATA!D:D)</f>
        <v>139</v>
      </c>
      <c r="G12">
        <f>SUMIF(DATA!$A:$A,PPL!$A12,DATA!E:E)</f>
        <v>40</v>
      </c>
      <c r="H12">
        <f>SUMIF(DATA!$A:$A,PPL!$A12,DATA!F:F)</f>
        <v>303</v>
      </c>
      <c r="I12">
        <f>SUMIF(DATA!$A:$A,PPL!$A12,DATA!G:G)</f>
        <v>54</v>
      </c>
      <c r="J12">
        <f>SUMIF(DATA!$A:$A,PPL!$A12,DATA!H:H)</f>
        <v>0</v>
      </c>
      <c r="K12">
        <f>SUMIF(DATA!$A:$A,PPL!$A12,DATA!I:I)</f>
        <v>139</v>
      </c>
      <c r="L12">
        <f>SUMIF(DATA!$A:$A,PPL!$A12,DATA!J:J)</f>
        <v>0</v>
      </c>
      <c r="M12">
        <f t="shared" si="0"/>
        <v>372</v>
      </c>
      <c r="N12" s="3">
        <f t="shared" si="1"/>
        <v>41.185185185185183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609</v>
      </c>
      <c r="F13">
        <f>SUMIF(DATA!$A:$A,PPL!$A13,DATA!D:D)</f>
        <v>52</v>
      </c>
      <c r="G13">
        <f>SUMIF(DATA!$A:$A,PPL!$A13,DATA!E:E)</f>
        <v>13</v>
      </c>
      <c r="H13">
        <f>SUMIF(DATA!$A:$A,PPL!$A13,DATA!F:F)</f>
        <v>411</v>
      </c>
      <c r="I13">
        <f>SUMIF(DATA!$A:$A,PPL!$A13,DATA!G:G)</f>
        <v>3</v>
      </c>
      <c r="J13">
        <f>SUMIF(DATA!$A:$A,PPL!$A13,DATA!H:H)</f>
        <v>0</v>
      </c>
      <c r="K13">
        <f>SUMIF(DATA!$A:$A,PPL!$A13,DATA!I:I)</f>
        <v>130</v>
      </c>
      <c r="L13">
        <f>SUMIF(DATA!$A:$A,PPL!$A13,DATA!J:J)</f>
        <v>0</v>
      </c>
      <c r="M13">
        <f t="shared" si="0"/>
        <v>198</v>
      </c>
      <c r="N13" s="3">
        <f t="shared" si="1"/>
        <v>29.885057471264371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672</v>
      </c>
      <c r="F14">
        <f>SUMIF(DATA!$A:$A,PPL!$A14,DATA!D:D)</f>
        <v>31</v>
      </c>
      <c r="G14">
        <f>SUMIF(DATA!$A:$A,PPL!$A14,DATA!E:E)</f>
        <v>18</v>
      </c>
      <c r="H14">
        <f>SUMIF(DATA!$A:$A,PPL!$A14,DATA!F:F)</f>
        <v>445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176</v>
      </c>
      <c r="L14">
        <f>SUMIF(DATA!$A:$A,PPL!$A14,DATA!J:J)</f>
        <v>0</v>
      </c>
      <c r="M14">
        <f t="shared" si="0"/>
        <v>227</v>
      </c>
      <c r="N14" s="3">
        <f t="shared" si="1"/>
        <v>30.803571428571431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131</v>
      </c>
      <c r="G15">
        <f>SUMIF(DATA!$A:$A,PPL!$A15,DATA!E:E)</f>
        <v>70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101</v>
      </c>
      <c r="L15">
        <f>SUMIF(DATA!$A:$A,PPL!$A15,DATA!J:J)</f>
        <v>0</v>
      </c>
      <c r="M15">
        <f t="shared" si="0"/>
        <v>322</v>
      </c>
      <c r="N15" s="3">
        <f t="shared" si="1"/>
        <v>34.575260804769002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646</v>
      </c>
      <c r="F16">
        <f>SUMIF(DATA!$A:$A,PPL!$A16,DATA!D:D)</f>
        <v>55</v>
      </c>
      <c r="G16">
        <f>SUMIF(DATA!$A:$A,PPL!$A16,DATA!E:E)</f>
        <v>0</v>
      </c>
      <c r="H16">
        <f>SUMIF(DATA!$A:$A,PPL!$A16,DATA!F:F)</f>
        <v>433</v>
      </c>
      <c r="I16">
        <f>SUMIF(DATA!$A:$A,PPL!$A16,DATA!G:G)</f>
        <v>78</v>
      </c>
      <c r="J16">
        <f>SUMIF(DATA!$A:$A,PPL!$A16,DATA!H:H)</f>
        <v>0</v>
      </c>
      <c r="K16">
        <f>SUMIF(DATA!$A:$A,PPL!$A16,DATA!I:I)</f>
        <v>79</v>
      </c>
      <c r="L16">
        <f>SUMIF(DATA!$A:$A,PPL!$A16,DATA!J:J)</f>
        <v>1</v>
      </c>
      <c r="M16">
        <f t="shared" si="0"/>
        <v>213</v>
      </c>
      <c r="N16" s="3">
        <f t="shared" si="1"/>
        <v>20.743034055727556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655</v>
      </c>
      <c r="F17">
        <f>SUMIF(DATA!$A:$A,PPL!$A17,DATA!D:D)</f>
        <v>73</v>
      </c>
      <c r="G17">
        <f>SUMIF(DATA!$A:$A,PPL!$A17,DATA!E:E)</f>
        <v>11</v>
      </c>
      <c r="H17">
        <f>SUMIF(DATA!$A:$A,PPL!$A17,DATA!F:F)</f>
        <v>439</v>
      </c>
      <c r="I17">
        <f>SUMIF(DATA!$A:$A,PPL!$A17,DATA!G:G)</f>
        <v>21</v>
      </c>
      <c r="J17">
        <f>SUMIF(DATA!$A:$A,PPL!$A17,DATA!H:H)</f>
        <v>0</v>
      </c>
      <c r="K17">
        <f>SUMIF(DATA!$A:$A,PPL!$A17,DATA!I:I)</f>
        <v>111</v>
      </c>
      <c r="L17">
        <f>SUMIF(DATA!$A:$A,PPL!$A17,DATA!J:J)</f>
        <v>0</v>
      </c>
      <c r="M17">
        <f t="shared" si="0"/>
        <v>216</v>
      </c>
      <c r="N17" s="3">
        <f t="shared" si="1"/>
        <v>28.091603053435115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646</v>
      </c>
      <c r="F18">
        <f>SUMIF(DATA!$A:$A,PPL!$A18,DATA!D:D)</f>
        <v>123</v>
      </c>
      <c r="G18">
        <f>SUMIF(DATA!$A:$A,PPL!$A18,DATA!E:E)</f>
        <v>0</v>
      </c>
      <c r="H18">
        <f>SUMIF(DATA!$A:$A,PPL!$A18,DATA!F:F)</f>
        <v>414</v>
      </c>
      <c r="I18">
        <f>SUMIF(DATA!$A:$A,PPL!$A18,DATA!G:G)</f>
        <v>27</v>
      </c>
      <c r="J18">
        <f>SUMIF(DATA!$A:$A,PPL!$A18,DATA!H:H)</f>
        <v>0</v>
      </c>
      <c r="K18">
        <f>SUMIF(DATA!$A:$A,PPL!$A18,DATA!I:I)</f>
        <v>82</v>
      </c>
      <c r="L18">
        <f>SUMIF(DATA!$A:$A,PPL!$A18,DATA!J:J)</f>
        <v>0</v>
      </c>
      <c r="M18">
        <f t="shared" si="0"/>
        <v>232</v>
      </c>
      <c r="N18" s="3">
        <f t="shared" si="1"/>
        <v>31.733746130030958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664</v>
      </c>
      <c r="F19">
        <f>SUMIF(DATA!$A:$A,PPL!$A19,DATA!D:D)</f>
        <v>79</v>
      </c>
      <c r="G19">
        <f>SUMIF(DATA!$A:$A,PPL!$A19,DATA!E:E)</f>
        <v>6</v>
      </c>
      <c r="H19">
        <f>SUMIF(DATA!$A:$A,PPL!$A19,DATA!F:F)</f>
        <v>381</v>
      </c>
      <c r="I19">
        <f>SUMIF(DATA!$A:$A,PPL!$A19,DATA!G:G)</f>
        <v>2</v>
      </c>
      <c r="J19">
        <f>SUMIF(DATA!$A:$A,PPL!$A19,DATA!H:H)</f>
        <v>1</v>
      </c>
      <c r="K19">
        <f>SUMIF(DATA!$A:$A,PPL!$A19,DATA!I:I)</f>
        <v>195</v>
      </c>
      <c r="L19">
        <f>SUMIF(DATA!$A:$A,PPL!$A19,DATA!J:J)</f>
        <v>0</v>
      </c>
      <c r="M19">
        <f t="shared" si="0"/>
        <v>283</v>
      </c>
      <c r="N19" s="3">
        <f t="shared" si="1"/>
        <v>41.265060240963855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628</v>
      </c>
      <c r="F20">
        <f>SUMIF(DATA!$A:$A,PPL!$A20,DATA!D:D)</f>
        <v>27</v>
      </c>
      <c r="G20">
        <f>SUMIF(DATA!$A:$A,PPL!$A20,DATA!E:E)</f>
        <v>51</v>
      </c>
      <c r="H20">
        <f>SUMIF(DATA!$A:$A,PPL!$A20,DATA!F:F)</f>
        <v>384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164</v>
      </c>
      <c r="L20">
        <f>SUMIF(DATA!$A:$A,PPL!$A20,DATA!J:J)</f>
        <v>0</v>
      </c>
      <c r="M20">
        <f t="shared" si="0"/>
        <v>244</v>
      </c>
      <c r="N20" s="3">
        <f t="shared" si="1"/>
        <v>30.414012738853501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641</v>
      </c>
      <c r="F21">
        <f>SUMIF(DATA!$A:$A,PPL!$A21,DATA!D:D)</f>
        <v>30</v>
      </c>
      <c r="G21">
        <f>SUMIF(DATA!$A:$A,PPL!$A21,DATA!E:E)</f>
        <v>37</v>
      </c>
      <c r="H21">
        <f>SUMIF(DATA!$A:$A,PPL!$A21,DATA!F:F)</f>
        <v>411</v>
      </c>
      <c r="I21">
        <f>SUMIF(DATA!$A:$A,PPL!$A21,DATA!G:G)</f>
        <v>3</v>
      </c>
      <c r="J21">
        <f>SUMIF(DATA!$A:$A,PPL!$A21,DATA!H:H)</f>
        <v>0</v>
      </c>
      <c r="K21">
        <f>SUMIF(DATA!$A:$A,PPL!$A21,DATA!I:I)</f>
        <v>160</v>
      </c>
      <c r="L21">
        <f>SUMIF(DATA!$A:$A,PPL!$A21,DATA!J:J)</f>
        <v>0</v>
      </c>
      <c r="M21">
        <f t="shared" si="0"/>
        <v>230</v>
      </c>
      <c r="N21" s="3">
        <f t="shared" si="1"/>
        <v>29.6411856474259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614</v>
      </c>
      <c r="F22">
        <f>SUMIF(DATA!$A:$A,PPL!$A22,DATA!D:D)</f>
        <v>58</v>
      </c>
      <c r="G22">
        <f>SUMIF(DATA!$A:$A,PPL!$A22,DATA!E:E)</f>
        <v>32</v>
      </c>
      <c r="H22">
        <f>SUMIF(DATA!$A:$A,PPL!$A22,DATA!F:F)</f>
        <v>399</v>
      </c>
      <c r="I22">
        <f>SUMIF(DATA!$A:$A,PPL!$A22,DATA!G:G)</f>
        <v>27</v>
      </c>
      <c r="J22">
        <f>SUMIF(DATA!$A:$A,PPL!$A22,DATA!H:H)</f>
        <v>0</v>
      </c>
      <c r="K22">
        <f>SUMIF(DATA!$A:$A,PPL!$A22,DATA!I:I)</f>
        <v>98</v>
      </c>
      <c r="L22">
        <f>SUMIF(DATA!$A:$A,PPL!$A22,DATA!J:J)</f>
        <v>0</v>
      </c>
      <c r="M22">
        <f t="shared" si="0"/>
        <v>215</v>
      </c>
      <c r="N22" s="3">
        <f t="shared" si="1"/>
        <v>25.407166123778502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703</v>
      </c>
      <c r="F23">
        <f>SUMIF(DATA!$A:$A,PPL!$A23,DATA!D:D)</f>
        <v>116</v>
      </c>
      <c r="G23">
        <f>SUMIF(DATA!$A:$A,PPL!$A23,DATA!E:E)</f>
        <v>153</v>
      </c>
      <c r="H23">
        <f>SUMIF(DATA!$A:$A,PPL!$A23,DATA!F:F)</f>
        <v>409</v>
      </c>
      <c r="I23">
        <f>SUMIF(DATA!$A:$A,PPL!$A23,DATA!G:G)</f>
        <v>14</v>
      </c>
      <c r="J23">
        <f>SUMIF(DATA!$A:$A,PPL!$A23,DATA!H:H)</f>
        <v>0</v>
      </c>
      <c r="K23">
        <f>SUMIF(DATA!$A:$A,PPL!$A23,DATA!I:I)</f>
        <v>11</v>
      </c>
      <c r="L23">
        <f>SUMIF(DATA!$A:$A,PPL!$A23,DATA!J:J)</f>
        <v>0</v>
      </c>
      <c r="M23">
        <f t="shared" si="0"/>
        <v>294</v>
      </c>
      <c r="N23" s="3">
        <f t="shared" si="1"/>
        <v>18.065433854907539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691</v>
      </c>
      <c r="F24">
        <f>SUMIF(DATA!$A:$A,PPL!$A24,DATA!D:D)</f>
        <v>167</v>
      </c>
      <c r="G24">
        <f>SUMIF(DATA!$A:$A,PPL!$A24,DATA!E:E)</f>
        <v>13</v>
      </c>
      <c r="H24">
        <f>SUMIF(DATA!$A:$A,PPL!$A24,DATA!F:F)</f>
        <v>401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110</v>
      </c>
      <c r="L24">
        <f>SUMIF(DATA!$A:$A,PPL!$A24,DATA!J:J)</f>
        <v>0</v>
      </c>
      <c r="M24">
        <f t="shared" si="0"/>
        <v>290</v>
      </c>
      <c r="N24" s="3">
        <f t="shared" si="1"/>
        <v>40.086830680173662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674</v>
      </c>
      <c r="F25">
        <f>SUMIF(DATA!$A:$A,PPL!$A25,DATA!D:D)</f>
        <v>49</v>
      </c>
      <c r="G25">
        <f>SUMIF(DATA!$A:$A,PPL!$A25,DATA!E:E)</f>
        <v>45</v>
      </c>
      <c r="H25">
        <f>SUMIF(DATA!$A:$A,PPL!$A25,DATA!F:F)</f>
        <v>482</v>
      </c>
      <c r="I25">
        <f>SUMIF(DATA!$A:$A,PPL!$A25,DATA!G:G)</f>
        <v>13</v>
      </c>
      <c r="J25">
        <f>SUMIF(DATA!$A:$A,PPL!$A25,DATA!H:H)</f>
        <v>0</v>
      </c>
      <c r="K25">
        <f>SUMIF(DATA!$A:$A,PPL!$A25,DATA!I:I)</f>
        <v>85</v>
      </c>
      <c r="L25">
        <f>SUMIF(DATA!$A:$A,PPL!$A25,DATA!J:J)</f>
        <v>0</v>
      </c>
      <c r="M25">
        <f t="shared" si="0"/>
        <v>192</v>
      </c>
      <c r="N25" s="3">
        <f t="shared" si="1"/>
        <v>19.881305637982198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737</v>
      </c>
      <c r="F26">
        <f>SUMIF(DATA!$A:$A,PPL!$A26,DATA!D:D)</f>
        <v>147</v>
      </c>
      <c r="G26">
        <f>SUMIF(DATA!$A:$A,PPL!$A26,DATA!E:E)</f>
        <v>30</v>
      </c>
      <c r="H26">
        <f>SUMIF(DATA!$A:$A,PPL!$A26,DATA!F:F)</f>
        <v>468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90</v>
      </c>
      <c r="L26">
        <f>SUMIF(DATA!$A:$A,PPL!$A26,DATA!J:J)</f>
        <v>0</v>
      </c>
      <c r="M26">
        <f t="shared" si="0"/>
        <v>269</v>
      </c>
      <c r="N26" s="3">
        <f t="shared" si="1"/>
        <v>32.15739484396201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646</v>
      </c>
      <c r="F27">
        <f>SUMIF(DATA!$A:$A,PPL!$A27,DATA!D:D)</f>
        <v>69</v>
      </c>
      <c r="G27">
        <f>SUMIF(DATA!$A:$A,PPL!$A27,DATA!E:E)</f>
        <v>74</v>
      </c>
      <c r="H27">
        <f>SUMIF(DATA!$A:$A,PPL!$A27,DATA!F:F)</f>
        <v>407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96</v>
      </c>
      <c r="L27">
        <f>SUMIF(DATA!$A:$A,PPL!$A27,DATA!J:J)</f>
        <v>0</v>
      </c>
      <c r="M27">
        <f t="shared" si="0"/>
        <v>239</v>
      </c>
      <c r="N27" s="3">
        <f t="shared" si="1"/>
        <v>25.541795665634677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670</v>
      </c>
      <c r="F28">
        <f>SUMIF(DATA!$A:$A,PPL!$A28,DATA!D:D)</f>
        <v>44</v>
      </c>
      <c r="G28">
        <f>SUMIF(DATA!$A:$A,PPL!$A28,DATA!E:E)</f>
        <v>3</v>
      </c>
      <c r="H28">
        <f>SUMIF(DATA!$A:$A,PPL!$A28,DATA!F:F)</f>
        <v>449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174</v>
      </c>
      <c r="L28">
        <f>SUMIF(DATA!$A:$A,PPL!$A28,DATA!J:J)</f>
        <v>0</v>
      </c>
      <c r="M28">
        <f t="shared" si="0"/>
        <v>221</v>
      </c>
      <c r="N28" s="3">
        <f t="shared" si="1"/>
        <v>32.537313432835816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616</v>
      </c>
      <c r="F29">
        <f>SUMIF(DATA!$A:$A,PPL!$A29,DATA!D:D)</f>
        <v>30</v>
      </c>
      <c r="G29">
        <f>SUMIF(DATA!$A:$A,PPL!$A29,DATA!E:E)</f>
        <v>37</v>
      </c>
      <c r="H29">
        <f>SUMIF(DATA!$A:$A,PPL!$A29,DATA!F:F)</f>
        <v>485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63</v>
      </c>
      <c r="L29">
        <f>SUMIF(DATA!$A:$A,PPL!$A29,DATA!J:J)</f>
        <v>0</v>
      </c>
      <c r="M29">
        <f t="shared" si="0"/>
        <v>131</v>
      </c>
      <c r="N29" s="3">
        <f t="shared" si="1"/>
        <v>15.097402597402599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694</v>
      </c>
      <c r="F30">
        <f>SUMIF(DATA!$A:$A,PPL!$A30,DATA!D:D)</f>
        <v>112</v>
      </c>
      <c r="G30">
        <f>SUMIF(DATA!$A:$A,PPL!$A30,DATA!E:E)</f>
        <v>57</v>
      </c>
      <c r="H30">
        <f>SUMIF(DATA!$A:$A,PPL!$A30,DATA!F:F)</f>
        <v>481</v>
      </c>
      <c r="I30">
        <f>SUMIF(DATA!$A:$A,PPL!$A30,DATA!G:G)</f>
        <v>15</v>
      </c>
      <c r="J30">
        <f>SUMIF(DATA!$A:$A,PPL!$A30,DATA!H:H)</f>
        <v>1</v>
      </c>
      <c r="K30">
        <f>SUMIF(DATA!$A:$A,PPL!$A30,DATA!I:I)</f>
        <v>28</v>
      </c>
      <c r="L30">
        <f>SUMIF(DATA!$A:$A,PPL!$A30,DATA!J:J)</f>
        <v>0</v>
      </c>
      <c r="M30">
        <f t="shared" si="0"/>
        <v>213</v>
      </c>
      <c r="N30" s="3">
        <f t="shared" si="1"/>
        <v>20.172910662824208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660</v>
      </c>
      <c r="F31">
        <f>SUMIF(DATA!$A:$A,PPL!$A31,DATA!D:D)</f>
        <v>51</v>
      </c>
      <c r="G31">
        <f>SUMIF(DATA!$A:$A,PPL!$A31,DATA!E:E)</f>
        <v>40</v>
      </c>
      <c r="H31">
        <f>SUMIF(DATA!$A:$A,PPL!$A31,DATA!F:F)</f>
        <v>428</v>
      </c>
      <c r="I31">
        <f>SUMIF(DATA!$A:$A,PPL!$A31,DATA!G:G)</f>
        <v>3</v>
      </c>
      <c r="J31">
        <f>SUMIF(DATA!$A:$A,PPL!$A31,DATA!H:H)</f>
        <v>0</v>
      </c>
      <c r="K31">
        <f>SUMIF(DATA!$A:$A,PPL!$A31,DATA!I:I)</f>
        <v>138</v>
      </c>
      <c r="L31">
        <f>SUMIF(DATA!$A:$A,PPL!$A31,DATA!J:J)</f>
        <v>0</v>
      </c>
      <c r="M31">
        <f t="shared" si="0"/>
        <v>232</v>
      </c>
      <c r="N31" s="3">
        <f t="shared" si="1"/>
        <v>28.636363636363637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600</v>
      </c>
      <c r="F32">
        <f>SUMIF(DATA!$A:$A,PPL!$A32,DATA!D:D)</f>
        <v>49</v>
      </c>
      <c r="G32">
        <f>SUMIF(DATA!$A:$A,PPL!$A32,DATA!E:E)</f>
        <v>54</v>
      </c>
      <c r="H32">
        <f>SUMIF(DATA!$A:$A,PPL!$A32,DATA!F:F)</f>
        <v>439</v>
      </c>
      <c r="I32">
        <f>SUMIF(DATA!$A:$A,PPL!$A32,DATA!G:G)</f>
        <v>23</v>
      </c>
      <c r="J32">
        <f>SUMIF(DATA!$A:$A,PPL!$A32,DATA!H:H)</f>
        <v>0</v>
      </c>
      <c r="K32">
        <f>SUMIF(DATA!$A:$A,PPL!$A32,DATA!I:I)</f>
        <v>35</v>
      </c>
      <c r="L32">
        <f>SUMIF(DATA!$A:$A,PPL!$A32,DATA!J:J)</f>
        <v>0</v>
      </c>
      <c r="M32">
        <f t="shared" si="0"/>
        <v>161</v>
      </c>
      <c r="N32" s="3">
        <f t="shared" si="1"/>
        <v>14.000000000000002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700</v>
      </c>
      <c r="F33">
        <f>SUMIF(DATA!$A:$A,PPL!$A33,DATA!D:D)</f>
        <v>114</v>
      </c>
      <c r="G33">
        <f>SUMIF(DATA!$A:$A,PPL!$A33,DATA!E:E)</f>
        <v>33</v>
      </c>
      <c r="H33">
        <f>SUMIF(DATA!$A:$A,PPL!$A33,DATA!F:F)</f>
        <v>378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172</v>
      </c>
      <c r="L33">
        <f>SUMIF(DATA!$A:$A,PPL!$A33,DATA!J:J)</f>
        <v>0</v>
      </c>
      <c r="M33">
        <f t="shared" si="0"/>
        <v>322</v>
      </c>
      <c r="N33" s="3">
        <f t="shared" si="1"/>
        <v>40.857142857142861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668</v>
      </c>
      <c r="F34">
        <f>SUMIF(DATA!$A:$A,PPL!$A34,DATA!D:D)</f>
        <v>44</v>
      </c>
      <c r="G34">
        <f>SUMIF(DATA!$A:$A,PPL!$A34,DATA!E:E)</f>
        <v>45</v>
      </c>
      <c r="H34">
        <f>SUMIF(DATA!$A:$A,PPL!$A34,DATA!F:F)</f>
        <v>428</v>
      </c>
      <c r="I34">
        <f>SUMIF(DATA!$A:$A,PPL!$A34,DATA!G:G)</f>
        <v>5</v>
      </c>
      <c r="J34">
        <f>SUMIF(DATA!$A:$A,PPL!$A34,DATA!H:H)</f>
        <v>1</v>
      </c>
      <c r="K34">
        <f>SUMIF(DATA!$A:$A,PPL!$A34,DATA!I:I)</f>
        <v>145</v>
      </c>
      <c r="L34">
        <f>SUMIF(DATA!$A:$A,PPL!$A34,DATA!J:J)</f>
        <v>0</v>
      </c>
      <c r="M34">
        <f t="shared" si="0"/>
        <v>240</v>
      </c>
      <c r="N34" s="3">
        <f t="shared" si="1"/>
        <v>28.293413173652691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673</v>
      </c>
      <c r="F35">
        <f>SUMIF(DATA!$A:$A,PPL!$A35,DATA!D:D)</f>
        <v>63</v>
      </c>
      <c r="G35">
        <f>SUMIF(DATA!$A:$A,PPL!$A35,DATA!E:E)</f>
        <v>16</v>
      </c>
      <c r="H35">
        <f>SUMIF(DATA!$A:$A,PPL!$A35,DATA!F:F)</f>
        <v>415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179</v>
      </c>
      <c r="L35">
        <f>SUMIF(DATA!$A:$A,PPL!$A35,DATA!J:J)</f>
        <v>0</v>
      </c>
      <c r="M35">
        <f t="shared" si="0"/>
        <v>258</v>
      </c>
      <c r="N35" s="3">
        <f t="shared" si="1"/>
        <v>35.958395245170877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640</v>
      </c>
      <c r="F36">
        <f>SUMIF(DATA!$A:$A,PPL!$A36,DATA!D:D)</f>
        <v>109</v>
      </c>
      <c r="G36">
        <f>SUMIF(DATA!$A:$A,PPL!$A36,DATA!E:E)</f>
        <v>120</v>
      </c>
      <c r="H36">
        <f>SUMIF(DATA!$A:$A,PPL!$A36,DATA!F:F)</f>
        <v>396</v>
      </c>
      <c r="I36">
        <f>SUMIF(DATA!$A:$A,PPL!$A36,DATA!G:G)</f>
        <v>8</v>
      </c>
      <c r="J36">
        <f>SUMIF(DATA!$A:$A,PPL!$A36,DATA!H:H)</f>
        <v>0</v>
      </c>
      <c r="K36">
        <f>SUMIF(DATA!$A:$A,PPL!$A36,DATA!I:I)</f>
        <v>7</v>
      </c>
      <c r="L36">
        <f>SUMIF(DATA!$A:$A,PPL!$A36,DATA!J:J)</f>
        <v>0</v>
      </c>
      <c r="M36">
        <f t="shared" si="0"/>
        <v>244</v>
      </c>
      <c r="N36" s="3">
        <f t="shared" si="1"/>
        <v>18.125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614</v>
      </c>
      <c r="F37">
        <f>SUMIF(DATA!$A:$A,PPL!$A37,DATA!D:D)</f>
        <v>69</v>
      </c>
      <c r="G37">
        <f>SUMIF(DATA!$A:$A,PPL!$A37,DATA!E:E)</f>
        <v>103</v>
      </c>
      <c r="H37">
        <f>SUMIF(DATA!$A:$A,PPL!$A37,DATA!F:F)</f>
        <v>423</v>
      </c>
      <c r="I37">
        <f>SUMIF(DATA!$A:$A,PPL!$A37,DATA!G:G)</f>
        <v>5</v>
      </c>
      <c r="J37">
        <f>SUMIF(DATA!$A:$A,PPL!$A37,DATA!H:H)</f>
        <v>1</v>
      </c>
      <c r="K37">
        <f>SUMIF(DATA!$A:$A,PPL!$A37,DATA!I:I)</f>
        <v>13</v>
      </c>
      <c r="L37">
        <f>SUMIF(DATA!$A:$A,PPL!$A37,DATA!J:J)</f>
        <v>0</v>
      </c>
      <c r="M37">
        <f t="shared" si="0"/>
        <v>191</v>
      </c>
      <c r="N37" s="3">
        <f t="shared" si="1"/>
        <v>13.355048859934854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821</v>
      </c>
      <c r="F38">
        <f>SUMIF(DATA!$A:$A,PPL!$A38,DATA!D:D)</f>
        <v>161</v>
      </c>
      <c r="G38">
        <f>SUMIF(DATA!$A:$A,PPL!$A38,DATA!E:E)</f>
        <v>69</v>
      </c>
      <c r="H38">
        <f>SUMIF(DATA!$A:$A,PPL!$A38,DATA!F:F)</f>
        <v>448</v>
      </c>
      <c r="I38">
        <f>SUMIF(DATA!$A:$A,PPL!$A38,DATA!G:G)</f>
        <v>31</v>
      </c>
      <c r="J38">
        <f>SUMIF(DATA!$A:$A,PPL!$A38,DATA!H:H)</f>
        <v>4</v>
      </c>
      <c r="K38">
        <f>SUMIF(DATA!$A:$A,PPL!$A38,DATA!I:I)</f>
        <v>108</v>
      </c>
      <c r="L38">
        <f>SUMIF(DATA!$A:$A,PPL!$A38,DATA!J:J)</f>
        <v>0</v>
      </c>
      <c r="M38">
        <f t="shared" si="0"/>
        <v>373</v>
      </c>
      <c r="N38" s="3">
        <f t="shared" si="1"/>
        <v>32.764920828258219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647</v>
      </c>
      <c r="F39">
        <f>SUMIF(DATA!$A:$A,PPL!$A39,DATA!D:D)</f>
        <v>64</v>
      </c>
      <c r="G39">
        <f>SUMIF(DATA!$A:$A,PPL!$A39,DATA!E:E)</f>
        <v>118</v>
      </c>
      <c r="H39">
        <f>SUMIF(DATA!$A:$A,PPL!$A39,DATA!F:F)</f>
        <v>437</v>
      </c>
      <c r="I39">
        <f>SUMIF(DATA!$A:$A,PPL!$A39,DATA!G:G)</f>
        <v>16</v>
      </c>
      <c r="J39">
        <f>SUMIF(DATA!$A:$A,PPL!$A39,DATA!H:H)</f>
        <v>8</v>
      </c>
      <c r="K39">
        <f>SUMIF(DATA!$A:$A,PPL!$A39,DATA!I:I)</f>
        <v>4</v>
      </c>
      <c r="L39">
        <f>SUMIF(DATA!$A:$A,PPL!$A39,DATA!J:J)</f>
        <v>0</v>
      </c>
      <c r="M39">
        <f t="shared" si="0"/>
        <v>210</v>
      </c>
      <c r="N39" s="3">
        <f t="shared" si="1"/>
        <v>10.510046367851624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764</v>
      </c>
      <c r="F40">
        <f>SUMIF(DATA!$A:$A,PPL!$A40,DATA!D:D)</f>
        <v>70</v>
      </c>
      <c r="G40">
        <f>SUMIF(DATA!$A:$A,PPL!$A40,DATA!E:E)</f>
        <v>117</v>
      </c>
      <c r="H40">
        <f>SUMIF(DATA!$A:$A,PPL!$A40,DATA!F:F)</f>
        <v>504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72</v>
      </c>
      <c r="L40">
        <f>SUMIF(DATA!$A:$A,PPL!$A40,DATA!J:J)</f>
        <v>0</v>
      </c>
      <c r="M40">
        <f t="shared" si="0"/>
        <v>260</v>
      </c>
      <c r="N40" s="3">
        <f t="shared" si="1"/>
        <v>18.586387434554975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654</v>
      </c>
      <c r="F41">
        <f>SUMIF(DATA!$A:$A,PPL!$A41,DATA!D:D)</f>
        <v>55</v>
      </c>
      <c r="G41">
        <f>SUMIF(DATA!$A:$A,PPL!$A41,DATA!E:E)</f>
        <v>19</v>
      </c>
      <c r="H41">
        <f>SUMIF(DATA!$A:$A,PPL!$A41,DATA!F:F)</f>
        <v>487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91</v>
      </c>
      <c r="L41">
        <f>SUMIF(DATA!$A:$A,PPL!$A41,DATA!J:J)</f>
        <v>0</v>
      </c>
      <c r="M41">
        <f t="shared" si="0"/>
        <v>167</v>
      </c>
      <c r="N41" s="3">
        <f t="shared" si="1"/>
        <v>22.324159021406729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649</v>
      </c>
      <c r="F42">
        <f>SUMIF(DATA!$A:$A,PPL!$A42,DATA!D:D)</f>
        <v>82</v>
      </c>
      <c r="G42">
        <f>SUMIF(DATA!$A:$A,PPL!$A42,DATA!E:E)</f>
        <v>21</v>
      </c>
      <c r="H42">
        <f>SUMIF(DATA!$A:$A,PPL!$A42,DATA!F:F)</f>
        <v>440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106</v>
      </c>
      <c r="L42">
        <f>SUMIF(DATA!$A:$A,PPL!$A42,DATA!J:J)</f>
        <v>0</v>
      </c>
      <c r="M42">
        <f t="shared" si="0"/>
        <v>209</v>
      </c>
      <c r="N42" s="3">
        <f t="shared" si="1"/>
        <v>28.967642526964561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610</v>
      </c>
      <c r="F43">
        <f>SUMIF(DATA!$A:$A,PPL!$A43,DATA!D:D)</f>
        <v>6</v>
      </c>
      <c r="G43">
        <f>SUMIF(DATA!$A:$A,PPL!$A43,DATA!E:E)</f>
        <v>24</v>
      </c>
      <c r="H43">
        <f>SUMIF(DATA!$A:$A,PPL!$A43,DATA!F:F)</f>
        <v>463</v>
      </c>
      <c r="I43">
        <f>SUMIF(DATA!$A:$A,PPL!$A43,DATA!G:G)</f>
        <v>85</v>
      </c>
      <c r="J43">
        <f>SUMIF(DATA!$A:$A,PPL!$A43,DATA!H:H)</f>
        <v>2</v>
      </c>
      <c r="K43">
        <f>SUMIF(DATA!$A:$A,PPL!$A43,DATA!I:I)</f>
        <v>30</v>
      </c>
      <c r="L43">
        <f>SUMIF(DATA!$A:$A,PPL!$A43,DATA!J:J)</f>
        <v>0</v>
      </c>
      <c r="M43">
        <f t="shared" si="0"/>
        <v>147</v>
      </c>
      <c r="N43" s="3">
        <f t="shared" si="1"/>
        <v>5.9016393442622954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659</v>
      </c>
      <c r="F44">
        <f>SUMIF(DATA!$A:$A,PPL!$A44,DATA!D:D)</f>
        <v>90</v>
      </c>
      <c r="G44">
        <f>SUMIF(DATA!$A:$A,PPL!$A44,DATA!E:E)</f>
        <v>0</v>
      </c>
      <c r="H44">
        <f>SUMIF(DATA!$A:$A,PPL!$A44,DATA!F:F)</f>
        <v>457</v>
      </c>
      <c r="I44">
        <f>SUMIF(DATA!$A:$A,PPL!$A44,DATA!G:G)</f>
        <v>15</v>
      </c>
      <c r="J44">
        <f>SUMIF(DATA!$A:$A,PPL!$A44,DATA!H:H)</f>
        <v>0</v>
      </c>
      <c r="K44">
        <f>SUMIF(DATA!$A:$A,PPL!$A44,DATA!I:I)</f>
        <v>96</v>
      </c>
      <c r="L44">
        <f>SUMIF(DATA!$A:$A,PPL!$A44,DATA!J:J)</f>
        <v>1</v>
      </c>
      <c r="M44">
        <f t="shared" si="0"/>
        <v>202</v>
      </c>
      <c r="N44" s="3">
        <f t="shared" si="1"/>
        <v>28.224582701062218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714</v>
      </c>
      <c r="F45">
        <f>SUMIF(DATA!$A:$A,PPL!$A45,DATA!D:D)</f>
        <v>29</v>
      </c>
      <c r="G45">
        <f>SUMIF(DATA!$A:$A,PPL!$A45,DATA!E:E)</f>
        <v>35</v>
      </c>
      <c r="H45">
        <f>SUMIF(DATA!$A:$A,PPL!$A45,DATA!F:F)</f>
        <v>471</v>
      </c>
      <c r="I45">
        <f>SUMIF(DATA!$A:$A,PPL!$A45,DATA!G:G)</f>
        <v>48</v>
      </c>
      <c r="J45">
        <f>SUMIF(DATA!$A:$A,PPL!$A45,DATA!H:H)</f>
        <v>0</v>
      </c>
      <c r="K45">
        <f>SUMIF(DATA!$A:$A,PPL!$A45,DATA!I:I)</f>
        <v>131</v>
      </c>
      <c r="L45">
        <f>SUMIF(DATA!$A:$A,PPL!$A45,DATA!J:J)</f>
        <v>0</v>
      </c>
      <c r="M45">
        <f t="shared" si="0"/>
        <v>243</v>
      </c>
      <c r="N45" s="3">
        <f t="shared" si="1"/>
        <v>22.408963585434176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652</v>
      </c>
      <c r="F46">
        <f>SUMIF(DATA!$A:$A,PPL!$A46,DATA!D:D)</f>
        <v>29</v>
      </c>
      <c r="G46">
        <f>SUMIF(DATA!$A:$A,PPL!$A46,DATA!E:E)</f>
        <v>58</v>
      </c>
      <c r="H46">
        <f>SUMIF(DATA!$A:$A,PPL!$A46,DATA!F:F)</f>
        <v>474</v>
      </c>
      <c r="I46">
        <f>SUMIF(DATA!$A:$A,PPL!$A46,DATA!G:G)</f>
        <v>10</v>
      </c>
      <c r="J46">
        <f>SUMIF(DATA!$A:$A,PPL!$A46,DATA!H:H)</f>
        <v>0</v>
      </c>
      <c r="K46">
        <f>SUMIF(DATA!$A:$A,PPL!$A46,DATA!I:I)</f>
        <v>81</v>
      </c>
      <c r="L46">
        <f>SUMIF(DATA!$A:$A,PPL!$A46,DATA!J:J)</f>
        <v>0</v>
      </c>
      <c r="M46">
        <f t="shared" si="0"/>
        <v>178</v>
      </c>
      <c r="N46" s="3">
        <f t="shared" si="1"/>
        <v>16.871165644171779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646</v>
      </c>
      <c r="F47">
        <f>SUMIF(DATA!$A:$A,PPL!$A47,DATA!D:D)</f>
        <v>40</v>
      </c>
      <c r="G47">
        <f>SUMIF(DATA!$A:$A,PPL!$A47,DATA!E:E)</f>
        <v>36</v>
      </c>
      <c r="H47">
        <f>SUMIF(DATA!$A:$A,PPL!$A47,DATA!F:F)</f>
        <v>426</v>
      </c>
      <c r="I47">
        <f>SUMIF(DATA!$A:$A,PPL!$A47,DATA!G:G)</f>
        <v>3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220</v>
      </c>
      <c r="N47" s="3">
        <f t="shared" si="1"/>
        <v>28.018575851393191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474</v>
      </c>
      <c r="F48">
        <f>SUMIF(DATA!$A:$A,PPL!$A48,DATA!D:D)</f>
        <v>74</v>
      </c>
      <c r="G48">
        <f>SUMIF(DATA!$A:$A,PPL!$A48,DATA!E:E)</f>
        <v>18</v>
      </c>
      <c r="H48">
        <f>SUMIF(DATA!$A:$A,PPL!$A48,DATA!F:F)</f>
        <v>250</v>
      </c>
      <c r="I48">
        <f>SUMIF(DATA!$A:$A,PPL!$A48,DATA!G:G)</f>
        <v>14</v>
      </c>
      <c r="J48">
        <f>SUMIF(DATA!$A:$A,PPL!$A48,DATA!H:H)</f>
        <v>0</v>
      </c>
      <c r="K48">
        <f>SUMIF(DATA!$A:$A,PPL!$A48,DATA!I:I)</f>
        <v>118</v>
      </c>
      <c r="L48">
        <f>SUMIF(DATA!$A:$A,PPL!$A48,DATA!J:J)</f>
        <v>0</v>
      </c>
      <c r="M48">
        <f t="shared" si="0"/>
        <v>224</v>
      </c>
      <c r="N48" s="3">
        <f t="shared" si="1"/>
        <v>40.506329113924053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512</v>
      </c>
      <c r="F49">
        <f>SUMIF(DATA!$A:$A,PPL!$A49,DATA!D:D)</f>
        <v>51</v>
      </c>
      <c r="G49">
        <f>SUMIF(DATA!$A:$A,PPL!$A49,DATA!E:E)</f>
        <v>26</v>
      </c>
      <c r="H49">
        <f>SUMIF(DATA!$A:$A,PPL!$A49,DATA!F:F)</f>
        <v>267</v>
      </c>
      <c r="I49">
        <f>SUMIF(DATA!$A:$A,PPL!$A49,DATA!G:G)</f>
        <v>24</v>
      </c>
      <c r="J49">
        <f>SUMIF(DATA!$A:$A,PPL!$A49,DATA!H:H)</f>
        <v>0</v>
      </c>
      <c r="K49">
        <f>SUMIF(DATA!$A:$A,PPL!$A49,DATA!I:I)</f>
        <v>144</v>
      </c>
      <c r="L49">
        <f>SUMIF(DATA!$A:$A,PPL!$A49,DATA!J:J)</f>
        <v>0</v>
      </c>
      <c r="M49">
        <f t="shared" si="0"/>
        <v>245</v>
      </c>
      <c r="N49" s="3">
        <f t="shared" si="1"/>
        <v>38.0859375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612</v>
      </c>
      <c r="F50">
        <f>SUMIF(DATA!$A:$A,PPL!$A50,DATA!D:D)</f>
        <v>87</v>
      </c>
      <c r="G50">
        <f>SUMIF(DATA!$A:$A,PPL!$A50,DATA!E:E)</f>
        <v>3</v>
      </c>
      <c r="H50">
        <f>SUMIF(DATA!$A:$A,PPL!$A50,DATA!F:F)</f>
        <v>389</v>
      </c>
      <c r="I50">
        <f>SUMIF(DATA!$A:$A,PPL!$A50,DATA!G:G)</f>
        <v>13</v>
      </c>
      <c r="J50">
        <f>SUMIF(DATA!$A:$A,PPL!$A50,DATA!H:H)</f>
        <v>0</v>
      </c>
      <c r="K50">
        <f>SUMIF(DATA!$A:$A,PPL!$A50,DATA!I:I)</f>
        <v>120</v>
      </c>
      <c r="L50">
        <f>SUMIF(DATA!$A:$A,PPL!$A50,DATA!J:J)</f>
        <v>0</v>
      </c>
      <c r="M50">
        <f t="shared" si="0"/>
        <v>223</v>
      </c>
      <c r="N50" s="3">
        <f t="shared" si="1"/>
        <v>33.82352941176471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623</v>
      </c>
      <c r="F51">
        <f>SUMIF(DATA!$A:$A,PPL!$A51,DATA!D:D)</f>
        <v>66</v>
      </c>
      <c r="G51">
        <f>SUMIF(DATA!$A:$A,PPL!$A51,DATA!E:E)</f>
        <v>37</v>
      </c>
      <c r="H51">
        <f>SUMIF(DATA!$A:$A,PPL!$A51,DATA!F:F)</f>
        <v>400</v>
      </c>
      <c r="I51">
        <f>SUMIF(DATA!$A:$A,PPL!$A51,DATA!G:G)</f>
        <v>3</v>
      </c>
      <c r="J51">
        <f>SUMIF(DATA!$A:$A,PPL!$A51,DATA!H:H)</f>
        <v>0</v>
      </c>
      <c r="K51">
        <f>SUMIF(DATA!$A:$A,PPL!$A51,DATA!I:I)</f>
        <v>117</v>
      </c>
      <c r="L51">
        <f>SUMIF(DATA!$A:$A,PPL!$A51,DATA!J:J)</f>
        <v>0</v>
      </c>
      <c r="M51">
        <f t="shared" si="0"/>
        <v>223</v>
      </c>
      <c r="N51" s="3">
        <f t="shared" si="1"/>
        <v>29.373996789727126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597</v>
      </c>
      <c r="F52">
        <f>SUMIF(DATA!$A:$A,PPL!$A52,DATA!D:D)</f>
        <v>22</v>
      </c>
      <c r="G52">
        <f>SUMIF(DATA!$A:$A,PPL!$A52,DATA!E:E)</f>
        <v>1</v>
      </c>
      <c r="H52">
        <f>SUMIF(DATA!$A:$A,PPL!$A52,DATA!F:F)</f>
        <v>377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196</v>
      </c>
      <c r="L52">
        <f>SUMIF(DATA!$A:$A,PPL!$A52,DATA!J:J)</f>
        <v>0</v>
      </c>
      <c r="M52">
        <f t="shared" si="0"/>
        <v>220</v>
      </c>
      <c r="N52" s="3">
        <f t="shared" si="1"/>
        <v>36.515912897822446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655</v>
      </c>
      <c r="F53">
        <f>SUMIF(DATA!$A:$A,PPL!$A53,DATA!D:D)</f>
        <v>61</v>
      </c>
      <c r="G53">
        <f>SUMIF(DATA!$A:$A,PPL!$A53,DATA!E:E)</f>
        <v>63</v>
      </c>
      <c r="H53">
        <f>SUMIF(DATA!$A:$A,PPL!$A53,DATA!F:F)</f>
        <v>455</v>
      </c>
      <c r="I53">
        <f>SUMIF(DATA!$A:$A,PPL!$A53,DATA!G:G)</f>
        <v>5</v>
      </c>
      <c r="J53">
        <f>SUMIF(DATA!$A:$A,PPL!$A53,DATA!H:H)</f>
        <v>0</v>
      </c>
      <c r="K53">
        <f>SUMIF(DATA!$A:$A,PPL!$A53,DATA!I:I)</f>
        <v>71</v>
      </c>
      <c r="L53">
        <f>SUMIF(DATA!$A:$A,PPL!$A53,DATA!J:J)</f>
        <v>0</v>
      </c>
      <c r="M53">
        <f t="shared" si="0"/>
        <v>200</v>
      </c>
      <c r="N53" s="3">
        <f t="shared" si="1"/>
        <v>20.152671755725191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655</v>
      </c>
      <c r="F54">
        <f>SUMIF(DATA!$A:$A,PPL!$A54,DATA!D:D)</f>
        <v>88</v>
      </c>
      <c r="G54">
        <f>SUMIF(DATA!$A:$A,PPL!$A54,DATA!E:E)</f>
        <v>52</v>
      </c>
      <c r="H54">
        <f>SUMIF(DATA!$A:$A,PPL!$A54,DATA!F:F)</f>
        <v>443</v>
      </c>
      <c r="I54">
        <f>SUMIF(DATA!$A:$A,PPL!$A54,DATA!G:G)</f>
        <v>25</v>
      </c>
      <c r="J54">
        <f>SUMIF(DATA!$A:$A,PPL!$A54,DATA!H:H)</f>
        <v>0</v>
      </c>
      <c r="K54">
        <f>SUMIF(DATA!$A:$A,PPL!$A54,DATA!I:I)</f>
        <v>47</v>
      </c>
      <c r="L54">
        <f>SUMIF(DATA!$A:$A,PPL!$A54,DATA!J:J)</f>
        <v>0</v>
      </c>
      <c r="M54">
        <f t="shared" si="0"/>
        <v>212</v>
      </c>
      <c r="N54" s="3">
        <f t="shared" si="1"/>
        <v>20.610687022900763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612</v>
      </c>
      <c r="F55">
        <f>SUMIF(DATA!$A:$A,PPL!$A55,DATA!D:D)</f>
        <v>65</v>
      </c>
      <c r="G55">
        <f>SUMIF(DATA!$A:$A,PPL!$A55,DATA!E:E)</f>
        <v>56</v>
      </c>
      <c r="H55">
        <f>SUMIF(DATA!$A:$A,PPL!$A55,DATA!F:F)</f>
        <v>384</v>
      </c>
      <c r="I55">
        <f>SUMIF(DATA!$A:$A,PPL!$A55,DATA!G:G)</f>
        <v>63</v>
      </c>
      <c r="J55">
        <f>SUMIF(DATA!$A:$A,PPL!$A55,DATA!H:H)</f>
        <v>0</v>
      </c>
      <c r="K55">
        <f>SUMIF(DATA!$A:$A,PPL!$A55,DATA!I:I)</f>
        <v>44</v>
      </c>
      <c r="L55">
        <f>SUMIF(DATA!$A:$A,PPL!$A55,DATA!J:J)</f>
        <v>0</v>
      </c>
      <c r="M55">
        <f t="shared" si="0"/>
        <v>228</v>
      </c>
      <c r="N55" s="3">
        <f t="shared" si="1"/>
        <v>17.81045751633987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641</v>
      </c>
      <c r="F56">
        <f>SUMIF(DATA!$A:$A,PPL!$A56,DATA!D:D)</f>
        <v>97</v>
      </c>
      <c r="G56">
        <f>SUMIF(DATA!$A:$A,PPL!$A56,DATA!E:E)</f>
        <v>8</v>
      </c>
      <c r="H56">
        <f>SUMIF(DATA!$A:$A,PPL!$A56,DATA!F:F)</f>
        <v>346</v>
      </c>
      <c r="I56">
        <f>SUMIF(DATA!$A:$A,PPL!$A56,DATA!G:G)</f>
        <v>22</v>
      </c>
      <c r="J56">
        <f>SUMIF(DATA!$A:$A,PPL!$A56,DATA!H:H)</f>
        <v>0</v>
      </c>
      <c r="K56">
        <f>SUMIF(DATA!$A:$A,PPL!$A56,DATA!I:I)</f>
        <v>168</v>
      </c>
      <c r="L56">
        <f>SUMIF(DATA!$A:$A,PPL!$A56,DATA!J:J)</f>
        <v>0</v>
      </c>
      <c r="M56">
        <f t="shared" si="0"/>
        <v>295</v>
      </c>
      <c r="N56" s="3">
        <f t="shared" si="1"/>
        <v>41.341653666146641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59</v>
      </c>
      <c r="G57">
        <f>SUMIF(DATA!$A:$A,PPL!$A57,DATA!E:E)</f>
        <v>48</v>
      </c>
      <c r="H57">
        <f>SUMIF(DATA!$A:$A,PPL!$A57,DATA!F:F)</f>
        <v>428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79</v>
      </c>
      <c r="L57">
        <f>SUMIF(DATA!$A:$A,PPL!$A57,DATA!J:J)</f>
        <v>0</v>
      </c>
      <c r="M57">
        <f t="shared" si="0"/>
        <v>187</v>
      </c>
      <c r="N57" s="3">
        <f t="shared" si="1"/>
        <v>22.439024390243905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671</v>
      </c>
      <c r="F58">
        <f>SUMIF(DATA!$A:$A,PPL!$A58,DATA!D:D)</f>
        <v>87</v>
      </c>
      <c r="G58">
        <f>SUMIF(DATA!$A:$A,PPL!$A58,DATA!E:E)</f>
        <v>15</v>
      </c>
      <c r="H58">
        <f>SUMIF(DATA!$A:$A,PPL!$A58,DATA!F:F)</f>
        <v>441</v>
      </c>
      <c r="I58">
        <f>SUMIF(DATA!$A:$A,PPL!$A58,DATA!G:G)</f>
        <v>29</v>
      </c>
      <c r="J58">
        <f>SUMIF(DATA!$A:$A,PPL!$A58,DATA!H:H)</f>
        <v>0</v>
      </c>
      <c r="K58">
        <f>SUMIF(DATA!$A:$A,PPL!$A58,DATA!I:I)</f>
        <v>99</v>
      </c>
      <c r="L58">
        <f>SUMIF(DATA!$A:$A,PPL!$A58,DATA!J:J)</f>
        <v>0</v>
      </c>
      <c r="M58">
        <f t="shared" si="0"/>
        <v>230</v>
      </c>
      <c r="N58" s="3">
        <f t="shared" si="1"/>
        <v>27.719821162444113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589</v>
      </c>
      <c r="F59">
        <f>SUMIF(DATA!$A:$A,PPL!$A59,DATA!D:D)</f>
        <v>8</v>
      </c>
      <c r="G59">
        <f>SUMIF(DATA!$A:$A,PPL!$A59,DATA!E:E)</f>
        <v>57</v>
      </c>
      <c r="H59">
        <f>SUMIF(DATA!$A:$A,PPL!$A59,DATA!F:F)</f>
        <v>425</v>
      </c>
      <c r="I59">
        <f>SUMIF(DATA!$A:$A,PPL!$A59,DATA!G:G)</f>
        <v>14</v>
      </c>
      <c r="J59">
        <f>SUMIF(DATA!$A:$A,PPL!$A59,DATA!H:H)</f>
        <v>0</v>
      </c>
      <c r="K59">
        <f>SUMIF(DATA!$A:$A,PPL!$A59,DATA!I:I)</f>
        <v>85</v>
      </c>
      <c r="L59">
        <f>SUMIF(DATA!$A:$A,PPL!$A59,DATA!J:J)</f>
        <v>0</v>
      </c>
      <c r="M59">
        <f t="shared" si="0"/>
        <v>164</v>
      </c>
      <c r="N59" s="3">
        <f t="shared" si="1"/>
        <v>15.789473684210526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638</v>
      </c>
      <c r="F60">
        <f>SUMIF(DATA!$A:$A,PPL!$A60,DATA!D:D)</f>
        <v>102</v>
      </c>
      <c r="G60">
        <f>SUMIF(DATA!$A:$A,PPL!$A60,DATA!E:E)</f>
        <v>38</v>
      </c>
      <c r="H60">
        <f>SUMIF(DATA!$A:$A,PPL!$A60,DATA!F:F)</f>
        <v>340</v>
      </c>
      <c r="I60">
        <f>SUMIF(DATA!$A:$A,PPL!$A60,DATA!G:G)</f>
        <v>24</v>
      </c>
      <c r="J60">
        <f>SUMIF(DATA!$A:$A,PPL!$A60,DATA!H:H)</f>
        <v>0</v>
      </c>
      <c r="K60">
        <f>SUMIF(DATA!$A:$A,PPL!$A60,DATA!I:I)</f>
        <v>134</v>
      </c>
      <c r="L60">
        <f>SUMIF(DATA!$A:$A,PPL!$A60,DATA!J:J)</f>
        <v>0</v>
      </c>
      <c r="M60">
        <f t="shared" si="0"/>
        <v>298</v>
      </c>
      <c r="N60" s="3">
        <f t="shared" si="1"/>
        <v>36.990595611285265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621</v>
      </c>
      <c r="F61">
        <f>SUMIF(DATA!$A:$A,PPL!$A61,DATA!D:D)</f>
        <v>83</v>
      </c>
      <c r="G61">
        <f>SUMIF(DATA!$A:$A,PPL!$A61,DATA!E:E)</f>
        <v>23</v>
      </c>
      <c r="H61">
        <f>SUMIF(DATA!$A:$A,PPL!$A61,DATA!F:F)</f>
        <v>426</v>
      </c>
      <c r="I61">
        <f>SUMIF(DATA!$A:$A,PPL!$A61,DATA!G:G)</f>
        <v>24</v>
      </c>
      <c r="J61">
        <f>SUMIF(DATA!$A:$A,PPL!$A61,DATA!H:H)</f>
        <v>0</v>
      </c>
      <c r="K61">
        <f>SUMIF(DATA!$A:$A,PPL!$A61,DATA!I:I)</f>
        <v>65</v>
      </c>
      <c r="L61">
        <f>SUMIF(DATA!$A:$A,PPL!$A61,DATA!J:J)</f>
        <v>0</v>
      </c>
      <c r="M61">
        <f t="shared" si="0"/>
        <v>195</v>
      </c>
      <c r="N61" s="3">
        <f t="shared" si="1"/>
        <v>23.832528180354267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630</v>
      </c>
      <c r="F62">
        <f>SUMIF(DATA!$A:$A,PPL!$A62,DATA!D:D)</f>
        <v>56</v>
      </c>
      <c r="G62">
        <f>SUMIF(DATA!$A:$A,PPL!$A62,DATA!E:E)</f>
        <v>5</v>
      </c>
      <c r="H62">
        <f>SUMIF(DATA!$A:$A,PPL!$A62,DATA!F:F)</f>
        <v>419</v>
      </c>
      <c r="I62">
        <f>SUMIF(DATA!$A:$A,PPL!$A62,DATA!G:G)</f>
        <v>17</v>
      </c>
      <c r="J62">
        <f>SUMIF(DATA!$A:$A,PPL!$A62,DATA!H:H)</f>
        <v>0</v>
      </c>
      <c r="K62">
        <f>SUMIF(DATA!$A:$A,PPL!$A62,DATA!I:I)</f>
        <v>133</v>
      </c>
      <c r="L62">
        <f>SUMIF(DATA!$A:$A,PPL!$A62,DATA!J:J)</f>
        <v>0</v>
      </c>
      <c r="M62">
        <f t="shared" si="0"/>
        <v>211</v>
      </c>
      <c r="N62" s="3">
        <f t="shared" si="1"/>
        <v>30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628</v>
      </c>
      <c r="F63">
        <f>SUMIF(DATA!$A:$A,PPL!$A63,DATA!D:D)</f>
        <v>47</v>
      </c>
      <c r="G63">
        <f>SUMIF(DATA!$A:$A,PPL!$A63,DATA!E:E)</f>
        <v>16</v>
      </c>
      <c r="H63">
        <f>SUMIF(DATA!$A:$A,PPL!$A63,DATA!F:F)</f>
        <v>345</v>
      </c>
      <c r="I63">
        <f>SUMIF(DATA!$A:$A,PPL!$A63,DATA!G:G)</f>
        <v>13</v>
      </c>
      <c r="J63">
        <f>SUMIF(DATA!$A:$A,PPL!$A63,DATA!H:H)</f>
        <v>0</v>
      </c>
      <c r="K63">
        <f>SUMIF(DATA!$A:$A,PPL!$A63,DATA!I:I)</f>
        <v>207</v>
      </c>
      <c r="L63">
        <f>SUMIF(DATA!$A:$A,PPL!$A63,DATA!J:J)</f>
        <v>0</v>
      </c>
      <c r="M63">
        <f t="shared" si="0"/>
        <v>283</v>
      </c>
      <c r="N63" s="3">
        <f t="shared" si="1"/>
        <v>40.445859872611464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676</v>
      </c>
      <c r="F64">
        <f>SUMIF(DATA!$A:$A,PPL!$A64,DATA!D:D)</f>
        <v>42</v>
      </c>
      <c r="G64">
        <f>SUMIF(DATA!$A:$A,PPL!$A64,DATA!E:E)</f>
        <v>21</v>
      </c>
      <c r="H64">
        <f>SUMIF(DATA!$A:$A,PPL!$A64,DATA!F:F)</f>
        <v>456</v>
      </c>
      <c r="I64">
        <f>SUMIF(DATA!$A:$A,PPL!$A64,DATA!G:G)</f>
        <v>30</v>
      </c>
      <c r="J64">
        <f>SUMIF(DATA!$A:$A,PPL!$A64,DATA!H:H)</f>
        <v>1</v>
      </c>
      <c r="K64">
        <f>SUMIF(DATA!$A:$A,PPL!$A64,DATA!I:I)</f>
        <v>126</v>
      </c>
      <c r="L64">
        <f>SUMIF(DATA!$A:$A,PPL!$A64,DATA!J:J)</f>
        <v>0</v>
      </c>
      <c r="M64">
        <f t="shared" si="0"/>
        <v>220</v>
      </c>
      <c r="N64" s="3">
        <f t="shared" si="1"/>
        <v>24.852071005917161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656</v>
      </c>
      <c r="F65">
        <f>SUMIF(DATA!$A:$A,PPL!$A65,DATA!D:D)</f>
        <v>70</v>
      </c>
      <c r="G65">
        <f>SUMIF(DATA!$A:$A,PPL!$A65,DATA!E:E)</f>
        <v>37</v>
      </c>
      <c r="H65">
        <f>SUMIF(DATA!$A:$A,PPL!$A65,DATA!F:F)</f>
        <v>456</v>
      </c>
      <c r="I65">
        <f>SUMIF(DATA!$A:$A,PPL!$A65,DATA!G:G)</f>
        <v>23</v>
      </c>
      <c r="J65">
        <f>SUMIF(DATA!$A:$A,PPL!$A65,DATA!H:H)</f>
        <v>0</v>
      </c>
      <c r="K65">
        <f>SUMIF(DATA!$A:$A,PPL!$A65,DATA!I:I)</f>
        <v>70</v>
      </c>
      <c r="L65">
        <f>SUMIF(DATA!$A:$A,PPL!$A65,DATA!J:J)</f>
        <v>0</v>
      </c>
      <c r="M65">
        <f t="shared" si="0"/>
        <v>200</v>
      </c>
      <c r="N65" s="3">
        <f t="shared" si="1"/>
        <v>21.341463414634145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658</v>
      </c>
      <c r="F66">
        <f>SUMIF(DATA!$A:$A,PPL!$A66,DATA!D:D)</f>
        <v>40</v>
      </c>
      <c r="G66">
        <f>SUMIF(DATA!$A:$A,PPL!$A66,DATA!E:E)</f>
        <v>67</v>
      </c>
      <c r="H66">
        <f>SUMIF(DATA!$A:$A,PPL!$A66,DATA!F:F)</f>
        <v>433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116</v>
      </c>
      <c r="L66">
        <f>SUMIF(DATA!$A:$A,PPL!$A66,DATA!J:J)</f>
        <v>0</v>
      </c>
      <c r="M66">
        <f t="shared" ref="M66:M129" si="2">F66+G66+I66+J66+K66+L66</f>
        <v>225</v>
      </c>
      <c r="N66" s="3">
        <f t="shared" si="1"/>
        <v>23.70820668693009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690</v>
      </c>
      <c r="F67">
        <f>SUMIF(DATA!$A:$A,PPL!$A67,DATA!D:D)</f>
        <v>30</v>
      </c>
      <c r="G67">
        <f>SUMIF(DATA!$A:$A,PPL!$A67,DATA!E:E)</f>
        <v>99</v>
      </c>
      <c r="H67">
        <f>SUMIF(DATA!$A:$A,PPL!$A67,DATA!F:F)</f>
        <v>466</v>
      </c>
      <c r="I67">
        <f>SUMIF(DATA!$A:$A,PPL!$A67,DATA!G:G)</f>
        <v>1</v>
      </c>
      <c r="J67">
        <f>SUMIF(DATA!$A:$A,PPL!$A67,DATA!H:H)</f>
        <v>0</v>
      </c>
      <c r="K67">
        <f>SUMIF(DATA!$A:$A,PPL!$A67,DATA!I:I)</f>
        <v>94</v>
      </c>
      <c r="L67">
        <f>SUMIF(DATA!$A:$A,PPL!$A67,DATA!J:J)</f>
        <v>0</v>
      </c>
      <c r="M67">
        <f t="shared" si="2"/>
        <v>224</v>
      </c>
      <c r="N67" s="3">
        <f t="shared" ref="N67:N130" si="3">(SUM(F67,K67)/E67)*100</f>
        <v>17.971014492753625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615</v>
      </c>
      <c r="F68">
        <f>SUMIF(DATA!$A:$A,PPL!$A68,DATA!D:D)</f>
        <v>31</v>
      </c>
      <c r="G68">
        <f>SUMIF(DATA!$A:$A,PPL!$A68,DATA!E:E)</f>
        <v>97</v>
      </c>
      <c r="H68">
        <f>SUMIF(DATA!$A:$A,PPL!$A68,DATA!F:F)</f>
        <v>391</v>
      </c>
      <c r="I68">
        <f>SUMIF(DATA!$A:$A,PPL!$A68,DATA!G:G)</f>
        <v>12</v>
      </c>
      <c r="J68">
        <f>SUMIF(DATA!$A:$A,PPL!$A68,DATA!H:H)</f>
        <v>0</v>
      </c>
      <c r="K68">
        <f>SUMIF(DATA!$A:$A,PPL!$A68,DATA!I:I)</f>
        <v>84</v>
      </c>
      <c r="L68">
        <f>SUMIF(DATA!$A:$A,PPL!$A68,DATA!J:J)</f>
        <v>0</v>
      </c>
      <c r="M68">
        <f t="shared" si="2"/>
        <v>224</v>
      </c>
      <c r="N68" s="3">
        <f t="shared" si="3"/>
        <v>18.699186991869919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602</v>
      </c>
      <c r="F69">
        <f>SUMIF(DATA!$A:$A,PPL!$A69,DATA!D:D)</f>
        <v>42</v>
      </c>
      <c r="G69">
        <f>SUMIF(DATA!$A:$A,PPL!$A69,DATA!E:E)</f>
        <v>59</v>
      </c>
      <c r="H69">
        <f>SUMIF(DATA!$A:$A,PPL!$A69,DATA!F:F)</f>
        <v>441</v>
      </c>
      <c r="I69">
        <f>SUMIF(DATA!$A:$A,PPL!$A69,DATA!G:G)</f>
        <v>12</v>
      </c>
      <c r="J69">
        <f>SUMIF(DATA!$A:$A,PPL!$A69,DATA!H:H)</f>
        <v>0</v>
      </c>
      <c r="K69">
        <f>SUMIF(DATA!$A:$A,PPL!$A69,DATA!I:I)</f>
        <v>48</v>
      </c>
      <c r="L69">
        <f>SUMIF(DATA!$A:$A,PPL!$A69,DATA!J:J)</f>
        <v>0</v>
      </c>
      <c r="M69">
        <f t="shared" si="2"/>
        <v>161</v>
      </c>
      <c r="N69" s="3">
        <f t="shared" si="3"/>
        <v>14.950166112956811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484</v>
      </c>
      <c r="F70">
        <f>SUMIF(DATA!$A:$A,PPL!$A70,DATA!D:D)</f>
        <v>122</v>
      </c>
      <c r="G70">
        <f>SUMIF(DATA!$A:$A,PPL!$A70,DATA!E:E)</f>
        <v>49</v>
      </c>
      <c r="H70">
        <f>SUMIF(DATA!$A:$A,PPL!$A70,DATA!F:F)</f>
        <v>284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29</v>
      </c>
      <c r="L70">
        <f>SUMIF(DATA!$A:$A,PPL!$A70,DATA!J:J)</f>
        <v>0</v>
      </c>
      <c r="M70">
        <f t="shared" si="2"/>
        <v>200</v>
      </c>
      <c r="N70" s="3">
        <f t="shared" si="3"/>
        <v>31.198347107438018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77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47</v>
      </c>
      <c r="L71">
        <f>SUMIF(DATA!$A:$A,PPL!$A71,DATA!J:J)</f>
        <v>0</v>
      </c>
      <c r="M71">
        <f t="shared" si="2"/>
        <v>184</v>
      </c>
      <c r="N71" s="3">
        <f t="shared" si="3"/>
        <v>26.666666666666668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489</v>
      </c>
      <c r="F72">
        <f>SUMIF(DATA!$A:$A,PPL!$A72,DATA!D:D)</f>
        <v>85</v>
      </c>
      <c r="G72">
        <f>SUMIF(DATA!$A:$A,PPL!$A72,DATA!E:E)</f>
        <v>24</v>
      </c>
      <c r="H72">
        <f>SUMIF(DATA!$A:$A,PPL!$A72,DATA!F:F)</f>
        <v>310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70</v>
      </c>
      <c r="L72">
        <f>SUMIF(DATA!$A:$A,PPL!$A72,DATA!J:J)</f>
        <v>0</v>
      </c>
      <c r="M72">
        <f t="shared" si="2"/>
        <v>179</v>
      </c>
      <c r="N72" s="3">
        <f t="shared" si="3"/>
        <v>31.697341513292432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70</v>
      </c>
      <c r="G73">
        <f>SUMIF(DATA!$A:$A,PPL!$A73,DATA!E:E)</f>
        <v>23</v>
      </c>
      <c r="H73">
        <f>SUMIF(DATA!$A:$A,PPL!$A73,DATA!F:F)</f>
        <v>258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93</v>
      </c>
      <c r="L73">
        <f>SUMIF(DATA!$A:$A,PPL!$A73,DATA!J:J)</f>
        <v>0</v>
      </c>
      <c r="M73">
        <f t="shared" si="2"/>
        <v>186</v>
      </c>
      <c r="N73" s="3">
        <f t="shared" si="3"/>
        <v>36.711711711711715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541</v>
      </c>
      <c r="F74">
        <f>SUMIF(DATA!$A:$A,PPL!$A74,DATA!D:D)</f>
        <v>53</v>
      </c>
      <c r="G74">
        <f>SUMIF(DATA!$A:$A,PPL!$A74,DATA!E:E)</f>
        <v>17</v>
      </c>
      <c r="H74">
        <f>SUMIF(DATA!$A:$A,PPL!$A74,DATA!F:F)</f>
        <v>356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115</v>
      </c>
      <c r="L74">
        <f>SUMIF(DATA!$A:$A,PPL!$A74,DATA!J:J)</f>
        <v>0</v>
      </c>
      <c r="M74">
        <f t="shared" si="2"/>
        <v>185</v>
      </c>
      <c r="N74" s="3">
        <f t="shared" si="3"/>
        <v>31.053604436229204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496</v>
      </c>
      <c r="F75">
        <f>SUMIF(DATA!$A:$A,PPL!$A75,DATA!D:D)</f>
        <v>89</v>
      </c>
      <c r="G75">
        <f>SUMIF(DATA!$A:$A,PPL!$A75,DATA!E:E)</f>
        <v>43</v>
      </c>
      <c r="H75">
        <f>SUMIF(DATA!$A:$A,PPL!$A75,DATA!F:F)</f>
        <v>304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60</v>
      </c>
      <c r="L75">
        <f>SUMIF(DATA!$A:$A,PPL!$A75,DATA!J:J)</f>
        <v>0</v>
      </c>
      <c r="M75">
        <f t="shared" si="2"/>
        <v>192</v>
      </c>
      <c r="N75" s="3">
        <f t="shared" si="3"/>
        <v>30.040322580645164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486</v>
      </c>
      <c r="F76">
        <f>SUMIF(DATA!$A:$A,PPL!$A76,DATA!D:D)</f>
        <v>22</v>
      </c>
      <c r="G76">
        <f>SUMIF(DATA!$A:$A,PPL!$A76,DATA!E:E)</f>
        <v>38</v>
      </c>
      <c r="H76">
        <f>SUMIF(DATA!$A:$A,PPL!$A76,DATA!F:F)</f>
        <v>345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81</v>
      </c>
      <c r="L76">
        <f>SUMIF(DATA!$A:$A,PPL!$A76,DATA!J:J)</f>
        <v>0</v>
      </c>
      <c r="M76">
        <f t="shared" si="2"/>
        <v>141</v>
      </c>
      <c r="N76" s="3">
        <f t="shared" si="3"/>
        <v>21.193415637860085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510</v>
      </c>
      <c r="F77">
        <f>SUMIF(DATA!$A:$A,PPL!$A77,DATA!D:D)</f>
        <v>63</v>
      </c>
      <c r="G77">
        <f>SUMIF(DATA!$A:$A,PPL!$A77,DATA!E:E)</f>
        <v>66</v>
      </c>
      <c r="H77">
        <f>SUMIF(DATA!$A:$A,PPL!$A77,DATA!F:F)</f>
        <v>303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78</v>
      </c>
      <c r="L77">
        <f>SUMIF(DATA!$A:$A,PPL!$A77,DATA!J:J)</f>
        <v>0</v>
      </c>
      <c r="M77">
        <f t="shared" si="2"/>
        <v>207</v>
      </c>
      <c r="N77" s="3">
        <f t="shared" si="3"/>
        <v>27.647058823529413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63</v>
      </c>
      <c r="G78">
        <f>SUMIF(DATA!$A:$A,PPL!$A78,DATA!E:E)</f>
        <v>93</v>
      </c>
      <c r="H78">
        <f>SUMIF(DATA!$A:$A,PPL!$A78,DATA!F:F)</f>
        <v>245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50</v>
      </c>
      <c r="L78">
        <f>SUMIF(DATA!$A:$A,PPL!$A78,DATA!J:J)</f>
        <v>0</v>
      </c>
      <c r="M78">
        <f t="shared" si="2"/>
        <v>211</v>
      </c>
      <c r="N78" s="3">
        <f t="shared" si="3"/>
        <v>24.780701754385966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24</v>
      </c>
      <c r="H79">
        <f>SUMIF(DATA!$A:$A,PPL!$A79,DATA!F:F)</f>
        <v>311</v>
      </c>
      <c r="I79">
        <f>SUMIF(DATA!$A:$A,PPL!$A79,DATA!G:G)</f>
        <v>19</v>
      </c>
      <c r="J79">
        <f>SUMIF(DATA!$A:$A,PPL!$A79,DATA!H:H)</f>
        <v>0</v>
      </c>
      <c r="K79">
        <f>SUMIF(DATA!$A:$A,PPL!$A79,DATA!I:I)</f>
        <v>31</v>
      </c>
      <c r="L79">
        <f>SUMIF(DATA!$A:$A,PPL!$A79,DATA!J:J)</f>
        <v>0</v>
      </c>
      <c r="M79">
        <f t="shared" si="2"/>
        <v>111</v>
      </c>
      <c r="N79" s="3">
        <f t="shared" si="3"/>
        <v>16.113744075829384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18</v>
      </c>
      <c r="G80">
        <f>SUMIF(DATA!$A:$A,PPL!$A80,DATA!E:E)</f>
        <v>66</v>
      </c>
      <c r="H80">
        <f>SUMIF(DATA!$A:$A,PPL!$A80,DATA!F:F)</f>
        <v>349</v>
      </c>
      <c r="I80">
        <f>SUMIF(DATA!$A:$A,PPL!$A80,DATA!G:G)</f>
        <v>8</v>
      </c>
      <c r="J80">
        <f>SUMIF(DATA!$A:$A,PPL!$A80,DATA!H:H)</f>
        <v>1</v>
      </c>
      <c r="K80">
        <f>SUMIF(DATA!$A:$A,PPL!$A80,DATA!I:I)</f>
        <v>20</v>
      </c>
      <c r="L80">
        <f>SUMIF(DATA!$A:$A,PPL!$A80,DATA!J:J)</f>
        <v>0</v>
      </c>
      <c r="M80">
        <f t="shared" si="2"/>
        <v>113</v>
      </c>
      <c r="N80" s="3">
        <f t="shared" si="3"/>
        <v>8.2251082251082259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440</v>
      </c>
      <c r="F81">
        <f>SUMIF(DATA!$A:$A,PPL!$A81,DATA!D:D)</f>
        <v>69</v>
      </c>
      <c r="G81">
        <f>SUMIF(DATA!$A:$A,PPL!$A81,DATA!E:E)</f>
        <v>16</v>
      </c>
      <c r="H81">
        <f>SUMIF(DATA!$A:$A,PPL!$A81,DATA!F:F)</f>
        <v>267</v>
      </c>
      <c r="I81">
        <f>SUMIF(DATA!$A:$A,PPL!$A81,DATA!G:G)</f>
        <v>12</v>
      </c>
      <c r="J81">
        <f>SUMIF(DATA!$A:$A,PPL!$A81,DATA!H:H)</f>
        <v>0</v>
      </c>
      <c r="K81">
        <f>SUMIF(DATA!$A:$A,PPL!$A81,DATA!I:I)</f>
        <v>76</v>
      </c>
      <c r="L81">
        <f>SUMIF(DATA!$A:$A,PPL!$A81,DATA!J:J)</f>
        <v>0</v>
      </c>
      <c r="M81">
        <f t="shared" si="2"/>
        <v>173</v>
      </c>
      <c r="N81" s="3">
        <f t="shared" si="3"/>
        <v>32.954545454545453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56</v>
      </c>
      <c r="G82">
        <f>SUMIF(DATA!$A:$A,PPL!$A82,DATA!E:E)</f>
        <v>14</v>
      </c>
      <c r="H82">
        <f>SUMIF(DATA!$A:$A,PPL!$A82,DATA!F:F)</f>
        <v>291</v>
      </c>
      <c r="I82">
        <f>SUMIF(DATA!$A:$A,PPL!$A82,DATA!G:G)</f>
        <v>10</v>
      </c>
      <c r="J82">
        <f>SUMIF(DATA!$A:$A,PPL!$A82,DATA!H:H)</f>
        <v>0</v>
      </c>
      <c r="K82">
        <f>SUMIF(DATA!$A:$A,PPL!$A82,DATA!I:I)</f>
        <v>57</v>
      </c>
      <c r="L82">
        <f>SUMIF(DATA!$A:$A,PPL!$A82,DATA!J:J)</f>
        <v>0</v>
      </c>
      <c r="M82">
        <f t="shared" si="2"/>
        <v>137</v>
      </c>
      <c r="N82" s="3">
        <f t="shared" si="3"/>
        <v>26.401869158878505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410</v>
      </c>
      <c r="F83">
        <f>SUMIF(DATA!$A:$A,PPL!$A83,DATA!D:D)</f>
        <v>70</v>
      </c>
      <c r="G83">
        <f>SUMIF(DATA!$A:$A,PPL!$A83,DATA!E:E)</f>
        <v>13</v>
      </c>
      <c r="H83">
        <f>SUMIF(DATA!$A:$A,PPL!$A83,DATA!F:F)</f>
        <v>253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64</v>
      </c>
      <c r="L83">
        <f>SUMIF(DATA!$A:$A,PPL!$A83,DATA!J:J)</f>
        <v>0</v>
      </c>
      <c r="M83">
        <f t="shared" si="2"/>
        <v>157</v>
      </c>
      <c r="N83" s="3">
        <f t="shared" si="3"/>
        <v>32.682926829268297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426</v>
      </c>
      <c r="F84">
        <f>SUMIF(DATA!$A:$A,PPL!$A84,DATA!D:D)</f>
        <v>56</v>
      </c>
      <c r="G84">
        <f>SUMIF(DATA!$A:$A,PPL!$A84,DATA!E:E)</f>
        <v>17</v>
      </c>
      <c r="H84">
        <f>SUMIF(DATA!$A:$A,PPL!$A84,DATA!F:F)</f>
        <v>261</v>
      </c>
      <c r="I84">
        <f>SUMIF(DATA!$A:$A,PPL!$A84,DATA!G:G)</f>
        <v>13</v>
      </c>
      <c r="J84">
        <f>SUMIF(DATA!$A:$A,PPL!$A84,DATA!H:H)</f>
        <v>0</v>
      </c>
      <c r="K84">
        <f>SUMIF(DATA!$A:$A,PPL!$A84,DATA!I:I)</f>
        <v>79</v>
      </c>
      <c r="L84">
        <f>SUMIF(DATA!$A:$A,PPL!$A84,DATA!J:J)</f>
        <v>0</v>
      </c>
      <c r="M84">
        <f t="shared" si="2"/>
        <v>165</v>
      </c>
      <c r="N84" s="3">
        <f t="shared" si="3"/>
        <v>31.690140845070424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427</v>
      </c>
      <c r="F85">
        <f>SUMIF(DATA!$A:$A,PPL!$A85,DATA!D:D)</f>
        <v>73</v>
      </c>
      <c r="G85">
        <f>SUMIF(DATA!$A:$A,PPL!$A85,DATA!E:E)</f>
        <v>38</v>
      </c>
      <c r="H85">
        <f>SUMIF(DATA!$A:$A,PPL!$A85,DATA!F:F)</f>
        <v>250</v>
      </c>
      <c r="I85">
        <f>SUMIF(DATA!$A:$A,PPL!$A85,DATA!G:G)</f>
        <v>8</v>
      </c>
      <c r="J85">
        <f>SUMIF(DATA!$A:$A,PPL!$A85,DATA!H:H)</f>
        <v>0</v>
      </c>
      <c r="K85">
        <f>SUMIF(DATA!$A:$A,PPL!$A85,DATA!I:I)</f>
        <v>58</v>
      </c>
      <c r="L85">
        <f>SUMIF(DATA!$A:$A,PPL!$A85,DATA!J:J)</f>
        <v>0</v>
      </c>
      <c r="M85">
        <f t="shared" si="2"/>
        <v>177</v>
      </c>
      <c r="N85" s="3">
        <f t="shared" si="3"/>
        <v>30.679156908665107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680</v>
      </c>
      <c r="F86">
        <f>SUMIF(DATA!$A:$A,PPL!$A86,DATA!D:D)</f>
        <v>101</v>
      </c>
      <c r="G86">
        <f>SUMIF(DATA!$A:$A,PPL!$A86,DATA!E:E)</f>
        <v>56</v>
      </c>
      <c r="H86">
        <f>SUMIF(DATA!$A:$A,PPL!$A86,DATA!F:F)</f>
        <v>446</v>
      </c>
      <c r="I86">
        <f>SUMIF(DATA!$A:$A,PPL!$A86,DATA!G:G)</f>
        <v>18</v>
      </c>
      <c r="J86">
        <f>SUMIF(DATA!$A:$A,PPL!$A86,DATA!H:H)</f>
        <v>0</v>
      </c>
      <c r="K86">
        <f>SUMIF(DATA!$A:$A,PPL!$A86,DATA!I:I)</f>
        <v>59</v>
      </c>
      <c r="L86">
        <f>SUMIF(DATA!$A:$A,PPL!$A86,DATA!J:J)</f>
        <v>0</v>
      </c>
      <c r="M86">
        <f t="shared" si="2"/>
        <v>234</v>
      </c>
      <c r="N86" s="3">
        <f t="shared" si="3"/>
        <v>23.52941176470588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636</v>
      </c>
      <c r="F87">
        <f>SUMIF(DATA!$A:$A,PPL!$A87,DATA!D:D)</f>
        <v>106</v>
      </c>
      <c r="G87">
        <f>SUMIF(DATA!$A:$A,PPL!$A87,DATA!E:E)</f>
        <v>16</v>
      </c>
      <c r="H87">
        <f>SUMIF(DATA!$A:$A,PPL!$A87,DATA!F:F)</f>
        <v>407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107</v>
      </c>
      <c r="L87">
        <f>SUMIF(DATA!$A:$A,PPL!$A87,DATA!J:J)</f>
        <v>0</v>
      </c>
      <c r="M87">
        <f t="shared" si="2"/>
        <v>229</v>
      </c>
      <c r="N87" s="3">
        <f t="shared" si="3"/>
        <v>33.490566037735846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589</v>
      </c>
      <c r="F88">
        <f>SUMIF(DATA!$A:$A,PPL!$A88,DATA!D:D)</f>
        <v>57</v>
      </c>
      <c r="G88">
        <f>SUMIF(DATA!$A:$A,PPL!$A88,DATA!E:E)</f>
        <v>30</v>
      </c>
      <c r="H88">
        <f>SUMIF(DATA!$A:$A,PPL!$A88,DATA!F:F)</f>
        <v>356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145</v>
      </c>
      <c r="L88">
        <f>SUMIF(DATA!$A:$A,PPL!$A88,DATA!J:J)</f>
        <v>0</v>
      </c>
      <c r="M88">
        <f t="shared" si="2"/>
        <v>232</v>
      </c>
      <c r="N88" s="3">
        <f t="shared" si="3"/>
        <v>34.295415959252971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604</v>
      </c>
      <c r="F89">
        <f>SUMIF(DATA!$A:$A,PPL!$A89,DATA!D:D)</f>
        <v>97</v>
      </c>
      <c r="G89">
        <f>SUMIF(DATA!$A:$A,PPL!$A89,DATA!E:E)</f>
        <v>62</v>
      </c>
      <c r="H89">
        <f>SUMIF(DATA!$A:$A,PPL!$A89,DATA!F:F)</f>
        <v>392</v>
      </c>
      <c r="I89">
        <f>SUMIF(DATA!$A:$A,PPL!$A89,DATA!G:G)</f>
        <v>2</v>
      </c>
      <c r="J89">
        <f>SUMIF(DATA!$A:$A,PPL!$A89,DATA!H:H)</f>
        <v>0</v>
      </c>
      <c r="K89">
        <f>SUMIF(DATA!$A:$A,PPL!$A89,DATA!I:I)</f>
        <v>51</v>
      </c>
      <c r="L89">
        <f>SUMIF(DATA!$A:$A,PPL!$A89,DATA!J:J)</f>
        <v>0</v>
      </c>
      <c r="M89">
        <f t="shared" si="2"/>
        <v>212</v>
      </c>
      <c r="N89" s="3">
        <f t="shared" si="3"/>
        <v>24.503311258278146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567</v>
      </c>
      <c r="F90">
        <f>SUMIF(DATA!$A:$A,PPL!$A90,DATA!D:D)</f>
        <v>29</v>
      </c>
      <c r="G90">
        <f>SUMIF(DATA!$A:$A,PPL!$A90,DATA!E:E)</f>
        <v>70</v>
      </c>
      <c r="H90">
        <f>SUMIF(DATA!$A:$A,PPL!$A90,DATA!F:F)</f>
        <v>380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88</v>
      </c>
      <c r="L90">
        <f>SUMIF(DATA!$A:$A,PPL!$A90,DATA!J:J)</f>
        <v>0</v>
      </c>
      <c r="M90">
        <f t="shared" si="2"/>
        <v>187</v>
      </c>
      <c r="N90" s="3">
        <f t="shared" si="3"/>
        <v>20.634920634920633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610</v>
      </c>
      <c r="F91">
        <f>SUMIF(DATA!$A:$A,PPL!$A91,DATA!D:D)</f>
        <v>124</v>
      </c>
      <c r="G91">
        <f>SUMIF(DATA!$A:$A,PPL!$A91,DATA!E:E)</f>
        <v>4</v>
      </c>
      <c r="H91">
        <f>SUMIF(DATA!$A:$A,PPL!$A91,DATA!F:F)</f>
        <v>369</v>
      </c>
      <c r="I91">
        <f>SUMIF(DATA!$A:$A,PPL!$A91,DATA!G:G)</f>
        <v>81</v>
      </c>
      <c r="J91">
        <f>SUMIF(DATA!$A:$A,PPL!$A91,DATA!H:H)</f>
        <v>2</v>
      </c>
      <c r="K91">
        <f>SUMIF(DATA!$A:$A,PPL!$A91,DATA!I:I)</f>
        <v>30</v>
      </c>
      <c r="L91">
        <f>SUMIF(DATA!$A:$A,PPL!$A91,DATA!J:J)</f>
        <v>0</v>
      </c>
      <c r="M91">
        <f t="shared" si="2"/>
        <v>241</v>
      </c>
      <c r="N91" s="3">
        <f t="shared" si="3"/>
        <v>25.245901639344265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618</v>
      </c>
      <c r="F92">
        <f>SUMIF(DATA!$A:$A,PPL!$A92,DATA!D:D)</f>
        <v>44</v>
      </c>
      <c r="G92">
        <f>SUMIF(DATA!$A:$A,PPL!$A92,DATA!E:E)</f>
        <v>94</v>
      </c>
      <c r="H92">
        <f>SUMIF(DATA!$A:$A,PPL!$A92,DATA!F:F)</f>
        <v>395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84</v>
      </c>
      <c r="L92">
        <f>SUMIF(DATA!$A:$A,PPL!$A92,DATA!J:J)</f>
        <v>0</v>
      </c>
      <c r="M92">
        <f t="shared" si="2"/>
        <v>223</v>
      </c>
      <c r="N92" s="3">
        <f t="shared" si="3"/>
        <v>20.711974110032365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621</v>
      </c>
      <c r="F93">
        <f>SUMIF(DATA!$A:$A,PPL!$A93,DATA!D:D)</f>
        <v>53</v>
      </c>
      <c r="G93">
        <f>SUMIF(DATA!$A:$A,PPL!$A93,DATA!E:E)</f>
        <v>47</v>
      </c>
      <c r="H93">
        <f>SUMIF(DATA!$A:$A,PPL!$A93,DATA!F:F)</f>
        <v>394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125</v>
      </c>
      <c r="L93">
        <f>SUMIF(DATA!$A:$A,PPL!$A93,DATA!J:J)</f>
        <v>0</v>
      </c>
      <c r="M93">
        <f t="shared" si="2"/>
        <v>227</v>
      </c>
      <c r="N93" s="3">
        <f t="shared" si="3"/>
        <v>28.663446054750402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609</v>
      </c>
      <c r="F94">
        <f>SUMIF(DATA!$A:$A,PPL!$A94,DATA!D:D)</f>
        <v>127</v>
      </c>
      <c r="G94">
        <f>SUMIF(DATA!$A:$A,PPL!$A94,DATA!E:E)</f>
        <v>89</v>
      </c>
      <c r="H94">
        <f>SUMIF(DATA!$A:$A,PPL!$A94,DATA!F:F)</f>
        <v>360</v>
      </c>
      <c r="I94">
        <f>SUMIF(DATA!$A:$A,PPL!$A94,DATA!G:G)</f>
        <v>2</v>
      </c>
      <c r="J94">
        <f>SUMIF(DATA!$A:$A,PPL!$A94,DATA!H:H)</f>
        <v>0</v>
      </c>
      <c r="K94">
        <f>SUMIF(DATA!$A:$A,PPL!$A94,DATA!I:I)</f>
        <v>31</v>
      </c>
      <c r="L94">
        <f>SUMIF(DATA!$A:$A,PPL!$A94,DATA!J:J)</f>
        <v>0</v>
      </c>
      <c r="M94">
        <f t="shared" si="2"/>
        <v>249</v>
      </c>
      <c r="N94" s="3">
        <f t="shared" si="3"/>
        <v>25.94417077175698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635</v>
      </c>
      <c r="F95">
        <f>SUMIF(DATA!$A:$A,PPL!$A95,DATA!D:D)</f>
        <v>61</v>
      </c>
      <c r="G95">
        <f>SUMIF(DATA!$A:$A,PPL!$A95,DATA!E:E)</f>
        <v>32</v>
      </c>
      <c r="H95">
        <f>SUMIF(DATA!$A:$A,PPL!$A95,DATA!F:F)</f>
        <v>410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131</v>
      </c>
      <c r="L95">
        <f>SUMIF(DATA!$A:$A,PPL!$A95,DATA!J:J)</f>
        <v>0</v>
      </c>
      <c r="M95">
        <f t="shared" si="2"/>
        <v>225</v>
      </c>
      <c r="N95" s="3">
        <f t="shared" si="3"/>
        <v>30.236220472440944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574</v>
      </c>
      <c r="F96">
        <f>SUMIF(DATA!$A:$A,PPL!$A96,DATA!D:D)</f>
        <v>69</v>
      </c>
      <c r="G96">
        <f>SUMIF(DATA!$A:$A,PPL!$A96,DATA!E:E)</f>
        <v>68</v>
      </c>
      <c r="H96">
        <f>SUMIF(DATA!$A:$A,PPL!$A96,DATA!F:F)</f>
        <v>356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81</v>
      </c>
      <c r="L96">
        <f>SUMIF(DATA!$A:$A,PPL!$A96,DATA!J:J)</f>
        <v>0</v>
      </c>
      <c r="M96">
        <f t="shared" si="2"/>
        <v>218</v>
      </c>
      <c r="N96" s="3">
        <f t="shared" si="3"/>
        <v>26.132404181184672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94</v>
      </c>
      <c r="G97">
        <f>SUMIF(DATA!$A:$A,PPL!$A97,DATA!E:E)</f>
        <v>0</v>
      </c>
      <c r="H97">
        <f>SUMIF(DATA!$A:$A,PPL!$A97,DATA!F:F)</f>
        <v>366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146</v>
      </c>
      <c r="L97">
        <f>SUMIF(DATA!$A:$A,PPL!$A97,DATA!J:J)</f>
        <v>0</v>
      </c>
      <c r="M97">
        <f t="shared" si="2"/>
        <v>246</v>
      </c>
      <c r="N97" s="3">
        <f t="shared" si="3"/>
        <v>39.215686274509807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53</v>
      </c>
      <c r="G98">
        <f>SUMIF(DATA!$A:$A,PPL!$A98,DATA!E:E)</f>
        <v>77</v>
      </c>
      <c r="H98">
        <f>SUMIF(DATA!$A:$A,PPL!$A98,DATA!F:F)</f>
        <v>412</v>
      </c>
      <c r="I98">
        <f>SUMIF(DATA!$A:$A,PPL!$A98,DATA!G:G)</f>
        <v>3</v>
      </c>
      <c r="J98">
        <f>SUMIF(DATA!$A:$A,PPL!$A98,DATA!H:H)</f>
        <v>0</v>
      </c>
      <c r="K98">
        <f>SUMIF(DATA!$A:$A,PPL!$A98,DATA!I:I)</f>
        <v>76</v>
      </c>
      <c r="L98">
        <f>SUMIF(DATA!$A:$A,PPL!$A98,DATA!J:J)</f>
        <v>0</v>
      </c>
      <c r="M98">
        <f t="shared" si="2"/>
        <v>209</v>
      </c>
      <c r="N98" s="3">
        <f t="shared" si="3"/>
        <v>20.772946859903382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615</v>
      </c>
      <c r="F99">
        <f>SUMIF(DATA!$A:$A,PPL!$A99,DATA!D:D)</f>
        <v>92</v>
      </c>
      <c r="G99">
        <f>SUMIF(DATA!$A:$A,PPL!$A99,DATA!E:E)</f>
        <v>1</v>
      </c>
      <c r="H99">
        <f>SUMIF(DATA!$A:$A,PPL!$A99,DATA!F:F)</f>
        <v>324</v>
      </c>
      <c r="I99">
        <f>SUMIF(DATA!$A:$A,PPL!$A99,DATA!G:G)</f>
        <v>13</v>
      </c>
      <c r="J99">
        <f>SUMIF(DATA!$A:$A,PPL!$A99,DATA!H:H)</f>
        <v>0</v>
      </c>
      <c r="K99">
        <f>SUMIF(DATA!$A:$A,PPL!$A99,DATA!I:I)</f>
        <v>185</v>
      </c>
      <c r="L99">
        <f>SUMIF(DATA!$A:$A,PPL!$A99,DATA!J:J)</f>
        <v>0</v>
      </c>
      <c r="M99">
        <f t="shared" si="2"/>
        <v>291</v>
      </c>
      <c r="N99" s="3">
        <f t="shared" si="3"/>
        <v>45.040650406504064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654</v>
      </c>
      <c r="F100">
        <f>SUMIF(DATA!$A:$A,PPL!$A100,DATA!D:D)</f>
        <v>36</v>
      </c>
      <c r="G100">
        <f>SUMIF(DATA!$A:$A,PPL!$A100,DATA!E:E)</f>
        <v>34</v>
      </c>
      <c r="H100">
        <f>SUMIF(DATA!$A:$A,PPL!$A100,DATA!F:F)</f>
        <v>411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171</v>
      </c>
      <c r="L100">
        <f>SUMIF(DATA!$A:$A,PPL!$A100,DATA!J:J)</f>
        <v>0</v>
      </c>
      <c r="M100">
        <f t="shared" si="2"/>
        <v>243</v>
      </c>
      <c r="N100" s="3">
        <f t="shared" si="3"/>
        <v>31.651376146788991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425</v>
      </c>
      <c r="F101">
        <f>SUMIF(DATA!$A:$A,PPL!$A101,DATA!D:D)</f>
        <v>59</v>
      </c>
      <c r="G101">
        <f>SUMIF(DATA!$A:$A,PPL!$A101,DATA!E:E)</f>
        <v>24</v>
      </c>
      <c r="H101">
        <f>SUMIF(DATA!$A:$A,PPL!$A101,DATA!F:F)</f>
        <v>212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129</v>
      </c>
      <c r="L101">
        <f>SUMIF(DATA!$A:$A,PPL!$A101,DATA!J:J)</f>
        <v>0</v>
      </c>
      <c r="M101">
        <f t="shared" si="2"/>
        <v>213</v>
      </c>
      <c r="N101" s="3">
        <f t="shared" si="3"/>
        <v>44.235294117647058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556</v>
      </c>
      <c r="F102">
        <f>SUMIF(DATA!$A:$A,PPL!$A102,DATA!D:D)</f>
        <v>17</v>
      </c>
      <c r="G102">
        <f>SUMIF(DATA!$A:$A,PPL!$A102,DATA!E:E)</f>
        <v>8</v>
      </c>
      <c r="H102">
        <f>SUMIF(DATA!$A:$A,PPL!$A102,DATA!F:F)</f>
        <v>324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207</v>
      </c>
      <c r="L102">
        <f>SUMIF(DATA!$A:$A,PPL!$A102,DATA!J:J)</f>
        <v>0</v>
      </c>
      <c r="M102">
        <f t="shared" si="2"/>
        <v>232</v>
      </c>
      <c r="N102" s="3">
        <f t="shared" si="3"/>
        <v>40.28776978417266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633</v>
      </c>
      <c r="F103">
        <f>SUMIF(DATA!$A:$A,PPL!$A103,DATA!D:D)</f>
        <v>82</v>
      </c>
      <c r="G103">
        <f>SUMIF(DATA!$A:$A,PPL!$A103,DATA!E:E)</f>
        <v>68</v>
      </c>
      <c r="H103">
        <f>SUMIF(DATA!$A:$A,PPL!$A103,DATA!F:F)</f>
        <v>396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70</v>
      </c>
      <c r="L103">
        <f>SUMIF(DATA!$A:$A,PPL!$A103,DATA!J:J)</f>
        <v>0</v>
      </c>
      <c r="M103">
        <f t="shared" si="2"/>
        <v>237</v>
      </c>
      <c r="N103" s="3">
        <f t="shared" si="3"/>
        <v>24.01263823064771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642</v>
      </c>
      <c r="F104">
        <f>SUMIF(DATA!$A:$A,PPL!$A104,DATA!D:D)</f>
        <v>24</v>
      </c>
      <c r="G104">
        <f>SUMIF(DATA!$A:$A,PPL!$A104,DATA!E:E)</f>
        <v>53</v>
      </c>
      <c r="H104">
        <f>SUMIF(DATA!$A:$A,PPL!$A104,DATA!F:F)</f>
        <v>462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102</v>
      </c>
      <c r="L104">
        <f>SUMIF(DATA!$A:$A,PPL!$A104,DATA!J:J)</f>
        <v>0</v>
      </c>
      <c r="M104">
        <f t="shared" si="2"/>
        <v>180</v>
      </c>
      <c r="N104" s="3">
        <f t="shared" si="3"/>
        <v>19.626168224299064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639</v>
      </c>
      <c r="F105">
        <f>SUMIF(DATA!$A:$A,PPL!$A105,DATA!D:D)</f>
        <v>105</v>
      </c>
      <c r="G105">
        <f>SUMIF(DATA!$A:$A,PPL!$A105,DATA!E:E)</f>
        <v>83</v>
      </c>
      <c r="H105">
        <f>SUMIF(DATA!$A:$A,PPL!$A105,DATA!F:F)</f>
        <v>382</v>
      </c>
      <c r="I105">
        <f>SUMIF(DATA!$A:$A,PPL!$A105,DATA!G:G)</f>
        <v>15</v>
      </c>
      <c r="J105">
        <f>SUMIF(DATA!$A:$A,PPL!$A105,DATA!H:H)</f>
        <v>0</v>
      </c>
      <c r="K105">
        <f>SUMIF(DATA!$A:$A,PPL!$A105,DATA!I:I)</f>
        <v>54</v>
      </c>
      <c r="L105">
        <f>SUMIF(DATA!$A:$A,PPL!$A105,DATA!J:J)</f>
        <v>0</v>
      </c>
      <c r="M105">
        <f t="shared" si="2"/>
        <v>257</v>
      </c>
      <c r="N105" s="3">
        <f t="shared" si="3"/>
        <v>24.88262910798122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637</v>
      </c>
      <c r="F106">
        <f>SUMIF(DATA!$A:$A,PPL!$A106,DATA!D:D)</f>
        <v>307</v>
      </c>
      <c r="G106">
        <f>SUMIF(DATA!$A:$A,PPL!$A106,DATA!E:E)</f>
        <v>98</v>
      </c>
      <c r="H106">
        <f>SUMIF(DATA!$A:$A,PPL!$A106,DATA!F:F)</f>
        <v>173</v>
      </c>
      <c r="I106">
        <f>SUMIF(DATA!$A:$A,PPL!$A106,DATA!G:G)</f>
        <v>40</v>
      </c>
      <c r="J106">
        <f>SUMIF(DATA!$A:$A,PPL!$A106,DATA!H:H)</f>
        <v>0</v>
      </c>
      <c r="K106">
        <f>SUMIF(DATA!$A:$A,PPL!$A106,DATA!I:I)</f>
        <v>19</v>
      </c>
      <c r="L106">
        <f>SUMIF(DATA!$A:$A,PPL!$A106,DATA!J:J)</f>
        <v>0</v>
      </c>
      <c r="M106">
        <f t="shared" si="2"/>
        <v>464</v>
      </c>
      <c r="N106" s="3">
        <f t="shared" si="3"/>
        <v>51.177394034536896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607</v>
      </c>
      <c r="F107">
        <f>SUMIF(DATA!$A:$A,PPL!$A107,DATA!D:D)</f>
        <v>102</v>
      </c>
      <c r="G107">
        <f>SUMIF(DATA!$A:$A,PPL!$A107,DATA!E:E)</f>
        <v>22</v>
      </c>
      <c r="H107">
        <f>SUMIF(DATA!$A:$A,PPL!$A107,DATA!F:F)</f>
        <v>408</v>
      </c>
      <c r="I107">
        <f>SUMIF(DATA!$A:$A,PPL!$A107,DATA!G:G)</f>
        <v>12</v>
      </c>
      <c r="J107">
        <f>SUMIF(DATA!$A:$A,PPL!$A107,DATA!H:H)</f>
        <v>0</v>
      </c>
      <c r="K107">
        <f>SUMIF(DATA!$A:$A,PPL!$A107,DATA!I:I)</f>
        <v>63</v>
      </c>
      <c r="L107">
        <f>SUMIF(DATA!$A:$A,PPL!$A107,DATA!J:J)</f>
        <v>0</v>
      </c>
      <c r="M107">
        <f t="shared" si="2"/>
        <v>199</v>
      </c>
      <c r="N107" s="3">
        <f t="shared" si="3"/>
        <v>27.182866556836906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642</v>
      </c>
      <c r="F108">
        <f>SUMIF(DATA!$A:$A,PPL!$A108,DATA!D:D)</f>
        <v>129</v>
      </c>
      <c r="G108">
        <f>SUMIF(DATA!$A:$A,PPL!$A108,DATA!E:E)</f>
        <v>87</v>
      </c>
      <c r="H108">
        <f>SUMIF(DATA!$A:$A,PPL!$A108,DATA!F:F)</f>
        <v>380</v>
      </c>
      <c r="I108">
        <f>SUMIF(DATA!$A:$A,PPL!$A108,DATA!G:G)</f>
        <v>20</v>
      </c>
      <c r="J108">
        <f>SUMIF(DATA!$A:$A,PPL!$A108,DATA!H:H)</f>
        <v>0</v>
      </c>
      <c r="K108">
        <f>SUMIF(DATA!$A:$A,PPL!$A108,DATA!I:I)</f>
        <v>26</v>
      </c>
      <c r="L108">
        <f>SUMIF(DATA!$A:$A,PPL!$A108,DATA!J:J)</f>
        <v>0</v>
      </c>
      <c r="M108">
        <f t="shared" si="2"/>
        <v>262</v>
      </c>
      <c r="N108" s="3">
        <f t="shared" si="3"/>
        <v>24.143302180685357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637</v>
      </c>
      <c r="F109">
        <f>SUMIF(DATA!$A:$A,PPL!$A109,DATA!D:D)</f>
        <v>121</v>
      </c>
      <c r="G109">
        <f>SUMIF(DATA!$A:$A,PPL!$A109,DATA!E:E)</f>
        <v>50</v>
      </c>
      <c r="H109">
        <f>SUMIF(DATA!$A:$A,PPL!$A109,DATA!F:F)</f>
        <v>413</v>
      </c>
      <c r="I109">
        <f>SUMIF(DATA!$A:$A,PPL!$A109,DATA!G:G)</f>
        <v>34</v>
      </c>
      <c r="J109">
        <f>SUMIF(DATA!$A:$A,PPL!$A109,DATA!H:H)</f>
        <v>0</v>
      </c>
      <c r="K109">
        <f>SUMIF(DATA!$A:$A,PPL!$A109,DATA!I:I)</f>
        <v>19</v>
      </c>
      <c r="L109">
        <f>SUMIF(DATA!$A:$A,PPL!$A109,DATA!J:J)</f>
        <v>0</v>
      </c>
      <c r="M109">
        <f t="shared" si="2"/>
        <v>224</v>
      </c>
      <c r="N109" s="3">
        <f t="shared" si="3"/>
        <v>21.978021978021978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640</v>
      </c>
      <c r="F110">
        <f>SUMIF(DATA!$A:$A,PPL!$A110,DATA!D:D)</f>
        <v>195</v>
      </c>
      <c r="G110">
        <f>SUMIF(DATA!$A:$A,PPL!$A110,DATA!E:E)</f>
        <v>8</v>
      </c>
      <c r="H110">
        <f>SUMIF(DATA!$A:$A,PPL!$A110,DATA!F:F)</f>
        <v>433</v>
      </c>
      <c r="I110">
        <f>SUMIF(DATA!$A:$A,PPL!$A110,DATA!G:G)</f>
        <v>4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2"/>
        <v>207</v>
      </c>
      <c r="N110" s="3">
        <f t="shared" si="3"/>
        <v>30.46875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591</v>
      </c>
      <c r="F111">
        <f>SUMIF(DATA!$A:$A,PPL!$A111,DATA!D:D)</f>
        <v>234</v>
      </c>
      <c r="G111">
        <f>SUMIF(DATA!$A:$A,PPL!$A111,DATA!E:E)</f>
        <v>13</v>
      </c>
      <c r="H111">
        <f>SUMIF(DATA!$A:$A,PPL!$A111,DATA!F:F)</f>
        <v>331</v>
      </c>
      <c r="I111">
        <f>SUMIF(DATA!$A:$A,PPL!$A111,DATA!G:G)</f>
        <v>13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260</v>
      </c>
      <c r="N111" s="3">
        <f t="shared" si="3"/>
        <v>39.593908629441628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615</v>
      </c>
      <c r="F112">
        <f>SUMIF(DATA!$A:$A,PPL!$A112,DATA!D:D)</f>
        <v>226</v>
      </c>
      <c r="G112">
        <f>SUMIF(DATA!$A:$A,PPL!$A112,DATA!E:E)</f>
        <v>5</v>
      </c>
      <c r="H112">
        <f>SUMIF(DATA!$A:$A,PPL!$A112,DATA!F:F)</f>
        <v>348</v>
      </c>
      <c r="I112">
        <f>SUMIF(DATA!$A:$A,PPL!$A112,DATA!G:G)</f>
        <v>28</v>
      </c>
      <c r="J112">
        <f>SUMIF(DATA!$A:$A,PPL!$A112,DATA!H:H)</f>
        <v>0</v>
      </c>
      <c r="K112">
        <f>SUMIF(DATA!$A:$A,PPL!$A112,DATA!I:I)</f>
        <v>8</v>
      </c>
      <c r="L112">
        <f>SUMIF(DATA!$A:$A,PPL!$A112,DATA!J:J)</f>
        <v>0</v>
      </c>
      <c r="M112">
        <f t="shared" si="2"/>
        <v>267</v>
      </c>
      <c r="N112" s="3">
        <f t="shared" si="3"/>
        <v>38.048780487804876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610</v>
      </c>
      <c r="F113">
        <f>SUMIF(DATA!$A:$A,PPL!$A113,DATA!D:D)</f>
        <v>81</v>
      </c>
      <c r="G113">
        <f>SUMIF(DATA!$A:$A,PPL!$A113,DATA!E:E)</f>
        <v>85</v>
      </c>
      <c r="H113">
        <f>SUMIF(DATA!$A:$A,PPL!$A113,DATA!F:F)</f>
        <v>442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168</v>
      </c>
      <c r="N113" s="3">
        <f t="shared" si="3"/>
        <v>13.60655737704918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560</v>
      </c>
      <c r="F114">
        <f>SUMIF(DATA!$A:$A,PPL!$A114,DATA!D:D)</f>
        <v>120</v>
      </c>
      <c r="G114">
        <f>SUMIF(DATA!$A:$A,PPL!$A114,DATA!E:E)</f>
        <v>10</v>
      </c>
      <c r="H114">
        <f>SUMIF(DATA!$A:$A,PPL!$A114,DATA!F:F)</f>
        <v>415</v>
      </c>
      <c r="I114">
        <f>SUMIF(DATA!$A:$A,PPL!$A114,DATA!G:G)</f>
        <v>13</v>
      </c>
      <c r="J114">
        <f>SUMIF(DATA!$A:$A,PPL!$A114,DATA!H:H)</f>
        <v>0</v>
      </c>
      <c r="K114">
        <f>SUMIF(DATA!$A:$A,PPL!$A114,DATA!I:I)</f>
        <v>2</v>
      </c>
      <c r="L114">
        <f>SUMIF(DATA!$A:$A,PPL!$A114,DATA!J:J)</f>
        <v>0</v>
      </c>
      <c r="M114">
        <f t="shared" si="2"/>
        <v>145</v>
      </c>
      <c r="N114" s="3">
        <f t="shared" si="3"/>
        <v>21.785714285714285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624</v>
      </c>
      <c r="F115">
        <f>SUMIF(DATA!$A:$A,PPL!$A115,DATA!D:D)</f>
        <v>87</v>
      </c>
      <c r="G115">
        <f>SUMIF(DATA!$A:$A,PPL!$A115,DATA!E:E)</f>
        <v>32</v>
      </c>
      <c r="H115">
        <f>SUMIF(DATA!$A:$A,PPL!$A115,DATA!F:F)</f>
        <v>505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119</v>
      </c>
      <c r="N115" s="3">
        <f t="shared" si="3"/>
        <v>13.942307692307693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657</v>
      </c>
      <c r="F116">
        <f>SUMIF(DATA!$A:$A,PPL!$A116,DATA!D:D)</f>
        <v>12</v>
      </c>
      <c r="G116">
        <f>SUMIF(DATA!$A:$A,PPL!$A116,DATA!E:E)</f>
        <v>92</v>
      </c>
      <c r="H116">
        <f>SUMIF(DATA!$A:$A,PPL!$A116,DATA!F:F)</f>
        <v>474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79</v>
      </c>
      <c r="L116">
        <f>SUMIF(DATA!$A:$A,PPL!$A116,DATA!J:J)</f>
        <v>0</v>
      </c>
      <c r="M116">
        <f t="shared" si="2"/>
        <v>183</v>
      </c>
      <c r="N116" s="3">
        <f t="shared" si="3"/>
        <v>13.850837138508371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647</v>
      </c>
      <c r="F117">
        <f>SUMIF(DATA!$A:$A,PPL!$A117,DATA!D:D)</f>
        <v>98</v>
      </c>
      <c r="G117">
        <f>SUMIF(DATA!$A:$A,PPL!$A117,DATA!E:E)</f>
        <v>60</v>
      </c>
      <c r="H117">
        <f>SUMIF(DATA!$A:$A,PPL!$A117,DATA!F:F)</f>
        <v>391</v>
      </c>
      <c r="I117">
        <f>SUMIF(DATA!$A:$A,PPL!$A117,DATA!G:G)</f>
        <v>48</v>
      </c>
      <c r="J117">
        <f>SUMIF(DATA!$A:$A,PPL!$A117,DATA!H:H)</f>
        <v>0</v>
      </c>
      <c r="K117">
        <f>SUMIF(DATA!$A:$A,PPL!$A117,DATA!I:I)</f>
        <v>50</v>
      </c>
      <c r="L117">
        <f>SUMIF(DATA!$A:$A,PPL!$A117,DATA!J:J)</f>
        <v>0</v>
      </c>
      <c r="M117">
        <f t="shared" si="2"/>
        <v>256</v>
      </c>
      <c r="N117" s="3">
        <f t="shared" si="3"/>
        <v>22.874806800618238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615</v>
      </c>
      <c r="F118">
        <f>SUMIF(DATA!$A:$A,PPL!$A118,DATA!D:D)</f>
        <v>134</v>
      </c>
      <c r="G118">
        <f>SUMIF(DATA!$A:$A,PPL!$A118,DATA!E:E)</f>
        <v>59</v>
      </c>
      <c r="H118">
        <f>SUMIF(DATA!$A:$A,PPL!$A118,DATA!F:F)</f>
        <v>374</v>
      </c>
      <c r="I118">
        <f>SUMIF(DATA!$A:$A,PPL!$A118,DATA!G:G)</f>
        <v>36</v>
      </c>
      <c r="J118">
        <f>SUMIF(DATA!$A:$A,PPL!$A118,DATA!H:H)</f>
        <v>0</v>
      </c>
      <c r="K118">
        <f>SUMIF(DATA!$A:$A,PPL!$A118,DATA!I:I)</f>
        <v>12</v>
      </c>
      <c r="L118">
        <f>SUMIF(DATA!$A:$A,PPL!$A118,DATA!J:J)</f>
        <v>0</v>
      </c>
      <c r="M118">
        <f t="shared" si="2"/>
        <v>241</v>
      </c>
      <c r="N118" s="3">
        <f t="shared" si="3"/>
        <v>23.739837398373982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632</v>
      </c>
      <c r="F119">
        <f>SUMIF(DATA!$A:$A,PPL!$A119,DATA!D:D)</f>
        <v>227</v>
      </c>
      <c r="G119">
        <f>SUMIF(DATA!$A:$A,PPL!$A119,DATA!E:E)</f>
        <v>32</v>
      </c>
      <c r="H119">
        <f>SUMIF(DATA!$A:$A,PPL!$A119,DATA!F:F)</f>
        <v>372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260</v>
      </c>
      <c r="N119" s="3">
        <f t="shared" si="3"/>
        <v>35.917721518987342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629</v>
      </c>
      <c r="F120">
        <f>SUMIF(DATA!$A:$A,PPL!$A120,DATA!D:D)</f>
        <v>256</v>
      </c>
      <c r="G120">
        <f>SUMIF(DATA!$A:$A,PPL!$A120,DATA!E:E)</f>
        <v>51</v>
      </c>
      <c r="H120">
        <f>SUMIF(DATA!$A:$A,PPL!$A120,DATA!F:F)</f>
        <v>279</v>
      </c>
      <c r="I120">
        <f>SUMIF(DATA!$A:$A,PPL!$A120,DATA!G:G)</f>
        <v>39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350</v>
      </c>
      <c r="N120" s="3">
        <f t="shared" si="3"/>
        <v>41.335453100158979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656</v>
      </c>
      <c r="F121">
        <f>SUMIF(DATA!$A:$A,PPL!$A121,DATA!D:D)</f>
        <v>166</v>
      </c>
      <c r="G121">
        <f>SUMIF(DATA!$A:$A,PPL!$A121,DATA!E:E)</f>
        <v>24</v>
      </c>
      <c r="H121">
        <f>SUMIF(DATA!$A:$A,PPL!$A121,DATA!F:F)</f>
        <v>367</v>
      </c>
      <c r="I121">
        <f>SUMIF(DATA!$A:$A,PPL!$A121,DATA!G:G)</f>
        <v>18</v>
      </c>
      <c r="J121">
        <f>SUMIF(DATA!$A:$A,PPL!$A121,DATA!H:H)</f>
        <v>0</v>
      </c>
      <c r="K121">
        <f>SUMIF(DATA!$A:$A,PPL!$A121,DATA!I:I)</f>
        <v>81</v>
      </c>
      <c r="L121">
        <f>SUMIF(DATA!$A:$A,PPL!$A121,DATA!J:J)</f>
        <v>0</v>
      </c>
      <c r="M121">
        <f t="shared" si="2"/>
        <v>289</v>
      </c>
      <c r="N121" s="3">
        <f t="shared" si="3"/>
        <v>37.652439024390247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635</v>
      </c>
      <c r="F122">
        <f>SUMIF(DATA!$A:$A,PPL!$A122,DATA!D:D)</f>
        <v>190</v>
      </c>
      <c r="G122">
        <f>SUMIF(DATA!$A:$A,PPL!$A122,DATA!E:E)</f>
        <v>15</v>
      </c>
      <c r="H122">
        <f>SUMIF(DATA!$A:$A,PPL!$A122,DATA!F:F)</f>
        <v>397</v>
      </c>
      <c r="I122">
        <f>SUMIF(DATA!$A:$A,PPL!$A122,DATA!G:G)</f>
        <v>7</v>
      </c>
      <c r="J122">
        <f>SUMIF(DATA!$A:$A,PPL!$A122,DATA!H:H)</f>
        <v>1</v>
      </c>
      <c r="K122">
        <f>SUMIF(DATA!$A:$A,PPL!$A122,DATA!I:I)</f>
        <v>25</v>
      </c>
      <c r="L122">
        <f>SUMIF(DATA!$A:$A,PPL!$A122,DATA!J:J)</f>
        <v>0</v>
      </c>
      <c r="M122">
        <f t="shared" si="2"/>
        <v>238</v>
      </c>
      <c r="N122" s="3">
        <f t="shared" si="3"/>
        <v>33.858267716535437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611</v>
      </c>
      <c r="F123">
        <f>SUMIF(DATA!$A:$A,PPL!$A123,DATA!D:D)</f>
        <v>103</v>
      </c>
      <c r="G123">
        <f>SUMIF(DATA!$A:$A,PPL!$A123,DATA!E:E)</f>
        <v>16</v>
      </c>
      <c r="H123">
        <f>SUMIF(DATA!$A:$A,PPL!$A123,DATA!F:F)</f>
        <v>376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112</v>
      </c>
      <c r="L123">
        <f>SUMIF(DATA!$A:$A,PPL!$A123,DATA!J:J)</f>
        <v>0</v>
      </c>
      <c r="M123">
        <f t="shared" si="2"/>
        <v>235</v>
      </c>
      <c r="N123" s="3">
        <f t="shared" si="3"/>
        <v>35.188216039279865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599</v>
      </c>
      <c r="F124">
        <f>SUMIF(DATA!$A:$A,PPL!$A124,DATA!D:D)</f>
        <v>38</v>
      </c>
      <c r="G124">
        <f>SUMIF(DATA!$A:$A,PPL!$A124,DATA!E:E)</f>
        <v>52</v>
      </c>
      <c r="H124">
        <f>SUMIF(DATA!$A:$A,PPL!$A124,DATA!F:F)</f>
        <v>447</v>
      </c>
      <c r="I124">
        <f>SUMIF(DATA!$A:$A,PPL!$A124,DATA!G:G)</f>
        <v>0</v>
      </c>
      <c r="J124">
        <f>SUMIF(DATA!$A:$A,PPL!$A124,DATA!H:H)</f>
        <v>1</v>
      </c>
      <c r="K124">
        <f>SUMIF(DATA!$A:$A,PPL!$A124,DATA!I:I)</f>
        <v>61</v>
      </c>
      <c r="L124">
        <f>SUMIF(DATA!$A:$A,PPL!$A124,DATA!J:J)</f>
        <v>0</v>
      </c>
      <c r="M124">
        <f t="shared" si="2"/>
        <v>152</v>
      </c>
      <c r="N124" s="3">
        <f t="shared" si="3"/>
        <v>16.527545909849749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610</v>
      </c>
      <c r="F125">
        <f>SUMIF(DATA!$A:$A,PPL!$A125,DATA!D:D)</f>
        <v>117</v>
      </c>
      <c r="G125">
        <f>SUMIF(DATA!$A:$A,PPL!$A125,DATA!E:E)</f>
        <v>44</v>
      </c>
      <c r="H125">
        <f>SUMIF(DATA!$A:$A,PPL!$A125,DATA!F:F)</f>
        <v>400</v>
      </c>
      <c r="I125">
        <f>SUMIF(DATA!$A:$A,PPL!$A125,DATA!G:G)</f>
        <v>8</v>
      </c>
      <c r="J125">
        <f>SUMIF(DATA!$A:$A,PPL!$A125,DATA!H:H)</f>
        <v>0</v>
      </c>
      <c r="K125">
        <f>SUMIF(DATA!$A:$A,PPL!$A125,DATA!I:I)</f>
        <v>41</v>
      </c>
      <c r="L125">
        <f>SUMIF(DATA!$A:$A,PPL!$A125,DATA!J:J)</f>
        <v>0</v>
      </c>
      <c r="M125">
        <f t="shared" si="2"/>
        <v>210</v>
      </c>
      <c r="N125" s="3">
        <f t="shared" si="3"/>
        <v>25.901639344262296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613</v>
      </c>
      <c r="F126">
        <f>SUMIF(DATA!$A:$A,PPL!$A126,DATA!D:D)</f>
        <v>2</v>
      </c>
      <c r="G126">
        <f>SUMIF(DATA!$A:$A,PPL!$A126,DATA!E:E)</f>
        <v>43</v>
      </c>
      <c r="H126">
        <f>SUMIF(DATA!$A:$A,PPL!$A126,DATA!F:F)</f>
        <v>497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69</v>
      </c>
      <c r="L126">
        <f>SUMIF(DATA!$A:$A,PPL!$A126,DATA!J:J)</f>
        <v>0</v>
      </c>
      <c r="M126">
        <f t="shared" si="2"/>
        <v>116</v>
      </c>
      <c r="N126" s="3">
        <f t="shared" si="3"/>
        <v>11.582381729200652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637</v>
      </c>
      <c r="F127">
        <f>SUMIF(DATA!$A:$A,PPL!$A127,DATA!D:D)</f>
        <v>89</v>
      </c>
      <c r="G127">
        <f>SUMIF(DATA!$A:$A,PPL!$A127,DATA!E:E)</f>
        <v>0</v>
      </c>
      <c r="H127">
        <f>SUMIF(DATA!$A:$A,PPL!$A127,DATA!F:F)</f>
        <v>458</v>
      </c>
      <c r="I127">
        <f>SUMIF(DATA!$A:$A,PPL!$A127,DATA!G:G)</f>
        <v>67</v>
      </c>
      <c r="J127">
        <f>SUMIF(DATA!$A:$A,PPL!$A127,DATA!H:H)</f>
        <v>1</v>
      </c>
      <c r="K127">
        <f>SUMIF(DATA!$A:$A,PPL!$A127,DATA!I:I)</f>
        <v>22</v>
      </c>
      <c r="L127">
        <f>SUMIF(DATA!$A:$A,PPL!$A127,DATA!J:J)</f>
        <v>0</v>
      </c>
      <c r="M127">
        <f t="shared" si="2"/>
        <v>179</v>
      </c>
      <c r="N127" s="3">
        <f t="shared" si="3"/>
        <v>17.425431711145997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611</v>
      </c>
      <c r="F128">
        <f>SUMIF(DATA!$A:$A,PPL!$A128,DATA!D:D)</f>
        <v>82</v>
      </c>
      <c r="G128">
        <f>SUMIF(DATA!$A:$A,PPL!$A128,DATA!E:E)</f>
        <v>40</v>
      </c>
      <c r="H128">
        <f>SUMIF(DATA!$A:$A,PPL!$A128,DATA!F:F)</f>
        <v>443</v>
      </c>
      <c r="I128">
        <f>SUMIF(DATA!$A:$A,PPL!$A128,DATA!G:G)</f>
        <v>6</v>
      </c>
      <c r="J128">
        <f>SUMIF(DATA!$A:$A,PPL!$A128,DATA!H:H)</f>
        <v>0</v>
      </c>
      <c r="K128">
        <f>SUMIF(DATA!$A:$A,PPL!$A128,DATA!I:I)</f>
        <v>40</v>
      </c>
      <c r="L128">
        <f>SUMIF(DATA!$A:$A,PPL!$A128,DATA!J:J)</f>
        <v>0</v>
      </c>
      <c r="M128">
        <f t="shared" si="2"/>
        <v>168</v>
      </c>
      <c r="N128" s="3">
        <f t="shared" si="3"/>
        <v>19.967266775777414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607</v>
      </c>
      <c r="F129">
        <f>SUMIF(DATA!$A:$A,PPL!$A129,DATA!D:D)</f>
        <v>140</v>
      </c>
      <c r="G129">
        <f>SUMIF(DATA!$A:$A,PPL!$A129,DATA!E:E)</f>
        <v>4</v>
      </c>
      <c r="H129">
        <f>SUMIF(DATA!$A:$A,PPL!$A129,DATA!F:F)</f>
        <v>437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23</v>
      </c>
      <c r="L129">
        <f>SUMIF(DATA!$A:$A,PPL!$A129,DATA!J:J)</f>
        <v>1</v>
      </c>
      <c r="M129">
        <f t="shared" si="2"/>
        <v>170</v>
      </c>
      <c r="N129" s="3">
        <f t="shared" si="3"/>
        <v>26.85337726523888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633</v>
      </c>
      <c r="F130">
        <f>SUMIF(DATA!$A:$A,PPL!$A130,DATA!D:D)</f>
        <v>119</v>
      </c>
      <c r="G130">
        <f>SUMIF(DATA!$A:$A,PPL!$A130,DATA!E:E)</f>
        <v>3</v>
      </c>
      <c r="H130">
        <f>SUMIF(DATA!$A:$A,PPL!$A130,DATA!F:F)</f>
        <v>426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85</v>
      </c>
      <c r="L130">
        <f>SUMIF(DATA!$A:$A,PPL!$A130,DATA!J:J)</f>
        <v>0</v>
      </c>
      <c r="M130">
        <f t="shared" ref="M130:M137" si="4">F130+G130+I130+J130+K130+L130</f>
        <v>207</v>
      </c>
      <c r="N130" s="3">
        <f t="shared" si="3"/>
        <v>32.227488151658768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615</v>
      </c>
      <c r="F131">
        <f>SUMIF(DATA!$A:$A,PPL!$A131,DATA!D:D)</f>
        <v>69</v>
      </c>
      <c r="G131">
        <f>SUMIF(DATA!$A:$A,PPL!$A131,DATA!E:E)</f>
        <v>36</v>
      </c>
      <c r="H131">
        <f>SUMIF(DATA!$A:$A,PPL!$A131,DATA!F:F)</f>
        <v>449</v>
      </c>
      <c r="I131">
        <f>SUMIF(DATA!$A:$A,PPL!$A131,DATA!G:G)</f>
        <v>37</v>
      </c>
      <c r="J131">
        <f>SUMIF(DATA!$A:$A,PPL!$A131,DATA!H:H)</f>
        <v>1</v>
      </c>
      <c r="K131">
        <f>SUMIF(DATA!$A:$A,PPL!$A131,DATA!I:I)</f>
        <v>23</v>
      </c>
      <c r="L131">
        <f>SUMIF(DATA!$A:$A,PPL!$A131,DATA!J:J)</f>
        <v>0</v>
      </c>
      <c r="M131">
        <f t="shared" si="4"/>
        <v>166</v>
      </c>
      <c r="N131" s="3">
        <f t="shared" ref="N131:N139" si="5">(SUM(F131,K131)/E131)*100</f>
        <v>14.959349593495935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642</v>
      </c>
      <c r="F132">
        <f>SUMIF(DATA!$A:$A,PPL!$A132,DATA!D:D)</f>
        <v>86</v>
      </c>
      <c r="G132">
        <f>SUMIF(DATA!$A:$A,PPL!$A132,DATA!E:E)</f>
        <v>66</v>
      </c>
      <c r="H132">
        <f>SUMIF(DATA!$A:$A,PPL!$A132,DATA!F:F)</f>
        <v>422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68</v>
      </c>
      <c r="L132">
        <f>SUMIF(DATA!$A:$A,PPL!$A132,DATA!J:J)</f>
        <v>0</v>
      </c>
      <c r="M132">
        <f t="shared" si="4"/>
        <v>220</v>
      </c>
      <c r="N132" s="3">
        <f t="shared" si="5"/>
        <v>23.987538940809969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602</v>
      </c>
      <c r="F133">
        <f>SUMIF(DATA!$A:$A,PPL!$A133,DATA!D:D)</f>
        <v>18</v>
      </c>
      <c r="G133">
        <f>SUMIF(DATA!$A:$A,PPL!$A133,DATA!E:E)</f>
        <v>48</v>
      </c>
      <c r="H133">
        <f>SUMIF(DATA!$A:$A,PPL!$A133,DATA!F:F)</f>
        <v>479</v>
      </c>
      <c r="I133">
        <f>SUMIF(DATA!$A:$A,PPL!$A133,DATA!G:G)</f>
        <v>11</v>
      </c>
      <c r="J133">
        <f>SUMIF(DATA!$A:$A,PPL!$A133,DATA!H:H)</f>
        <v>0</v>
      </c>
      <c r="K133">
        <f>SUMIF(DATA!$A:$A,PPL!$A133,DATA!I:I)</f>
        <v>46</v>
      </c>
      <c r="L133">
        <f>SUMIF(DATA!$A:$A,PPL!$A133,DATA!J:J)</f>
        <v>0</v>
      </c>
      <c r="M133">
        <f t="shared" si="4"/>
        <v>123</v>
      </c>
      <c r="N133" s="3">
        <f t="shared" si="5"/>
        <v>10.631229235880399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521</v>
      </c>
      <c r="F134">
        <f>SUMIF(DATA!$A:$A,PPL!$A134,DATA!D:D)</f>
        <v>20</v>
      </c>
      <c r="G134">
        <f>SUMIF(DATA!$A:$A,PPL!$A134,DATA!E:E)</f>
        <v>47</v>
      </c>
      <c r="H134">
        <f>SUMIF(DATA!$A:$A,PPL!$A134,DATA!F:F)</f>
        <v>380</v>
      </c>
      <c r="I134">
        <f>SUMIF(DATA!$A:$A,PPL!$A134,DATA!G:G)</f>
        <v>10</v>
      </c>
      <c r="J134">
        <f>SUMIF(DATA!$A:$A,PPL!$A134,DATA!H:H)</f>
        <v>0</v>
      </c>
      <c r="K134">
        <f>SUMIF(DATA!$A:$A,PPL!$A134,DATA!I:I)</f>
        <v>64</v>
      </c>
      <c r="L134">
        <f>SUMIF(DATA!$A:$A,PPL!$A134,DATA!J:J)</f>
        <v>0</v>
      </c>
      <c r="M134">
        <f t="shared" si="4"/>
        <v>141</v>
      </c>
      <c r="N134" s="3">
        <f t="shared" si="5"/>
        <v>16.122840690978887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605</v>
      </c>
      <c r="F135">
        <f>SUMIF(DATA!$A:$A,PPL!$A135,DATA!D:D)</f>
        <v>100</v>
      </c>
      <c r="G135">
        <f>SUMIF(DATA!$A:$A,PPL!$A135,DATA!E:E)</f>
        <v>48</v>
      </c>
      <c r="H135">
        <f>SUMIF(DATA!$A:$A,PPL!$A135,DATA!F:F)</f>
        <v>361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96</v>
      </c>
      <c r="L135">
        <f>SUMIF(DATA!$A:$A,PPL!$A135,DATA!J:J)</f>
        <v>0</v>
      </c>
      <c r="M135">
        <f t="shared" si="4"/>
        <v>244</v>
      </c>
      <c r="N135" s="3">
        <f t="shared" si="5"/>
        <v>32.396694214876035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616</v>
      </c>
      <c r="F136">
        <f>SUMIF(DATA!$A:$A,PPL!$A136,DATA!D:D)</f>
        <v>127</v>
      </c>
      <c r="G136">
        <f>SUMIF(DATA!$A:$A,PPL!$A136,DATA!E:E)</f>
        <v>129</v>
      </c>
      <c r="H136">
        <f>SUMIF(DATA!$A:$A,PPL!$A136,DATA!F:F)</f>
        <v>264</v>
      </c>
      <c r="I136">
        <f>SUMIF(DATA!$A:$A,PPL!$A136,DATA!G:G)</f>
        <v>21</v>
      </c>
      <c r="J136">
        <f>SUMIF(DATA!$A:$A,PPL!$A136,DATA!H:H)</f>
        <v>0</v>
      </c>
      <c r="K136">
        <f>SUMIF(DATA!$A:$A,PPL!$A136,DATA!I:I)</f>
        <v>75</v>
      </c>
      <c r="L136">
        <f>SUMIF(DATA!$A:$A,PPL!$A136,DATA!J:J)</f>
        <v>0</v>
      </c>
      <c r="M136">
        <f t="shared" si="4"/>
        <v>352</v>
      </c>
      <c r="N136" s="3">
        <f t="shared" si="5"/>
        <v>32.792207792207797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703</v>
      </c>
      <c r="F137">
        <f>SUMIF(DATA!$A:$A,PPL!$A137,DATA!D:D)</f>
        <v>68</v>
      </c>
      <c r="G137">
        <f>SUMIF(DATA!$A:$A,PPL!$A137,DATA!E:E)</f>
        <v>38</v>
      </c>
      <c r="H137">
        <f>SUMIF(DATA!$A:$A,PPL!$A137,DATA!F:F)</f>
        <v>506</v>
      </c>
      <c r="I137">
        <f>SUMIF(DATA!$A:$A,PPL!$A137,DATA!G:G)</f>
        <v>26</v>
      </c>
      <c r="J137">
        <f>SUMIF(DATA!$A:$A,PPL!$A137,DATA!H:H)</f>
        <v>0</v>
      </c>
      <c r="K137">
        <f>SUMIF(DATA!$A:$A,PPL!$A137,DATA!I:I)</f>
        <v>65</v>
      </c>
      <c r="L137">
        <f>SUMIF(DATA!$A:$A,PPL!$A137,DATA!J:J)</f>
        <v>0</v>
      </c>
      <c r="M137">
        <f t="shared" si="4"/>
        <v>197</v>
      </c>
      <c r="N137" s="3">
        <f t="shared" si="5"/>
        <v>18.918918918918919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683</v>
      </c>
      <c r="F138">
        <f>SUMIF(DATA!$A:$A,PPL!$A138,DATA!D:D)</f>
        <v>43</v>
      </c>
      <c r="G138">
        <f>SUMIF(DATA!$A:$A,PPL!$A138,DATA!E:E)</f>
        <v>23</v>
      </c>
      <c r="H138">
        <f>SUMIF(DATA!$A:$A,PPL!$A138,DATA!F:F)</f>
        <v>529</v>
      </c>
      <c r="I138">
        <f>SUMIF(DATA!$A:$A,PPL!$A138,DATA!G:G)</f>
        <v>15</v>
      </c>
      <c r="J138">
        <f>SUMIF(DATA!$A:$A,PPL!$A138,DATA!H:H)</f>
        <v>0</v>
      </c>
      <c r="K138">
        <f>SUMIF(DATA!$A:$A,PPL!$A138,DATA!I:I)</f>
        <v>73</v>
      </c>
      <c r="L138">
        <f>SUMIF(DATA!$A:$A,PPL!$A138,DATA!J:J)</f>
        <v>0</v>
      </c>
      <c r="M138">
        <f t="shared" ref="M138:M139" si="6">F138+G138+I138+J138+K138+L138</f>
        <v>154</v>
      </c>
      <c r="N138" s="3">
        <f t="shared" si="5"/>
        <v>16.983894582723281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792</v>
      </c>
      <c r="F139">
        <f>SUMIF(DATA!$A:$A,PPL!$A139,DATA!D:D)</f>
        <v>201</v>
      </c>
      <c r="G139">
        <f>SUMIF(DATA!$A:$A,PPL!$A139,DATA!E:E)</f>
        <v>30</v>
      </c>
      <c r="H139">
        <f>SUMIF(DATA!$A:$A,PPL!$A139,DATA!F:F)</f>
        <v>493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65</v>
      </c>
      <c r="L139">
        <f>SUMIF(DATA!$A:$A,PPL!$A139,DATA!J:J)</f>
        <v>0</v>
      </c>
      <c r="M139">
        <f t="shared" si="6"/>
        <v>299</v>
      </c>
      <c r="N139" s="3">
        <f t="shared" si="5"/>
        <v>33.585858585858588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4471</v>
      </c>
      <c r="D2">
        <f>SUMIF(PPL!$C:$C,PML!$A2,PPL!F:F)</f>
        <v>602</v>
      </c>
      <c r="E2">
        <f>SUMIF(PPL!$C:$C,PML!$A2,PPL!G:G)</f>
        <v>123</v>
      </c>
      <c r="F2">
        <f>SUMIF(PPL!$C:$C,PML!$A2,PPL!H:H)</f>
        <v>2653</v>
      </c>
      <c r="G2">
        <f>SUMIF(PPL!$C:$C,PML!$A2,PPL!I:I)</f>
        <v>322</v>
      </c>
      <c r="H2">
        <f>SUMIF(PPL!$C:$C,PML!$A2,PPL!J:J)</f>
        <v>1</v>
      </c>
      <c r="I2">
        <f>SUMIF(PPL!$C:$C,PML!$A2,PPL!K:K)</f>
        <v>770</v>
      </c>
      <c r="J2">
        <f>SUMIF(PPL!$C:$C,PML!$A2,PPL!L:L)</f>
        <v>0</v>
      </c>
      <c r="K2">
        <f>D2+G2+H2</f>
        <v>925</v>
      </c>
      <c r="L2" s="3">
        <f>(SUM(D2+G2)/C2)*100</f>
        <v>20.66651755759338</v>
      </c>
    </row>
    <row r="3" spans="1:12" x14ac:dyDescent="0.25">
      <c r="A3" t="s">
        <v>163</v>
      </c>
      <c r="B3" t="s">
        <v>187</v>
      </c>
      <c r="C3">
        <f>SUMIF(PPL!$C:$C,PML!$A3,PPL!E:E)</f>
        <v>4370</v>
      </c>
      <c r="D3">
        <f>SUMIF(PPL!$C:$C,PML!$A3,PPL!F:F)</f>
        <v>510</v>
      </c>
      <c r="E3">
        <f>SUMIF(PPL!$C:$C,PML!$A3,PPL!G:G)</f>
        <v>148</v>
      </c>
      <c r="F3">
        <f>SUMIF(PPL!$C:$C,PML!$A3,PPL!H:H)</f>
        <v>2669</v>
      </c>
      <c r="G3">
        <f>SUMIF(PPL!$C:$C,PML!$A3,PPL!I:I)</f>
        <v>150</v>
      </c>
      <c r="H3">
        <f>SUMIF(PPL!$C:$C,PML!$A3,PPL!J:J)</f>
        <v>0</v>
      </c>
      <c r="I3">
        <f>SUMIF(PPL!$C:$C,PML!$A3,PPL!K:K)</f>
        <v>893</v>
      </c>
      <c r="J3">
        <f>SUMIF(PPL!$C:$C,PML!$A3,PPL!L:L)</f>
        <v>0</v>
      </c>
      <c r="K3">
        <f t="shared" ref="K3:K20" si="0">D3+G3+H3</f>
        <v>660</v>
      </c>
      <c r="L3" s="3">
        <f t="shared" ref="L3:L20" si="1">(SUM(D3+G3)/C3)*100</f>
        <v>15.102974828375288</v>
      </c>
    </row>
    <row r="4" spans="1:12" x14ac:dyDescent="0.25">
      <c r="A4" t="s">
        <v>164</v>
      </c>
      <c r="B4" t="s">
        <v>190</v>
      </c>
      <c r="C4">
        <f>SUMIF(PPL!$C:$C,PML!$A4,PPL!E:E)</f>
        <v>4541</v>
      </c>
      <c r="D4">
        <f>SUMIF(PPL!$C:$C,PML!$A4,PPL!F:F)</f>
        <v>504</v>
      </c>
      <c r="E4">
        <f>SUMIF(PPL!$C:$C,PML!$A4,PPL!G:G)</f>
        <v>177</v>
      </c>
      <c r="F4">
        <f>SUMIF(PPL!$C:$C,PML!$A4,PPL!H:H)</f>
        <v>2805</v>
      </c>
      <c r="G4">
        <f>SUMIF(PPL!$C:$C,PML!$A4,PPL!I:I)</f>
        <v>158</v>
      </c>
      <c r="H4">
        <f>SUMIF(PPL!$C:$C,PML!$A4,PPL!J:J)</f>
        <v>1</v>
      </c>
      <c r="I4">
        <f>SUMIF(PPL!$C:$C,PML!$A4,PPL!K:K)</f>
        <v>895</v>
      </c>
      <c r="J4">
        <f>SUMIF(PPL!$C:$C,PML!$A4,PPL!L:L)</f>
        <v>1</v>
      </c>
      <c r="K4">
        <f t="shared" si="0"/>
        <v>663</v>
      </c>
      <c r="L4" s="3">
        <f t="shared" si="1"/>
        <v>14.578286720986567</v>
      </c>
    </row>
    <row r="5" spans="1:12" x14ac:dyDescent="0.25">
      <c r="A5" t="s">
        <v>165</v>
      </c>
      <c r="B5" t="s">
        <v>181</v>
      </c>
      <c r="C5">
        <f>SUMIF(PPL!$C:$C,PML!$A5,PPL!E:E)</f>
        <v>5443</v>
      </c>
      <c r="D5">
        <f>SUMIF(PPL!$C:$C,PML!$A5,PPL!F:F)</f>
        <v>666</v>
      </c>
      <c r="E5">
        <f>SUMIF(PPL!$C:$C,PML!$A5,PPL!G:G)</f>
        <v>679</v>
      </c>
      <c r="F5">
        <f>SUMIF(PPL!$C:$C,PML!$A5,PPL!H:H)</f>
        <v>3528</v>
      </c>
      <c r="G5">
        <f>SUMIF(PPL!$C:$C,PML!$A5,PPL!I:I)</f>
        <v>222</v>
      </c>
      <c r="H5">
        <f>SUMIF(PPL!$C:$C,PML!$A5,PPL!J:J)</f>
        <v>16</v>
      </c>
      <c r="I5">
        <f>SUMIF(PPL!$C:$C,PML!$A5,PPL!K:K)</f>
        <v>332</v>
      </c>
      <c r="J5">
        <f>SUMIF(PPL!$C:$C,PML!$A5,PPL!L:L)</f>
        <v>0</v>
      </c>
      <c r="K5">
        <f t="shared" si="0"/>
        <v>904</v>
      </c>
      <c r="L5" s="3">
        <f t="shared" si="1"/>
        <v>16.31453242697042</v>
      </c>
    </row>
    <row r="6" spans="1:12" x14ac:dyDescent="0.25">
      <c r="A6" t="s">
        <v>166</v>
      </c>
      <c r="B6" t="s">
        <v>189</v>
      </c>
      <c r="C6">
        <f>SUMIF(PPL!$C:$C,PML!$A6,PPL!E:E)</f>
        <v>4829</v>
      </c>
      <c r="D6">
        <f>SUMIF(PPL!$C:$C,PML!$A6,PPL!F:F)</f>
        <v>621</v>
      </c>
      <c r="E6">
        <f>SUMIF(PPL!$C:$C,PML!$A6,PPL!G:G)</f>
        <v>285</v>
      </c>
      <c r="F6">
        <f>SUMIF(PPL!$C:$C,PML!$A6,PPL!H:H)</f>
        <v>3210</v>
      </c>
      <c r="G6">
        <f>SUMIF(PPL!$C:$C,PML!$A6,PPL!I:I)</f>
        <v>21</v>
      </c>
      <c r="H6">
        <f>SUMIF(PPL!$C:$C,PML!$A6,PPL!J:J)</f>
        <v>0</v>
      </c>
      <c r="I6">
        <f>SUMIF(PPL!$C:$C,PML!$A6,PPL!K:K)</f>
        <v>692</v>
      </c>
      <c r="J6">
        <f>SUMIF(PPL!$C:$C,PML!$A6,PPL!L:L)</f>
        <v>0</v>
      </c>
      <c r="K6">
        <f t="shared" si="0"/>
        <v>642</v>
      </c>
      <c r="L6" s="3">
        <f t="shared" si="1"/>
        <v>13.294677987160902</v>
      </c>
    </row>
    <row r="7" spans="1:12" x14ac:dyDescent="0.25">
      <c r="A7" t="s">
        <v>167</v>
      </c>
      <c r="B7" t="s">
        <v>182</v>
      </c>
      <c r="C7">
        <f>SUMIF(PPL!$C:$C,PML!$A7,PPL!E:E)</f>
        <v>5232</v>
      </c>
      <c r="D7">
        <f>SUMIF(PPL!$C:$C,PML!$A7,PPL!F:F)</f>
        <v>503</v>
      </c>
      <c r="E7">
        <f>SUMIF(PPL!$C:$C,PML!$A7,PPL!G:G)</f>
        <v>262</v>
      </c>
      <c r="F7">
        <f>SUMIF(PPL!$C:$C,PML!$A7,PPL!H:H)</f>
        <v>3458</v>
      </c>
      <c r="G7">
        <f>SUMIF(PPL!$C:$C,PML!$A7,PPL!I:I)</f>
        <v>47</v>
      </c>
      <c r="H7">
        <f>SUMIF(PPL!$C:$C,PML!$A7,PPL!J:J)</f>
        <v>1</v>
      </c>
      <c r="I7">
        <f>SUMIF(PPL!$C:$C,PML!$A7,PPL!K:K)</f>
        <v>960</v>
      </c>
      <c r="J7">
        <f>SUMIF(PPL!$C:$C,PML!$A7,PPL!L:L)</f>
        <v>1</v>
      </c>
      <c r="K7">
        <f t="shared" si="0"/>
        <v>551</v>
      </c>
      <c r="L7" s="3">
        <f t="shared" si="1"/>
        <v>10.51223241590214</v>
      </c>
    </row>
    <row r="8" spans="1:12" x14ac:dyDescent="0.25">
      <c r="A8" t="s">
        <v>168</v>
      </c>
      <c r="B8" t="s">
        <v>197</v>
      </c>
      <c r="C8">
        <f>SUMIF(PPL!$C:$C,PML!$A8,PPL!E:E)</f>
        <v>4986</v>
      </c>
      <c r="D8">
        <f>SUMIF(PPL!$C:$C,PML!$A8,PPL!F:F)</f>
        <v>385</v>
      </c>
      <c r="E8">
        <f>SUMIF(PPL!$C:$C,PML!$A8,PPL!G:G)</f>
        <v>315</v>
      </c>
      <c r="F8">
        <f>SUMIF(PPL!$C:$C,PML!$A8,PPL!H:H)</f>
        <v>3417</v>
      </c>
      <c r="G8">
        <f>SUMIF(PPL!$C:$C,PML!$A8,PPL!I:I)</f>
        <v>81</v>
      </c>
      <c r="H8">
        <f>SUMIF(PPL!$C:$C,PML!$A8,PPL!J:J)</f>
        <v>0</v>
      </c>
      <c r="I8">
        <f>SUMIF(PPL!$C:$C,PML!$A8,PPL!K:K)</f>
        <v>788</v>
      </c>
      <c r="J8">
        <f>SUMIF(PPL!$C:$C,PML!$A8,PPL!L:L)</f>
        <v>0</v>
      </c>
      <c r="K8">
        <f t="shared" si="0"/>
        <v>466</v>
      </c>
      <c r="L8" s="3">
        <f t="shared" si="1"/>
        <v>9.3461692739671065</v>
      </c>
    </row>
    <row r="9" spans="1:12" x14ac:dyDescent="0.25">
      <c r="A9" t="s">
        <v>169</v>
      </c>
      <c r="B9" t="s">
        <v>199</v>
      </c>
      <c r="C9">
        <f>SUMIF(PPL!$C:$C,PML!$A9,PPL!E:E)</f>
        <v>5055</v>
      </c>
      <c r="D9">
        <f>SUMIF(PPL!$C:$C,PML!$A9,PPL!F:F)</f>
        <v>337</v>
      </c>
      <c r="E9">
        <f>SUMIF(PPL!$C:$C,PML!$A9,PPL!G:G)</f>
        <v>367</v>
      </c>
      <c r="F9">
        <f>SUMIF(PPL!$C:$C,PML!$A9,PPL!H:H)</f>
        <v>3203</v>
      </c>
      <c r="G9">
        <f>SUMIF(PPL!$C:$C,PML!$A9,PPL!I:I)</f>
        <v>102</v>
      </c>
      <c r="H9">
        <f>SUMIF(PPL!$C:$C,PML!$A9,PPL!J:J)</f>
        <v>1</v>
      </c>
      <c r="I9">
        <f>SUMIF(PPL!$C:$C,PML!$A9,PPL!K:K)</f>
        <v>1045</v>
      </c>
      <c r="J9">
        <f>SUMIF(PPL!$C:$C,PML!$A9,PPL!L:L)</f>
        <v>0</v>
      </c>
      <c r="K9">
        <f t="shared" si="0"/>
        <v>440</v>
      </c>
      <c r="L9" s="3">
        <f t="shared" si="1"/>
        <v>8.6844708209693362</v>
      </c>
    </row>
    <row r="10" spans="1:12" x14ac:dyDescent="0.25">
      <c r="A10" t="s">
        <v>170</v>
      </c>
      <c r="B10" t="s">
        <v>196</v>
      </c>
      <c r="C10">
        <f>SUMIF(PPL!$C:$C,PML!$A10,PPL!E:E)</f>
        <v>4989</v>
      </c>
      <c r="D10">
        <f>SUMIF(PPL!$C:$C,PML!$A10,PPL!F:F)</f>
        <v>615</v>
      </c>
      <c r="E10">
        <f>SUMIF(PPL!$C:$C,PML!$A10,PPL!G:G)</f>
        <v>258</v>
      </c>
      <c r="F10">
        <f>SUMIF(PPL!$C:$C,PML!$A10,PPL!H:H)</f>
        <v>3161</v>
      </c>
      <c r="G10">
        <f>SUMIF(PPL!$C:$C,PML!$A10,PPL!I:I)</f>
        <v>193</v>
      </c>
      <c r="H10">
        <f>SUMIF(PPL!$C:$C,PML!$A10,PPL!J:J)</f>
        <v>0</v>
      </c>
      <c r="I10">
        <f>SUMIF(PPL!$C:$C,PML!$A10,PPL!K:K)</f>
        <v>762</v>
      </c>
      <c r="J10">
        <f>SUMIF(PPL!$C:$C,PML!$A10,PPL!L:L)</f>
        <v>0</v>
      </c>
      <c r="K10">
        <f t="shared" si="0"/>
        <v>808</v>
      </c>
      <c r="L10" s="3">
        <f t="shared" si="1"/>
        <v>16.195630386851072</v>
      </c>
    </row>
    <row r="11" spans="1:12" x14ac:dyDescent="0.25">
      <c r="A11" t="s">
        <v>171</v>
      </c>
      <c r="B11" t="s">
        <v>195</v>
      </c>
      <c r="C11">
        <f>SUMIF(PPL!$C:$C,PML!$A11,PPL!E:E)</f>
        <v>3915</v>
      </c>
      <c r="D11">
        <f>SUMIF(PPL!$C:$C,PML!$A11,PPL!F:F)</f>
        <v>581</v>
      </c>
      <c r="E11">
        <f>SUMIF(PPL!$C:$C,PML!$A11,PPL!G:G)</f>
        <v>319</v>
      </c>
      <c r="F11">
        <f>SUMIF(PPL!$C:$C,PML!$A11,PPL!H:H)</f>
        <v>2441</v>
      </c>
      <c r="G11">
        <f>SUMIF(PPL!$C:$C,PML!$A11,PPL!I:I)</f>
        <v>1</v>
      </c>
      <c r="H11">
        <f>SUMIF(PPL!$C:$C,PML!$A11,PPL!J:J)</f>
        <v>0</v>
      </c>
      <c r="I11">
        <f>SUMIF(PPL!$C:$C,PML!$A11,PPL!K:K)</f>
        <v>573</v>
      </c>
      <c r="J11">
        <f>SUMIF(PPL!$C:$C,PML!$A11,PPL!L:L)</f>
        <v>0</v>
      </c>
      <c r="K11">
        <f t="shared" si="0"/>
        <v>582</v>
      </c>
      <c r="L11" s="3">
        <f t="shared" si="1"/>
        <v>14.865900383141762</v>
      </c>
    </row>
    <row r="12" spans="1:12" x14ac:dyDescent="0.25">
      <c r="A12" t="s">
        <v>172</v>
      </c>
      <c r="B12" t="s">
        <v>193</v>
      </c>
      <c r="C12">
        <f>SUMIF(PPL!$C:$C,PML!$A12,PPL!E:E)</f>
        <v>3471</v>
      </c>
      <c r="D12">
        <f>SUMIF(PPL!$C:$C,PML!$A12,PPL!F:F)</f>
        <v>442</v>
      </c>
      <c r="E12">
        <f>SUMIF(PPL!$C:$C,PML!$A12,PPL!G:G)</f>
        <v>281</v>
      </c>
      <c r="F12">
        <f>SUMIF(PPL!$C:$C,PML!$A12,PPL!H:H)</f>
        <v>2227</v>
      </c>
      <c r="G12">
        <f>SUMIF(PPL!$C:$C,PML!$A12,PPL!I:I)</f>
        <v>84</v>
      </c>
      <c r="H12">
        <f>SUMIF(PPL!$C:$C,PML!$A12,PPL!J:J)</f>
        <v>2</v>
      </c>
      <c r="I12">
        <f>SUMIF(PPL!$C:$C,PML!$A12,PPL!K:K)</f>
        <v>435</v>
      </c>
      <c r="J12">
        <f>SUMIF(PPL!$C:$C,PML!$A12,PPL!L:L)</f>
        <v>0</v>
      </c>
      <c r="K12">
        <f t="shared" si="0"/>
        <v>528</v>
      </c>
      <c r="L12" s="3">
        <f t="shared" si="1"/>
        <v>15.154134255257851</v>
      </c>
    </row>
    <row r="13" spans="1:12" x14ac:dyDescent="0.25">
      <c r="A13" t="s">
        <v>173</v>
      </c>
      <c r="B13" t="s">
        <v>186</v>
      </c>
      <c r="C13">
        <f>SUMIF(PPL!$C:$C,PML!$A13,PPL!E:E)</f>
        <v>3796</v>
      </c>
      <c r="D13">
        <f>SUMIF(PPL!$C:$C,PML!$A13,PPL!F:F)</f>
        <v>532</v>
      </c>
      <c r="E13">
        <f>SUMIF(PPL!$C:$C,PML!$A13,PPL!G:G)</f>
        <v>225</v>
      </c>
      <c r="F13">
        <f>SUMIF(PPL!$C:$C,PML!$A13,PPL!H:H)</f>
        <v>2338</v>
      </c>
      <c r="G13">
        <f>SUMIF(PPL!$C:$C,PML!$A13,PPL!I:I)</f>
        <v>133</v>
      </c>
      <c r="H13">
        <f>SUMIF(PPL!$C:$C,PML!$A13,PPL!J:J)</f>
        <v>2</v>
      </c>
      <c r="I13">
        <f>SUMIF(PPL!$C:$C,PML!$A13,PPL!K:K)</f>
        <v>566</v>
      </c>
      <c r="J13">
        <f>SUMIF(PPL!$C:$C,PML!$A13,PPL!L:L)</f>
        <v>0</v>
      </c>
      <c r="K13">
        <f t="shared" si="0"/>
        <v>667</v>
      </c>
      <c r="L13" s="3">
        <f t="shared" si="1"/>
        <v>17.518440463645941</v>
      </c>
    </row>
    <row r="14" spans="1:12" x14ac:dyDescent="0.25">
      <c r="A14" t="s">
        <v>174</v>
      </c>
      <c r="B14" t="s">
        <v>185</v>
      </c>
      <c r="C14">
        <f>SUMIF(PPL!$C:$C,PML!$A14,PPL!E:E)</f>
        <v>3645</v>
      </c>
      <c r="D14">
        <f>SUMIF(PPL!$C:$C,PML!$A14,PPL!F:F)</f>
        <v>364</v>
      </c>
      <c r="E14">
        <f>SUMIF(PPL!$C:$C,PML!$A14,PPL!G:G)</f>
        <v>268</v>
      </c>
      <c r="F14">
        <f>SUMIF(PPL!$C:$C,PML!$A14,PPL!H:H)</f>
        <v>2343</v>
      </c>
      <c r="G14">
        <f>SUMIF(PPL!$C:$C,PML!$A14,PPL!I:I)</f>
        <v>4</v>
      </c>
      <c r="H14">
        <f>SUMIF(PPL!$C:$C,PML!$A14,PPL!J:J)</f>
        <v>0</v>
      </c>
      <c r="I14">
        <f>SUMIF(PPL!$C:$C,PML!$A14,PPL!K:K)</f>
        <v>666</v>
      </c>
      <c r="J14">
        <f>SUMIF(PPL!$C:$C,PML!$A14,PPL!L:L)</f>
        <v>0</v>
      </c>
      <c r="K14">
        <f t="shared" si="0"/>
        <v>368</v>
      </c>
      <c r="L14" s="3">
        <f t="shared" si="1"/>
        <v>10.096021947873799</v>
      </c>
    </row>
    <row r="15" spans="1:12" x14ac:dyDescent="0.25">
      <c r="A15" t="s">
        <v>175</v>
      </c>
      <c r="B15" t="s">
        <v>188</v>
      </c>
      <c r="C15">
        <f>SUMIF(PPL!$C:$C,PML!$A15,PPL!E:E)</f>
        <v>4060</v>
      </c>
      <c r="D15">
        <f>SUMIF(PPL!$C:$C,PML!$A15,PPL!F:F)</f>
        <v>429</v>
      </c>
      <c r="E15">
        <f>SUMIF(PPL!$C:$C,PML!$A15,PPL!G:G)</f>
        <v>340</v>
      </c>
      <c r="F15">
        <f>SUMIF(PPL!$C:$C,PML!$A15,PPL!H:H)</f>
        <v>2491</v>
      </c>
      <c r="G15">
        <f>SUMIF(PPL!$C:$C,PML!$A15,PPL!I:I)</f>
        <v>12</v>
      </c>
      <c r="H15">
        <f>SUMIF(PPL!$C:$C,PML!$A15,PPL!J:J)</f>
        <v>1</v>
      </c>
      <c r="I15">
        <f>SUMIF(PPL!$C:$C,PML!$A15,PPL!K:K)</f>
        <v>786</v>
      </c>
      <c r="J15">
        <f>SUMIF(PPL!$C:$C,PML!$A15,PPL!L:L)</f>
        <v>0</v>
      </c>
      <c r="K15">
        <f t="shared" si="0"/>
        <v>442</v>
      </c>
      <c r="L15" s="3">
        <f t="shared" si="1"/>
        <v>10.86206896551724</v>
      </c>
    </row>
    <row r="16" spans="1:12" x14ac:dyDescent="0.25">
      <c r="A16" t="s">
        <v>176</v>
      </c>
      <c r="B16" t="s">
        <v>194</v>
      </c>
      <c r="C16">
        <f>SUMIF(PPL!$C:$C,PML!$A16,PPL!E:E)</f>
        <v>4444</v>
      </c>
      <c r="D16">
        <f>SUMIF(PPL!$C:$C,PML!$A16,PPL!F:F)</f>
        <v>887</v>
      </c>
      <c r="E16">
        <f>SUMIF(PPL!$C:$C,PML!$A16,PPL!G:G)</f>
        <v>501</v>
      </c>
      <c r="F16">
        <f>SUMIF(PPL!$C:$C,PML!$A16,PPL!H:H)</f>
        <v>2582</v>
      </c>
      <c r="G16">
        <f>SUMIF(PPL!$C:$C,PML!$A16,PPL!I:I)</f>
        <v>171</v>
      </c>
      <c r="H16">
        <f>SUMIF(PPL!$C:$C,PML!$A16,PPL!J:J)</f>
        <v>0</v>
      </c>
      <c r="I16">
        <f>SUMIF(PPL!$C:$C,PML!$A16,PPL!K:K)</f>
        <v>303</v>
      </c>
      <c r="J16">
        <f>SUMIF(PPL!$C:$C,PML!$A16,PPL!L:L)</f>
        <v>0</v>
      </c>
      <c r="K16">
        <f t="shared" si="0"/>
        <v>1058</v>
      </c>
      <c r="L16" s="3">
        <f t="shared" si="1"/>
        <v>23.807380738073807</v>
      </c>
    </row>
    <row r="17" spans="1:12" x14ac:dyDescent="0.25">
      <c r="A17" t="s">
        <v>177</v>
      </c>
      <c r="B17" t="s">
        <v>192</v>
      </c>
      <c r="C17">
        <f>SUMIF(PPL!$C:$C,PML!$A17,PPL!E:E)</f>
        <v>4377</v>
      </c>
      <c r="D17">
        <f>SUMIF(PPL!$C:$C,PML!$A17,PPL!F:F)</f>
        <v>991</v>
      </c>
      <c r="E17">
        <f>SUMIF(PPL!$C:$C,PML!$A17,PPL!G:G)</f>
        <v>252</v>
      </c>
      <c r="F17">
        <f>SUMIF(PPL!$C:$C,PML!$A17,PPL!H:H)</f>
        <v>2679</v>
      </c>
      <c r="G17">
        <f>SUMIF(PPL!$C:$C,PML!$A17,PPL!I:I)</f>
        <v>110</v>
      </c>
      <c r="H17">
        <f>SUMIF(PPL!$C:$C,PML!$A17,PPL!J:J)</f>
        <v>2</v>
      </c>
      <c r="I17">
        <f>SUMIF(PPL!$C:$C,PML!$A17,PPL!K:K)</f>
        <v>343</v>
      </c>
      <c r="J17">
        <f>SUMIF(PPL!$C:$C,PML!$A17,PPL!L:L)</f>
        <v>0</v>
      </c>
      <c r="K17">
        <f t="shared" si="0"/>
        <v>1103</v>
      </c>
      <c r="L17" s="3">
        <f t="shared" si="1"/>
        <v>25.154215215901303</v>
      </c>
    </row>
    <row r="18" spans="1:12" x14ac:dyDescent="0.25">
      <c r="A18" t="s">
        <v>178</v>
      </c>
      <c r="B18" t="s">
        <v>191</v>
      </c>
      <c r="C18">
        <f>SUMIF(PPL!$C:$C,PML!$A18,PPL!E:E)</f>
        <v>4272</v>
      </c>
      <c r="D18">
        <f>SUMIF(PPL!$C:$C,PML!$A18,PPL!F:F)</f>
        <v>1170</v>
      </c>
      <c r="E18">
        <f>SUMIF(PPL!$C:$C,PML!$A18,PPL!G:G)</f>
        <v>185</v>
      </c>
      <c r="F18">
        <f>SUMIF(PPL!$C:$C,PML!$A18,PPL!H:H)</f>
        <v>2846</v>
      </c>
      <c r="G18">
        <f>SUMIF(PPL!$C:$C,PML!$A18,PPL!I:I)</f>
        <v>59</v>
      </c>
      <c r="H18">
        <f>SUMIF(PPL!$C:$C,PML!$A18,PPL!J:J)</f>
        <v>0</v>
      </c>
      <c r="I18">
        <f>SUMIF(PPL!$C:$C,PML!$A18,PPL!K:K)</f>
        <v>12</v>
      </c>
      <c r="J18">
        <f>SUMIF(PPL!$C:$C,PML!$A18,PPL!L:L)</f>
        <v>0</v>
      </c>
      <c r="K18">
        <f t="shared" si="0"/>
        <v>1229</v>
      </c>
      <c r="L18" s="3">
        <f t="shared" si="1"/>
        <v>28.768726591760302</v>
      </c>
    </row>
    <row r="19" spans="1:12" x14ac:dyDescent="0.25">
      <c r="A19" t="s">
        <v>179</v>
      </c>
      <c r="B19" t="s">
        <v>184</v>
      </c>
      <c r="C19">
        <f>SUMIF(PPL!$C:$C,PML!$A19,PPL!E:E)</f>
        <v>3700</v>
      </c>
      <c r="D19">
        <f>SUMIF(PPL!$C:$C,PML!$A19,PPL!F:F)</f>
        <v>403</v>
      </c>
      <c r="E19">
        <f>SUMIF(PPL!$C:$C,PML!$A19,PPL!G:G)</f>
        <v>371</v>
      </c>
      <c r="F19">
        <f>SUMIF(PPL!$C:$C,PML!$A19,PPL!H:H)</f>
        <v>2430</v>
      </c>
      <c r="G19">
        <f>SUMIF(PPL!$C:$C,PML!$A19,PPL!I:I)</f>
        <v>59</v>
      </c>
      <c r="H19">
        <f>SUMIF(PPL!$C:$C,PML!$A19,PPL!J:J)</f>
        <v>0</v>
      </c>
      <c r="I19">
        <f>SUMIF(PPL!$C:$C,PML!$A19,PPL!K:K)</f>
        <v>437</v>
      </c>
      <c r="J19">
        <f>SUMIF(PPL!$C:$C,PML!$A19,PPL!L:L)</f>
        <v>0</v>
      </c>
      <c r="K19">
        <f t="shared" si="0"/>
        <v>462</v>
      </c>
      <c r="L19" s="3">
        <f t="shared" si="1"/>
        <v>12.486486486486486</v>
      </c>
    </row>
    <row r="20" spans="1:12" x14ac:dyDescent="0.25">
      <c r="A20" t="s">
        <v>180</v>
      </c>
      <c r="B20" t="s">
        <v>183</v>
      </c>
      <c r="C20">
        <f>SUMIF(PPL!$C:$C,PML!$A20,PPL!E:E)</f>
        <v>5118</v>
      </c>
      <c r="D20">
        <f>SUMIF(PPL!$C:$C,PML!$A20,PPL!F:F)</f>
        <v>801</v>
      </c>
      <c r="E20">
        <f>SUMIF(PPL!$C:$C,PML!$A20,PPL!G:G)</f>
        <v>184</v>
      </c>
      <c r="F20">
        <f>SUMIF(PPL!$C:$C,PML!$A20,PPL!H:H)</f>
        <v>3611</v>
      </c>
      <c r="G20">
        <f>SUMIF(PPL!$C:$C,PML!$A20,PPL!I:I)</f>
        <v>145</v>
      </c>
      <c r="H20">
        <f>SUMIF(PPL!$C:$C,PML!$A20,PPL!J:J)</f>
        <v>7</v>
      </c>
      <c r="I20">
        <f>SUMIF(PPL!$C:$C,PML!$A20,PPL!K:K)</f>
        <v>369</v>
      </c>
      <c r="J20">
        <f>SUMIF(PPL!$C:$C,PML!$A20,PPL!L:L)</f>
        <v>1</v>
      </c>
      <c r="K20">
        <f t="shared" si="0"/>
        <v>953</v>
      </c>
      <c r="L20" s="3">
        <f t="shared" si="1"/>
        <v>18.483782727627979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(33)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2026-07-08T23:40:25Z</dcterms:modified>
</cp:coreProperties>
</file>