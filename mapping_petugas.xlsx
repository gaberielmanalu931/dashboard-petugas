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40F6AE7C-0DAB-469E-8201-392E8804308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DATA" sheetId="2" r:id="rId2"/>
    <sheet name="region_summary (43)" sheetId="36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1" hidden="1">DATA!$A$1:$J$1058</definedName>
    <definedName name="_xlnm._FilterDatabase" localSheetId="3" hidden="1">HARIAN!$A$1:$I$158</definedName>
    <definedName name="_xlnm._FilterDatabase" localSheetId="9" hidden="1">INFO!$A$1:$A$2</definedName>
    <definedName name="_xlnm._FilterDatabase" localSheetId="0" hidden="1">Sheet1!$A$1:$E$139</definedName>
    <definedName name="ExternalData_1" localSheetId="2" hidden="1">'region_summary (43)'!$A$1:$L$1058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6" l="1"/>
  <c r="M3" i="36"/>
  <c r="M4" i="36"/>
  <c r="M5" i="36"/>
  <c r="M6" i="36"/>
  <c r="M7" i="36"/>
  <c r="M8" i="36"/>
  <c r="M9" i="36"/>
  <c r="M10" i="36"/>
  <c r="M11" i="36"/>
  <c r="M12" i="36"/>
  <c r="M13" i="36"/>
  <c r="M14" i="36"/>
  <c r="M15" i="36"/>
  <c r="M16" i="36"/>
  <c r="M17" i="36"/>
  <c r="M18" i="36"/>
  <c r="M19" i="36"/>
  <c r="M20" i="36"/>
  <c r="M21" i="36"/>
  <c r="M22" i="36"/>
  <c r="M23" i="36"/>
  <c r="M24" i="36"/>
  <c r="M25" i="36"/>
  <c r="M26" i="36"/>
  <c r="M27" i="36"/>
  <c r="M28" i="36"/>
  <c r="M29" i="36"/>
  <c r="M30" i="36"/>
  <c r="M31" i="36"/>
  <c r="M32" i="36"/>
  <c r="M33" i="36"/>
  <c r="M34" i="36"/>
  <c r="M35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53" i="36"/>
  <c r="M54" i="36"/>
  <c r="M55" i="36"/>
  <c r="M56" i="36"/>
  <c r="M57" i="36"/>
  <c r="M58" i="36"/>
  <c r="M59" i="36"/>
  <c r="M60" i="36"/>
  <c r="M61" i="36"/>
  <c r="M62" i="36"/>
  <c r="M63" i="36"/>
  <c r="M64" i="36"/>
  <c r="M65" i="36"/>
  <c r="M66" i="36"/>
  <c r="M67" i="36"/>
  <c r="M68" i="36"/>
  <c r="M69" i="36"/>
  <c r="M70" i="36"/>
  <c r="M71" i="36"/>
  <c r="M72" i="36"/>
  <c r="M73" i="36"/>
  <c r="M74" i="36"/>
  <c r="M75" i="36"/>
  <c r="M76" i="36"/>
  <c r="M77" i="36"/>
  <c r="M78" i="36"/>
  <c r="M79" i="36"/>
  <c r="M80" i="36"/>
  <c r="M81" i="36"/>
  <c r="M82" i="36"/>
  <c r="M83" i="36"/>
  <c r="M84" i="36"/>
  <c r="M85" i="36"/>
  <c r="M86" i="36"/>
  <c r="M87" i="36"/>
  <c r="M88" i="36"/>
  <c r="M89" i="36"/>
  <c r="M90" i="36"/>
  <c r="M91" i="36"/>
  <c r="M92" i="36"/>
  <c r="M93" i="36"/>
  <c r="M94" i="36"/>
  <c r="M95" i="36"/>
  <c r="M96" i="36"/>
  <c r="M97" i="36"/>
  <c r="M98" i="36"/>
  <c r="M99" i="36"/>
  <c r="M100" i="36"/>
  <c r="M101" i="36"/>
  <c r="M102" i="36"/>
  <c r="M103" i="36"/>
  <c r="M104" i="36"/>
  <c r="M105" i="36"/>
  <c r="M106" i="36"/>
  <c r="M107" i="36"/>
  <c r="M108" i="36"/>
  <c r="M109" i="36"/>
  <c r="M110" i="36"/>
  <c r="M111" i="36"/>
  <c r="M112" i="36"/>
  <c r="M113" i="36"/>
  <c r="M114" i="36"/>
  <c r="M115" i="36"/>
  <c r="M116" i="36"/>
  <c r="M117" i="36"/>
  <c r="M118" i="36"/>
  <c r="M119" i="36"/>
  <c r="M120" i="36"/>
  <c r="M121" i="36"/>
  <c r="M122" i="36"/>
  <c r="M123" i="36"/>
  <c r="M124" i="36"/>
  <c r="M125" i="36"/>
  <c r="M126" i="36"/>
  <c r="M127" i="36"/>
  <c r="M128" i="36"/>
  <c r="M129" i="36"/>
  <c r="M130" i="36"/>
  <c r="M131" i="36"/>
  <c r="M132" i="36"/>
  <c r="M133" i="36"/>
  <c r="M134" i="36"/>
  <c r="M135" i="36"/>
  <c r="M136" i="36"/>
  <c r="M137" i="36"/>
  <c r="M138" i="36"/>
  <c r="M139" i="36"/>
  <c r="M140" i="36"/>
  <c r="M141" i="36"/>
  <c r="M142" i="36"/>
  <c r="M143" i="36"/>
  <c r="M144" i="36"/>
  <c r="M145" i="36"/>
  <c r="M146" i="36"/>
  <c r="M147" i="36"/>
  <c r="M148" i="36"/>
  <c r="M149" i="36"/>
  <c r="M150" i="36"/>
  <c r="M151" i="36"/>
  <c r="M152" i="36"/>
  <c r="M153" i="36"/>
  <c r="M154" i="36"/>
  <c r="M155" i="36"/>
  <c r="M156" i="36"/>
  <c r="M157" i="36"/>
  <c r="M158" i="36"/>
  <c r="M159" i="36"/>
  <c r="M160" i="36"/>
  <c r="M161" i="36"/>
  <c r="M162" i="36"/>
  <c r="M163" i="36"/>
  <c r="M164" i="36"/>
  <c r="M165" i="36"/>
  <c r="M166" i="36"/>
  <c r="M167" i="36"/>
  <c r="M168" i="36"/>
  <c r="M169" i="36"/>
  <c r="M170" i="36"/>
  <c r="M171" i="36"/>
  <c r="M172" i="36"/>
  <c r="M173" i="36"/>
  <c r="M174" i="36"/>
  <c r="M175" i="36"/>
  <c r="M176" i="36"/>
  <c r="M177" i="36"/>
  <c r="M178" i="36"/>
  <c r="M179" i="36"/>
  <c r="M180" i="36"/>
  <c r="M181" i="36"/>
  <c r="M182" i="36"/>
  <c r="M183" i="36"/>
  <c r="M184" i="36"/>
  <c r="M185" i="36"/>
  <c r="M186" i="36"/>
  <c r="M187" i="36"/>
  <c r="M188" i="36"/>
  <c r="M189" i="36"/>
  <c r="M190" i="36"/>
  <c r="M191" i="36"/>
  <c r="M192" i="36"/>
  <c r="M193" i="36"/>
  <c r="M194" i="36"/>
  <c r="M195" i="36"/>
  <c r="M196" i="36"/>
  <c r="M197" i="36"/>
  <c r="M198" i="36"/>
  <c r="M199" i="36"/>
  <c r="M200" i="36"/>
  <c r="M201" i="36"/>
  <c r="M202" i="36"/>
  <c r="M203" i="36"/>
  <c r="M204" i="36"/>
  <c r="M205" i="36"/>
  <c r="M206" i="36"/>
  <c r="M207" i="36"/>
  <c r="M208" i="36"/>
  <c r="M209" i="36"/>
  <c r="M210" i="36"/>
  <c r="M211" i="36"/>
  <c r="M212" i="36"/>
  <c r="M213" i="36"/>
  <c r="M214" i="36"/>
  <c r="M215" i="36"/>
  <c r="M216" i="36"/>
  <c r="M217" i="36"/>
  <c r="M218" i="36"/>
  <c r="M219" i="36"/>
  <c r="M220" i="36"/>
  <c r="M221" i="36"/>
  <c r="M222" i="36"/>
  <c r="M223" i="36"/>
  <c r="M224" i="36"/>
  <c r="M225" i="36"/>
  <c r="M226" i="36"/>
  <c r="M227" i="36"/>
  <c r="M228" i="36"/>
  <c r="M229" i="36"/>
  <c r="M230" i="36"/>
  <c r="M231" i="36"/>
  <c r="M232" i="36"/>
  <c r="M233" i="36"/>
  <c r="M234" i="36"/>
  <c r="M235" i="36"/>
  <c r="M236" i="36"/>
  <c r="M237" i="36"/>
  <c r="M238" i="36"/>
  <c r="M239" i="36"/>
  <c r="M240" i="36"/>
  <c r="M241" i="36"/>
  <c r="M242" i="36"/>
  <c r="M243" i="36"/>
  <c r="M244" i="36"/>
  <c r="M245" i="36"/>
  <c r="M246" i="36"/>
  <c r="M247" i="36"/>
  <c r="M248" i="36"/>
  <c r="M249" i="36"/>
  <c r="M250" i="36"/>
  <c r="M251" i="36"/>
  <c r="M252" i="36"/>
  <c r="M253" i="36"/>
  <c r="M254" i="36"/>
  <c r="M255" i="36"/>
  <c r="M256" i="36"/>
  <c r="M257" i="36"/>
  <c r="M258" i="36"/>
  <c r="M259" i="36"/>
  <c r="M260" i="36"/>
  <c r="M261" i="36"/>
  <c r="M262" i="36"/>
  <c r="M263" i="36"/>
  <c r="M264" i="36"/>
  <c r="M265" i="36"/>
  <c r="M266" i="36"/>
  <c r="M267" i="36"/>
  <c r="M268" i="36"/>
  <c r="M269" i="36"/>
  <c r="M270" i="36"/>
  <c r="M271" i="36"/>
  <c r="M272" i="36"/>
  <c r="M273" i="36"/>
  <c r="M274" i="36"/>
  <c r="M275" i="36"/>
  <c r="M276" i="36"/>
  <c r="M277" i="36"/>
  <c r="M278" i="36"/>
  <c r="M279" i="36"/>
  <c r="M280" i="36"/>
  <c r="M281" i="36"/>
  <c r="M282" i="36"/>
  <c r="M283" i="36"/>
  <c r="M284" i="36"/>
  <c r="M285" i="36"/>
  <c r="M286" i="36"/>
  <c r="M287" i="36"/>
  <c r="M288" i="36"/>
  <c r="M289" i="36"/>
  <c r="M290" i="36"/>
  <c r="M291" i="36"/>
  <c r="M292" i="36"/>
  <c r="M293" i="36"/>
  <c r="M294" i="36"/>
  <c r="M295" i="36"/>
  <c r="M296" i="36"/>
  <c r="M297" i="36"/>
  <c r="M298" i="36"/>
  <c r="M299" i="36"/>
  <c r="M300" i="36"/>
  <c r="M301" i="36"/>
  <c r="M302" i="36"/>
  <c r="M303" i="36"/>
  <c r="M304" i="36"/>
  <c r="M305" i="36"/>
  <c r="M306" i="36"/>
  <c r="M307" i="36"/>
  <c r="M308" i="36"/>
  <c r="M309" i="36"/>
  <c r="M310" i="36"/>
  <c r="M311" i="36"/>
  <c r="M312" i="36"/>
  <c r="M313" i="36"/>
  <c r="M314" i="36"/>
  <c r="M315" i="36"/>
  <c r="M316" i="36"/>
  <c r="M317" i="36"/>
  <c r="M318" i="36"/>
  <c r="M319" i="36"/>
  <c r="M320" i="36"/>
  <c r="M321" i="36"/>
  <c r="M322" i="36"/>
  <c r="M323" i="36"/>
  <c r="M324" i="36"/>
  <c r="M325" i="36"/>
  <c r="M326" i="36"/>
  <c r="M327" i="36"/>
  <c r="M328" i="36"/>
  <c r="M329" i="36"/>
  <c r="M330" i="36"/>
  <c r="M331" i="36"/>
  <c r="M332" i="36"/>
  <c r="M333" i="36"/>
  <c r="M334" i="36"/>
  <c r="M335" i="36"/>
  <c r="M336" i="36"/>
  <c r="M337" i="36"/>
  <c r="M338" i="36"/>
  <c r="M339" i="36"/>
  <c r="M340" i="36"/>
  <c r="M341" i="36"/>
  <c r="M342" i="36"/>
  <c r="M343" i="36"/>
  <c r="M344" i="36"/>
  <c r="M345" i="36"/>
  <c r="M346" i="36"/>
  <c r="M347" i="36"/>
  <c r="M348" i="36"/>
  <c r="M349" i="36"/>
  <c r="M350" i="36"/>
  <c r="M351" i="36"/>
  <c r="M352" i="36"/>
  <c r="M353" i="36"/>
  <c r="M354" i="36"/>
  <c r="M355" i="36"/>
  <c r="M356" i="36"/>
  <c r="M357" i="36"/>
  <c r="M358" i="36"/>
  <c r="M359" i="36"/>
  <c r="M360" i="36"/>
  <c r="M361" i="36"/>
  <c r="M362" i="36"/>
  <c r="M363" i="36"/>
  <c r="M364" i="36"/>
  <c r="M365" i="36"/>
  <c r="M366" i="36"/>
  <c r="M367" i="36"/>
  <c r="M368" i="36"/>
  <c r="M369" i="36"/>
  <c r="M370" i="36"/>
  <c r="M371" i="36"/>
  <c r="M372" i="36"/>
  <c r="M373" i="36"/>
  <c r="M374" i="36"/>
  <c r="M375" i="36"/>
  <c r="M376" i="36"/>
  <c r="M377" i="36"/>
  <c r="M378" i="36"/>
  <c r="M379" i="36"/>
  <c r="M380" i="36"/>
  <c r="M381" i="36"/>
  <c r="M382" i="36"/>
  <c r="M383" i="36"/>
  <c r="M384" i="36"/>
  <c r="M385" i="36"/>
  <c r="M386" i="36"/>
  <c r="M387" i="36"/>
  <c r="M388" i="36"/>
  <c r="M389" i="36"/>
  <c r="M390" i="36"/>
  <c r="M391" i="36"/>
  <c r="M392" i="36"/>
  <c r="M393" i="36"/>
  <c r="M394" i="36"/>
  <c r="M395" i="36"/>
  <c r="M396" i="36"/>
  <c r="M397" i="36"/>
  <c r="M398" i="36"/>
  <c r="M399" i="36"/>
  <c r="M400" i="36"/>
  <c r="M401" i="36"/>
  <c r="M402" i="36"/>
  <c r="M403" i="36"/>
  <c r="M404" i="36"/>
  <c r="M405" i="36"/>
  <c r="M406" i="36"/>
  <c r="M407" i="36"/>
  <c r="M408" i="36"/>
  <c r="M409" i="36"/>
  <c r="M410" i="36"/>
  <c r="M411" i="36"/>
  <c r="M412" i="36"/>
  <c r="M413" i="36"/>
  <c r="M414" i="36"/>
  <c r="M415" i="36"/>
  <c r="M416" i="36"/>
  <c r="M417" i="36"/>
  <c r="M418" i="36"/>
  <c r="M419" i="36"/>
  <c r="M420" i="36"/>
  <c r="M421" i="36"/>
  <c r="M422" i="36"/>
  <c r="M423" i="36"/>
  <c r="M424" i="36"/>
  <c r="M425" i="36"/>
  <c r="M426" i="36"/>
  <c r="M427" i="36"/>
  <c r="M428" i="36"/>
  <c r="M429" i="36"/>
  <c r="M430" i="36"/>
  <c r="M431" i="36"/>
  <c r="M432" i="36"/>
  <c r="M433" i="36"/>
  <c r="M434" i="36"/>
  <c r="M435" i="36"/>
  <c r="M436" i="36"/>
  <c r="M437" i="36"/>
  <c r="M438" i="36"/>
  <c r="M439" i="36"/>
  <c r="M440" i="36"/>
  <c r="M441" i="36"/>
  <c r="M442" i="36"/>
  <c r="M443" i="36"/>
  <c r="M444" i="36"/>
  <c r="M445" i="36"/>
  <c r="M446" i="36"/>
  <c r="M447" i="36"/>
  <c r="M448" i="36"/>
  <c r="M449" i="36"/>
  <c r="M450" i="36"/>
  <c r="M451" i="36"/>
  <c r="M452" i="36"/>
  <c r="M453" i="36"/>
  <c r="M454" i="36"/>
  <c r="M455" i="36"/>
  <c r="M456" i="36"/>
  <c r="M457" i="36"/>
  <c r="M458" i="36"/>
  <c r="M459" i="36"/>
  <c r="M460" i="36"/>
  <c r="M461" i="36"/>
  <c r="M462" i="36"/>
  <c r="M463" i="36"/>
  <c r="M464" i="36"/>
  <c r="M465" i="36"/>
  <c r="M466" i="36"/>
  <c r="M467" i="36"/>
  <c r="M468" i="36"/>
  <c r="M469" i="36"/>
  <c r="M470" i="36"/>
  <c r="M471" i="36"/>
  <c r="M472" i="36"/>
  <c r="M473" i="36"/>
  <c r="M474" i="36"/>
  <c r="M475" i="36"/>
  <c r="M476" i="36"/>
  <c r="M477" i="36"/>
  <c r="M478" i="36"/>
  <c r="M479" i="36"/>
  <c r="M480" i="36"/>
  <c r="M481" i="36"/>
  <c r="M482" i="36"/>
  <c r="M483" i="36"/>
  <c r="M484" i="36"/>
  <c r="M485" i="36"/>
  <c r="M486" i="36"/>
  <c r="M487" i="36"/>
  <c r="M488" i="36"/>
  <c r="M489" i="36"/>
  <c r="M490" i="36"/>
  <c r="M491" i="36"/>
  <c r="M492" i="36"/>
  <c r="M493" i="36"/>
  <c r="M494" i="36"/>
  <c r="M495" i="36"/>
  <c r="M496" i="36"/>
  <c r="M497" i="36"/>
  <c r="M498" i="36"/>
  <c r="M499" i="36"/>
  <c r="M500" i="36"/>
  <c r="M501" i="36"/>
  <c r="M502" i="36"/>
  <c r="M503" i="36"/>
  <c r="M504" i="36"/>
  <c r="M505" i="36"/>
  <c r="M506" i="36"/>
  <c r="M507" i="36"/>
  <c r="M508" i="36"/>
  <c r="M509" i="36"/>
  <c r="M510" i="36"/>
  <c r="M511" i="36"/>
  <c r="M512" i="36"/>
  <c r="M513" i="36"/>
  <c r="M514" i="36"/>
  <c r="M515" i="36"/>
  <c r="M516" i="36"/>
  <c r="M517" i="36"/>
  <c r="M518" i="36"/>
  <c r="M519" i="36"/>
  <c r="M520" i="36"/>
  <c r="M521" i="36"/>
  <c r="M522" i="36"/>
  <c r="M523" i="36"/>
  <c r="M524" i="36"/>
  <c r="M525" i="36"/>
  <c r="M526" i="36"/>
  <c r="M527" i="36"/>
  <c r="M528" i="36"/>
  <c r="M529" i="36"/>
  <c r="M530" i="36"/>
  <c r="M531" i="36"/>
  <c r="M532" i="36"/>
  <c r="M533" i="36"/>
  <c r="M534" i="36"/>
  <c r="M535" i="36"/>
  <c r="M536" i="36"/>
  <c r="M537" i="36"/>
  <c r="M538" i="36"/>
  <c r="M539" i="36"/>
  <c r="M540" i="36"/>
  <c r="M541" i="36"/>
  <c r="M542" i="36"/>
  <c r="M543" i="36"/>
  <c r="M544" i="36"/>
  <c r="M545" i="36"/>
  <c r="M546" i="36"/>
  <c r="M547" i="36"/>
  <c r="M548" i="36"/>
  <c r="M549" i="36"/>
  <c r="M550" i="36"/>
  <c r="M551" i="36"/>
  <c r="M552" i="36"/>
  <c r="M553" i="36"/>
  <c r="M554" i="36"/>
  <c r="M555" i="36"/>
  <c r="M556" i="36"/>
  <c r="M557" i="36"/>
  <c r="M558" i="36"/>
  <c r="M559" i="36"/>
  <c r="M560" i="36"/>
  <c r="M561" i="36"/>
  <c r="M562" i="36"/>
  <c r="M563" i="36"/>
  <c r="M564" i="36"/>
  <c r="M565" i="36"/>
  <c r="M566" i="36"/>
  <c r="M567" i="36"/>
  <c r="M568" i="36"/>
  <c r="M569" i="36"/>
  <c r="M570" i="36"/>
  <c r="M571" i="36"/>
  <c r="M572" i="36"/>
  <c r="M573" i="36"/>
  <c r="M574" i="36"/>
  <c r="M575" i="36"/>
  <c r="M576" i="36"/>
  <c r="M577" i="36"/>
  <c r="M578" i="36"/>
  <c r="M579" i="36"/>
  <c r="M580" i="36"/>
  <c r="M581" i="36"/>
  <c r="M582" i="36"/>
  <c r="M583" i="36"/>
  <c r="M584" i="36"/>
  <c r="M585" i="36"/>
  <c r="M586" i="36"/>
  <c r="M587" i="36"/>
  <c r="M588" i="36"/>
  <c r="M589" i="36"/>
  <c r="M590" i="36"/>
  <c r="M591" i="36"/>
  <c r="M592" i="36"/>
  <c r="M593" i="36"/>
  <c r="M594" i="36"/>
  <c r="M595" i="36"/>
  <c r="M596" i="36"/>
  <c r="M597" i="36"/>
  <c r="M598" i="36"/>
  <c r="M599" i="36"/>
  <c r="M600" i="36"/>
  <c r="M601" i="36"/>
  <c r="M602" i="36"/>
  <c r="M603" i="36"/>
  <c r="M604" i="36"/>
  <c r="M605" i="36"/>
  <c r="M606" i="36"/>
  <c r="M607" i="36"/>
  <c r="M608" i="36"/>
  <c r="M609" i="36"/>
  <c r="M610" i="36"/>
  <c r="M611" i="36"/>
  <c r="M612" i="36"/>
  <c r="M613" i="36"/>
  <c r="M614" i="36"/>
  <c r="M615" i="36"/>
  <c r="M616" i="36"/>
  <c r="M617" i="36"/>
  <c r="M618" i="36"/>
  <c r="M619" i="36"/>
  <c r="M620" i="36"/>
  <c r="M621" i="36"/>
  <c r="M622" i="36"/>
  <c r="M623" i="36"/>
  <c r="M624" i="36"/>
  <c r="M625" i="36"/>
  <c r="M626" i="36"/>
  <c r="M627" i="36"/>
  <c r="M628" i="36"/>
  <c r="M629" i="36"/>
  <c r="M630" i="36"/>
  <c r="M631" i="36"/>
  <c r="M632" i="36"/>
  <c r="M633" i="36"/>
  <c r="M634" i="36"/>
  <c r="M635" i="36"/>
  <c r="M636" i="36"/>
  <c r="M637" i="36"/>
  <c r="M638" i="36"/>
  <c r="M639" i="36"/>
  <c r="M640" i="36"/>
  <c r="M641" i="36"/>
  <c r="M642" i="36"/>
  <c r="M643" i="36"/>
  <c r="M644" i="36"/>
  <c r="M645" i="36"/>
  <c r="M646" i="36"/>
  <c r="M647" i="36"/>
  <c r="M648" i="36"/>
  <c r="M649" i="36"/>
  <c r="M650" i="36"/>
  <c r="M651" i="36"/>
  <c r="M652" i="36"/>
  <c r="M653" i="36"/>
  <c r="M654" i="36"/>
  <c r="M655" i="36"/>
  <c r="M656" i="36"/>
  <c r="M657" i="36"/>
  <c r="M658" i="36"/>
  <c r="M659" i="36"/>
  <c r="M660" i="36"/>
  <c r="M661" i="36"/>
  <c r="M662" i="36"/>
  <c r="M663" i="36"/>
  <c r="M664" i="36"/>
  <c r="M665" i="36"/>
  <c r="M666" i="36"/>
  <c r="M667" i="36"/>
  <c r="M668" i="36"/>
  <c r="M669" i="36"/>
  <c r="M670" i="36"/>
  <c r="M671" i="36"/>
  <c r="M672" i="36"/>
  <c r="M673" i="36"/>
  <c r="M674" i="36"/>
  <c r="M675" i="36"/>
  <c r="M676" i="36"/>
  <c r="M677" i="36"/>
  <c r="M678" i="36"/>
  <c r="M679" i="36"/>
  <c r="M680" i="36"/>
  <c r="M681" i="36"/>
  <c r="M682" i="36"/>
  <c r="M683" i="36"/>
  <c r="M684" i="36"/>
  <c r="M685" i="36"/>
  <c r="M686" i="36"/>
  <c r="M687" i="36"/>
  <c r="M688" i="36"/>
  <c r="M689" i="36"/>
  <c r="M690" i="36"/>
  <c r="M691" i="36"/>
  <c r="M692" i="36"/>
  <c r="M693" i="36"/>
  <c r="M694" i="36"/>
  <c r="M695" i="36"/>
  <c r="M696" i="36"/>
  <c r="M697" i="36"/>
  <c r="M698" i="36"/>
  <c r="M699" i="36"/>
  <c r="M700" i="36"/>
  <c r="M701" i="36"/>
  <c r="M702" i="36"/>
  <c r="M703" i="36"/>
  <c r="M704" i="36"/>
  <c r="M705" i="36"/>
  <c r="M706" i="36"/>
  <c r="M707" i="36"/>
  <c r="M708" i="36"/>
  <c r="M709" i="36"/>
  <c r="M710" i="36"/>
  <c r="M711" i="36"/>
  <c r="M712" i="36"/>
  <c r="M713" i="36"/>
  <c r="M714" i="36"/>
  <c r="M715" i="36"/>
  <c r="M716" i="36"/>
  <c r="M717" i="36"/>
  <c r="M718" i="36"/>
  <c r="M719" i="36"/>
  <c r="M720" i="36"/>
  <c r="M721" i="36"/>
  <c r="M722" i="36"/>
  <c r="M723" i="36"/>
  <c r="M724" i="36"/>
  <c r="M725" i="36"/>
  <c r="M726" i="36"/>
  <c r="M727" i="36"/>
  <c r="M728" i="36"/>
  <c r="M729" i="36"/>
  <c r="M730" i="36"/>
  <c r="M731" i="36"/>
  <c r="M732" i="36"/>
  <c r="M733" i="36"/>
  <c r="M734" i="36"/>
  <c r="M735" i="36"/>
  <c r="M736" i="36"/>
  <c r="M737" i="36"/>
  <c r="M738" i="36"/>
  <c r="M739" i="36"/>
  <c r="M740" i="36"/>
  <c r="M741" i="36"/>
  <c r="M742" i="36"/>
  <c r="M743" i="36"/>
  <c r="M744" i="36"/>
  <c r="M745" i="36"/>
  <c r="M746" i="36"/>
  <c r="M747" i="36"/>
  <c r="M748" i="36"/>
  <c r="M749" i="36"/>
  <c r="M750" i="36"/>
  <c r="M751" i="36"/>
  <c r="M752" i="36"/>
  <c r="M753" i="36"/>
  <c r="M754" i="36"/>
  <c r="M755" i="36"/>
  <c r="M756" i="36"/>
  <c r="M757" i="36"/>
  <c r="M758" i="36"/>
  <c r="M759" i="36"/>
  <c r="M760" i="36"/>
  <c r="M761" i="36"/>
  <c r="M762" i="36"/>
  <c r="M763" i="36"/>
  <c r="M764" i="36"/>
  <c r="M765" i="36"/>
  <c r="M766" i="36"/>
  <c r="M767" i="36"/>
  <c r="M768" i="36"/>
  <c r="M769" i="36"/>
  <c r="M770" i="36"/>
  <c r="M771" i="36"/>
  <c r="M772" i="36"/>
  <c r="M773" i="36"/>
  <c r="M774" i="36"/>
  <c r="M775" i="36"/>
  <c r="M776" i="36"/>
  <c r="M777" i="36"/>
  <c r="M778" i="36"/>
  <c r="M779" i="36"/>
  <c r="M780" i="36"/>
  <c r="M781" i="36"/>
  <c r="M782" i="36"/>
  <c r="M783" i="36"/>
  <c r="M784" i="36"/>
  <c r="M785" i="36"/>
  <c r="M786" i="36"/>
  <c r="M787" i="36"/>
  <c r="M788" i="36"/>
  <c r="M789" i="36"/>
  <c r="M790" i="36"/>
  <c r="M791" i="36"/>
  <c r="M792" i="36"/>
  <c r="M793" i="36"/>
  <c r="M794" i="36"/>
  <c r="M795" i="36"/>
  <c r="M796" i="36"/>
  <c r="M797" i="36"/>
  <c r="M798" i="36"/>
  <c r="M799" i="36"/>
  <c r="M800" i="36"/>
  <c r="M801" i="36"/>
  <c r="M802" i="36"/>
  <c r="M803" i="36"/>
  <c r="M804" i="36"/>
  <c r="M805" i="36"/>
  <c r="M806" i="36"/>
  <c r="M807" i="36"/>
  <c r="M808" i="36"/>
  <c r="M809" i="36"/>
  <c r="M810" i="36"/>
  <c r="M811" i="36"/>
  <c r="M812" i="36"/>
  <c r="M813" i="36"/>
  <c r="M814" i="36"/>
  <c r="M815" i="36"/>
  <c r="M816" i="36"/>
  <c r="M817" i="36"/>
  <c r="M818" i="36"/>
  <c r="M819" i="36"/>
  <c r="M820" i="36"/>
  <c r="M821" i="36"/>
  <c r="M822" i="36"/>
  <c r="M823" i="36"/>
  <c r="M824" i="36"/>
  <c r="M825" i="36"/>
  <c r="M826" i="36"/>
  <c r="M827" i="36"/>
  <c r="M828" i="36"/>
  <c r="M829" i="36"/>
  <c r="M830" i="36"/>
  <c r="M831" i="36"/>
  <c r="M832" i="36"/>
  <c r="M833" i="36"/>
  <c r="M834" i="36"/>
  <c r="M835" i="36"/>
  <c r="M836" i="36"/>
  <c r="M837" i="36"/>
  <c r="M838" i="36"/>
  <c r="M839" i="36"/>
  <c r="M840" i="36"/>
  <c r="M841" i="36"/>
  <c r="M842" i="36"/>
  <c r="M843" i="36"/>
  <c r="M844" i="36"/>
  <c r="M845" i="36"/>
  <c r="M846" i="36"/>
  <c r="M847" i="36"/>
  <c r="M848" i="36"/>
  <c r="M849" i="36"/>
  <c r="M850" i="36"/>
  <c r="M851" i="36"/>
  <c r="M852" i="36"/>
  <c r="M853" i="36"/>
  <c r="M854" i="36"/>
  <c r="M855" i="36"/>
  <c r="M856" i="36"/>
  <c r="M857" i="36"/>
  <c r="M858" i="36"/>
  <c r="M859" i="36"/>
  <c r="M860" i="36"/>
  <c r="M861" i="36"/>
  <c r="M862" i="36"/>
  <c r="M863" i="36"/>
  <c r="M864" i="36"/>
  <c r="M865" i="36"/>
  <c r="M866" i="36"/>
  <c r="M867" i="36"/>
  <c r="M868" i="36"/>
  <c r="M869" i="36"/>
  <c r="M870" i="36"/>
  <c r="M871" i="36"/>
  <c r="M872" i="36"/>
  <c r="M873" i="36"/>
  <c r="M874" i="36"/>
  <c r="M875" i="36"/>
  <c r="M876" i="36"/>
  <c r="M877" i="36"/>
  <c r="M878" i="36"/>
  <c r="M879" i="36"/>
  <c r="M880" i="36"/>
  <c r="M881" i="36"/>
  <c r="M882" i="36"/>
  <c r="M883" i="36"/>
  <c r="M884" i="36"/>
  <c r="M885" i="36"/>
  <c r="M886" i="36"/>
  <c r="M887" i="36"/>
  <c r="M888" i="36"/>
  <c r="M889" i="36"/>
  <c r="M890" i="36"/>
  <c r="M891" i="36"/>
  <c r="M892" i="36"/>
  <c r="M893" i="36"/>
  <c r="M894" i="36"/>
  <c r="M895" i="36"/>
  <c r="M896" i="36"/>
  <c r="M897" i="36"/>
  <c r="M898" i="36"/>
  <c r="M899" i="36"/>
  <c r="M900" i="36"/>
  <c r="M901" i="36"/>
  <c r="M902" i="36"/>
  <c r="M903" i="36"/>
  <c r="M904" i="36"/>
  <c r="M905" i="36"/>
  <c r="M906" i="36"/>
  <c r="M907" i="36"/>
  <c r="M908" i="36"/>
  <c r="M909" i="36"/>
  <c r="M910" i="36"/>
  <c r="M911" i="36"/>
  <c r="M912" i="36"/>
  <c r="M913" i="36"/>
  <c r="M914" i="36"/>
  <c r="M915" i="36"/>
  <c r="M916" i="36"/>
  <c r="M917" i="36"/>
  <c r="M918" i="36"/>
  <c r="M919" i="36"/>
  <c r="M920" i="36"/>
  <c r="M921" i="36"/>
  <c r="M922" i="36"/>
  <c r="M923" i="36"/>
  <c r="M924" i="36"/>
  <c r="M925" i="36"/>
  <c r="M926" i="36"/>
  <c r="M927" i="36"/>
  <c r="M928" i="36"/>
  <c r="M929" i="36"/>
  <c r="M930" i="36"/>
  <c r="M931" i="36"/>
  <c r="M932" i="36"/>
  <c r="M933" i="36"/>
  <c r="M934" i="36"/>
  <c r="M935" i="36"/>
  <c r="M936" i="36"/>
  <c r="M937" i="36"/>
  <c r="M938" i="36"/>
  <c r="M939" i="36"/>
  <c r="M940" i="36"/>
  <c r="M941" i="36"/>
  <c r="M942" i="36"/>
  <c r="M943" i="36"/>
  <c r="M944" i="36"/>
  <c r="M945" i="36"/>
  <c r="M946" i="36"/>
  <c r="M947" i="36"/>
  <c r="M948" i="36"/>
  <c r="M949" i="36"/>
  <c r="M950" i="36"/>
  <c r="M951" i="36"/>
  <c r="M952" i="36"/>
  <c r="M953" i="36"/>
  <c r="M954" i="36"/>
  <c r="M955" i="36"/>
  <c r="M956" i="36"/>
  <c r="M957" i="36"/>
  <c r="M958" i="36"/>
  <c r="M959" i="36"/>
  <c r="M960" i="36"/>
  <c r="M961" i="36"/>
  <c r="M962" i="36"/>
  <c r="M963" i="36"/>
  <c r="M964" i="36"/>
  <c r="M965" i="36"/>
  <c r="M966" i="36"/>
  <c r="M967" i="36"/>
  <c r="M968" i="36"/>
  <c r="M969" i="36"/>
  <c r="M970" i="36"/>
  <c r="M971" i="36"/>
  <c r="M972" i="36"/>
  <c r="M973" i="36"/>
  <c r="M974" i="36"/>
  <c r="M975" i="36"/>
  <c r="M976" i="36"/>
  <c r="M977" i="36"/>
  <c r="M978" i="36"/>
  <c r="M979" i="36"/>
  <c r="M980" i="36"/>
  <c r="M981" i="36"/>
  <c r="M982" i="36"/>
  <c r="M983" i="36"/>
  <c r="M984" i="36"/>
  <c r="M985" i="36"/>
  <c r="M986" i="36"/>
  <c r="M987" i="36"/>
  <c r="M988" i="36"/>
  <c r="M989" i="36"/>
  <c r="M990" i="36"/>
  <c r="M991" i="36"/>
  <c r="M992" i="36"/>
  <c r="M993" i="36"/>
  <c r="M994" i="36"/>
  <c r="M995" i="36"/>
  <c r="M996" i="36"/>
  <c r="M997" i="36"/>
  <c r="M998" i="36"/>
  <c r="M999" i="36"/>
  <c r="M1000" i="36"/>
  <c r="M1001" i="36"/>
  <c r="M1002" i="36"/>
  <c r="M1003" i="36"/>
  <c r="M1004" i="36"/>
  <c r="M1005" i="36"/>
  <c r="M1006" i="36"/>
  <c r="M1007" i="36"/>
  <c r="M1008" i="36"/>
  <c r="M1009" i="36"/>
  <c r="M1010" i="36"/>
  <c r="M1011" i="36"/>
  <c r="M1012" i="36"/>
  <c r="M1013" i="36"/>
  <c r="M1014" i="36"/>
  <c r="M1015" i="36"/>
  <c r="M1016" i="36"/>
  <c r="M1017" i="36"/>
  <c r="M1018" i="36"/>
  <c r="M1019" i="36"/>
  <c r="M1020" i="36"/>
  <c r="M1021" i="36"/>
  <c r="M1022" i="36"/>
  <c r="M1023" i="36"/>
  <c r="M1024" i="36"/>
  <c r="M1025" i="36"/>
  <c r="M1026" i="36"/>
  <c r="M1027" i="36"/>
  <c r="M1028" i="36"/>
  <c r="M1029" i="36"/>
  <c r="M1030" i="36"/>
  <c r="M1031" i="36"/>
  <c r="M1032" i="36"/>
  <c r="M1033" i="36"/>
  <c r="M1034" i="36"/>
  <c r="M1035" i="36"/>
  <c r="M1036" i="36"/>
  <c r="M1037" i="36"/>
  <c r="M1038" i="36"/>
  <c r="M1039" i="36"/>
  <c r="M1040" i="36"/>
  <c r="M1041" i="36"/>
  <c r="M1042" i="36"/>
  <c r="M1043" i="36"/>
  <c r="M1044" i="36"/>
  <c r="M1045" i="36"/>
  <c r="M1046" i="36"/>
  <c r="M1047" i="36"/>
  <c r="M1048" i="36"/>
  <c r="M1049" i="36"/>
  <c r="M1050" i="36"/>
  <c r="M1051" i="36"/>
  <c r="M1052" i="36"/>
  <c r="M1053" i="36"/>
  <c r="M1054" i="36"/>
  <c r="M1055" i="36"/>
  <c r="M1056" i="36"/>
  <c r="M1057" i="36"/>
  <c r="M1058" i="36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77" i="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G99" i="9"/>
  <c r="H15" i="5"/>
  <c r="D14" i="5"/>
  <c r="K14" i="5" s="1"/>
  <c r="G75" i="9"/>
  <c r="H11" i="5"/>
  <c r="G63" i="9"/>
  <c r="G58" i="9"/>
  <c r="H9" i="5"/>
  <c r="G34" i="9"/>
  <c r="H5" i="5"/>
  <c r="G22" i="9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5" i="9"/>
  <c r="G130" i="9"/>
  <c r="H18" i="5"/>
  <c r="D17" i="5"/>
  <c r="K17" i="5" s="1"/>
  <c r="G103" i="9"/>
  <c r="G97" i="9"/>
  <c r="G94" i="9"/>
  <c r="H13" i="5"/>
  <c r="H10" i="5"/>
  <c r="D9" i="5"/>
  <c r="K9" i="5" s="1"/>
  <c r="H7" i="5"/>
  <c r="H6" i="5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28" i="9"/>
  <c r="H19" i="5"/>
  <c r="G122" i="9"/>
  <c r="G119" i="9"/>
  <c r="D18" i="5"/>
  <c r="K18" i="5" s="1"/>
  <c r="H16" i="5"/>
  <c r="G92" i="9"/>
  <c r="H14" i="5"/>
  <c r="G86" i="9"/>
  <c r="G83" i="9"/>
  <c r="H12" i="5"/>
  <c r="G77" i="9"/>
  <c r="G59" i="9"/>
  <c r="H8" i="5"/>
  <c r="G39" i="9"/>
  <c r="G30" i="9"/>
  <c r="G2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23" i="9" l="1"/>
  <c r="G56" i="9"/>
  <c r="I56" i="9" s="1"/>
  <c r="G14" i="9"/>
  <c r="G132" i="9"/>
  <c r="G50" i="9"/>
  <c r="H50" i="9" s="1"/>
  <c r="G33" i="9"/>
  <c r="H33" i="9" s="1"/>
  <c r="G106" i="9"/>
  <c r="H106" i="9" s="1"/>
  <c r="G36" i="9"/>
  <c r="H36" i="9" s="1"/>
  <c r="G116" i="9"/>
  <c r="H116" i="9" s="1"/>
  <c r="G44" i="9"/>
  <c r="H44" i="9" s="1"/>
  <c r="G80" i="9"/>
  <c r="G133" i="9"/>
  <c r="I133" i="9" s="1"/>
  <c r="G61" i="9"/>
  <c r="I61" i="9" s="1"/>
  <c r="G68" i="9"/>
  <c r="I68" i="9" s="1"/>
  <c r="G70" i="9"/>
  <c r="I70" i="9" s="1"/>
  <c r="G89" i="9"/>
  <c r="H89" i="9" s="1"/>
  <c r="G131" i="9"/>
  <c r="H131" i="9" s="1"/>
  <c r="G17" i="9"/>
  <c r="I17" i="9" s="1"/>
  <c r="G85" i="9"/>
  <c r="I85" i="9" s="1"/>
  <c r="G54" i="9"/>
  <c r="H54" i="9" s="1"/>
  <c r="G20" i="9"/>
  <c r="I20" i="9" s="1"/>
  <c r="G125" i="9"/>
  <c r="H125" i="9" s="1"/>
  <c r="G121" i="9"/>
  <c r="H121" i="9" s="1"/>
  <c r="G64" i="9"/>
  <c r="H64" i="9" s="1"/>
  <c r="G38" i="9"/>
  <c r="I38" i="9" s="1"/>
  <c r="G100" i="9"/>
  <c r="H100" i="9" s="1"/>
  <c r="G28" i="9"/>
  <c r="I28" i="9" s="1"/>
  <c r="G53" i="9"/>
  <c r="H53" i="9" s="1"/>
  <c r="G82" i="9"/>
  <c r="H82" i="9" s="1"/>
  <c r="G105" i="9"/>
  <c r="I105" i="9" s="1"/>
  <c r="G108" i="9"/>
  <c r="H108" i="9" s="1"/>
  <c r="G126" i="9"/>
  <c r="H126" i="9" s="1"/>
  <c r="G137" i="9"/>
  <c r="I137" i="9" s="1"/>
  <c r="G102" i="9"/>
  <c r="I102" i="9" s="1"/>
  <c r="G12" i="9"/>
  <c r="I12" i="9" s="1"/>
  <c r="G115" i="9"/>
  <c r="H115" i="9" s="1"/>
  <c r="G120" i="9"/>
  <c r="I120" i="9" s="1"/>
  <c r="G32" i="9"/>
  <c r="H32" i="9" s="1"/>
  <c r="G79" i="9"/>
  <c r="H79" i="9" s="1"/>
  <c r="G84" i="9"/>
  <c r="I84" i="9" s="1"/>
  <c r="G136" i="9"/>
  <c r="H136" i="9" s="1"/>
  <c r="G48" i="9"/>
  <c r="I48" i="9" s="1"/>
  <c r="G104" i="9"/>
  <c r="H104" i="9" s="1"/>
  <c r="G66" i="9"/>
  <c r="H66" i="9" s="1"/>
  <c r="G72" i="9"/>
  <c r="H72" i="9" s="1"/>
  <c r="G25" i="9"/>
  <c r="H25" i="9" s="1"/>
  <c r="G95" i="9"/>
  <c r="H95" i="9" s="1"/>
  <c r="G8" i="9"/>
  <c r="I8" i="9" s="1"/>
  <c r="G69" i="9"/>
  <c r="H69" i="9" s="1"/>
  <c r="G111" i="9"/>
  <c r="H111" i="9" s="1"/>
  <c r="G138" i="9"/>
  <c r="H138" i="9" s="1"/>
  <c r="G67" i="9"/>
  <c r="I67" i="9" s="1"/>
  <c r="G31" i="9"/>
  <c r="I31" i="9" s="1"/>
  <c r="L8" i="5"/>
  <c r="G87" i="9"/>
  <c r="I87" i="9" s="1"/>
  <c r="G51" i="9"/>
  <c r="H51" i="9" s="1"/>
  <c r="G35" i="9"/>
  <c r="I35" i="9" s="1"/>
  <c r="G118" i="9"/>
  <c r="I118" i="9" s="1"/>
  <c r="G123" i="9"/>
  <c r="H123" i="9" s="1"/>
  <c r="G15" i="9"/>
  <c r="I15" i="9" s="1"/>
  <c r="G18" i="9"/>
  <c r="H18" i="9" s="1"/>
  <c r="G46" i="9"/>
  <c r="H46" i="9" s="1"/>
  <c r="G71" i="9"/>
  <c r="H71" i="9" s="1"/>
  <c r="G90" i="9"/>
  <c r="H90" i="9" s="1"/>
  <c r="G110" i="9"/>
  <c r="I110" i="9" s="1"/>
  <c r="G74" i="9"/>
  <c r="H74" i="9" s="1"/>
  <c r="G107" i="9"/>
  <c r="H107" i="9" s="1"/>
  <c r="G49" i="9"/>
  <c r="I49" i="9" s="1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I52" i="9" s="1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77" i="9"/>
  <c r="I77" i="9"/>
  <c r="G144" i="9"/>
  <c r="H119" i="9"/>
  <c r="I119" i="9"/>
  <c r="H23" i="9"/>
  <c r="I23" i="9"/>
  <c r="I50" i="9"/>
  <c r="H75" i="9"/>
  <c r="I75" i="9"/>
  <c r="H85" i="9"/>
  <c r="H27" i="9"/>
  <c r="I27" i="9"/>
  <c r="H59" i="9"/>
  <c r="I59" i="9"/>
  <c r="H122" i="9"/>
  <c r="I122" i="9"/>
  <c r="I116" i="9"/>
  <c r="H20" i="9"/>
  <c r="H47" i="9"/>
  <c r="I47" i="9"/>
  <c r="H30" i="9"/>
  <c r="I30" i="9"/>
  <c r="H92" i="9"/>
  <c r="I92" i="9"/>
  <c r="H56" i="9"/>
  <c r="H2" i="9"/>
  <c r="I2" i="9"/>
  <c r="I33" i="9"/>
  <c r="H94" i="9"/>
  <c r="I94" i="9"/>
  <c r="H22" i="9"/>
  <c r="I22" i="9"/>
  <c r="I36" i="9"/>
  <c r="H128" i="9"/>
  <c r="I128" i="9"/>
  <c r="H97" i="9"/>
  <c r="I97" i="9"/>
  <c r="H130" i="9"/>
  <c r="I130" i="9"/>
  <c r="H39" i="9"/>
  <c r="I39" i="9"/>
  <c r="H132" i="9"/>
  <c r="I132" i="9"/>
  <c r="H58" i="9"/>
  <c r="I58" i="9"/>
  <c r="H5" i="9"/>
  <c r="I5" i="9"/>
  <c r="H103" i="9"/>
  <c r="I103" i="9"/>
  <c r="H135" i="9"/>
  <c r="I135" i="9"/>
  <c r="H11" i="9"/>
  <c r="I11" i="9"/>
  <c r="H34" i="9"/>
  <c r="I34" i="9"/>
  <c r="I106" i="9"/>
  <c r="H63" i="9"/>
  <c r="I63" i="9"/>
  <c r="H3" i="9"/>
  <c r="I3" i="9"/>
  <c r="H80" i="9"/>
  <c r="I80" i="9"/>
  <c r="H14" i="9"/>
  <c r="I14" i="9"/>
  <c r="H99" i="9"/>
  <c r="I99" i="9"/>
  <c r="H83" i="9"/>
  <c r="I83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I89" i="9" l="1"/>
  <c r="H17" i="9"/>
  <c r="H28" i="9"/>
  <c r="H133" i="9"/>
  <c r="I121" i="9"/>
  <c r="H61" i="9"/>
  <c r="H68" i="9"/>
  <c r="I82" i="9"/>
  <c r="H70" i="9"/>
  <c r="I44" i="9"/>
  <c r="I54" i="9"/>
  <c r="H102" i="9"/>
  <c r="I125" i="9"/>
  <c r="I64" i="9"/>
  <c r="I53" i="9"/>
  <c r="H38" i="9"/>
  <c r="I126" i="9"/>
  <c r="I100" i="9"/>
  <c r="H137" i="9"/>
  <c r="H84" i="9"/>
  <c r="H67" i="9"/>
  <c r="I108" i="9"/>
  <c r="H105" i="9"/>
  <c r="I90" i="9"/>
  <c r="I79" i="9"/>
  <c r="I32" i="9"/>
  <c r="I136" i="9"/>
  <c r="I104" i="9"/>
  <c r="I138" i="9"/>
  <c r="I71" i="9"/>
  <c r="I37" i="9"/>
  <c r="H8" i="9"/>
  <c r="I25" i="9"/>
  <c r="H12" i="9"/>
  <c r="H15" i="9"/>
  <c r="H31" i="9"/>
  <c r="I115" i="9"/>
  <c r="H41" i="9"/>
  <c r="H48" i="9"/>
  <c r="I123" i="9"/>
  <c r="H52" i="9"/>
  <c r="H120" i="9"/>
  <c r="H49" i="9"/>
  <c r="I66" i="9"/>
  <c r="H9" i="9"/>
  <c r="I69" i="9"/>
  <c r="I18" i="9"/>
  <c r="H96" i="9"/>
  <c r="I95" i="9"/>
  <c r="I72" i="9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6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7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<sst xmlns="http://schemas.openxmlformats.org/spreadsheetml/2006/main" count="5483" uniqueCount="984">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</sst>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3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AEBEE982-35AD-481A-95E3-83D8F508DFFD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C045DE-EEAF-49A6-9E77-B6A9C0915BFE}" name="region_summary__43" displayName="region_summary__43" ref="A1:M1058" tableType="queryTable" totalsRowShown="0">
  <autoFilter ref="A1:M1058" xr:uid="{FFC045DE-EEAF-49A6-9E77-B6A9C0915BFE}"/>
  <tableColumns count="13">
    <tableColumn id="1" xr3:uid="{C51874B7-858C-41C2-BE34-B9C70AC82938}" uniqueName="1" name="email" queryTableFieldId="1" dataDxfId="1"/>
    <tableColumn id="2" xr3:uid="{7BCC2A22-0F25-4FD7-AF93-0BA61EE0F036}" uniqueName="2" name="regionCode" queryTableFieldId="2"/>
    <tableColumn id="3" xr3:uid="{8A76CAED-A4C3-4033-95BB-9C17DDEBC484}" uniqueName="3" name="total" queryTableFieldId="3"/>
    <tableColumn id="4" xr3:uid="{64A1C5DC-D8F0-4F88-B352-BB7E8B17B2AB}" uniqueName="4" name="APPROVED BY Pengawas" queryTableFieldId="4"/>
    <tableColumn id="5" xr3:uid="{3197E737-BB63-4B21-98E8-D7B23407C904}" uniqueName="5" name="DRAFT" queryTableFieldId="5"/>
    <tableColumn id="6" xr3:uid="{3DAC32D3-2732-4FAE-8BBB-EB51B7AF25D1}" uniqueName="6" name="EDITED BY Admin Kabupaten" queryTableFieldId="6"/>
    <tableColumn id="7" xr3:uid="{846C6657-4C9F-4105-8551-92D215BB4635}" uniqueName="7" name="OPEN" queryTableFieldId="7"/>
    <tableColumn id="8" xr3:uid="{AED5C6FE-D8EC-41DE-B074-FE8EB709C617}" uniqueName="8" name="REJECTED BY Admin Kabupaten" queryTableFieldId="8"/>
    <tableColumn id="9" xr3:uid="{2C7D4AC2-D081-429E-85BA-F560BB5840CA}" uniqueName="9" name="REJECTED BY Pengawas" queryTableFieldId="9"/>
    <tableColumn id="10" xr3:uid="{5AF8BC04-AD8A-4FB5-8A36-28E1F5719364}" uniqueName="10" name="REVOKED BY Pengawas" queryTableFieldId="10"/>
    <tableColumn id="11" xr3:uid="{9719C237-9E32-42FE-9BE1-723AAD34287E}" uniqueName="11" name="SUBMITTED BY Pencacah" queryTableFieldId="11"/>
    <tableColumn id="12" xr3:uid="{9B0F8CA1-38F1-4660-AA52-6A49A7947144}" uniqueName="12" name="SUBMITTED RESPONDENT" queryTableFieldId="12"/>
    <tableColumn id="13" xr3:uid="{C4DEEB18-F9A3-41EE-AFEF-023757E9F9B7}" uniqueName="13" name="Column1" queryTableFieldId="13" dataDxfId="0">
      <calculatedColumnFormula>region_summary__43[[#This Row],[REJECTED BY Admin Kabupaten]]+region_summary__43[[#This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abSelected="1" workbookViewId="0">
      <selection activeCell="D26" sqref="D2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1</v>
      </c>
      <c r="F2">
        <v>2</v>
      </c>
      <c r="G2">
        <v>0</v>
      </c>
      <c r="H2">
        <v>0</v>
      </c>
      <c r="I2">
        <v>2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96</v>
      </c>
      <c r="E3">
        <v>0</v>
      </c>
      <c r="F3">
        <v>7</v>
      </c>
      <c r="G3">
        <v>0</v>
      </c>
      <c r="H3">
        <v>0</v>
      </c>
      <c r="I3">
        <v>1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13</v>
      </c>
      <c r="G5">
        <v>0</v>
      </c>
      <c r="H5">
        <v>0</v>
      </c>
      <c r="I5">
        <v>29</v>
      </c>
      <c r="J5">
        <v>0</v>
      </c>
    </row>
    <row r="6" spans="1:10" x14ac:dyDescent="0.25">
      <c r="A6" t="s">
        <v>11</v>
      </c>
      <c r="B6">
        <v>7172010010000100</v>
      </c>
      <c r="C6">
        <v>76</v>
      </c>
      <c r="D6">
        <v>0</v>
      </c>
      <c r="E6">
        <v>0</v>
      </c>
      <c r="F6">
        <v>76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11</v>
      </c>
      <c r="B7">
        <v>7172010010000300</v>
      </c>
      <c r="C7">
        <v>66</v>
      </c>
      <c r="D7">
        <v>0</v>
      </c>
      <c r="E7">
        <v>1</v>
      </c>
      <c r="F7">
        <v>31</v>
      </c>
      <c r="G7">
        <v>0</v>
      </c>
      <c r="H7">
        <v>0</v>
      </c>
      <c r="I7">
        <v>34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197</v>
      </c>
      <c r="D10">
        <v>190</v>
      </c>
      <c r="E10">
        <v>0</v>
      </c>
      <c r="F10">
        <v>6</v>
      </c>
      <c r="G10">
        <v>0</v>
      </c>
      <c r="H10">
        <v>0</v>
      </c>
      <c r="I10">
        <v>1</v>
      </c>
      <c r="J10">
        <v>0</v>
      </c>
    </row>
    <row r="11" spans="1:10" x14ac:dyDescent="0.25">
      <c r="A11" t="s">
        <v>7</v>
      </c>
      <c r="B11">
        <v>7172010008001101</v>
      </c>
      <c r="C11">
        <v>184</v>
      </c>
      <c r="D11">
        <v>33</v>
      </c>
      <c r="E11">
        <v>8</v>
      </c>
      <c r="F11">
        <v>83</v>
      </c>
      <c r="G11">
        <v>0</v>
      </c>
      <c r="H11">
        <v>0</v>
      </c>
      <c r="I11">
        <v>60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0</v>
      </c>
      <c r="H12">
        <v>0</v>
      </c>
      <c r="I12">
        <v>1</v>
      </c>
      <c r="J12">
        <v>0</v>
      </c>
    </row>
    <row r="13" spans="1:10" x14ac:dyDescent="0.25">
      <c r="A13" t="s">
        <v>7</v>
      </c>
      <c r="B13">
        <v>7172010008000900</v>
      </c>
      <c r="C13">
        <v>68</v>
      </c>
      <c r="D13">
        <v>0</v>
      </c>
      <c r="E13">
        <v>0</v>
      </c>
      <c r="F13">
        <v>68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0</v>
      </c>
      <c r="H16">
        <v>0</v>
      </c>
      <c r="I16">
        <v>4</v>
      </c>
      <c r="J16">
        <v>0</v>
      </c>
    </row>
    <row r="17" spans="1:10" x14ac:dyDescent="0.25">
      <c r="A17" t="s">
        <v>5</v>
      </c>
      <c r="B17">
        <v>7172010008001102</v>
      </c>
      <c r="C17">
        <v>120</v>
      </c>
      <c r="D17">
        <v>84</v>
      </c>
      <c r="E17">
        <v>0</v>
      </c>
      <c r="F17">
        <v>35</v>
      </c>
      <c r="G17">
        <v>0</v>
      </c>
      <c r="H17">
        <v>0</v>
      </c>
      <c r="I17">
        <v>1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105</v>
      </c>
      <c r="E18">
        <v>2</v>
      </c>
      <c r="F18">
        <v>6</v>
      </c>
      <c r="G18">
        <v>0</v>
      </c>
      <c r="H18">
        <v>0</v>
      </c>
      <c r="I18">
        <v>3</v>
      </c>
      <c r="J18">
        <v>0</v>
      </c>
    </row>
    <row r="19" spans="1:10" x14ac:dyDescent="0.25">
      <c r="A19" t="s">
        <v>5</v>
      </c>
      <c r="B19">
        <v>7172010008001500</v>
      </c>
      <c r="C19">
        <v>98</v>
      </c>
      <c r="D19">
        <v>0</v>
      </c>
      <c r="E19">
        <v>0</v>
      </c>
      <c r="F19">
        <v>98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5</v>
      </c>
      <c r="B20">
        <v>7172010008000100</v>
      </c>
      <c r="C20">
        <v>95</v>
      </c>
      <c r="D20">
        <v>0</v>
      </c>
      <c r="E20">
        <v>0</v>
      </c>
      <c r="F20">
        <v>95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85</v>
      </c>
      <c r="E22">
        <v>0</v>
      </c>
      <c r="F22">
        <v>0</v>
      </c>
      <c r="G22">
        <v>2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68</v>
      </c>
      <c r="E23">
        <v>0</v>
      </c>
      <c r="F23">
        <v>6</v>
      </c>
      <c r="G23">
        <v>1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59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54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7172010009000200</v>
      </c>
      <c r="C29">
        <v>43</v>
      </c>
      <c r="D29">
        <v>0</v>
      </c>
      <c r="E29">
        <v>6</v>
      </c>
      <c r="F29">
        <v>24</v>
      </c>
      <c r="G29">
        <v>0</v>
      </c>
      <c r="H29">
        <v>0</v>
      </c>
      <c r="I29">
        <v>13</v>
      </c>
      <c r="J29">
        <v>0</v>
      </c>
    </row>
    <row r="30" spans="1:10" x14ac:dyDescent="0.25">
      <c r="A30" t="s">
        <v>8</v>
      </c>
      <c r="B30">
        <v>7172010009000600</v>
      </c>
      <c r="C30">
        <v>41</v>
      </c>
      <c r="D30">
        <v>0</v>
      </c>
      <c r="E30">
        <v>0</v>
      </c>
      <c r="F30">
        <v>41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0</v>
      </c>
      <c r="F31">
        <v>5</v>
      </c>
      <c r="G31">
        <v>1</v>
      </c>
      <c r="H31">
        <v>0</v>
      </c>
      <c r="I31">
        <v>0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12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17</v>
      </c>
      <c r="G37">
        <v>0</v>
      </c>
      <c r="H37">
        <v>0</v>
      </c>
      <c r="I37">
        <v>17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1</v>
      </c>
      <c r="F38">
        <v>7</v>
      </c>
      <c r="G38">
        <v>1</v>
      </c>
      <c r="H38">
        <v>0</v>
      </c>
      <c r="I38">
        <v>0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7172010009001900</v>
      </c>
      <c r="C40">
        <v>54</v>
      </c>
      <c r="D40">
        <v>0</v>
      </c>
      <c r="E40">
        <v>0</v>
      </c>
      <c r="F40">
        <v>54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9</v>
      </c>
      <c r="B41">
        <v>7172010009001700</v>
      </c>
      <c r="C41">
        <v>51</v>
      </c>
      <c r="D41">
        <v>0</v>
      </c>
      <c r="E41">
        <v>0</v>
      </c>
      <c r="F41">
        <v>51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7172010009000900</v>
      </c>
      <c r="C42">
        <v>48</v>
      </c>
      <c r="D42">
        <v>41</v>
      </c>
      <c r="E42">
        <v>1</v>
      </c>
      <c r="F42">
        <v>2</v>
      </c>
      <c r="G42">
        <v>0</v>
      </c>
      <c r="H42">
        <v>0</v>
      </c>
      <c r="I42">
        <v>4</v>
      </c>
      <c r="J42">
        <v>0</v>
      </c>
    </row>
    <row r="43" spans="1:10" x14ac:dyDescent="0.25">
      <c r="A43" t="s">
        <v>9</v>
      </c>
      <c r="B43">
        <v>7172010009001400</v>
      </c>
      <c r="C43">
        <v>48</v>
      </c>
      <c r="D43">
        <v>0</v>
      </c>
      <c r="E43">
        <v>0</v>
      </c>
      <c r="F43">
        <v>33</v>
      </c>
      <c r="G43">
        <v>1</v>
      </c>
      <c r="H43">
        <v>0</v>
      </c>
      <c r="I43">
        <v>14</v>
      </c>
      <c r="J43">
        <v>0</v>
      </c>
    </row>
    <row r="44" spans="1:10" x14ac:dyDescent="0.25">
      <c r="A44" t="s">
        <v>9</v>
      </c>
      <c r="B44">
        <v>7172010009001500</v>
      </c>
      <c r="C44">
        <v>44</v>
      </c>
      <c r="D44">
        <v>0</v>
      </c>
      <c r="E44">
        <v>0</v>
      </c>
      <c r="F44">
        <v>40</v>
      </c>
      <c r="G44">
        <v>0</v>
      </c>
      <c r="H44">
        <v>0</v>
      </c>
      <c r="I44">
        <v>4</v>
      </c>
      <c r="J44">
        <v>0</v>
      </c>
    </row>
    <row r="45" spans="1:10" x14ac:dyDescent="0.25">
      <c r="A45" t="s">
        <v>9</v>
      </c>
      <c r="B45">
        <v>7172010009001600</v>
      </c>
      <c r="C45">
        <v>42</v>
      </c>
      <c r="D45">
        <v>0</v>
      </c>
      <c r="E45">
        <v>0</v>
      </c>
      <c r="F45">
        <v>41</v>
      </c>
      <c r="G45">
        <v>0</v>
      </c>
      <c r="H45">
        <v>0</v>
      </c>
      <c r="I45">
        <v>1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1</v>
      </c>
      <c r="G47">
        <v>1</v>
      </c>
      <c r="H47">
        <v>0</v>
      </c>
      <c r="I47">
        <v>1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12</v>
      </c>
      <c r="B50">
        <v>7172010010000600</v>
      </c>
      <c r="C50">
        <v>89</v>
      </c>
      <c r="D50">
        <v>78</v>
      </c>
      <c r="E50">
        <v>0</v>
      </c>
      <c r="F50">
        <v>10</v>
      </c>
      <c r="G50">
        <v>1</v>
      </c>
      <c r="H50">
        <v>0</v>
      </c>
      <c r="I50">
        <v>0</v>
      </c>
      <c r="J50">
        <v>0</v>
      </c>
    </row>
    <row r="51" spans="1:10" x14ac:dyDescent="0.25">
      <c r="A51" t="s">
        <v>12</v>
      </c>
      <c r="B51">
        <v>7172010010001500</v>
      </c>
      <c r="C51">
        <v>75</v>
      </c>
      <c r="D51">
        <v>71</v>
      </c>
      <c r="E51">
        <v>0</v>
      </c>
      <c r="F51">
        <v>4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12</v>
      </c>
      <c r="B52">
        <v>7172010010001200</v>
      </c>
      <c r="C52">
        <v>66</v>
      </c>
      <c r="D52">
        <v>0</v>
      </c>
      <c r="E52">
        <v>0</v>
      </c>
      <c r="F52">
        <v>66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12</v>
      </c>
      <c r="B53">
        <v>7172010010000800</v>
      </c>
      <c r="C53">
        <v>65</v>
      </c>
      <c r="D53">
        <v>0</v>
      </c>
      <c r="E53">
        <v>1</v>
      </c>
      <c r="F53">
        <v>64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12</v>
      </c>
      <c r="B54">
        <v>7172010010000700</v>
      </c>
      <c r="C54">
        <v>64</v>
      </c>
      <c r="D54">
        <v>29</v>
      </c>
      <c r="E54">
        <v>5</v>
      </c>
      <c r="F54">
        <v>30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12</v>
      </c>
      <c r="B55">
        <v>7172010010001100</v>
      </c>
      <c r="C55">
        <v>53</v>
      </c>
      <c r="D55">
        <v>48</v>
      </c>
      <c r="E55">
        <v>0</v>
      </c>
      <c r="F55">
        <v>4</v>
      </c>
      <c r="G55">
        <v>0</v>
      </c>
      <c r="H55">
        <v>0</v>
      </c>
      <c r="I55">
        <v>1</v>
      </c>
      <c r="J55">
        <v>0</v>
      </c>
    </row>
    <row r="56" spans="1:10" x14ac:dyDescent="0.25">
      <c r="A56" t="s">
        <v>12</v>
      </c>
      <c r="B56">
        <v>7172010010001400</v>
      </c>
      <c r="C56">
        <v>53</v>
      </c>
      <c r="D56">
        <v>38</v>
      </c>
      <c r="E56">
        <v>3</v>
      </c>
      <c r="F56">
        <v>2</v>
      </c>
      <c r="G56">
        <v>0</v>
      </c>
      <c r="H56">
        <v>1</v>
      </c>
      <c r="I56">
        <v>9</v>
      </c>
      <c r="J56">
        <v>0</v>
      </c>
    </row>
    <row r="57" spans="1:10" x14ac:dyDescent="0.25">
      <c r="A57" t="s">
        <v>12</v>
      </c>
      <c r="B57">
        <v>7172010010001300</v>
      </c>
      <c r="C57">
        <v>49</v>
      </c>
      <c r="D57">
        <v>0</v>
      </c>
      <c r="E57">
        <v>0</v>
      </c>
      <c r="F57">
        <v>49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12</v>
      </c>
      <c r="B58">
        <v>7172010010001000</v>
      </c>
      <c r="C58">
        <v>32</v>
      </c>
      <c r="D58">
        <v>0</v>
      </c>
      <c r="E58">
        <v>1</v>
      </c>
      <c r="F58">
        <v>31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12</v>
      </c>
      <c r="B59">
        <v>7172010010000900</v>
      </c>
      <c r="C59">
        <v>23</v>
      </c>
      <c r="D59">
        <v>0</v>
      </c>
      <c r="E59">
        <v>0</v>
      </c>
      <c r="F59">
        <v>23</v>
      </c>
      <c r="G59">
        <v>0</v>
      </c>
      <c r="H59">
        <v>0</v>
      </c>
      <c r="I59">
        <v>0</v>
      </c>
      <c r="J59">
        <v>0</v>
      </c>
    </row>
    <row r="60" spans="1:10" x14ac:dyDescent="0.25">
      <c r="A60" t="s">
        <v>15</v>
      </c>
      <c r="B60">
        <v>7172010011002200</v>
      </c>
      <c r="C60">
        <v>89</v>
      </c>
      <c r="D60">
        <v>85</v>
      </c>
      <c r="E60">
        <v>1</v>
      </c>
      <c r="F60">
        <v>3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7172010012000300</v>
      </c>
      <c r="C61">
        <v>82</v>
      </c>
      <c r="D61">
        <v>81</v>
      </c>
      <c r="E61">
        <v>0</v>
      </c>
      <c r="F61">
        <v>0</v>
      </c>
      <c r="G61">
        <v>1</v>
      </c>
      <c r="H61">
        <v>0</v>
      </c>
      <c r="I61">
        <v>0</v>
      </c>
      <c r="J61">
        <v>0</v>
      </c>
    </row>
    <row r="62" spans="1:10" x14ac:dyDescent="0.25">
      <c r="A62" t="s">
        <v>15</v>
      </c>
      <c r="B62">
        <v>7172010012001000</v>
      </c>
      <c r="C62">
        <v>79</v>
      </c>
      <c r="D62">
        <v>63</v>
      </c>
      <c r="E62">
        <v>0</v>
      </c>
      <c r="F62">
        <v>5</v>
      </c>
      <c r="G62">
        <v>0</v>
      </c>
      <c r="H62">
        <v>0</v>
      </c>
      <c r="I62">
        <v>11</v>
      </c>
      <c r="J62">
        <v>0</v>
      </c>
    </row>
    <row r="63" spans="1:10" x14ac:dyDescent="0.25">
      <c r="A63" t="s">
        <v>15</v>
      </c>
      <c r="B63">
        <v>7172010012000700</v>
      </c>
      <c r="C63">
        <v>76</v>
      </c>
      <c r="D63">
        <v>74</v>
      </c>
      <c r="E63">
        <v>0</v>
      </c>
      <c r="F63">
        <v>1</v>
      </c>
      <c r="G63">
        <v>1</v>
      </c>
      <c r="H63">
        <v>0</v>
      </c>
      <c r="I63">
        <v>0</v>
      </c>
      <c r="J63">
        <v>0</v>
      </c>
    </row>
    <row r="64" spans="1:10" x14ac:dyDescent="0.25">
      <c r="A64" t="s">
        <v>15</v>
      </c>
      <c r="B64">
        <v>7172010012000500</v>
      </c>
      <c r="C64">
        <v>70</v>
      </c>
      <c r="D64">
        <v>58</v>
      </c>
      <c r="E64">
        <v>0</v>
      </c>
      <c r="F64">
        <v>11</v>
      </c>
      <c r="G64">
        <v>1</v>
      </c>
      <c r="H64">
        <v>0</v>
      </c>
      <c r="I64">
        <v>0</v>
      </c>
      <c r="J64">
        <v>0</v>
      </c>
    </row>
    <row r="65" spans="1:10" x14ac:dyDescent="0.25">
      <c r="A65" t="s">
        <v>15</v>
      </c>
      <c r="B65">
        <v>7172010012001100</v>
      </c>
      <c r="C65">
        <v>66</v>
      </c>
      <c r="D65">
        <v>0</v>
      </c>
      <c r="E65">
        <v>0</v>
      </c>
      <c r="F65">
        <v>43</v>
      </c>
      <c r="G65">
        <v>0</v>
      </c>
      <c r="H65">
        <v>0</v>
      </c>
      <c r="I65">
        <v>23</v>
      </c>
      <c r="J65">
        <v>0</v>
      </c>
    </row>
    <row r="66" spans="1:10" x14ac:dyDescent="0.25">
      <c r="A66" t="s">
        <v>15</v>
      </c>
      <c r="B66">
        <v>7172010012000100</v>
      </c>
      <c r="C66">
        <v>50</v>
      </c>
      <c r="D66">
        <v>41</v>
      </c>
      <c r="E66">
        <v>0</v>
      </c>
      <c r="F66">
        <v>9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15</v>
      </c>
      <c r="B67">
        <v>7172010012000200</v>
      </c>
      <c r="C67">
        <v>48</v>
      </c>
      <c r="D67">
        <v>48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15</v>
      </c>
      <c r="B68">
        <v>7172010012000400</v>
      </c>
      <c r="C68">
        <v>38</v>
      </c>
      <c r="D68">
        <v>31</v>
      </c>
      <c r="E68">
        <v>0</v>
      </c>
      <c r="F68">
        <v>7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15</v>
      </c>
      <c r="B69">
        <v>7172010012000600</v>
      </c>
      <c r="C69">
        <v>37</v>
      </c>
      <c r="D69">
        <v>0</v>
      </c>
      <c r="E69">
        <v>0</v>
      </c>
      <c r="F69">
        <v>37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15</v>
      </c>
      <c r="B70">
        <v>7172010012001200</v>
      </c>
      <c r="C70">
        <v>36</v>
      </c>
      <c r="D70">
        <v>0</v>
      </c>
      <c r="E70">
        <v>0</v>
      </c>
      <c r="F70">
        <v>35</v>
      </c>
      <c r="G70">
        <v>0</v>
      </c>
      <c r="H70">
        <v>0</v>
      </c>
      <c r="I70">
        <v>1</v>
      </c>
      <c r="J70">
        <v>0</v>
      </c>
    </row>
    <row r="71" spans="1:10" x14ac:dyDescent="0.25">
      <c r="A71" t="s">
        <v>15</v>
      </c>
      <c r="B71">
        <v>7172010012000900</v>
      </c>
      <c r="C71">
        <v>32</v>
      </c>
      <c r="D71">
        <v>0</v>
      </c>
      <c r="E71">
        <v>0</v>
      </c>
      <c r="F71">
        <v>32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15</v>
      </c>
      <c r="B72">
        <v>7172010012000800</v>
      </c>
      <c r="C72">
        <v>23</v>
      </c>
      <c r="D72">
        <v>0</v>
      </c>
      <c r="E72">
        <v>0</v>
      </c>
      <c r="F72">
        <v>23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23</v>
      </c>
      <c r="B73">
        <v>7172010015003200</v>
      </c>
      <c r="C73">
        <v>178</v>
      </c>
      <c r="D73">
        <v>10</v>
      </c>
      <c r="E73">
        <v>21</v>
      </c>
      <c r="F73">
        <v>133</v>
      </c>
      <c r="G73">
        <v>0</v>
      </c>
      <c r="H73">
        <v>0</v>
      </c>
      <c r="I73">
        <v>14</v>
      </c>
      <c r="J73">
        <v>0</v>
      </c>
    </row>
    <row r="74" spans="1:10" x14ac:dyDescent="0.25">
      <c r="A74" t="s">
        <v>23</v>
      </c>
      <c r="B74">
        <v>7172010015003100</v>
      </c>
      <c r="C74">
        <v>146</v>
      </c>
      <c r="D74">
        <v>122</v>
      </c>
      <c r="E74">
        <v>4</v>
      </c>
      <c r="F74">
        <v>18</v>
      </c>
      <c r="G74">
        <v>2</v>
      </c>
      <c r="H74">
        <v>0</v>
      </c>
      <c r="I74">
        <v>0</v>
      </c>
      <c r="J74">
        <v>0</v>
      </c>
    </row>
    <row r="75" spans="1:10" x14ac:dyDescent="0.25">
      <c r="A75" t="s">
        <v>23</v>
      </c>
      <c r="B75">
        <v>7172010015002700</v>
      </c>
      <c r="C75">
        <v>101</v>
      </c>
      <c r="D75">
        <v>32</v>
      </c>
      <c r="E75">
        <v>2</v>
      </c>
      <c r="F75">
        <v>66</v>
      </c>
      <c r="G75">
        <v>0</v>
      </c>
      <c r="H75">
        <v>0</v>
      </c>
      <c r="I75">
        <v>1</v>
      </c>
      <c r="J75">
        <v>0</v>
      </c>
    </row>
    <row r="76" spans="1:10" x14ac:dyDescent="0.25">
      <c r="A76" t="s">
        <v>23</v>
      </c>
      <c r="B76">
        <v>7172010015002900</v>
      </c>
      <c r="C76">
        <v>89</v>
      </c>
      <c r="D76">
        <v>59</v>
      </c>
      <c r="E76">
        <v>1</v>
      </c>
      <c r="F76">
        <v>24</v>
      </c>
      <c r="G76">
        <v>0</v>
      </c>
      <c r="H76">
        <v>0</v>
      </c>
      <c r="I76">
        <v>5</v>
      </c>
      <c r="J76">
        <v>0</v>
      </c>
    </row>
    <row r="77" spans="1:10" x14ac:dyDescent="0.25">
      <c r="A77" t="s">
        <v>23</v>
      </c>
      <c r="B77">
        <v>7172010015003000</v>
      </c>
      <c r="C77">
        <v>69</v>
      </c>
      <c r="D77">
        <v>37</v>
      </c>
      <c r="E77">
        <v>6</v>
      </c>
      <c r="F77">
        <v>26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</v>
      </c>
      <c r="B78">
        <v>7172010015002800</v>
      </c>
      <c r="C78">
        <v>60</v>
      </c>
      <c r="D78">
        <v>36</v>
      </c>
      <c r="E78">
        <v>4</v>
      </c>
      <c r="F78">
        <v>19</v>
      </c>
      <c r="G78">
        <v>0</v>
      </c>
      <c r="H78">
        <v>0</v>
      </c>
      <c r="I78">
        <v>1</v>
      </c>
      <c r="J78">
        <v>0</v>
      </c>
    </row>
    <row r="79" spans="1:10" x14ac:dyDescent="0.25">
      <c r="A79" t="s">
        <v>23</v>
      </c>
      <c r="B79">
        <v>7172010015001200</v>
      </c>
      <c r="C79">
        <v>39</v>
      </c>
      <c r="D79">
        <v>19</v>
      </c>
      <c r="E79">
        <v>0</v>
      </c>
      <c r="F79">
        <v>20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237</v>
      </c>
      <c r="B80">
        <v>7172010017001200</v>
      </c>
      <c r="C80">
        <v>167</v>
      </c>
      <c r="D80">
        <v>160</v>
      </c>
      <c r="E80">
        <v>3</v>
      </c>
      <c r="F80">
        <v>0</v>
      </c>
      <c r="G80">
        <v>4</v>
      </c>
      <c r="H80">
        <v>0</v>
      </c>
      <c r="I80">
        <v>0</v>
      </c>
      <c r="J80">
        <v>0</v>
      </c>
    </row>
    <row r="81" spans="1:10" x14ac:dyDescent="0.25">
      <c r="A81" t="s">
        <v>237</v>
      </c>
      <c r="B81">
        <v>7172010017000800</v>
      </c>
      <c r="C81">
        <v>98</v>
      </c>
      <c r="D81">
        <v>96</v>
      </c>
      <c r="E81">
        <v>0</v>
      </c>
      <c r="F81">
        <v>0</v>
      </c>
      <c r="G81">
        <v>2</v>
      </c>
      <c r="H81">
        <v>0</v>
      </c>
      <c r="I81">
        <v>0</v>
      </c>
      <c r="J81">
        <v>0</v>
      </c>
    </row>
    <row r="82" spans="1:10" x14ac:dyDescent="0.25">
      <c r="A82" t="s">
        <v>237</v>
      </c>
      <c r="B82">
        <v>7172010017001100</v>
      </c>
      <c r="C82">
        <v>82</v>
      </c>
      <c r="D82">
        <v>9</v>
      </c>
      <c r="E82">
        <v>3</v>
      </c>
      <c r="F82">
        <v>69</v>
      </c>
      <c r="G82">
        <v>0</v>
      </c>
      <c r="H82">
        <v>0</v>
      </c>
      <c r="I82">
        <v>1</v>
      </c>
      <c r="J82">
        <v>0</v>
      </c>
    </row>
    <row r="83" spans="1:10" x14ac:dyDescent="0.25">
      <c r="A83" t="s">
        <v>237</v>
      </c>
      <c r="B83">
        <v>7172010017001400</v>
      </c>
      <c r="C83">
        <v>60</v>
      </c>
      <c r="D83">
        <v>0</v>
      </c>
      <c r="E83">
        <v>0</v>
      </c>
      <c r="F83">
        <v>60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237</v>
      </c>
      <c r="B84">
        <v>7172010017000700</v>
      </c>
      <c r="C84">
        <v>55</v>
      </c>
      <c r="D84">
        <v>0</v>
      </c>
      <c r="E84">
        <v>0</v>
      </c>
      <c r="F84">
        <v>55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237</v>
      </c>
      <c r="B85">
        <v>7172010017000900</v>
      </c>
      <c r="C85">
        <v>55</v>
      </c>
      <c r="D85">
        <v>0</v>
      </c>
      <c r="E85">
        <v>0</v>
      </c>
      <c r="F85">
        <v>55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237</v>
      </c>
      <c r="B86">
        <v>7172010017001000</v>
      </c>
      <c r="C86">
        <v>48</v>
      </c>
      <c r="D86">
        <v>6</v>
      </c>
      <c r="E86">
        <v>22</v>
      </c>
      <c r="F86">
        <v>10</v>
      </c>
      <c r="G86">
        <v>0</v>
      </c>
      <c r="H86">
        <v>0</v>
      </c>
      <c r="I86">
        <v>10</v>
      </c>
      <c r="J86">
        <v>0</v>
      </c>
    </row>
    <row r="87" spans="1:10" x14ac:dyDescent="0.25">
      <c r="A87" t="s">
        <v>237</v>
      </c>
      <c r="B87">
        <v>7172010017000500</v>
      </c>
      <c r="C87">
        <v>47</v>
      </c>
      <c r="D87">
        <v>0</v>
      </c>
      <c r="E87">
        <v>0</v>
      </c>
      <c r="F87">
        <v>47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237</v>
      </c>
      <c r="B88">
        <v>7172010017000600</v>
      </c>
      <c r="C88">
        <v>38</v>
      </c>
      <c r="D88">
        <v>0</v>
      </c>
      <c r="E88">
        <v>0</v>
      </c>
      <c r="F88">
        <v>38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14</v>
      </c>
      <c r="B89">
        <v>7172010011001900</v>
      </c>
      <c r="C89">
        <v>63</v>
      </c>
      <c r="D89">
        <v>0</v>
      </c>
      <c r="E89">
        <v>0</v>
      </c>
      <c r="F89">
        <v>63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14</v>
      </c>
      <c r="B90">
        <v>7172010011002000</v>
      </c>
      <c r="C90">
        <v>63</v>
      </c>
      <c r="D90">
        <v>0</v>
      </c>
      <c r="E90">
        <v>0</v>
      </c>
      <c r="F90">
        <v>63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14</v>
      </c>
      <c r="B91">
        <v>7172010011000700</v>
      </c>
      <c r="C91">
        <v>61</v>
      </c>
      <c r="D91">
        <v>61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7172010011001800</v>
      </c>
      <c r="C92">
        <v>61</v>
      </c>
      <c r="D92">
        <v>59</v>
      </c>
      <c r="E92">
        <v>0</v>
      </c>
      <c r="F92">
        <v>1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14</v>
      </c>
      <c r="B95">
        <v>7172010011002100</v>
      </c>
      <c r="C95">
        <v>39</v>
      </c>
      <c r="D95">
        <v>0</v>
      </c>
      <c r="E95">
        <v>0</v>
      </c>
      <c r="F95">
        <v>39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14</v>
      </c>
      <c r="B96">
        <v>7172010011001200</v>
      </c>
      <c r="C96">
        <v>37</v>
      </c>
      <c r="D96">
        <v>36</v>
      </c>
      <c r="E96">
        <v>1</v>
      </c>
      <c r="F96">
        <v>0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14</v>
      </c>
      <c r="B97">
        <v>7172010011001700</v>
      </c>
      <c r="C97">
        <v>37</v>
      </c>
      <c r="D97">
        <v>0</v>
      </c>
      <c r="E97">
        <v>0</v>
      </c>
      <c r="F97">
        <v>37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14</v>
      </c>
      <c r="B98">
        <v>7172010011000900</v>
      </c>
      <c r="C98">
        <v>36</v>
      </c>
      <c r="D98">
        <v>21</v>
      </c>
      <c r="E98">
        <v>1</v>
      </c>
      <c r="F98">
        <v>5</v>
      </c>
      <c r="G98">
        <v>0</v>
      </c>
      <c r="H98">
        <v>0</v>
      </c>
      <c r="I98">
        <v>9</v>
      </c>
      <c r="J98">
        <v>0</v>
      </c>
    </row>
    <row r="99" spans="1:10" x14ac:dyDescent="0.25">
      <c r="A99" t="s">
        <v>14</v>
      </c>
      <c r="B99">
        <v>7172010011001500</v>
      </c>
      <c r="C99">
        <v>35</v>
      </c>
      <c r="D99">
        <v>0</v>
      </c>
      <c r="E99">
        <v>0</v>
      </c>
      <c r="F99">
        <v>35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14</v>
      </c>
      <c r="B100">
        <v>7172010011001000</v>
      </c>
      <c r="C100">
        <v>33</v>
      </c>
      <c r="D100">
        <v>0</v>
      </c>
      <c r="E100">
        <v>0</v>
      </c>
      <c r="F100">
        <v>33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14</v>
      </c>
      <c r="B101">
        <v>7172010011001100</v>
      </c>
      <c r="C101">
        <v>31</v>
      </c>
      <c r="D101">
        <v>0</v>
      </c>
      <c r="E101">
        <v>0</v>
      </c>
      <c r="F101">
        <v>31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14</v>
      </c>
      <c r="B102">
        <v>7172010011001600</v>
      </c>
      <c r="C102">
        <v>28</v>
      </c>
      <c r="D102">
        <v>0</v>
      </c>
      <c r="E102">
        <v>0</v>
      </c>
      <c r="F102">
        <v>28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14</v>
      </c>
      <c r="B103">
        <v>7172010011001300</v>
      </c>
      <c r="C103">
        <v>23</v>
      </c>
      <c r="D103">
        <v>22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21</v>
      </c>
      <c r="B104">
        <v>7172010015001800</v>
      </c>
      <c r="C104">
        <v>150</v>
      </c>
      <c r="D104">
        <v>0</v>
      </c>
      <c r="E104">
        <v>1</v>
      </c>
      <c r="F104">
        <v>139</v>
      </c>
      <c r="G104">
        <v>0</v>
      </c>
      <c r="H104">
        <v>0</v>
      </c>
      <c r="I104">
        <v>10</v>
      </c>
      <c r="J104">
        <v>0</v>
      </c>
    </row>
    <row r="105" spans="1:10" x14ac:dyDescent="0.25">
      <c r="A105" t="s">
        <v>21</v>
      </c>
      <c r="B105">
        <v>7172010015001600</v>
      </c>
      <c r="C105">
        <v>140</v>
      </c>
      <c r="D105">
        <v>131</v>
      </c>
      <c r="E105">
        <v>0</v>
      </c>
      <c r="F105">
        <v>4</v>
      </c>
      <c r="G105">
        <v>0</v>
      </c>
      <c r="H105">
        <v>0</v>
      </c>
      <c r="I105">
        <v>5</v>
      </c>
      <c r="J105">
        <v>0</v>
      </c>
    </row>
    <row r="106" spans="1:10" x14ac:dyDescent="0.25">
      <c r="A106" t="s">
        <v>21</v>
      </c>
      <c r="B106">
        <v>7172010015001500</v>
      </c>
      <c r="C106">
        <v>118</v>
      </c>
      <c r="D106">
        <v>117</v>
      </c>
      <c r="E106">
        <v>0</v>
      </c>
      <c r="F106">
        <v>0</v>
      </c>
      <c r="G106">
        <v>1</v>
      </c>
      <c r="H106">
        <v>0</v>
      </c>
      <c r="I106">
        <v>0</v>
      </c>
      <c r="J106">
        <v>0</v>
      </c>
    </row>
    <row r="107" spans="1:10" x14ac:dyDescent="0.25">
      <c r="A107" t="s">
        <v>21</v>
      </c>
      <c r="B107">
        <v>7172010015001900</v>
      </c>
      <c r="C107">
        <v>87</v>
      </c>
      <c r="D107">
        <v>0</v>
      </c>
      <c r="E107">
        <v>0</v>
      </c>
      <c r="F107">
        <v>87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21</v>
      </c>
      <c r="B108">
        <v>7172010015001700</v>
      </c>
      <c r="C108">
        <v>68</v>
      </c>
      <c r="D108">
        <v>66</v>
      </c>
      <c r="E108">
        <v>0</v>
      </c>
      <c r="F108">
        <v>1</v>
      </c>
      <c r="G108">
        <v>0</v>
      </c>
      <c r="H108">
        <v>0</v>
      </c>
      <c r="I108">
        <v>1</v>
      </c>
      <c r="J108">
        <v>0</v>
      </c>
    </row>
    <row r="109" spans="1:10" x14ac:dyDescent="0.25">
      <c r="A109" t="s">
        <v>21</v>
      </c>
      <c r="B109">
        <v>7172010015002000</v>
      </c>
      <c r="C109">
        <v>64</v>
      </c>
      <c r="D109">
        <v>0</v>
      </c>
      <c r="E109">
        <v>0</v>
      </c>
      <c r="F109">
        <v>64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21</v>
      </c>
      <c r="B110">
        <v>7172010015001000</v>
      </c>
      <c r="C110">
        <v>37</v>
      </c>
      <c r="D110">
        <v>0</v>
      </c>
      <c r="E110">
        <v>0</v>
      </c>
      <c r="F110">
        <v>37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27</v>
      </c>
      <c r="B111">
        <v>7172011001000700</v>
      </c>
      <c r="C111">
        <v>178</v>
      </c>
      <c r="D111">
        <v>139</v>
      </c>
      <c r="E111">
        <v>1</v>
      </c>
      <c r="F111">
        <v>37</v>
      </c>
      <c r="G111">
        <v>0</v>
      </c>
      <c r="H111">
        <v>0</v>
      </c>
      <c r="I111">
        <v>1</v>
      </c>
      <c r="J111">
        <v>0</v>
      </c>
    </row>
    <row r="112" spans="1:10" x14ac:dyDescent="0.25">
      <c r="A112" t="s">
        <v>27</v>
      </c>
      <c r="B112">
        <v>7172011002000600</v>
      </c>
      <c r="C112">
        <v>176</v>
      </c>
      <c r="D112">
        <v>141</v>
      </c>
      <c r="E112">
        <v>7</v>
      </c>
      <c r="F112">
        <v>27</v>
      </c>
      <c r="G112">
        <v>0</v>
      </c>
      <c r="H112">
        <v>1</v>
      </c>
      <c r="I112">
        <v>0</v>
      </c>
      <c r="J112">
        <v>0</v>
      </c>
    </row>
    <row r="113" spans="1:10" x14ac:dyDescent="0.25">
      <c r="A113" t="s">
        <v>27</v>
      </c>
      <c r="B113">
        <v>7172011002000900</v>
      </c>
      <c r="C113">
        <v>151</v>
      </c>
      <c r="D113">
        <v>93</v>
      </c>
      <c r="E113">
        <v>5</v>
      </c>
      <c r="F113">
        <v>46</v>
      </c>
      <c r="G113">
        <v>0</v>
      </c>
      <c r="H113">
        <v>0</v>
      </c>
      <c r="I113">
        <v>7</v>
      </c>
      <c r="J113">
        <v>0</v>
      </c>
    </row>
    <row r="114" spans="1:10" x14ac:dyDescent="0.25">
      <c r="A114" t="s">
        <v>27</v>
      </c>
      <c r="B114">
        <v>7172011001000900</v>
      </c>
      <c r="C114">
        <v>76</v>
      </c>
      <c r="D114">
        <v>0</v>
      </c>
      <c r="E114">
        <v>0</v>
      </c>
      <c r="F114">
        <v>76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27</v>
      </c>
      <c r="B115">
        <v>7172011001000800</v>
      </c>
      <c r="C115">
        <v>67</v>
      </c>
      <c r="D115">
        <v>0</v>
      </c>
      <c r="E115">
        <v>0</v>
      </c>
      <c r="F115">
        <v>67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27</v>
      </c>
      <c r="B116">
        <v>7172011002001000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27</v>
      </c>
      <c r="B117">
        <v>7172011002001100</v>
      </c>
      <c r="C117">
        <v>44</v>
      </c>
      <c r="D117">
        <v>0</v>
      </c>
      <c r="E117">
        <v>0</v>
      </c>
      <c r="F117">
        <v>44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29</v>
      </c>
      <c r="B118">
        <v>7172011002001600</v>
      </c>
      <c r="C118">
        <v>138</v>
      </c>
      <c r="D118">
        <v>111</v>
      </c>
      <c r="E118">
        <v>3</v>
      </c>
      <c r="F118">
        <v>18</v>
      </c>
      <c r="G118">
        <v>6</v>
      </c>
      <c r="H118">
        <v>0</v>
      </c>
      <c r="I118">
        <v>0</v>
      </c>
      <c r="J118">
        <v>0</v>
      </c>
    </row>
    <row r="119" spans="1:10" x14ac:dyDescent="0.25">
      <c r="A119" t="s">
        <v>29</v>
      </c>
      <c r="B119">
        <v>7172011002001200</v>
      </c>
      <c r="C119">
        <v>118</v>
      </c>
      <c r="D119">
        <v>79</v>
      </c>
      <c r="E119">
        <v>7</v>
      </c>
      <c r="F119">
        <v>31</v>
      </c>
      <c r="G119">
        <v>1</v>
      </c>
      <c r="H119">
        <v>0</v>
      </c>
      <c r="I119">
        <v>0</v>
      </c>
      <c r="J119">
        <v>0</v>
      </c>
    </row>
    <row r="120" spans="1:10" x14ac:dyDescent="0.25">
      <c r="A120" t="s">
        <v>29</v>
      </c>
      <c r="B120">
        <v>7172011002001500</v>
      </c>
      <c r="C120">
        <v>98</v>
      </c>
      <c r="D120">
        <v>40</v>
      </c>
      <c r="E120">
        <v>9</v>
      </c>
      <c r="F120">
        <v>37</v>
      </c>
      <c r="G120">
        <v>0</v>
      </c>
      <c r="H120">
        <v>0</v>
      </c>
      <c r="I120">
        <v>12</v>
      </c>
      <c r="J120">
        <v>0</v>
      </c>
    </row>
    <row r="121" spans="1:10" x14ac:dyDescent="0.25">
      <c r="A121" t="s">
        <v>29</v>
      </c>
      <c r="B121">
        <v>7172011002001400</v>
      </c>
      <c r="C121">
        <v>97</v>
      </c>
      <c r="D121">
        <v>57</v>
      </c>
      <c r="E121">
        <v>3</v>
      </c>
      <c r="F121">
        <v>34</v>
      </c>
      <c r="G121">
        <v>3</v>
      </c>
      <c r="H121">
        <v>0</v>
      </c>
      <c r="I121">
        <v>0</v>
      </c>
      <c r="J121">
        <v>0</v>
      </c>
    </row>
    <row r="122" spans="1:10" x14ac:dyDescent="0.25">
      <c r="A122" t="s">
        <v>29</v>
      </c>
      <c r="B122">
        <v>7172011011000500</v>
      </c>
      <c r="C122">
        <v>89</v>
      </c>
      <c r="D122">
        <v>82</v>
      </c>
      <c r="E122">
        <v>5</v>
      </c>
      <c r="F122">
        <v>0</v>
      </c>
      <c r="G122">
        <v>2</v>
      </c>
      <c r="H122">
        <v>0</v>
      </c>
      <c r="I122">
        <v>0</v>
      </c>
      <c r="J122">
        <v>0</v>
      </c>
    </row>
    <row r="123" spans="1:10" x14ac:dyDescent="0.25">
      <c r="A123" t="s">
        <v>29</v>
      </c>
      <c r="B123">
        <v>7172011011000400</v>
      </c>
      <c r="C123">
        <v>71</v>
      </c>
      <c r="D123">
        <v>0</v>
      </c>
      <c r="E123">
        <v>0</v>
      </c>
      <c r="F123">
        <v>71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29</v>
      </c>
      <c r="B124">
        <v>7172011002001300</v>
      </c>
      <c r="C124">
        <v>58</v>
      </c>
      <c r="D124">
        <v>0</v>
      </c>
      <c r="E124">
        <v>0</v>
      </c>
      <c r="F124">
        <v>58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29</v>
      </c>
      <c r="B125">
        <v>7172011011000300</v>
      </c>
      <c r="C125">
        <v>50</v>
      </c>
      <c r="D125">
        <v>0</v>
      </c>
      <c r="E125">
        <v>0</v>
      </c>
      <c r="F125">
        <v>50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29</v>
      </c>
      <c r="B126">
        <v>7172011011000200</v>
      </c>
      <c r="C126">
        <v>38</v>
      </c>
      <c r="D126">
        <v>1</v>
      </c>
      <c r="E126">
        <v>0</v>
      </c>
      <c r="F126">
        <v>37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29</v>
      </c>
      <c r="B127">
        <v>7172011011000100</v>
      </c>
      <c r="C127">
        <v>27</v>
      </c>
      <c r="D127">
        <v>0</v>
      </c>
      <c r="E127">
        <v>0</v>
      </c>
      <c r="F127">
        <v>27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30</v>
      </c>
      <c r="B128">
        <v>7172011003001803</v>
      </c>
      <c r="C128">
        <v>166</v>
      </c>
      <c r="D128">
        <v>125</v>
      </c>
      <c r="E128">
        <v>0</v>
      </c>
      <c r="F128">
        <v>15</v>
      </c>
      <c r="G128">
        <v>0</v>
      </c>
      <c r="H128">
        <v>0</v>
      </c>
      <c r="I128">
        <v>26</v>
      </c>
      <c r="J128">
        <v>0</v>
      </c>
    </row>
    <row r="129" spans="1:10" x14ac:dyDescent="0.25">
      <c r="A129" t="s">
        <v>30</v>
      </c>
      <c r="B129">
        <v>7172011003000400</v>
      </c>
      <c r="C129">
        <v>150</v>
      </c>
      <c r="D129">
        <v>67</v>
      </c>
      <c r="E129">
        <v>7</v>
      </c>
      <c r="F129">
        <v>60</v>
      </c>
      <c r="G129">
        <v>0</v>
      </c>
      <c r="H129">
        <v>0</v>
      </c>
      <c r="I129">
        <v>16</v>
      </c>
      <c r="J129">
        <v>0</v>
      </c>
    </row>
    <row r="130" spans="1:10" x14ac:dyDescent="0.25">
      <c r="A130" t="s">
        <v>30</v>
      </c>
      <c r="B130">
        <v>7172011003000700</v>
      </c>
      <c r="C130">
        <v>142</v>
      </c>
      <c r="D130">
        <v>74</v>
      </c>
      <c r="E130">
        <v>0</v>
      </c>
      <c r="F130">
        <v>54</v>
      </c>
      <c r="G130">
        <v>0</v>
      </c>
      <c r="H130">
        <v>0</v>
      </c>
      <c r="I130">
        <v>14</v>
      </c>
      <c r="J130">
        <v>0</v>
      </c>
    </row>
    <row r="131" spans="1:10" x14ac:dyDescent="0.25">
      <c r="A131" t="s">
        <v>30</v>
      </c>
      <c r="B131">
        <v>7172011003000100</v>
      </c>
      <c r="C131">
        <v>121</v>
      </c>
      <c r="D131">
        <v>0</v>
      </c>
      <c r="E131">
        <v>0</v>
      </c>
      <c r="F131">
        <v>121</v>
      </c>
      <c r="G131">
        <v>0</v>
      </c>
      <c r="H131">
        <v>0</v>
      </c>
      <c r="I131">
        <v>0</v>
      </c>
      <c r="J131">
        <v>0</v>
      </c>
    </row>
    <row r="132" spans="1:10" x14ac:dyDescent="0.25">
      <c r="A132" t="s">
        <v>30</v>
      </c>
      <c r="B132">
        <v>7172011003000202</v>
      </c>
      <c r="C132">
        <v>90</v>
      </c>
      <c r="D132">
        <v>0</v>
      </c>
      <c r="E132">
        <v>0</v>
      </c>
      <c r="F132">
        <v>90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33</v>
      </c>
      <c r="B133">
        <v>7172011003003300</v>
      </c>
      <c r="C133">
        <v>124</v>
      </c>
      <c r="D133">
        <v>10</v>
      </c>
      <c r="E133">
        <v>0</v>
      </c>
      <c r="F133">
        <v>114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33</v>
      </c>
      <c r="B134">
        <v>7172011003003503</v>
      </c>
      <c r="C134">
        <v>123</v>
      </c>
      <c r="D134">
        <v>45</v>
      </c>
      <c r="E134">
        <v>14</v>
      </c>
      <c r="F134">
        <v>64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33</v>
      </c>
      <c r="B135">
        <v>7172011014001702</v>
      </c>
      <c r="C135">
        <v>119</v>
      </c>
      <c r="D135">
        <v>116</v>
      </c>
      <c r="E135">
        <v>2</v>
      </c>
      <c r="F135">
        <v>0</v>
      </c>
      <c r="G135">
        <v>0</v>
      </c>
      <c r="H135">
        <v>1</v>
      </c>
      <c r="I135">
        <v>0</v>
      </c>
      <c r="J135">
        <v>0</v>
      </c>
    </row>
    <row r="136" spans="1:10" x14ac:dyDescent="0.25">
      <c r="A136" t="s">
        <v>33</v>
      </c>
      <c r="B136">
        <v>7172011003003200</v>
      </c>
      <c r="C136">
        <v>116</v>
      </c>
      <c r="D136">
        <v>2</v>
      </c>
      <c r="E136">
        <v>2</v>
      </c>
      <c r="F136">
        <v>112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33</v>
      </c>
      <c r="B137">
        <v>7172011003000800</v>
      </c>
      <c r="C137">
        <v>88</v>
      </c>
      <c r="D137">
        <v>0</v>
      </c>
      <c r="E137">
        <v>0</v>
      </c>
      <c r="F137">
        <v>88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33</v>
      </c>
      <c r="B138">
        <v>7172011003003502</v>
      </c>
      <c r="C138">
        <v>73</v>
      </c>
      <c r="D138">
        <v>67</v>
      </c>
      <c r="E138">
        <v>5</v>
      </c>
      <c r="F138">
        <v>0</v>
      </c>
      <c r="G138">
        <v>1</v>
      </c>
      <c r="H138">
        <v>0</v>
      </c>
      <c r="I138">
        <v>0</v>
      </c>
      <c r="J138">
        <v>0</v>
      </c>
    </row>
    <row r="139" spans="1:10" x14ac:dyDescent="0.25">
      <c r="A139" t="s">
        <v>33</v>
      </c>
      <c r="B139">
        <v>7172011003003400</v>
      </c>
      <c r="C139">
        <v>67</v>
      </c>
      <c r="D139">
        <v>50</v>
      </c>
      <c r="E139">
        <v>0</v>
      </c>
      <c r="F139">
        <v>15</v>
      </c>
      <c r="G139">
        <v>2</v>
      </c>
      <c r="H139">
        <v>0</v>
      </c>
      <c r="I139">
        <v>0</v>
      </c>
      <c r="J139">
        <v>0</v>
      </c>
    </row>
    <row r="140" spans="1:10" x14ac:dyDescent="0.25">
      <c r="A140" t="s">
        <v>51</v>
      </c>
      <c r="B140">
        <v>7172012001000500</v>
      </c>
      <c r="C140">
        <v>188</v>
      </c>
      <c r="D140">
        <v>168</v>
      </c>
      <c r="E140">
        <v>2</v>
      </c>
      <c r="F140">
        <v>4</v>
      </c>
      <c r="G140">
        <v>11</v>
      </c>
      <c r="H140">
        <v>1</v>
      </c>
      <c r="I140">
        <v>2</v>
      </c>
      <c r="J140">
        <v>0</v>
      </c>
    </row>
    <row r="141" spans="1:10" x14ac:dyDescent="0.25">
      <c r="A141" t="s">
        <v>51</v>
      </c>
      <c r="B141">
        <v>7172012001001001</v>
      </c>
      <c r="C141">
        <v>163</v>
      </c>
      <c r="D141">
        <v>26</v>
      </c>
      <c r="E141">
        <v>0</v>
      </c>
      <c r="F141">
        <v>74</v>
      </c>
      <c r="G141">
        <v>0</v>
      </c>
      <c r="H141">
        <v>0</v>
      </c>
      <c r="I141">
        <v>63</v>
      </c>
      <c r="J141">
        <v>0</v>
      </c>
    </row>
    <row r="142" spans="1:10" x14ac:dyDescent="0.25">
      <c r="A142" t="s">
        <v>51</v>
      </c>
      <c r="B142">
        <v>7172012001000601</v>
      </c>
      <c r="C142">
        <v>142</v>
      </c>
      <c r="D142">
        <v>0</v>
      </c>
      <c r="E142">
        <v>0</v>
      </c>
      <c r="F142">
        <v>142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55</v>
      </c>
      <c r="B143">
        <v>7172012006001800</v>
      </c>
      <c r="C143">
        <v>163</v>
      </c>
      <c r="D143">
        <v>141</v>
      </c>
      <c r="E143">
        <v>3</v>
      </c>
      <c r="F143">
        <v>10</v>
      </c>
      <c r="G143">
        <v>0</v>
      </c>
      <c r="H143">
        <v>0</v>
      </c>
      <c r="I143">
        <v>9</v>
      </c>
      <c r="J143">
        <v>0</v>
      </c>
    </row>
    <row r="144" spans="1:10" x14ac:dyDescent="0.25">
      <c r="A144" t="s">
        <v>55</v>
      </c>
      <c r="B144">
        <v>7172012006001700</v>
      </c>
      <c r="C144">
        <v>145</v>
      </c>
      <c r="D144">
        <v>20</v>
      </c>
      <c r="E144">
        <v>3</v>
      </c>
      <c r="F144">
        <v>119</v>
      </c>
      <c r="G144">
        <v>0</v>
      </c>
      <c r="H144">
        <v>0</v>
      </c>
      <c r="I144">
        <v>3</v>
      </c>
      <c r="J144">
        <v>0</v>
      </c>
    </row>
    <row r="145" spans="1:10" x14ac:dyDescent="0.25">
      <c r="A145" t="s">
        <v>55</v>
      </c>
      <c r="B145">
        <v>7172012006001900</v>
      </c>
      <c r="C145">
        <v>132</v>
      </c>
      <c r="D145">
        <v>33</v>
      </c>
      <c r="E145">
        <v>0</v>
      </c>
      <c r="F145">
        <v>98</v>
      </c>
      <c r="G145">
        <v>0</v>
      </c>
      <c r="H145">
        <v>0</v>
      </c>
      <c r="I145">
        <v>1</v>
      </c>
      <c r="J145">
        <v>0</v>
      </c>
    </row>
    <row r="146" spans="1:10" x14ac:dyDescent="0.25">
      <c r="A146" t="s">
        <v>55</v>
      </c>
      <c r="B146">
        <v>7172012006001400</v>
      </c>
      <c r="C146">
        <v>107</v>
      </c>
      <c r="D146">
        <v>59</v>
      </c>
      <c r="E146">
        <v>0</v>
      </c>
      <c r="F146">
        <v>44</v>
      </c>
      <c r="G146">
        <v>0</v>
      </c>
      <c r="H146">
        <v>0</v>
      </c>
      <c r="I146">
        <v>4</v>
      </c>
      <c r="J146">
        <v>0</v>
      </c>
    </row>
    <row r="147" spans="1:10" x14ac:dyDescent="0.25">
      <c r="A147" t="s">
        <v>55</v>
      </c>
      <c r="B147">
        <v>7172012002001200</v>
      </c>
      <c r="C147">
        <v>55</v>
      </c>
      <c r="D147">
        <v>4</v>
      </c>
      <c r="E147">
        <v>2</v>
      </c>
      <c r="F147">
        <v>48</v>
      </c>
      <c r="G147">
        <v>0</v>
      </c>
      <c r="H147">
        <v>0</v>
      </c>
      <c r="I147">
        <v>1</v>
      </c>
      <c r="J147">
        <v>0</v>
      </c>
    </row>
    <row r="148" spans="1:10" x14ac:dyDescent="0.25">
      <c r="A148" t="s">
        <v>58</v>
      </c>
      <c r="B148">
        <v>7172012003000400</v>
      </c>
      <c r="C148">
        <v>141</v>
      </c>
      <c r="D148">
        <v>113</v>
      </c>
      <c r="E148">
        <v>6</v>
      </c>
      <c r="F148">
        <v>17</v>
      </c>
      <c r="G148">
        <v>0</v>
      </c>
      <c r="H148">
        <v>0</v>
      </c>
      <c r="I148">
        <v>5</v>
      </c>
      <c r="J148">
        <v>0</v>
      </c>
    </row>
    <row r="149" spans="1:10" x14ac:dyDescent="0.25">
      <c r="A149" t="s">
        <v>58</v>
      </c>
      <c r="B149">
        <v>7172012004000300</v>
      </c>
      <c r="C149">
        <v>109</v>
      </c>
      <c r="D149">
        <v>0</v>
      </c>
      <c r="E149">
        <v>0</v>
      </c>
      <c r="F149">
        <v>109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58</v>
      </c>
      <c r="B150">
        <v>7172012004000100</v>
      </c>
      <c r="C150">
        <v>100</v>
      </c>
      <c r="D150">
        <v>0</v>
      </c>
      <c r="E150">
        <v>0</v>
      </c>
      <c r="F150">
        <v>100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58</v>
      </c>
      <c r="B151">
        <v>7172012003000700</v>
      </c>
      <c r="C151">
        <v>74</v>
      </c>
      <c r="D151">
        <v>9</v>
      </c>
      <c r="E151">
        <v>4</v>
      </c>
      <c r="F151">
        <v>42</v>
      </c>
      <c r="G151">
        <v>0</v>
      </c>
      <c r="H151">
        <v>0</v>
      </c>
      <c r="I151">
        <v>19</v>
      </c>
      <c r="J151">
        <v>0</v>
      </c>
    </row>
    <row r="152" spans="1:10" x14ac:dyDescent="0.25">
      <c r="A152" t="s">
        <v>58</v>
      </c>
      <c r="B152">
        <v>7172012003000300</v>
      </c>
      <c r="C152">
        <v>73</v>
      </c>
      <c r="D152">
        <v>68</v>
      </c>
      <c r="E152">
        <v>1</v>
      </c>
      <c r="F152">
        <v>4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58</v>
      </c>
      <c r="B153">
        <v>7172012003000200</v>
      </c>
      <c r="C153">
        <v>66</v>
      </c>
      <c r="D153">
        <v>59</v>
      </c>
      <c r="E153">
        <v>2</v>
      </c>
      <c r="F153">
        <v>2</v>
      </c>
      <c r="G153">
        <v>0</v>
      </c>
      <c r="H153">
        <v>0</v>
      </c>
      <c r="I153">
        <v>3</v>
      </c>
      <c r="J153">
        <v>0</v>
      </c>
    </row>
    <row r="154" spans="1:10" x14ac:dyDescent="0.25">
      <c r="A154" t="s">
        <v>58</v>
      </c>
      <c r="B154">
        <v>7172012004000200</v>
      </c>
      <c r="C154">
        <v>65</v>
      </c>
      <c r="D154">
        <v>0</v>
      </c>
      <c r="E154">
        <v>0</v>
      </c>
      <c r="F154">
        <v>65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40</v>
      </c>
      <c r="B155">
        <v>7172011004001200</v>
      </c>
      <c r="C155">
        <v>177</v>
      </c>
      <c r="D155">
        <v>69</v>
      </c>
      <c r="E155">
        <v>55</v>
      </c>
      <c r="F155">
        <v>53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40</v>
      </c>
      <c r="B156">
        <v>7172011004000900</v>
      </c>
      <c r="C156">
        <v>150</v>
      </c>
      <c r="D156">
        <v>28</v>
      </c>
      <c r="E156">
        <v>0</v>
      </c>
      <c r="F156">
        <v>122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40</v>
      </c>
      <c r="B157">
        <v>7172011004000700</v>
      </c>
      <c r="C157">
        <v>140</v>
      </c>
      <c r="D157">
        <v>135</v>
      </c>
      <c r="E157">
        <v>2</v>
      </c>
      <c r="F157">
        <v>1</v>
      </c>
      <c r="G157">
        <v>0</v>
      </c>
      <c r="H157">
        <v>1</v>
      </c>
      <c r="I157">
        <v>1</v>
      </c>
      <c r="J157">
        <v>0</v>
      </c>
    </row>
    <row r="158" spans="1:10" x14ac:dyDescent="0.25">
      <c r="A158" t="s">
        <v>40</v>
      </c>
      <c r="B158">
        <v>7172011004001000</v>
      </c>
      <c r="C158">
        <v>100</v>
      </c>
      <c r="D158">
        <v>27</v>
      </c>
      <c r="E158">
        <v>0</v>
      </c>
      <c r="F158">
        <v>73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40</v>
      </c>
      <c r="B159">
        <v>7172011004001100</v>
      </c>
      <c r="C159">
        <v>59</v>
      </c>
      <c r="D159">
        <v>0</v>
      </c>
      <c r="E159">
        <v>0</v>
      </c>
      <c r="F159">
        <v>59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7172011011001600</v>
      </c>
      <c r="C160">
        <v>223</v>
      </c>
      <c r="D160">
        <v>73</v>
      </c>
      <c r="E160">
        <v>19</v>
      </c>
      <c r="F160">
        <v>131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43</v>
      </c>
      <c r="B161">
        <v>7172011011001500</v>
      </c>
      <c r="C161">
        <v>91</v>
      </c>
      <c r="D161">
        <v>3</v>
      </c>
      <c r="E161">
        <v>2</v>
      </c>
      <c r="F161">
        <v>86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7172011011000600</v>
      </c>
      <c r="C162">
        <v>70</v>
      </c>
      <c r="D162">
        <v>57</v>
      </c>
      <c r="E162">
        <v>0</v>
      </c>
      <c r="F162">
        <v>13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43</v>
      </c>
      <c r="B163">
        <v>7172011011000900</v>
      </c>
      <c r="C163">
        <v>64</v>
      </c>
      <c r="D163">
        <v>51</v>
      </c>
      <c r="E163">
        <v>2</v>
      </c>
      <c r="F163">
        <v>10</v>
      </c>
      <c r="G163">
        <v>1</v>
      </c>
      <c r="H163">
        <v>0</v>
      </c>
      <c r="I163">
        <v>0</v>
      </c>
      <c r="J163">
        <v>0</v>
      </c>
    </row>
    <row r="164" spans="1:10" x14ac:dyDescent="0.25">
      <c r="A164" t="s">
        <v>43</v>
      </c>
      <c r="B164">
        <v>7172011011000800</v>
      </c>
      <c r="C164">
        <v>60</v>
      </c>
      <c r="D164">
        <v>38</v>
      </c>
      <c r="E164">
        <v>0</v>
      </c>
      <c r="F164">
        <v>22</v>
      </c>
      <c r="G164">
        <v>0</v>
      </c>
      <c r="H164">
        <v>0</v>
      </c>
      <c r="I164">
        <v>0</v>
      </c>
      <c r="J164">
        <v>0</v>
      </c>
    </row>
    <row r="165" spans="1:10" x14ac:dyDescent="0.25">
      <c r="A165" t="s">
        <v>43</v>
      </c>
      <c r="B165">
        <v>7172011011001400</v>
      </c>
      <c r="C165">
        <v>55</v>
      </c>
      <c r="D165">
        <v>22</v>
      </c>
      <c r="E165">
        <v>1</v>
      </c>
      <c r="F165">
        <v>32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43</v>
      </c>
      <c r="B166">
        <v>7172011011001100</v>
      </c>
      <c r="C166">
        <v>53</v>
      </c>
      <c r="D166">
        <v>19</v>
      </c>
      <c r="E166">
        <v>4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43</v>
      </c>
      <c r="B167">
        <v>7172011011001300</v>
      </c>
      <c r="C167">
        <v>48</v>
      </c>
      <c r="D167">
        <v>9</v>
      </c>
      <c r="E167">
        <v>1</v>
      </c>
      <c r="F167">
        <v>38</v>
      </c>
      <c r="G167">
        <v>0</v>
      </c>
      <c r="H167">
        <v>0</v>
      </c>
      <c r="I167">
        <v>0</v>
      </c>
      <c r="J167">
        <v>0</v>
      </c>
    </row>
    <row r="168" spans="1:10" x14ac:dyDescent="0.25">
      <c r="A168" t="s">
        <v>43</v>
      </c>
      <c r="B168">
        <v>7172011011001200</v>
      </c>
      <c r="C168">
        <v>43</v>
      </c>
      <c r="D168">
        <v>15</v>
      </c>
      <c r="E168">
        <v>0</v>
      </c>
      <c r="F168">
        <v>28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43</v>
      </c>
      <c r="B169">
        <v>7172011011001000</v>
      </c>
      <c r="C169">
        <v>37</v>
      </c>
      <c r="D169">
        <v>20</v>
      </c>
      <c r="E169">
        <v>0</v>
      </c>
      <c r="F169">
        <v>17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43</v>
      </c>
      <c r="B170">
        <v>7172011011000700</v>
      </c>
      <c r="C170">
        <v>29</v>
      </c>
      <c r="D170">
        <v>22</v>
      </c>
      <c r="E170">
        <v>3</v>
      </c>
      <c r="F170">
        <v>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</row>
    <row r="173" spans="1:10" x14ac:dyDescent="0.25">
      <c r="A173" t="s">
        <v>34</v>
      </c>
      <c r="B173">
        <v>7172011003000900</v>
      </c>
      <c r="C173">
        <v>144</v>
      </c>
      <c r="D173">
        <v>0</v>
      </c>
      <c r="E173">
        <v>0</v>
      </c>
      <c r="F173">
        <v>144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34</v>
      </c>
      <c r="B174">
        <v>7172011003001200</v>
      </c>
      <c r="C174">
        <v>122</v>
      </c>
      <c r="D174">
        <v>47</v>
      </c>
      <c r="E174">
        <v>11</v>
      </c>
      <c r="F174">
        <v>56</v>
      </c>
      <c r="G174">
        <v>0</v>
      </c>
      <c r="H174">
        <v>0</v>
      </c>
      <c r="I174">
        <v>8</v>
      </c>
      <c r="J174">
        <v>0</v>
      </c>
    </row>
    <row r="175" spans="1:10" x14ac:dyDescent="0.25">
      <c r="A175" t="s">
        <v>34</v>
      </c>
      <c r="B175">
        <v>7172011003001400</v>
      </c>
      <c r="C175">
        <v>121</v>
      </c>
      <c r="D175">
        <v>66</v>
      </c>
      <c r="E175">
        <v>4</v>
      </c>
      <c r="F175">
        <v>51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34</v>
      </c>
      <c r="B176">
        <v>7172011003001600</v>
      </c>
      <c r="C176">
        <v>121</v>
      </c>
      <c r="D176">
        <v>106</v>
      </c>
      <c r="E176">
        <v>1</v>
      </c>
      <c r="F176">
        <v>13</v>
      </c>
      <c r="G176">
        <v>0</v>
      </c>
      <c r="H176">
        <v>1</v>
      </c>
      <c r="I176">
        <v>0</v>
      </c>
      <c r="J176">
        <v>0</v>
      </c>
    </row>
    <row r="177" spans="1:10" x14ac:dyDescent="0.25">
      <c r="A177" t="s">
        <v>34</v>
      </c>
      <c r="B177">
        <v>7172011003001500</v>
      </c>
      <c r="C177">
        <v>113</v>
      </c>
      <c r="D177">
        <v>92</v>
      </c>
      <c r="E177">
        <v>8</v>
      </c>
      <c r="F177">
        <v>11</v>
      </c>
      <c r="G177">
        <v>2</v>
      </c>
      <c r="H177">
        <v>0</v>
      </c>
      <c r="I177">
        <v>0</v>
      </c>
      <c r="J177">
        <v>0</v>
      </c>
    </row>
    <row r="178" spans="1:10" x14ac:dyDescent="0.25">
      <c r="A178" t="s">
        <v>34</v>
      </c>
      <c r="B178">
        <v>7172011014000800</v>
      </c>
      <c r="C178">
        <v>67</v>
      </c>
      <c r="D178">
        <v>0</v>
      </c>
      <c r="E178">
        <v>0</v>
      </c>
      <c r="F178">
        <v>67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47</v>
      </c>
      <c r="B179">
        <v>7172011014000600</v>
      </c>
      <c r="C179">
        <v>189</v>
      </c>
      <c r="D179">
        <v>120</v>
      </c>
      <c r="E179">
        <v>0</v>
      </c>
      <c r="F179">
        <v>2</v>
      </c>
      <c r="G179">
        <v>16</v>
      </c>
      <c r="H179">
        <v>0</v>
      </c>
      <c r="I179">
        <v>51</v>
      </c>
      <c r="J179">
        <v>0</v>
      </c>
    </row>
    <row r="180" spans="1:10" x14ac:dyDescent="0.25">
      <c r="A180" t="s">
        <v>47</v>
      </c>
      <c r="B180">
        <v>7172011014000300</v>
      </c>
      <c r="C180">
        <v>169</v>
      </c>
      <c r="D180">
        <v>0</v>
      </c>
      <c r="E180">
        <v>0</v>
      </c>
      <c r="F180">
        <v>161</v>
      </c>
      <c r="G180">
        <v>0</v>
      </c>
      <c r="H180">
        <v>0</v>
      </c>
      <c r="I180">
        <v>7</v>
      </c>
      <c r="J180">
        <v>1</v>
      </c>
    </row>
    <row r="181" spans="1:10" x14ac:dyDescent="0.25">
      <c r="A181" t="s">
        <v>47</v>
      </c>
      <c r="B181">
        <v>7172011014000200</v>
      </c>
      <c r="C181">
        <v>148</v>
      </c>
      <c r="D181">
        <v>129</v>
      </c>
      <c r="E181">
        <v>5</v>
      </c>
      <c r="F181">
        <v>13</v>
      </c>
      <c r="G181">
        <v>0</v>
      </c>
      <c r="H181">
        <v>0</v>
      </c>
      <c r="I181">
        <v>1</v>
      </c>
      <c r="J181">
        <v>0</v>
      </c>
    </row>
    <row r="182" spans="1:10" x14ac:dyDescent="0.25">
      <c r="A182" t="s">
        <v>47</v>
      </c>
      <c r="B182">
        <v>7172011014000100</v>
      </c>
      <c r="C182">
        <v>109</v>
      </c>
      <c r="D182">
        <v>0</v>
      </c>
      <c r="E182">
        <v>0</v>
      </c>
      <c r="F182">
        <v>109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47</v>
      </c>
      <c r="B183">
        <v>7172011014000400</v>
      </c>
      <c r="C183">
        <v>76</v>
      </c>
      <c r="D183">
        <v>0</v>
      </c>
      <c r="E183">
        <v>0</v>
      </c>
      <c r="F183">
        <v>76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53</v>
      </c>
      <c r="B184">
        <v>7172012002000200</v>
      </c>
      <c r="C184">
        <v>186</v>
      </c>
      <c r="D184">
        <v>174</v>
      </c>
      <c r="E184">
        <v>5</v>
      </c>
      <c r="F184">
        <v>5</v>
      </c>
      <c r="G184">
        <v>2</v>
      </c>
      <c r="H184">
        <v>0</v>
      </c>
      <c r="I184">
        <v>0</v>
      </c>
      <c r="J184">
        <v>0</v>
      </c>
    </row>
    <row r="185" spans="1:10" x14ac:dyDescent="0.25">
      <c r="A185" t="s">
        <v>53</v>
      </c>
      <c r="B185">
        <v>7172012002000900</v>
      </c>
      <c r="C185">
        <v>144</v>
      </c>
      <c r="D185">
        <v>94</v>
      </c>
      <c r="E185">
        <v>12</v>
      </c>
      <c r="F185">
        <v>20</v>
      </c>
      <c r="G185">
        <v>0</v>
      </c>
      <c r="H185">
        <v>0</v>
      </c>
      <c r="I185">
        <v>18</v>
      </c>
      <c r="J185">
        <v>0</v>
      </c>
    </row>
    <row r="186" spans="1:10" x14ac:dyDescent="0.25">
      <c r="A186" t="s">
        <v>53</v>
      </c>
      <c r="B186">
        <v>7172012002001000</v>
      </c>
      <c r="C186">
        <v>111</v>
      </c>
      <c r="D186">
        <v>0</v>
      </c>
      <c r="E186">
        <v>1</v>
      </c>
      <c r="F186">
        <v>110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53</v>
      </c>
      <c r="B187">
        <v>7172012002001600</v>
      </c>
      <c r="C187">
        <v>102</v>
      </c>
      <c r="D187">
        <v>0</v>
      </c>
      <c r="E187">
        <v>0</v>
      </c>
      <c r="F187">
        <v>94</v>
      </c>
      <c r="G187">
        <v>0</v>
      </c>
      <c r="H187">
        <v>0</v>
      </c>
      <c r="I187">
        <v>8</v>
      </c>
      <c r="J187">
        <v>0</v>
      </c>
    </row>
    <row r="188" spans="1:10" x14ac:dyDescent="0.25">
      <c r="A188" t="s">
        <v>53</v>
      </c>
      <c r="B188">
        <v>7172012002001100</v>
      </c>
      <c r="C188">
        <v>80</v>
      </c>
      <c r="D188">
        <v>0</v>
      </c>
      <c r="E188">
        <v>0</v>
      </c>
      <c r="F188">
        <v>80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48</v>
      </c>
      <c r="B189">
        <v>7172011014001200</v>
      </c>
      <c r="C189">
        <v>236</v>
      </c>
      <c r="D189">
        <v>194</v>
      </c>
      <c r="E189">
        <v>12</v>
      </c>
      <c r="F189">
        <v>23</v>
      </c>
      <c r="G189">
        <v>3</v>
      </c>
      <c r="H189">
        <v>3</v>
      </c>
      <c r="I189">
        <v>1</v>
      </c>
      <c r="J189">
        <v>0</v>
      </c>
    </row>
    <row r="190" spans="1:10" x14ac:dyDescent="0.25">
      <c r="A190" t="s">
        <v>48</v>
      </c>
      <c r="B190">
        <v>7172011014001100</v>
      </c>
      <c r="C190">
        <v>202</v>
      </c>
      <c r="D190">
        <v>141</v>
      </c>
      <c r="E190">
        <v>12</v>
      </c>
      <c r="F190">
        <v>46</v>
      </c>
      <c r="G190">
        <v>0</v>
      </c>
      <c r="H190">
        <v>0</v>
      </c>
      <c r="I190">
        <v>3</v>
      </c>
      <c r="J190">
        <v>0</v>
      </c>
    </row>
    <row r="191" spans="1:10" x14ac:dyDescent="0.25">
      <c r="A191" t="s">
        <v>48</v>
      </c>
      <c r="B191">
        <v>7172011014000700</v>
      </c>
      <c r="C191">
        <v>126</v>
      </c>
      <c r="D191">
        <v>16</v>
      </c>
      <c r="E191">
        <v>3</v>
      </c>
      <c r="F191">
        <v>106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48</v>
      </c>
      <c r="B192">
        <v>7172011014000900</v>
      </c>
      <c r="C192">
        <v>83</v>
      </c>
      <c r="D192">
        <v>0</v>
      </c>
      <c r="E192">
        <v>1</v>
      </c>
      <c r="F192">
        <v>80</v>
      </c>
      <c r="G192">
        <v>0</v>
      </c>
      <c r="H192">
        <v>0</v>
      </c>
      <c r="I192">
        <v>2</v>
      </c>
      <c r="J192">
        <v>0</v>
      </c>
    </row>
    <row r="193" spans="1:10" x14ac:dyDescent="0.25">
      <c r="A193" t="s">
        <v>48</v>
      </c>
      <c r="B193">
        <v>7172011014000500</v>
      </c>
      <c r="C193">
        <v>79</v>
      </c>
      <c r="D193">
        <v>23</v>
      </c>
      <c r="E193">
        <v>2</v>
      </c>
      <c r="F193">
        <v>42</v>
      </c>
      <c r="G193">
        <v>0</v>
      </c>
      <c r="H193">
        <v>0</v>
      </c>
      <c r="I193">
        <v>12</v>
      </c>
      <c r="J193">
        <v>0</v>
      </c>
    </row>
    <row r="194" spans="1:10" x14ac:dyDescent="0.25">
      <c r="A194" t="s">
        <v>48</v>
      </c>
      <c r="B194">
        <v>7172011014001000</v>
      </c>
      <c r="C194">
        <v>62</v>
      </c>
      <c r="D194">
        <v>0</v>
      </c>
      <c r="E194">
        <v>0</v>
      </c>
      <c r="F194">
        <v>62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32</v>
      </c>
      <c r="B195">
        <v>7172011003000300</v>
      </c>
      <c r="C195">
        <v>208</v>
      </c>
      <c r="D195">
        <v>178</v>
      </c>
      <c r="E195">
        <v>0</v>
      </c>
      <c r="F195">
        <v>30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32</v>
      </c>
      <c r="B196">
        <v>7172011003000600</v>
      </c>
      <c r="C196">
        <v>208</v>
      </c>
      <c r="D196">
        <v>85</v>
      </c>
      <c r="E196">
        <v>1</v>
      </c>
      <c r="F196">
        <v>111</v>
      </c>
      <c r="G196">
        <v>0</v>
      </c>
      <c r="H196">
        <v>0</v>
      </c>
      <c r="I196">
        <v>11</v>
      </c>
      <c r="J196">
        <v>0</v>
      </c>
    </row>
    <row r="197" spans="1:10" x14ac:dyDescent="0.25">
      <c r="A197" t="s">
        <v>32</v>
      </c>
      <c r="B197">
        <v>7172011003000500</v>
      </c>
      <c r="C197">
        <v>128</v>
      </c>
      <c r="D197">
        <v>0</v>
      </c>
      <c r="E197">
        <v>0</v>
      </c>
      <c r="F197">
        <v>124</v>
      </c>
      <c r="G197">
        <v>0</v>
      </c>
      <c r="H197">
        <v>0</v>
      </c>
      <c r="I197">
        <v>4</v>
      </c>
      <c r="J197">
        <v>0</v>
      </c>
    </row>
    <row r="198" spans="1:10" x14ac:dyDescent="0.25">
      <c r="A198" t="s">
        <v>32</v>
      </c>
      <c r="B198">
        <v>7172011003001001</v>
      </c>
      <c r="C198">
        <v>103</v>
      </c>
      <c r="D198">
        <v>0</v>
      </c>
      <c r="E198">
        <v>0</v>
      </c>
      <c r="F198">
        <v>103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52</v>
      </c>
      <c r="B199">
        <v>7172012001000700</v>
      </c>
      <c r="C199">
        <v>301</v>
      </c>
      <c r="D199">
        <v>200</v>
      </c>
      <c r="E199">
        <v>6</v>
      </c>
      <c r="F199">
        <v>89</v>
      </c>
      <c r="G199">
        <v>2</v>
      </c>
      <c r="H199">
        <v>0</v>
      </c>
      <c r="I199">
        <v>4</v>
      </c>
      <c r="J199">
        <v>0</v>
      </c>
    </row>
    <row r="200" spans="1:10" x14ac:dyDescent="0.25">
      <c r="A200" t="s">
        <v>52</v>
      </c>
      <c r="B200">
        <v>7172012001000602</v>
      </c>
      <c r="C200">
        <v>240</v>
      </c>
      <c r="D200">
        <v>82</v>
      </c>
      <c r="E200">
        <v>2</v>
      </c>
      <c r="F200">
        <v>139</v>
      </c>
      <c r="G200">
        <v>0</v>
      </c>
      <c r="H200">
        <v>0</v>
      </c>
      <c r="I200">
        <v>17</v>
      </c>
      <c r="J200">
        <v>0</v>
      </c>
    </row>
    <row r="201" spans="1:10" x14ac:dyDescent="0.25">
      <c r="A201" t="s">
        <v>49</v>
      </c>
      <c r="B201">
        <v>7172012002000101</v>
      </c>
      <c r="C201">
        <v>157</v>
      </c>
      <c r="D201">
        <v>62</v>
      </c>
      <c r="E201">
        <v>5</v>
      </c>
      <c r="F201">
        <v>41</v>
      </c>
      <c r="G201">
        <v>7</v>
      </c>
      <c r="H201">
        <v>0</v>
      </c>
      <c r="I201">
        <v>42</v>
      </c>
      <c r="J201">
        <v>0</v>
      </c>
    </row>
    <row r="202" spans="1:10" x14ac:dyDescent="0.25">
      <c r="A202" t="s">
        <v>49</v>
      </c>
      <c r="B202">
        <v>7172012002000500</v>
      </c>
      <c r="C202">
        <v>134</v>
      </c>
      <c r="D202">
        <v>20</v>
      </c>
      <c r="E202">
        <v>0</v>
      </c>
      <c r="F202">
        <v>102</v>
      </c>
      <c r="G202">
        <v>0</v>
      </c>
      <c r="H202">
        <v>0</v>
      </c>
      <c r="I202">
        <v>12</v>
      </c>
      <c r="J202">
        <v>0</v>
      </c>
    </row>
    <row r="203" spans="1:10" x14ac:dyDescent="0.25">
      <c r="A203" t="s">
        <v>49</v>
      </c>
      <c r="B203">
        <v>7172012001000100</v>
      </c>
      <c r="C203">
        <v>125</v>
      </c>
      <c r="D203">
        <v>118</v>
      </c>
      <c r="E203">
        <v>0</v>
      </c>
      <c r="F203">
        <v>0</v>
      </c>
      <c r="G203">
        <v>7</v>
      </c>
      <c r="H203">
        <v>0</v>
      </c>
      <c r="I203">
        <v>0</v>
      </c>
      <c r="J203">
        <v>0</v>
      </c>
    </row>
    <row r="204" spans="1:10" x14ac:dyDescent="0.25">
      <c r="A204" t="s">
        <v>49</v>
      </c>
      <c r="B204">
        <v>7172012001001100</v>
      </c>
      <c r="C204">
        <v>94</v>
      </c>
      <c r="D204">
        <v>15</v>
      </c>
      <c r="E204">
        <v>5</v>
      </c>
      <c r="F204">
        <v>74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49</v>
      </c>
      <c r="B205">
        <v>7172012001001002</v>
      </c>
      <c r="C205">
        <v>81</v>
      </c>
      <c r="D205">
        <v>0</v>
      </c>
      <c r="E205">
        <v>0</v>
      </c>
      <c r="F205">
        <v>81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49</v>
      </c>
      <c r="B206">
        <v>7172012002000102</v>
      </c>
      <c r="C206">
        <v>74</v>
      </c>
      <c r="D206">
        <v>0</v>
      </c>
      <c r="E206">
        <v>0</v>
      </c>
      <c r="F206">
        <v>74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57</v>
      </c>
      <c r="B207">
        <v>7172012003000800</v>
      </c>
      <c r="C207">
        <v>152</v>
      </c>
      <c r="D207">
        <v>19</v>
      </c>
      <c r="E207">
        <v>11</v>
      </c>
      <c r="F207">
        <v>74</v>
      </c>
      <c r="G207">
        <v>0</v>
      </c>
      <c r="H207">
        <v>0</v>
      </c>
      <c r="I207">
        <v>48</v>
      </c>
      <c r="J207">
        <v>0</v>
      </c>
    </row>
    <row r="208" spans="1:10" x14ac:dyDescent="0.25">
      <c r="A208" t="s">
        <v>57</v>
      </c>
      <c r="B208">
        <v>7172012003001100</v>
      </c>
      <c r="C208">
        <v>123</v>
      </c>
      <c r="D208">
        <v>105</v>
      </c>
      <c r="E208">
        <v>0</v>
      </c>
      <c r="F208">
        <v>9</v>
      </c>
      <c r="G208">
        <v>0</v>
      </c>
      <c r="H208">
        <v>0</v>
      </c>
      <c r="I208">
        <v>9</v>
      </c>
      <c r="J208">
        <v>0</v>
      </c>
    </row>
    <row r="209" spans="1:10" x14ac:dyDescent="0.25">
      <c r="A209" t="s">
        <v>57</v>
      </c>
      <c r="B209">
        <v>7172012003000600</v>
      </c>
      <c r="C209">
        <v>90</v>
      </c>
      <c r="D209">
        <v>68</v>
      </c>
      <c r="E209">
        <v>1</v>
      </c>
      <c r="F209">
        <v>15</v>
      </c>
      <c r="G209">
        <v>0</v>
      </c>
      <c r="H209">
        <v>0</v>
      </c>
      <c r="I209">
        <v>6</v>
      </c>
      <c r="J209">
        <v>0</v>
      </c>
    </row>
    <row r="210" spans="1:10" x14ac:dyDescent="0.25">
      <c r="A210" t="s">
        <v>57</v>
      </c>
      <c r="B210">
        <v>7172012003001200</v>
      </c>
      <c r="C210">
        <v>84</v>
      </c>
      <c r="D210">
        <v>6</v>
      </c>
      <c r="E210">
        <v>0</v>
      </c>
      <c r="F210">
        <v>78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57</v>
      </c>
      <c r="B211">
        <v>7172012003001000</v>
      </c>
      <c r="C211">
        <v>64</v>
      </c>
      <c r="D211">
        <v>1</v>
      </c>
      <c r="E211">
        <v>0</v>
      </c>
      <c r="F211">
        <v>63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57</v>
      </c>
      <c r="B212">
        <v>7172012003000500</v>
      </c>
      <c r="C212">
        <v>62</v>
      </c>
      <c r="D212">
        <v>24</v>
      </c>
      <c r="E212">
        <v>1</v>
      </c>
      <c r="F212">
        <v>31</v>
      </c>
      <c r="G212">
        <v>0</v>
      </c>
      <c r="H212">
        <v>0</v>
      </c>
      <c r="I212">
        <v>6</v>
      </c>
      <c r="J212">
        <v>0</v>
      </c>
    </row>
    <row r="213" spans="1:10" x14ac:dyDescent="0.25">
      <c r="A213" t="s">
        <v>57</v>
      </c>
      <c r="B213">
        <v>7172012003000900</v>
      </c>
      <c r="C213">
        <v>60</v>
      </c>
      <c r="D213">
        <v>0</v>
      </c>
      <c r="E213">
        <v>0</v>
      </c>
      <c r="F213">
        <v>60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57</v>
      </c>
      <c r="B214">
        <v>7172012003000100</v>
      </c>
      <c r="C214">
        <v>57</v>
      </c>
      <c r="D214">
        <v>49</v>
      </c>
      <c r="E214">
        <v>4</v>
      </c>
      <c r="F214">
        <v>0</v>
      </c>
      <c r="G214">
        <v>0</v>
      </c>
      <c r="H214">
        <v>0</v>
      </c>
      <c r="I214">
        <v>4</v>
      </c>
      <c r="J214">
        <v>0</v>
      </c>
    </row>
    <row r="215" spans="1:10" x14ac:dyDescent="0.25">
      <c r="A215" t="s">
        <v>238</v>
      </c>
      <c r="B215">
        <v>7172012004000500</v>
      </c>
      <c r="C215">
        <v>170</v>
      </c>
      <c r="D215">
        <v>91</v>
      </c>
      <c r="E215">
        <v>0</v>
      </c>
      <c r="F215">
        <v>14</v>
      </c>
      <c r="G215">
        <v>1</v>
      </c>
      <c r="H215">
        <v>0</v>
      </c>
      <c r="I215">
        <v>64</v>
      </c>
      <c r="J215">
        <v>0</v>
      </c>
    </row>
    <row r="216" spans="1:10" x14ac:dyDescent="0.25">
      <c r="A216" t="s">
        <v>238</v>
      </c>
      <c r="B216">
        <v>7172012004000600</v>
      </c>
      <c r="C216">
        <v>156</v>
      </c>
      <c r="D216">
        <v>44</v>
      </c>
      <c r="E216">
        <v>9</v>
      </c>
      <c r="F216">
        <v>57</v>
      </c>
      <c r="G216">
        <v>0</v>
      </c>
      <c r="H216">
        <v>0</v>
      </c>
      <c r="I216">
        <v>46</v>
      </c>
      <c r="J216">
        <v>0</v>
      </c>
    </row>
    <row r="217" spans="1:10" x14ac:dyDescent="0.25">
      <c r="A217" t="s">
        <v>238</v>
      </c>
      <c r="B217">
        <v>7172012004000700</v>
      </c>
      <c r="C217">
        <v>113</v>
      </c>
      <c r="D217">
        <v>71</v>
      </c>
      <c r="E217">
        <v>1</v>
      </c>
      <c r="F217">
        <v>20</v>
      </c>
      <c r="G217">
        <v>0</v>
      </c>
      <c r="H217">
        <v>0</v>
      </c>
      <c r="I217">
        <v>21</v>
      </c>
      <c r="J217">
        <v>0</v>
      </c>
    </row>
    <row r="218" spans="1:10" x14ac:dyDescent="0.25">
      <c r="A218" t="s">
        <v>238</v>
      </c>
      <c r="B218">
        <v>7172012004001001</v>
      </c>
      <c r="C218">
        <v>92</v>
      </c>
      <c r="D218">
        <v>0</v>
      </c>
      <c r="E218">
        <v>2</v>
      </c>
      <c r="F218">
        <v>90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238</v>
      </c>
      <c r="B219">
        <v>7172012004000400</v>
      </c>
      <c r="C219">
        <v>81</v>
      </c>
      <c r="D219">
        <v>0</v>
      </c>
      <c r="E219">
        <v>0</v>
      </c>
      <c r="F219">
        <v>81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238</v>
      </c>
      <c r="B220">
        <v>7172012004000800</v>
      </c>
      <c r="C220">
        <v>78</v>
      </c>
      <c r="D220">
        <v>54</v>
      </c>
      <c r="E220">
        <v>0</v>
      </c>
      <c r="F220">
        <v>7</v>
      </c>
      <c r="G220">
        <v>0</v>
      </c>
      <c r="H220">
        <v>0</v>
      </c>
      <c r="I220">
        <v>17</v>
      </c>
      <c r="J220">
        <v>0</v>
      </c>
    </row>
    <row r="221" spans="1:10" x14ac:dyDescent="0.25">
      <c r="A221" t="s">
        <v>61</v>
      </c>
      <c r="B221">
        <v>7172012004001201</v>
      </c>
      <c r="C221">
        <v>240</v>
      </c>
      <c r="D221">
        <v>20</v>
      </c>
      <c r="E221">
        <v>4</v>
      </c>
      <c r="F221">
        <v>213</v>
      </c>
      <c r="G221">
        <v>0</v>
      </c>
      <c r="H221">
        <v>0</v>
      </c>
      <c r="I221">
        <v>3</v>
      </c>
      <c r="J221">
        <v>0</v>
      </c>
    </row>
    <row r="222" spans="1:10" x14ac:dyDescent="0.25">
      <c r="A222" t="s">
        <v>61</v>
      </c>
      <c r="B222">
        <v>7172012004001100</v>
      </c>
      <c r="C222">
        <v>180</v>
      </c>
      <c r="D222">
        <v>138</v>
      </c>
      <c r="E222">
        <v>0</v>
      </c>
      <c r="F222">
        <v>42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61</v>
      </c>
      <c r="B223">
        <v>7172012004001202</v>
      </c>
      <c r="C223">
        <v>133</v>
      </c>
      <c r="D223">
        <v>59</v>
      </c>
      <c r="E223">
        <v>5</v>
      </c>
      <c r="F223">
        <v>51</v>
      </c>
      <c r="G223">
        <v>0</v>
      </c>
      <c r="H223">
        <v>0</v>
      </c>
      <c r="I223">
        <v>18</v>
      </c>
      <c r="J223">
        <v>0</v>
      </c>
    </row>
    <row r="224" spans="1:10" x14ac:dyDescent="0.25">
      <c r="A224" t="s">
        <v>61</v>
      </c>
      <c r="B224">
        <v>7172012004001003</v>
      </c>
      <c r="C224">
        <v>93</v>
      </c>
      <c r="D224">
        <v>19</v>
      </c>
      <c r="E224">
        <v>0</v>
      </c>
      <c r="F224">
        <v>74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61</v>
      </c>
      <c r="B225">
        <v>7172012004001002</v>
      </c>
      <c r="C225">
        <v>67</v>
      </c>
      <c r="D225">
        <v>49</v>
      </c>
      <c r="E225">
        <v>0</v>
      </c>
      <c r="F225">
        <v>18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68</v>
      </c>
      <c r="B226">
        <v>7172012007001800</v>
      </c>
      <c r="C226">
        <v>136</v>
      </c>
      <c r="D226">
        <v>83</v>
      </c>
      <c r="E226">
        <v>6</v>
      </c>
      <c r="F226">
        <v>46</v>
      </c>
      <c r="G226">
        <v>1</v>
      </c>
      <c r="H226">
        <v>0</v>
      </c>
      <c r="I226">
        <v>0</v>
      </c>
      <c r="J226">
        <v>0</v>
      </c>
    </row>
    <row r="227" spans="1:10" x14ac:dyDescent="0.25">
      <c r="A227" t="s">
        <v>68</v>
      </c>
      <c r="B227">
        <v>7172012007002000</v>
      </c>
      <c r="C227">
        <v>127</v>
      </c>
      <c r="D227">
        <v>122</v>
      </c>
      <c r="E227">
        <v>2</v>
      </c>
      <c r="F227">
        <v>3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68</v>
      </c>
      <c r="B228">
        <v>7172012007001700</v>
      </c>
      <c r="C228">
        <v>122</v>
      </c>
      <c r="D228">
        <v>5</v>
      </c>
      <c r="E228">
        <v>10</v>
      </c>
      <c r="F228">
        <v>100</v>
      </c>
      <c r="G228">
        <v>0</v>
      </c>
      <c r="H228">
        <v>0</v>
      </c>
      <c r="I228">
        <v>7</v>
      </c>
      <c r="J228">
        <v>0</v>
      </c>
    </row>
    <row r="229" spans="1:10" x14ac:dyDescent="0.25">
      <c r="A229" t="s">
        <v>68</v>
      </c>
      <c r="B229">
        <v>7172012007002100</v>
      </c>
      <c r="C229">
        <v>108</v>
      </c>
      <c r="D229">
        <v>88</v>
      </c>
      <c r="E229">
        <v>4</v>
      </c>
      <c r="F229">
        <v>15</v>
      </c>
      <c r="G229">
        <v>1</v>
      </c>
      <c r="H229">
        <v>0</v>
      </c>
      <c r="I229">
        <v>0</v>
      </c>
      <c r="J229">
        <v>0</v>
      </c>
    </row>
    <row r="230" spans="1:10" x14ac:dyDescent="0.25">
      <c r="A230" t="s">
        <v>68</v>
      </c>
      <c r="B230">
        <v>7172012006000100</v>
      </c>
      <c r="C230">
        <v>92</v>
      </c>
      <c r="D230">
        <v>0</v>
      </c>
      <c r="E230">
        <v>0</v>
      </c>
      <c r="F230">
        <v>92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68</v>
      </c>
      <c r="B231">
        <v>7172012006000400</v>
      </c>
      <c r="C231">
        <v>56</v>
      </c>
      <c r="D231">
        <v>0</v>
      </c>
      <c r="E231">
        <v>0</v>
      </c>
      <c r="F231">
        <v>56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68</v>
      </c>
      <c r="B232">
        <v>7172012006000300</v>
      </c>
      <c r="C232">
        <v>47</v>
      </c>
      <c r="D232">
        <v>0</v>
      </c>
      <c r="E232">
        <v>0</v>
      </c>
      <c r="F232">
        <v>47</v>
      </c>
      <c r="G232">
        <v>0</v>
      </c>
      <c r="H232">
        <v>0</v>
      </c>
      <c r="I232">
        <v>0</v>
      </c>
      <c r="J232">
        <v>0</v>
      </c>
    </row>
    <row r="233" spans="1:10" x14ac:dyDescent="0.25">
      <c r="A233" t="s">
        <v>68</v>
      </c>
      <c r="B233">
        <v>7172012006000200</v>
      </c>
      <c r="C233">
        <v>39</v>
      </c>
      <c r="D233">
        <v>0</v>
      </c>
      <c r="E233">
        <v>0</v>
      </c>
      <c r="F233">
        <v>39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66</v>
      </c>
      <c r="B234">
        <v>7172012007000100</v>
      </c>
      <c r="C234">
        <v>136</v>
      </c>
      <c r="D234">
        <v>0</v>
      </c>
      <c r="E234">
        <v>0</v>
      </c>
      <c r="F234">
        <v>136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66</v>
      </c>
      <c r="B235">
        <v>7172012005001900</v>
      </c>
      <c r="C235">
        <v>90</v>
      </c>
      <c r="D235">
        <v>0</v>
      </c>
      <c r="E235">
        <v>0</v>
      </c>
      <c r="F235">
        <v>90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66</v>
      </c>
      <c r="B236">
        <v>7172012005000400</v>
      </c>
      <c r="C236">
        <v>62</v>
      </c>
      <c r="D236">
        <v>50</v>
      </c>
      <c r="E236">
        <v>2</v>
      </c>
      <c r="F236">
        <v>9</v>
      </c>
      <c r="G236">
        <v>0</v>
      </c>
      <c r="H236">
        <v>1</v>
      </c>
      <c r="I236">
        <v>0</v>
      </c>
      <c r="J236">
        <v>0</v>
      </c>
    </row>
    <row r="237" spans="1:10" x14ac:dyDescent="0.25">
      <c r="A237" t="s">
        <v>66</v>
      </c>
      <c r="B237">
        <v>7172012005000600</v>
      </c>
      <c r="C237">
        <v>59</v>
      </c>
      <c r="D237">
        <v>54</v>
      </c>
      <c r="E237">
        <v>1</v>
      </c>
      <c r="F237">
        <v>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66</v>
      </c>
      <c r="B238">
        <v>7172012005000500</v>
      </c>
      <c r="C238">
        <v>56</v>
      </c>
      <c r="D238">
        <v>51</v>
      </c>
      <c r="E238">
        <v>0</v>
      </c>
      <c r="F238">
        <v>5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66</v>
      </c>
      <c r="B239">
        <v>7172012005002400</v>
      </c>
      <c r="C239">
        <v>52</v>
      </c>
      <c r="D239">
        <v>36</v>
      </c>
      <c r="E239">
        <v>2</v>
      </c>
      <c r="F239">
        <v>12</v>
      </c>
      <c r="G239">
        <v>0</v>
      </c>
      <c r="H239">
        <v>0</v>
      </c>
      <c r="I239">
        <v>2</v>
      </c>
      <c r="J239">
        <v>0</v>
      </c>
    </row>
    <row r="240" spans="1:10" x14ac:dyDescent="0.25">
      <c r="A240" t="s">
        <v>66</v>
      </c>
      <c r="B240">
        <v>7172012005002200</v>
      </c>
      <c r="C240">
        <v>47</v>
      </c>
      <c r="D240">
        <v>20</v>
      </c>
      <c r="E240">
        <v>0</v>
      </c>
      <c r="F240">
        <v>24</v>
      </c>
      <c r="G240">
        <v>0</v>
      </c>
      <c r="H240">
        <v>0</v>
      </c>
      <c r="I240">
        <v>3</v>
      </c>
      <c r="J240">
        <v>0</v>
      </c>
    </row>
    <row r="241" spans="1:10" x14ac:dyDescent="0.25">
      <c r="A241" t="s">
        <v>66</v>
      </c>
      <c r="B241">
        <v>7172012005002300</v>
      </c>
      <c r="C241">
        <v>46</v>
      </c>
      <c r="D241">
        <v>0</v>
      </c>
      <c r="E241">
        <v>11</v>
      </c>
      <c r="F241">
        <v>34</v>
      </c>
      <c r="G241">
        <v>0</v>
      </c>
      <c r="H241">
        <v>0</v>
      </c>
      <c r="I241">
        <v>1</v>
      </c>
      <c r="J241">
        <v>0</v>
      </c>
    </row>
    <row r="242" spans="1:10" x14ac:dyDescent="0.25">
      <c r="A242" t="s">
        <v>66</v>
      </c>
      <c r="B242">
        <v>7172012005000300</v>
      </c>
      <c r="C242">
        <v>42</v>
      </c>
      <c r="D242">
        <v>40</v>
      </c>
      <c r="E242">
        <v>0</v>
      </c>
      <c r="F242">
        <v>2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66</v>
      </c>
      <c r="B243">
        <v>7172012005002100</v>
      </c>
      <c r="C243">
        <v>36</v>
      </c>
      <c r="D243">
        <v>19</v>
      </c>
      <c r="E243">
        <v>4</v>
      </c>
      <c r="F243">
        <v>8</v>
      </c>
      <c r="G243">
        <v>0</v>
      </c>
      <c r="H243">
        <v>0</v>
      </c>
      <c r="I243">
        <v>5</v>
      </c>
      <c r="J243">
        <v>0</v>
      </c>
    </row>
    <row r="244" spans="1:10" x14ac:dyDescent="0.25">
      <c r="A244" t="s">
        <v>66</v>
      </c>
      <c r="B244">
        <v>7172012005002000</v>
      </c>
      <c r="C244">
        <v>28</v>
      </c>
      <c r="D244">
        <v>5</v>
      </c>
      <c r="E244">
        <v>2</v>
      </c>
      <c r="F244">
        <v>15</v>
      </c>
      <c r="G244">
        <v>0</v>
      </c>
      <c r="H244">
        <v>0</v>
      </c>
      <c r="I244">
        <v>6</v>
      </c>
      <c r="J244">
        <v>0</v>
      </c>
    </row>
    <row r="245" spans="1:10" x14ac:dyDescent="0.25">
      <c r="A245" t="s">
        <v>69</v>
      </c>
      <c r="B245">
        <v>7172012006000801</v>
      </c>
      <c r="C245">
        <v>156</v>
      </c>
      <c r="D245">
        <v>94</v>
      </c>
      <c r="E245">
        <v>4</v>
      </c>
      <c r="F245">
        <v>58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69</v>
      </c>
      <c r="B246">
        <v>7172012006000700</v>
      </c>
      <c r="C246">
        <v>135</v>
      </c>
      <c r="D246">
        <v>0</v>
      </c>
      <c r="E246">
        <v>0</v>
      </c>
      <c r="F246">
        <v>135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69</v>
      </c>
      <c r="B247">
        <v>7172012006000901</v>
      </c>
      <c r="C247">
        <v>130</v>
      </c>
      <c r="D247">
        <v>0</v>
      </c>
      <c r="E247">
        <v>0</v>
      </c>
      <c r="F247">
        <v>130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69</v>
      </c>
      <c r="B248">
        <v>7172012006000802</v>
      </c>
      <c r="C248">
        <v>122</v>
      </c>
      <c r="D248">
        <v>115</v>
      </c>
      <c r="E248">
        <v>5</v>
      </c>
      <c r="F248">
        <v>0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t="s">
        <v>69</v>
      </c>
      <c r="B249">
        <v>7172012006000600</v>
      </c>
      <c r="C249">
        <v>97</v>
      </c>
      <c r="D249">
        <v>0</v>
      </c>
      <c r="E249">
        <v>20</v>
      </c>
      <c r="F249">
        <v>60</v>
      </c>
      <c r="G249">
        <v>0</v>
      </c>
      <c r="H249">
        <v>0</v>
      </c>
      <c r="I249">
        <v>17</v>
      </c>
      <c r="J249">
        <v>0</v>
      </c>
    </row>
    <row r="250" spans="1:10" x14ac:dyDescent="0.25">
      <c r="A250" t="s">
        <v>69</v>
      </c>
      <c r="B250">
        <v>7172012006000500</v>
      </c>
      <c r="C250">
        <v>75</v>
      </c>
      <c r="D250">
        <v>74</v>
      </c>
      <c r="E250">
        <v>1</v>
      </c>
      <c r="F250">
        <v>0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73</v>
      </c>
      <c r="B251">
        <v>7172012007001300</v>
      </c>
      <c r="C251">
        <v>170</v>
      </c>
      <c r="D251">
        <v>104</v>
      </c>
      <c r="E251">
        <v>3</v>
      </c>
      <c r="F251">
        <v>63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73</v>
      </c>
      <c r="B252">
        <v>7172012007001400</v>
      </c>
      <c r="C252">
        <v>114</v>
      </c>
      <c r="D252">
        <v>52</v>
      </c>
      <c r="E252">
        <v>3</v>
      </c>
      <c r="F252">
        <v>51</v>
      </c>
      <c r="G252">
        <v>0</v>
      </c>
      <c r="H252">
        <v>0</v>
      </c>
      <c r="I252">
        <v>8</v>
      </c>
      <c r="J252">
        <v>0</v>
      </c>
    </row>
    <row r="253" spans="1:10" x14ac:dyDescent="0.25">
      <c r="A253" t="s">
        <v>73</v>
      </c>
      <c r="B253">
        <v>7172012007001500</v>
      </c>
      <c r="C253">
        <v>103</v>
      </c>
      <c r="D253">
        <v>85</v>
      </c>
      <c r="E253">
        <v>3</v>
      </c>
      <c r="F253">
        <v>15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73</v>
      </c>
      <c r="B254">
        <v>7172012007001200</v>
      </c>
      <c r="C254">
        <v>85</v>
      </c>
      <c r="D254">
        <v>11</v>
      </c>
      <c r="E254">
        <v>0</v>
      </c>
      <c r="F254">
        <v>74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73</v>
      </c>
      <c r="B255">
        <v>7172012007001600</v>
      </c>
      <c r="C255">
        <v>81</v>
      </c>
      <c r="D255">
        <v>6</v>
      </c>
      <c r="E255">
        <v>0</v>
      </c>
      <c r="F255">
        <v>75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73</v>
      </c>
      <c r="B256">
        <v>7172012007001900</v>
      </c>
      <c r="C256">
        <v>78</v>
      </c>
      <c r="D256">
        <v>4</v>
      </c>
      <c r="E256">
        <v>0</v>
      </c>
      <c r="F256">
        <v>73</v>
      </c>
      <c r="G256">
        <v>0</v>
      </c>
      <c r="H256">
        <v>0</v>
      </c>
      <c r="I256">
        <v>1</v>
      </c>
      <c r="J256">
        <v>0</v>
      </c>
    </row>
    <row r="257" spans="1:10" x14ac:dyDescent="0.25">
      <c r="A257" t="s">
        <v>77</v>
      </c>
      <c r="B257">
        <v>7172021003000200</v>
      </c>
      <c r="C257">
        <v>114</v>
      </c>
      <c r="D257">
        <v>109</v>
      </c>
      <c r="E257">
        <v>0</v>
      </c>
      <c r="F257">
        <v>0</v>
      </c>
      <c r="G257">
        <v>0</v>
      </c>
      <c r="H257">
        <v>0</v>
      </c>
      <c r="I257">
        <v>5</v>
      </c>
      <c r="J257">
        <v>0</v>
      </c>
    </row>
    <row r="258" spans="1:10" x14ac:dyDescent="0.25">
      <c r="A258" t="s">
        <v>77</v>
      </c>
      <c r="B258">
        <v>7172021003000400</v>
      </c>
      <c r="C258">
        <v>109</v>
      </c>
      <c r="D258">
        <v>74</v>
      </c>
      <c r="E258">
        <v>2</v>
      </c>
      <c r="F258">
        <v>20</v>
      </c>
      <c r="G258">
        <v>0</v>
      </c>
      <c r="H258">
        <v>0</v>
      </c>
      <c r="I258">
        <v>13</v>
      </c>
      <c r="J258">
        <v>0</v>
      </c>
    </row>
    <row r="259" spans="1:10" x14ac:dyDescent="0.25">
      <c r="A259" t="s">
        <v>77</v>
      </c>
      <c r="B259">
        <v>7172021003000500</v>
      </c>
      <c r="C259">
        <v>94</v>
      </c>
      <c r="D259">
        <v>0</v>
      </c>
      <c r="E259">
        <v>0</v>
      </c>
      <c r="F259">
        <v>94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77</v>
      </c>
      <c r="B260">
        <v>7172021003000600</v>
      </c>
      <c r="C260">
        <v>81</v>
      </c>
      <c r="D260">
        <v>0</v>
      </c>
      <c r="E260">
        <v>0</v>
      </c>
      <c r="F260">
        <v>81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77</v>
      </c>
      <c r="B261">
        <v>7172021003000700</v>
      </c>
      <c r="C261">
        <v>51</v>
      </c>
      <c r="D261">
        <v>0</v>
      </c>
      <c r="E261">
        <v>0</v>
      </c>
      <c r="F261">
        <v>51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80</v>
      </c>
      <c r="B262">
        <v>7172021006001200</v>
      </c>
      <c r="C262">
        <v>89</v>
      </c>
      <c r="D262">
        <v>13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80</v>
      </c>
      <c r="B263">
        <v>7172021006001400</v>
      </c>
      <c r="C263">
        <v>81</v>
      </c>
      <c r="D263">
        <v>49</v>
      </c>
      <c r="E263">
        <v>2</v>
      </c>
      <c r="F263">
        <v>30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80</v>
      </c>
      <c r="B264">
        <v>7172021006001500</v>
      </c>
      <c r="C264">
        <v>66</v>
      </c>
      <c r="D264">
        <v>1</v>
      </c>
      <c r="E264">
        <v>0</v>
      </c>
      <c r="F264">
        <v>65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80</v>
      </c>
      <c r="B265">
        <v>7172021006000900</v>
      </c>
      <c r="C265">
        <v>62</v>
      </c>
      <c r="D265">
        <v>51</v>
      </c>
      <c r="E265">
        <v>0</v>
      </c>
      <c r="F265">
        <v>7</v>
      </c>
      <c r="G265">
        <v>0</v>
      </c>
      <c r="H265">
        <v>0</v>
      </c>
      <c r="I265">
        <v>4</v>
      </c>
      <c r="J265">
        <v>0</v>
      </c>
    </row>
    <row r="266" spans="1:10" x14ac:dyDescent="0.25">
      <c r="A266" t="s">
        <v>80</v>
      </c>
      <c r="B266">
        <v>7172021006001000</v>
      </c>
      <c r="C266">
        <v>58</v>
      </c>
      <c r="D266">
        <v>7</v>
      </c>
      <c r="E266">
        <v>0</v>
      </c>
      <c r="F266">
        <v>48</v>
      </c>
      <c r="G266">
        <v>2</v>
      </c>
      <c r="H266">
        <v>1</v>
      </c>
      <c r="I266">
        <v>0</v>
      </c>
      <c r="J266">
        <v>0</v>
      </c>
    </row>
    <row r="267" spans="1:10" x14ac:dyDescent="0.25">
      <c r="A267" t="s">
        <v>80</v>
      </c>
      <c r="B267">
        <v>7172021006000800</v>
      </c>
      <c r="C267">
        <v>53</v>
      </c>
      <c r="D267">
        <v>48</v>
      </c>
      <c r="E267">
        <v>2</v>
      </c>
      <c r="F267">
        <v>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80</v>
      </c>
      <c r="B268">
        <v>7172021006001300</v>
      </c>
      <c r="C268">
        <v>45</v>
      </c>
      <c r="D268">
        <v>42</v>
      </c>
      <c r="E268">
        <v>0</v>
      </c>
      <c r="F268">
        <v>0</v>
      </c>
      <c r="G268">
        <v>2</v>
      </c>
      <c r="H268">
        <v>1</v>
      </c>
      <c r="I268">
        <v>0</v>
      </c>
      <c r="J268">
        <v>0</v>
      </c>
    </row>
    <row r="269" spans="1:10" x14ac:dyDescent="0.25">
      <c r="A269" t="s">
        <v>80</v>
      </c>
      <c r="B269">
        <v>7172021006001100</v>
      </c>
      <c r="C269">
        <v>42</v>
      </c>
      <c r="D269">
        <v>6</v>
      </c>
      <c r="E269">
        <v>0</v>
      </c>
      <c r="F269">
        <v>36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239</v>
      </c>
      <c r="B270">
        <v>7172021006002200</v>
      </c>
      <c r="C270">
        <v>83</v>
      </c>
      <c r="D270">
        <v>38</v>
      </c>
      <c r="E270">
        <v>3</v>
      </c>
      <c r="F270">
        <v>39</v>
      </c>
      <c r="G270">
        <v>0</v>
      </c>
      <c r="H270">
        <v>0</v>
      </c>
      <c r="I270">
        <v>3</v>
      </c>
      <c r="J270">
        <v>0</v>
      </c>
    </row>
    <row r="271" spans="1:10" x14ac:dyDescent="0.25">
      <c r="A271" t="s">
        <v>239</v>
      </c>
      <c r="B271">
        <v>7172021006001600</v>
      </c>
      <c r="C271">
        <v>74</v>
      </c>
      <c r="D271">
        <v>54</v>
      </c>
      <c r="E271">
        <v>12</v>
      </c>
      <c r="F271">
        <v>8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239</v>
      </c>
      <c r="B272">
        <v>7172021006001800</v>
      </c>
      <c r="C272">
        <v>58</v>
      </c>
      <c r="D272">
        <v>17</v>
      </c>
      <c r="E272">
        <v>7</v>
      </c>
      <c r="F272">
        <v>34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239</v>
      </c>
      <c r="B273">
        <v>7172021007000400</v>
      </c>
      <c r="C273">
        <v>55</v>
      </c>
      <c r="D273">
        <v>4</v>
      </c>
      <c r="E273">
        <v>1</v>
      </c>
      <c r="F273">
        <v>49</v>
      </c>
      <c r="G273">
        <v>0</v>
      </c>
      <c r="H273">
        <v>1</v>
      </c>
      <c r="I273">
        <v>0</v>
      </c>
      <c r="J273">
        <v>0</v>
      </c>
    </row>
    <row r="274" spans="1:10" x14ac:dyDescent="0.25">
      <c r="A274" t="s">
        <v>239</v>
      </c>
      <c r="B274">
        <v>7172021007000100</v>
      </c>
      <c r="C274">
        <v>52</v>
      </c>
      <c r="D274">
        <v>43</v>
      </c>
      <c r="E274">
        <v>4</v>
      </c>
      <c r="F274">
        <v>4</v>
      </c>
      <c r="G274">
        <v>0</v>
      </c>
      <c r="H274">
        <v>0</v>
      </c>
      <c r="I274">
        <v>1</v>
      </c>
      <c r="J274">
        <v>0</v>
      </c>
    </row>
    <row r="275" spans="1:10" x14ac:dyDescent="0.25">
      <c r="A275" t="s">
        <v>239</v>
      </c>
      <c r="B275">
        <v>7172021006001700</v>
      </c>
      <c r="C275">
        <v>45</v>
      </c>
      <c r="D275">
        <v>42</v>
      </c>
      <c r="E275">
        <v>1</v>
      </c>
      <c r="F275">
        <v>1</v>
      </c>
      <c r="G275">
        <v>0</v>
      </c>
      <c r="H275">
        <v>0</v>
      </c>
      <c r="I275">
        <v>1</v>
      </c>
      <c r="J275">
        <v>0</v>
      </c>
    </row>
    <row r="276" spans="1:10" x14ac:dyDescent="0.25">
      <c r="A276" t="s">
        <v>239</v>
      </c>
      <c r="B276">
        <v>7172021007000500</v>
      </c>
      <c r="C276">
        <v>42</v>
      </c>
      <c r="D276">
        <v>7</v>
      </c>
      <c r="E276">
        <v>1</v>
      </c>
      <c r="F276">
        <v>34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239</v>
      </c>
      <c r="B277">
        <v>7172021007000300</v>
      </c>
      <c r="C277">
        <v>41</v>
      </c>
      <c r="D277">
        <v>5</v>
      </c>
      <c r="E277">
        <v>6</v>
      </c>
      <c r="F277">
        <v>14</v>
      </c>
      <c r="G277">
        <v>0</v>
      </c>
      <c r="H277">
        <v>0</v>
      </c>
      <c r="I277">
        <v>16</v>
      </c>
      <c r="J277">
        <v>0</v>
      </c>
    </row>
    <row r="278" spans="1:10" x14ac:dyDescent="0.25">
      <c r="A278" t="s">
        <v>239</v>
      </c>
      <c r="B278">
        <v>7172021007000200</v>
      </c>
      <c r="C278">
        <v>39</v>
      </c>
      <c r="D278">
        <v>8</v>
      </c>
      <c r="E278">
        <v>2</v>
      </c>
      <c r="F278">
        <v>29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239</v>
      </c>
      <c r="B279">
        <v>7172021007000600</v>
      </c>
      <c r="C279">
        <v>31</v>
      </c>
      <c r="D279">
        <v>7</v>
      </c>
      <c r="E279">
        <v>1</v>
      </c>
      <c r="F279">
        <v>23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82</v>
      </c>
      <c r="B280">
        <v>7172022001000200</v>
      </c>
      <c r="C280">
        <v>107</v>
      </c>
      <c r="D280">
        <v>93</v>
      </c>
      <c r="E280">
        <v>6</v>
      </c>
      <c r="F280">
        <v>3</v>
      </c>
      <c r="G280">
        <v>0</v>
      </c>
      <c r="H280">
        <v>0</v>
      </c>
      <c r="I280">
        <v>5</v>
      </c>
      <c r="J280">
        <v>0</v>
      </c>
    </row>
    <row r="281" spans="1:10" x14ac:dyDescent="0.25">
      <c r="A281" t="s">
        <v>82</v>
      </c>
      <c r="B281">
        <v>7172022001000300</v>
      </c>
      <c r="C281">
        <v>102</v>
      </c>
      <c r="D281">
        <v>41</v>
      </c>
      <c r="E281">
        <v>10</v>
      </c>
      <c r="F281">
        <v>40</v>
      </c>
      <c r="G281">
        <v>0</v>
      </c>
      <c r="H281">
        <v>0</v>
      </c>
      <c r="I281">
        <v>11</v>
      </c>
      <c r="J281">
        <v>0</v>
      </c>
    </row>
    <row r="282" spans="1:10" x14ac:dyDescent="0.25">
      <c r="A282" t="s">
        <v>82</v>
      </c>
      <c r="B282">
        <v>7172022001000400</v>
      </c>
      <c r="C282">
        <v>91</v>
      </c>
      <c r="D282">
        <v>0</v>
      </c>
      <c r="E282">
        <v>0</v>
      </c>
      <c r="F282">
        <v>91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82</v>
      </c>
      <c r="B283">
        <v>7172022001000100</v>
      </c>
      <c r="C283">
        <v>85</v>
      </c>
      <c r="D283">
        <v>77</v>
      </c>
      <c r="E283">
        <v>5</v>
      </c>
      <c r="F283">
        <v>3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82</v>
      </c>
      <c r="B284">
        <v>7172022001000500</v>
      </c>
      <c r="C284">
        <v>78</v>
      </c>
      <c r="D284">
        <v>0</v>
      </c>
      <c r="E284">
        <v>0</v>
      </c>
      <c r="F284">
        <v>78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86</v>
      </c>
      <c r="B285">
        <v>7172022009000500</v>
      </c>
      <c r="C285">
        <v>72</v>
      </c>
      <c r="D285">
        <v>68</v>
      </c>
      <c r="E285">
        <v>1</v>
      </c>
      <c r="F285">
        <v>0</v>
      </c>
      <c r="G285">
        <v>0</v>
      </c>
      <c r="H285">
        <v>0</v>
      </c>
      <c r="I285">
        <v>3</v>
      </c>
      <c r="J285">
        <v>0</v>
      </c>
    </row>
    <row r="286" spans="1:10" x14ac:dyDescent="0.25">
      <c r="A286" t="s">
        <v>86</v>
      </c>
      <c r="B286">
        <v>7172022010000700</v>
      </c>
      <c r="C286">
        <v>58</v>
      </c>
      <c r="D286">
        <v>0</v>
      </c>
      <c r="E286">
        <v>0</v>
      </c>
      <c r="F286">
        <v>58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86</v>
      </c>
      <c r="B287">
        <v>7172022003000100</v>
      </c>
      <c r="C287">
        <v>54</v>
      </c>
      <c r="D287">
        <v>50</v>
      </c>
      <c r="E287">
        <v>2</v>
      </c>
      <c r="F287">
        <v>2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86</v>
      </c>
      <c r="B288">
        <v>7172022010000300</v>
      </c>
      <c r="C288">
        <v>46</v>
      </c>
      <c r="D288">
        <v>2</v>
      </c>
      <c r="E288">
        <v>2</v>
      </c>
      <c r="F288">
        <v>37</v>
      </c>
      <c r="G288">
        <v>0</v>
      </c>
      <c r="H288">
        <v>0</v>
      </c>
      <c r="I288">
        <v>5</v>
      </c>
      <c r="J288">
        <v>0</v>
      </c>
    </row>
    <row r="289" spans="1:10" x14ac:dyDescent="0.25">
      <c r="A289" t="s">
        <v>86</v>
      </c>
      <c r="B289">
        <v>7172022010000100</v>
      </c>
      <c r="C289">
        <v>45</v>
      </c>
      <c r="D289">
        <v>38</v>
      </c>
      <c r="E289">
        <v>1</v>
      </c>
      <c r="F289">
        <v>6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86</v>
      </c>
      <c r="B290">
        <v>7172022010000500</v>
      </c>
      <c r="C290">
        <v>45</v>
      </c>
      <c r="D290">
        <v>0</v>
      </c>
      <c r="E290">
        <v>0</v>
      </c>
      <c r="F290">
        <v>45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86</v>
      </c>
      <c r="B291">
        <v>7172022010000400</v>
      </c>
      <c r="C291">
        <v>38</v>
      </c>
      <c r="D291">
        <v>1</v>
      </c>
      <c r="E291">
        <v>0</v>
      </c>
      <c r="F291">
        <v>37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86</v>
      </c>
      <c r="B292">
        <v>7172022010000600</v>
      </c>
      <c r="C292">
        <v>38</v>
      </c>
      <c r="D292">
        <v>1</v>
      </c>
      <c r="E292">
        <v>0</v>
      </c>
      <c r="F292">
        <v>37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86</v>
      </c>
      <c r="B293">
        <v>7172022010000200</v>
      </c>
      <c r="C293">
        <v>33</v>
      </c>
      <c r="D293">
        <v>27</v>
      </c>
      <c r="E293">
        <v>0</v>
      </c>
      <c r="F293">
        <v>5</v>
      </c>
      <c r="G293">
        <v>0</v>
      </c>
      <c r="H293">
        <v>0</v>
      </c>
      <c r="I293">
        <v>1</v>
      </c>
      <c r="J293">
        <v>0</v>
      </c>
    </row>
    <row r="294" spans="1:10" x14ac:dyDescent="0.25">
      <c r="A294" t="s">
        <v>84</v>
      </c>
      <c r="B294">
        <v>7172022002000100</v>
      </c>
      <c r="C294">
        <v>89</v>
      </c>
      <c r="D294">
        <v>60</v>
      </c>
      <c r="E294">
        <v>0</v>
      </c>
      <c r="F294">
        <v>28</v>
      </c>
      <c r="G294">
        <v>0</v>
      </c>
      <c r="H294">
        <v>1</v>
      </c>
      <c r="I294">
        <v>0</v>
      </c>
      <c r="J294">
        <v>0</v>
      </c>
    </row>
    <row r="295" spans="1:10" x14ac:dyDescent="0.25">
      <c r="A295" t="s">
        <v>84</v>
      </c>
      <c r="B295">
        <v>7172022006000200</v>
      </c>
      <c r="C295">
        <v>61</v>
      </c>
      <c r="D295">
        <v>14</v>
      </c>
      <c r="E295">
        <v>1</v>
      </c>
      <c r="F295">
        <v>46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84</v>
      </c>
      <c r="B296">
        <v>7172022002000200</v>
      </c>
      <c r="C296">
        <v>55</v>
      </c>
      <c r="D296">
        <v>0</v>
      </c>
      <c r="E296">
        <v>0</v>
      </c>
      <c r="F296">
        <v>55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84</v>
      </c>
      <c r="B297">
        <v>7172022006000100</v>
      </c>
      <c r="C297">
        <v>53</v>
      </c>
      <c r="D297">
        <v>17</v>
      </c>
      <c r="E297">
        <v>0</v>
      </c>
      <c r="F297">
        <v>36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84</v>
      </c>
      <c r="B298">
        <v>7172022006000400</v>
      </c>
      <c r="C298">
        <v>53</v>
      </c>
      <c r="D298">
        <v>34</v>
      </c>
      <c r="E298">
        <v>2</v>
      </c>
      <c r="F298">
        <v>17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84</v>
      </c>
      <c r="B299">
        <v>7172022006000600</v>
      </c>
      <c r="C299">
        <v>49</v>
      </c>
      <c r="D299">
        <v>11</v>
      </c>
      <c r="E299">
        <v>8</v>
      </c>
      <c r="F299">
        <v>30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84</v>
      </c>
      <c r="B300">
        <v>7172022006000500</v>
      </c>
      <c r="C300">
        <v>48</v>
      </c>
      <c r="D300">
        <v>41</v>
      </c>
      <c r="E300">
        <v>0</v>
      </c>
      <c r="F300">
        <v>7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84</v>
      </c>
      <c r="B301">
        <v>7172022006000300</v>
      </c>
      <c r="C301">
        <v>39</v>
      </c>
      <c r="D301">
        <v>9</v>
      </c>
      <c r="E301">
        <v>0</v>
      </c>
      <c r="F301">
        <v>30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84</v>
      </c>
      <c r="B302">
        <v>7172022002000300</v>
      </c>
      <c r="C302">
        <v>36</v>
      </c>
      <c r="D302">
        <v>11</v>
      </c>
      <c r="E302">
        <v>0</v>
      </c>
      <c r="F302">
        <v>25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87</v>
      </c>
      <c r="B303">
        <v>7172022005000200</v>
      </c>
      <c r="C303">
        <v>62</v>
      </c>
      <c r="D303">
        <v>48</v>
      </c>
      <c r="E303">
        <v>3</v>
      </c>
      <c r="F303">
        <v>3</v>
      </c>
      <c r="G303">
        <v>1</v>
      </c>
      <c r="H303">
        <v>0</v>
      </c>
      <c r="I303">
        <v>7</v>
      </c>
      <c r="J303">
        <v>0</v>
      </c>
    </row>
    <row r="304" spans="1:10" x14ac:dyDescent="0.25">
      <c r="A304" t="s">
        <v>87</v>
      </c>
      <c r="B304">
        <v>7172022005000300</v>
      </c>
      <c r="C304">
        <v>49</v>
      </c>
      <c r="D304">
        <v>0</v>
      </c>
      <c r="E304">
        <v>0</v>
      </c>
      <c r="F304">
        <v>49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87</v>
      </c>
      <c r="B305">
        <v>7172022004000100</v>
      </c>
      <c r="C305">
        <v>48</v>
      </c>
      <c r="D305">
        <v>48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87</v>
      </c>
      <c r="B306">
        <v>7172022004000200</v>
      </c>
      <c r="C306">
        <v>47</v>
      </c>
      <c r="D306">
        <v>47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87</v>
      </c>
      <c r="B307">
        <v>7172022005000100</v>
      </c>
      <c r="C307">
        <v>46</v>
      </c>
      <c r="D307">
        <v>39</v>
      </c>
      <c r="E307">
        <v>1</v>
      </c>
      <c r="F307">
        <v>2</v>
      </c>
      <c r="G307">
        <v>0</v>
      </c>
      <c r="H307">
        <v>0</v>
      </c>
      <c r="I307">
        <v>4</v>
      </c>
      <c r="J307">
        <v>0</v>
      </c>
    </row>
    <row r="308" spans="1:10" x14ac:dyDescent="0.25">
      <c r="A308" t="s">
        <v>87</v>
      </c>
      <c r="B308">
        <v>7172022005000400</v>
      </c>
      <c r="C308">
        <v>40</v>
      </c>
      <c r="D308">
        <v>4</v>
      </c>
      <c r="E308">
        <v>7</v>
      </c>
      <c r="F308">
        <v>28</v>
      </c>
      <c r="G308">
        <v>0</v>
      </c>
      <c r="H308">
        <v>0</v>
      </c>
      <c r="I308">
        <v>1</v>
      </c>
      <c r="J308">
        <v>0</v>
      </c>
    </row>
    <row r="309" spans="1:10" x14ac:dyDescent="0.25">
      <c r="A309" t="s">
        <v>87</v>
      </c>
      <c r="B309">
        <v>7172022004000400</v>
      </c>
      <c r="C309">
        <v>38</v>
      </c>
      <c r="D309">
        <v>0</v>
      </c>
      <c r="E309">
        <v>1</v>
      </c>
      <c r="F309">
        <v>37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87</v>
      </c>
      <c r="B310">
        <v>7172022004000300</v>
      </c>
      <c r="C310">
        <v>35</v>
      </c>
      <c r="D310">
        <v>0</v>
      </c>
      <c r="E310">
        <v>1</v>
      </c>
      <c r="F310">
        <v>34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87</v>
      </c>
      <c r="B311">
        <v>7172022004000600</v>
      </c>
      <c r="C311">
        <v>27</v>
      </c>
      <c r="D311">
        <v>0</v>
      </c>
      <c r="E311">
        <v>0</v>
      </c>
      <c r="F311">
        <v>27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87</v>
      </c>
      <c r="B312">
        <v>7172022004000500</v>
      </c>
      <c r="C312">
        <v>24</v>
      </c>
      <c r="D312">
        <v>0</v>
      </c>
      <c r="E312">
        <v>0</v>
      </c>
      <c r="F312">
        <v>24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240</v>
      </c>
      <c r="B313">
        <v>7172022007000300</v>
      </c>
      <c r="C313">
        <v>70</v>
      </c>
      <c r="D313">
        <v>26</v>
      </c>
      <c r="E313">
        <v>1</v>
      </c>
      <c r="F313">
        <v>43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240</v>
      </c>
      <c r="B314">
        <v>7172022008000100</v>
      </c>
      <c r="C314">
        <v>70</v>
      </c>
      <c r="D314">
        <v>57</v>
      </c>
      <c r="E314">
        <v>1</v>
      </c>
      <c r="F314">
        <v>12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240</v>
      </c>
      <c r="B315">
        <v>7172022007000400</v>
      </c>
      <c r="C315">
        <v>62</v>
      </c>
      <c r="D315">
        <v>0</v>
      </c>
      <c r="E315">
        <v>0</v>
      </c>
      <c r="F315">
        <v>62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240</v>
      </c>
      <c r="B316">
        <v>7172022008000300</v>
      </c>
      <c r="C316">
        <v>62</v>
      </c>
      <c r="D316">
        <v>58</v>
      </c>
      <c r="E316">
        <v>2</v>
      </c>
      <c r="F316">
        <v>1</v>
      </c>
      <c r="G316">
        <v>0</v>
      </c>
      <c r="H316">
        <v>0</v>
      </c>
      <c r="I316">
        <v>1</v>
      </c>
      <c r="J316">
        <v>0</v>
      </c>
    </row>
    <row r="317" spans="1:10" x14ac:dyDescent="0.25">
      <c r="A317" t="s">
        <v>240</v>
      </c>
      <c r="B317">
        <v>7172022007000100</v>
      </c>
      <c r="C317">
        <v>59</v>
      </c>
      <c r="D317">
        <v>0</v>
      </c>
      <c r="E317">
        <v>0</v>
      </c>
      <c r="F317">
        <v>59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240</v>
      </c>
      <c r="B318">
        <v>7172022007000200</v>
      </c>
      <c r="C318">
        <v>56</v>
      </c>
      <c r="D318">
        <v>0</v>
      </c>
      <c r="E318">
        <v>0</v>
      </c>
      <c r="F318">
        <v>56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240</v>
      </c>
      <c r="B319">
        <v>7172022008000200</v>
      </c>
      <c r="C319">
        <v>51</v>
      </c>
      <c r="D319">
        <v>45</v>
      </c>
      <c r="E319">
        <v>1</v>
      </c>
      <c r="F319">
        <v>5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241</v>
      </c>
      <c r="B320">
        <v>7172030013001000</v>
      </c>
      <c r="C320">
        <v>111</v>
      </c>
      <c r="D320">
        <v>35</v>
      </c>
      <c r="E320">
        <v>0</v>
      </c>
      <c r="F320">
        <v>58</v>
      </c>
      <c r="G320">
        <v>0</v>
      </c>
      <c r="H320">
        <v>0</v>
      </c>
      <c r="I320">
        <v>18</v>
      </c>
      <c r="J320">
        <v>0</v>
      </c>
    </row>
    <row r="321" spans="1:10" x14ac:dyDescent="0.25">
      <c r="A321" t="s">
        <v>241</v>
      </c>
      <c r="B321">
        <v>7172030013000200</v>
      </c>
      <c r="C321">
        <v>88</v>
      </c>
      <c r="D321">
        <v>82</v>
      </c>
      <c r="E321">
        <v>0</v>
      </c>
      <c r="F321">
        <v>3</v>
      </c>
      <c r="G321">
        <v>0</v>
      </c>
      <c r="H321">
        <v>0</v>
      </c>
      <c r="I321">
        <v>3</v>
      </c>
      <c r="J321">
        <v>0</v>
      </c>
    </row>
    <row r="322" spans="1:10" x14ac:dyDescent="0.25">
      <c r="A322" t="s">
        <v>241</v>
      </c>
      <c r="B322">
        <v>7172030013001200</v>
      </c>
      <c r="C322">
        <v>76</v>
      </c>
      <c r="D322">
        <v>16</v>
      </c>
      <c r="E322">
        <v>0</v>
      </c>
      <c r="F322">
        <v>53</v>
      </c>
      <c r="G322">
        <v>0</v>
      </c>
      <c r="H322">
        <v>0</v>
      </c>
      <c r="I322">
        <v>7</v>
      </c>
      <c r="J322">
        <v>0</v>
      </c>
    </row>
    <row r="323" spans="1:10" x14ac:dyDescent="0.25">
      <c r="A323" t="s">
        <v>241</v>
      </c>
      <c r="B323">
        <v>7172030013000600</v>
      </c>
      <c r="C323">
        <v>63</v>
      </c>
      <c r="D323">
        <v>16</v>
      </c>
      <c r="E323">
        <v>10</v>
      </c>
      <c r="F323">
        <v>27</v>
      </c>
      <c r="G323">
        <v>0</v>
      </c>
      <c r="H323">
        <v>0</v>
      </c>
      <c r="I323">
        <v>10</v>
      </c>
      <c r="J323">
        <v>0</v>
      </c>
    </row>
    <row r="324" spans="1:10" x14ac:dyDescent="0.25">
      <c r="A324" t="s">
        <v>241</v>
      </c>
      <c r="B324">
        <v>7172030013000400</v>
      </c>
      <c r="C324">
        <v>57</v>
      </c>
      <c r="D324">
        <v>43</v>
      </c>
      <c r="E324">
        <v>4</v>
      </c>
      <c r="F324">
        <v>10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241</v>
      </c>
      <c r="B325">
        <v>7172030013000500</v>
      </c>
      <c r="C325">
        <v>53</v>
      </c>
      <c r="D325">
        <v>12</v>
      </c>
      <c r="E325">
        <v>0</v>
      </c>
      <c r="F325">
        <v>41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241</v>
      </c>
      <c r="B326">
        <v>7172030013000900</v>
      </c>
      <c r="C326">
        <v>53</v>
      </c>
      <c r="D326">
        <v>4</v>
      </c>
      <c r="E326">
        <v>0</v>
      </c>
      <c r="F326">
        <v>48</v>
      </c>
      <c r="G326">
        <v>0</v>
      </c>
      <c r="H326">
        <v>0</v>
      </c>
      <c r="I326">
        <v>1</v>
      </c>
      <c r="J326">
        <v>0</v>
      </c>
    </row>
    <row r="327" spans="1:10" x14ac:dyDescent="0.25">
      <c r="A327" t="s">
        <v>241</v>
      </c>
      <c r="B327">
        <v>7172030013000800</v>
      </c>
      <c r="C327">
        <v>42</v>
      </c>
      <c r="D327">
        <v>10</v>
      </c>
      <c r="E327">
        <v>0</v>
      </c>
      <c r="F327">
        <v>32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241</v>
      </c>
      <c r="B328">
        <v>7172030013000700</v>
      </c>
      <c r="C328">
        <v>34</v>
      </c>
      <c r="D328">
        <v>13</v>
      </c>
      <c r="E328">
        <v>0</v>
      </c>
      <c r="F328">
        <v>20</v>
      </c>
      <c r="G328">
        <v>0</v>
      </c>
      <c r="H328">
        <v>0</v>
      </c>
      <c r="I328">
        <v>1</v>
      </c>
      <c r="J328">
        <v>0</v>
      </c>
    </row>
    <row r="329" spans="1:10" x14ac:dyDescent="0.25">
      <c r="A329" t="s">
        <v>96</v>
      </c>
      <c r="B329">
        <v>7172030009000100</v>
      </c>
      <c r="C329">
        <v>104</v>
      </c>
      <c r="D329">
        <v>15</v>
      </c>
      <c r="E329">
        <v>0</v>
      </c>
      <c r="F329">
        <v>89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96</v>
      </c>
      <c r="B330">
        <v>7172030017000500</v>
      </c>
      <c r="C330">
        <v>88</v>
      </c>
      <c r="D330">
        <v>78</v>
      </c>
      <c r="E330">
        <v>2</v>
      </c>
      <c r="F330">
        <v>0</v>
      </c>
      <c r="G330">
        <v>8</v>
      </c>
      <c r="H330">
        <v>0</v>
      </c>
      <c r="I330">
        <v>0</v>
      </c>
      <c r="J330">
        <v>0</v>
      </c>
    </row>
    <row r="331" spans="1:10" x14ac:dyDescent="0.25">
      <c r="A331" t="s">
        <v>96</v>
      </c>
      <c r="B331">
        <v>7172030017000100</v>
      </c>
      <c r="C331">
        <v>82</v>
      </c>
      <c r="D331">
        <v>50</v>
      </c>
      <c r="E331">
        <v>23</v>
      </c>
      <c r="F331">
        <v>0</v>
      </c>
      <c r="G331">
        <v>0</v>
      </c>
      <c r="H331">
        <v>0</v>
      </c>
      <c r="I331">
        <v>9</v>
      </c>
      <c r="J331">
        <v>0</v>
      </c>
    </row>
    <row r="332" spans="1:10" x14ac:dyDescent="0.25">
      <c r="A332" t="s">
        <v>96</v>
      </c>
      <c r="B332">
        <v>7172030009000200</v>
      </c>
      <c r="C332">
        <v>59</v>
      </c>
      <c r="D332">
        <v>8</v>
      </c>
      <c r="E332">
        <v>0</v>
      </c>
      <c r="F332">
        <v>51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96</v>
      </c>
      <c r="B333">
        <v>7172030009000500</v>
      </c>
      <c r="C333">
        <v>56</v>
      </c>
      <c r="D333">
        <v>12</v>
      </c>
      <c r="E333">
        <v>0</v>
      </c>
      <c r="F333">
        <v>44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96</v>
      </c>
      <c r="B334">
        <v>7172030009000300</v>
      </c>
      <c r="C334">
        <v>45</v>
      </c>
      <c r="D334">
        <v>2</v>
      </c>
      <c r="E334">
        <v>0</v>
      </c>
      <c r="F334">
        <v>43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96</v>
      </c>
      <c r="B335">
        <v>7172030009000600</v>
      </c>
      <c r="C335">
        <v>43</v>
      </c>
      <c r="D335">
        <v>10</v>
      </c>
      <c r="E335">
        <v>0</v>
      </c>
      <c r="F335">
        <v>33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96</v>
      </c>
      <c r="B336">
        <v>7172030009000400</v>
      </c>
      <c r="C336">
        <v>37</v>
      </c>
      <c r="D336">
        <v>17</v>
      </c>
      <c r="E336">
        <v>0</v>
      </c>
      <c r="F336">
        <v>0</v>
      </c>
      <c r="G336">
        <v>0</v>
      </c>
      <c r="H336">
        <v>0</v>
      </c>
      <c r="I336">
        <v>20</v>
      </c>
      <c r="J336">
        <v>0</v>
      </c>
    </row>
    <row r="337" spans="1:10" x14ac:dyDescent="0.25">
      <c r="A337" t="s">
        <v>96</v>
      </c>
      <c r="B337">
        <v>7172030009000800</v>
      </c>
      <c r="C337">
        <v>35</v>
      </c>
      <c r="D337">
        <v>0</v>
      </c>
      <c r="E337">
        <v>34</v>
      </c>
      <c r="F337">
        <v>0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t="s">
        <v>96</v>
      </c>
      <c r="B338">
        <v>7172030017000300</v>
      </c>
      <c r="C338">
        <v>32</v>
      </c>
      <c r="D338">
        <v>14</v>
      </c>
      <c r="E338">
        <v>0</v>
      </c>
      <c r="F338">
        <v>1</v>
      </c>
      <c r="G338">
        <v>0</v>
      </c>
      <c r="H338">
        <v>0</v>
      </c>
      <c r="I338">
        <v>17</v>
      </c>
      <c r="J338">
        <v>0</v>
      </c>
    </row>
    <row r="339" spans="1:10" x14ac:dyDescent="0.25">
      <c r="A339" t="s">
        <v>96</v>
      </c>
      <c r="B339">
        <v>7172030017000200</v>
      </c>
      <c r="C339">
        <v>24</v>
      </c>
      <c r="D339">
        <v>22</v>
      </c>
      <c r="E339">
        <v>2</v>
      </c>
      <c r="F339">
        <v>0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96</v>
      </c>
      <c r="B340">
        <v>7172030009000700</v>
      </c>
      <c r="C340">
        <v>22</v>
      </c>
      <c r="D340">
        <v>4</v>
      </c>
      <c r="E340">
        <v>8</v>
      </c>
      <c r="F340">
        <v>10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96</v>
      </c>
      <c r="B341">
        <v>7172030009200100</v>
      </c>
      <c r="C341">
        <v>1</v>
      </c>
      <c r="D341">
        <v>0</v>
      </c>
      <c r="E341">
        <v>0</v>
      </c>
      <c r="F341">
        <v>1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94</v>
      </c>
      <c r="B342">
        <v>7172030007001900</v>
      </c>
      <c r="C342">
        <v>84</v>
      </c>
      <c r="D342">
        <v>11</v>
      </c>
      <c r="E342">
        <v>0</v>
      </c>
      <c r="F342">
        <v>73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94</v>
      </c>
      <c r="B343">
        <v>7172030007001800</v>
      </c>
      <c r="C343">
        <v>79</v>
      </c>
      <c r="D343">
        <v>13</v>
      </c>
      <c r="E343">
        <v>0</v>
      </c>
      <c r="F343">
        <v>66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94</v>
      </c>
      <c r="B344">
        <v>7172030007001500</v>
      </c>
      <c r="C344">
        <v>77</v>
      </c>
      <c r="D344">
        <v>13</v>
      </c>
      <c r="E344">
        <v>0</v>
      </c>
      <c r="F344">
        <v>64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94</v>
      </c>
      <c r="B345">
        <v>7172030007001700</v>
      </c>
      <c r="C345">
        <v>76</v>
      </c>
      <c r="D345">
        <v>12</v>
      </c>
      <c r="E345">
        <v>0</v>
      </c>
      <c r="F345">
        <v>64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94</v>
      </c>
      <c r="B346">
        <v>7172030007001100</v>
      </c>
      <c r="C346">
        <v>58</v>
      </c>
      <c r="D346">
        <v>58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94</v>
      </c>
      <c r="B347">
        <v>7172030007001200</v>
      </c>
      <c r="C347">
        <v>54</v>
      </c>
      <c r="D347">
        <v>54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94</v>
      </c>
      <c r="B348">
        <v>7172030007001600</v>
      </c>
      <c r="C348">
        <v>53</v>
      </c>
      <c r="D348">
        <v>14</v>
      </c>
      <c r="E348">
        <v>1</v>
      </c>
      <c r="F348">
        <v>38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94</v>
      </c>
      <c r="B349">
        <v>7172030007001300</v>
      </c>
      <c r="C349">
        <v>45</v>
      </c>
      <c r="D349">
        <v>42</v>
      </c>
      <c r="E349">
        <v>1</v>
      </c>
      <c r="F349">
        <v>0</v>
      </c>
      <c r="G349">
        <v>2</v>
      </c>
      <c r="H349">
        <v>0</v>
      </c>
      <c r="I349">
        <v>0</v>
      </c>
      <c r="J349">
        <v>0</v>
      </c>
    </row>
    <row r="350" spans="1:10" x14ac:dyDescent="0.25">
      <c r="A350" t="s">
        <v>94</v>
      </c>
      <c r="B350">
        <v>7172030007001400</v>
      </c>
      <c r="C350">
        <v>44</v>
      </c>
      <c r="D350">
        <v>27</v>
      </c>
      <c r="E350">
        <v>4</v>
      </c>
      <c r="F350">
        <v>13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98</v>
      </c>
      <c r="B351">
        <v>7172030012001400</v>
      </c>
      <c r="C351">
        <v>108</v>
      </c>
      <c r="D351">
        <v>37</v>
      </c>
      <c r="E351">
        <v>0</v>
      </c>
      <c r="F351">
        <v>71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98</v>
      </c>
      <c r="B352">
        <v>7172030012001000</v>
      </c>
      <c r="C352">
        <v>104</v>
      </c>
      <c r="D352">
        <v>69</v>
      </c>
      <c r="E352">
        <v>9</v>
      </c>
      <c r="F352">
        <v>26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98</v>
      </c>
      <c r="B353">
        <v>7172030012000800</v>
      </c>
      <c r="C353">
        <v>99</v>
      </c>
      <c r="D353">
        <v>35</v>
      </c>
      <c r="E353">
        <v>0</v>
      </c>
      <c r="F353">
        <v>64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98</v>
      </c>
      <c r="B354">
        <v>7172030012001100</v>
      </c>
      <c r="C354">
        <v>99</v>
      </c>
      <c r="D354">
        <v>68</v>
      </c>
      <c r="E354">
        <v>18</v>
      </c>
      <c r="F354">
        <v>4</v>
      </c>
      <c r="G354">
        <v>4</v>
      </c>
      <c r="H354">
        <v>0</v>
      </c>
      <c r="I354">
        <v>5</v>
      </c>
      <c r="J354">
        <v>0</v>
      </c>
    </row>
    <row r="355" spans="1:10" x14ac:dyDescent="0.25">
      <c r="A355" t="s">
        <v>98</v>
      </c>
      <c r="B355">
        <v>7172030012000600</v>
      </c>
      <c r="C355">
        <v>94</v>
      </c>
      <c r="D355">
        <v>50</v>
      </c>
      <c r="E355">
        <v>11</v>
      </c>
      <c r="F355">
        <v>33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98</v>
      </c>
      <c r="B356">
        <v>7172030012001300</v>
      </c>
      <c r="C356">
        <v>61</v>
      </c>
      <c r="D356">
        <v>10</v>
      </c>
      <c r="E356">
        <v>0</v>
      </c>
      <c r="F356">
        <v>51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98</v>
      </c>
      <c r="B357">
        <v>7172030012001500</v>
      </c>
      <c r="C357">
        <v>51</v>
      </c>
      <c r="D357">
        <v>41</v>
      </c>
      <c r="E357">
        <v>0</v>
      </c>
      <c r="F357">
        <v>9</v>
      </c>
      <c r="G357">
        <v>0</v>
      </c>
      <c r="H357">
        <v>1</v>
      </c>
      <c r="I357">
        <v>0</v>
      </c>
      <c r="J357">
        <v>0</v>
      </c>
    </row>
    <row r="358" spans="1:10" x14ac:dyDescent="0.25">
      <c r="A358" t="s">
        <v>107</v>
      </c>
      <c r="B358">
        <v>7172030017000400</v>
      </c>
      <c r="C358">
        <v>124</v>
      </c>
      <c r="D358">
        <v>60</v>
      </c>
      <c r="E358">
        <v>6</v>
      </c>
      <c r="F358">
        <v>55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t="s">
        <v>107</v>
      </c>
      <c r="B359">
        <v>7172030017000700</v>
      </c>
      <c r="C359">
        <v>112</v>
      </c>
      <c r="D359">
        <v>85</v>
      </c>
      <c r="E359">
        <v>4</v>
      </c>
      <c r="F359">
        <v>20</v>
      </c>
      <c r="G359">
        <v>1</v>
      </c>
      <c r="H359">
        <v>0</v>
      </c>
      <c r="I359">
        <v>2</v>
      </c>
      <c r="J359">
        <v>0</v>
      </c>
    </row>
    <row r="360" spans="1:10" x14ac:dyDescent="0.25">
      <c r="A360" t="s">
        <v>107</v>
      </c>
      <c r="B360">
        <v>7172030017000600</v>
      </c>
      <c r="C360">
        <v>97</v>
      </c>
      <c r="D360">
        <v>33</v>
      </c>
      <c r="E360">
        <v>5</v>
      </c>
      <c r="F360">
        <v>56</v>
      </c>
      <c r="G360">
        <v>0</v>
      </c>
      <c r="H360">
        <v>0</v>
      </c>
      <c r="I360">
        <v>3</v>
      </c>
      <c r="J360">
        <v>0</v>
      </c>
    </row>
    <row r="361" spans="1:10" x14ac:dyDescent="0.25">
      <c r="A361" t="s">
        <v>107</v>
      </c>
      <c r="B361">
        <v>7172030017001000</v>
      </c>
      <c r="C361">
        <v>56</v>
      </c>
      <c r="D361">
        <v>0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107</v>
      </c>
      <c r="B362">
        <v>7172030017000800</v>
      </c>
      <c r="C362">
        <v>48</v>
      </c>
      <c r="D362">
        <v>35</v>
      </c>
      <c r="E362">
        <v>2</v>
      </c>
      <c r="F362">
        <v>10</v>
      </c>
      <c r="G362">
        <v>1</v>
      </c>
      <c r="H362">
        <v>0</v>
      </c>
      <c r="I362">
        <v>0</v>
      </c>
      <c r="J362">
        <v>0</v>
      </c>
    </row>
    <row r="363" spans="1:10" x14ac:dyDescent="0.25">
      <c r="A363" t="s">
        <v>107</v>
      </c>
      <c r="B363">
        <v>7172030017000900</v>
      </c>
      <c r="C363">
        <v>48</v>
      </c>
      <c r="D363">
        <v>3</v>
      </c>
      <c r="E363">
        <v>0</v>
      </c>
      <c r="F363">
        <v>45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107</v>
      </c>
      <c r="B364">
        <v>7172030017001200</v>
      </c>
      <c r="C364">
        <v>41</v>
      </c>
      <c r="D364">
        <v>5</v>
      </c>
      <c r="E364">
        <v>0</v>
      </c>
      <c r="F364">
        <v>36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107</v>
      </c>
      <c r="B365">
        <v>7172030017001300</v>
      </c>
      <c r="C365">
        <v>41</v>
      </c>
      <c r="D365">
        <v>35</v>
      </c>
      <c r="E365">
        <v>5</v>
      </c>
      <c r="F365">
        <v>1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107</v>
      </c>
      <c r="B366">
        <v>7172030017001100</v>
      </c>
      <c r="C366">
        <v>38</v>
      </c>
      <c r="D366">
        <v>0</v>
      </c>
      <c r="E366">
        <v>2</v>
      </c>
      <c r="F366">
        <v>36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107</v>
      </c>
      <c r="B367">
        <v>7172030017001500</v>
      </c>
      <c r="C367">
        <v>34</v>
      </c>
      <c r="D367">
        <v>0</v>
      </c>
      <c r="E367">
        <v>0</v>
      </c>
      <c r="F367">
        <v>34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242</v>
      </c>
      <c r="B368">
        <v>7172030013001300</v>
      </c>
      <c r="C368">
        <v>132</v>
      </c>
      <c r="D368">
        <v>115</v>
      </c>
      <c r="E368">
        <v>0</v>
      </c>
      <c r="F368">
        <v>17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242</v>
      </c>
      <c r="B369">
        <v>7172030013001500</v>
      </c>
      <c r="C369">
        <v>130</v>
      </c>
      <c r="D369">
        <v>39</v>
      </c>
      <c r="E369">
        <v>0</v>
      </c>
      <c r="F369">
        <v>91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242</v>
      </c>
      <c r="B370">
        <v>7172030013001600</v>
      </c>
      <c r="C370">
        <v>95</v>
      </c>
      <c r="D370">
        <v>20</v>
      </c>
      <c r="E370">
        <v>0</v>
      </c>
      <c r="F370">
        <v>75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242</v>
      </c>
      <c r="B371">
        <v>7172030014000100</v>
      </c>
      <c r="C371">
        <v>75</v>
      </c>
      <c r="D371">
        <v>19</v>
      </c>
      <c r="E371">
        <v>0</v>
      </c>
      <c r="F371">
        <v>56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242</v>
      </c>
      <c r="B372">
        <v>7172030013001400</v>
      </c>
      <c r="C372">
        <v>70</v>
      </c>
      <c r="D372">
        <v>9</v>
      </c>
      <c r="E372">
        <v>0</v>
      </c>
      <c r="F372">
        <v>61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242</v>
      </c>
      <c r="B373">
        <v>7172030013001100</v>
      </c>
      <c r="C373">
        <v>58</v>
      </c>
      <c r="D373">
        <v>5</v>
      </c>
      <c r="E373">
        <v>0</v>
      </c>
      <c r="F373">
        <v>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242</v>
      </c>
      <c r="B374">
        <v>7172030014000200</v>
      </c>
      <c r="C374">
        <v>58</v>
      </c>
      <c r="D374">
        <v>57</v>
      </c>
      <c r="E374">
        <v>0</v>
      </c>
      <c r="F374">
        <v>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106</v>
      </c>
      <c r="B375">
        <v>7172030015001500</v>
      </c>
      <c r="C375">
        <v>223</v>
      </c>
      <c r="D375">
        <v>220</v>
      </c>
      <c r="E375">
        <v>0</v>
      </c>
      <c r="F375">
        <v>0</v>
      </c>
      <c r="G375">
        <v>0</v>
      </c>
      <c r="H375">
        <v>0</v>
      </c>
      <c r="I375">
        <v>3</v>
      </c>
      <c r="J375">
        <v>0</v>
      </c>
    </row>
    <row r="376" spans="1:10" x14ac:dyDescent="0.25">
      <c r="A376" t="s">
        <v>106</v>
      </c>
      <c r="B376">
        <v>7172030015001702</v>
      </c>
      <c r="C376">
        <v>203</v>
      </c>
      <c r="D376">
        <v>0</v>
      </c>
      <c r="E376">
        <v>1</v>
      </c>
      <c r="F376">
        <v>202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106</v>
      </c>
      <c r="B377">
        <v>7172030015001600</v>
      </c>
      <c r="C377">
        <v>92</v>
      </c>
      <c r="D377">
        <v>1</v>
      </c>
      <c r="E377">
        <v>5</v>
      </c>
      <c r="F377">
        <v>73</v>
      </c>
      <c r="G377">
        <v>0</v>
      </c>
      <c r="H377">
        <v>0</v>
      </c>
      <c r="I377">
        <v>13</v>
      </c>
      <c r="J377">
        <v>0</v>
      </c>
    </row>
    <row r="378" spans="1:10" x14ac:dyDescent="0.25">
      <c r="A378" t="s">
        <v>106</v>
      </c>
      <c r="B378">
        <v>7172030015001400</v>
      </c>
      <c r="C378">
        <v>56</v>
      </c>
      <c r="D378">
        <v>56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102</v>
      </c>
      <c r="B379">
        <v>7172030014000500</v>
      </c>
      <c r="C379">
        <v>129</v>
      </c>
      <c r="D379">
        <v>60</v>
      </c>
      <c r="E379">
        <v>30</v>
      </c>
      <c r="F379">
        <v>36</v>
      </c>
      <c r="G379">
        <v>0</v>
      </c>
      <c r="H379">
        <v>0</v>
      </c>
      <c r="I379">
        <v>3</v>
      </c>
      <c r="J379">
        <v>0</v>
      </c>
    </row>
    <row r="380" spans="1:10" x14ac:dyDescent="0.25">
      <c r="A380" t="s">
        <v>102</v>
      </c>
      <c r="B380">
        <v>7172030014000900</v>
      </c>
      <c r="C380">
        <v>105</v>
      </c>
      <c r="D380">
        <v>25</v>
      </c>
      <c r="E380">
        <v>0</v>
      </c>
      <c r="F380">
        <v>80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102</v>
      </c>
      <c r="B381">
        <v>7172030014000300</v>
      </c>
      <c r="C381">
        <v>96</v>
      </c>
      <c r="D381">
        <v>95</v>
      </c>
      <c r="E381">
        <v>0</v>
      </c>
      <c r="F381">
        <v>1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102</v>
      </c>
      <c r="B382">
        <v>7172030014000600</v>
      </c>
      <c r="C382">
        <v>93</v>
      </c>
      <c r="D382">
        <v>0</v>
      </c>
      <c r="E382">
        <v>0</v>
      </c>
      <c r="F382">
        <v>93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102</v>
      </c>
      <c r="B383">
        <v>7172030014000700</v>
      </c>
      <c r="C383">
        <v>90</v>
      </c>
      <c r="D383">
        <v>4</v>
      </c>
      <c r="E383">
        <v>0</v>
      </c>
      <c r="F383">
        <v>86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102</v>
      </c>
      <c r="B384">
        <v>7172030014000800</v>
      </c>
      <c r="C384">
        <v>67</v>
      </c>
      <c r="D384">
        <v>17</v>
      </c>
      <c r="E384">
        <v>0</v>
      </c>
      <c r="F384">
        <v>50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102</v>
      </c>
      <c r="B385">
        <v>7172030014000400</v>
      </c>
      <c r="C385">
        <v>62</v>
      </c>
      <c r="D385">
        <v>59</v>
      </c>
      <c r="E385">
        <v>3</v>
      </c>
      <c r="F385">
        <v>0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108</v>
      </c>
      <c r="B386">
        <v>7172030017001900</v>
      </c>
      <c r="C386">
        <v>131</v>
      </c>
      <c r="D386">
        <v>68</v>
      </c>
      <c r="E386">
        <v>6</v>
      </c>
      <c r="F386">
        <v>53</v>
      </c>
      <c r="G386">
        <v>0</v>
      </c>
      <c r="H386">
        <v>0</v>
      </c>
      <c r="I386">
        <v>4</v>
      </c>
      <c r="J386">
        <v>0</v>
      </c>
    </row>
    <row r="387" spans="1:10" x14ac:dyDescent="0.25">
      <c r="A387" t="s">
        <v>108</v>
      </c>
      <c r="B387">
        <v>7172030017002001</v>
      </c>
      <c r="C387">
        <v>108</v>
      </c>
      <c r="D387">
        <v>31</v>
      </c>
      <c r="E387">
        <v>3</v>
      </c>
      <c r="F387">
        <v>73</v>
      </c>
      <c r="G387">
        <v>0</v>
      </c>
      <c r="H387">
        <v>0</v>
      </c>
      <c r="I387">
        <v>1</v>
      </c>
      <c r="J387">
        <v>0</v>
      </c>
    </row>
    <row r="388" spans="1:10" x14ac:dyDescent="0.25">
      <c r="A388" t="s">
        <v>108</v>
      </c>
      <c r="B388">
        <v>7172030017001700</v>
      </c>
      <c r="C388">
        <v>102</v>
      </c>
      <c r="D388">
        <v>11</v>
      </c>
      <c r="E388">
        <v>8</v>
      </c>
      <c r="F388">
        <v>69</v>
      </c>
      <c r="G388">
        <v>0</v>
      </c>
      <c r="H388">
        <v>0</v>
      </c>
      <c r="I388">
        <v>14</v>
      </c>
      <c r="J388">
        <v>0</v>
      </c>
    </row>
    <row r="389" spans="1:10" x14ac:dyDescent="0.25">
      <c r="A389" t="s">
        <v>108</v>
      </c>
      <c r="B389">
        <v>7172030017002002</v>
      </c>
      <c r="C389">
        <v>100</v>
      </c>
      <c r="D389">
        <v>23</v>
      </c>
      <c r="E389">
        <v>10</v>
      </c>
      <c r="F389">
        <v>58</v>
      </c>
      <c r="G389">
        <v>0</v>
      </c>
      <c r="H389">
        <v>0</v>
      </c>
      <c r="I389">
        <v>9</v>
      </c>
      <c r="J389">
        <v>0</v>
      </c>
    </row>
    <row r="390" spans="1:10" x14ac:dyDescent="0.25">
      <c r="A390" t="s">
        <v>108</v>
      </c>
      <c r="B390">
        <v>7172030017001800</v>
      </c>
      <c r="C390">
        <v>99</v>
      </c>
      <c r="D390">
        <v>25</v>
      </c>
      <c r="E390">
        <v>2</v>
      </c>
      <c r="F390">
        <v>63</v>
      </c>
      <c r="G390">
        <v>0</v>
      </c>
      <c r="H390">
        <v>0</v>
      </c>
      <c r="I390">
        <v>9</v>
      </c>
      <c r="J390">
        <v>0</v>
      </c>
    </row>
    <row r="391" spans="1:10" x14ac:dyDescent="0.25">
      <c r="A391" t="s">
        <v>108</v>
      </c>
      <c r="B391">
        <v>7172030017001400</v>
      </c>
      <c r="C391">
        <v>88</v>
      </c>
      <c r="D391">
        <v>72</v>
      </c>
      <c r="E391">
        <v>13</v>
      </c>
      <c r="F391">
        <v>0</v>
      </c>
      <c r="G391">
        <v>2</v>
      </c>
      <c r="H391">
        <v>0</v>
      </c>
      <c r="I391">
        <v>1</v>
      </c>
      <c r="J391">
        <v>0</v>
      </c>
    </row>
    <row r="392" spans="1:10" x14ac:dyDescent="0.25">
      <c r="A392" t="s">
        <v>108</v>
      </c>
      <c r="B392">
        <v>7172030017001600</v>
      </c>
      <c r="C392">
        <v>69</v>
      </c>
      <c r="D392">
        <v>30</v>
      </c>
      <c r="E392">
        <v>5</v>
      </c>
      <c r="F392">
        <v>26</v>
      </c>
      <c r="G392">
        <v>0</v>
      </c>
      <c r="H392">
        <v>1</v>
      </c>
      <c r="I392">
        <v>7</v>
      </c>
      <c r="J392">
        <v>0</v>
      </c>
    </row>
    <row r="393" spans="1:10" x14ac:dyDescent="0.25">
      <c r="A393" t="s">
        <v>110</v>
      </c>
      <c r="B393">
        <v>7172031002000100</v>
      </c>
      <c r="C393">
        <v>231</v>
      </c>
      <c r="D393">
        <v>201</v>
      </c>
      <c r="E393">
        <v>10</v>
      </c>
      <c r="F393">
        <v>4</v>
      </c>
      <c r="G393">
        <v>16</v>
      </c>
      <c r="H393">
        <v>0</v>
      </c>
      <c r="I393">
        <v>0</v>
      </c>
      <c r="J393">
        <v>0</v>
      </c>
    </row>
    <row r="394" spans="1:10" x14ac:dyDescent="0.25">
      <c r="A394" t="s">
        <v>110</v>
      </c>
      <c r="B394">
        <v>7172031002000200</v>
      </c>
      <c r="C394">
        <v>190</v>
      </c>
      <c r="D394">
        <v>163</v>
      </c>
      <c r="E394">
        <v>8</v>
      </c>
      <c r="F394">
        <v>12</v>
      </c>
      <c r="G394">
        <v>6</v>
      </c>
      <c r="H394">
        <v>0</v>
      </c>
      <c r="I394">
        <v>1</v>
      </c>
      <c r="J394">
        <v>0</v>
      </c>
    </row>
    <row r="395" spans="1:10" x14ac:dyDescent="0.25">
      <c r="A395" t="s">
        <v>110</v>
      </c>
      <c r="B395">
        <v>7172031002000300</v>
      </c>
      <c r="C395">
        <v>143</v>
      </c>
      <c r="D395">
        <v>56</v>
      </c>
      <c r="E395">
        <v>12</v>
      </c>
      <c r="F395">
        <v>71</v>
      </c>
      <c r="G395">
        <v>3</v>
      </c>
      <c r="H395">
        <v>0</v>
      </c>
      <c r="I395">
        <v>1</v>
      </c>
      <c r="J395">
        <v>0</v>
      </c>
    </row>
    <row r="396" spans="1:10" x14ac:dyDescent="0.25">
      <c r="A396" t="s">
        <v>110</v>
      </c>
      <c r="B396">
        <v>7172031001001500</v>
      </c>
      <c r="C396">
        <v>95</v>
      </c>
      <c r="D396">
        <v>87</v>
      </c>
      <c r="E396">
        <v>2</v>
      </c>
      <c r="F396">
        <v>0</v>
      </c>
      <c r="G396">
        <v>6</v>
      </c>
      <c r="H396">
        <v>0</v>
      </c>
      <c r="I396">
        <v>0</v>
      </c>
      <c r="J396">
        <v>0</v>
      </c>
    </row>
    <row r="397" spans="1:10" x14ac:dyDescent="0.25">
      <c r="A397" t="s">
        <v>111</v>
      </c>
      <c r="B397">
        <v>7172031002000500</v>
      </c>
      <c r="C397">
        <v>137</v>
      </c>
      <c r="D397">
        <v>105</v>
      </c>
      <c r="E397">
        <v>17</v>
      </c>
      <c r="F397">
        <v>15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111</v>
      </c>
      <c r="B398">
        <v>7172031002001101</v>
      </c>
      <c r="C398">
        <v>111</v>
      </c>
      <c r="D398">
        <v>31</v>
      </c>
      <c r="E398">
        <v>24</v>
      </c>
      <c r="F398">
        <v>51</v>
      </c>
      <c r="G398">
        <v>4</v>
      </c>
      <c r="H398">
        <v>0</v>
      </c>
      <c r="I398">
        <v>1</v>
      </c>
      <c r="J398">
        <v>0</v>
      </c>
    </row>
    <row r="399" spans="1:10" x14ac:dyDescent="0.25">
      <c r="A399" t="s">
        <v>111</v>
      </c>
      <c r="B399">
        <v>7172031002000400</v>
      </c>
      <c r="C399">
        <v>104</v>
      </c>
      <c r="D399">
        <v>103</v>
      </c>
      <c r="E399">
        <v>1</v>
      </c>
      <c r="F399">
        <v>0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111</v>
      </c>
      <c r="B400">
        <v>7172031002000700</v>
      </c>
      <c r="C400">
        <v>64</v>
      </c>
      <c r="D400">
        <v>4</v>
      </c>
      <c r="E400">
        <v>1</v>
      </c>
      <c r="F400">
        <v>59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111</v>
      </c>
      <c r="B401">
        <v>7172031002001500</v>
      </c>
      <c r="C401">
        <v>59</v>
      </c>
      <c r="D401">
        <v>0</v>
      </c>
      <c r="E401">
        <v>0</v>
      </c>
      <c r="F401">
        <v>59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111</v>
      </c>
      <c r="B402">
        <v>7172031003000200</v>
      </c>
      <c r="C402">
        <v>56</v>
      </c>
      <c r="D402">
        <v>20</v>
      </c>
      <c r="E402">
        <v>0</v>
      </c>
      <c r="F402">
        <v>36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111</v>
      </c>
      <c r="B403">
        <v>7172031002001400</v>
      </c>
      <c r="C403">
        <v>55</v>
      </c>
      <c r="D403">
        <v>0</v>
      </c>
      <c r="E403">
        <v>0</v>
      </c>
      <c r="F403">
        <v>55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111</v>
      </c>
      <c r="B404">
        <v>7172031002000600</v>
      </c>
      <c r="C404">
        <v>49</v>
      </c>
      <c r="D404">
        <v>0</v>
      </c>
      <c r="E404">
        <v>0</v>
      </c>
      <c r="F404">
        <v>49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112</v>
      </c>
      <c r="B405">
        <v>7172031002001102</v>
      </c>
      <c r="C405">
        <v>181</v>
      </c>
      <c r="D405">
        <v>75</v>
      </c>
      <c r="E405">
        <v>69</v>
      </c>
      <c r="F405">
        <v>29</v>
      </c>
      <c r="G405">
        <v>1</v>
      </c>
      <c r="H405">
        <v>0</v>
      </c>
      <c r="I405">
        <v>7</v>
      </c>
      <c r="J405">
        <v>0</v>
      </c>
    </row>
    <row r="406" spans="1:10" x14ac:dyDescent="0.25">
      <c r="A406" t="s">
        <v>112</v>
      </c>
      <c r="B406">
        <v>7172031002001000</v>
      </c>
      <c r="C406">
        <v>137</v>
      </c>
      <c r="D406">
        <v>131</v>
      </c>
      <c r="E406">
        <v>6</v>
      </c>
      <c r="F406">
        <v>0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112</v>
      </c>
      <c r="B407">
        <v>7172031002001300</v>
      </c>
      <c r="C407">
        <v>88</v>
      </c>
      <c r="D407">
        <v>53</v>
      </c>
      <c r="E407">
        <v>23</v>
      </c>
      <c r="F407">
        <v>12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112</v>
      </c>
      <c r="B408">
        <v>7172031008001400</v>
      </c>
      <c r="C408">
        <v>77</v>
      </c>
      <c r="D408">
        <v>0</v>
      </c>
      <c r="E408">
        <v>0</v>
      </c>
      <c r="F408">
        <v>77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112</v>
      </c>
      <c r="B409">
        <v>7172031002000800</v>
      </c>
      <c r="C409">
        <v>76</v>
      </c>
      <c r="D409">
        <v>0</v>
      </c>
      <c r="E409">
        <v>0</v>
      </c>
      <c r="F409">
        <v>76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112</v>
      </c>
      <c r="B410">
        <v>7172031008000800</v>
      </c>
      <c r="C410">
        <v>57</v>
      </c>
      <c r="D410">
        <v>57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112</v>
      </c>
      <c r="B411">
        <v>7172031002000900</v>
      </c>
      <c r="C411">
        <v>48</v>
      </c>
      <c r="D411">
        <v>1</v>
      </c>
      <c r="E411">
        <v>0</v>
      </c>
      <c r="F411">
        <v>47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112</v>
      </c>
      <c r="B412">
        <v>7172031008001500</v>
      </c>
      <c r="C412">
        <v>30</v>
      </c>
      <c r="D412">
        <v>30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115</v>
      </c>
      <c r="B413">
        <v>7172031003002000</v>
      </c>
      <c r="C413">
        <v>198</v>
      </c>
      <c r="D413">
        <v>187</v>
      </c>
      <c r="E413">
        <v>3</v>
      </c>
      <c r="F413">
        <v>7</v>
      </c>
      <c r="G413">
        <v>0</v>
      </c>
      <c r="H413">
        <v>0</v>
      </c>
      <c r="I413">
        <v>1</v>
      </c>
      <c r="J413">
        <v>0</v>
      </c>
    </row>
    <row r="414" spans="1:10" x14ac:dyDescent="0.25">
      <c r="A414" t="s">
        <v>115</v>
      </c>
      <c r="B414">
        <v>7172031003002100</v>
      </c>
      <c r="C414">
        <v>139</v>
      </c>
      <c r="D414">
        <v>47</v>
      </c>
      <c r="E414">
        <v>5</v>
      </c>
      <c r="F414">
        <v>87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115</v>
      </c>
      <c r="B415">
        <v>7172031003001700</v>
      </c>
      <c r="C415">
        <v>138</v>
      </c>
      <c r="D415">
        <v>38</v>
      </c>
      <c r="E415">
        <v>0</v>
      </c>
      <c r="F415">
        <v>100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115</v>
      </c>
      <c r="B416">
        <v>7172031003001900</v>
      </c>
      <c r="C416">
        <v>64</v>
      </c>
      <c r="D416">
        <v>31</v>
      </c>
      <c r="E416">
        <v>2</v>
      </c>
      <c r="F416">
        <v>23</v>
      </c>
      <c r="G416">
        <v>0</v>
      </c>
      <c r="H416">
        <v>0</v>
      </c>
      <c r="I416">
        <v>8</v>
      </c>
      <c r="J416">
        <v>0</v>
      </c>
    </row>
    <row r="417" spans="1:10" x14ac:dyDescent="0.25">
      <c r="A417" t="s">
        <v>115</v>
      </c>
      <c r="B417">
        <v>7172031003001400</v>
      </c>
      <c r="C417">
        <v>56</v>
      </c>
      <c r="D417">
        <v>0</v>
      </c>
      <c r="E417">
        <v>0</v>
      </c>
      <c r="F417">
        <v>56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117</v>
      </c>
      <c r="B418">
        <v>7172031004000800</v>
      </c>
      <c r="C418">
        <v>123</v>
      </c>
      <c r="D418">
        <v>23</v>
      </c>
      <c r="E418">
        <v>6</v>
      </c>
      <c r="F418">
        <v>94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117</v>
      </c>
      <c r="B419">
        <v>7172031004000900</v>
      </c>
      <c r="C419">
        <v>79</v>
      </c>
      <c r="D419">
        <v>76</v>
      </c>
      <c r="E419">
        <v>3</v>
      </c>
      <c r="F419">
        <v>0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117</v>
      </c>
      <c r="B420">
        <v>7172031004000200</v>
      </c>
      <c r="C420">
        <v>56</v>
      </c>
      <c r="D420">
        <v>15</v>
      </c>
      <c r="E420">
        <v>5</v>
      </c>
      <c r="F420">
        <v>36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117</v>
      </c>
      <c r="B421">
        <v>7172031004000100</v>
      </c>
      <c r="C421">
        <v>54</v>
      </c>
      <c r="D421">
        <v>21</v>
      </c>
      <c r="E421">
        <v>3</v>
      </c>
      <c r="F421">
        <v>30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117</v>
      </c>
      <c r="B422">
        <v>7172031004001000</v>
      </c>
      <c r="C422">
        <v>52</v>
      </c>
      <c r="D422">
        <v>31</v>
      </c>
      <c r="E422">
        <v>18</v>
      </c>
      <c r="F422">
        <v>1</v>
      </c>
      <c r="G422">
        <v>0</v>
      </c>
      <c r="H422">
        <v>0</v>
      </c>
      <c r="I422">
        <v>2</v>
      </c>
      <c r="J422">
        <v>0</v>
      </c>
    </row>
    <row r="423" spans="1:10" x14ac:dyDescent="0.25">
      <c r="A423" t="s">
        <v>117</v>
      </c>
      <c r="B423">
        <v>7172031004000300</v>
      </c>
      <c r="C423">
        <v>51</v>
      </c>
      <c r="D423">
        <v>15</v>
      </c>
      <c r="E423">
        <v>0</v>
      </c>
      <c r="F423">
        <v>36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117</v>
      </c>
      <c r="B424">
        <v>7172031004000500</v>
      </c>
      <c r="C424">
        <v>48</v>
      </c>
      <c r="D424">
        <v>46</v>
      </c>
      <c r="E424">
        <v>0</v>
      </c>
      <c r="F424">
        <v>1</v>
      </c>
      <c r="G424">
        <v>0</v>
      </c>
      <c r="H424">
        <v>1</v>
      </c>
      <c r="I424">
        <v>0</v>
      </c>
      <c r="J424">
        <v>0</v>
      </c>
    </row>
    <row r="425" spans="1:10" x14ac:dyDescent="0.25">
      <c r="A425" t="s">
        <v>117</v>
      </c>
      <c r="B425">
        <v>7172031004001100</v>
      </c>
      <c r="C425">
        <v>48</v>
      </c>
      <c r="D425">
        <v>8</v>
      </c>
      <c r="E425">
        <v>0</v>
      </c>
      <c r="F425">
        <v>40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117</v>
      </c>
      <c r="B426">
        <v>7172031004000700</v>
      </c>
      <c r="C426">
        <v>45</v>
      </c>
      <c r="D426">
        <v>10</v>
      </c>
      <c r="E426">
        <v>0</v>
      </c>
      <c r="F426">
        <v>35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117</v>
      </c>
      <c r="B427">
        <v>7172031004000600</v>
      </c>
      <c r="C427">
        <v>42</v>
      </c>
      <c r="D427">
        <v>14</v>
      </c>
      <c r="E427">
        <v>26</v>
      </c>
      <c r="F427">
        <v>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117</v>
      </c>
      <c r="B428">
        <v>7172031004000400</v>
      </c>
      <c r="C428">
        <v>28</v>
      </c>
      <c r="D428">
        <v>12</v>
      </c>
      <c r="E428">
        <v>0</v>
      </c>
      <c r="F428">
        <v>16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243</v>
      </c>
      <c r="B429">
        <v>7172031003001800</v>
      </c>
      <c r="C429">
        <v>146</v>
      </c>
      <c r="D429">
        <v>132</v>
      </c>
      <c r="E429">
        <v>0</v>
      </c>
      <c r="F429">
        <v>14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243</v>
      </c>
      <c r="B430">
        <v>7172031003002500</v>
      </c>
      <c r="C430">
        <v>109</v>
      </c>
      <c r="D430">
        <v>87</v>
      </c>
      <c r="E430">
        <v>3</v>
      </c>
      <c r="F430">
        <v>19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243</v>
      </c>
      <c r="B431">
        <v>7172031003002700</v>
      </c>
      <c r="C431">
        <v>106</v>
      </c>
      <c r="D431">
        <v>26</v>
      </c>
      <c r="E431">
        <v>4</v>
      </c>
      <c r="F431">
        <v>76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243</v>
      </c>
      <c r="B432">
        <v>7172031003002600</v>
      </c>
      <c r="C432">
        <v>81</v>
      </c>
      <c r="D432">
        <v>69</v>
      </c>
      <c r="E432">
        <v>9</v>
      </c>
      <c r="F432">
        <v>2</v>
      </c>
      <c r="G432">
        <v>1</v>
      </c>
      <c r="H432">
        <v>0</v>
      </c>
      <c r="I432">
        <v>0</v>
      </c>
      <c r="J432">
        <v>0</v>
      </c>
    </row>
    <row r="433" spans="1:10" x14ac:dyDescent="0.25">
      <c r="A433" t="s">
        <v>243</v>
      </c>
      <c r="B433">
        <v>7172031003002300</v>
      </c>
      <c r="C433">
        <v>77</v>
      </c>
      <c r="D433">
        <v>0</v>
      </c>
      <c r="E433">
        <v>0</v>
      </c>
      <c r="F433">
        <v>77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243</v>
      </c>
      <c r="B434">
        <v>7172031003002400</v>
      </c>
      <c r="C434">
        <v>62</v>
      </c>
      <c r="D434">
        <v>51</v>
      </c>
      <c r="E434">
        <v>0</v>
      </c>
      <c r="F434">
        <v>11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243</v>
      </c>
      <c r="B435">
        <v>7172031003002200</v>
      </c>
      <c r="C435">
        <v>60</v>
      </c>
      <c r="D435">
        <v>1</v>
      </c>
      <c r="E435">
        <v>0</v>
      </c>
      <c r="F435">
        <v>59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120</v>
      </c>
      <c r="B436">
        <v>7172031006000101</v>
      </c>
      <c r="C436">
        <v>229</v>
      </c>
      <c r="D436">
        <v>221</v>
      </c>
      <c r="E436">
        <v>3</v>
      </c>
      <c r="F436">
        <v>5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120</v>
      </c>
      <c r="B437">
        <v>7172031006000300</v>
      </c>
      <c r="C437">
        <v>133</v>
      </c>
      <c r="D437">
        <v>16</v>
      </c>
      <c r="E437">
        <v>0</v>
      </c>
      <c r="F437">
        <v>117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120</v>
      </c>
      <c r="B438">
        <v>7172031006000400</v>
      </c>
      <c r="C438">
        <v>123</v>
      </c>
      <c r="D438">
        <v>0</v>
      </c>
      <c r="E438">
        <v>0</v>
      </c>
      <c r="F438">
        <v>123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120</v>
      </c>
      <c r="B439">
        <v>7172031006000200</v>
      </c>
      <c r="C439">
        <v>117</v>
      </c>
      <c r="D439">
        <v>0</v>
      </c>
      <c r="E439">
        <v>0</v>
      </c>
      <c r="F439">
        <v>117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120</v>
      </c>
      <c r="B440">
        <v>7172031006000102</v>
      </c>
      <c r="C440">
        <v>95</v>
      </c>
      <c r="D440">
        <v>74</v>
      </c>
      <c r="E440">
        <v>16</v>
      </c>
      <c r="F440">
        <v>5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127</v>
      </c>
      <c r="B441">
        <v>7172031007001600</v>
      </c>
      <c r="C441">
        <v>137</v>
      </c>
      <c r="D441">
        <v>82</v>
      </c>
      <c r="E441">
        <v>4</v>
      </c>
      <c r="F441">
        <v>49</v>
      </c>
      <c r="G441">
        <v>2</v>
      </c>
      <c r="H441">
        <v>0</v>
      </c>
      <c r="I441">
        <v>0</v>
      </c>
      <c r="J441">
        <v>0</v>
      </c>
    </row>
    <row r="442" spans="1:10" x14ac:dyDescent="0.25">
      <c r="A442" t="s">
        <v>127</v>
      </c>
      <c r="B442">
        <v>7172031007001800</v>
      </c>
      <c r="C442">
        <v>117</v>
      </c>
      <c r="D442">
        <v>18</v>
      </c>
      <c r="E442">
        <v>0</v>
      </c>
      <c r="F442">
        <v>99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127</v>
      </c>
      <c r="B443">
        <v>7172031007001200</v>
      </c>
      <c r="C443">
        <v>106</v>
      </c>
      <c r="D443">
        <v>84</v>
      </c>
      <c r="E443">
        <v>3</v>
      </c>
      <c r="F443">
        <v>9</v>
      </c>
      <c r="G443">
        <v>9</v>
      </c>
      <c r="H443">
        <v>1</v>
      </c>
      <c r="I443">
        <v>0</v>
      </c>
      <c r="J443">
        <v>0</v>
      </c>
    </row>
    <row r="444" spans="1:10" x14ac:dyDescent="0.25">
      <c r="A444" t="s">
        <v>127</v>
      </c>
      <c r="B444">
        <v>7172031007001000</v>
      </c>
      <c r="C444">
        <v>102</v>
      </c>
      <c r="D444">
        <v>91</v>
      </c>
      <c r="E444">
        <v>1</v>
      </c>
      <c r="F444">
        <v>4</v>
      </c>
      <c r="G444">
        <v>5</v>
      </c>
      <c r="H444">
        <v>1</v>
      </c>
      <c r="I444">
        <v>0</v>
      </c>
      <c r="J444">
        <v>0</v>
      </c>
    </row>
    <row r="445" spans="1:10" x14ac:dyDescent="0.25">
      <c r="A445" t="s">
        <v>127</v>
      </c>
      <c r="B445">
        <v>7172031007001700</v>
      </c>
      <c r="C445">
        <v>87</v>
      </c>
      <c r="D445">
        <v>10</v>
      </c>
      <c r="E445">
        <v>3</v>
      </c>
      <c r="F445">
        <v>52</v>
      </c>
      <c r="G445">
        <v>1</v>
      </c>
      <c r="H445">
        <v>0</v>
      </c>
      <c r="I445">
        <v>21</v>
      </c>
      <c r="J445">
        <v>0</v>
      </c>
    </row>
    <row r="446" spans="1:10" x14ac:dyDescent="0.25">
      <c r="A446" t="s">
        <v>127</v>
      </c>
      <c r="B446">
        <v>7172031007002000</v>
      </c>
      <c r="C446">
        <v>79</v>
      </c>
      <c r="D446">
        <v>0</v>
      </c>
      <c r="E446">
        <v>0</v>
      </c>
      <c r="F446">
        <v>79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122</v>
      </c>
      <c r="B447">
        <v>7172031006000900</v>
      </c>
      <c r="C447">
        <v>202</v>
      </c>
      <c r="D447">
        <v>146</v>
      </c>
      <c r="E447">
        <v>14</v>
      </c>
      <c r="F447">
        <v>37</v>
      </c>
      <c r="G447">
        <v>2</v>
      </c>
      <c r="H447">
        <v>0</v>
      </c>
      <c r="I447">
        <v>3</v>
      </c>
      <c r="J447">
        <v>0</v>
      </c>
    </row>
    <row r="448" spans="1:10" x14ac:dyDescent="0.25">
      <c r="A448" t="s">
        <v>122</v>
      </c>
      <c r="B448">
        <v>7172031006001200</v>
      </c>
      <c r="C448">
        <v>136</v>
      </c>
      <c r="D448">
        <v>0</v>
      </c>
      <c r="E448">
        <v>0</v>
      </c>
      <c r="F448">
        <v>136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122</v>
      </c>
      <c r="B449">
        <v>7172031006001300</v>
      </c>
      <c r="C449">
        <v>116</v>
      </c>
      <c r="D449">
        <v>111</v>
      </c>
      <c r="E449">
        <v>5</v>
      </c>
      <c r="F449">
        <v>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122</v>
      </c>
      <c r="B450">
        <v>7172031006001000</v>
      </c>
      <c r="C450">
        <v>105</v>
      </c>
      <c r="D450">
        <v>0</v>
      </c>
      <c r="E450">
        <v>0</v>
      </c>
      <c r="F450">
        <v>105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122</v>
      </c>
      <c r="B451">
        <v>7172031006000700</v>
      </c>
      <c r="C451">
        <v>72</v>
      </c>
      <c r="D451">
        <v>3</v>
      </c>
      <c r="E451">
        <v>0</v>
      </c>
      <c r="F451">
        <v>69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124</v>
      </c>
      <c r="B452">
        <v>7172031006001400</v>
      </c>
      <c r="C452">
        <v>178</v>
      </c>
      <c r="D452">
        <v>143</v>
      </c>
      <c r="E452">
        <v>16</v>
      </c>
      <c r="F452">
        <v>0</v>
      </c>
      <c r="G452">
        <v>19</v>
      </c>
      <c r="H452">
        <v>0</v>
      </c>
      <c r="I452">
        <v>0</v>
      </c>
      <c r="J452">
        <v>0</v>
      </c>
    </row>
    <row r="453" spans="1:10" x14ac:dyDescent="0.25">
      <c r="A453" t="s">
        <v>124</v>
      </c>
      <c r="B453">
        <v>7172031006001500</v>
      </c>
      <c r="C453">
        <v>143</v>
      </c>
      <c r="D453">
        <v>45</v>
      </c>
      <c r="E453">
        <v>19</v>
      </c>
      <c r="F453">
        <v>77</v>
      </c>
      <c r="G453">
        <v>1</v>
      </c>
      <c r="H453">
        <v>0</v>
      </c>
      <c r="I453">
        <v>1</v>
      </c>
      <c r="J453">
        <v>0</v>
      </c>
    </row>
    <row r="454" spans="1:10" x14ac:dyDescent="0.25">
      <c r="A454" t="s">
        <v>124</v>
      </c>
      <c r="B454">
        <v>7172031006001700</v>
      </c>
      <c r="C454">
        <v>139</v>
      </c>
      <c r="D454">
        <v>108</v>
      </c>
      <c r="E454">
        <v>3</v>
      </c>
      <c r="F454">
        <v>9</v>
      </c>
      <c r="G454">
        <v>19</v>
      </c>
      <c r="H454">
        <v>0</v>
      </c>
      <c r="I454">
        <v>0</v>
      </c>
      <c r="J454">
        <v>0</v>
      </c>
    </row>
    <row r="455" spans="1:10" x14ac:dyDescent="0.25">
      <c r="A455" t="s">
        <v>124</v>
      </c>
      <c r="B455">
        <v>7172031006001600</v>
      </c>
      <c r="C455">
        <v>100</v>
      </c>
      <c r="D455">
        <v>73</v>
      </c>
      <c r="E455">
        <v>14</v>
      </c>
      <c r="F455">
        <v>11</v>
      </c>
      <c r="G455">
        <v>2</v>
      </c>
      <c r="H455">
        <v>0</v>
      </c>
      <c r="I455">
        <v>0</v>
      </c>
      <c r="J455">
        <v>0</v>
      </c>
    </row>
    <row r="456" spans="1:10" x14ac:dyDescent="0.25">
      <c r="A456" t="s">
        <v>124</v>
      </c>
      <c r="B456">
        <v>7172031006001800</v>
      </c>
      <c r="C456">
        <v>91</v>
      </c>
      <c r="D456">
        <v>0</v>
      </c>
      <c r="E456">
        <v>0</v>
      </c>
      <c r="F456">
        <v>91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129</v>
      </c>
      <c r="B457">
        <v>7172031008000300</v>
      </c>
      <c r="C457">
        <v>93</v>
      </c>
      <c r="D457">
        <v>92</v>
      </c>
      <c r="E457">
        <v>0</v>
      </c>
      <c r="F457">
        <v>0</v>
      </c>
      <c r="G457">
        <v>1</v>
      </c>
      <c r="H457">
        <v>0</v>
      </c>
      <c r="I457">
        <v>0</v>
      </c>
      <c r="J457">
        <v>0</v>
      </c>
    </row>
    <row r="458" spans="1:10" x14ac:dyDescent="0.25">
      <c r="A458" t="s">
        <v>129</v>
      </c>
      <c r="B458">
        <v>7172031008000900</v>
      </c>
      <c r="C458">
        <v>92</v>
      </c>
      <c r="D458">
        <v>28</v>
      </c>
      <c r="E458">
        <v>24</v>
      </c>
      <c r="F458">
        <v>40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129</v>
      </c>
      <c r="B459">
        <v>7172031008001000</v>
      </c>
      <c r="C459">
        <v>86</v>
      </c>
      <c r="D459">
        <v>0</v>
      </c>
      <c r="E459">
        <v>0</v>
      </c>
      <c r="F459">
        <v>86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129</v>
      </c>
      <c r="B460">
        <v>7172031008001200</v>
      </c>
      <c r="C460">
        <v>81</v>
      </c>
      <c r="D460">
        <v>0</v>
      </c>
      <c r="E460">
        <v>0</v>
      </c>
      <c r="F460">
        <v>81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129</v>
      </c>
      <c r="B461">
        <v>7172031008001300</v>
      </c>
      <c r="C461">
        <v>73</v>
      </c>
      <c r="D461">
        <v>0</v>
      </c>
      <c r="E461">
        <v>0</v>
      </c>
      <c r="F461">
        <v>73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129</v>
      </c>
      <c r="B462">
        <v>7172031008001100</v>
      </c>
      <c r="C462">
        <v>57</v>
      </c>
      <c r="D462">
        <v>0</v>
      </c>
      <c r="E462">
        <v>0</v>
      </c>
      <c r="F462">
        <v>57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129</v>
      </c>
      <c r="B463">
        <v>7172031008000500</v>
      </c>
      <c r="C463">
        <v>50</v>
      </c>
      <c r="D463">
        <v>47</v>
      </c>
      <c r="E463">
        <v>1</v>
      </c>
      <c r="F463">
        <v>1</v>
      </c>
      <c r="G463">
        <v>0</v>
      </c>
      <c r="H463">
        <v>1</v>
      </c>
      <c r="I463">
        <v>0</v>
      </c>
      <c r="J463">
        <v>0</v>
      </c>
    </row>
    <row r="464" spans="1:10" x14ac:dyDescent="0.25">
      <c r="A464" t="s">
        <v>129</v>
      </c>
      <c r="B464">
        <v>7172031008000600</v>
      </c>
      <c r="C464">
        <v>46</v>
      </c>
      <c r="D464">
        <v>44</v>
      </c>
      <c r="E464">
        <v>1</v>
      </c>
      <c r="F464">
        <v>0</v>
      </c>
      <c r="G464">
        <v>1</v>
      </c>
      <c r="H464">
        <v>0</v>
      </c>
      <c r="I464">
        <v>0</v>
      </c>
      <c r="J464">
        <v>0</v>
      </c>
    </row>
    <row r="465" spans="1:10" x14ac:dyDescent="0.25">
      <c r="A465" t="s">
        <v>129</v>
      </c>
      <c r="B465">
        <v>7172031008000700</v>
      </c>
      <c r="C465">
        <v>26</v>
      </c>
      <c r="D465">
        <v>26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129</v>
      </c>
      <c r="B466">
        <v>7172031008500100</v>
      </c>
      <c r="C466">
        <v>21</v>
      </c>
      <c r="D466">
        <v>20</v>
      </c>
      <c r="E466">
        <v>1</v>
      </c>
      <c r="F466">
        <v>0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130</v>
      </c>
      <c r="B467">
        <v>7172040009000500</v>
      </c>
      <c r="C467">
        <v>98</v>
      </c>
      <c r="D467">
        <v>42</v>
      </c>
      <c r="E467">
        <v>14</v>
      </c>
      <c r="F467">
        <v>27</v>
      </c>
      <c r="G467">
        <v>0</v>
      </c>
      <c r="H467">
        <v>0</v>
      </c>
      <c r="I467">
        <v>15</v>
      </c>
      <c r="J467">
        <v>0</v>
      </c>
    </row>
    <row r="468" spans="1:10" x14ac:dyDescent="0.25">
      <c r="A468" t="s">
        <v>130</v>
      </c>
      <c r="B468">
        <v>7172040009000200</v>
      </c>
      <c r="C468">
        <v>85</v>
      </c>
      <c r="D468">
        <v>0</v>
      </c>
      <c r="E468">
        <v>0</v>
      </c>
      <c r="F468">
        <v>85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130</v>
      </c>
      <c r="B469">
        <v>7172040009000600</v>
      </c>
      <c r="C469">
        <v>84</v>
      </c>
      <c r="D469">
        <v>71</v>
      </c>
      <c r="E469">
        <v>5</v>
      </c>
      <c r="F469">
        <v>6</v>
      </c>
      <c r="G469">
        <v>1</v>
      </c>
      <c r="H469">
        <v>0</v>
      </c>
      <c r="I469">
        <v>1</v>
      </c>
      <c r="J469">
        <v>0</v>
      </c>
    </row>
    <row r="470" spans="1:10" x14ac:dyDescent="0.25">
      <c r="A470" t="s">
        <v>130</v>
      </c>
      <c r="B470">
        <v>7172040001000200</v>
      </c>
      <c r="C470">
        <v>72</v>
      </c>
      <c r="D470">
        <v>7</v>
      </c>
      <c r="E470">
        <v>0</v>
      </c>
      <c r="F470">
        <v>31</v>
      </c>
      <c r="G470">
        <v>0</v>
      </c>
      <c r="H470">
        <v>0</v>
      </c>
      <c r="I470">
        <v>34</v>
      </c>
      <c r="J470">
        <v>0</v>
      </c>
    </row>
    <row r="471" spans="1:10" x14ac:dyDescent="0.25">
      <c r="A471" t="s">
        <v>130</v>
      </c>
      <c r="B471">
        <v>7172040009000100</v>
      </c>
      <c r="C471">
        <v>69</v>
      </c>
      <c r="D471">
        <v>1</v>
      </c>
      <c r="E471">
        <v>0</v>
      </c>
      <c r="F471">
        <v>62</v>
      </c>
      <c r="G471">
        <v>0</v>
      </c>
      <c r="H471">
        <v>0</v>
      </c>
      <c r="I471">
        <v>6</v>
      </c>
      <c r="J471">
        <v>0</v>
      </c>
    </row>
    <row r="472" spans="1:10" x14ac:dyDescent="0.25">
      <c r="A472" t="s">
        <v>130</v>
      </c>
      <c r="B472">
        <v>7172040009000300</v>
      </c>
      <c r="C472">
        <v>67</v>
      </c>
      <c r="D472">
        <v>5</v>
      </c>
      <c r="E472">
        <v>3</v>
      </c>
      <c r="F472">
        <v>46</v>
      </c>
      <c r="G472">
        <v>0</v>
      </c>
      <c r="H472">
        <v>0</v>
      </c>
      <c r="I472">
        <v>13</v>
      </c>
      <c r="J472">
        <v>0</v>
      </c>
    </row>
    <row r="473" spans="1:10" x14ac:dyDescent="0.25">
      <c r="A473" t="s">
        <v>130</v>
      </c>
      <c r="B473">
        <v>7172040001000100</v>
      </c>
      <c r="C473">
        <v>59</v>
      </c>
      <c r="D473">
        <v>12</v>
      </c>
      <c r="E473">
        <v>0</v>
      </c>
      <c r="F473">
        <v>22</v>
      </c>
      <c r="G473">
        <v>0</v>
      </c>
      <c r="H473">
        <v>0</v>
      </c>
      <c r="I473">
        <v>25</v>
      </c>
      <c r="J473">
        <v>0</v>
      </c>
    </row>
    <row r="474" spans="1:10" x14ac:dyDescent="0.25">
      <c r="A474" t="s">
        <v>130</v>
      </c>
      <c r="B474">
        <v>7172040009000400</v>
      </c>
      <c r="C474">
        <v>59</v>
      </c>
      <c r="D474">
        <v>4</v>
      </c>
      <c r="E474">
        <v>5</v>
      </c>
      <c r="F474">
        <v>39</v>
      </c>
      <c r="G474">
        <v>0</v>
      </c>
      <c r="H474">
        <v>0</v>
      </c>
      <c r="I474">
        <v>11</v>
      </c>
      <c r="J474">
        <v>0</v>
      </c>
    </row>
    <row r="475" spans="1:10" x14ac:dyDescent="0.25">
      <c r="A475" t="s">
        <v>130</v>
      </c>
      <c r="B475">
        <v>7172040001000300</v>
      </c>
      <c r="C475">
        <v>38</v>
      </c>
      <c r="D475">
        <v>2</v>
      </c>
      <c r="E475">
        <v>0</v>
      </c>
      <c r="F475">
        <v>26</v>
      </c>
      <c r="G475">
        <v>0</v>
      </c>
      <c r="H475">
        <v>0</v>
      </c>
      <c r="I475">
        <v>10</v>
      </c>
      <c r="J475">
        <v>0</v>
      </c>
    </row>
    <row r="476" spans="1:10" x14ac:dyDescent="0.25">
      <c r="A476" t="s">
        <v>132</v>
      </c>
      <c r="B476">
        <v>7172040003000601</v>
      </c>
      <c r="C476">
        <v>198</v>
      </c>
      <c r="D476">
        <v>179</v>
      </c>
      <c r="E476">
        <v>17</v>
      </c>
      <c r="F476">
        <v>1</v>
      </c>
      <c r="G476">
        <v>0</v>
      </c>
      <c r="H476">
        <v>0</v>
      </c>
      <c r="I476">
        <v>1</v>
      </c>
      <c r="J476">
        <v>0</v>
      </c>
    </row>
    <row r="477" spans="1:10" x14ac:dyDescent="0.25">
      <c r="A477" t="s">
        <v>132</v>
      </c>
      <c r="B477">
        <v>7172040003000500</v>
      </c>
      <c r="C477">
        <v>165</v>
      </c>
      <c r="D477">
        <v>6</v>
      </c>
      <c r="E477">
        <v>3</v>
      </c>
      <c r="F477">
        <v>156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132</v>
      </c>
      <c r="B478">
        <v>7172040005001900</v>
      </c>
      <c r="C478">
        <v>107</v>
      </c>
      <c r="D478">
        <v>33</v>
      </c>
      <c r="E478">
        <v>14</v>
      </c>
      <c r="F478">
        <v>55</v>
      </c>
      <c r="G478">
        <v>5</v>
      </c>
      <c r="H478">
        <v>0</v>
      </c>
      <c r="I478">
        <v>0</v>
      </c>
      <c r="J478">
        <v>0</v>
      </c>
    </row>
    <row r="479" spans="1:10" x14ac:dyDescent="0.25">
      <c r="A479" t="s">
        <v>132</v>
      </c>
      <c r="B479">
        <v>7172040003000101</v>
      </c>
      <c r="C479">
        <v>96</v>
      </c>
      <c r="D479">
        <v>0</v>
      </c>
      <c r="E479">
        <v>0</v>
      </c>
      <c r="F479">
        <v>96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132</v>
      </c>
      <c r="B480">
        <v>7172040005002002</v>
      </c>
      <c r="C480">
        <v>70</v>
      </c>
      <c r="D480">
        <v>38</v>
      </c>
      <c r="E480">
        <v>11</v>
      </c>
      <c r="F480">
        <v>21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133</v>
      </c>
      <c r="B481">
        <v>7172040003000300</v>
      </c>
      <c r="C481">
        <v>164</v>
      </c>
      <c r="D481">
        <v>66</v>
      </c>
      <c r="E481">
        <v>0</v>
      </c>
      <c r="F481">
        <v>96</v>
      </c>
      <c r="G481">
        <v>0</v>
      </c>
      <c r="H481">
        <v>2</v>
      </c>
      <c r="I481">
        <v>0</v>
      </c>
      <c r="J481">
        <v>0</v>
      </c>
    </row>
    <row r="482" spans="1:10" x14ac:dyDescent="0.25">
      <c r="A482" t="s">
        <v>133</v>
      </c>
      <c r="B482">
        <v>7172040003000102</v>
      </c>
      <c r="C482">
        <v>140</v>
      </c>
      <c r="D482">
        <v>57</v>
      </c>
      <c r="E482">
        <v>0</v>
      </c>
      <c r="F482">
        <v>83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133</v>
      </c>
      <c r="B483">
        <v>7172040003000602</v>
      </c>
      <c r="C483">
        <v>99</v>
      </c>
      <c r="D483">
        <v>96</v>
      </c>
      <c r="E483">
        <v>1</v>
      </c>
      <c r="F483">
        <v>1</v>
      </c>
      <c r="G483">
        <v>0</v>
      </c>
      <c r="H483">
        <v>0</v>
      </c>
      <c r="I483">
        <v>0</v>
      </c>
      <c r="J483">
        <v>1</v>
      </c>
    </row>
    <row r="484" spans="1:10" x14ac:dyDescent="0.25">
      <c r="A484" t="s">
        <v>133</v>
      </c>
      <c r="B484">
        <v>7172040003000700</v>
      </c>
      <c r="C484">
        <v>80</v>
      </c>
      <c r="D484">
        <v>39</v>
      </c>
      <c r="E484">
        <v>1</v>
      </c>
      <c r="F484">
        <v>38</v>
      </c>
      <c r="G484">
        <v>0</v>
      </c>
      <c r="H484">
        <v>0</v>
      </c>
      <c r="I484">
        <v>2</v>
      </c>
      <c r="J484">
        <v>0</v>
      </c>
    </row>
    <row r="485" spans="1:10" x14ac:dyDescent="0.25">
      <c r="A485" t="s">
        <v>133</v>
      </c>
      <c r="B485">
        <v>7172040003000400</v>
      </c>
      <c r="C485">
        <v>76</v>
      </c>
      <c r="D485">
        <v>13</v>
      </c>
      <c r="E485">
        <v>0</v>
      </c>
      <c r="F485">
        <v>63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133</v>
      </c>
      <c r="B486">
        <v>7172040005000600</v>
      </c>
      <c r="C486">
        <v>42</v>
      </c>
      <c r="D486">
        <v>0</v>
      </c>
      <c r="E486">
        <v>0</v>
      </c>
      <c r="F486">
        <v>42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133</v>
      </c>
      <c r="B487">
        <v>7172040005001600</v>
      </c>
      <c r="C487">
        <v>32</v>
      </c>
      <c r="D487">
        <v>0</v>
      </c>
      <c r="E487">
        <v>0</v>
      </c>
      <c r="F487">
        <v>32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136</v>
      </c>
      <c r="B488">
        <v>7172040004000600</v>
      </c>
      <c r="C488">
        <v>132</v>
      </c>
      <c r="D488">
        <v>0</v>
      </c>
      <c r="E488">
        <v>0</v>
      </c>
      <c r="F488">
        <v>132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136</v>
      </c>
      <c r="B489">
        <v>7172040004000500</v>
      </c>
      <c r="C489">
        <v>94</v>
      </c>
      <c r="D489">
        <v>38</v>
      </c>
      <c r="E489">
        <v>12</v>
      </c>
      <c r="F489">
        <v>44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136</v>
      </c>
      <c r="B490">
        <v>7172040004000200</v>
      </c>
      <c r="C490">
        <v>64</v>
      </c>
      <c r="D490">
        <v>9</v>
      </c>
      <c r="E490">
        <v>0</v>
      </c>
      <c r="F490">
        <v>55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136</v>
      </c>
      <c r="B491">
        <v>7172040008000200</v>
      </c>
      <c r="C491">
        <v>58</v>
      </c>
      <c r="D491">
        <v>55</v>
      </c>
      <c r="E491">
        <v>1</v>
      </c>
      <c r="F491">
        <v>2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136</v>
      </c>
      <c r="B492">
        <v>7172040004000100</v>
      </c>
      <c r="C492">
        <v>54</v>
      </c>
      <c r="D492">
        <v>11</v>
      </c>
      <c r="E492">
        <v>0</v>
      </c>
      <c r="F492">
        <v>43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t="s">
        <v>136</v>
      </c>
      <c r="B493">
        <v>7172040008000300</v>
      </c>
      <c r="C493">
        <v>52</v>
      </c>
      <c r="D493">
        <v>49</v>
      </c>
      <c r="E493">
        <v>2</v>
      </c>
      <c r="F493">
        <v>1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136</v>
      </c>
      <c r="B494">
        <v>7172040004000300</v>
      </c>
      <c r="C494">
        <v>47</v>
      </c>
      <c r="D494">
        <v>9</v>
      </c>
      <c r="E494">
        <v>0</v>
      </c>
      <c r="F494">
        <v>38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136</v>
      </c>
      <c r="B495">
        <v>7172040004000400</v>
      </c>
      <c r="C495">
        <v>42</v>
      </c>
      <c r="D495">
        <v>12</v>
      </c>
      <c r="E495">
        <v>4</v>
      </c>
      <c r="F495">
        <v>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136</v>
      </c>
      <c r="B496">
        <v>7172040008000400</v>
      </c>
      <c r="C496">
        <v>42</v>
      </c>
      <c r="D496">
        <v>42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136</v>
      </c>
      <c r="B497">
        <v>7172040008000100</v>
      </c>
      <c r="C497">
        <v>39</v>
      </c>
      <c r="D497">
        <v>39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140</v>
      </c>
      <c r="B498">
        <v>7172040012000300</v>
      </c>
      <c r="C498">
        <v>102</v>
      </c>
      <c r="D498">
        <v>85</v>
      </c>
      <c r="E498">
        <v>4</v>
      </c>
      <c r="F498">
        <v>1</v>
      </c>
      <c r="G498">
        <v>0</v>
      </c>
      <c r="H498">
        <v>0</v>
      </c>
      <c r="I498">
        <v>12</v>
      </c>
      <c r="J498">
        <v>0</v>
      </c>
    </row>
    <row r="499" spans="1:10" x14ac:dyDescent="0.25">
      <c r="A499" t="s">
        <v>140</v>
      </c>
      <c r="B499">
        <v>7172040012000200</v>
      </c>
      <c r="C499">
        <v>99</v>
      </c>
      <c r="D499">
        <v>97</v>
      </c>
      <c r="E499">
        <v>1</v>
      </c>
      <c r="F499">
        <v>1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140</v>
      </c>
      <c r="B500">
        <v>7172040012000400</v>
      </c>
      <c r="C500">
        <v>86</v>
      </c>
      <c r="D500">
        <v>73</v>
      </c>
      <c r="E500">
        <v>0</v>
      </c>
      <c r="F500">
        <v>3</v>
      </c>
      <c r="G500">
        <v>0</v>
      </c>
      <c r="H500">
        <v>0</v>
      </c>
      <c r="I500">
        <v>10</v>
      </c>
      <c r="J500">
        <v>0</v>
      </c>
    </row>
    <row r="501" spans="1:10" x14ac:dyDescent="0.25">
      <c r="A501" t="s">
        <v>140</v>
      </c>
      <c r="B501">
        <v>7172040012000100</v>
      </c>
      <c r="C501">
        <v>69</v>
      </c>
      <c r="D501">
        <v>9</v>
      </c>
      <c r="E501">
        <v>0</v>
      </c>
      <c r="F501">
        <v>52</v>
      </c>
      <c r="G501">
        <v>0</v>
      </c>
      <c r="H501">
        <v>0</v>
      </c>
      <c r="I501">
        <v>8</v>
      </c>
      <c r="J501">
        <v>0</v>
      </c>
    </row>
    <row r="502" spans="1:10" x14ac:dyDescent="0.25">
      <c r="A502" t="s">
        <v>140</v>
      </c>
      <c r="B502">
        <v>7172040010000500</v>
      </c>
      <c r="C502">
        <v>58</v>
      </c>
      <c r="D502">
        <v>0</v>
      </c>
      <c r="E502">
        <v>0</v>
      </c>
      <c r="F502">
        <v>58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140</v>
      </c>
      <c r="B503">
        <v>7172040010000600</v>
      </c>
      <c r="C503">
        <v>56</v>
      </c>
      <c r="D503">
        <v>0</v>
      </c>
      <c r="E503">
        <v>0</v>
      </c>
      <c r="F503">
        <v>56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140</v>
      </c>
      <c r="B504">
        <v>7172040012000500</v>
      </c>
      <c r="C504">
        <v>46</v>
      </c>
      <c r="D504">
        <v>41</v>
      </c>
      <c r="E504">
        <v>0</v>
      </c>
      <c r="F504">
        <v>2</v>
      </c>
      <c r="G504">
        <v>0</v>
      </c>
      <c r="H504">
        <v>0</v>
      </c>
      <c r="I504">
        <v>3</v>
      </c>
      <c r="J504">
        <v>0</v>
      </c>
    </row>
    <row r="505" spans="1:10" x14ac:dyDescent="0.25">
      <c r="A505" t="s">
        <v>140</v>
      </c>
      <c r="B505">
        <v>7172040010000800</v>
      </c>
      <c r="C505">
        <v>40</v>
      </c>
      <c r="D505">
        <v>0</v>
      </c>
      <c r="E505">
        <v>0</v>
      </c>
      <c r="F505">
        <v>40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140</v>
      </c>
      <c r="B506">
        <v>7172040010000700</v>
      </c>
      <c r="C506">
        <v>32</v>
      </c>
      <c r="D506">
        <v>0</v>
      </c>
      <c r="E506">
        <v>0</v>
      </c>
      <c r="F506">
        <v>32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140</v>
      </c>
      <c r="B507">
        <v>7172040010000400</v>
      </c>
      <c r="C507">
        <v>30</v>
      </c>
      <c r="D507">
        <v>0</v>
      </c>
      <c r="E507">
        <v>0</v>
      </c>
      <c r="F507">
        <v>30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140</v>
      </c>
      <c r="B508">
        <v>7172040012000600</v>
      </c>
      <c r="C508">
        <v>30</v>
      </c>
      <c r="D508">
        <v>6</v>
      </c>
      <c r="E508">
        <v>0</v>
      </c>
      <c r="F508">
        <v>22</v>
      </c>
      <c r="G508">
        <v>0</v>
      </c>
      <c r="H508">
        <v>0</v>
      </c>
      <c r="I508">
        <v>2</v>
      </c>
      <c r="J508">
        <v>0</v>
      </c>
    </row>
    <row r="509" spans="1:10" x14ac:dyDescent="0.25">
      <c r="A509" t="s">
        <v>139</v>
      </c>
      <c r="B509">
        <v>7172040006000100</v>
      </c>
      <c r="C509">
        <v>92</v>
      </c>
      <c r="D509">
        <v>88</v>
      </c>
      <c r="E509">
        <v>4</v>
      </c>
      <c r="F509">
        <v>0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139</v>
      </c>
      <c r="B510">
        <v>7172040006000500</v>
      </c>
      <c r="C510">
        <v>83</v>
      </c>
      <c r="D510">
        <v>9</v>
      </c>
      <c r="E510">
        <v>0</v>
      </c>
      <c r="F510">
        <v>74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139</v>
      </c>
      <c r="B511">
        <v>7172040006000200</v>
      </c>
      <c r="C511">
        <v>80</v>
      </c>
      <c r="D511">
        <v>73</v>
      </c>
      <c r="E511">
        <v>3</v>
      </c>
      <c r="F511">
        <v>3</v>
      </c>
      <c r="G511">
        <v>0</v>
      </c>
      <c r="H511">
        <v>0</v>
      </c>
      <c r="I511">
        <v>1</v>
      </c>
      <c r="J511">
        <v>0</v>
      </c>
    </row>
    <row r="512" spans="1:10" x14ac:dyDescent="0.25">
      <c r="A512" t="s">
        <v>139</v>
      </c>
      <c r="B512">
        <v>7172040006000600</v>
      </c>
      <c r="C512">
        <v>78</v>
      </c>
      <c r="D512">
        <v>33</v>
      </c>
      <c r="E512">
        <v>18</v>
      </c>
      <c r="F512">
        <v>19</v>
      </c>
      <c r="G512">
        <v>2</v>
      </c>
      <c r="H512">
        <v>0</v>
      </c>
      <c r="I512">
        <v>6</v>
      </c>
      <c r="J512">
        <v>0</v>
      </c>
    </row>
    <row r="513" spans="1:10" x14ac:dyDescent="0.25">
      <c r="A513" t="s">
        <v>139</v>
      </c>
      <c r="B513">
        <v>7172040006000300</v>
      </c>
      <c r="C513">
        <v>57</v>
      </c>
      <c r="D513">
        <v>6</v>
      </c>
      <c r="E513">
        <v>0</v>
      </c>
      <c r="F513">
        <v>50</v>
      </c>
      <c r="G513">
        <v>0</v>
      </c>
      <c r="H513">
        <v>0</v>
      </c>
      <c r="I513">
        <v>1</v>
      </c>
      <c r="J513">
        <v>0</v>
      </c>
    </row>
    <row r="514" spans="1:10" x14ac:dyDescent="0.25">
      <c r="A514" t="s">
        <v>139</v>
      </c>
      <c r="B514">
        <v>7172040006000400</v>
      </c>
      <c r="C514">
        <v>56</v>
      </c>
      <c r="D514">
        <v>6</v>
      </c>
      <c r="E514">
        <v>0</v>
      </c>
      <c r="F514">
        <v>50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139</v>
      </c>
      <c r="B515">
        <v>7172040010000100</v>
      </c>
      <c r="C515">
        <v>41</v>
      </c>
      <c r="D515">
        <v>0</v>
      </c>
      <c r="E515">
        <v>0</v>
      </c>
      <c r="F515">
        <v>38</v>
      </c>
      <c r="G515">
        <v>0</v>
      </c>
      <c r="H515">
        <v>0</v>
      </c>
      <c r="I515">
        <v>3</v>
      </c>
      <c r="J515">
        <v>0</v>
      </c>
    </row>
    <row r="516" spans="1:10" x14ac:dyDescent="0.25">
      <c r="A516" t="s">
        <v>139</v>
      </c>
      <c r="B516">
        <v>7172040010000200</v>
      </c>
      <c r="C516">
        <v>34</v>
      </c>
      <c r="D516">
        <v>0</v>
      </c>
      <c r="E516">
        <v>0</v>
      </c>
      <c r="F516">
        <v>32</v>
      </c>
      <c r="G516">
        <v>0</v>
      </c>
      <c r="H516">
        <v>0</v>
      </c>
      <c r="I516">
        <v>2</v>
      </c>
      <c r="J516">
        <v>0</v>
      </c>
    </row>
    <row r="517" spans="1:10" x14ac:dyDescent="0.25">
      <c r="A517" t="s">
        <v>139</v>
      </c>
      <c r="B517">
        <v>7172040010000300</v>
      </c>
      <c r="C517">
        <v>29</v>
      </c>
      <c r="D517">
        <v>0</v>
      </c>
      <c r="E517">
        <v>0</v>
      </c>
      <c r="F517">
        <v>24</v>
      </c>
      <c r="G517">
        <v>0</v>
      </c>
      <c r="H517">
        <v>0</v>
      </c>
      <c r="I517">
        <v>5</v>
      </c>
      <c r="J517">
        <v>0</v>
      </c>
    </row>
    <row r="518" spans="1:10" x14ac:dyDescent="0.25">
      <c r="A518" t="s">
        <v>10</v>
      </c>
      <c r="B518">
        <v>7172010009002700</v>
      </c>
      <c r="C518">
        <v>104</v>
      </c>
      <c r="D518">
        <v>95</v>
      </c>
      <c r="E518">
        <v>3</v>
      </c>
      <c r="F518">
        <v>3</v>
      </c>
      <c r="G518">
        <v>0</v>
      </c>
      <c r="H518">
        <v>0</v>
      </c>
      <c r="I518">
        <v>3</v>
      </c>
      <c r="J518">
        <v>0</v>
      </c>
    </row>
    <row r="519" spans="1:10" x14ac:dyDescent="0.25">
      <c r="A519" t="s">
        <v>10</v>
      </c>
      <c r="B519">
        <v>7172010009002800</v>
      </c>
      <c r="C519">
        <v>103</v>
      </c>
      <c r="D519">
        <v>101</v>
      </c>
      <c r="E519">
        <v>1</v>
      </c>
      <c r="F519">
        <v>0</v>
      </c>
      <c r="G519">
        <v>1</v>
      </c>
      <c r="H519">
        <v>0</v>
      </c>
      <c r="I519">
        <v>0</v>
      </c>
      <c r="J519">
        <v>0</v>
      </c>
    </row>
    <row r="520" spans="1:10" x14ac:dyDescent="0.25">
      <c r="A520" t="s">
        <v>10</v>
      </c>
      <c r="B520">
        <v>7172010009002600</v>
      </c>
      <c r="C520">
        <v>93</v>
      </c>
      <c r="D520">
        <v>86</v>
      </c>
      <c r="E520">
        <v>0</v>
      </c>
      <c r="F520">
        <v>2</v>
      </c>
      <c r="G520">
        <v>0</v>
      </c>
      <c r="H520">
        <v>0</v>
      </c>
      <c r="I520">
        <v>5</v>
      </c>
      <c r="J520">
        <v>0</v>
      </c>
    </row>
    <row r="521" spans="1:10" x14ac:dyDescent="0.25">
      <c r="A521" t="s">
        <v>10</v>
      </c>
      <c r="B521">
        <v>7172010009002500</v>
      </c>
      <c r="C521">
        <v>85</v>
      </c>
      <c r="D521">
        <v>2</v>
      </c>
      <c r="E521">
        <v>1</v>
      </c>
      <c r="F521">
        <v>49</v>
      </c>
      <c r="G521">
        <v>0</v>
      </c>
      <c r="H521">
        <v>0</v>
      </c>
      <c r="I521">
        <v>33</v>
      </c>
      <c r="J521">
        <v>0</v>
      </c>
    </row>
    <row r="522" spans="1:10" x14ac:dyDescent="0.25">
      <c r="A522" t="s">
        <v>10</v>
      </c>
      <c r="B522">
        <v>7172010009002100</v>
      </c>
      <c r="C522">
        <v>69</v>
      </c>
      <c r="D522">
        <v>0</v>
      </c>
      <c r="E522">
        <v>0</v>
      </c>
      <c r="F522">
        <v>69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10</v>
      </c>
      <c r="B523">
        <v>7172010009002200</v>
      </c>
      <c r="C523">
        <v>57</v>
      </c>
      <c r="D523">
        <v>0</v>
      </c>
      <c r="E523">
        <v>0</v>
      </c>
      <c r="F523">
        <v>57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10</v>
      </c>
      <c r="B524">
        <v>7172010009002300</v>
      </c>
      <c r="C524">
        <v>53</v>
      </c>
      <c r="D524">
        <v>0</v>
      </c>
      <c r="E524">
        <v>0</v>
      </c>
      <c r="F524">
        <v>53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10</v>
      </c>
      <c r="B525">
        <v>7172010009002400</v>
      </c>
      <c r="C525">
        <v>46</v>
      </c>
      <c r="D525">
        <v>0</v>
      </c>
      <c r="E525">
        <v>0</v>
      </c>
      <c r="F525">
        <v>46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388</v>
      </c>
      <c r="B526">
        <v>7172012004001600</v>
      </c>
      <c r="C526">
        <v>158</v>
      </c>
      <c r="D526">
        <v>11</v>
      </c>
      <c r="E526">
        <v>0</v>
      </c>
      <c r="F526">
        <v>121</v>
      </c>
      <c r="G526">
        <v>0</v>
      </c>
      <c r="H526">
        <v>0</v>
      </c>
      <c r="I526">
        <v>26</v>
      </c>
      <c r="J526">
        <v>0</v>
      </c>
    </row>
    <row r="527" spans="1:10" x14ac:dyDescent="0.25">
      <c r="A527" t="s">
        <v>388</v>
      </c>
      <c r="B527">
        <v>7172012004001203</v>
      </c>
      <c r="C527">
        <v>134</v>
      </c>
      <c r="D527">
        <v>106</v>
      </c>
      <c r="E527">
        <v>4</v>
      </c>
      <c r="F527">
        <v>1</v>
      </c>
      <c r="G527">
        <v>0</v>
      </c>
      <c r="H527">
        <v>0</v>
      </c>
      <c r="I527">
        <v>23</v>
      </c>
      <c r="J527">
        <v>0</v>
      </c>
    </row>
    <row r="528" spans="1:10" x14ac:dyDescent="0.25">
      <c r="A528" t="s">
        <v>388</v>
      </c>
      <c r="B528">
        <v>7172012004001801</v>
      </c>
      <c r="C528">
        <v>134</v>
      </c>
      <c r="D528">
        <v>1</v>
      </c>
      <c r="E528">
        <v>0</v>
      </c>
      <c r="F528">
        <v>133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388</v>
      </c>
      <c r="B529">
        <v>7172012004001702</v>
      </c>
      <c r="C529">
        <v>128</v>
      </c>
      <c r="D529">
        <v>47</v>
      </c>
      <c r="E529">
        <v>0</v>
      </c>
      <c r="F529">
        <v>79</v>
      </c>
      <c r="G529">
        <v>0</v>
      </c>
      <c r="H529">
        <v>0</v>
      </c>
      <c r="I529">
        <v>2</v>
      </c>
      <c r="J529">
        <v>0</v>
      </c>
    </row>
    <row r="530" spans="1:10" x14ac:dyDescent="0.25">
      <c r="A530" t="s">
        <v>388</v>
      </c>
      <c r="B530">
        <v>7172012004001500</v>
      </c>
      <c r="C530">
        <v>114</v>
      </c>
      <c r="D530">
        <v>1</v>
      </c>
      <c r="E530">
        <v>12</v>
      </c>
      <c r="F530">
        <v>90</v>
      </c>
      <c r="G530">
        <v>0</v>
      </c>
      <c r="H530">
        <v>0</v>
      </c>
      <c r="I530">
        <v>11</v>
      </c>
      <c r="J530">
        <v>0</v>
      </c>
    </row>
    <row r="531" spans="1:10" x14ac:dyDescent="0.25">
      <c r="A531" t="s">
        <v>388</v>
      </c>
      <c r="B531">
        <v>7172012004001300</v>
      </c>
      <c r="C531">
        <v>96</v>
      </c>
      <c r="D531">
        <v>80</v>
      </c>
      <c r="E531">
        <v>5</v>
      </c>
      <c r="F531">
        <v>4</v>
      </c>
      <c r="G531">
        <v>0</v>
      </c>
      <c r="H531">
        <v>0</v>
      </c>
      <c r="I531">
        <v>7</v>
      </c>
      <c r="J531">
        <v>0</v>
      </c>
    </row>
    <row r="532" spans="1:10" x14ac:dyDescent="0.25">
      <c r="A532" t="s">
        <v>65</v>
      </c>
      <c r="B532">
        <v>7172012005000900</v>
      </c>
      <c r="C532">
        <v>134</v>
      </c>
      <c r="D532">
        <v>0</v>
      </c>
      <c r="E532">
        <v>0</v>
      </c>
      <c r="F532">
        <v>134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65</v>
      </c>
      <c r="B533">
        <v>7172012004002600</v>
      </c>
      <c r="C533">
        <v>131</v>
      </c>
      <c r="D533">
        <v>75</v>
      </c>
      <c r="E533">
        <v>1</v>
      </c>
      <c r="F533">
        <v>5</v>
      </c>
      <c r="G533">
        <v>1</v>
      </c>
      <c r="H533">
        <v>0</v>
      </c>
      <c r="I533">
        <v>49</v>
      </c>
      <c r="J533">
        <v>0</v>
      </c>
    </row>
    <row r="534" spans="1:10" x14ac:dyDescent="0.25">
      <c r="A534" t="s">
        <v>65</v>
      </c>
      <c r="B534">
        <v>7172012005001000</v>
      </c>
      <c r="C534">
        <v>102</v>
      </c>
      <c r="D534">
        <v>3</v>
      </c>
      <c r="E534">
        <v>5</v>
      </c>
      <c r="F534">
        <v>60</v>
      </c>
      <c r="G534">
        <v>0</v>
      </c>
      <c r="H534">
        <v>0</v>
      </c>
      <c r="I534">
        <v>34</v>
      </c>
      <c r="J534">
        <v>0</v>
      </c>
    </row>
    <row r="535" spans="1:10" x14ac:dyDescent="0.25">
      <c r="A535" t="s">
        <v>65</v>
      </c>
      <c r="B535">
        <v>7172012004002403</v>
      </c>
      <c r="C535">
        <v>92</v>
      </c>
      <c r="D535">
        <v>87</v>
      </c>
      <c r="E535">
        <v>2</v>
      </c>
      <c r="F535">
        <v>3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65</v>
      </c>
      <c r="B536">
        <v>7172012005000100</v>
      </c>
      <c r="C536">
        <v>88</v>
      </c>
      <c r="D536">
        <v>0</v>
      </c>
      <c r="E536">
        <v>0</v>
      </c>
      <c r="F536">
        <v>88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65</v>
      </c>
      <c r="B537">
        <v>7172012005001100</v>
      </c>
      <c r="C537">
        <v>68</v>
      </c>
      <c r="D537">
        <v>0</v>
      </c>
      <c r="E537">
        <v>0</v>
      </c>
      <c r="F537">
        <v>68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65</v>
      </c>
      <c r="B538">
        <v>7172012005000200</v>
      </c>
      <c r="C538">
        <v>53</v>
      </c>
      <c r="D538">
        <v>47</v>
      </c>
      <c r="E538">
        <v>1</v>
      </c>
      <c r="F538">
        <v>5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389</v>
      </c>
      <c r="B539">
        <v>7172040003001502</v>
      </c>
      <c r="C539">
        <v>264</v>
      </c>
      <c r="D539">
        <v>240</v>
      </c>
      <c r="E539">
        <v>4</v>
      </c>
      <c r="F539">
        <v>0</v>
      </c>
      <c r="G539">
        <v>0</v>
      </c>
      <c r="H539">
        <v>0</v>
      </c>
      <c r="I539">
        <v>20</v>
      </c>
      <c r="J539">
        <v>0</v>
      </c>
    </row>
    <row r="540" spans="1:10" x14ac:dyDescent="0.25">
      <c r="A540" t="s">
        <v>389</v>
      </c>
      <c r="B540">
        <v>7172040003001501</v>
      </c>
      <c r="C540">
        <v>202</v>
      </c>
      <c r="D540">
        <v>49</v>
      </c>
      <c r="E540">
        <v>6</v>
      </c>
      <c r="F540">
        <v>143</v>
      </c>
      <c r="G540">
        <v>0</v>
      </c>
      <c r="H540">
        <v>0</v>
      </c>
      <c r="I540">
        <v>4</v>
      </c>
      <c r="J540">
        <v>0</v>
      </c>
    </row>
    <row r="541" spans="1:10" x14ac:dyDescent="0.25">
      <c r="A541" t="s">
        <v>389</v>
      </c>
      <c r="B541">
        <v>7172040003001301</v>
      </c>
      <c r="C541">
        <v>136</v>
      </c>
      <c r="D541">
        <v>0</v>
      </c>
      <c r="E541">
        <v>0</v>
      </c>
      <c r="F541">
        <v>136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389</v>
      </c>
      <c r="B542">
        <v>7172040003001400</v>
      </c>
      <c r="C542">
        <v>91</v>
      </c>
      <c r="D542">
        <v>0</v>
      </c>
      <c r="E542">
        <v>0</v>
      </c>
      <c r="F542">
        <v>90</v>
      </c>
      <c r="G542">
        <v>0</v>
      </c>
      <c r="H542">
        <v>0</v>
      </c>
      <c r="I542">
        <v>1</v>
      </c>
      <c r="J542">
        <v>0</v>
      </c>
    </row>
    <row r="543" spans="1:10" x14ac:dyDescent="0.25">
      <c r="A543" t="s">
        <v>389</v>
      </c>
      <c r="B543">
        <v>7172040003000800</v>
      </c>
      <c r="C543">
        <v>88</v>
      </c>
      <c r="D543">
        <v>75</v>
      </c>
      <c r="E543">
        <v>8</v>
      </c>
      <c r="F543">
        <v>0</v>
      </c>
      <c r="G543">
        <v>0</v>
      </c>
      <c r="H543">
        <v>0</v>
      </c>
      <c r="I543">
        <v>5</v>
      </c>
      <c r="J543">
        <v>0</v>
      </c>
    </row>
    <row r="544" spans="1:10" x14ac:dyDescent="0.25">
      <c r="A544" t="s">
        <v>389</v>
      </c>
      <c r="B544">
        <v>7172040003001302</v>
      </c>
      <c r="C544">
        <v>52</v>
      </c>
      <c r="D544">
        <v>0</v>
      </c>
      <c r="E544">
        <v>0</v>
      </c>
      <c r="F544">
        <v>52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36</v>
      </c>
      <c r="B545">
        <v>7172011003002401</v>
      </c>
      <c r="C545">
        <v>195</v>
      </c>
      <c r="D545">
        <v>154</v>
      </c>
      <c r="E545">
        <v>10</v>
      </c>
      <c r="F545">
        <v>0</v>
      </c>
      <c r="G545">
        <v>2</v>
      </c>
      <c r="H545">
        <v>0</v>
      </c>
      <c r="I545">
        <v>29</v>
      </c>
      <c r="J545">
        <v>0</v>
      </c>
    </row>
    <row r="546" spans="1:10" x14ac:dyDescent="0.25">
      <c r="A546" t="s">
        <v>36</v>
      </c>
      <c r="B546">
        <v>7172011003002100</v>
      </c>
      <c r="C546">
        <v>138</v>
      </c>
      <c r="D546">
        <v>0</v>
      </c>
      <c r="E546">
        <v>30</v>
      </c>
      <c r="F546">
        <v>56</v>
      </c>
      <c r="G546">
        <v>0</v>
      </c>
      <c r="H546">
        <v>0</v>
      </c>
      <c r="I546">
        <v>52</v>
      </c>
      <c r="J546">
        <v>0</v>
      </c>
    </row>
    <row r="547" spans="1:10" x14ac:dyDescent="0.25">
      <c r="A547" t="s">
        <v>36</v>
      </c>
      <c r="B547">
        <v>7172011003002000</v>
      </c>
      <c r="C547">
        <v>135</v>
      </c>
      <c r="D547">
        <v>48</v>
      </c>
      <c r="E547">
        <v>20</v>
      </c>
      <c r="F547">
        <v>43</v>
      </c>
      <c r="G547">
        <v>1</v>
      </c>
      <c r="H547">
        <v>0</v>
      </c>
      <c r="I547">
        <v>23</v>
      </c>
      <c r="J547">
        <v>0</v>
      </c>
    </row>
    <row r="548" spans="1:10" x14ac:dyDescent="0.25">
      <c r="A548" t="s">
        <v>36</v>
      </c>
      <c r="B548">
        <v>7172011003002300</v>
      </c>
      <c r="C548">
        <v>114</v>
      </c>
      <c r="D548">
        <v>0</v>
      </c>
      <c r="E548">
        <v>0</v>
      </c>
      <c r="F548">
        <v>114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36</v>
      </c>
      <c r="B549">
        <v>7172011003002402</v>
      </c>
      <c r="C549">
        <v>92</v>
      </c>
      <c r="D549">
        <v>54</v>
      </c>
      <c r="E549">
        <v>12</v>
      </c>
      <c r="F549">
        <v>6</v>
      </c>
      <c r="G549">
        <v>0</v>
      </c>
      <c r="H549">
        <v>0</v>
      </c>
      <c r="I549">
        <v>20</v>
      </c>
      <c r="J549">
        <v>0</v>
      </c>
    </row>
    <row r="550" spans="1:10" x14ac:dyDescent="0.25">
      <c r="A550" t="s">
        <v>36</v>
      </c>
      <c r="B550">
        <v>7172011003002200</v>
      </c>
      <c r="C550">
        <v>55</v>
      </c>
      <c r="D550">
        <v>0</v>
      </c>
      <c r="E550">
        <v>0</v>
      </c>
      <c r="F550">
        <v>55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236</v>
      </c>
      <c r="B551">
        <v>7172030014001100</v>
      </c>
      <c r="C551">
        <v>248</v>
      </c>
      <c r="D551">
        <v>220</v>
      </c>
      <c r="E551">
        <v>2</v>
      </c>
      <c r="F551">
        <v>18</v>
      </c>
      <c r="G551">
        <v>1</v>
      </c>
      <c r="H551">
        <v>1</v>
      </c>
      <c r="I551">
        <v>6</v>
      </c>
      <c r="J551">
        <v>0</v>
      </c>
    </row>
    <row r="552" spans="1:10" x14ac:dyDescent="0.25">
      <c r="A552" t="s">
        <v>236</v>
      </c>
      <c r="B552">
        <v>7172030014001000</v>
      </c>
      <c r="C552">
        <v>150</v>
      </c>
      <c r="D552">
        <v>105</v>
      </c>
      <c r="E552">
        <v>4</v>
      </c>
      <c r="F552">
        <v>21</v>
      </c>
      <c r="G552">
        <v>0</v>
      </c>
      <c r="H552">
        <v>1</v>
      </c>
      <c r="I552">
        <v>19</v>
      </c>
      <c r="J552">
        <v>0</v>
      </c>
    </row>
    <row r="553" spans="1:10" x14ac:dyDescent="0.25">
      <c r="A553" t="s">
        <v>236</v>
      </c>
      <c r="B553">
        <v>7172030014001200</v>
      </c>
      <c r="C553">
        <v>122</v>
      </c>
      <c r="D553">
        <v>38</v>
      </c>
      <c r="E553">
        <v>0</v>
      </c>
      <c r="F553">
        <v>84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236</v>
      </c>
      <c r="B554">
        <v>7172030015000200</v>
      </c>
      <c r="C554">
        <v>64</v>
      </c>
      <c r="D554">
        <v>0</v>
      </c>
      <c r="E554">
        <v>0</v>
      </c>
      <c r="F554">
        <v>64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236</v>
      </c>
      <c r="B555">
        <v>7172030015000100</v>
      </c>
      <c r="C555">
        <v>63</v>
      </c>
      <c r="D555">
        <v>0</v>
      </c>
      <c r="E555">
        <v>0</v>
      </c>
      <c r="F555">
        <v>63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235</v>
      </c>
      <c r="B556">
        <v>7172030015000800</v>
      </c>
      <c r="C556">
        <v>173</v>
      </c>
      <c r="D556">
        <v>14</v>
      </c>
      <c r="E556">
        <v>6</v>
      </c>
      <c r="F556">
        <v>134</v>
      </c>
      <c r="G556">
        <v>0</v>
      </c>
      <c r="H556">
        <v>0</v>
      </c>
      <c r="I556">
        <v>19</v>
      </c>
      <c r="J556">
        <v>0</v>
      </c>
    </row>
    <row r="557" spans="1:10" x14ac:dyDescent="0.25">
      <c r="A557" t="s">
        <v>235</v>
      </c>
      <c r="B557">
        <v>7172030015000300</v>
      </c>
      <c r="C557">
        <v>124</v>
      </c>
      <c r="D557">
        <v>79</v>
      </c>
      <c r="E557">
        <v>5</v>
      </c>
      <c r="F557">
        <v>39</v>
      </c>
      <c r="G557">
        <v>0</v>
      </c>
      <c r="H557">
        <v>0</v>
      </c>
      <c r="I557">
        <v>1</v>
      </c>
      <c r="J557">
        <v>0</v>
      </c>
    </row>
    <row r="558" spans="1:10" x14ac:dyDescent="0.25">
      <c r="A558" t="s">
        <v>235</v>
      </c>
      <c r="B558">
        <v>7172030015000400</v>
      </c>
      <c r="C558">
        <v>86</v>
      </c>
      <c r="D558">
        <v>48</v>
      </c>
      <c r="E558">
        <v>2</v>
      </c>
      <c r="F558">
        <v>35</v>
      </c>
      <c r="G558">
        <v>0</v>
      </c>
      <c r="H558">
        <v>0</v>
      </c>
      <c r="I558">
        <v>1</v>
      </c>
      <c r="J558">
        <v>0</v>
      </c>
    </row>
    <row r="559" spans="1:10" x14ac:dyDescent="0.25">
      <c r="A559" t="s">
        <v>235</v>
      </c>
      <c r="B559">
        <v>7172030015001000</v>
      </c>
      <c r="C559">
        <v>84</v>
      </c>
      <c r="D559">
        <v>70</v>
      </c>
      <c r="E559">
        <v>5</v>
      </c>
      <c r="F559">
        <v>8</v>
      </c>
      <c r="G559">
        <v>0</v>
      </c>
      <c r="H559">
        <v>1</v>
      </c>
      <c r="I559">
        <v>0</v>
      </c>
      <c r="J559">
        <v>0</v>
      </c>
    </row>
    <row r="560" spans="1:10" x14ac:dyDescent="0.25">
      <c r="A560" t="s">
        <v>235</v>
      </c>
      <c r="B560">
        <v>7172030015001100</v>
      </c>
      <c r="C560">
        <v>61</v>
      </c>
      <c r="D560">
        <v>45</v>
      </c>
      <c r="E560">
        <v>1</v>
      </c>
      <c r="F560">
        <v>15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235</v>
      </c>
      <c r="B561">
        <v>7172030015000700</v>
      </c>
      <c r="C561">
        <v>54</v>
      </c>
      <c r="D561">
        <v>38</v>
      </c>
      <c r="E561">
        <v>3</v>
      </c>
      <c r="F561">
        <v>11</v>
      </c>
      <c r="G561">
        <v>0</v>
      </c>
      <c r="H561">
        <v>0</v>
      </c>
      <c r="I561">
        <v>2</v>
      </c>
      <c r="J561">
        <v>0</v>
      </c>
    </row>
    <row r="562" spans="1:10" x14ac:dyDescent="0.25">
      <c r="A562" t="s">
        <v>235</v>
      </c>
      <c r="B562">
        <v>7172030015000500</v>
      </c>
      <c r="C562">
        <v>45</v>
      </c>
      <c r="D562">
        <v>0</v>
      </c>
      <c r="E562">
        <v>1</v>
      </c>
      <c r="F562">
        <v>43</v>
      </c>
      <c r="G562">
        <v>0</v>
      </c>
      <c r="H562">
        <v>0</v>
      </c>
      <c r="I562">
        <v>1</v>
      </c>
      <c r="J562">
        <v>0</v>
      </c>
    </row>
    <row r="563" spans="1:10" x14ac:dyDescent="0.25">
      <c r="A563" t="s">
        <v>235</v>
      </c>
      <c r="B563">
        <v>7172030015000600</v>
      </c>
      <c r="C563">
        <v>38</v>
      </c>
      <c r="D563">
        <v>1</v>
      </c>
      <c r="E563">
        <v>0</v>
      </c>
      <c r="F563">
        <v>34</v>
      </c>
      <c r="G563">
        <v>0</v>
      </c>
      <c r="H563">
        <v>0</v>
      </c>
      <c r="I563">
        <v>3</v>
      </c>
      <c r="J563">
        <v>0</v>
      </c>
    </row>
    <row r="564" spans="1:10" x14ac:dyDescent="0.25">
      <c r="A564" t="s">
        <v>235</v>
      </c>
      <c r="B564">
        <v>7172030015000900</v>
      </c>
      <c r="C564">
        <v>29</v>
      </c>
      <c r="D564">
        <v>2</v>
      </c>
      <c r="E564">
        <v>2</v>
      </c>
      <c r="F564">
        <v>16</v>
      </c>
      <c r="G564">
        <v>0</v>
      </c>
      <c r="H564">
        <v>0</v>
      </c>
      <c r="I564">
        <v>9</v>
      </c>
      <c r="J564">
        <v>0</v>
      </c>
    </row>
    <row r="565" spans="1:10" x14ac:dyDescent="0.25">
      <c r="A565" t="s">
        <v>105</v>
      </c>
      <c r="B565">
        <v>7172030015001701</v>
      </c>
      <c r="C565">
        <v>134</v>
      </c>
      <c r="D565">
        <v>65</v>
      </c>
      <c r="E565">
        <v>23</v>
      </c>
      <c r="F565">
        <v>33</v>
      </c>
      <c r="G565">
        <v>1</v>
      </c>
      <c r="H565">
        <v>0</v>
      </c>
      <c r="I565">
        <v>12</v>
      </c>
      <c r="J565">
        <v>0</v>
      </c>
    </row>
    <row r="566" spans="1:10" x14ac:dyDescent="0.25">
      <c r="A566" t="s">
        <v>105</v>
      </c>
      <c r="B566">
        <v>7172030015001800</v>
      </c>
      <c r="C566">
        <v>117</v>
      </c>
      <c r="D566">
        <v>0</v>
      </c>
      <c r="E566">
        <v>0</v>
      </c>
      <c r="F566">
        <v>117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105</v>
      </c>
      <c r="B567">
        <v>7172030015001300</v>
      </c>
      <c r="C567">
        <v>98</v>
      </c>
      <c r="D567">
        <v>80</v>
      </c>
      <c r="E567">
        <v>6</v>
      </c>
      <c r="F567">
        <v>9</v>
      </c>
      <c r="G567">
        <v>0</v>
      </c>
      <c r="H567">
        <v>0</v>
      </c>
      <c r="I567">
        <v>3</v>
      </c>
      <c r="J567">
        <v>0</v>
      </c>
    </row>
    <row r="568" spans="1:10" x14ac:dyDescent="0.25">
      <c r="A568" t="s">
        <v>105</v>
      </c>
      <c r="B568">
        <v>7172030015001200</v>
      </c>
      <c r="C568">
        <v>67</v>
      </c>
      <c r="D568">
        <v>67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105</v>
      </c>
      <c r="B569">
        <v>7172030015001703</v>
      </c>
      <c r="C569">
        <v>46</v>
      </c>
      <c r="D569">
        <v>0</v>
      </c>
      <c r="E569">
        <v>7</v>
      </c>
      <c r="F569">
        <v>29</v>
      </c>
      <c r="G569">
        <v>0</v>
      </c>
      <c r="H569">
        <v>0</v>
      </c>
      <c r="I569">
        <v>10</v>
      </c>
      <c r="J569">
        <v>0</v>
      </c>
    </row>
    <row r="570" spans="1:10" x14ac:dyDescent="0.25">
      <c r="A570" t="s">
        <v>97</v>
      </c>
      <c r="B570">
        <v>7172030012000100</v>
      </c>
      <c r="C570">
        <v>93</v>
      </c>
      <c r="D570">
        <v>56</v>
      </c>
      <c r="E570">
        <v>0</v>
      </c>
      <c r="F570">
        <v>7</v>
      </c>
      <c r="G570">
        <v>1</v>
      </c>
      <c r="H570">
        <v>0</v>
      </c>
      <c r="I570">
        <v>29</v>
      </c>
      <c r="J570">
        <v>0</v>
      </c>
    </row>
    <row r="571" spans="1:10" x14ac:dyDescent="0.25">
      <c r="A571" t="s">
        <v>97</v>
      </c>
      <c r="B571">
        <v>7172030012000300</v>
      </c>
      <c r="C571">
        <v>91</v>
      </c>
      <c r="D571">
        <v>87</v>
      </c>
      <c r="E571">
        <v>0</v>
      </c>
      <c r="F571">
        <v>0</v>
      </c>
      <c r="G571">
        <v>1</v>
      </c>
      <c r="H571">
        <v>0</v>
      </c>
      <c r="I571">
        <v>3</v>
      </c>
      <c r="J571">
        <v>0</v>
      </c>
    </row>
    <row r="572" spans="1:10" x14ac:dyDescent="0.25">
      <c r="A572" t="s">
        <v>97</v>
      </c>
      <c r="B572">
        <v>7172030016000600</v>
      </c>
      <c r="C572">
        <v>62</v>
      </c>
      <c r="D572">
        <v>4</v>
      </c>
      <c r="E572">
        <v>0</v>
      </c>
      <c r="F572">
        <v>58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97</v>
      </c>
      <c r="B573">
        <v>7172030016000900</v>
      </c>
      <c r="C573">
        <v>62</v>
      </c>
      <c r="D573">
        <v>2</v>
      </c>
      <c r="E573">
        <v>0</v>
      </c>
      <c r="F573">
        <v>60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97</v>
      </c>
      <c r="B574">
        <v>7172030016000300</v>
      </c>
      <c r="C574">
        <v>57</v>
      </c>
      <c r="D574">
        <v>38</v>
      </c>
      <c r="E574">
        <v>0</v>
      </c>
      <c r="F574">
        <v>19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97</v>
      </c>
      <c r="B575">
        <v>7172030016000400</v>
      </c>
      <c r="C575">
        <v>57</v>
      </c>
      <c r="D575">
        <v>8</v>
      </c>
      <c r="E575">
        <v>0</v>
      </c>
      <c r="F575">
        <v>49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97</v>
      </c>
      <c r="B576">
        <v>7172030016000800</v>
      </c>
      <c r="C576">
        <v>47</v>
      </c>
      <c r="D576">
        <v>6</v>
      </c>
      <c r="E576">
        <v>0</v>
      </c>
      <c r="F576">
        <v>41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97</v>
      </c>
      <c r="B577">
        <v>7172030016000700</v>
      </c>
      <c r="C577">
        <v>46</v>
      </c>
      <c r="D577">
        <v>7</v>
      </c>
      <c r="E577">
        <v>0</v>
      </c>
      <c r="F577">
        <v>39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97</v>
      </c>
      <c r="B578">
        <v>7172030016000200</v>
      </c>
      <c r="C578">
        <v>43</v>
      </c>
      <c r="D578">
        <v>13</v>
      </c>
      <c r="E578">
        <v>1</v>
      </c>
      <c r="F578">
        <v>7</v>
      </c>
      <c r="G578">
        <v>0</v>
      </c>
      <c r="H578">
        <v>0</v>
      </c>
      <c r="I578">
        <v>22</v>
      </c>
      <c r="J578">
        <v>0</v>
      </c>
    </row>
    <row r="579" spans="1:10" x14ac:dyDescent="0.25">
      <c r="A579" t="s">
        <v>97</v>
      </c>
      <c r="B579">
        <v>7172030016000100</v>
      </c>
      <c r="C579">
        <v>33</v>
      </c>
      <c r="D579">
        <v>2</v>
      </c>
      <c r="E579">
        <v>0</v>
      </c>
      <c r="F579">
        <v>28</v>
      </c>
      <c r="G579">
        <v>0</v>
      </c>
      <c r="H579">
        <v>0</v>
      </c>
      <c r="I579">
        <v>3</v>
      </c>
      <c r="J579">
        <v>0</v>
      </c>
    </row>
    <row r="580" spans="1:10" x14ac:dyDescent="0.25">
      <c r="A580" t="s">
        <v>97</v>
      </c>
      <c r="B580">
        <v>7172030016000500</v>
      </c>
      <c r="C580">
        <v>33</v>
      </c>
      <c r="D580">
        <v>2</v>
      </c>
      <c r="E580">
        <v>0</v>
      </c>
      <c r="F580">
        <v>31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109</v>
      </c>
      <c r="B581">
        <v>7172031001000700</v>
      </c>
      <c r="C581">
        <v>93</v>
      </c>
      <c r="D581">
        <v>43</v>
      </c>
      <c r="E581">
        <v>17</v>
      </c>
      <c r="F581">
        <v>28</v>
      </c>
      <c r="G581">
        <v>5</v>
      </c>
      <c r="H581">
        <v>0</v>
      </c>
      <c r="I581">
        <v>0</v>
      </c>
      <c r="J581">
        <v>0</v>
      </c>
    </row>
    <row r="582" spans="1:10" x14ac:dyDescent="0.25">
      <c r="A582" t="s">
        <v>109</v>
      </c>
      <c r="B582">
        <v>7172031001000800</v>
      </c>
      <c r="C582">
        <v>59</v>
      </c>
      <c r="D582">
        <v>50</v>
      </c>
      <c r="E582">
        <v>8</v>
      </c>
      <c r="F582">
        <v>1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109</v>
      </c>
      <c r="B583">
        <v>7172031001001200</v>
      </c>
      <c r="C583">
        <v>58</v>
      </c>
      <c r="D583">
        <v>0</v>
      </c>
      <c r="E583">
        <v>0</v>
      </c>
      <c r="F583">
        <v>58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109</v>
      </c>
      <c r="B584">
        <v>7172031001001400</v>
      </c>
      <c r="C584">
        <v>56</v>
      </c>
      <c r="D584">
        <v>47</v>
      </c>
      <c r="E584">
        <v>7</v>
      </c>
      <c r="F584">
        <v>2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109</v>
      </c>
      <c r="B585">
        <v>7172031001001100</v>
      </c>
      <c r="C585">
        <v>50</v>
      </c>
      <c r="D585">
        <v>1</v>
      </c>
      <c r="E585">
        <v>1</v>
      </c>
      <c r="F585">
        <v>48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109</v>
      </c>
      <c r="B586">
        <v>7172031001001300</v>
      </c>
      <c r="C586">
        <v>47</v>
      </c>
      <c r="D586">
        <v>44</v>
      </c>
      <c r="E586">
        <v>3</v>
      </c>
      <c r="F586">
        <v>0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109</v>
      </c>
      <c r="B587">
        <v>7172031001000600</v>
      </c>
      <c r="C587">
        <v>46</v>
      </c>
      <c r="D587">
        <v>0</v>
      </c>
      <c r="E587">
        <v>2</v>
      </c>
      <c r="F587">
        <v>44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109</v>
      </c>
      <c r="B588">
        <v>7172031001000200</v>
      </c>
      <c r="C588">
        <v>42</v>
      </c>
      <c r="D588">
        <v>34</v>
      </c>
      <c r="E588">
        <v>7</v>
      </c>
      <c r="F588">
        <v>1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109</v>
      </c>
      <c r="B589">
        <v>7172031001000500</v>
      </c>
      <c r="C589">
        <v>42</v>
      </c>
      <c r="D589">
        <v>0</v>
      </c>
      <c r="E589">
        <v>0</v>
      </c>
      <c r="F589">
        <v>42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109</v>
      </c>
      <c r="B590">
        <v>7172031001001000</v>
      </c>
      <c r="C590">
        <v>40</v>
      </c>
      <c r="D590">
        <v>29</v>
      </c>
      <c r="E590">
        <v>5</v>
      </c>
      <c r="F590">
        <v>6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109</v>
      </c>
      <c r="B591">
        <v>7172031001000400</v>
      </c>
      <c r="C591">
        <v>38</v>
      </c>
      <c r="D591">
        <v>0</v>
      </c>
      <c r="E591">
        <v>0</v>
      </c>
      <c r="F591">
        <v>38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109</v>
      </c>
      <c r="B592">
        <v>7172031001000300</v>
      </c>
      <c r="C592">
        <v>35</v>
      </c>
      <c r="D592">
        <v>15</v>
      </c>
      <c r="E592">
        <v>9</v>
      </c>
      <c r="F592">
        <v>9</v>
      </c>
      <c r="G592">
        <v>1</v>
      </c>
      <c r="H592">
        <v>0</v>
      </c>
      <c r="I592">
        <v>1</v>
      </c>
      <c r="J592">
        <v>0</v>
      </c>
    </row>
    <row r="593" spans="1:10" x14ac:dyDescent="0.25">
      <c r="A593" t="s">
        <v>109</v>
      </c>
      <c r="B593">
        <v>7172031001000900</v>
      </c>
      <c r="C593">
        <v>34</v>
      </c>
      <c r="D593">
        <v>30</v>
      </c>
      <c r="E593">
        <v>2</v>
      </c>
      <c r="F593">
        <v>1</v>
      </c>
      <c r="G593">
        <v>1</v>
      </c>
      <c r="H593">
        <v>0</v>
      </c>
      <c r="I593">
        <v>0</v>
      </c>
      <c r="J593">
        <v>0</v>
      </c>
    </row>
    <row r="594" spans="1:10" x14ac:dyDescent="0.25">
      <c r="A594" t="s">
        <v>109</v>
      </c>
      <c r="B594">
        <v>7172031001000100</v>
      </c>
      <c r="C594">
        <v>33</v>
      </c>
      <c r="D594">
        <v>29</v>
      </c>
      <c r="E594">
        <v>2</v>
      </c>
      <c r="F594">
        <v>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113</v>
      </c>
      <c r="B595">
        <v>7172031005001800</v>
      </c>
      <c r="C595">
        <v>134</v>
      </c>
      <c r="D595">
        <v>69</v>
      </c>
      <c r="E595">
        <v>25</v>
      </c>
      <c r="F595">
        <v>21</v>
      </c>
      <c r="G595">
        <v>3</v>
      </c>
      <c r="H595">
        <v>1</v>
      </c>
      <c r="I595">
        <v>15</v>
      </c>
      <c r="J595">
        <v>0</v>
      </c>
    </row>
    <row r="596" spans="1:10" x14ac:dyDescent="0.25">
      <c r="A596" t="s">
        <v>113</v>
      </c>
      <c r="B596">
        <v>7172031002001200</v>
      </c>
      <c r="C596">
        <v>99</v>
      </c>
      <c r="D596">
        <v>0</v>
      </c>
      <c r="E596">
        <v>0</v>
      </c>
      <c r="F596">
        <v>99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113</v>
      </c>
      <c r="B597">
        <v>7172031005001500</v>
      </c>
      <c r="C597">
        <v>82</v>
      </c>
      <c r="D597">
        <v>79</v>
      </c>
      <c r="E597">
        <v>2</v>
      </c>
      <c r="F597">
        <v>0</v>
      </c>
      <c r="G597">
        <v>1</v>
      </c>
      <c r="H597">
        <v>0</v>
      </c>
      <c r="I597">
        <v>0</v>
      </c>
      <c r="J597">
        <v>0</v>
      </c>
    </row>
    <row r="598" spans="1:10" x14ac:dyDescent="0.25">
      <c r="A598" t="s">
        <v>113</v>
      </c>
      <c r="B598">
        <v>7172031005000800</v>
      </c>
      <c r="C598">
        <v>81</v>
      </c>
      <c r="D598">
        <v>1</v>
      </c>
      <c r="E598">
        <v>0</v>
      </c>
      <c r="F598">
        <v>80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113</v>
      </c>
      <c r="B599">
        <v>7172031005001600</v>
      </c>
      <c r="C599">
        <v>78</v>
      </c>
      <c r="D599">
        <v>71</v>
      </c>
      <c r="E599">
        <v>7</v>
      </c>
      <c r="F599">
        <v>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113</v>
      </c>
      <c r="B600">
        <v>7172031005001300</v>
      </c>
      <c r="C600">
        <v>74</v>
      </c>
      <c r="D600">
        <v>6</v>
      </c>
      <c r="E600">
        <v>0</v>
      </c>
      <c r="F600">
        <v>68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113</v>
      </c>
      <c r="B601">
        <v>7172031005001400</v>
      </c>
      <c r="C601">
        <v>69</v>
      </c>
      <c r="D601">
        <v>67</v>
      </c>
      <c r="E601">
        <v>0</v>
      </c>
      <c r="F601">
        <v>2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113</v>
      </c>
      <c r="B602">
        <v>7172031003000100</v>
      </c>
      <c r="C602">
        <v>51</v>
      </c>
      <c r="D602">
        <v>0</v>
      </c>
      <c r="E602">
        <v>0</v>
      </c>
      <c r="F602">
        <v>51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114</v>
      </c>
      <c r="B603">
        <v>7172031003001300</v>
      </c>
      <c r="C603">
        <v>85</v>
      </c>
      <c r="D603">
        <v>84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114</v>
      </c>
      <c r="B604">
        <v>7172031003001000</v>
      </c>
      <c r="C604">
        <v>73</v>
      </c>
      <c r="D604">
        <v>68</v>
      </c>
      <c r="E604">
        <v>0</v>
      </c>
      <c r="F604">
        <v>4</v>
      </c>
      <c r="G604">
        <v>0</v>
      </c>
      <c r="H604">
        <v>1</v>
      </c>
      <c r="I604">
        <v>0</v>
      </c>
      <c r="J604">
        <v>0</v>
      </c>
    </row>
    <row r="605" spans="1:10" x14ac:dyDescent="0.25">
      <c r="A605" t="s">
        <v>114</v>
      </c>
      <c r="B605">
        <v>7172031003000500</v>
      </c>
      <c r="C605">
        <v>67</v>
      </c>
      <c r="D605">
        <v>16</v>
      </c>
      <c r="E605">
        <v>0</v>
      </c>
      <c r="F605">
        <v>51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114</v>
      </c>
      <c r="B606">
        <v>7172031003001600</v>
      </c>
      <c r="C606">
        <v>65</v>
      </c>
      <c r="D606">
        <v>0</v>
      </c>
      <c r="E606">
        <v>0</v>
      </c>
      <c r="F606">
        <v>65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114</v>
      </c>
      <c r="B607">
        <v>7172031003000900</v>
      </c>
      <c r="C607">
        <v>59</v>
      </c>
      <c r="D607">
        <v>59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114</v>
      </c>
      <c r="B608">
        <v>7172031003000800</v>
      </c>
      <c r="C608">
        <v>57</v>
      </c>
      <c r="D608">
        <v>16</v>
      </c>
      <c r="E608">
        <v>0</v>
      </c>
      <c r="F608">
        <v>41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114</v>
      </c>
      <c r="B609">
        <v>7172031003000600</v>
      </c>
      <c r="C609">
        <v>43</v>
      </c>
      <c r="D609">
        <v>10</v>
      </c>
      <c r="E609">
        <v>0</v>
      </c>
      <c r="F609">
        <v>32</v>
      </c>
      <c r="G609">
        <v>0</v>
      </c>
      <c r="H609">
        <v>0</v>
      </c>
      <c r="I609">
        <v>1</v>
      </c>
      <c r="J609">
        <v>0</v>
      </c>
    </row>
    <row r="610" spans="1:10" x14ac:dyDescent="0.25">
      <c r="A610" t="s">
        <v>114</v>
      </c>
      <c r="B610">
        <v>7172031003001500</v>
      </c>
      <c r="C610">
        <v>42</v>
      </c>
      <c r="D610">
        <v>0</v>
      </c>
      <c r="E610">
        <v>0</v>
      </c>
      <c r="F610">
        <v>42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114</v>
      </c>
      <c r="B611">
        <v>7172031003000700</v>
      </c>
      <c r="C611">
        <v>40</v>
      </c>
      <c r="D611">
        <v>6</v>
      </c>
      <c r="E611">
        <v>0</v>
      </c>
      <c r="F611">
        <v>34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114</v>
      </c>
      <c r="B612">
        <v>7172031003001100</v>
      </c>
      <c r="C612">
        <v>40</v>
      </c>
      <c r="D612">
        <v>35</v>
      </c>
      <c r="E612">
        <v>3</v>
      </c>
      <c r="F612">
        <v>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114</v>
      </c>
      <c r="B613">
        <v>7172031003000300</v>
      </c>
      <c r="C613">
        <v>39</v>
      </c>
      <c r="D613">
        <v>0</v>
      </c>
      <c r="E613">
        <v>0</v>
      </c>
      <c r="F613">
        <v>39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114</v>
      </c>
      <c r="B614">
        <v>7172031003000400</v>
      </c>
      <c r="C614">
        <v>38</v>
      </c>
      <c r="D614">
        <v>16</v>
      </c>
      <c r="E614">
        <v>1</v>
      </c>
      <c r="F614">
        <v>21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114</v>
      </c>
      <c r="B615">
        <v>7172031003001200</v>
      </c>
      <c r="C615">
        <v>33</v>
      </c>
      <c r="D615">
        <v>22</v>
      </c>
      <c r="E615">
        <v>1</v>
      </c>
      <c r="F615">
        <v>10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119</v>
      </c>
      <c r="B616">
        <v>7172031005000400</v>
      </c>
      <c r="C616">
        <v>85</v>
      </c>
      <c r="D616">
        <v>64</v>
      </c>
      <c r="E616">
        <v>1</v>
      </c>
      <c r="F616">
        <v>13</v>
      </c>
      <c r="G616">
        <v>7</v>
      </c>
      <c r="H616">
        <v>0</v>
      </c>
      <c r="I616">
        <v>0</v>
      </c>
      <c r="J616">
        <v>0</v>
      </c>
    </row>
    <row r="617" spans="1:10" x14ac:dyDescent="0.25">
      <c r="A617" t="s">
        <v>119</v>
      </c>
      <c r="B617">
        <v>7172031005000500</v>
      </c>
      <c r="C617">
        <v>84</v>
      </c>
      <c r="D617">
        <v>23</v>
      </c>
      <c r="E617">
        <v>0</v>
      </c>
      <c r="F617">
        <v>36</v>
      </c>
      <c r="G617">
        <v>25</v>
      </c>
      <c r="H617">
        <v>0</v>
      </c>
      <c r="I617">
        <v>0</v>
      </c>
      <c r="J617">
        <v>0</v>
      </c>
    </row>
    <row r="618" spans="1:10" x14ac:dyDescent="0.25">
      <c r="A618" t="s">
        <v>119</v>
      </c>
      <c r="B618">
        <v>7172031005001200</v>
      </c>
      <c r="C618">
        <v>73</v>
      </c>
      <c r="D618">
        <v>16</v>
      </c>
      <c r="E618">
        <v>0</v>
      </c>
      <c r="F618">
        <v>57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119</v>
      </c>
      <c r="B619">
        <v>7172031005000900</v>
      </c>
      <c r="C619">
        <v>60</v>
      </c>
      <c r="D619">
        <v>10</v>
      </c>
      <c r="E619">
        <v>0</v>
      </c>
      <c r="F619">
        <v>50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119</v>
      </c>
      <c r="B620">
        <v>7172031005000300</v>
      </c>
      <c r="C620">
        <v>53</v>
      </c>
      <c r="D620">
        <v>45</v>
      </c>
      <c r="E620">
        <v>5</v>
      </c>
      <c r="F620">
        <v>3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119</v>
      </c>
      <c r="B621">
        <v>7172031005000700</v>
      </c>
      <c r="C621">
        <v>50</v>
      </c>
      <c r="D621">
        <v>9</v>
      </c>
      <c r="E621">
        <v>0</v>
      </c>
      <c r="F621">
        <v>41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119</v>
      </c>
      <c r="B622">
        <v>7172031005000200</v>
      </c>
      <c r="C622">
        <v>48</v>
      </c>
      <c r="D622">
        <v>35</v>
      </c>
      <c r="E622">
        <v>0</v>
      </c>
      <c r="F622">
        <v>12</v>
      </c>
      <c r="G622">
        <v>0</v>
      </c>
      <c r="H622">
        <v>0</v>
      </c>
      <c r="I622">
        <v>1</v>
      </c>
      <c r="J622">
        <v>0</v>
      </c>
    </row>
    <row r="623" spans="1:10" x14ac:dyDescent="0.25">
      <c r="A623" t="s">
        <v>119</v>
      </c>
      <c r="B623">
        <v>7172031005000600</v>
      </c>
      <c r="C623">
        <v>47</v>
      </c>
      <c r="D623">
        <v>26</v>
      </c>
      <c r="E623">
        <v>1</v>
      </c>
      <c r="F623">
        <v>19</v>
      </c>
      <c r="G623">
        <v>0</v>
      </c>
      <c r="H623">
        <v>0</v>
      </c>
      <c r="I623">
        <v>1</v>
      </c>
      <c r="J623">
        <v>0</v>
      </c>
    </row>
    <row r="624" spans="1:10" x14ac:dyDescent="0.25">
      <c r="A624" t="s">
        <v>119</v>
      </c>
      <c r="B624">
        <v>7172031005001700</v>
      </c>
      <c r="C624">
        <v>45</v>
      </c>
      <c r="D624">
        <v>8</v>
      </c>
      <c r="E624">
        <v>0</v>
      </c>
      <c r="F624">
        <v>37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119</v>
      </c>
      <c r="B625">
        <v>7172031005001000</v>
      </c>
      <c r="C625">
        <v>41</v>
      </c>
      <c r="D625">
        <v>8</v>
      </c>
      <c r="E625">
        <v>0</v>
      </c>
      <c r="F625">
        <v>33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119</v>
      </c>
      <c r="B626">
        <v>7172031005000100</v>
      </c>
      <c r="C626">
        <v>32</v>
      </c>
      <c r="D626">
        <v>28</v>
      </c>
      <c r="E626">
        <v>2</v>
      </c>
      <c r="F626">
        <v>2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119</v>
      </c>
      <c r="B627">
        <v>7172031005001100</v>
      </c>
      <c r="C627">
        <v>31</v>
      </c>
      <c r="D627">
        <v>6</v>
      </c>
      <c r="E627">
        <v>0</v>
      </c>
      <c r="F627">
        <v>25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121</v>
      </c>
      <c r="B628">
        <v>7172031006001100</v>
      </c>
      <c r="C628">
        <v>209</v>
      </c>
      <c r="D628">
        <v>188</v>
      </c>
      <c r="E628">
        <v>3</v>
      </c>
      <c r="F628">
        <v>6</v>
      </c>
      <c r="G628">
        <v>10</v>
      </c>
      <c r="H628">
        <v>0</v>
      </c>
      <c r="I628">
        <v>2</v>
      </c>
      <c r="J628">
        <v>0</v>
      </c>
    </row>
    <row r="629" spans="1:10" x14ac:dyDescent="0.25">
      <c r="A629" t="s">
        <v>121</v>
      </c>
      <c r="B629">
        <v>7172031006000500</v>
      </c>
      <c r="C629">
        <v>199</v>
      </c>
      <c r="D629">
        <v>8</v>
      </c>
      <c r="E629">
        <v>28</v>
      </c>
      <c r="F629">
        <v>154</v>
      </c>
      <c r="G629">
        <v>0</v>
      </c>
      <c r="H629">
        <v>0</v>
      </c>
      <c r="I629">
        <v>9</v>
      </c>
      <c r="J629">
        <v>0</v>
      </c>
    </row>
    <row r="630" spans="1:10" x14ac:dyDescent="0.25">
      <c r="A630" t="s">
        <v>121</v>
      </c>
      <c r="B630">
        <v>7172031006000600</v>
      </c>
      <c r="C630">
        <v>127</v>
      </c>
      <c r="D630">
        <v>106</v>
      </c>
      <c r="E630">
        <v>6</v>
      </c>
      <c r="F630">
        <v>10</v>
      </c>
      <c r="G630">
        <v>1</v>
      </c>
      <c r="H630">
        <v>0</v>
      </c>
      <c r="I630">
        <v>4</v>
      </c>
      <c r="J630">
        <v>0</v>
      </c>
    </row>
    <row r="631" spans="1:10" x14ac:dyDescent="0.25">
      <c r="A631" t="s">
        <v>121</v>
      </c>
      <c r="B631">
        <v>7172031007002600</v>
      </c>
      <c r="C631">
        <v>72</v>
      </c>
      <c r="D631">
        <v>0</v>
      </c>
      <c r="E631">
        <v>0</v>
      </c>
      <c r="F631">
        <v>72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121</v>
      </c>
      <c r="B632">
        <v>7172031007002900</v>
      </c>
      <c r="C632">
        <v>61</v>
      </c>
      <c r="D632">
        <v>0</v>
      </c>
      <c r="E632">
        <v>0</v>
      </c>
      <c r="F632">
        <v>61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125</v>
      </c>
      <c r="B633">
        <v>7172031007000100</v>
      </c>
      <c r="C633">
        <v>154</v>
      </c>
      <c r="D633">
        <v>0</v>
      </c>
      <c r="E633">
        <v>0</v>
      </c>
      <c r="F633">
        <v>154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125</v>
      </c>
      <c r="B634">
        <v>7172031007000800</v>
      </c>
      <c r="C634">
        <v>133</v>
      </c>
      <c r="D634">
        <v>107</v>
      </c>
      <c r="E634">
        <v>4</v>
      </c>
      <c r="F634">
        <v>14</v>
      </c>
      <c r="G634">
        <v>8</v>
      </c>
      <c r="H634">
        <v>0</v>
      </c>
      <c r="I634">
        <v>0</v>
      </c>
      <c r="J634">
        <v>0</v>
      </c>
    </row>
    <row r="635" spans="1:10" x14ac:dyDescent="0.25">
      <c r="A635" t="s">
        <v>125</v>
      </c>
      <c r="B635">
        <v>7172031007000400</v>
      </c>
      <c r="C635">
        <v>104</v>
      </c>
      <c r="D635">
        <v>29</v>
      </c>
      <c r="E635">
        <v>15</v>
      </c>
      <c r="F635">
        <v>26</v>
      </c>
      <c r="G635">
        <v>6</v>
      </c>
      <c r="H635">
        <v>0</v>
      </c>
      <c r="I635">
        <v>28</v>
      </c>
      <c r="J635">
        <v>0</v>
      </c>
    </row>
    <row r="636" spans="1:10" x14ac:dyDescent="0.25">
      <c r="A636" t="s">
        <v>125</v>
      </c>
      <c r="B636">
        <v>7172031007000500</v>
      </c>
      <c r="C636">
        <v>104</v>
      </c>
      <c r="D636">
        <v>84</v>
      </c>
      <c r="E636">
        <v>12</v>
      </c>
      <c r="F636">
        <v>0</v>
      </c>
      <c r="G636">
        <v>4</v>
      </c>
      <c r="H636">
        <v>0</v>
      </c>
      <c r="I636">
        <v>4</v>
      </c>
      <c r="J636">
        <v>0</v>
      </c>
    </row>
    <row r="637" spans="1:10" x14ac:dyDescent="0.25">
      <c r="A637" t="s">
        <v>125</v>
      </c>
      <c r="B637">
        <v>7172031007000200</v>
      </c>
      <c r="C637">
        <v>99</v>
      </c>
      <c r="D637">
        <v>0</v>
      </c>
      <c r="E637">
        <v>0</v>
      </c>
      <c r="F637">
        <v>99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125</v>
      </c>
      <c r="B638">
        <v>7172031007002500</v>
      </c>
      <c r="C638">
        <v>86</v>
      </c>
      <c r="D638">
        <v>76</v>
      </c>
      <c r="E638">
        <v>6</v>
      </c>
      <c r="F638">
        <v>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125</v>
      </c>
      <c r="B639">
        <v>7172031008000400</v>
      </c>
      <c r="C639">
        <v>34</v>
      </c>
      <c r="D639">
        <v>34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123</v>
      </c>
      <c r="B640">
        <v>7172031007002700</v>
      </c>
      <c r="C640">
        <v>182</v>
      </c>
      <c r="D640">
        <v>177</v>
      </c>
      <c r="E640">
        <v>3</v>
      </c>
      <c r="F640">
        <v>2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123</v>
      </c>
      <c r="B641">
        <v>7172031006000800</v>
      </c>
      <c r="C641">
        <v>130</v>
      </c>
      <c r="D641">
        <v>25</v>
      </c>
      <c r="E641">
        <v>0</v>
      </c>
      <c r="F641">
        <v>105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123</v>
      </c>
      <c r="B642">
        <v>7172031007000300</v>
      </c>
      <c r="C642">
        <v>99</v>
      </c>
      <c r="D642">
        <v>6</v>
      </c>
      <c r="E642">
        <v>0</v>
      </c>
      <c r="F642">
        <v>93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123</v>
      </c>
      <c r="B643">
        <v>7172031008000200</v>
      </c>
      <c r="C643">
        <v>89</v>
      </c>
      <c r="D643">
        <v>15</v>
      </c>
      <c r="E643">
        <v>0</v>
      </c>
      <c r="F643">
        <v>74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123</v>
      </c>
      <c r="B644">
        <v>7172031008000100</v>
      </c>
      <c r="C644">
        <v>87</v>
      </c>
      <c r="D644">
        <v>57</v>
      </c>
      <c r="E644">
        <v>3</v>
      </c>
      <c r="F644">
        <v>25</v>
      </c>
      <c r="G644">
        <v>2</v>
      </c>
      <c r="H644">
        <v>0</v>
      </c>
      <c r="I644">
        <v>0</v>
      </c>
      <c r="J644">
        <v>0</v>
      </c>
    </row>
    <row r="645" spans="1:10" x14ac:dyDescent="0.25">
      <c r="A645" t="s">
        <v>123</v>
      </c>
      <c r="B645">
        <v>7172031007002800</v>
      </c>
      <c r="C645">
        <v>51</v>
      </c>
      <c r="D645">
        <v>17</v>
      </c>
      <c r="E645">
        <v>2</v>
      </c>
      <c r="F645">
        <v>32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126</v>
      </c>
      <c r="B646">
        <v>7172031007000600</v>
      </c>
      <c r="C646">
        <v>185</v>
      </c>
      <c r="D646">
        <v>166</v>
      </c>
      <c r="E646">
        <v>3</v>
      </c>
      <c r="F646">
        <v>0</v>
      </c>
      <c r="G646">
        <v>11</v>
      </c>
      <c r="H646">
        <v>0</v>
      </c>
      <c r="I646">
        <v>5</v>
      </c>
      <c r="J646">
        <v>0</v>
      </c>
    </row>
    <row r="647" spans="1:10" x14ac:dyDescent="0.25">
      <c r="A647" t="s">
        <v>126</v>
      </c>
      <c r="B647">
        <v>7172031007000700</v>
      </c>
      <c r="C647">
        <v>124</v>
      </c>
      <c r="D647">
        <v>84</v>
      </c>
      <c r="E647">
        <v>14</v>
      </c>
      <c r="F647">
        <v>13</v>
      </c>
      <c r="G647">
        <v>10</v>
      </c>
      <c r="H647">
        <v>1</v>
      </c>
      <c r="I647">
        <v>2</v>
      </c>
      <c r="J647">
        <v>0</v>
      </c>
    </row>
    <row r="648" spans="1:10" x14ac:dyDescent="0.25">
      <c r="A648" t="s">
        <v>126</v>
      </c>
      <c r="B648">
        <v>7172031007001400</v>
      </c>
      <c r="C648">
        <v>117</v>
      </c>
      <c r="D648">
        <v>0</v>
      </c>
      <c r="E648">
        <v>0</v>
      </c>
      <c r="F648">
        <v>117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126</v>
      </c>
      <c r="B649">
        <v>7172031007001300</v>
      </c>
      <c r="C649">
        <v>94</v>
      </c>
      <c r="D649">
        <v>0</v>
      </c>
      <c r="E649">
        <v>0</v>
      </c>
      <c r="F649">
        <v>94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126</v>
      </c>
      <c r="B650">
        <v>7172031007000900</v>
      </c>
      <c r="C650">
        <v>93</v>
      </c>
      <c r="D650">
        <v>3</v>
      </c>
      <c r="E650">
        <v>7</v>
      </c>
      <c r="F650">
        <v>83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126</v>
      </c>
      <c r="B651">
        <v>7172031007001100</v>
      </c>
      <c r="C651">
        <v>54</v>
      </c>
      <c r="D651">
        <v>1</v>
      </c>
      <c r="E651">
        <v>0</v>
      </c>
      <c r="F651">
        <v>53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128</v>
      </c>
      <c r="B652">
        <v>7172031007001900</v>
      </c>
      <c r="C652">
        <v>160</v>
      </c>
      <c r="D652">
        <v>117</v>
      </c>
      <c r="E652">
        <v>32</v>
      </c>
      <c r="F652">
        <v>2</v>
      </c>
      <c r="G652">
        <v>0</v>
      </c>
      <c r="H652">
        <v>3</v>
      </c>
      <c r="I652">
        <v>6</v>
      </c>
      <c r="J652">
        <v>0</v>
      </c>
    </row>
    <row r="653" spans="1:10" x14ac:dyDescent="0.25">
      <c r="A653" t="s">
        <v>128</v>
      </c>
      <c r="B653">
        <v>7172031007002200</v>
      </c>
      <c r="C653">
        <v>120</v>
      </c>
      <c r="D653">
        <v>42</v>
      </c>
      <c r="E653">
        <v>0</v>
      </c>
      <c r="F653">
        <v>77</v>
      </c>
      <c r="G653">
        <v>0</v>
      </c>
      <c r="H653">
        <v>1</v>
      </c>
      <c r="I653">
        <v>0</v>
      </c>
      <c r="J653">
        <v>0</v>
      </c>
    </row>
    <row r="654" spans="1:10" x14ac:dyDescent="0.25">
      <c r="A654" t="s">
        <v>128</v>
      </c>
      <c r="B654">
        <v>7172031007002100</v>
      </c>
      <c r="C654">
        <v>101</v>
      </c>
      <c r="D654">
        <v>33</v>
      </c>
      <c r="E654">
        <v>1</v>
      </c>
      <c r="F654">
        <v>67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128</v>
      </c>
      <c r="B655">
        <v>7172031007001500</v>
      </c>
      <c r="C655">
        <v>92</v>
      </c>
      <c r="D655">
        <v>90</v>
      </c>
      <c r="E655">
        <v>1</v>
      </c>
      <c r="F655">
        <v>0</v>
      </c>
      <c r="G655">
        <v>0</v>
      </c>
      <c r="H655">
        <v>1</v>
      </c>
      <c r="I655">
        <v>0</v>
      </c>
      <c r="J655">
        <v>0</v>
      </c>
    </row>
    <row r="656" spans="1:10" x14ac:dyDescent="0.25">
      <c r="A656" t="s">
        <v>128</v>
      </c>
      <c r="B656">
        <v>7172031007002400</v>
      </c>
      <c r="C656">
        <v>88</v>
      </c>
      <c r="D656">
        <v>13</v>
      </c>
      <c r="E656">
        <v>9</v>
      </c>
      <c r="F656">
        <v>47</v>
      </c>
      <c r="G656">
        <v>0</v>
      </c>
      <c r="H656">
        <v>0</v>
      </c>
      <c r="I656">
        <v>19</v>
      </c>
      <c r="J656">
        <v>0</v>
      </c>
    </row>
    <row r="657" spans="1:10" x14ac:dyDescent="0.25">
      <c r="A657" t="s">
        <v>128</v>
      </c>
      <c r="B657">
        <v>7172031007002300</v>
      </c>
      <c r="C657">
        <v>72</v>
      </c>
      <c r="D657">
        <v>0</v>
      </c>
      <c r="E657">
        <v>0</v>
      </c>
      <c r="F657">
        <v>59</v>
      </c>
      <c r="G657">
        <v>0</v>
      </c>
      <c r="H657">
        <v>0</v>
      </c>
      <c r="I657">
        <v>13</v>
      </c>
      <c r="J657">
        <v>0</v>
      </c>
    </row>
    <row r="658" spans="1:10" x14ac:dyDescent="0.25">
      <c r="A658" t="s">
        <v>131</v>
      </c>
      <c r="B658">
        <v>7172040007000300</v>
      </c>
      <c r="C658">
        <v>100</v>
      </c>
      <c r="D658">
        <v>98</v>
      </c>
      <c r="E658">
        <v>0</v>
      </c>
      <c r="F658">
        <v>1</v>
      </c>
      <c r="G658">
        <v>0</v>
      </c>
      <c r="H658">
        <v>1</v>
      </c>
      <c r="I658">
        <v>0</v>
      </c>
      <c r="J658">
        <v>0</v>
      </c>
    </row>
    <row r="659" spans="1:10" x14ac:dyDescent="0.25">
      <c r="A659" t="s">
        <v>131</v>
      </c>
      <c r="B659">
        <v>7172040007000100</v>
      </c>
      <c r="C659">
        <v>80</v>
      </c>
      <c r="D659">
        <v>43</v>
      </c>
      <c r="E659">
        <v>3</v>
      </c>
      <c r="F659">
        <v>34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131</v>
      </c>
      <c r="B660">
        <v>7172040007000200</v>
      </c>
      <c r="C660">
        <v>80</v>
      </c>
      <c r="D660">
        <v>18</v>
      </c>
      <c r="E660">
        <v>0</v>
      </c>
      <c r="F660">
        <v>62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131</v>
      </c>
      <c r="B661">
        <v>7172040001000900</v>
      </c>
      <c r="C661">
        <v>75</v>
      </c>
      <c r="D661">
        <v>14</v>
      </c>
      <c r="E661">
        <v>0</v>
      </c>
      <c r="F661">
        <v>61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t="s">
        <v>131</v>
      </c>
      <c r="B662">
        <v>7172040001000600</v>
      </c>
      <c r="C662">
        <v>67</v>
      </c>
      <c r="D662">
        <v>9</v>
      </c>
      <c r="E662">
        <v>0</v>
      </c>
      <c r="F662">
        <v>58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131</v>
      </c>
      <c r="B663">
        <v>7172040001000700</v>
      </c>
      <c r="C663">
        <v>57</v>
      </c>
      <c r="D663">
        <v>15</v>
      </c>
      <c r="E663">
        <v>0</v>
      </c>
      <c r="F663">
        <v>42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131</v>
      </c>
      <c r="B664">
        <v>7172040001000500</v>
      </c>
      <c r="C664">
        <v>53</v>
      </c>
      <c r="D664">
        <v>8</v>
      </c>
      <c r="E664">
        <v>0</v>
      </c>
      <c r="F664">
        <v>45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131</v>
      </c>
      <c r="B665">
        <v>7172040007000400</v>
      </c>
      <c r="C665">
        <v>47</v>
      </c>
      <c r="D665">
        <v>47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131</v>
      </c>
      <c r="B666">
        <v>7172040001000800</v>
      </c>
      <c r="C666">
        <v>42</v>
      </c>
      <c r="D666">
        <v>11</v>
      </c>
      <c r="E666">
        <v>1</v>
      </c>
      <c r="F666">
        <v>30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131</v>
      </c>
      <c r="B667">
        <v>7172040001000400</v>
      </c>
      <c r="C667">
        <v>41</v>
      </c>
      <c r="D667">
        <v>16</v>
      </c>
      <c r="E667">
        <v>0</v>
      </c>
      <c r="F667">
        <v>25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134</v>
      </c>
      <c r="B668">
        <v>7172040003001200</v>
      </c>
      <c r="C668">
        <v>215</v>
      </c>
      <c r="D668">
        <v>127</v>
      </c>
      <c r="E668">
        <v>2</v>
      </c>
      <c r="F668">
        <v>85</v>
      </c>
      <c r="G668">
        <v>1</v>
      </c>
      <c r="H668">
        <v>0</v>
      </c>
      <c r="I668">
        <v>0</v>
      </c>
      <c r="J668">
        <v>0</v>
      </c>
    </row>
    <row r="669" spans="1:10" x14ac:dyDescent="0.25">
      <c r="A669" t="s">
        <v>134</v>
      </c>
      <c r="B669">
        <v>7172040003001000</v>
      </c>
      <c r="C669">
        <v>142</v>
      </c>
      <c r="D669">
        <v>139</v>
      </c>
      <c r="E669">
        <v>2</v>
      </c>
      <c r="F669">
        <v>1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134</v>
      </c>
      <c r="B670">
        <v>7172040003001100</v>
      </c>
      <c r="C670">
        <v>129</v>
      </c>
      <c r="D670">
        <v>0</v>
      </c>
      <c r="E670">
        <v>0</v>
      </c>
      <c r="F670">
        <v>129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134</v>
      </c>
      <c r="B671">
        <v>7172040003000900</v>
      </c>
      <c r="C671">
        <v>93</v>
      </c>
      <c r="D671">
        <v>0</v>
      </c>
      <c r="E671">
        <v>0</v>
      </c>
      <c r="F671">
        <v>93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134</v>
      </c>
      <c r="B672">
        <v>7172040003000200</v>
      </c>
      <c r="C672">
        <v>69</v>
      </c>
      <c r="D672">
        <v>0</v>
      </c>
      <c r="E672">
        <v>0</v>
      </c>
      <c r="F672">
        <v>69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137</v>
      </c>
      <c r="B673">
        <v>7172040005000200</v>
      </c>
      <c r="C673">
        <v>159</v>
      </c>
      <c r="D673">
        <v>135</v>
      </c>
      <c r="E673">
        <v>3</v>
      </c>
      <c r="F673">
        <v>19</v>
      </c>
      <c r="G673">
        <v>0</v>
      </c>
      <c r="H673">
        <v>2</v>
      </c>
      <c r="I673">
        <v>0</v>
      </c>
      <c r="J673">
        <v>0</v>
      </c>
    </row>
    <row r="674" spans="1:10" x14ac:dyDescent="0.25">
      <c r="A674" t="s">
        <v>137</v>
      </c>
      <c r="B674">
        <v>7172040005001200</v>
      </c>
      <c r="C674">
        <v>78</v>
      </c>
      <c r="D674">
        <v>5</v>
      </c>
      <c r="E674">
        <v>1</v>
      </c>
      <c r="F674">
        <v>72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137</v>
      </c>
      <c r="B675">
        <v>7172040005000400</v>
      </c>
      <c r="C675">
        <v>73</v>
      </c>
      <c r="D675">
        <v>38</v>
      </c>
      <c r="E675">
        <v>2</v>
      </c>
      <c r="F675">
        <v>32</v>
      </c>
      <c r="G675">
        <v>0</v>
      </c>
      <c r="H675">
        <v>0</v>
      </c>
      <c r="I675">
        <v>1</v>
      </c>
      <c r="J675">
        <v>0</v>
      </c>
    </row>
    <row r="676" spans="1:10" x14ac:dyDescent="0.25">
      <c r="A676" t="s">
        <v>137</v>
      </c>
      <c r="B676">
        <v>7172040005000700</v>
      </c>
      <c r="C676">
        <v>63</v>
      </c>
      <c r="D676">
        <v>58</v>
      </c>
      <c r="E676">
        <v>0</v>
      </c>
      <c r="F676">
        <v>5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137</v>
      </c>
      <c r="B677">
        <v>7172040005000100</v>
      </c>
      <c r="C677">
        <v>53</v>
      </c>
      <c r="D677">
        <v>10</v>
      </c>
      <c r="E677">
        <v>17</v>
      </c>
      <c r="F677">
        <v>25</v>
      </c>
      <c r="G677">
        <v>0</v>
      </c>
      <c r="H677">
        <v>0</v>
      </c>
      <c r="I677">
        <v>1</v>
      </c>
      <c r="J677">
        <v>0</v>
      </c>
    </row>
    <row r="678" spans="1:10" x14ac:dyDescent="0.25">
      <c r="A678" t="s">
        <v>137</v>
      </c>
      <c r="B678">
        <v>7172040005001000</v>
      </c>
      <c r="C678">
        <v>49</v>
      </c>
      <c r="D678">
        <v>44</v>
      </c>
      <c r="E678">
        <v>1</v>
      </c>
      <c r="F678">
        <v>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137</v>
      </c>
      <c r="B679">
        <v>7172040005001100</v>
      </c>
      <c r="C679">
        <v>48</v>
      </c>
      <c r="D679">
        <v>1</v>
      </c>
      <c r="E679">
        <v>0</v>
      </c>
      <c r="F679">
        <v>47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137</v>
      </c>
      <c r="B680">
        <v>7172040005000900</v>
      </c>
      <c r="C680">
        <v>44</v>
      </c>
      <c r="D680">
        <v>2</v>
      </c>
      <c r="E680">
        <v>0</v>
      </c>
      <c r="F680">
        <v>42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137</v>
      </c>
      <c r="B681">
        <v>7172040005000300</v>
      </c>
      <c r="C681">
        <v>40</v>
      </c>
      <c r="D681">
        <v>2</v>
      </c>
      <c r="E681">
        <v>3</v>
      </c>
      <c r="F681">
        <v>35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137</v>
      </c>
      <c r="B682">
        <v>7172040005000800</v>
      </c>
      <c r="C682">
        <v>39</v>
      </c>
      <c r="D682">
        <v>3</v>
      </c>
      <c r="E682">
        <v>0</v>
      </c>
      <c r="F682">
        <v>36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137</v>
      </c>
      <c r="B683">
        <v>7172040005000500</v>
      </c>
      <c r="C683">
        <v>24</v>
      </c>
      <c r="D683">
        <v>0</v>
      </c>
      <c r="E683">
        <v>0</v>
      </c>
      <c r="F683">
        <v>24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138</v>
      </c>
      <c r="B684">
        <v>7172040005002001</v>
      </c>
      <c r="C684">
        <v>128</v>
      </c>
      <c r="D684">
        <v>15</v>
      </c>
      <c r="E684">
        <v>1</v>
      </c>
      <c r="F684">
        <v>112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138</v>
      </c>
      <c r="B685">
        <v>7172040005001800</v>
      </c>
      <c r="C685">
        <v>125</v>
      </c>
      <c r="D685">
        <v>71</v>
      </c>
      <c r="E685">
        <v>3</v>
      </c>
      <c r="F685">
        <v>48</v>
      </c>
      <c r="G685">
        <v>0</v>
      </c>
      <c r="H685">
        <v>3</v>
      </c>
      <c r="I685">
        <v>0</v>
      </c>
      <c r="J685">
        <v>0</v>
      </c>
    </row>
    <row r="686" spans="1:10" x14ac:dyDescent="0.25">
      <c r="A686" t="s">
        <v>138</v>
      </c>
      <c r="B686">
        <v>7172040005001700</v>
      </c>
      <c r="C686">
        <v>123</v>
      </c>
      <c r="D686">
        <v>66</v>
      </c>
      <c r="E686">
        <v>3</v>
      </c>
      <c r="F686">
        <v>54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138</v>
      </c>
      <c r="B687">
        <v>7172040005001402</v>
      </c>
      <c r="C687">
        <v>75</v>
      </c>
      <c r="D687">
        <v>43</v>
      </c>
      <c r="E687">
        <v>2</v>
      </c>
      <c r="F687">
        <v>29</v>
      </c>
      <c r="G687">
        <v>0</v>
      </c>
      <c r="H687">
        <v>1</v>
      </c>
      <c r="I687">
        <v>0</v>
      </c>
      <c r="J687">
        <v>0</v>
      </c>
    </row>
    <row r="688" spans="1:10" x14ac:dyDescent="0.25">
      <c r="A688" t="s">
        <v>138</v>
      </c>
      <c r="B688">
        <v>7172040005001401</v>
      </c>
      <c r="C688">
        <v>72</v>
      </c>
      <c r="D688">
        <v>0</v>
      </c>
      <c r="E688">
        <v>0</v>
      </c>
      <c r="F688">
        <v>72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138</v>
      </c>
      <c r="B689">
        <v>7172040005001300</v>
      </c>
      <c r="C689">
        <v>56</v>
      </c>
      <c r="D689">
        <v>56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138</v>
      </c>
      <c r="B690">
        <v>7172040005001500</v>
      </c>
      <c r="C690">
        <v>56</v>
      </c>
      <c r="D690">
        <v>2</v>
      </c>
      <c r="E690">
        <v>0</v>
      </c>
      <c r="F690">
        <v>54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141</v>
      </c>
      <c r="B691">
        <v>7172040013000100</v>
      </c>
      <c r="C691">
        <v>139</v>
      </c>
      <c r="D691">
        <v>90</v>
      </c>
      <c r="E691">
        <v>14</v>
      </c>
      <c r="F691">
        <v>0</v>
      </c>
      <c r="G691">
        <v>12</v>
      </c>
      <c r="H691">
        <v>0</v>
      </c>
      <c r="I691">
        <v>23</v>
      </c>
      <c r="J691">
        <v>0</v>
      </c>
    </row>
    <row r="692" spans="1:10" x14ac:dyDescent="0.25">
      <c r="A692" t="s">
        <v>141</v>
      </c>
      <c r="B692">
        <v>7172040013000200</v>
      </c>
      <c r="C692">
        <v>100</v>
      </c>
      <c r="D692">
        <v>80</v>
      </c>
      <c r="E692">
        <v>5</v>
      </c>
      <c r="F692">
        <v>4</v>
      </c>
      <c r="G692">
        <v>5</v>
      </c>
      <c r="H692">
        <v>0</v>
      </c>
      <c r="I692">
        <v>6</v>
      </c>
      <c r="J692">
        <v>0</v>
      </c>
    </row>
    <row r="693" spans="1:10" x14ac:dyDescent="0.25">
      <c r="A693" t="s">
        <v>141</v>
      </c>
      <c r="B693">
        <v>7172040012001200</v>
      </c>
      <c r="C693">
        <v>79</v>
      </c>
      <c r="D693">
        <v>23</v>
      </c>
      <c r="E693">
        <v>2</v>
      </c>
      <c r="F693">
        <v>54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141</v>
      </c>
      <c r="B694">
        <v>7172040012001300</v>
      </c>
      <c r="C694">
        <v>55</v>
      </c>
      <c r="D694">
        <v>15</v>
      </c>
      <c r="E694">
        <v>4</v>
      </c>
      <c r="F694">
        <v>36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141</v>
      </c>
      <c r="B695">
        <v>7172040012001400</v>
      </c>
      <c r="C695">
        <v>53</v>
      </c>
      <c r="D695">
        <v>16</v>
      </c>
      <c r="E695">
        <v>27</v>
      </c>
      <c r="F695">
        <v>4</v>
      </c>
      <c r="G695">
        <v>0</v>
      </c>
      <c r="H695">
        <v>0</v>
      </c>
      <c r="I695">
        <v>6</v>
      </c>
      <c r="J695">
        <v>0</v>
      </c>
    </row>
    <row r="696" spans="1:10" x14ac:dyDescent="0.25">
      <c r="A696" t="s">
        <v>141</v>
      </c>
      <c r="B696">
        <v>7172040012000900</v>
      </c>
      <c r="C696">
        <v>49</v>
      </c>
      <c r="D696">
        <v>13</v>
      </c>
      <c r="E696">
        <v>0</v>
      </c>
      <c r="F696">
        <v>36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141</v>
      </c>
      <c r="B697">
        <v>7172040012001100</v>
      </c>
      <c r="C697">
        <v>40</v>
      </c>
      <c r="D697">
        <v>8</v>
      </c>
      <c r="E697">
        <v>2</v>
      </c>
      <c r="F697">
        <v>30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141</v>
      </c>
      <c r="B698">
        <v>7172040012000700</v>
      </c>
      <c r="C698">
        <v>38</v>
      </c>
      <c r="D698">
        <v>15</v>
      </c>
      <c r="E698">
        <v>0</v>
      </c>
      <c r="F698">
        <v>23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141</v>
      </c>
      <c r="B699">
        <v>7172040012000800</v>
      </c>
      <c r="C699">
        <v>38</v>
      </c>
      <c r="D699">
        <v>13</v>
      </c>
      <c r="E699">
        <v>0</v>
      </c>
      <c r="F699">
        <v>25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141</v>
      </c>
      <c r="B700">
        <v>7172040012001000</v>
      </c>
      <c r="C700">
        <v>34</v>
      </c>
      <c r="D700">
        <v>9</v>
      </c>
      <c r="E700">
        <v>1</v>
      </c>
      <c r="F700">
        <v>24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142</v>
      </c>
      <c r="B701">
        <v>7172040013000600</v>
      </c>
      <c r="C701">
        <v>132</v>
      </c>
      <c r="D701">
        <v>108</v>
      </c>
      <c r="E701">
        <v>8</v>
      </c>
      <c r="F701">
        <v>11</v>
      </c>
      <c r="G701">
        <v>5</v>
      </c>
      <c r="H701">
        <v>0</v>
      </c>
      <c r="I701">
        <v>0</v>
      </c>
      <c r="J701">
        <v>0</v>
      </c>
    </row>
    <row r="702" spans="1:10" x14ac:dyDescent="0.25">
      <c r="A702" t="s">
        <v>142</v>
      </c>
      <c r="B702">
        <v>7172040013000800</v>
      </c>
      <c r="C702">
        <v>89</v>
      </c>
      <c r="D702">
        <v>87</v>
      </c>
      <c r="E702">
        <v>0</v>
      </c>
      <c r="F702">
        <v>1</v>
      </c>
      <c r="G702">
        <v>1</v>
      </c>
      <c r="H702">
        <v>0</v>
      </c>
      <c r="I702">
        <v>0</v>
      </c>
      <c r="J702">
        <v>0</v>
      </c>
    </row>
    <row r="703" spans="1:10" x14ac:dyDescent="0.25">
      <c r="A703" t="s">
        <v>142</v>
      </c>
      <c r="B703">
        <v>7172040013000300</v>
      </c>
      <c r="C703">
        <v>68</v>
      </c>
      <c r="D703">
        <v>16</v>
      </c>
      <c r="E703">
        <v>0</v>
      </c>
      <c r="F703">
        <v>52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142</v>
      </c>
      <c r="B704">
        <v>7172040013000400</v>
      </c>
      <c r="C704">
        <v>67</v>
      </c>
      <c r="D704">
        <v>8</v>
      </c>
      <c r="E704">
        <v>0</v>
      </c>
      <c r="F704">
        <v>59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142</v>
      </c>
      <c r="B705">
        <v>7172040013000500</v>
      </c>
      <c r="C705">
        <v>56</v>
      </c>
      <c r="D705">
        <v>40</v>
      </c>
      <c r="E705">
        <v>5</v>
      </c>
      <c r="F705">
        <v>11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142</v>
      </c>
      <c r="B706">
        <v>7172040013000900</v>
      </c>
      <c r="C706">
        <v>56</v>
      </c>
      <c r="D706">
        <v>34</v>
      </c>
      <c r="E706">
        <v>1</v>
      </c>
      <c r="F706">
        <v>21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142</v>
      </c>
      <c r="B707">
        <v>7172040012001500</v>
      </c>
      <c r="C707">
        <v>55</v>
      </c>
      <c r="D707">
        <v>9</v>
      </c>
      <c r="E707">
        <v>0</v>
      </c>
      <c r="F707">
        <v>46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142</v>
      </c>
      <c r="B708">
        <v>7172040013000700</v>
      </c>
      <c r="C708">
        <v>52</v>
      </c>
      <c r="D708">
        <v>2</v>
      </c>
      <c r="E708">
        <v>0</v>
      </c>
      <c r="F708">
        <v>50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142</v>
      </c>
      <c r="B709">
        <v>7172040013001000</v>
      </c>
      <c r="C709">
        <v>48</v>
      </c>
      <c r="D709">
        <v>3</v>
      </c>
      <c r="E709">
        <v>0</v>
      </c>
      <c r="F709">
        <v>45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142</v>
      </c>
      <c r="B710">
        <v>7172040013001100</v>
      </c>
      <c r="C710">
        <v>48</v>
      </c>
      <c r="D710">
        <v>7</v>
      </c>
      <c r="E710">
        <v>0</v>
      </c>
      <c r="F710">
        <v>41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142</v>
      </c>
      <c r="B711">
        <v>7172040013001200</v>
      </c>
      <c r="C711">
        <v>41</v>
      </c>
      <c r="D711">
        <v>2</v>
      </c>
      <c r="E711">
        <v>0</v>
      </c>
      <c r="F711">
        <v>39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6</v>
      </c>
      <c r="B712">
        <v>7172010008000700</v>
      </c>
      <c r="C712">
        <v>160</v>
      </c>
      <c r="D712">
        <v>0</v>
      </c>
      <c r="E712">
        <v>0</v>
      </c>
      <c r="F712">
        <v>160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6</v>
      </c>
      <c r="B713">
        <v>7172010008000600</v>
      </c>
      <c r="C713">
        <v>132</v>
      </c>
      <c r="D713">
        <v>31</v>
      </c>
      <c r="E713">
        <v>11</v>
      </c>
      <c r="F713">
        <v>84</v>
      </c>
      <c r="G713">
        <v>0</v>
      </c>
      <c r="H713">
        <v>0</v>
      </c>
      <c r="I713">
        <v>6</v>
      </c>
      <c r="J713">
        <v>0</v>
      </c>
    </row>
    <row r="714" spans="1:10" x14ac:dyDescent="0.25">
      <c r="A714" t="s">
        <v>6</v>
      </c>
      <c r="B714">
        <v>7172010008000500</v>
      </c>
      <c r="C714">
        <v>88</v>
      </c>
      <c r="D714">
        <v>83</v>
      </c>
      <c r="E714">
        <v>1</v>
      </c>
      <c r="F714">
        <v>0</v>
      </c>
      <c r="G714">
        <v>1</v>
      </c>
      <c r="H714">
        <v>0</v>
      </c>
      <c r="I714">
        <v>3</v>
      </c>
      <c r="J714">
        <v>0</v>
      </c>
    </row>
    <row r="715" spans="1:10" x14ac:dyDescent="0.25">
      <c r="A715" t="s">
        <v>6</v>
      </c>
      <c r="B715">
        <v>7172010008000200</v>
      </c>
      <c r="C715">
        <v>73</v>
      </c>
      <c r="D715">
        <v>71</v>
      </c>
      <c r="E715">
        <v>1</v>
      </c>
      <c r="F715">
        <v>0</v>
      </c>
      <c r="G715">
        <v>1</v>
      </c>
      <c r="H715">
        <v>0</v>
      </c>
      <c r="I715">
        <v>0</v>
      </c>
      <c r="J715">
        <v>0</v>
      </c>
    </row>
    <row r="716" spans="1:10" x14ac:dyDescent="0.25">
      <c r="A716" t="s">
        <v>6</v>
      </c>
      <c r="B716">
        <v>7172010008000400</v>
      </c>
      <c r="C716">
        <v>71</v>
      </c>
      <c r="D716">
        <v>70</v>
      </c>
      <c r="E716">
        <v>0</v>
      </c>
      <c r="F716">
        <v>0</v>
      </c>
      <c r="G716">
        <v>1</v>
      </c>
      <c r="H716">
        <v>0</v>
      </c>
      <c r="I716">
        <v>0</v>
      </c>
      <c r="J716">
        <v>0</v>
      </c>
    </row>
    <row r="717" spans="1:10" x14ac:dyDescent="0.25">
      <c r="A717" t="s">
        <v>6</v>
      </c>
      <c r="B717">
        <v>7172010015001400</v>
      </c>
      <c r="C717">
        <v>48</v>
      </c>
      <c r="D717">
        <v>0</v>
      </c>
      <c r="E717">
        <v>0</v>
      </c>
      <c r="F717">
        <v>48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6</v>
      </c>
      <c r="B718">
        <v>7172010008000300</v>
      </c>
      <c r="C718">
        <v>43</v>
      </c>
      <c r="D718">
        <v>43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13</v>
      </c>
      <c r="B719">
        <v>7172010010002100</v>
      </c>
      <c r="C719">
        <v>86</v>
      </c>
      <c r="D719">
        <v>82</v>
      </c>
      <c r="E719">
        <v>0</v>
      </c>
      <c r="F719">
        <v>3</v>
      </c>
      <c r="G719">
        <v>1</v>
      </c>
      <c r="H719">
        <v>0</v>
      </c>
      <c r="I719">
        <v>0</v>
      </c>
      <c r="J719">
        <v>0</v>
      </c>
    </row>
    <row r="720" spans="1:10" x14ac:dyDescent="0.25">
      <c r="A720" t="s">
        <v>13</v>
      </c>
      <c r="B720">
        <v>7172010010001600</v>
      </c>
      <c r="C720">
        <v>80</v>
      </c>
      <c r="D720">
        <v>63</v>
      </c>
      <c r="E720">
        <v>0</v>
      </c>
      <c r="F720">
        <v>13</v>
      </c>
      <c r="G720">
        <v>0</v>
      </c>
      <c r="H720">
        <v>0</v>
      </c>
      <c r="I720">
        <v>4</v>
      </c>
      <c r="J720">
        <v>0</v>
      </c>
    </row>
    <row r="721" spans="1:10" x14ac:dyDescent="0.25">
      <c r="A721" t="s">
        <v>13</v>
      </c>
      <c r="B721">
        <v>7172010010001800</v>
      </c>
      <c r="C721">
        <v>78</v>
      </c>
      <c r="D721">
        <v>55</v>
      </c>
      <c r="E721">
        <v>0</v>
      </c>
      <c r="F721">
        <v>21</v>
      </c>
      <c r="G721">
        <v>0</v>
      </c>
      <c r="H721">
        <v>0</v>
      </c>
      <c r="I721">
        <v>2</v>
      </c>
      <c r="J721">
        <v>0</v>
      </c>
    </row>
    <row r="722" spans="1:10" x14ac:dyDescent="0.25">
      <c r="A722" t="s">
        <v>13</v>
      </c>
      <c r="B722">
        <v>7172010010001900</v>
      </c>
      <c r="C722">
        <v>70</v>
      </c>
      <c r="D722">
        <v>0</v>
      </c>
      <c r="E722">
        <v>0</v>
      </c>
      <c r="F722">
        <v>51</v>
      </c>
      <c r="G722">
        <v>0</v>
      </c>
      <c r="H722">
        <v>0</v>
      </c>
      <c r="I722">
        <v>19</v>
      </c>
      <c r="J722">
        <v>0</v>
      </c>
    </row>
    <row r="723" spans="1:10" x14ac:dyDescent="0.25">
      <c r="A723" t="s">
        <v>13</v>
      </c>
      <c r="B723">
        <v>7172010010002000</v>
      </c>
      <c r="C723">
        <v>67</v>
      </c>
      <c r="D723">
        <v>20</v>
      </c>
      <c r="E723">
        <v>1</v>
      </c>
      <c r="F723">
        <v>29</v>
      </c>
      <c r="G723">
        <v>0</v>
      </c>
      <c r="H723">
        <v>0</v>
      </c>
      <c r="I723">
        <v>17</v>
      </c>
      <c r="J723">
        <v>0</v>
      </c>
    </row>
    <row r="724" spans="1:10" x14ac:dyDescent="0.25">
      <c r="A724" t="s">
        <v>13</v>
      </c>
      <c r="B724">
        <v>7172010010001700</v>
      </c>
      <c r="C724">
        <v>47</v>
      </c>
      <c r="D724">
        <v>42</v>
      </c>
      <c r="E724">
        <v>0</v>
      </c>
      <c r="F724">
        <v>5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13</v>
      </c>
      <c r="B725">
        <v>7172010011000300</v>
      </c>
      <c r="C725">
        <v>42</v>
      </c>
      <c r="D725">
        <v>0</v>
      </c>
      <c r="E725">
        <v>0</v>
      </c>
      <c r="F725">
        <v>42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13</v>
      </c>
      <c r="B726">
        <v>7172010011000100</v>
      </c>
      <c r="C726">
        <v>41</v>
      </c>
      <c r="D726">
        <v>0</v>
      </c>
      <c r="E726">
        <v>0</v>
      </c>
      <c r="F726">
        <v>41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13</v>
      </c>
      <c r="B727">
        <v>7172010011000600</v>
      </c>
      <c r="C727">
        <v>41</v>
      </c>
      <c r="D727">
        <v>0</v>
      </c>
      <c r="E727">
        <v>0</v>
      </c>
      <c r="F727">
        <v>41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13</v>
      </c>
      <c r="B728">
        <v>7172010010002200</v>
      </c>
      <c r="C728">
        <v>40</v>
      </c>
      <c r="D728">
        <v>28</v>
      </c>
      <c r="E728">
        <v>0</v>
      </c>
      <c r="F728">
        <v>9</v>
      </c>
      <c r="G728">
        <v>0</v>
      </c>
      <c r="H728">
        <v>0</v>
      </c>
      <c r="I728">
        <v>3</v>
      </c>
      <c r="J728">
        <v>0</v>
      </c>
    </row>
    <row r="729" spans="1:10" x14ac:dyDescent="0.25">
      <c r="A729" t="s">
        <v>13</v>
      </c>
      <c r="B729">
        <v>7172010011000200</v>
      </c>
      <c r="C729">
        <v>29</v>
      </c>
      <c r="D729">
        <v>0</v>
      </c>
      <c r="E729">
        <v>0</v>
      </c>
      <c r="F729">
        <v>29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13</v>
      </c>
      <c r="B730">
        <v>7172010011000500</v>
      </c>
      <c r="C730">
        <v>28</v>
      </c>
      <c r="D730">
        <v>0</v>
      </c>
      <c r="E730">
        <v>0</v>
      </c>
      <c r="F730">
        <v>28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13</v>
      </c>
      <c r="B731">
        <v>7172010011000400</v>
      </c>
      <c r="C731">
        <v>13</v>
      </c>
      <c r="D731">
        <v>0</v>
      </c>
      <c r="E731">
        <v>0</v>
      </c>
      <c r="F731">
        <v>13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16</v>
      </c>
      <c r="B732">
        <v>7172010012002300</v>
      </c>
      <c r="C732">
        <v>102</v>
      </c>
      <c r="D732">
        <v>0</v>
      </c>
      <c r="E732">
        <v>0</v>
      </c>
      <c r="F732">
        <v>102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16</v>
      </c>
      <c r="B733">
        <v>7172010012002100</v>
      </c>
      <c r="C733">
        <v>79</v>
      </c>
      <c r="D733">
        <v>49</v>
      </c>
      <c r="E733">
        <v>0</v>
      </c>
      <c r="F733">
        <v>9</v>
      </c>
      <c r="G733">
        <v>0</v>
      </c>
      <c r="H733">
        <v>0</v>
      </c>
      <c r="I733">
        <v>21</v>
      </c>
      <c r="J733">
        <v>0</v>
      </c>
    </row>
    <row r="734" spans="1:10" x14ac:dyDescent="0.25">
      <c r="A734" t="s">
        <v>16</v>
      </c>
      <c r="B734">
        <v>7172010012001500</v>
      </c>
      <c r="C734">
        <v>78</v>
      </c>
      <c r="D734">
        <v>70</v>
      </c>
      <c r="E734">
        <v>1</v>
      </c>
      <c r="F734">
        <v>6</v>
      </c>
      <c r="G734">
        <v>1</v>
      </c>
      <c r="H734">
        <v>0</v>
      </c>
      <c r="I734">
        <v>0</v>
      </c>
      <c r="J734">
        <v>0</v>
      </c>
    </row>
    <row r="735" spans="1:10" x14ac:dyDescent="0.25">
      <c r="A735" t="s">
        <v>16</v>
      </c>
      <c r="B735">
        <v>7172010012001400</v>
      </c>
      <c r="C735">
        <v>65</v>
      </c>
      <c r="D735">
        <v>60</v>
      </c>
      <c r="E735">
        <v>4</v>
      </c>
      <c r="F735">
        <v>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16</v>
      </c>
      <c r="B736">
        <v>7172010012002200</v>
      </c>
      <c r="C736">
        <v>61</v>
      </c>
      <c r="D736">
        <v>0</v>
      </c>
      <c r="E736">
        <v>0</v>
      </c>
      <c r="F736">
        <v>61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16</v>
      </c>
      <c r="B737">
        <v>7172010012001800</v>
      </c>
      <c r="C737">
        <v>59</v>
      </c>
      <c r="D737">
        <v>0</v>
      </c>
      <c r="E737">
        <v>0</v>
      </c>
      <c r="F737">
        <v>59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16</v>
      </c>
      <c r="B738">
        <v>7172010012001700</v>
      </c>
      <c r="C738">
        <v>53</v>
      </c>
      <c r="D738">
        <v>52</v>
      </c>
      <c r="E738">
        <v>0</v>
      </c>
      <c r="F738">
        <v>0</v>
      </c>
      <c r="G738">
        <v>1</v>
      </c>
      <c r="H738">
        <v>0</v>
      </c>
      <c r="I738">
        <v>0</v>
      </c>
      <c r="J738">
        <v>0</v>
      </c>
    </row>
    <row r="739" spans="1:10" x14ac:dyDescent="0.25">
      <c r="A739" t="s">
        <v>16</v>
      </c>
      <c r="B739">
        <v>7172010012002400</v>
      </c>
      <c r="C739">
        <v>51</v>
      </c>
      <c r="D739">
        <v>0</v>
      </c>
      <c r="E739">
        <v>0</v>
      </c>
      <c r="F739">
        <v>51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16</v>
      </c>
      <c r="B740">
        <v>7172010012002000</v>
      </c>
      <c r="C740">
        <v>45</v>
      </c>
      <c r="D740">
        <v>0</v>
      </c>
      <c r="E740">
        <v>0</v>
      </c>
      <c r="F740">
        <v>45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16</v>
      </c>
      <c r="B741">
        <v>7172010012001300</v>
      </c>
      <c r="C741">
        <v>30</v>
      </c>
      <c r="D741">
        <v>30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16</v>
      </c>
      <c r="B742">
        <v>7172010012001600</v>
      </c>
      <c r="C742">
        <v>30</v>
      </c>
      <c r="D742">
        <v>30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16</v>
      </c>
      <c r="B743">
        <v>7172010012001900</v>
      </c>
      <c r="C743">
        <v>28</v>
      </c>
      <c r="D743">
        <v>0</v>
      </c>
      <c r="E743">
        <v>0</v>
      </c>
      <c r="F743">
        <v>28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17</v>
      </c>
      <c r="B744">
        <v>7172010015003400</v>
      </c>
      <c r="C744">
        <v>227</v>
      </c>
      <c r="D744">
        <v>217</v>
      </c>
      <c r="E744">
        <v>5</v>
      </c>
      <c r="F744">
        <v>0</v>
      </c>
      <c r="G744">
        <v>4</v>
      </c>
      <c r="H744">
        <v>0</v>
      </c>
      <c r="I744">
        <v>1</v>
      </c>
      <c r="J744">
        <v>0</v>
      </c>
    </row>
    <row r="745" spans="1:10" x14ac:dyDescent="0.25">
      <c r="A745" t="s">
        <v>17</v>
      </c>
      <c r="B745">
        <v>7172010015003300</v>
      </c>
      <c r="C745">
        <v>215</v>
      </c>
      <c r="D745">
        <v>66</v>
      </c>
      <c r="E745">
        <v>23</v>
      </c>
      <c r="F745">
        <v>115</v>
      </c>
      <c r="G745">
        <v>1</v>
      </c>
      <c r="H745">
        <v>0</v>
      </c>
      <c r="I745">
        <v>10</v>
      </c>
      <c r="J745">
        <v>0</v>
      </c>
    </row>
    <row r="746" spans="1:10" x14ac:dyDescent="0.25">
      <c r="A746" t="s">
        <v>17</v>
      </c>
      <c r="B746">
        <v>7172010015000400</v>
      </c>
      <c r="C746">
        <v>67</v>
      </c>
      <c r="D746">
        <v>0</v>
      </c>
      <c r="E746">
        <v>0</v>
      </c>
      <c r="F746">
        <v>67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17</v>
      </c>
      <c r="B747">
        <v>7172010015000100</v>
      </c>
      <c r="C747">
        <v>56</v>
      </c>
      <c r="D747">
        <v>0</v>
      </c>
      <c r="E747">
        <v>0</v>
      </c>
      <c r="F747">
        <v>56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17</v>
      </c>
      <c r="B748">
        <v>7172010015000200</v>
      </c>
      <c r="C748">
        <v>54</v>
      </c>
      <c r="D748">
        <v>0</v>
      </c>
      <c r="E748">
        <v>0</v>
      </c>
      <c r="F748">
        <v>54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17</v>
      </c>
      <c r="B749">
        <v>7172010015000300</v>
      </c>
      <c r="C749">
        <v>44</v>
      </c>
      <c r="D749">
        <v>0</v>
      </c>
      <c r="E749">
        <v>0</v>
      </c>
      <c r="F749">
        <v>44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17</v>
      </c>
      <c r="B750">
        <v>7172010015000500</v>
      </c>
      <c r="C750">
        <v>30</v>
      </c>
      <c r="D750">
        <v>0</v>
      </c>
      <c r="E750">
        <v>0</v>
      </c>
      <c r="F750">
        <v>30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19</v>
      </c>
      <c r="B751">
        <v>7172010016002300</v>
      </c>
      <c r="C751">
        <v>149</v>
      </c>
      <c r="D751">
        <v>20</v>
      </c>
      <c r="E751">
        <v>0</v>
      </c>
      <c r="F751">
        <v>129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19</v>
      </c>
      <c r="B752">
        <v>7172010016002400</v>
      </c>
      <c r="C752">
        <v>107</v>
      </c>
      <c r="D752">
        <v>99</v>
      </c>
      <c r="E752">
        <v>0</v>
      </c>
      <c r="F752">
        <v>0</v>
      </c>
      <c r="G752">
        <v>0</v>
      </c>
      <c r="H752">
        <v>0</v>
      </c>
      <c r="I752">
        <v>8</v>
      </c>
      <c r="J752">
        <v>0</v>
      </c>
    </row>
    <row r="753" spans="1:10" x14ac:dyDescent="0.25">
      <c r="A753" t="s">
        <v>19</v>
      </c>
      <c r="B753">
        <v>7172010017000400</v>
      </c>
      <c r="C753">
        <v>90</v>
      </c>
      <c r="D753">
        <v>16</v>
      </c>
      <c r="E753">
        <v>0</v>
      </c>
      <c r="F753">
        <v>74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19</v>
      </c>
      <c r="B754">
        <v>7172010016002500</v>
      </c>
      <c r="C754">
        <v>83</v>
      </c>
      <c r="D754">
        <v>19</v>
      </c>
      <c r="E754">
        <v>0</v>
      </c>
      <c r="F754">
        <v>63</v>
      </c>
      <c r="G754">
        <v>0</v>
      </c>
      <c r="H754">
        <v>0</v>
      </c>
      <c r="I754">
        <v>0</v>
      </c>
      <c r="J754">
        <v>1</v>
      </c>
    </row>
    <row r="755" spans="1:10" x14ac:dyDescent="0.25">
      <c r="A755" t="s">
        <v>19</v>
      </c>
      <c r="B755">
        <v>7172010017000200</v>
      </c>
      <c r="C755">
        <v>61</v>
      </c>
      <c r="D755">
        <v>60</v>
      </c>
      <c r="E755">
        <v>0</v>
      </c>
      <c r="F755">
        <v>0</v>
      </c>
      <c r="G755">
        <v>1</v>
      </c>
      <c r="H755">
        <v>0</v>
      </c>
      <c r="I755">
        <v>0</v>
      </c>
      <c r="J755">
        <v>0</v>
      </c>
    </row>
    <row r="756" spans="1:10" x14ac:dyDescent="0.25">
      <c r="A756" t="s">
        <v>19</v>
      </c>
      <c r="B756">
        <v>7172010017000100</v>
      </c>
      <c r="C756">
        <v>53</v>
      </c>
      <c r="D756">
        <v>53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19</v>
      </c>
      <c r="B757">
        <v>7172010015000700</v>
      </c>
      <c r="C757">
        <v>46</v>
      </c>
      <c r="D757">
        <v>2</v>
      </c>
      <c r="E757">
        <v>0</v>
      </c>
      <c r="F757">
        <v>44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19</v>
      </c>
      <c r="B758">
        <v>7172010016002600</v>
      </c>
      <c r="C758">
        <v>43</v>
      </c>
      <c r="D758">
        <v>20</v>
      </c>
      <c r="E758">
        <v>0</v>
      </c>
      <c r="F758">
        <v>23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19</v>
      </c>
      <c r="B759">
        <v>7172010017000300</v>
      </c>
      <c r="C759">
        <v>43</v>
      </c>
      <c r="D759">
        <v>0</v>
      </c>
      <c r="E759">
        <v>0</v>
      </c>
      <c r="F759">
        <v>42</v>
      </c>
      <c r="G759">
        <v>0</v>
      </c>
      <c r="H759">
        <v>0</v>
      </c>
      <c r="I759">
        <v>1</v>
      </c>
      <c r="J759">
        <v>0</v>
      </c>
    </row>
    <row r="760" spans="1:10" x14ac:dyDescent="0.25">
      <c r="A760" t="s">
        <v>20</v>
      </c>
      <c r="B760">
        <v>7172010016001700</v>
      </c>
      <c r="C760">
        <v>101</v>
      </c>
      <c r="D760">
        <v>93</v>
      </c>
      <c r="E760">
        <v>0</v>
      </c>
      <c r="F760">
        <v>6</v>
      </c>
      <c r="G760">
        <v>0</v>
      </c>
      <c r="H760">
        <v>0</v>
      </c>
      <c r="I760">
        <v>2</v>
      </c>
      <c r="J760">
        <v>0</v>
      </c>
    </row>
    <row r="761" spans="1:10" x14ac:dyDescent="0.25">
      <c r="A761" t="s">
        <v>20</v>
      </c>
      <c r="B761">
        <v>7172010016001800</v>
      </c>
      <c r="C761">
        <v>97</v>
      </c>
      <c r="D761">
        <v>0</v>
      </c>
      <c r="E761">
        <v>0</v>
      </c>
      <c r="F761">
        <v>97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20</v>
      </c>
      <c r="B762">
        <v>7172010016002000</v>
      </c>
      <c r="C762">
        <v>84</v>
      </c>
      <c r="D762">
        <v>51</v>
      </c>
      <c r="E762">
        <v>2</v>
      </c>
      <c r="F762">
        <v>31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20</v>
      </c>
      <c r="B763">
        <v>7172010016002200</v>
      </c>
      <c r="C763">
        <v>62</v>
      </c>
      <c r="D763">
        <v>56</v>
      </c>
      <c r="E763">
        <v>2</v>
      </c>
      <c r="F763">
        <v>4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20</v>
      </c>
      <c r="B764">
        <v>7172010015000800</v>
      </c>
      <c r="C764">
        <v>61</v>
      </c>
      <c r="D764">
        <v>0</v>
      </c>
      <c r="E764">
        <v>0</v>
      </c>
      <c r="F764">
        <v>61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20</v>
      </c>
      <c r="B765">
        <v>7172010016001900</v>
      </c>
      <c r="C765">
        <v>60</v>
      </c>
      <c r="D765">
        <v>0</v>
      </c>
      <c r="E765">
        <v>0</v>
      </c>
      <c r="F765">
        <v>60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20</v>
      </c>
      <c r="B766">
        <v>7172010016002100</v>
      </c>
      <c r="C766">
        <v>60</v>
      </c>
      <c r="D766">
        <v>15</v>
      </c>
      <c r="E766">
        <v>1</v>
      </c>
      <c r="F766">
        <v>8</v>
      </c>
      <c r="G766">
        <v>0</v>
      </c>
      <c r="H766">
        <v>0</v>
      </c>
      <c r="I766">
        <v>36</v>
      </c>
      <c r="J766">
        <v>0</v>
      </c>
    </row>
    <row r="767" spans="1:10" x14ac:dyDescent="0.25">
      <c r="A767" t="s">
        <v>20</v>
      </c>
      <c r="B767">
        <v>7172010016001600</v>
      </c>
      <c r="C767">
        <v>48</v>
      </c>
      <c r="D767">
        <v>0</v>
      </c>
      <c r="E767">
        <v>0</v>
      </c>
      <c r="F767">
        <v>48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20</v>
      </c>
      <c r="B768">
        <v>7172010016001400</v>
      </c>
      <c r="C768">
        <v>47</v>
      </c>
      <c r="D768">
        <v>0</v>
      </c>
      <c r="E768">
        <v>0</v>
      </c>
      <c r="F768">
        <v>47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20</v>
      </c>
      <c r="B769">
        <v>7172010016001500</v>
      </c>
      <c r="C769">
        <v>45</v>
      </c>
      <c r="D769">
        <v>38</v>
      </c>
      <c r="E769">
        <v>0</v>
      </c>
      <c r="F769">
        <v>7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22</v>
      </c>
      <c r="B770">
        <v>7172010015002100</v>
      </c>
      <c r="C770">
        <v>149</v>
      </c>
      <c r="D770">
        <v>127</v>
      </c>
      <c r="E770">
        <v>5</v>
      </c>
      <c r="F770">
        <v>16</v>
      </c>
      <c r="G770">
        <v>1</v>
      </c>
      <c r="H770">
        <v>0</v>
      </c>
      <c r="I770">
        <v>0</v>
      </c>
      <c r="J770">
        <v>0</v>
      </c>
    </row>
    <row r="771" spans="1:10" x14ac:dyDescent="0.25">
      <c r="A771" t="s">
        <v>22</v>
      </c>
      <c r="B771">
        <v>7172010015002400</v>
      </c>
      <c r="C771">
        <v>138</v>
      </c>
      <c r="D771">
        <v>96</v>
      </c>
      <c r="E771">
        <v>0</v>
      </c>
      <c r="F771">
        <v>41</v>
      </c>
      <c r="G771">
        <v>1</v>
      </c>
      <c r="H771">
        <v>0</v>
      </c>
      <c r="I771">
        <v>0</v>
      </c>
      <c r="J771">
        <v>0</v>
      </c>
    </row>
    <row r="772" spans="1:10" x14ac:dyDescent="0.25">
      <c r="A772" t="s">
        <v>22</v>
      </c>
      <c r="B772">
        <v>7172010015002500</v>
      </c>
      <c r="C772">
        <v>119</v>
      </c>
      <c r="D772">
        <v>95</v>
      </c>
      <c r="E772">
        <v>1</v>
      </c>
      <c r="F772">
        <v>21</v>
      </c>
      <c r="G772">
        <v>2</v>
      </c>
      <c r="H772">
        <v>0</v>
      </c>
      <c r="I772">
        <v>0</v>
      </c>
      <c r="J772">
        <v>0</v>
      </c>
    </row>
    <row r="773" spans="1:10" x14ac:dyDescent="0.25">
      <c r="A773" t="s">
        <v>22</v>
      </c>
      <c r="B773">
        <v>7172010015002301</v>
      </c>
      <c r="C773">
        <v>95</v>
      </c>
      <c r="D773">
        <v>0</v>
      </c>
      <c r="E773">
        <v>0</v>
      </c>
      <c r="F773">
        <v>95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22</v>
      </c>
      <c r="B774">
        <v>7172010015002200</v>
      </c>
      <c r="C774">
        <v>91</v>
      </c>
      <c r="D774">
        <v>7</v>
      </c>
      <c r="E774">
        <v>9</v>
      </c>
      <c r="F774">
        <v>50</v>
      </c>
      <c r="G774">
        <v>0</v>
      </c>
      <c r="H774">
        <v>0</v>
      </c>
      <c r="I774">
        <v>25</v>
      </c>
      <c r="J774">
        <v>0</v>
      </c>
    </row>
    <row r="775" spans="1:10" x14ac:dyDescent="0.25">
      <c r="A775" t="s">
        <v>22</v>
      </c>
      <c r="B775">
        <v>7172010015002601</v>
      </c>
      <c r="C775">
        <v>71</v>
      </c>
      <c r="D775">
        <v>0</v>
      </c>
      <c r="E775">
        <v>0</v>
      </c>
      <c r="F775">
        <v>71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22</v>
      </c>
      <c r="B776">
        <v>7172010015001100</v>
      </c>
      <c r="C776">
        <v>26</v>
      </c>
      <c r="D776">
        <v>0</v>
      </c>
      <c r="E776">
        <v>0</v>
      </c>
      <c r="F776">
        <v>26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22</v>
      </c>
      <c r="B777">
        <v>7172010015002302</v>
      </c>
      <c r="C777">
        <v>6</v>
      </c>
      <c r="D777">
        <v>0</v>
      </c>
      <c r="E777">
        <v>0</v>
      </c>
      <c r="F777">
        <v>6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24</v>
      </c>
      <c r="B778">
        <v>7172010016001300</v>
      </c>
      <c r="C778">
        <v>103</v>
      </c>
      <c r="D778">
        <v>99</v>
      </c>
      <c r="E778">
        <v>0</v>
      </c>
      <c r="F778">
        <v>3</v>
      </c>
      <c r="G778">
        <v>0</v>
      </c>
      <c r="H778">
        <v>0</v>
      </c>
      <c r="I778">
        <v>1</v>
      </c>
      <c r="J778">
        <v>0</v>
      </c>
    </row>
    <row r="779" spans="1:10" x14ac:dyDescent="0.25">
      <c r="A779" t="s">
        <v>24</v>
      </c>
      <c r="B779">
        <v>7172010016000700</v>
      </c>
      <c r="C779">
        <v>77</v>
      </c>
      <c r="D779">
        <v>69</v>
      </c>
      <c r="E779">
        <v>2</v>
      </c>
      <c r="F779">
        <v>4</v>
      </c>
      <c r="G779">
        <v>0</v>
      </c>
      <c r="H779">
        <v>0</v>
      </c>
      <c r="I779">
        <v>2</v>
      </c>
      <c r="J779">
        <v>0</v>
      </c>
    </row>
    <row r="780" spans="1:10" x14ac:dyDescent="0.25">
      <c r="A780" t="s">
        <v>24</v>
      </c>
      <c r="B780">
        <v>7172010016000500</v>
      </c>
      <c r="C780">
        <v>71</v>
      </c>
      <c r="D780">
        <v>0</v>
      </c>
      <c r="E780">
        <v>0</v>
      </c>
      <c r="F780">
        <v>71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24</v>
      </c>
      <c r="B781">
        <v>7172010016001200</v>
      </c>
      <c r="C781">
        <v>70</v>
      </c>
      <c r="D781">
        <v>0</v>
      </c>
      <c r="E781">
        <v>5</v>
      </c>
      <c r="F781">
        <v>21</v>
      </c>
      <c r="G781">
        <v>0</v>
      </c>
      <c r="H781">
        <v>0</v>
      </c>
      <c r="I781">
        <v>44</v>
      </c>
      <c r="J781">
        <v>0</v>
      </c>
    </row>
    <row r="782" spans="1:10" x14ac:dyDescent="0.25">
      <c r="A782" t="s">
        <v>24</v>
      </c>
      <c r="B782">
        <v>7172010016000800</v>
      </c>
      <c r="C782">
        <v>65</v>
      </c>
      <c r="D782">
        <v>60</v>
      </c>
      <c r="E782">
        <v>0</v>
      </c>
      <c r="F782">
        <v>5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24</v>
      </c>
      <c r="B783">
        <v>7172010016001000</v>
      </c>
      <c r="C783">
        <v>55</v>
      </c>
      <c r="D783">
        <v>47</v>
      </c>
      <c r="E783">
        <v>0</v>
      </c>
      <c r="F783">
        <v>8</v>
      </c>
      <c r="G783">
        <v>0</v>
      </c>
      <c r="H783">
        <v>0</v>
      </c>
      <c r="I783">
        <v>0</v>
      </c>
      <c r="J783">
        <v>0</v>
      </c>
    </row>
    <row r="784" spans="1:10" x14ac:dyDescent="0.25">
      <c r="A784" t="s">
        <v>24</v>
      </c>
      <c r="B784">
        <v>7172010016000600</v>
      </c>
      <c r="C784">
        <v>54</v>
      </c>
      <c r="D784">
        <v>0</v>
      </c>
      <c r="E784">
        <v>0</v>
      </c>
      <c r="F784">
        <v>54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24</v>
      </c>
      <c r="B785">
        <v>7172010016000300</v>
      </c>
      <c r="C785">
        <v>48</v>
      </c>
      <c r="D785">
        <v>0</v>
      </c>
      <c r="E785">
        <v>0</v>
      </c>
      <c r="F785">
        <v>48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24</v>
      </c>
      <c r="B786">
        <v>7172010016000400</v>
      </c>
      <c r="C786">
        <v>48</v>
      </c>
      <c r="D786">
        <v>1</v>
      </c>
      <c r="E786">
        <v>0</v>
      </c>
      <c r="F786">
        <v>47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24</v>
      </c>
      <c r="B787">
        <v>7172010016000900</v>
      </c>
      <c r="C787">
        <v>37</v>
      </c>
      <c r="D787">
        <v>0</v>
      </c>
      <c r="E787">
        <v>0</v>
      </c>
      <c r="F787">
        <v>37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24</v>
      </c>
      <c r="B788">
        <v>7172010016001100</v>
      </c>
      <c r="C788">
        <v>36</v>
      </c>
      <c r="D788">
        <v>0</v>
      </c>
      <c r="E788">
        <v>0</v>
      </c>
      <c r="F788">
        <v>36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18</v>
      </c>
      <c r="B789">
        <v>7172010017001300</v>
      </c>
      <c r="C789">
        <v>149</v>
      </c>
      <c r="D789">
        <v>131</v>
      </c>
      <c r="E789">
        <v>4</v>
      </c>
      <c r="F789">
        <v>0</v>
      </c>
      <c r="G789">
        <v>14</v>
      </c>
      <c r="H789">
        <v>0</v>
      </c>
      <c r="I789">
        <v>0</v>
      </c>
      <c r="J789">
        <v>0</v>
      </c>
    </row>
    <row r="790" spans="1:10" x14ac:dyDescent="0.25">
      <c r="A790" t="s">
        <v>18</v>
      </c>
      <c r="B790">
        <v>7172010017001800</v>
      </c>
      <c r="C790">
        <v>102</v>
      </c>
      <c r="D790">
        <v>94</v>
      </c>
      <c r="E790">
        <v>8</v>
      </c>
      <c r="F790">
        <v>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18</v>
      </c>
      <c r="B791">
        <v>7172010017002100</v>
      </c>
      <c r="C791">
        <v>100</v>
      </c>
      <c r="D791">
        <v>31</v>
      </c>
      <c r="E791">
        <v>4</v>
      </c>
      <c r="F791">
        <v>35</v>
      </c>
      <c r="G791">
        <v>0</v>
      </c>
      <c r="H791">
        <v>0</v>
      </c>
      <c r="I791">
        <v>30</v>
      </c>
      <c r="J791">
        <v>0</v>
      </c>
    </row>
    <row r="792" spans="1:10" x14ac:dyDescent="0.25">
      <c r="A792" t="s">
        <v>18</v>
      </c>
      <c r="B792">
        <v>7172010017001900</v>
      </c>
      <c r="C792">
        <v>76</v>
      </c>
      <c r="D792">
        <v>61</v>
      </c>
      <c r="E792">
        <v>3</v>
      </c>
      <c r="F792">
        <v>12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18</v>
      </c>
      <c r="B793">
        <v>7172010017001500</v>
      </c>
      <c r="C793">
        <v>71</v>
      </c>
      <c r="D793">
        <v>0</v>
      </c>
      <c r="E793">
        <v>1</v>
      </c>
      <c r="F793">
        <v>70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18</v>
      </c>
      <c r="B794">
        <v>7172010017002000</v>
      </c>
      <c r="C794">
        <v>61</v>
      </c>
      <c r="D794">
        <v>0</v>
      </c>
      <c r="E794">
        <v>0</v>
      </c>
      <c r="F794">
        <v>61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18</v>
      </c>
      <c r="B795">
        <v>7172010017001600</v>
      </c>
      <c r="C795">
        <v>55</v>
      </c>
      <c r="D795">
        <v>0</v>
      </c>
      <c r="E795">
        <v>0</v>
      </c>
      <c r="F795">
        <v>55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18</v>
      </c>
      <c r="B796">
        <v>7172010015000600</v>
      </c>
      <c r="C796">
        <v>45</v>
      </c>
      <c r="D796">
        <v>0</v>
      </c>
      <c r="E796">
        <v>0</v>
      </c>
      <c r="F796">
        <v>45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18</v>
      </c>
      <c r="B797">
        <v>7172010017001700</v>
      </c>
      <c r="C797">
        <v>29</v>
      </c>
      <c r="D797">
        <v>0</v>
      </c>
      <c r="E797">
        <v>0</v>
      </c>
      <c r="F797">
        <v>29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26</v>
      </c>
      <c r="B798">
        <v>7172011001000100</v>
      </c>
      <c r="C798">
        <v>154</v>
      </c>
      <c r="D798">
        <v>121</v>
      </c>
      <c r="E798">
        <v>21</v>
      </c>
      <c r="F798">
        <v>12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26</v>
      </c>
      <c r="B799">
        <v>7172011004002000</v>
      </c>
      <c r="C799">
        <v>108</v>
      </c>
      <c r="D799">
        <v>5</v>
      </c>
      <c r="E799">
        <v>5</v>
      </c>
      <c r="F799">
        <v>98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26</v>
      </c>
      <c r="B800">
        <v>7172011001000600</v>
      </c>
      <c r="C800">
        <v>96</v>
      </c>
      <c r="D800">
        <v>55</v>
      </c>
      <c r="E800">
        <v>22</v>
      </c>
      <c r="F800">
        <v>19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26</v>
      </c>
      <c r="B801">
        <v>7172011001000300</v>
      </c>
      <c r="C801">
        <v>80</v>
      </c>
      <c r="D801">
        <v>19</v>
      </c>
      <c r="E801">
        <v>9</v>
      </c>
      <c r="F801">
        <v>52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26</v>
      </c>
      <c r="B802">
        <v>7172011004002100</v>
      </c>
      <c r="C802">
        <v>76</v>
      </c>
      <c r="D802">
        <v>29</v>
      </c>
      <c r="E802">
        <v>4</v>
      </c>
      <c r="F802">
        <v>38</v>
      </c>
      <c r="G802">
        <v>0</v>
      </c>
      <c r="H802">
        <v>0</v>
      </c>
      <c r="I802">
        <v>5</v>
      </c>
      <c r="J802">
        <v>0</v>
      </c>
    </row>
    <row r="803" spans="1:10" x14ac:dyDescent="0.25">
      <c r="A803" t="s">
        <v>26</v>
      </c>
      <c r="B803">
        <v>7172011001000200</v>
      </c>
      <c r="C803">
        <v>74</v>
      </c>
      <c r="D803">
        <v>22</v>
      </c>
      <c r="E803">
        <v>10</v>
      </c>
      <c r="F803">
        <v>42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26</v>
      </c>
      <c r="B804">
        <v>7172011001000500</v>
      </c>
      <c r="C804">
        <v>71</v>
      </c>
      <c r="D804">
        <v>59</v>
      </c>
      <c r="E804">
        <v>8</v>
      </c>
      <c r="F804">
        <v>4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26</v>
      </c>
      <c r="B805">
        <v>7172011001000400</v>
      </c>
      <c r="C805">
        <v>59</v>
      </c>
      <c r="D805">
        <v>10</v>
      </c>
      <c r="E805">
        <v>1</v>
      </c>
      <c r="F805">
        <v>47</v>
      </c>
      <c r="G805">
        <v>1</v>
      </c>
      <c r="H805">
        <v>0</v>
      </c>
      <c r="I805">
        <v>0</v>
      </c>
      <c r="J805">
        <v>0</v>
      </c>
    </row>
    <row r="806" spans="1:10" x14ac:dyDescent="0.25">
      <c r="A806" t="s">
        <v>28</v>
      </c>
      <c r="B806">
        <v>7172011002000100</v>
      </c>
      <c r="C806">
        <v>166</v>
      </c>
      <c r="D806">
        <v>24</v>
      </c>
      <c r="E806">
        <v>2</v>
      </c>
      <c r="F806">
        <v>139</v>
      </c>
      <c r="G806">
        <v>1</v>
      </c>
      <c r="H806">
        <v>0</v>
      </c>
      <c r="I806">
        <v>0</v>
      </c>
      <c r="J806">
        <v>0</v>
      </c>
    </row>
    <row r="807" spans="1:10" x14ac:dyDescent="0.25">
      <c r="A807" t="s">
        <v>28</v>
      </c>
      <c r="B807">
        <v>7172011002000700</v>
      </c>
      <c r="C807">
        <v>116</v>
      </c>
      <c r="D807">
        <v>103</v>
      </c>
      <c r="E807">
        <v>2</v>
      </c>
      <c r="F807">
        <v>11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28</v>
      </c>
      <c r="B808">
        <v>7172011002000500</v>
      </c>
      <c r="C808">
        <v>109</v>
      </c>
      <c r="D808">
        <v>96</v>
      </c>
      <c r="E808">
        <v>7</v>
      </c>
      <c r="F808">
        <v>5</v>
      </c>
      <c r="G808">
        <v>1</v>
      </c>
      <c r="H808">
        <v>0</v>
      </c>
      <c r="I808">
        <v>0</v>
      </c>
      <c r="J808">
        <v>0</v>
      </c>
    </row>
    <row r="809" spans="1:10" x14ac:dyDescent="0.25">
      <c r="A809" t="s">
        <v>28</v>
      </c>
      <c r="B809">
        <v>7172011002000400</v>
      </c>
      <c r="C809">
        <v>86</v>
      </c>
      <c r="D809">
        <v>0</v>
      </c>
      <c r="E809">
        <v>0</v>
      </c>
      <c r="F809">
        <v>86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28</v>
      </c>
      <c r="B810">
        <v>7172011002000200</v>
      </c>
      <c r="C810">
        <v>85</v>
      </c>
      <c r="D810">
        <v>21</v>
      </c>
      <c r="E810">
        <v>0</v>
      </c>
      <c r="F810">
        <v>64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28</v>
      </c>
      <c r="B811">
        <v>7172011002000300</v>
      </c>
      <c r="C811">
        <v>85</v>
      </c>
      <c r="D811">
        <v>47</v>
      </c>
      <c r="E811">
        <v>3</v>
      </c>
      <c r="F811">
        <v>35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28</v>
      </c>
      <c r="B812">
        <v>7172011002000800</v>
      </c>
      <c r="C812">
        <v>53</v>
      </c>
      <c r="D812">
        <v>30</v>
      </c>
      <c r="E812">
        <v>4</v>
      </c>
      <c r="F812">
        <v>19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35</v>
      </c>
      <c r="B813">
        <v>7172011003001801</v>
      </c>
      <c r="C813">
        <v>247</v>
      </c>
      <c r="D813">
        <v>25</v>
      </c>
      <c r="E813">
        <v>11</v>
      </c>
      <c r="F813">
        <v>199</v>
      </c>
      <c r="G813">
        <v>0</v>
      </c>
      <c r="H813">
        <v>0</v>
      </c>
      <c r="I813">
        <v>12</v>
      </c>
      <c r="J813">
        <v>0</v>
      </c>
    </row>
    <row r="814" spans="1:10" x14ac:dyDescent="0.25">
      <c r="A814" t="s">
        <v>35</v>
      </c>
      <c r="B814">
        <v>7172011003001900</v>
      </c>
      <c r="C814">
        <v>132</v>
      </c>
      <c r="D814">
        <v>92</v>
      </c>
      <c r="E814">
        <v>14</v>
      </c>
      <c r="F814">
        <v>1</v>
      </c>
      <c r="G814">
        <v>4</v>
      </c>
      <c r="H814">
        <v>3</v>
      </c>
      <c r="I814">
        <v>18</v>
      </c>
      <c r="J814">
        <v>0</v>
      </c>
    </row>
    <row r="815" spans="1:10" x14ac:dyDescent="0.25">
      <c r="A815" t="s">
        <v>35</v>
      </c>
      <c r="B815">
        <v>7172011003001700</v>
      </c>
      <c r="C815">
        <v>70</v>
      </c>
      <c r="D815">
        <v>27</v>
      </c>
      <c r="E815">
        <v>1</v>
      </c>
      <c r="F815">
        <v>42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35</v>
      </c>
      <c r="B816">
        <v>7172011003001802</v>
      </c>
      <c r="C816">
        <v>70</v>
      </c>
      <c r="D816">
        <v>8</v>
      </c>
      <c r="E816">
        <v>2</v>
      </c>
      <c r="F816">
        <v>54</v>
      </c>
      <c r="G816">
        <v>0</v>
      </c>
      <c r="H816">
        <v>0</v>
      </c>
      <c r="I816">
        <v>6</v>
      </c>
      <c r="J816">
        <v>0</v>
      </c>
    </row>
    <row r="817" spans="1:10" x14ac:dyDescent="0.25">
      <c r="A817" t="s">
        <v>35</v>
      </c>
      <c r="B817">
        <v>7172011003001300</v>
      </c>
      <c r="C817">
        <v>66</v>
      </c>
      <c r="D817">
        <v>64</v>
      </c>
      <c r="E817">
        <v>2</v>
      </c>
      <c r="F817">
        <v>0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35</v>
      </c>
      <c r="B818">
        <v>7172011003001002</v>
      </c>
      <c r="C818">
        <v>52</v>
      </c>
      <c r="D818">
        <v>0</v>
      </c>
      <c r="E818">
        <v>0</v>
      </c>
      <c r="F818">
        <v>47</v>
      </c>
      <c r="G818">
        <v>0</v>
      </c>
      <c r="H818">
        <v>0</v>
      </c>
      <c r="I818">
        <v>5</v>
      </c>
      <c r="J818">
        <v>0</v>
      </c>
    </row>
    <row r="819" spans="1:10" x14ac:dyDescent="0.25">
      <c r="A819" t="s">
        <v>37</v>
      </c>
      <c r="B819">
        <v>7172011003002602</v>
      </c>
      <c r="C819">
        <v>224</v>
      </c>
      <c r="D819">
        <v>164</v>
      </c>
      <c r="E819">
        <v>5</v>
      </c>
      <c r="F819">
        <v>15</v>
      </c>
      <c r="G819">
        <v>7</v>
      </c>
      <c r="H819">
        <v>1</v>
      </c>
      <c r="I819">
        <v>32</v>
      </c>
      <c r="J819">
        <v>0</v>
      </c>
    </row>
    <row r="820" spans="1:10" x14ac:dyDescent="0.25">
      <c r="A820" t="s">
        <v>37</v>
      </c>
      <c r="B820">
        <v>7172011003002500</v>
      </c>
      <c r="C820">
        <v>186</v>
      </c>
      <c r="D820">
        <v>74</v>
      </c>
      <c r="E820">
        <v>3</v>
      </c>
      <c r="F820">
        <v>82</v>
      </c>
      <c r="G820">
        <v>0</v>
      </c>
      <c r="H820">
        <v>0</v>
      </c>
      <c r="I820">
        <v>27</v>
      </c>
      <c r="J820">
        <v>0</v>
      </c>
    </row>
    <row r="821" spans="1:10" x14ac:dyDescent="0.25">
      <c r="A821" t="s">
        <v>37</v>
      </c>
      <c r="B821">
        <v>7172011003002601</v>
      </c>
      <c r="C821">
        <v>143</v>
      </c>
      <c r="D821">
        <v>6</v>
      </c>
      <c r="E821">
        <v>4</v>
      </c>
      <c r="F821">
        <v>93</v>
      </c>
      <c r="G821">
        <v>1</v>
      </c>
      <c r="H821">
        <v>0</v>
      </c>
      <c r="I821">
        <v>39</v>
      </c>
      <c r="J821">
        <v>0</v>
      </c>
    </row>
    <row r="822" spans="1:10" x14ac:dyDescent="0.25">
      <c r="A822" t="s">
        <v>37</v>
      </c>
      <c r="B822">
        <v>7172011003003501</v>
      </c>
      <c r="C822">
        <v>129</v>
      </c>
      <c r="D822">
        <v>0</v>
      </c>
      <c r="E822">
        <v>0</v>
      </c>
      <c r="F822">
        <v>129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37</v>
      </c>
      <c r="B823">
        <v>7172011003002603</v>
      </c>
      <c r="C823">
        <v>39</v>
      </c>
      <c r="D823">
        <v>0</v>
      </c>
      <c r="E823">
        <v>0</v>
      </c>
      <c r="F823">
        <v>37</v>
      </c>
      <c r="G823">
        <v>0</v>
      </c>
      <c r="H823">
        <v>0</v>
      </c>
      <c r="I823">
        <v>2</v>
      </c>
      <c r="J823">
        <v>0</v>
      </c>
    </row>
    <row r="824" spans="1:10" x14ac:dyDescent="0.25">
      <c r="A824" t="s">
        <v>38</v>
      </c>
      <c r="B824">
        <v>7172011003003100</v>
      </c>
      <c r="C824">
        <v>211</v>
      </c>
      <c r="D824">
        <v>160</v>
      </c>
      <c r="E824">
        <v>9</v>
      </c>
      <c r="F824">
        <v>2</v>
      </c>
      <c r="G824">
        <v>0</v>
      </c>
      <c r="H824">
        <v>0</v>
      </c>
      <c r="I824">
        <v>40</v>
      </c>
      <c r="J824">
        <v>0</v>
      </c>
    </row>
    <row r="825" spans="1:10" x14ac:dyDescent="0.25">
      <c r="A825" t="s">
        <v>38</v>
      </c>
      <c r="B825">
        <v>7172011003003000</v>
      </c>
      <c r="C825">
        <v>135</v>
      </c>
      <c r="D825">
        <v>84</v>
      </c>
      <c r="E825">
        <v>4</v>
      </c>
      <c r="F825">
        <v>6</v>
      </c>
      <c r="G825">
        <v>0</v>
      </c>
      <c r="H825">
        <v>0</v>
      </c>
      <c r="I825">
        <v>41</v>
      </c>
      <c r="J825">
        <v>0</v>
      </c>
    </row>
    <row r="826" spans="1:10" x14ac:dyDescent="0.25">
      <c r="A826" t="s">
        <v>38</v>
      </c>
      <c r="B826">
        <v>7172011003002700</v>
      </c>
      <c r="C826">
        <v>102</v>
      </c>
      <c r="D826">
        <v>0</v>
      </c>
      <c r="E826">
        <v>0</v>
      </c>
      <c r="F826">
        <v>102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38</v>
      </c>
      <c r="B827">
        <v>7172011003002900</v>
      </c>
      <c r="C827">
        <v>97</v>
      </c>
      <c r="D827">
        <v>0</v>
      </c>
      <c r="E827">
        <v>14</v>
      </c>
      <c r="F827">
        <v>61</v>
      </c>
      <c r="G827">
        <v>0</v>
      </c>
      <c r="H827">
        <v>0</v>
      </c>
      <c r="I827">
        <v>22</v>
      </c>
      <c r="J827">
        <v>0</v>
      </c>
    </row>
    <row r="828" spans="1:10" x14ac:dyDescent="0.25">
      <c r="A828" t="s">
        <v>38</v>
      </c>
      <c r="B828">
        <v>7172011003002801</v>
      </c>
      <c r="C828">
        <v>93</v>
      </c>
      <c r="D828">
        <v>0</v>
      </c>
      <c r="E828">
        <v>0</v>
      </c>
      <c r="F828">
        <v>93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38</v>
      </c>
      <c r="B829">
        <v>7172011003002802</v>
      </c>
      <c r="C829">
        <v>71</v>
      </c>
      <c r="D829">
        <v>0</v>
      </c>
      <c r="E829">
        <v>0</v>
      </c>
      <c r="F829">
        <v>71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31</v>
      </c>
      <c r="B830">
        <v>7172011003001100</v>
      </c>
      <c r="C830">
        <v>264</v>
      </c>
      <c r="D830">
        <v>179</v>
      </c>
      <c r="E830">
        <v>1</v>
      </c>
      <c r="F830">
        <v>84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31</v>
      </c>
      <c r="B831">
        <v>7172011003003600</v>
      </c>
      <c r="C831">
        <v>250</v>
      </c>
      <c r="D831">
        <v>96</v>
      </c>
      <c r="E831">
        <v>2</v>
      </c>
      <c r="F831">
        <v>92</v>
      </c>
      <c r="G831">
        <v>0</v>
      </c>
      <c r="H831">
        <v>0</v>
      </c>
      <c r="I831">
        <v>60</v>
      </c>
      <c r="J831">
        <v>0</v>
      </c>
    </row>
    <row r="832" spans="1:10" x14ac:dyDescent="0.25">
      <c r="A832" t="s">
        <v>31</v>
      </c>
      <c r="B832">
        <v>7172011003000201</v>
      </c>
      <c r="C832">
        <v>126</v>
      </c>
      <c r="D832">
        <v>11</v>
      </c>
      <c r="E832">
        <v>3</v>
      </c>
      <c r="F832">
        <v>106</v>
      </c>
      <c r="G832">
        <v>0</v>
      </c>
      <c r="H832">
        <v>0</v>
      </c>
      <c r="I832">
        <v>6</v>
      </c>
      <c r="J832">
        <v>0</v>
      </c>
    </row>
    <row r="833" spans="1:10" x14ac:dyDescent="0.25">
      <c r="A833" t="s">
        <v>31</v>
      </c>
      <c r="B833">
        <v>7172011003002403</v>
      </c>
      <c r="C833">
        <v>39</v>
      </c>
      <c r="D833">
        <v>0</v>
      </c>
      <c r="E833">
        <v>1</v>
      </c>
      <c r="F833">
        <v>32</v>
      </c>
      <c r="G833">
        <v>0</v>
      </c>
      <c r="H833">
        <v>0</v>
      </c>
      <c r="I833">
        <v>6</v>
      </c>
      <c r="J833">
        <v>0</v>
      </c>
    </row>
    <row r="834" spans="1:10" x14ac:dyDescent="0.25">
      <c r="A834" t="s">
        <v>39</v>
      </c>
      <c r="B834">
        <v>7172011004000100</v>
      </c>
      <c r="C834">
        <v>157</v>
      </c>
      <c r="D834">
        <v>95</v>
      </c>
      <c r="E834">
        <v>39</v>
      </c>
      <c r="F834">
        <v>19</v>
      </c>
      <c r="G834">
        <v>1</v>
      </c>
      <c r="H834">
        <v>0</v>
      </c>
      <c r="I834">
        <v>3</v>
      </c>
      <c r="J834">
        <v>0</v>
      </c>
    </row>
    <row r="835" spans="1:10" x14ac:dyDescent="0.25">
      <c r="A835" t="s">
        <v>39</v>
      </c>
      <c r="B835">
        <v>7172011004000600</v>
      </c>
      <c r="C835">
        <v>119</v>
      </c>
      <c r="D835">
        <v>0</v>
      </c>
      <c r="E835">
        <v>0</v>
      </c>
      <c r="F835">
        <v>119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39</v>
      </c>
      <c r="B836">
        <v>7172011004000200</v>
      </c>
      <c r="C836">
        <v>113</v>
      </c>
      <c r="D836">
        <v>35</v>
      </c>
      <c r="E836">
        <v>12</v>
      </c>
      <c r="F836">
        <v>66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39</v>
      </c>
      <c r="B837">
        <v>7172011004000500</v>
      </c>
      <c r="C837">
        <v>101</v>
      </c>
      <c r="D837">
        <v>0</v>
      </c>
      <c r="E837">
        <v>0</v>
      </c>
      <c r="F837">
        <v>101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39</v>
      </c>
      <c r="B838">
        <v>7172011004000400</v>
      </c>
      <c r="C838">
        <v>99</v>
      </c>
      <c r="D838">
        <v>97</v>
      </c>
      <c r="E838">
        <v>1</v>
      </c>
      <c r="F838">
        <v>1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39</v>
      </c>
      <c r="B839">
        <v>7172011004000300</v>
      </c>
      <c r="C839">
        <v>76</v>
      </c>
      <c r="D839">
        <v>66</v>
      </c>
      <c r="E839">
        <v>4</v>
      </c>
      <c r="F839">
        <v>4</v>
      </c>
      <c r="G839">
        <v>0</v>
      </c>
      <c r="H839">
        <v>0</v>
      </c>
      <c r="I839">
        <v>2</v>
      </c>
      <c r="J839">
        <v>0</v>
      </c>
    </row>
    <row r="840" spans="1:10" x14ac:dyDescent="0.25">
      <c r="A840" t="s">
        <v>41</v>
      </c>
      <c r="B840">
        <v>7172011004001800</v>
      </c>
      <c r="C840">
        <v>273</v>
      </c>
      <c r="D840">
        <v>243</v>
      </c>
      <c r="E840">
        <v>5</v>
      </c>
      <c r="F840">
        <v>22</v>
      </c>
      <c r="G840">
        <v>0</v>
      </c>
      <c r="H840">
        <v>1</v>
      </c>
      <c r="I840">
        <v>2</v>
      </c>
      <c r="J840">
        <v>0</v>
      </c>
    </row>
    <row r="841" spans="1:10" x14ac:dyDescent="0.25">
      <c r="A841" t="s">
        <v>41</v>
      </c>
      <c r="B841">
        <v>7172011004001500</v>
      </c>
      <c r="C841">
        <v>153</v>
      </c>
      <c r="D841">
        <v>120</v>
      </c>
      <c r="E841">
        <v>10</v>
      </c>
      <c r="F841">
        <v>3</v>
      </c>
      <c r="G841">
        <v>0</v>
      </c>
      <c r="H841">
        <v>1</v>
      </c>
      <c r="I841">
        <v>19</v>
      </c>
      <c r="J841">
        <v>0</v>
      </c>
    </row>
    <row r="842" spans="1:10" x14ac:dyDescent="0.25">
      <c r="A842" t="s">
        <v>41</v>
      </c>
      <c r="B842">
        <v>7172011004001900</v>
      </c>
      <c r="C842">
        <v>103</v>
      </c>
      <c r="D842">
        <v>69</v>
      </c>
      <c r="E842">
        <v>10</v>
      </c>
      <c r="F842">
        <v>24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41</v>
      </c>
      <c r="B843">
        <v>7172011004001300</v>
      </c>
      <c r="C843">
        <v>95</v>
      </c>
      <c r="D843">
        <v>9</v>
      </c>
      <c r="E843">
        <v>5</v>
      </c>
      <c r="F843">
        <v>81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41</v>
      </c>
      <c r="B844">
        <v>7172011004001600</v>
      </c>
      <c r="C844">
        <v>81</v>
      </c>
      <c r="D844">
        <v>3</v>
      </c>
      <c r="E844">
        <v>0</v>
      </c>
      <c r="F844">
        <v>78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41</v>
      </c>
      <c r="B845">
        <v>7172011004001700</v>
      </c>
      <c r="C845">
        <v>81</v>
      </c>
      <c r="D845">
        <v>49</v>
      </c>
      <c r="E845">
        <v>7</v>
      </c>
      <c r="F845">
        <v>25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41</v>
      </c>
      <c r="B846">
        <v>7172011004000800</v>
      </c>
      <c r="C846">
        <v>66</v>
      </c>
      <c r="D846">
        <v>0</v>
      </c>
      <c r="E846">
        <v>0</v>
      </c>
      <c r="F846">
        <v>66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42</v>
      </c>
      <c r="B847">
        <v>7172011014001300</v>
      </c>
      <c r="C847">
        <v>175</v>
      </c>
      <c r="D847">
        <v>16</v>
      </c>
      <c r="E847">
        <v>0</v>
      </c>
      <c r="F847">
        <v>159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42</v>
      </c>
      <c r="B848">
        <v>7172011014001600</v>
      </c>
      <c r="C848">
        <v>127</v>
      </c>
      <c r="D848">
        <v>87</v>
      </c>
      <c r="E848">
        <v>39</v>
      </c>
      <c r="F848">
        <v>0</v>
      </c>
      <c r="G848">
        <v>0</v>
      </c>
      <c r="H848">
        <v>0</v>
      </c>
      <c r="I848">
        <v>1</v>
      </c>
      <c r="J848">
        <v>0</v>
      </c>
    </row>
    <row r="849" spans="1:10" x14ac:dyDescent="0.25">
      <c r="A849" t="s">
        <v>42</v>
      </c>
      <c r="B849">
        <v>7172011014001400</v>
      </c>
      <c r="C849">
        <v>90</v>
      </c>
      <c r="D849">
        <v>1</v>
      </c>
      <c r="E849">
        <v>0</v>
      </c>
      <c r="F849">
        <v>89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42</v>
      </c>
      <c r="B850">
        <v>7172011014001703</v>
      </c>
      <c r="C850">
        <v>84</v>
      </c>
      <c r="D850">
        <v>83</v>
      </c>
      <c r="E850">
        <v>1</v>
      </c>
      <c r="F850">
        <v>0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42</v>
      </c>
      <c r="B851">
        <v>7172011014001500</v>
      </c>
      <c r="C851">
        <v>78</v>
      </c>
      <c r="D851">
        <v>37</v>
      </c>
      <c r="E851">
        <v>24</v>
      </c>
      <c r="F851">
        <v>17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42</v>
      </c>
      <c r="B852">
        <v>7172011014001701</v>
      </c>
      <c r="C852">
        <v>64</v>
      </c>
      <c r="D852">
        <v>11</v>
      </c>
      <c r="E852">
        <v>0</v>
      </c>
      <c r="F852">
        <v>51</v>
      </c>
      <c r="G852">
        <v>0</v>
      </c>
      <c r="H852">
        <v>0</v>
      </c>
      <c r="I852">
        <v>2</v>
      </c>
      <c r="J852">
        <v>0</v>
      </c>
    </row>
    <row r="853" spans="1:10" x14ac:dyDescent="0.25">
      <c r="A853" t="s">
        <v>42</v>
      </c>
      <c r="B853">
        <v>7172011004001400</v>
      </c>
      <c r="C853">
        <v>45</v>
      </c>
      <c r="D853">
        <v>38</v>
      </c>
      <c r="E853">
        <v>0</v>
      </c>
      <c r="F853">
        <v>6</v>
      </c>
      <c r="G853">
        <v>1</v>
      </c>
      <c r="H853">
        <v>0</v>
      </c>
      <c r="I853">
        <v>0</v>
      </c>
      <c r="J853">
        <v>0</v>
      </c>
    </row>
    <row r="854" spans="1:10" x14ac:dyDescent="0.25">
      <c r="A854" t="s">
        <v>44</v>
      </c>
      <c r="B854">
        <v>7172011012000700</v>
      </c>
      <c r="C854">
        <v>168</v>
      </c>
      <c r="D854">
        <v>122</v>
      </c>
      <c r="E854">
        <v>7</v>
      </c>
      <c r="F854">
        <v>34</v>
      </c>
      <c r="G854">
        <v>5</v>
      </c>
      <c r="H854">
        <v>0</v>
      </c>
      <c r="I854">
        <v>0</v>
      </c>
      <c r="J854">
        <v>0</v>
      </c>
    </row>
    <row r="855" spans="1:10" x14ac:dyDescent="0.25">
      <c r="A855" t="s">
        <v>44</v>
      </c>
      <c r="B855">
        <v>7172011012000200</v>
      </c>
      <c r="C855">
        <v>125</v>
      </c>
      <c r="D855">
        <v>82</v>
      </c>
      <c r="E855">
        <v>3</v>
      </c>
      <c r="F855">
        <v>40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44</v>
      </c>
      <c r="B856">
        <v>7172011012000400</v>
      </c>
      <c r="C856">
        <v>90</v>
      </c>
      <c r="D856">
        <v>38</v>
      </c>
      <c r="E856">
        <v>5</v>
      </c>
      <c r="F856">
        <v>42</v>
      </c>
      <c r="G856">
        <v>1</v>
      </c>
      <c r="H856">
        <v>0</v>
      </c>
      <c r="I856">
        <v>4</v>
      </c>
      <c r="J856">
        <v>0</v>
      </c>
    </row>
    <row r="857" spans="1:10" x14ac:dyDescent="0.25">
      <c r="A857" t="s">
        <v>44</v>
      </c>
      <c r="B857">
        <v>7172011012000300</v>
      </c>
      <c r="C857">
        <v>71</v>
      </c>
      <c r="D857">
        <v>42</v>
      </c>
      <c r="E857">
        <v>0</v>
      </c>
      <c r="F857">
        <v>29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44</v>
      </c>
      <c r="B858">
        <v>7172011012000900</v>
      </c>
      <c r="C858">
        <v>57</v>
      </c>
      <c r="D858">
        <v>0</v>
      </c>
      <c r="E858">
        <v>0</v>
      </c>
      <c r="F858">
        <v>57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44</v>
      </c>
      <c r="B859">
        <v>7172011012000800</v>
      </c>
      <c r="C859">
        <v>56</v>
      </c>
      <c r="D859">
        <v>0</v>
      </c>
      <c r="E859">
        <v>0</v>
      </c>
      <c r="F859">
        <v>56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44</v>
      </c>
      <c r="B860">
        <v>7172011012000100</v>
      </c>
      <c r="C860">
        <v>55</v>
      </c>
      <c r="D860">
        <v>0</v>
      </c>
      <c r="E860">
        <v>0</v>
      </c>
      <c r="F860">
        <v>55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44</v>
      </c>
      <c r="B861">
        <v>7172011012000500</v>
      </c>
      <c r="C861">
        <v>47</v>
      </c>
      <c r="D861">
        <v>0</v>
      </c>
      <c r="E861">
        <v>2</v>
      </c>
      <c r="F861">
        <v>45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44</v>
      </c>
      <c r="B862">
        <v>7172011012000600</v>
      </c>
      <c r="C862">
        <v>38</v>
      </c>
      <c r="D862">
        <v>0</v>
      </c>
      <c r="E862">
        <v>0</v>
      </c>
      <c r="F862">
        <v>38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45</v>
      </c>
      <c r="B863">
        <v>7172011012001100</v>
      </c>
      <c r="C863">
        <v>176</v>
      </c>
      <c r="D863">
        <v>29</v>
      </c>
      <c r="E863">
        <v>0</v>
      </c>
      <c r="F863">
        <v>147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45</v>
      </c>
      <c r="B864">
        <v>7172011012001300</v>
      </c>
      <c r="C864">
        <v>133</v>
      </c>
      <c r="D864">
        <v>102</v>
      </c>
      <c r="E864">
        <v>10</v>
      </c>
      <c r="F864">
        <v>20</v>
      </c>
      <c r="G864">
        <v>1</v>
      </c>
      <c r="H864">
        <v>0</v>
      </c>
      <c r="I864">
        <v>0</v>
      </c>
      <c r="J864">
        <v>0</v>
      </c>
    </row>
    <row r="865" spans="1:10" x14ac:dyDescent="0.25">
      <c r="A865" t="s">
        <v>45</v>
      </c>
      <c r="B865">
        <v>7172011012001200</v>
      </c>
      <c r="C865">
        <v>132</v>
      </c>
      <c r="D865">
        <v>40</v>
      </c>
      <c r="E865">
        <v>4</v>
      </c>
      <c r="F865">
        <v>88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45</v>
      </c>
      <c r="B866">
        <v>7172011012001000</v>
      </c>
      <c r="C866">
        <v>112</v>
      </c>
      <c r="D866">
        <v>0</v>
      </c>
      <c r="E866">
        <v>0</v>
      </c>
      <c r="F866">
        <v>112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45</v>
      </c>
      <c r="B867">
        <v>7172011013000200</v>
      </c>
      <c r="C867">
        <v>60</v>
      </c>
      <c r="D867">
        <v>53</v>
      </c>
      <c r="E867">
        <v>2</v>
      </c>
      <c r="F867">
        <v>2</v>
      </c>
      <c r="G867">
        <v>3</v>
      </c>
      <c r="H867">
        <v>0</v>
      </c>
      <c r="I867">
        <v>0</v>
      </c>
      <c r="J867">
        <v>0</v>
      </c>
    </row>
    <row r="868" spans="1:10" x14ac:dyDescent="0.25">
      <c r="A868" t="s">
        <v>45</v>
      </c>
      <c r="B868">
        <v>7172011013000100</v>
      </c>
      <c r="C868">
        <v>59</v>
      </c>
      <c r="D868">
        <v>56</v>
      </c>
      <c r="E868">
        <v>1</v>
      </c>
      <c r="F868">
        <v>2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45</v>
      </c>
      <c r="B869">
        <v>7172011012200100</v>
      </c>
      <c r="C869">
        <v>2</v>
      </c>
      <c r="D869">
        <v>0</v>
      </c>
      <c r="E869">
        <v>0</v>
      </c>
      <c r="F869">
        <v>2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46</v>
      </c>
      <c r="B870">
        <v>7172011013000800</v>
      </c>
      <c r="C870">
        <v>92</v>
      </c>
      <c r="D870">
        <v>27</v>
      </c>
      <c r="E870">
        <v>12</v>
      </c>
      <c r="F870">
        <v>23</v>
      </c>
      <c r="G870">
        <v>22</v>
      </c>
      <c r="H870">
        <v>0</v>
      </c>
      <c r="I870">
        <v>8</v>
      </c>
      <c r="J870">
        <v>0</v>
      </c>
    </row>
    <row r="871" spans="1:10" x14ac:dyDescent="0.25">
      <c r="A871" t="s">
        <v>46</v>
      </c>
      <c r="B871">
        <v>7172011013000900</v>
      </c>
      <c r="C871">
        <v>81</v>
      </c>
      <c r="D871">
        <v>25</v>
      </c>
      <c r="E871">
        <v>9</v>
      </c>
      <c r="F871">
        <v>12</v>
      </c>
      <c r="G871">
        <v>27</v>
      </c>
      <c r="H871">
        <v>0</v>
      </c>
      <c r="I871">
        <v>8</v>
      </c>
      <c r="J871">
        <v>0</v>
      </c>
    </row>
    <row r="872" spans="1:10" x14ac:dyDescent="0.25">
      <c r="A872" t="s">
        <v>46</v>
      </c>
      <c r="B872">
        <v>7172011013000700</v>
      </c>
      <c r="C872">
        <v>64</v>
      </c>
      <c r="D872">
        <v>0</v>
      </c>
      <c r="E872">
        <v>0</v>
      </c>
      <c r="F872">
        <v>64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46</v>
      </c>
      <c r="B873">
        <v>7172011013001200</v>
      </c>
      <c r="C873">
        <v>60</v>
      </c>
      <c r="D873">
        <v>0</v>
      </c>
      <c r="E873">
        <v>0</v>
      </c>
      <c r="F873">
        <v>60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46</v>
      </c>
      <c r="B874">
        <v>7172011013000600</v>
      </c>
      <c r="C874">
        <v>51</v>
      </c>
      <c r="D874">
        <v>12</v>
      </c>
      <c r="E874">
        <v>1</v>
      </c>
      <c r="F874">
        <v>34</v>
      </c>
      <c r="G874">
        <v>1</v>
      </c>
      <c r="H874">
        <v>0</v>
      </c>
      <c r="I874">
        <v>3</v>
      </c>
      <c r="J874">
        <v>0</v>
      </c>
    </row>
    <row r="875" spans="1:10" x14ac:dyDescent="0.25">
      <c r="A875" t="s">
        <v>46</v>
      </c>
      <c r="B875">
        <v>7172011013000500</v>
      </c>
      <c r="C875">
        <v>50</v>
      </c>
      <c r="D875">
        <v>0</v>
      </c>
      <c r="E875">
        <v>0</v>
      </c>
      <c r="F875">
        <v>50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46</v>
      </c>
      <c r="B876">
        <v>7172011013001100</v>
      </c>
      <c r="C876">
        <v>48</v>
      </c>
      <c r="D876">
        <v>0</v>
      </c>
      <c r="E876">
        <v>0</v>
      </c>
      <c r="F876">
        <v>48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46</v>
      </c>
      <c r="B877">
        <v>7172011013000300</v>
      </c>
      <c r="C877">
        <v>40</v>
      </c>
      <c r="D877">
        <v>1</v>
      </c>
      <c r="E877">
        <v>1</v>
      </c>
      <c r="F877">
        <v>38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46</v>
      </c>
      <c r="B878">
        <v>7172011013000400</v>
      </c>
      <c r="C878">
        <v>36</v>
      </c>
      <c r="D878">
        <v>16</v>
      </c>
      <c r="E878">
        <v>1</v>
      </c>
      <c r="F878">
        <v>17</v>
      </c>
      <c r="G878">
        <v>0</v>
      </c>
      <c r="H878">
        <v>0</v>
      </c>
      <c r="I878">
        <v>2</v>
      </c>
      <c r="J878">
        <v>0</v>
      </c>
    </row>
    <row r="879" spans="1:10" x14ac:dyDescent="0.25">
      <c r="A879" t="s">
        <v>46</v>
      </c>
      <c r="B879">
        <v>7172011013001000</v>
      </c>
      <c r="C879">
        <v>36</v>
      </c>
      <c r="D879">
        <v>0</v>
      </c>
      <c r="E879">
        <v>0</v>
      </c>
      <c r="F879">
        <v>36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46</v>
      </c>
      <c r="B880">
        <v>7172011013001400</v>
      </c>
      <c r="C880">
        <v>36</v>
      </c>
      <c r="D880">
        <v>0</v>
      </c>
      <c r="E880">
        <v>5</v>
      </c>
      <c r="F880">
        <v>19</v>
      </c>
      <c r="G880">
        <v>0</v>
      </c>
      <c r="H880">
        <v>0</v>
      </c>
      <c r="I880">
        <v>12</v>
      </c>
      <c r="J880">
        <v>0</v>
      </c>
    </row>
    <row r="881" spans="1:10" x14ac:dyDescent="0.25">
      <c r="A881" t="s">
        <v>46</v>
      </c>
      <c r="B881">
        <v>7172011013001300</v>
      </c>
      <c r="C881">
        <v>27</v>
      </c>
      <c r="D881">
        <v>0</v>
      </c>
      <c r="E881">
        <v>0</v>
      </c>
      <c r="F881">
        <v>27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46</v>
      </c>
      <c r="B882">
        <v>7172011013100100</v>
      </c>
      <c r="C882">
        <v>2</v>
      </c>
      <c r="D882">
        <v>0</v>
      </c>
      <c r="E882">
        <v>0</v>
      </c>
      <c r="F882">
        <v>2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46</v>
      </c>
      <c r="B883">
        <v>7172011013100200</v>
      </c>
      <c r="C883">
        <v>2</v>
      </c>
      <c r="D883">
        <v>0</v>
      </c>
      <c r="E883">
        <v>0</v>
      </c>
      <c r="F883">
        <v>2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50</v>
      </c>
      <c r="B884">
        <v>7172012001000200</v>
      </c>
      <c r="C884">
        <v>154</v>
      </c>
      <c r="D884">
        <v>18</v>
      </c>
      <c r="E884">
        <v>8</v>
      </c>
      <c r="F884">
        <v>96</v>
      </c>
      <c r="G884">
        <v>0</v>
      </c>
      <c r="H884">
        <v>0</v>
      </c>
      <c r="I884">
        <v>32</v>
      </c>
      <c r="J884">
        <v>0</v>
      </c>
    </row>
    <row r="885" spans="1:10" x14ac:dyDescent="0.25">
      <c r="A885" t="s">
        <v>50</v>
      </c>
      <c r="B885">
        <v>7172012001000900</v>
      </c>
      <c r="C885">
        <v>143</v>
      </c>
      <c r="D885">
        <v>83</v>
      </c>
      <c r="E885">
        <v>6</v>
      </c>
      <c r="F885">
        <v>11</v>
      </c>
      <c r="G885">
        <v>0</v>
      </c>
      <c r="H885">
        <v>0</v>
      </c>
      <c r="I885">
        <v>43</v>
      </c>
      <c r="J885">
        <v>0</v>
      </c>
    </row>
    <row r="886" spans="1:10" x14ac:dyDescent="0.25">
      <c r="A886" t="s">
        <v>50</v>
      </c>
      <c r="B886">
        <v>7172012001000300</v>
      </c>
      <c r="C886">
        <v>141</v>
      </c>
      <c r="D886">
        <v>0</v>
      </c>
      <c r="E886">
        <v>2</v>
      </c>
      <c r="F886">
        <v>135</v>
      </c>
      <c r="G886">
        <v>0</v>
      </c>
      <c r="H886">
        <v>0</v>
      </c>
      <c r="I886">
        <v>4</v>
      </c>
      <c r="J886">
        <v>0</v>
      </c>
    </row>
    <row r="887" spans="1:10" x14ac:dyDescent="0.25">
      <c r="A887" t="s">
        <v>50</v>
      </c>
      <c r="B887">
        <v>7172012001000400</v>
      </c>
      <c r="C887">
        <v>124</v>
      </c>
      <c r="D887">
        <v>0</v>
      </c>
      <c r="E887">
        <v>0</v>
      </c>
      <c r="F887">
        <v>121</v>
      </c>
      <c r="G887">
        <v>0</v>
      </c>
      <c r="H887">
        <v>0</v>
      </c>
      <c r="I887">
        <v>3</v>
      </c>
      <c r="J887">
        <v>0</v>
      </c>
    </row>
    <row r="888" spans="1:10" x14ac:dyDescent="0.25">
      <c r="A888" t="s">
        <v>50</v>
      </c>
      <c r="B888">
        <v>7172012001000800</v>
      </c>
      <c r="C888">
        <v>122</v>
      </c>
      <c r="D888">
        <v>95</v>
      </c>
      <c r="E888">
        <v>6</v>
      </c>
      <c r="F888">
        <v>1</v>
      </c>
      <c r="G888">
        <v>0</v>
      </c>
      <c r="H888">
        <v>0</v>
      </c>
      <c r="I888">
        <v>20</v>
      </c>
      <c r="J888">
        <v>0</v>
      </c>
    </row>
    <row r="889" spans="1:10" x14ac:dyDescent="0.25">
      <c r="A889" t="s">
        <v>54</v>
      </c>
      <c r="B889">
        <v>7172012002000600</v>
      </c>
      <c r="C889">
        <v>130</v>
      </c>
      <c r="D889">
        <v>123</v>
      </c>
      <c r="E889">
        <v>3</v>
      </c>
      <c r="F889">
        <v>1</v>
      </c>
      <c r="G889">
        <v>3</v>
      </c>
      <c r="H889">
        <v>0</v>
      </c>
      <c r="I889">
        <v>0</v>
      </c>
      <c r="J889">
        <v>0</v>
      </c>
    </row>
    <row r="890" spans="1:10" x14ac:dyDescent="0.25">
      <c r="A890" t="s">
        <v>54</v>
      </c>
      <c r="B890">
        <v>7172012002000401</v>
      </c>
      <c r="C890">
        <v>119</v>
      </c>
      <c r="D890">
        <v>1</v>
      </c>
      <c r="E890">
        <v>0</v>
      </c>
      <c r="F890">
        <v>113</v>
      </c>
      <c r="G890">
        <v>0</v>
      </c>
      <c r="H890">
        <v>0</v>
      </c>
      <c r="I890">
        <v>5</v>
      </c>
      <c r="J890">
        <v>0</v>
      </c>
    </row>
    <row r="891" spans="1:10" x14ac:dyDescent="0.25">
      <c r="A891" t="s">
        <v>54</v>
      </c>
      <c r="B891">
        <v>7172012002000300</v>
      </c>
      <c r="C891">
        <v>107</v>
      </c>
      <c r="D891">
        <v>83</v>
      </c>
      <c r="E891">
        <v>2</v>
      </c>
      <c r="F891">
        <v>19</v>
      </c>
      <c r="G891">
        <v>3</v>
      </c>
      <c r="H891">
        <v>0</v>
      </c>
      <c r="I891">
        <v>0</v>
      </c>
      <c r="J891">
        <v>0</v>
      </c>
    </row>
    <row r="892" spans="1:10" x14ac:dyDescent="0.25">
      <c r="A892" t="s">
        <v>54</v>
      </c>
      <c r="B892">
        <v>7172012002000800</v>
      </c>
      <c r="C892">
        <v>105</v>
      </c>
      <c r="D892">
        <v>16</v>
      </c>
      <c r="E892">
        <v>17</v>
      </c>
      <c r="F892">
        <v>70</v>
      </c>
      <c r="G892">
        <v>1</v>
      </c>
      <c r="H892">
        <v>0</v>
      </c>
      <c r="I892">
        <v>1</v>
      </c>
      <c r="J892">
        <v>0</v>
      </c>
    </row>
    <row r="893" spans="1:10" x14ac:dyDescent="0.25">
      <c r="A893" t="s">
        <v>54</v>
      </c>
      <c r="B893">
        <v>7172012002000700</v>
      </c>
      <c r="C893">
        <v>95</v>
      </c>
      <c r="D893">
        <v>31</v>
      </c>
      <c r="E893">
        <v>6</v>
      </c>
      <c r="F893">
        <v>52</v>
      </c>
      <c r="G893">
        <v>0</v>
      </c>
      <c r="H893">
        <v>0</v>
      </c>
      <c r="I893">
        <v>6</v>
      </c>
      <c r="J893">
        <v>0</v>
      </c>
    </row>
    <row r="894" spans="1:10" x14ac:dyDescent="0.25">
      <c r="A894" t="s">
        <v>54</v>
      </c>
      <c r="B894">
        <v>7172012002000402</v>
      </c>
      <c r="C894">
        <v>88</v>
      </c>
      <c r="D894">
        <v>3</v>
      </c>
      <c r="E894">
        <v>0</v>
      </c>
      <c r="F894">
        <v>85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229</v>
      </c>
      <c r="B895">
        <v>7172012002001301</v>
      </c>
      <c r="C895">
        <v>156</v>
      </c>
      <c r="D895">
        <v>99</v>
      </c>
      <c r="E895">
        <v>9</v>
      </c>
      <c r="F895">
        <v>44</v>
      </c>
      <c r="G895">
        <v>0</v>
      </c>
      <c r="H895">
        <v>0</v>
      </c>
      <c r="I895">
        <v>4</v>
      </c>
      <c r="J895">
        <v>0</v>
      </c>
    </row>
    <row r="896" spans="1:10" x14ac:dyDescent="0.25">
      <c r="A896" t="s">
        <v>229</v>
      </c>
      <c r="B896">
        <v>7172012002001302</v>
      </c>
      <c r="C896">
        <v>154</v>
      </c>
      <c r="D896">
        <v>131</v>
      </c>
      <c r="E896">
        <v>5</v>
      </c>
      <c r="F896">
        <v>11</v>
      </c>
      <c r="G896">
        <v>7</v>
      </c>
      <c r="H896">
        <v>0</v>
      </c>
      <c r="I896">
        <v>0</v>
      </c>
      <c r="J896">
        <v>0</v>
      </c>
    </row>
    <row r="897" spans="1:10" x14ac:dyDescent="0.25">
      <c r="A897" t="s">
        <v>229</v>
      </c>
      <c r="B897">
        <v>7172012002001500</v>
      </c>
      <c r="C897">
        <v>111</v>
      </c>
      <c r="D897">
        <v>5</v>
      </c>
      <c r="E897">
        <v>0</v>
      </c>
      <c r="F897">
        <v>106</v>
      </c>
      <c r="G897">
        <v>0</v>
      </c>
      <c r="H897">
        <v>0</v>
      </c>
      <c r="I897">
        <v>0</v>
      </c>
      <c r="J897">
        <v>0</v>
      </c>
    </row>
    <row r="898" spans="1:10" x14ac:dyDescent="0.25">
      <c r="A898" t="s">
        <v>229</v>
      </c>
      <c r="B898">
        <v>7172012002001400</v>
      </c>
      <c r="C898">
        <v>95</v>
      </c>
      <c r="D898">
        <v>12</v>
      </c>
      <c r="E898">
        <v>0</v>
      </c>
      <c r="F898">
        <v>83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229</v>
      </c>
      <c r="B899">
        <v>7172012002001700</v>
      </c>
      <c r="C899">
        <v>90</v>
      </c>
      <c r="D899">
        <v>8</v>
      </c>
      <c r="E899">
        <v>0</v>
      </c>
      <c r="F899">
        <v>82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229</v>
      </c>
      <c r="B900">
        <v>7172012002001800</v>
      </c>
      <c r="C900">
        <v>76</v>
      </c>
      <c r="D900">
        <v>4</v>
      </c>
      <c r="E900">
        <v>4</v>
      </c>
      <c r="F900">
        <v>59</v>
      </c>
      <c r="G900">
        <v>5</v>
      </c>
      <c r="H900">
        <v>0</v>
      </c>
      <c r="I900">
        <v>4</v>
      </c>
      <c r="J900">
        <v>0</v>
      </c>
    </row>
    <row r="901" spans="1:10" x14ac:dyDescent="0.25">
      <c r="A901" t="s">
        <v>63</v>
      </c>
      <c r="B901">
        <v>7172012004001701</v>
      </c>
      <c r="C901">
        <v>342</v>
      </c>
      <c r="D901">
        <v>190</v>
      </c>
      <c r="E901">
        <v>25</v>
      </c>
      <c r="F901">
        <v>127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63</v>
      </c>
      <c r="B902">
        <v>7172012004002000</v>
      </c>
      <c r="C902">
        <v>170</v>
      </c>
      <c r="D902">
        <v>17</v>
      </c>
      <c r="E902">
        <v>1</v>
      </c>
      <c r="F902">
        <v>152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63</v>
      </c>
      <c r="B903">
        <v>7172012004002102</v>
      </c>
      <c r="C903">
        <v>87</v>
      </c>
      <c r="D903">
        <v>14</v>
      </c>
      <c r="E903">
        <v>7</v>
      </c>
      <c r="F903">
        <v>46</v>
      </c>
      <c r="G903">
        <v>0</v>
      </c>
      <c r="H903">
        <v>0</v>
      </c>
      <c r="I903">
        <v>20</v>
      </c>
      <c r="J903">
        <v>0</v>
      </c>
    </row>
    <row r="904" spans="1:10" x14ac:dyDescent="0.25">
      <c r="A904" t="s">
        <v>63</v>
      </c>
      <c r="B904">
        <v>7172012004002402</v>
      </c>
      <c r="C904">
        <v>35</v>
      </c>
      <c r="D904">
        <v>32</v>
      </c>
      <c r="E904">
        <v>2</v>
      </c>
      <c r="F904">
        <v>1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64</v>
      </c>
      <c r="B905">
        <v>7172012004002300</v>
      </c>
      <c r="C905">
        <v>177</v>
      </c>
      <c r="D905">
        <v>0</v>
      </c>
      <c r="E905">
        <v>0</v>
      </c>
      <c r="F905">
        <v>177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64</v>
      </c>
      <c r="B906">
        <v>7172012004002200</v>
      </c>
      <c r="C906">
        <v>171</v>
      </c>
      <c r="D906">
        <v>111</v>
      </c>
      <c r="E906">
        <v>3</v>
      </c>
      <c r="F906">
        <v>14</v>
      </c>
      <c r="G906">
        <v>3</v>
      </c>
      <c r="H906">
        <v>0</v>
      </c>
      <c r="I906">
        <v>40</v>
      </c>
      <c r="J906">
        <v>0</v>
      </c>
    </row>
    <row r="907" spans="1:10" x14ac:dyDescent="0.25">
      <c r="A907" t="s">
        <v>64</v>
      </c>
      <c r="B907">
        <v>7172012004002500</v>
      </c>
      <c r="C907">
        <v>162</v>
      </c>
      <c r="D907">
        <v>28</v>
      </c>
      <c r="E907">
        <v>4</v>
      </c>
      <c r="F907">
        <v>47</v>
      </c>
      <c r="G907">
        <v>0</v>
      </c>
      <c r="H907">
        <v>0</v>
      </c>
      <c r="I907">
        <v>83</v>
      </c>
      <c r="J907">
        <v>0</v>
      </c>
    </row>
    <row r="908" spans="1:10" x14ac:dyDescent="0.25">
      <c r="A908" t="s">
        <v>64</v>
      </c>
      <c r="B908">
        <v>7172012004002401</v>
      </c>
      <c r="C908">
        <v>144</v>
      </c>
      <c r="D908">
        <v>107</v>
      </c>
      <c r="E908">
        <v>5</v>
      </c>
      <c r="F908">
        <v>20</v>
      </c>
      <c r="G908">
        <v>0</v>
      </c>
      <c r="H908">
        <v>0</v>
      </c>
      <c r="I908">
        <v>12</v>
      </c>
      <c r="J908">
        <v>0</v>
      </c>
    </row>
    <row r="909" spans="1:10" x14ac:dyDescent="0.25">
      <c r="A909" t="s">
        <v>67</v>
      </c>
      <c r="B909">
        <v>7172012005001400</v>
      </c>
      <c r="C909">
        <v>130</v>
      </c>
      <c r="D909">
        <v>12</v>
      </c>
      <c r="E909">
        <v>3</v>
      </c>
      <c r="F909">
        <v>93</v>
      </c>
      <c r="G909">
        <v>0</v>
      </c>
      <c r="H909">
        <v>0</v>
      </c>
      <c r="I909">
        <v>22</v>
      </c>
      <c r="J909">
        <v>0</v>
      </c>
    </row>
    <row r="910" spans="1:10" x14ac:dyDescent="0.25">
      <c r="A910" t="s">
        <v>67</v>
      </c>
      <c r="B910">
        <v>7172012005001500</v>
      </c>
      <c r="C910">
        <v>105</v>
      </c>
      <c r="D910">
        <v>0</v>
      </c>
      <c r="E910">
        <v>8</v>
      </c>
      <c r="F910">
        <v>94</v>
      </c>
      <c r="G910">
        <v>0</v>
      </c>
      <c r="H910">
        <v>0</v>
      </c>
      <c r="I910">
        <v>3</v>
      </c>
      <c r="J910">
        <v>0</v>
      </c>
    </row>
    <row r="911" spans="1:10" x14ac:dyDescent="0.25">
      <c r="A911" t="s">
        <v>67</v>
      </c>
      <c r="B911">
        <v>7172012005001700</v>
      </c>
      <c r="C911">
        <v>102</v>
      </c>
      <c r="D911">
        <v>79</v>
      </c>
      <c r="E911">
        <v>3</v>
      </c>
      <c r="F911">
        <v>19</v>
      </c>
      <c r="G911">
        <v>1</v>
      </c>
      <c r="H911">
        <v>0</v>
      </c>
      <c r="I911">
        <v>0</v>
      </c>
      <c r="J911">
        <v>0</v>
      </c>
    </row>
    <row r="912" spans="1:10" x14ac:dyDescent="0.25">
      <c r="A912" t="s">
        <v>67</v>
      </c>
      <c r="B912">
        <v>7172012005001800</v>
      </c>
      <c r="C912">
        <v>70</v>
      </c>
      <c r="D912">
        <v>26</v>
      </c>
      <c r="E912">
        <v>1</v>
      </c>
      <c r="F912">
        <v>43</v>
      </c>
      <c r="G912">
        <v>0</v>
      </c>
      <c r="H912">
        <v>0</v>
      </c>
      <c r="I912">
        <v>0</v>
      </c>
      <c r="J912">
        <v>0</v>
      </c>
    </row>
    <row r="913" spans="1:10" x14ac:dyDescent="0.25">
      <c r="A913" t="s">
        <v>67</v>
      </c>
      <c r="B913">
        <v>7172012005001200</v>
      </c>
      <c r="C913">
        <v>61</v>
      </c>
      <c r="D913">
        <v>23</v>
      </c>
      <c r="E913">
        <v>6</v>
      </c>
      <c r="F913">
        <v>32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67</v>
      </c>
      <c r="B914">
        <v>7172012005001600</v>
      </c>
      <c r="C914">
        <v>58</v>
      </c>
      <c r="D914">
        <v>47</v>
      </c>
      <c r="E914">
        <v>4</v>
      </c>
      <c r="F914">
        <v>6</v>
      </c>
      <c r="G914">
        <v>0</v>
      </c>
      <c r="H914">
        <v>0</v>
      </c>
      <c r="I914">
        <v>1</v>
      </c>
      <c r="J914">
        <v>0</v>
      </c>
    </row>
    <row r="915" spans="1:10" x14ac:dyDescent="0.25">
      <c r="A915" t="s">
        <v>67</v>
      </c>
      <c r="B915">
        <v>7172012005001300</v>
      </c>
      <c r="C915">
        <v>54</v>
      </c>
      <c r="D915">
        <v>48</v>
      </c>
      <c r="E915">
        <v>4</v>
      </c>
      <c r="F915">
        <v>2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67</v>
      </c>
      <c r="B916">
        <v>7172012005000800</v>
      </c>
      <c r="C916">
        <v>39</v>
      </c>
      <c r="D916">
        <v>30</v>
      </c>
      <c r="E916">
        <v>1</v>
      </c>
      <c r="F916">
        <v>8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67</v>
      </c>
      <c r="B917">
        <v>7172012005000700</v>
      </c>
      <c r="C917">
        <v>38</v>
      </c>
      <c r="D917">
        <v>37</v>
      </c>
      <c r="E917">
        <v>0</v>
      </c>
      <c r="F917">
        <v>1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70</v>
      </c>
      <c r="B918">
        <v>7172012006001600</v>
      </c>
      <c r="C918">
        <v>117</v>
      </c>
      <c r="D918">
        <v>76</v>
      </c>
      <c r="E918">
        <v>3</v>
      </c>
      <c r="F918">
        <v>35</v>
      </c>
      <c r="G918">
        <v>0</v>
      </c>
      <c r="H918">
        <v>0</v>
      </c>
      <c r="I918">
        <v>3</v>
      </c>
      <c r="J918">
        <v>0</v>
      </c>
    </row>
    <row r="919" spans="1:10" x14ac:dyDescent="0.25">
      <c r="A919" t="s">
        <v>70</v>
      </c>
      <c r="B919">
        <v>7172012006001300</v>
      </c>
      <c r="C919">
        <v>105</v>
      </c>
      <c r="D919">
        <v>12</v>
      </c>
      <c r="E919">
        <v>9</v>
      </c>
      <c r="F919">
        <v>33</v>
      </c>
      <c r="G919">
        <v>1</v>
      </c>
      <c r="H919">
        <v>0</v>
      </c>
      <c r="I919">
        <v>50</v>
      </c>
      <c r="J919">
        <v>0</v>
      </c>
    </row>
    <row r="920" spans="1:10" x14ac:dyDescent="0.25">
      <c r="A920" t="s">
        <v>70</v>
      </c>
      <c r="B920">
        <v>7172012006000902</v>
      </c>
      <c r="C920">
        <v>102</v>
      </c>
      <c r="D920">
        <v>22</v>
      </c>
      <c r="E920">
        <v>4</v>
      </c>
      <c r="F920">
        <v>73</v>
      </c>
      <c r="G920">
        <v>0</v>
      </c>
      <c r="H920">
        <v>0</v>
      </c>
      <c r="I920">
        <v>3</v>
      </c>
      <c r="J920">
        <v>0</v>
      </c>
    </row>
    <row r="921" spans="1:10" x14ac:dyDescent="0.25">
      <c r="A921" t="s">
        <v>70</v>
      </c>
      <c r="B921">
        <v>7172012006001500</v>
      </c>
      <c r="C921">
        <v>101</v>
      </c>
      <c r="D921">
        <v>40</v>
      </c>
      <c r="E921">
        <v>5</v>
      </c>
      <c r="F921">
        <v>47</v>
      </c>
      <c r="G921">
        <v>0</v>
      </c>
      <c r="H921">
        <v>0</v>
      </c>
      <c r="I921">
        <v>9</v>
      </c>
      <c r="J921">
        <v>0</v>
      </c>
    </row>
    <row r="922" spans="1:10" x14ac:dyDescent="0.25">
      <c r="A922" t="s">
        <v>70</v>
      </c>
      <c r="B922">
        <v>7172012006001200</v>
      </c>
      <c r="C922">
        <v>84</v>
      </c>
      <c r="D922">
        <v>19</v>
      </c>
      <c r="E922">
        <v>3</v>
      </c>
      <c r="F922">
        <v>47</v>
      </c>
      <c r="G922">
        <v>0</v>
      </c>
      <c r="H922">
        <v>0</v>
      </c>
      <c r="I922">
        <v>15</v>
      </c>
      <c r="J922">
        <v>0</v>
      </c>
    </row>
    <row r="923" spans="1:10" x14ac:dyDescent="0.25">
      <c r="A923" t="s">
        <v>70</v>
      </c>
      <c r="B923">
        <v>7172012006000903</v>
      </c>
      <c r="C923">
        <v>74</v>
      </c>
      <c r="D923">
        <v>0</v>
      </c>
      <c r="E923">
        <v>8</v>
      </c>
      <c r="F923">
        <v>65</v>
      </c>
      <c r="G923">
        <v>0</v>
      </c>
      <c r="H923">
        <v>0</v>
      </c>
      <c r="I923">
        <v>1</v>
      </c>
      <c r="J923">
        <v>0</v>
      </c>
    </row>
    <row r="924" spans="1:10" x14ac:dyDescent="0.25">
      <c r="A924" t="s">
        <v>70</v>
      </c>
      <c r="B924">
        <v>7172012006001000</v>
      </c>
      <c r="C924">
        <v>71</v>
      </c>
      <c r="D924">
        <v>3</v>
      </c>
      <c r="E924">
        <v>0</v>
      </c>
      <c r="F924">
        <v>66</v>
      </c>
      <c r="G924">
        <v>0</v>
      </c>
      <c r="H924">
        <v>0</v>
      </c>
      <c r="I924">
        <v>2</v>
      </c>
      <c r="J924">
        <v>0</v>
      </c>
    </row>
    <row r="925" spans="1:10" x14ac:dyDescent="0.25">
      <c r="A925" t="s">
        <v>70</v>
      </c>
      <c r="B925">
        <v>7172012006001100</v>
      </c>
      <c r="C925">
        <v>50</v>
      </c>
      <c r="D925">
        <v>49</v>
      </c>
      <c r="E925">
        <v>0</v>
      </c>
      <c r="F925">
        <v>0</v>
      </c>
      <c r="G925">
        <v>0</v>
      </c>
      <c r="H925">
        <v>0</v>
      </c>
      <c r="I925">
        <v>1</v>
      </c>
      <c r="J925">
        <v>0</v>
      </c>
    </row>
    <row r="926" spans="1:10" x14ac:dyDescent="0.25">
      <c r="A926" t="s">
        <v>230</v>
      </c>
      <c r="B926">
        <v>7172012007000600</v>
      </c>
      <c r="C926">
        <v>185</v>
      </c>
      <c r="D926">
        <v>18</v>
      </c>
      <c r="E926">
        <v>2</v>
      </c>
      <c r="F926">
        <v>151</v>
      </c>
      <c r="G926">
        <v>0</v>
      </c>
      <c r="H926">
        <v>0</v>
      </c>
      <c r="I926">
        <v>14</v>
      </c>
      <c r="J926">
        <v>0</v>
      </c>
    </row>
    <row r="927" spans="1:10" x14ac:dyDescent="0.25">
      <c r="A927" t="s">
        <v>230</v>
      </c>
      <c r="B927">
        <v>7172012007000700</v>
      </c>
      <c r="C927">
        <v>167</v>
      </c>
      <c r="D927">
        <v>0</v>
      </c>
      <c r="E927">
        <v>0</v>
      </c>
      <c r="F927">
        <v>167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230</v>
      </c>
      <c r="B928">
        <v>7172012007000300</v>
      </c>
      <c r="C928">
        <v>134</v>
      </c>
      <c r="D928">
        <v>106</v>
      </c>
      <c r="E928">
        <v>9</v>
      </c>
      <c r="F928">
        <v>19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230</v>
      </c>
      <c r="B929">
        <v>7172012007000200</v>
      </c>
      <c r="C929">
        <v>125</v>
      </c>
      <c r="D929">
        <v>97</v>
      </c>
      <c r="E929">
        <v>3</v>
      </c>
      <c r="F929">
        <v>25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230</v>
      </c>
      <c r="B930">
        <v>7172012007000400</v>
      </c>
      <c r="C930">
        <v>114</v>
      </c>
      <c r="D930">
        <v>79</v>
      </c>
      <c r="E930">
        <v>2</v>
      </c>
      <c r="F930">
        <v>33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72</v>
      </c>
      <c r="B931">
        <v>7172012007001100</v>
      </c>
      <c r="C931">
        <v>166</v>
      </c>
      <c r="D931">
        <v>0</v>
      </c>
      <c r="E931">
        <v>0</v>
      </c>
      <c r="F931">
        <v>166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72</v>
      </c>
      <c r="B932">
        <v>7172012007000800</v>
      </c>
      <c r="C932">
        <v>161</v>
      </c>
      <c r="D932">
        <v>62</v>
      </c>
      <c r="E932">
        <v>24</v>
      </c>
      <c r="F932">
        <v>74</v>
      </c>
      <c r="G932">
        <v>0</v>
      </c>
      <c r="H932">
        <v>0</v>
      </c>
      <c r="I932">
        <v>1</v>
      </c>
      <c r="J932">
        <v>0</v>
      </c>
    </row>
    <row r="933" spans="1:10" x14ac:dyDescent="0.25">
      <c r="A933" t="s">
        <v>72</v>
      </c>
      <c r="B933">
        <v>7172012007000900</v>
      </c>
      <c r="C933">
        <v>125</v>
      </c>
      <c r="D933">
        <v>119</v>
      </c>
      <c r="E933">
        <v>5</v>
      </c>
      <c r="F933">
        <v>1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72</v>
      </c>
      <c r="B934">
        <v>7172012007001000</v>
      </c>
      <c r="C934">
        <v>98</v>
      </c>
      <c r="D934">
        <v>55</v>
      </c>
      <c r="E934">
        <v>1</v>
      </c>
      <c r="F934">
        <v>40</v>
      </c>
      <c r="G934">
        <v>1</v>
      </c>
      <c r="H934">
        <v>0</v>
      </c>
      <c r="I934">
        <v>1</v>
      </c>
      <c r="J934">
        <v>0</v>
      </c>
    </row>
    <row r="935" spans="1:10" x14ac:dyDescent="0.25">
      <c r="A935" t="s">
        <v>72</v>
      </c>
      <c r="B935">
        <v>7172012007000500</v>
      </c>
      <c r="C935">
        <v>92</v>
      </c>
      <c r="D935">
        <v>38</v>
      </c>
      <c r="E935">
        <v>8</v>
      </c>
      <c r="F935">
        <v>41</v>
      </c>
      <c r="G935">
        <v>0</v>
      </c>
      <c r="H935">
        <v>0</v>
      </c>
      <c r="I935">
        <v>5</v>
      </c>
      <c r="J935">
        <v>0</v>
      </c>
    </row>
    <row r="936" spans="1:10" x14ac:dyDescent="0.25">
      <c r="A936" t="s">
        <v>74</v>
      </c>
      <c r="B936">
        <v>7172021002000500</v>
      </c>
      <c r="C936">
        <v>104</v>
      </c>
      <c r="D936">
        <v>36</v>
      </c>
      <c r="E936">
        <v>9</v>
      </c>
      <c r="F936">
        <v>30</v>
      </c>
      <c r="G936">
        <v>0</v>
      </c>
      <c r="H936">
        <v>2</v>
      </c>
      <c r="I936">
        <v>27</v>
      </c>
      <c r="J936">
        <v>0</v>
      </c>
    </row>
    <row r="937" spans="1:10" x14ac:dyDescent="0.25">
      <c r="A937" t="s">
        <v>74</v>
      </c>
      <c r="B937">
        <v>7172021002000200</v>
      </c>
      <c r="C937">
        <v>85</v>
      </c>
      <c r="D937">
        <v>55</v>
      </c>
      <c r="E937">
        <v>1</v>
      </c>
      <c r="F937">
        <v>27</v>
      </c>
      <c r="G937">
        <v>0</v>
      </c>
      <c r="H937">
        <v>1</v>
      </c>
      <c r="I937">
        <v>1</v>
      </c>
      <c r="J937">
        <v>0</v>
      </c>
    </row>
    <row r="938" spans="1:10" x14ac:dyDescent="0.25">
      <c r="A938" t="s">
        <v>74</v>
      </c>
      <c r="B938">
        <v>7172021002000300</v>
      </c>
      <c r="C938">
        <v>76</v>
      </c>
      <c r="D938">
        <v>18</v>
      </c>
      <c r="E938">
        <v>0</v>
      </c>
      <c r="F938">
        <v>58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74</v>
      </c>
      <c r="B939">
        <v>7172021001000300</v>
      </c>
      <c r="C939">
        <v>63</v>
      </c>
      <c r="D939">
        <v>14</v>
      </c>
      <c r="E939">
        <v>0</v>
      </c>
      <c r="F939">
        <v>49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74</v>
      </c>
      <c r="B940">
        <v>7172021002000100</v>
      </c>
      <c r="C940">
        <v>55</v>
      </c>
      <c r="D940">
        <v>14</v>
      </c>
      <c r="E940">
        <v>0</v>
      </c>
      <c r="F940">
        <v>41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74</v>
      </c>
      <c r="B941">
        <v>7172021001000400</v>
      </c>
      <c r="C941">
        <v>41</v>
      </c>
      <c r="D941">
        <v>37</v>
      </c>
      <c r="E941">
        <v>2</v>
      </c>
      <c r="F941">
        <v>2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74</v>
      </c>
      <c r="B942">
        <v>7172021001000200</v>
      </c>
      <c r="C942">
        <v>36</v>
      </c>
      <c r="D942">
        <v>8</v>
      </c>
      <c r="E942">
        <v>0</v>
      </c>
      <c r="F942">
        <v>28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74</v>
      </c>
      <c r="B943">
        <v>7172021001000100</v>
      </c>
      <c r="C943">
        <v>32</v>
      </c>
      <c r="D943">
        <v>15</v>
      </c>
      <c r="E943">
        <v>4</v>
      </c>
      <c r="F943">
        <v>13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231</v>
      </c>
      <c r="B944">
        <v>7172021003000100</v>
      </c>
      <c r="C944">
        <v>107</v>
      </c>
      <c r="D944">
        <v>37</v>
      </c>
      <c r="E944">
        <v>1</v>
      </c>
      <c r="F944">
        <v>68</v>
      </c>
      <c r="G944">
        <v>0</v>
      </c>
      <c r="H944">
        <v>0</v>
      </c>
      <c r="I944">
        <v>1</v>
      </c>
      <c r="J944">
        <v>0</v>
      </c>
    </row>
    <row r="945" spans="1:10" x14ac:dyDescent="0.25">
      <c r="A945" t="s">
        <v>231</v>
      </c>
      <c r="B945">
        <v>7172021002000600</v>
      </c>
      <c r="C945">
        <v>70</v>
      </c>
      <c r="D945">
        <v>63</v>
      </c>
      <c r="E945">
        <v>5</v>
      </c>
      <c r="F945">
        <v>2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231</v>
      </c>
      <c r="B946">
        <v>7172021003001200</v>
      </c>
      <c r="C946">
        <v>69</v>
      </c>
      <c r="D946">
        <v>12</v>
      </c>
      <c r="E946">
        <v>0</v>
      </c>
      <c r="F946">
        <v>57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231</v>
      </c>
      <c r="B947">
        <v>7172021003000300</v>
      </c>
      <c r="C947">
        <v>67</v>
      </c>
      <c r="D947">
        <v>6</v>
      </c>
      <c r="E947">
        <v>0</v>
      </c>
      <c r="F947">
        <v>61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231</v>
      </c>
      <c r="B948">
        <v>7172021006001900</v>
      </c>
      <c r="C948">
        <v>67</v>
      </c>
      <c r="D948">
        <v>10</v>
      </c>
      <c r="E948">
        <v>2</v>
      </c>
      <c r="F948">
        <v>55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231</v>
      </c>
      <c r="B949">
        <v>7172021006002000</v>
      </c>
      <c r="C949">
        <v>61</v>
      </c>
      <c r="D949">
        <v>59</v>
      </c>
      <c r="E949">
        <v>0</v>
      </c>
      <c r="F949">
        <v>0</v>
      </c>
      <c r="G949">
        <v>2</v>
      </c>
      <c r="H949">
        <v>0</v>
      </c>
      <c r="I949">
        <v>0</v>
      </c>
      <c r="J949">
        <v>0</v>
      </c>
    </row>
    <row r="950" spans="1:10" x14ac:dyDescent="0.25">
      <c r="A950" t="s">
        <v>231</v>
      </c>
      <c r="B950">
        <v>7172021006002100</v>
      </c>
      <c r="C950">
        <v>56</v>
      </c>
      <c r="D950">
        <v>16</v>
      </c>
      <c r="E950">
        <v>2</v>
      </c>
      <c r="F950">
        <v>27</v>
      </c>
      <c r="G950">
        <v>0</v>
      </c>
      <c r="H950">
        <v>0</v>
      </c>
      <c r="I950">
        <v>11</v>
      </c>
      <c r="J950">
        <v>0</v>
      </c>
    </row>
    <row r="951" spans="1:10" x14ac:dyDescent="0.25">
      <c r="A951" t="s">
        <v>75</v>
      </c>
      <c r="B951">
        <v>7172021003000800</v>
      </c>
      <c r="C951">
        <v>106</v>
      </c>
      <c r="D951">
        <v>44</v>
      </c>
      <c r="E951">
        <v>9</v>
      </c>
      <c r="F951">
        <v>49</v>
      </c>
      <c r="G951">
        <v>0</v>
      </c>
      <c r="H951">
        <v>4</v>
      </c>
      <c r="I951">
        <v>0</v>
      </c>
      <c r="J951">
        <v>0</v>
      </c>
    </row>
    <row r="952" spans="1:10" x14ac:dyDescent="0.25">
      <c r="A952" t="s">
        <v>75</v>
      </c>
      <c r="B952">
        <v>7172021003001100</v>
      </c>
      <c r="C952">
        <v>91</v>
      </c>
      <c r="D952">
        <v>22</v>
      </c>
      <c r="E952">
        <v>0</v>
      </c>
      <c r="F952">
        <v>69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75</v>
      </c>
      <c r="B953">
        <v>7172021006000100</v>
      </c>
      <c r="C953">
        <v>90</v>
      </c>
      <c r="D953">
        <v>22</v>
      </c>
      <c r="E953">
        <v>0</v>
      </c>
      <c r="F953">
        <v>68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75</v>
      </c>
      <c r="B954">
        <v>7172021003001000</v>
      </c>
      <c r="C954">
        <v>62</v>
      </c>
      <c r="D954">
        <v>52</v>
      </c>
      <c r="E954">
        <v>10</v>
      </c>
      <c r="F954">
        <v>0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75</v>
      </c>
      <c r="B955">
        <v>7172021003000900</v>
      </c>
      <c r="C955">
        <v>57</v>
      </c>
      <c r="D955">
        <v>15</v>
      </c>
      <c r="E955">
        <v>0</v>
      </c>
      <c r="F955">
        <v>42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75</v>
      </c>
      <c r="B956">
        <v>7172021002000400</v>
      </c>
      <c r="C956">
        <v>38</v>
      </c>
      <c r="D956">
        <v>31</v>
      </c>
      <c r="E956">
        <v>4</v>
      </c>
      <c r="F956">
        <v>1</v>
      </c>
      <c r="G956">
        <v>0</v>
      </c>
      <c r="H956">
        <v>0</v>
      </c>
      <c r="I956">
        <v>2</v>
      </c>
      <c r="J956">
        <v>0</v>
      </c>
    </row>
    <row r="957" spans="1:10" x14ac:dyDescent="0.25">
      <c r="A957" t="s">
        <v>75</v>
      </c>
      <c r="B957">
        <v>7172021006000700</v>
      </c>
      <c r="C957">
        <v>25</v>
      </c>
      <c r="D957">
        <v>3</v>
      </c>
      <c r="E957">
        <v>0</v>
      </c>
      <c r="F957">
        <v>22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78</v>
      </c>
      <c r="B958">
        <v>7172021005000100</v>
      </c>
      <c r="C958">
        <v>100</v>
      </c>
      <c r="D958">
        <v>86</v>
      </c>
      <c r="E958">
        <v>3</v>
      </c>
      <c r="F958">
        <v>9</v>
      </c>
      <c r="G958">
        <v>0</v>
      </c>
      <c r="H958">
        <v>0</v>
      </c>
      <c r="I958">
        <v>2</v>
      </c>
      <c r="J958">
        <v>0</v>
      </c>
    </row>
    <row r="959" spans="1:10" x14ac:dyDescent="0.25">
      <c r="A959" t="s">
        <v>78</v>
      </c>
      <c r="B959">
        <v>7172021004000500</v>
      </c>
      <c r="C959">
        <v>97</v>
      </c>
      <c r="D959">
        <v>16</v>
      </c>
      <c r="E959">
        <v>0</v>
      </c>
      <c r="F959">
        <v>81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78</v>
      </c>
      <c r="B960">
        <v>7172021004000200</v>
      </c>
      <c r="C960">
        <v>88</v>
      </c>
      <c r="D960">
        <v>31</v>
      </c>
      <c r="E960">
        <v>1</v>
      </c>
      <c r="F960">
        <v>34</v>
      </c>
      <c r="G960">
        <v>0</v>
      </c>
      <c r="H960">
        <v>1</v>
      </c>
      <c r="I960">
        <v>21</v>
      </c>
      <c r="J960">
        <v>0</v>
      </c>
    </row>
    <row r="961" spans="1:10" x14ac:dyDescent="0.25">
      <c r="A961" t="s">
        <v>78</v>
      </c>
      <c r="B961">
        <v>7172021004000600</v>
      </c>
      <c r="C961">
        <v>78</v>
      </c>
      <c r="D961">
        <v>17</v>
      </c>
      <c r="E961">
        <v>0</v>
      </c>
      <c r="F961">
        <v>61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78</v>
      </c>
      <c r="B962">
        <v>7172021004000400</v>
      </c>
      <c r="C962">
        <v>73</v>
      </c>
      <c r="D962">
        <v>8</v>
      </c>
      <c r="E962">
        <v>0</v>
      </c>
      <c r="F962">
        <v>65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78</v>
      </c>
      <c r="B963">
        <v>7172021004000100</v>
      </c>
      <c r="C963">
        <v>69</v>
      </c>
      <c r="D963">
        <v>62</v>
      </c>
      <c r="E963">
        <v>2</v>
      </c>
      <c r="F963">
        <v>2</v>
      </c>
      <c r="G963">
        <v>0</v>
      </c>
      <c r="H963">
        <v>0</v>
      </c>
      <c r="I963">
        <v>3</v>
      </c>
      <c r="J963">
        <v>0</v>
      </c>
    </row>
    <row r="964" spans="1:10" x14ac:dyDescent="0.25">
      <c r="A964" t="s">
        <v>78</v>
      </c>
      <c r="B964">
        <v>7172021004000300</v>
      </c>
      <c r="C964">
        <v>51</v>
      </c>
      <c r="D964">
        <v>12</v>
      </c>
      <c r="E964">
        <v>0</v>
      </c>
      <c r="F964">
        <v>39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79</v>
      </c>
      <c r="B965">
        <v>7172021006000400</v>
      </c>
      <c r="C965">
        <v>89</v>
      </c>
      <c r="D965">
        <v>65</v>
      </c>
      <c r="E965">
        <v>9</v>
      </c>
      <c r="F965">
        <v>15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79</v>
      </c>
      <c r="B966">
        <v>7172021006000200</v>
      </c>
      <c r="C966">
        <v>83</v>
      </c>
      <c r="D966">
        <v>56</v>
      </c>
      <c r="E966">
        <v>3</v>
      </c>
      <c r="F966">
        <v>24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79</v>
      </c>
      <c r="B967">
        <v>7172021006000300</v>
      </c>
      <c r="C967">
        <v>83</v>
      </c>
      <c r="D967">
        <v>25</v>
      </c>
      <c r="E967">
        <v>2</v>
      </c>
      <c r="F967">
        <v>56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79</v>
      </c>
      <c r="B968">
        <v>7172021005000200</v>
      </c>
      <c r="C968">
        <v>79</v>
      </c>
      <c r="D968">
        <v>31</v>
      </c>
      <c r="E968">
        <v>5</v>
      </c>
      <c r="F968">
        <v>43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79</v>
      </c>
      <c r="B969">
        <v>7172021005000300</v>
      </c>
      <c r="C969">
        <v>56</v>
      </c>
      <c r="D969">
        <v>9</v>
      </c>
      <c r="E969">
        <v>0</v>
      </c>
      <c r="F969">
        <v>47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79</v>
      </c>
      <c r="B970">
        <v>7172021006000500</v>
      </c>
      <c r="C970">
        <v>48</v>
      </c>
      <c r="D970">
        <v>10</v>
      </c>
      <c r="E970">
        <v>0</v>
      </c>
      <c r="F970">
        <v>38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79</v>
      </c>
      <c r="B971">
        <v>7172021006000600</v>
      </c>
      <c r="C971">
        <v>41</v>
      </c>
      <c r="D971">
        <v>18</v>
      </c>
      <c r="E971">
        <v>0</v>
      </c>
      <c r="F971">
        <v>21</v>
      </c>
      <c r="G971">
        <v>0</v>
      </c>
      <c r="H971">
        <v>0</v>
      </c>
      <c r="I971">
        <v>2</v>
      </c>
      <c r="J971">
        <v>0</v>
      </c>
    </row>
    <row r="972" spans="1:10" x14ac:dyDescent="0.25">
      <c r="A972" t="s">
        <v>79</v>
      </c>
      <c r="B972">
        <v>7172021005000400</v>
      </c>
      <c r="C972">
        <v>19</v>
      </c>
      <c r="D972">
        <v>4</v>
      </c>
      <c r="E972">
        <v>0</v>
      </c>
      <c r="F972">
        <v>15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232</v>
      </c>
      <c r="B973">
        <v>7172022001000800</v>
      </c>
      <c r="C973">
        <v>75</v>
      </c>
      <c r="D973">
        <v>59</v>
      </c>
      <c r="E973">
        <v>2</v>
      </c>
      <c r="F973">
        <v>14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232</v>
      </c>
      <c r="B974">
        <v>7172022001000900</v>
      </c>
      <c r="C974">
        <v>64</v>
      </c>
      <c r="D974">
        <v>28</v>
      </c>
      <c r="E974">
        <v>2</v>
      </c>
      <c r="F974">
        <v>34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232</v>
      </c>
      <c r="B975">
        <v>7172022001000600</v>
      </c>
      <c r="C975">
        <v>62</v>
      </c>
      <c r="D975">
        <v>5</v>
      </c>
      <c r="E975">
        <v>0</v>
      </c>
      <c r="F975">
        <v>57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232</v>
      </c>
      <c r="B976">
        <v>7172022001001100</v>
      </c>
      <c r="C976">
        <v>62</v>
      </c>
      <c r="D976">
        <v>59</v>
      </c>
      <c r="E976">
        <v>1</v>
      </c>
      <c r="F976">
        <v>2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232</v>
      </c>
      <c r="B977">
        <v>7172022001000700</v>
      </c>
      <c r="C977">
        <v>59</v>
      </c>
      <c r="D977">
        <v>0</v>
      </c>
      <c r="E977">
        <v>0</v>
      </c>
      <c r="F977">
        <v>59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232</v>
      </c>
      <c r="B978">
        <v>7172022001001000</v>
      </c>
      <c r="C978">
        <v>53</v>
      </c>
      <c r="D978">
        <v>19</v>
      </c>
      <c r="E978">
        <v>6</v>
      </c>
      <c r="F978">
        <v>28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232</v>
      </c>
      <c r="B979">
        <v>7172022001001200</v>
      </c>
      <c r="C979">
        <v>48</v>
      </c>
      <c r="D979">
        <v>1</v>
      </c>
      <c r="E979">
        <v>0</v>
      </c>
      <c r="F979">
        <v>47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t="s">
        <v>85</v>
      </c>
      <c r="B980">
        <v>7172022003000200</v>
      </c>
      <c r="C980">
        <v>113</v>
      </c>
      <c r="D980">
        <v>109</v>
      </c>
      <c r="E980">
        <v>0</v>
      </c>
      <c r="F980">
        <v>4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85</v>
      </c>
      <c r="B981">
        <v>7172022003000400</v>
      </c>
      <c r="C981">
        <v>68</v>
      </c>
      <c r="D981">
        <v>24</v>
      </c>
      <c r="E981">
        <v>2</v>
      </c>
      <c r="F981">
        <v>35</v>
      </c>
      <c r="G981">
        <v>1</v>
      </c>
      <c r="H981">
        <v>0</v>
      </c>
      <c r="I981">
        <v>6</v>
      </c>
      <c r="J981">
        <v>0</v>
      </c>
    </row>
    <row r="982" spans="1:10" x14ac:dyDescent="0.25">
      <c r="A982" t="s">
        <v>85</v>
      </c>
      <c r="B982">
        <v>7172022003000300</v>
      </c>
      <c r="C982">
        <v>58</v>
      </c>
      <c r="D982">
        <v>55</v>
      </c>
      <c r="E982">
        <v>0</v>
      </c>
      <c r="F982">
        <v>1</v>
      </c>
      <c r="G982">
        <v>0</v>
      </c>
      <c r="H982">
        <v>0</v>
      </c>
      <c r="I982">
        <v>2</v>
      </c>
      <c r="J982">
        <v>0</v>
      </c>
    </row>
    <row r="983" spans="1:10" x14ac:dyDescent="0.25">
      <c r="A983" t="s">
        <v>85</v>
      </c>
      <c r="B983">
        <v>7172022002000400</v>
      </c>
      <c r="C983">
        <v>46</v>
      </c>
      <c r="D983">
        <v>0</v>
      </c>
      <c r="E983">
        <v>0</v>
      </c>
      <c r="F983">
        <v>46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85</v>
      </c>
      <c r="B984">
        <v>7172022002000700</v>
      </c>
      <c r="C984">
        <v>46</v>
      </c>
      <c r="D984">
        <v>0</v>
      </c>
      <c r="E984">
        <v>0</v>
      </c>
      <c r="F984">
        <v>46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t="s">
        <v>85</v>
      </c>
      <c r="B985">
        <v>7172022002000500</v>
      </c>
      <c r="C985">
        <v>43</v>
      </c>
      <c r="D985">
        <v>0</v>
      </c>
      <c r="E985">
        <v>0</v>
      </c>
      <c r="F985">
        <v>43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85</v>
      </c>
      <c r="B986">
        <v>7172022002000600</v>
      </c>
      <c r="C986">
        <v>40</v>
      </c>
      <c r="D986">
        <v>0</v>
      </c>
      <c r="E986">
        <v>0</v>
      </c>
      <c r="F986">
        <v>40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85</v>
      </c>
      <c r="B987">
        <v>7172022002000800</v>
      </c>
      <c r="C987">
        <v>30</v>
      </c>
      <c r="D987">
        <v>0</v>
      </c>
      <c r="E987">
        <v>0</v>
      </c>
      <c r="F987">
        <v>30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89</v>
      </c>
      <c r="B988">
        <v>7172022009000100</v>
      </c>
      <c r="C988">
        <v>107</v>
      </c>
      <c r="D988">
        <v>6</v>
      </c>
      <c r="E988">
        <v>0</v>
      </c>
      <c r="F988">
        <v>99</v>
      </c>
      <c r="G988">
        <v>0</v>
      </c>
      <c r="H988">
        <v>0</v>
      </c>
      <c r="I988">
        <v>2</v>
      </c>
      <c r="J988">
        <v>0</v>
      </c>
    </row>
    <row r="989" spans="1:10" x14ac:dyDescent="0.25">
      <c r="A989" t="s">
        <v>89</v>
      </c>
      <c r="B989">
        <v>7172022008000400</v>
      </c>
      <c r="C989">
        <v>98</v>
      </c>
      <c r="D989">
        <v>89</v>
      </c>
      <c r="E989">
        <v>0</v>
      </c>
      <c r="F989">
        <v>2</v>
      </c>
      <c r="G989">
        <v>0</v>
      </c>
      <c r="H989">
        <v>0</v>
      </c>
      <c r="I989">
        <v>7</v>
      </c>
      <c r="J989">
        <v>0</v>
      </c>
    </row>
    <row r="990" spans="1:10" x14ac:dyDescent="0.25">
      <c r="A990" t="s">
        <v>89</v>
      </c>
      <c r="B990">
        <v>7172022009000200</v>
      </c>
      <c r="C990">
        <v>74</v>
      </c>
      <c r="D990">
        <v>0</v>
      </c>
      <c r="E990">
        <v>0</v>
      </c>
      <c r="F990">
        <v>74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89</v>
      </c>
      <c r="B991">
        <v>7172022009000400</v>
      </c>
      <c r="C991">
        <v>61</v>
      </c>
      <c r="D991">
        <v>43</v>
      </c>
      <c r="E991">
        <v>2</v>
      </c>
      <c r="F991">
        <v>15</v>
      </c>
      <c r="G991">
        <v>0</v>
      </c>
      <c r="H991">
        <v>0</v>
      </c>
      <c r="I991">
        <v>1</v>
      </c>
      <c r="J991">
        <v>0</v>
      </c>
    </row>
    <row r="992" spans="1:10" x14ac:dyDescent="0.25">
      <c r="A992" t="s">
        <v>89</v>
      </c>
      <c r="B992">
        <v>7172022009000300</v>
      </c>
      <c r="C992">
        <v>47</v>
      </c>
      <c r="D992">
        <v>41</v>
      </c>
      <c r="E992">
        <v>3</v>
      </c>
      <c r="F992">
        <v>3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89</v>
      </c>
      <c r="B993">
        <v>7172022008000500</v>
      </c>
      <c r="C993">
        <v>44</v>
      </c>
      <c r="D993">
        <v>11</v>
      </c>
      <c r="E993">
        <v>2</v>
      </c>
      <c r="F993">
        <v>31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90</v>
      </c>
      <c r="B994">
        <v>7172030006000100</v>
      </c>
      <c r="C994">
        <v>110</v>
      </c>
      <c r="D994">
        <v>0</v>
      </c>
      <c r="E994">
        <v>0</v>
      </c>
      <c r="F994">
        <v>110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90</v>
      </c>
      <c r="B995">
        <v>7172030006000600</v>
      </c>
      <c r="C995">
        <v>98</v>
      </c>
      <c r="D995">
        <v>34</v>
      </c>
      <c r="E995">
        <v>0</v>
      </c>
      <c r="F995">
        <v>64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90</v>
      </c>
      <c r="B996">
        <v>7172030006000900</v>
      </c>
      <c r="C996">
        <v>90</v>
      </c>
      <c r="D996">
        <v>40</v>
      </c>
      <c r="E996">
        <v>0</v>
      </c>
      <c r="F996">
        <v>47</v>
      </c>
      <c r="G996">
        <v>0</v>
      </c>
      <c r="H996">
        <v>0</v>
      </c>
      <c r="I996">
        <v>3</v>
      </c>
      <c r="J996">
        <v>0</v>
      </c>
    </row>
    <row r="997" spans="1:10" x14ac:dyDescent="0.25">
      <c r="A997" t="s">
        <v>90</v>
      </c>
      <c r="B997">
        <v>7172030006000800</v>
      </c>
      <c r="C997">
        <v>86</v>
      </c>
      <c r="D997">
        <v>62</v>
      </c>
      <c r="E997">
        <v>0</v>
      </c>
      <c r="F997">
        <v>24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90</v>
      </c>
      <c r="B998">
        <v>7172030006000700</v>
      </c>
      <c r="C998">
        <v>72</v>
      </c>
      <c r="D998">
        <v>25</v>
      </c>
      <c r="E998">
        <v>0</v>
      </c>
      <c r="F998">
        <v>46</v>
      </c>
      <c r="G998">
        <v>0</v>
      </c>
      <c r="H998">
        <v>0</v>
      </c>
      <c r="I998">
        <v>1</v>
      </c>
      <c r="J998">
        <v>0</v>
      </c>
    </row>
    <row r="999" spans="1:10" x14ac:dyDescent="0.25">
      <c r="A999" t="s">
        <v>90</v>
      </c>
      <c r="B999">
        <v>7172030006000300</v>
      </c>
      <c r="C999">
        <v>70</v>
      </c>
      <c r="D999">
        <v>44</v>
      </c>
      <c r="E999">
        <v>0</v>
      </c>
      <c r="F999">
        <v>25</v>
      </c>
      <c r="G999">
        <v>0</v>
      </c>
      <c r="H999">
        <v>1</v>
      </c>
      <c r="I999">
        <v>0</v>
      </c>
      <c r="J999">
        <v>0</v>
      </c>
    </row>
    <row r="1000" spans="1:10" x14ac:dyDescent="0.25">
      <c r="A1000" t="s">
        <v>90</v>
      </c>
      <c r="B1000">
        <v>7172030006000200</v>
      </c>
      <c r="C1000">
        <v>69</v>
      </c>
      <c r="D1000">
        <v>0</v>
      </c>
      <c r="E1000">
        <v>0</v>
      </c>
      <c r="F1000">
        <v>63</v>
      </c>
      <c r="G1000">
        <v>0</v>
      </c>
      <c r="H1000">
        <v>0</v>
      </c>
      <c r="I1000">
        <v>6</v>
      </c>
      <c r="J1000">
        <v>0</v>
      </c>
    </row>
    <row r="1001" spans="1:10" x14ac:dyDescent="0.25">
      <c r="A1001" t="s">
        <v>90</v>
      </c>
      <c r="B1001">
        <v>7172030006000400</v>
      </c>
      <c r="C1001">
        <v>64</v>
      </c>
      <c r="D1001">
        <v>64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90</v>
      </c>
      <c r="B1002">
        <v>7172030006000500</v>
      </c>
      <c r="C1002">
        <v>51</v>
      </c>
      <c r="D1002">
        <v>31</v>
      </c>
      <c r="E1002">
        <v>0</v>
      </c>
      <c r="F1002">
        <v>20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91</v>
      </c>
      <c r="B1003">
        <v>7172030006001100</v>
      </c>
      <c r="C1003">
        <v>105</v>
      </c>
      <c r="D1003">
        <v>19</v>
      </c>
      <c r="E1003">
        <v>1</v>
      </c>
      <c r="F1003">
        <v>81</v>
      </c>
      <c r="G1003">
        <v>0</v>
      </c>
      <c r="H1003">
        <v>0</v>
      </c>
      <c r="I1003">
        <v>4</v>
      </c>
      <c r="J1003">
        <v>0</v>
      </c>
    </row>
    <row r="1004" spans="1:10" x14ac:dyDescent="0.25">
      <c r="A1004" t="s">
        <v>91</v>
      </c>
      <c r="B1004">
        <v>7172030006001200</v>
      </c>
      <c r="C1004">
        <v>101</v>
      </c>
      <c r="D1004">
        <v>0</v>
      </c>
      <c r="E1004">
        <v>0</v>
      </c>
      <c r="F1004">
        <v>101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91</v>
      </c>
      <c r="B1005">
        <v>7172030006001000</v>
      </c>
      <c r="C1005">
        <v>73</v>
      </c>
      <c r="D1005">
        <v>2</v>
      </c>
      <c r="E1005">
        <v>0</v>
      </c>
      <c r="F1005">
        <v>71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91</v>
      </c>
      <c r="B1006">
        <v>7172030006001600</v>
      </c>
      <c r="C1006">
        <v>68</v>
      </c>
      <c r="D1006">
        <v>56</v>
      </c>
      <c r="E1006">
        <v>0</v>
      </c>
      <c r="F1006">
        <v>11</v>
      </c>
      <c r="G1006">
        <v>0</v>
      </c>
      <c r="H1006">
        <v>0</v>
      </c>
      <c r="I1006">
        <v>1</v>
      </c>
      <c r="J1006">
        <v>0</v>
      </c>
    </row>
    <row r="1007" spans="1:10" x14ac:dyDescent="0.25">
      <c r="A1007" t="s">
        <v>91</v>
      </c>
      <c r="B1007">
        <v>7172030006001300</v>
      </c>
      <c r="C1007">
        <v>57</v>
      </c>
      <c r="D1007">
        <v>14</v>
      </c>
      <c r="E1007">
        <v>0</v>
      </c>
      <c r="F1007">
        <v>43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91</v>
      </c>
      <c r="B1008">
        <v>7172030006001700</v>
      </c>
      <c r="C1008">
        <v>57</v>
      </c>
      <c r="D1008">
        <v>48</v>
      </c>
      <c r="E1008">
        <v>0</v>
      </c>
      <c r="F1008">
        <v>8</v>
      </c>
      <c r="G1008">
        <v>0</v>
      </c>
      <c r="H1008">
        <v>0</v>
      </c>
      <c r="I1008">
        <v>1</v>
      </c>
      <c r="J1008">
        <v>0</v>
      </c>
    </row>
    <row r="1009" spans="1:10" x14ac:dyDescent="0.25">
      <c r="A1009" t="s">
        <v>91</v>
      </c>
      <c r="B1009">
        <v>7172030006001800</v>
      </c>
      <c r="C1009">
        <v>52</v>
      </c>
      <c r="D1009">
        <v>46</v>
      </c>
      <c r="E1009">
        <v>0</v>
      </c>
      <c r="F1009">
        <v>6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91</v>
      </c>
      <c r="B1010">
        <v>7172030006001500</v>
      </c>
      <c r="C1010">
        <v>49</v>
      </c>
      <c r="D1010">
        <v>38</v>
      </c>
      <c r="E1010">
        <v>1</v>
      </c>
      <c r="F1010">
        <v>6</v>
      </c>
      <c r="G1010">
        <v>0</v>
      </c>
      <c r="H1010">
        <v>0</v>
      </c>
      <c r="I1010">
        <v>4</v>
      </c>
      <c r="J1010">
        <v>0</v>
      </c>
    </row>
    <row r="1011" spans="1:10" x14ac:dyDescent="0.25">
      <c r="A1011" t="s">
        <v>91</v>
      </c>
      <c r="B1011">
        <v>7172030006001400</v>
      </c>
      <c r="C1011">
        <v>47</v>
      </c>
      <c r="D1011">
        <v>16</v>
      </c>
      <c r="E1011">
        <v>0</v>
      </c>
      <c r="F1011">
        <v>26</v>
      </c>
      <c r="G1011">
        <v>2</v>
      </c>
      <c r="H1011">
        <v>0</v>
      </c>
      <c r="I1011">
        <v>3</v>
      </c>
      <c r="J1011">
        <v>0</v>
      </c>
    </row>
    <row r="1012" spans="1:10" x14ac:dyDescent="0.25">
      <c r="A1012" t="s">
        <v>91</v>
      </c>
      <c r="B1012">
        <v>7172030006001900</v>
      </c>
      <c r="C1012">
        <v>47</v>
      </c>
      <c r="D1012">
        <v>41</v>
      </c>
      <c r="E1012">
        <v>1</v>
      </c>
      <c r="F1012">
        <v>4</v>
      </c>
      <c r="G1012">
        <v>0</v>
      </c>
      <c r="H1012">
        <v>0</v>
      </c>
      <c r="I1012">
        <v>1</v>
      </c>
      <c r="J1012">
        <v>0</v>
      </c>
    </row>
    <row r="1013" spans="1:10" x14ac:dyDescent="0.25">
      <c r="A1013" t="s">
        <v>233</v>
      </c>
      <c r="B1013">
        <v>7172030007000400</v>
      </c>
      <c r="C1013">
        <v>159</v>
      </c>
      <c r="D1013">
        <v>0</v>
      </c>
      <c r="E1013">
        <v>0</v>
      </c>
      <c r="F1013">
        <v>159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233</v>
      </c>
      <c r="B1014">
        <v>7172030007001000</v>
      </c>
      <c r="C1014">
        <v>155</v>
      </c>
      <c r="D1014">
        <v>150</v>
      </c>
      <c r="E1014">
        <v>2</v>
      </c>
      <c r="F1014">
        <v>3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233</v>
      </c>
      <c r="B1015">
        <v>7172030007000900</v>
      </c>
      <c r="C1015">
        <v>90</v>
      </c>
      <c r="D1015">
        <v>81</v>
      </c>
      <c r="E1015">
        <v>5</v>
      </c>
      <c r="F1015">
        <v>2</v>
      </c>
      <c r="G1015">
        <v>0</v>
      </c>
      <c r="H1015">
        <v>0</v>
      </c>
      <c r="I1015">
        <v>2</v>
      </c>
      <c r="J1015">
        <v>0</v>
      </c>
    </row>
    <row r="1016" spans="1:10" x14ac:dyDescent="0.25">
      <c r="A1016" t="s">
        <v>233</v>
      </c>
      <c r="B1016">
        <v>7172030007000800</v>
      </c>
      <c r="C1016">
        <v>87</v>
      </c>
      <c r="D1016">
        <v>19</v>
      </c>
      <c r="E1016">
        <v>16</v>
      </c>
      <c r="F1016">
        <v>43</v>
      </c>
      <c r="G1016">
        <v>0</v>
      </c>
      <c r="H1016">
        <v>0</v>
      </c>
      <c r="I1016">
        <v>9</v>
      </c>
      <c r="J1016">
        <v>0</v>
      </c>
    </row>
    <row r="1017" spans="1:10" x14ac:dyDescent="0.25">
      <c r="A1017" t="s">
        <v>233</v>
      </c>
      <c r="B1017">
        <v>7172030007000500</v>
      </c>
      <c r="C1017">
        <v>79</v>
      </c>
      <c r="D1017">
        <v>0</v>
      </c>
      <c r="E1017">
        <v>0</v>
      </c>
      <c r="F1017">
        <v>79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233</v>
      </c>
      <c r="B1018">
        <v>7172030007000700</v>
      </c>
      <c r="C1018">
        <v>57</v>
      </c>
      <c r="D1018">
        <v>0</v>
      </c>
      <c r="E1018">
        <v>0</v>
      </c>
      <c r="F1018">
        <v>52</v>
      </c>
      <c r="G1018">
        <v>0</v>
      </c>
      <c r="H1018">
        <v>0</v>
      </c>
      <c r="I1018">
        <v>5</v>
      </c>
      <c r="J1018">
        <v>0</v>
      </c>
    </row>
    <row r="1019" spans="1:10" x14ac:dyDescent="0.25">
      <c r="A1019" t="s">
        <v>234</v>
      </c>
      <c r="B1019">
        <v>7172030008000902</v>
      </c>
      <c r="C1019">
        <v>148</v>
      </c>
      <c r="D1019">
        <v>137</v>
      </c>
      <c r="E1019">
        <v>1</v>
      </c>
      <c r="F1019">
        <v>7</v>
      </c>
      <c r="G1019">
        <v>0</v>
      </c>
      <c r="H1019">
        <v>1</v>
      </c>
      <c r="I1019">
        <v>2</v>
      </c>
      <c r="J1019">
        <v>0</v>
      </c>
    </row>
    <row r="1020" spans="1:10" x14ac:dyDescent="0.25">
      <c r="A1020" t="s">
        <v>234</v>
      </c>
      <c r="B1020">
        <v>7172030008000100</v>
      </c>
      <c r="C1020">
        <v>66</v>
      </c>
      <c r="D1020">
        <v>2</v>
      </c>
      <c r="E1020">
        <v>0</v>
      </c>
      <c r="F1020">
        <v>64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234</v>
      </c>
      <c r="B1021">
        <v>7172030008000500</v>
      </c>
      <c r="C1021">
        <v>61</v>
      </c>
      <c r="D1021">
        <v>6</v>
      </c>
      <c r="E1021">
        <v>0</v>
      </c>
      <c r="F1021">
        <v>55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234</v>
      </c>
      <c r="B1022">
        <v>7172030008000400</v>
      </c>
      <c r="C1022">
        <v>60</v>
      </c>
      <c r="D1022">
        <v>17</v>
      </c>
      <c r="E1022">
        <v>0</v>
      </c>
      <c r="F1022">
        <v>43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234</v>
      </c>
      <c r="B1023">
        <v>7172030008000200</v>
      </c>
      <c r="C1023">
        <v>57</v>
      </c>
      <c r="D1023">
        <v>1</v>
      </c>
      <c r="E1023">
        <v>0</v>
      </c>
      <c r="F1023">
        <v>56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234</v>
      </c>
      <c r="B1024">
        <v>7172030008000600</v>
      </c>
      <c r="C1024">
        <v>57</v>
      </c>
      <c r="D1024">
        <v>53</v>
      </c>
      <c r="E1024">
        <v>0</v>
      </c>
      <c r="F1024">
        <v>0</v>
      </c>
      <c r="G1024">
        <v>1</v>
      </c>
      <c r="H1024">
        <v>0</v>
      </c>
      <c r="I1024">
        <v>3</v>
      </c>
      <c r="J1024">
        <v>0</v>
      </c>
    </row>
    <row r="1025" spans="1:10" x14ac:dyDescent="0.25">
      <c r="A1025" t="s">
        <v>234</v>
      </c>
      <c r="B1025">
        <v>7172030008000901</v>
      </c>
      <c r="C1025">
        <v>52</v>
      </c>
      <c r="D1025">
        <v>48</v>
      </c>
      <c r="E1025">
        <v>0</v>
      </c>
      <c r="F1025">
        <v>3</v>
      </c>
      <c r="G1025">
        <v>0</v>
      </c>
      <c r="H1025">
        <v>0</v>
      </c>
      <c r="I1025">
        <v>1</v>
      </c>
      <c r="J1025">
        <v>0</v>
      </c>
    </row>
    <row r="1026" spans="1:10" x14ac:dyDescent="0.25">
      <c r="A1026" t="s">
        <v>234</v>
      </c>
      <c r="B1026">
        <v>7172030008000700</v>
      </c>
      <c r="C1026">
        <v>50</v>
      </c>
      <c r="D1026">
        <v>32</v>
      </c>
      <c r="E1026">
        <v>0</v>
      </c>
      <c r="F1026">
        <v>5</v>
      </c>
      <c r="G1026">
        <v>1</v>
      </c>
      <c r="H1026">
        <v>0</v>
      </c>
      <c r="I1026">
        <v>12</v>
      </c>
      <c r="J1026">
        <v>0</v>
      </c>
    </row>
    <row r="1027" spans="1:10" x14ac:dyDescent="0.25">
      <c r="A1027" t="s">
        <v>234</v>
      </c>
      <c r="B1027">
        <v>7172030008000800</v>
      </c>
      <c r="C1027">
        <v>41</v>
      </c>
      <c r="D1027">
        <v>4</v>
      </c>
      <c r="E1027">
        <v>0</v>
      </c>
      <c r="F1027">
        <v>30</v>
      </c>
      <c r="G1027">
        <v>0</v>
      </c>
      <c r="H1027">
        <v>0</v>
      </c>
      <c r="I1027">
        <v>7</v>
      </c>
      <c r="J1027">
        <v>0</v>
      </c>
    </row>
    <row r="1028" spans="1:10" x14ac:dyDescent="0.25">
      <c r="A1028" t="s">
        <v>234</v>
      </c>
      <c r="B1028">
        <v>7172030008000300</v>
      </c>
      <c r="C1028">
        <v>35</v>
      </c>
      <c r="D1028">
        <v>8</v>
      </c>
      <c r="E1028">
        <v>2</v>
      </c>
      <c r="F1028">
        <v>25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234</v>
      </c>
      <c r="B1029">
        <v>7172030008200100</v>
      </c>
      <c r="C1029">
        <v>2</v>
      </c>
      <c r="D1029">
        <v>0</v>
      </c>
      <c r="E1029">
        <v>0</v>
      </c>
      <c r="F1029">
        <v>2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92</v>
      </c>
      <c r="B1030">
        <v>7172030007000200</v>
      </c>
      <c r="C1030">
        <v>143</v>
      </c>
      <c r="D1030">
        <v>89</v>
      </c>
      <c r="E1030">
        <v>8</v>
      </c>
      <c r="F1030">
        <v>46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92</v>
      </c>
      <c r="B1031">
        <v>7172030012000700</v>
      </c>
      <c r="C1031">
        <v>118</v>
      </c>
      <c r="D1031">
        <v>111</v>
      </c>
      <c r="E1031">
        <v>4</v>
      </c>
      <c r="F1031">
        <v>3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92</v>
      </c>
      <c r="B1032">
        <v>7172030012000500</v>
      </c>
      <c r="C1032">
        <v>97</v>
      </c>
      <c r="D1032">
        <v>0</v>
      </c>
      <c r="E1032">
        <v>9</v>
      </c>
      <c r="F1032">
        <v>88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92</v>
      </c>
      <c r="B1033">
        <v>7172030012000200</v>
      </c>
      <c r="C1033">
        <v>89</v>
      </c>
      <c r="D1033">
        <v>0</v>
      </c>
      <c r="E1033">
        <v>0</v>
      </c>
      <c r="F1033">
        <v>89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92</v>
      </c>
      <c r="B1034">
        <v>7172030007000100</v>
      </c>
      <c r="C1034">
        <v>61</v>
      </c>
      <c r="D1034">
        <v>61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92</v>
      </c>
      <c r="B1035">
        <v>7172030007000300</v>
      </c>
      <c r="C1035">
        <v>44</v>
      </c>
      <c r="D1035">
        <v>0</v>
      </c>
      <c r="E1035">
        <v>0</v>
      </c>
      <c r="F1035">
        <v>44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92</v>
      </c>
      <c r="B1036">
        <v>7172030012000400</v>
      </c>
      <c r="C1036">
        <v>44</v>
      </c>
      <c r="D1036">
        <v>3</v>
      </c>
      <c r="E1036">
        <v>15</v>
      </c>
      <c r="F1036">
        <v>18</v>
      </c>
      <c r="G1036">
        <v>0</v>
      </c>
      <c r="H1036">
        <v>0</v>
      </c>
      <c r="I1036">
        <v>8</v>
      </c>
      <c r="J1036">
        <v>0</v>
      </c>
    </row>
    <row r="1037" spans="1:10" x14ac:dyDescent="0.25">
      <c r="A1037" t="s">
        <v>92</v>
      </c>
      <c r="B1037">
        <v>7172030007000600</v>
      </c>
      <c r="C1037">
        <v>34</v>
      </c>
      <c r="D1037">
        <v>0</v>
      </c>
      <c r="E1037">
        <v>0</v>
      </c>
      <c r="F1037">
        <v>34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99</v>
      </c>
      <c r="B1038">
        <v>7172030013000100</v>
      </c>
      <c r="C1038">
        <v>173</v>
      </c>
      <c r="D1038">
        <v>28</v>
      </c>
      <c r="E1038">
        <v>4</v>
      </c>
      <c r="F1038">
        <v>140</v>
      </c>
      <c r="G1038">
        <v>0</v>
      </c>
      <c r="H1038">
        <v>0</v>
      </c>
      <c r="I1038">
        <v>1</v>
      </c>
      <c r="J1038">
        <v>0</v>
      </c>
    </row>
    <row r="1039" spans="1:10" x14ac:dyDescent="0.25">
      <c r="A1039" t="s">
        <v>99</v>
      </c>
      <c r="B1039">
        <v>7172030012001200</v>
      </c>
      <c r="C1039">
        <v>79</v>
      </c>
      <c r="D1039">
        <v>41</v>
      </c>
      <c r="E1039">
        <v>5</v>
      </c>
      <c r="F1039">
        <v>28</v>
      </c>
      <c r="G1039">
        <v>2</v>
      </c>
      <c r="H1039">
        <v>1</v>
      </c>
      <c r="I1039">
        <v>2</v>
      </c>
      <c r="J1039">
        <v>0</v>
      </c>
    </row>
    <row r="1040" spans="1:10" x14ac:dyDescent="0.25">
      <c r="A1040" t="s">
        <v>99</v>
      </c>
      <c r="B1040">
        <v>7172030012001700</v>
      </c>
      <c r="C1040">
        <v>78</v>
      </c>
      <c r="D1040">
        <v>63</v>
      </c>
      <c r="E1040">
        <v>0</v>
      </c>
      <c r="F1040">
        <v>10</v>
      </c>
      <c r="G1040">
        <v>0</v>
      </c>
      <c r="H1040">
        <v>0</v>
      </c>
      <c r="I1040">
        <v>5</v>
      </c>
      <c r="J1040">
        <v>0</v>
      </c>
    </row>
    <row r="1041" spans="1:10" x14ac:dyDescent="0.25">
      <c r="A1041" t="s">
        <v>99</v>
      </c>
      <c r="B1041">
        <v>7172030012001900</v>
      </c>
      <c r="C1041">
        <v>76</v>
      </c>
      <c r="D1041">
        <v>35</v>
      </c>
      <c r="E1041">
        <v>9</v>
      </c>
      <c r="F1041">
        <v>25</v>
      </c>
      <c r="G1041">
        <v>0</v>
      </c>
      <c r="H1041">
        <v>0</v>
      </c>
      <c r="I1041">
        <v>7</v>
      </c>
      <c r="J1041">
        <v>0</v>
      </c>
    </row>
    <row r="1042" spans="1:10" x14ac:dyDescent="0.25">
      <c r="A1042" t="s">
        <v>99</v>
      </c>
      <c r="B1042">
        <v>7172030012001800</v>
      </c>
      <c r="C1042">
        <v>73</v>
      </c>
      <c r="D1042">
        <v>38</v>
      </c>
      <c r="E1042">
        <v>0</v>
      </c>
      <c r="F1042">
        <v>34</v>
      </c>
      <c r="G1042">
        <v>0</v>
      </c>
      <c r="H1042">
        <v>0</v>
      </c>
      <c r="I1042">
        <v>1</v>
      </c>
      <c r="J1042">
        <v>0</v>
      </c>
    </row>
    <row r="1043" spans="1:10" x14ac:dyDescent="0.25">
      <c r="A1043" t="s">
        <v>99</v>
      </c>
      <c r="B1043">
        <v>7172030012001600</v>
      </c>
      <c r="C1043">
        <v>60</v>
      </c>
      <c r="D1043">
        <v>36</v>
      </c>
      <c r="E1043">
        <v>0</v>
      </c>
      <c r="F1043">
        <v>24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99</v>
      </c>
      <c r="B1044">
        <v>7172030013000300</v>
      </c>
      <c r="C1044">
        <v>51</v>
      </c>
      <c r="D1044">
        <v>22</v>
      </c>
      <c r="E1044">
        <v>6</v>
      </c>
      <c r="F1044">
        <v>19</v>
      </c>
      <c r="G1044">
        <v>0</v>
      </c>
      <c r="H1044">
        <v>0</v>
      </c>
      <c r="I1044">
        <v>4</v>
      </c>
      <c r="J1044">
        <v>0</v>
      </c>
    </row>
    <row r="1045" spans="1:10" x14ac:dyDescent="0.25">
      <c r="A1045" t="s">
        <v>99</v>
      </c>
      <c r="B1045">
        <v>7172030012002000</v>
      </c>
      <c r="C1045">
        <v>50</v>
      </c>
      <c r="D1045">
        <v>21</v>
      </c>
      <c r="E1045">
        <v>2</v>
      </c>
      <c r="F1045">
        <v>23</v>
      </c>
      <c r="G1045">
        <v>0</v>
      </c>
      <c r="H1045">
        <v>0</v>
      </c>
      <c r="I1045">
        <v>4</v>
      </c>
      <c r="J1045">
        <v>0</v>
      </c>
    </row>
    <row r="1046" spans="1:10" x14ac:dyDescent="0.25">
      <c r="A1046" t="s">
        <v>118</v>
      </c>
      <c r="B1046">
        <v>7172031004001700</v>
      </c>
      <c r="C1046">
        <v>141</v>
      </c>
      <c r="D1046">
        <v>4</v>
      </c>
      <c r="E1046">
        <v>0</v>
      </c>
      <c r="F1046">
        <v>137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118</v>
      </c>
      <c r="B1047">
        <v>7172031004001400</v>
      </c>
      <c r="C1047">
        <v>129</v>
      </c>
      <c r="D1047">
        <v>70</v>
      </c>
      <c r="E1047">
        <v>4</v>
      </c>
      <c r="F1047">
        <v>55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118</v>
      </c>
      <c r="B1048">
        <v>7172031004001800</v>
      </c>
      <c r="C1048">
        <v>91</v>
      </c>
      <c r="D1048">
        <v>25</v>
      </c>
      <c r="E1048">
        <v>0</v>
      </c>
      <c r="F1048">
        <v>66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118</v>
      </c>
      <c r="B1049">
        <v>7172031004001300</v>
      </c>
      <c r="C1049">
        <v>66</v>
      </c>
      <c r="D1049">
        <v>38</v>
      </c>
      <c r="E1049">
        <v>4</v>
      </c>
      <c r="F1049">
        <v>17</v>
      </c>
      <c r="G1049">
        <v>0</v>
      </c>
      <c r="H1049">
        <v>0</v>
      </c>
      <c r="I1049">
        <v>7</v>
      </c>
      <c r="J1049">
        <v>0</v>
      </c>
    </row>
    <row r="1050" spans="1:10" x14ac:dyDescent="0.25">
      <c r="A1050" t="s">
        <v>118</v>
      </c>
      <c r="B1050">
        <v>7172031004001200</v>
      </c>
      <c r="C1050">
        <v>58</v>
      </c>
      <c r="D1050">
        <v>58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118</v>
      </c>
      <c r="B1051">
        <v>7172031004001600</v>
      </c>
      <c r="C1051">
        <v>48</v>
      </c>
      <c r="D1051">
        <v>27</v>
      </c>
      <c r="E1051">
        <v>0</v>
      </c>
      <c r="F1051">
        <v>21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118</v>
      </c>
      <c r="B1052">
        <v>7172031004001500</v>
      </c>
      <c r="C1052">
        <v>41</v>
      </c>
      <c r="D1052">
        <v>36</v>
      </c>
      <c r="E1052">
        <v>0</v>
      </c>
      <c r="F1052">
        <v>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118</v>
      </c>
      <c r="B1053">
        <v>7172031004100200</v>
      </c>
      <c r="C1053">
        <v>2</v>
      </c>
      <c r="D1053">
        <v>0</v>
      </c>
      <c r="E1053">
        <v>0</v>
      </c>
      <c r="F1053">
        <v>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60</v>
      </c>
      <c r="B1054">
        <v>7172012004001900</v>
      </c>
      <c r="C1054">
        <v>180</v>
      </c>
      <c r="D1054">
        <v>174</v>
      </c>
      <c r="E1054">
        <v>4</v>
      </c>
      <c r="F1054">
        <v>0</v>
      </c>
      <c r="G1054">
        <v>0</v>
      </c>
      <c r="H1054">
        <v>0</v>
      </c>
      <c r="I1054">
        <v>2</v>
      </c>
      <c r="J1054">
        <v>0</v>
      </c>
    </row>
    <row r="1055" spans="1:10" x14ac:dyDescent="0.25">
      <c r="A1055" t="s">
        <v>60</v>
      </c>
      <c r="B1055">
        <v>7172012004000900</v>
      </c>
      <c r="C1055">
        <v>136</v>
      </c>
      <c r="D1055">
        <v>1</v>
      </c>
      <c r="E1055">
        <v>0</v>
      </c>
      <c r="F1055">
        <v>134</v>
      </c>
      <c r="G1055">
        <v>0</v>
      </c>
      <c r="H1055">
        <v>0</v>
      </c>
      <c r="I1055">
        <v>1</v>
      </c>
      <c r="J1055">
        <v>0</v>
      </c>
    </row>
    <row r="1056" spans="1:10" x14ac:dyDescent="0.25">
      <c r="A1056" t="s">
        <v>60</v>
      </c>
      <c r="B1056">
        <v>7172012004001802</v>
      </c>
      <c r="C1056">
        <v>107</v>
      </c>
      <c r="D1056">
        <v>8</v>
      </c>
      <c r="E1056">
        <v>0</v>
      </c>
      <c r="F1056">
        <v>99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60</v>
      </c>
      <c r="B1057">
        <v>7172012004002101</v>
      </c>
      <c r="C1057">
        <v>104</v>
      </c>
      <c r="D1057">
        <v>13</v>
      </c>
      <c r="E1057">
        <v>0</v>
      </c>
      <c r="F1057">
        <v>90</v>
      </c>
      <c r="G1057">
        <v>0</v>
      </c>
      <c r="H1057">
        <v>0</v>
      </c>
      <c r="I1057">
        <v>1</v>
      </c>
      <c r="J1057">
        <v>0</v>
      </c>
    </row>
    <row r="1058" spans="1:10" x14ac:dyDescent="0.25">
      <c r="A1058" t="s">
        <v>60</v>
      </c>
      <c r="B1058">
        <v>7172012004001400</v>
      </c>
      <c r="C1058">
        <v>88</v>
      </c>
      <c r="D1058">
        <v>51</v>
      </c>
      <c r="E1058">
        <v>9</v>
      </c>
      <c r="F1058">
        <v>21</v>
      </c>
      <c r="G1058">
        <v>0</v>
      </c>
      <c r="H1058">
        <v>0</v>
      </c>
      <c r="I1058">
        <v>7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32D12-0D72-45EA-8B54-2AF735261F4A}">
  <dimension ref="A1:M1058"/>
  <sheetViews>
    <sheetView topLeftCell="B1027" workbookViewId="0">
      <selection activeCell="C2" sqref="C2:L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398</v>
      </c>
      <c r="G1" t="s">
        <v>224</v>
      </c>
      <c r="H1" t="s">
        <v>400</v>
      </c>
      <c r="I1" t="s">
        <v>225</v>
      </c>
      <c r="J1" t="s">
        <v>226</v>
      </c>
      <c r="K1" t="s">
        <v>227</v>
      </c>
      <c r="L1" t="s">
        <v>228</v>
      </c>
      <c r="M1" t="s">
        <v>399</v>
      </c>
    </row>
    <row r="2" spans="1:13" x14ac:dyDescent="0.25">
      <c r="A2" s="5" t="s">
        <v>11</v>
      </c>
      <c r="B2">
        <v>7172010010000200</v>
      </c>
      <c r="C2">
        <v>132</v>
      </c>
      <c r="D2">
        <v>126</v>
      </c>
      <c r="E2">
        <v>1</v>
      </c>
      <c r="F2">
        <v>1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region_summary__43[[#This Row],[REJECTED BY Admin Kabupaten]]+region_summary__43[[#This Row],[REJECTED BY Pengawas]]</f>
        <v>0</v>
      </c>
    </row>
    <row r="3" spans="1:13" x14ac:dyDescent="0.25">
      <c r="A3" s="5" t="s">
        <v>11</v>
      </c>
      <c r="B3">
        <v>7172010009002900</v>
      </c>
      <c r="C3">
        <v>104</v>
      </c>
      <c r="D3">
        <v>93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1</v>
      </c>
      <c r="L3">
        <v>0</v>
      </c>
      <c r="M3">
        <f>region_summary__43[[#This Row],[REJECTED BY Admin Kabupaten]]+region_summary__43[[#This Row],[REJECTED BY Pengawas]]</f>
        <v>0</v>
      </c>
    </row>
    <row r="4" spans="1:13" x14ac:dyDescent="0.25">
      <c r="A4" s="5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region_summary__43[[#This Row],[REJECTED BY Admin Kabupaten]]+region_summary__43[[#This Row],[REJECTED BY Pengawas]]</f>
        <v>0</v>
      </c>
    </row>
    <row r="5" spans="1:13" x14ac:dyDescent="0.25">
      <c r="A5" s="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region_summary__43[[#This Row],[REJECTED BY Admin Kabupaten]]+region_summary__43[[#This Row],[REJECTED BY Pengawas]]</f>
        <v>0</v>
      </c>
    </row>
    <row r="6" spans="1:13" x14ac:dyDescent="0.25">
      <c r="A6" s="5" t="s">
        <v>11</v>
      </c>
      <c r="B6">
        <v>7172010010000100</v>
      </c>
      <c r="C6">
        <v>76</v>
      </c>
      <c r="D6">
        <v>0</v>
      </c>
      <c r="E6">
        <v>0</v>
      </c>
      <c r="F6">
        <v>0</v>
      </c>
      <c r="G6">
        <v>76</v>
      </c>
      <c r="H6">
        <v>0</v>
      </c>
      <c r="I6">
        <v>0</v>
      </c>
      <c r="J6">
        <v>0</v>
      </c>
      <c r="K6">
        <v>0</v>
      </c>
      <c r="L6">
        <v>0</v>
      </c>
      <c r="M6">
        <f>region_summary__43[[#This Row],[REJECTED BY Admin Kabupaten]]+region_summary__43[[#This Row],[REJECTED BY Pengawas]]</f>
        <v>0</v>
      </c>
    </row>
    <row r="7" spans="1:13" x14ac:dyDescent="0.25">
      <c r="A7" s="5" t="s">
        <v>11</v>
      </c>
      <c r="B7">
        <v>7172010010000300</v>
      </c>
      <c r="C7">
        <v>66</v>
      </c>
      <c r="D7">
        <v>0</v>
      </c>
      <c r="E7">
        <v>1</v>
      </c>
      <c r="F7">
        <v>0</v>
      </c>
      <c r="G7">
        <v>31</v>
      </c>
      <c r="H7">
        <v>0</v>
      </c>
      <c r="I7">
        <v>0</v>
      </c>
      <c r="J7">
        <v>0</v>
      </c>
      <c r="K7">
        <v>34</v>
      </c>
      <c r="L7">
        <v>0</v>
      </c>
      <c r="M7">
        <f>region_summary__43[[#This Row],[REJECTED BY Admin Kabupaten]]+region_summary__43[[#This Row],[REJECTED BY Pengawas]]</f>
        <v>0</v>
      </c>
    </row>
    <row r="8" spans="1:13" x14ac:dyDescent="0.25">
      <c r="A8" s="5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region_summary__43[[#This Row],[REJECTED BY Admin Kabupaten]]+region_summary__43[[#This Row],[REJECTED BY Pengawas]]</f>
        <v>0</v>
      </c>
    </row>
    <row r="9" spans="1:13" x14ac:dyDescent="0.25">
      <c r="A9" s="5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region_summary__43[[#This Row],[REJECTED BY Admin Kabupaten]]+region_summary__43[[#This Row],[REJECTED BY Pengawas]]</f>
        <v>0</v>
      </c>
    </row>
    <row r="10" spans="1:13" x14ac:dyDescent="0.25">
      <c r="A10" s="5" t="s">
        <v>7</v>
      </c>
      <c r="B10">
        <v>7172010008001000</v>
      </c>
      <c r="C10">
        <v>197</v>
      </c>
      <c r="D10">
        <v>186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region_summary__43[[#This Row],[REJECTED BY Admin Kabupaten]]+region_summary__43[[#This Row],[REJECTED BY Pengawas]]</f>
        <v>0</v>
      </c>
    </row>
    <row r="11" spans="1:13" x14ac:dyDescent="0.25">
      <c r="A11" s="5" t="s">
        <v>7</v>
      </c>
      <c r="B11">
        <v>7172010008001101</v>
      </c>
      <c r="C11">
        <v>184</v>
      </c>
      <c r="D11">
        <v>32</v>
      </c>
      <c r="E11">
        <v>8</v>
      </c>
      <c r="F11">
        <v>1</v>
      </c>
      <c r="G11">
        <v>83</v>
      </c>
      <c r="H11">
        <v>0</v>
      </c>
      <c r="I11">
        <v>0</v>
      </c>
      <c r="J11">
        <v>0</v>
      </c>
      <c r="K11">
        <v>60</v>
      </c>
      <c r="L11">
        <v>0</v>
      </c>
      <c r="M11">
        <f>region_summary__43[[#This Row],[REJECTED BY Admin Kabupaten]]+region_summary__43[[#This Row],[REJECTED BY Pengawas]]</f>
        <v>0</v>
      </c>
    </row>
    <row r="12" spans="1:13" x14ac:dyDescent="0.25">
      <c r="A12" s="5" t="s">
        <v>7</v>
      </c>
      <c r="B12">
        <v>7172010008000800</v>
      </c>
      <c r="C12">
        <v>160</v>
      </c>
      <c r="D12">
        <v>157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1</v>
      </c>
      <c r="L12">
        <v>0</v>
      </c>
      <c r="M12">
        <f>region_summary__43[[#This Row],[REJECTED BY Admin Kabupaten]]+region_summary__43[[#This Row],[REJECTED BY Pengawas]]</f>
        <v>0</v>
      </c>
    </row>
    <row r="13" spans="1:13" x14ac:dyDescent="0.25">
      <c r="A13" s="5" t="s">
        <v>7</v>
      </c>
      <c r="B13">
        <v>7172010008000900</v>
      </c>
      <c r="C13">
        <v>68</v>
      </c>
      <c r="D13">
        <v>0</v>
      </c>
      <c r="E13">
        <v>0</v>
      </c>
      <c r="F13">
        <v>0</v>
      </c>
      <c r="G13">
        <v>68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region_summary__43[[#This Row],[REJECTED BY Admin Kabupaten]]+region_summary__43[[#This Row],[REJECTED BY Pengawas]]</f>
        <v>0</v>
      </c>
    </row>
    <row r="14" spans="1:13" x14ac:dyDescent="0.25">
      <c r="A14" s="5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region_summary__43[[#This Row],[REJECTED BY Admin Kabupaten]]+region_summary__43[[#This Row],[REJECTED BY Pengawas]]</f>
        <v>0</v>
      </c>
    </row>
    <row r="15" spans="1:13" x14ac:dyDescent="0.25">
      <c r="A15" s="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region_summary__43[[#This Row],[REJECTED BY Admin Kabupaten]]+region_summary__43[[#This Row],[REJECTED BY Pengawas]]</f>
        <v>0</v>
      </c>
    </row>
    <row r="16" spans="1:13" x14ac:dyDescent="0.25">
      <c r="A16" s="5" t="s">
        <v>5</v>
      </c>
      <c r="B16">
        <v>7172010008001300</v>
      </c>
      <c r="C16">
        <v>144</v>
      </c>
      <c r="D16">
        <v>94</v>
      </c>
      <c r="E16">
        <v>4</v>
      </c>
      <c r="F16">
        <v>6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region_summary__43[[#This Row],[REJECTED BY Admin Kabupaten]]+region_summary__43[[#This Row],[REJECTED BY Pengawas]]</f>
        <v>0</v>
      </c>
    </row>
    <row r="17" spans="1:13" x14ac:dyDescent="0.25">
      <c r="A17" s="5" t="s">
        <v>5</v>
      </c>
      <c r="B17">
        <v>7172010008001102</v>
      </c>
      <c r="C17">
        <v>120</v>
      </c>
      <c r="D17">
        <v>71</v>
      </c>
      <c r="E17">
        <v>0</v>
      </c>
      <c r="F17">
        <v>13</v>
      </c>
      <c r="G17">
        <v>35</v>
      </c>
      <c r="H17">
        <v>0</v>
      </c>
      <c r="I17">
        <v>0</v>
      </c>
      <c r="J17">
        <v>0</v>
      </c>
      <c r="K17">
        <v>1</v>
      </c>
      <c r="L17">
        <v>0</v>
      </c>
      <c r="M17">
        <f>region_summary__43[[#This Row],[REJECTED BY Admin Kabupaten]]+region_summary__43[[#This Row],[REJECTED BY Pengawas]]</f>
        <v>0</v>
      </c>
    </row>
    <row r="18" spans="1:13" x14ac:dyDescent="0.25">
      <c r="A18" s="5" t="s">
        <v>5</v>
      </c>
      <c r="B18">
        <v>7172010008001400</v>
      </c>
      <c r="C18">
        <v>116</v>
      </c>
      <c r="D18">
        <v>96</v>
      </c>
      <c r="E18">
        <v>2</v>
      </c>
      <c r="F18">
        <v>9</v>
      </c>
      <c r="G18">
        <v>6</v>
      </c>
      <c r="H18">
        <v>0</v>
      </c>
      <c r="I18">
        <v>0</v>
      </c>
      <c r="J18">
        <v>0</v>
      </c>
      <c r="K18">
        <v>3</v>
      </c>
      <c r="L18">
        <v>0</v>
      </c>
      <c r="M18">
        <f>region_summary__43[[#This Row],[REJECTED BY Admin Kabupaten]]+region_summary__43[[#This Row],[REJECTED BY Pengawas]]</f>
        <v>0</v>
      </c>
    </row>
    <row r="19" spans="1:13" x14ac:dyDescent="0.25">
      <c r="A19" s="5" t="s">
        <v>5</v>
      </c>
      <c r="B19">
        <v>7172010008001500</v>
      </c>
      <c r="C19">
        <v>98</v>
      </c>
      <c r="D19">
        <v>0</v>
      </c>
      <c r="E19">
        <v>0</v>
      </c>
      <c r="F19">
        <v>0</v>
      </c>
      <c r="G19">
        <v>98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region_summary__43[[#This Row],[REJECTED BY Admin Kabupaten]]+region_summary__43[[#This Row],[REJECTED BY Pengawas]]</f>
        <v>0</v>
      </c>
    </row>
    <row r="20" spans="1:13" x14ac:dyDescent="0.25">
      <c r="A20" s="5" t="s">
        <v>5</v>
      </c>
      <c r="B20">
        <v>7172010008000100</v>
      </c>
      <c r="C20">
        <v>95</v>
      </c>
      <c r="D20">
        <v>0</v>
      </c>
      <c r="E20">
        <v>0</v>
      </c>
      <c r="F20">
        <v>0</v>
      </c>
      <c r="G20">
        <v>95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region_summary__43[[#This Row],[REJECTED BY Admin Kabupaten]]+region_summary__43[[#This Row],[REJECTED BY Pengawas]]</f>
        <v>0</v>
      </c>
    </row>
    <row r="21" spans="1:13" x14ac:dyDescent="0.25">
      <c r="A21" s="5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region_summary__43[[#This Row],[REJECTED BY Admin Kabupaten]]+region_summary__43[[#This Row],[REJECTED BY Pengawas]]</f>
        <v>0</v>
      </c>
    </row>
    <row r="22" spans="1:13" x14ac:dyDescent="0.25">
      <c r="A22" s="5" t="s">
        <v>8</v>
      </c>
      <c r="B22">
        <v>7172010009000300</v>
      </c>
      <c r="C22">
        <v>87</v>
      </c>
      <c r="D22">
        <v>82</v>
      </c>
      <c r="E22">
        <v>0</v>
      </c>
      <c r="F22">
        <v>3</v>
      </c>
      <c r="G22">
        <v>0</v>
      </c>
      <c r="H22">
        <v>2</v>
      </c>
      <c r="I22">
        <v>0</v>
      </c>
      <c r="J22">
        <v>0</v>
      </c>
      <c r="K22">
        <v>0</v>
      </c>
      <c r="L22">
        <v>0</v>
      </c>
      <c r="M22">
        <f>region_summary__43[[#This Row],[REJECTED BY Admin Kabupaten]]+region_summary__43[[#This Row],[REJECTED BY Pengawas]]</f>
        <v>2</v>
      </c>
    </row>
    <row r="23" spans="1:13" x14ac:dyDescent="0.25">
      <c r="A23" s="5" t="s">
        <v>8</v>
      </c>
      <c r="B23">
        <v>7172010009000400</v>
      </c>
      <c r="C23">
        <v>75</v>
      </c>
      <c r="D23">
        <v>64</v>
      </c>
      <c r="E23">
        <v>0</v>
      </c>
      <c r="F23">
        <v>4</v>
      </c>
      <c r="G23">
        <v>6</v>
      </c>
      <c r="H23">
        <v>1</v>
      </c>
      <c r="I23">
        <v>0</v>
      </c>
      <c r="J23">
        <v>0</v>
      </c>
      <c r="K23">
        <v>0</v>
      </c>
      <c r="L23">
        <v>0</v>
      </c>
      <c r="M23">
        <f>region_summary__43[[#This Row],[REJECTED BY Admin Kabupaten]]+region_summary__43[[#This Row],[REJECTED BY Pengawas]]</f>
        <v>1</v>
      </c>
    </row>
    <row r="24" spans="1:13" x14ac:dyDescent="0.25">
      <c r="A24" s="5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region_summary__43[[#This Row],[REJECTED BY Admin Kabupaten]]+region_summary__43[[#This Row],[REJECTED BY Pengawas]]</f>
        <v>0</v>
      </c>
    </row>
    <row r="25" spans="1:13" x14ac:dyDescent="0.25">
      <c r="A25" s="5" t="s">
        <v>8</v>
      </c>
      <c r="B25">
        <v>7172010009000700</v>
      </c>
      <c r="C25">
        <v>59</v>
      </c>
      <c r="D25">
        <v>0</v>
      </c>
      <c r="E25">
        <v>0</v>
      </c>
      <c r="F25">
        <v>0</v>
      </c>
      <c r="G25">
        <v>59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region_summary__43[[#This Row],[REJECTED BY Admin Kabupaten]]+region_summary__43[[#This Row],[REJECTED BY Pengawas]]</f>
        <v>0</v>
      </c>
    </row>
    <row r="26" spans="1:13" x14ac:dyDescent="0.25">
      <c r="A26" s="5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region_summary__43[[#This Row],[REJECTED BY Admin Kabupaten]]+region_summary__43[[#This Row],[REJECTED BY Pengawas]]</f>
        <v>0</v>
      </c>
    </row>
    <row r="27" spans="1:13" x14ac:dyDescent="0.25">
      <c r="A27" s="5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region_summary__43[[#This Row],[REJECTED BY Admin Kabupaten]]+region_summary__43[[#This Row],[REJECTED BY Pengawas]]</f>
        <v>0</v>
      </c>
    </row>
    <row r="28" spans="1:13" x14ac:dyDescent="0.25">
      <c r="A28" s="5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region_summary__43[[#This Row],[REJECTED BY Admin Kabupaten]]+region_summary__43[[#This Row],[REJECTED BY Pengawas]]</f>
        <v>0</v>
      </c>
    </row>
    <row r="29" spans="1:13" x14ac:dyDescent="0.25">
      <c r="A29" s="5" t="s">
        <v>8</v>
      </c>
      <c r="B29">
        <v>7172010009000200</v>
      </c>
      <c r="C29">
        <v>43</v>
      </c>
      <c r="D29">
        <v>0</v>
      </c>
      <c r="E29">
        <v>6</v>
      </c>
      <c r="F29">
        <v>0</v>
      </c>
      <c r="G29">
        <v>24</v>
      </c>
      <c r="H29">
        <v>0</v>
      </c>
      <c r="I29">
        <v>0</v>
      </c>
      <c r="J29">
        <v>0</v>
      </c>
      <c r="K29">
        <v>13</v>
      </c>
      <c r="L29">
        <v>0</v>
      </c>
      <c r="M29">
        <f>region_summary__43[[#This Row],[REJECTED BY Admin Kabupaten]]+region_summary__43[[#This Row],[REJECTED BY Pengawas]]</f>
        <v>0</v>
      </c>
    </row>
    <row r="30" spans="1:13" x14ac:dyDescent="0.25">
      <c r="A30" s="5" t="s">
        <v>8</v>
      </c>
      <c r="B30">
        <v>7172010009000600</v>
      </c>
      <c r="C30">
        <v>41</v>
      </c>
      <c r="D30">
        <v>0</v>
      </c>
      <c r="E30">
        <v>0</v>
      </c>
      <c r="F30">
        <v>0</v>
      </c>
      <c r="G30">
        <v>41</v>
      </c>
      <c r="H30">
        <v>0</v>
      </c>
      <c r="I30">
        <v>0</v>
      </c>
      <c r="J30">
        <v>0</v>
      </c>
      <c r="K30">
        <v>0</v>
      </c>
      <c r="L30">
        <v>0</v>
      </c>
      <c r="M30">
        <f>region_summary__43[[#This Row],[REJECTED BY Admin Kabupaten]]+region_summary__43[[#This Row],[REJECTED BY Pengawas]]</f>
        <v>0</v>
      </c>
    </row>
    <row r="31" spans="1:13" x14ac:dyDescent="0.25">
      <c r="A31" s="5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5</v>
      </c>
      <c r="H31">
        <v>0</v>
      </c>
      <c r="I31">
        <v>1</v>
      </c>
      <c r="J31">
        <v>0</v>
      </c>
      <c r="K31">
        <v>0</v>
      </c>
      <c r="L31">
        <v>0</v>
      </c>
      <c r="M31">
        <f>region_summary__43[[#This Row],[REJECTED BY Admin Kabupaten]]+region_summary__43[[#This Row],[REJECTED BY Pengawas]]</f>
        <v>1</v>
      </c>
    </row>
    <row r="32" spans="1:13" x14ac:dyDescent="0.25">
      <c r="A32" s="5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region_summary__43[[#This Row],[REJECTED BY Admin Kabupaten]]+region_summary__43[[#This Row],[REJECTED BY Pengawas]]</f>
        <v>0</v>
      </c>
    </row>
    <row r="33" spans="1:13" x14ac:dyDescent="0.25">
      <c r="A33" s="5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region_summary__43[[#This Row],[REJECTED BY Admin Kabupaten]]+region_summary__43[[#This Row],[REJECTED BY Pengawas]]</f>
        <v>0</v>
      </c>
    </row>
    <row r="34" spans="1:13" x14ac:dyDescent="0.25">
      <c r="A34" s="5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region_summary__43[[#This Row],[REJECTED BY Admin Kabupaten]]+region_summary__43[[#This Row],[REJECTED BY Pengawas]]</f>
        <v>0</v>
      </c>
    </row>
    <row r="35" spans="1:13" x14ac:dyDescent="0.25">
      <c r="A35" s="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region_summary__43[[#This Row],[REJECTED BY Admin Kabupaten]]+region_summary__43[[#This Row],[REJECTED BY Pengawas]]</f>
        <v>0</v>
      </c>
    </row>
    <row r="36" spans="1:13" x14ac:dyDescent="0.25">
      <c r="A36" s="5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region_summary__43[[#This Row],[REJECTED BY Admin Kabupaten]]+region_summary__43[[#This Row],[REJECTED BY Pengawas]]</f>
        <v>0</v>
      </c>
    </row>
    <row r="37" spans="1:13" x14ac:dyDescent="0.25">
      <c r="A37" s="5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17</v>
      </c>
      <c r="H37">
        <v>0</v>
      </c>
      <c r="I37">
        <v>0</v>
      </c>
      <c r="J37">
        <v>0</v>
      </c>
      <c r="K37">
        <v>17</v>
      </c>
      <c r="L37">
        <v>0</v>
      </c>
      <c r="M37">
        <f>region_summary__43[[#This Row],[REJECTED BY Admin Kabupaten]]+region_summary__43[[#This Row],[REJECTED BY Pengawas]]</f>
        <v>0</v>
      </c>
    </row>
    <row r="38" spans="1:13" x14ac:dyDescent="0.25">
      <c r="A38" s="5" t="s">
        <v>9</v>
      </c>
      <c r="B38">
        <v>7172010009001000</v>
      </c>
      <c r="C38">
        <v>60</v>
      </c>
      <c r="D38">
        <v>51</v>
      </c>
      <c r="E38">
        <v>1</v>
      </c>
      <c r="F38">
        <v>0</v>
      </c>
      <c r="G38">
        <v>7</v>
      </c>
      <c r="H38">
        <v>0</v>
      </c>
      <c r="I38">
        <v>1</v>
      </c>
      <c r="J38">
        <v>0</v>
      </c>
      <c r="K38">
        <v>0</v>
      </c>
      <c r="L38">
        <v>0</v>
      </c>
      <c r="M38">
        <f>region_summary__43[[#This Row],[REJECTED BY Admin Kabupaten]]+region_summary__43[[#This Row],[REJECTED BY Pengawas]]</f>
        <v>1</v>
      </c>
    </row>
    <row r="39" spans="1:13" x14ac:dyDescent="0.25">
      <c r="A39" s="5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region_summary__43[[#This Row],[REJECTED BY Admin Kabupaten]]+region_summary__43[[#This Row],[REJECTED BY Pengawas]]</f>
        <v>0</v>
      </c>
    </row>
    <row r="40" spans="1:13" x14ac:dyDescent="0.25">
      <c r="A40" s="5" t="s">
        <v>9</v>
      </c>
      <c r="B40">
        <v>7172010009001900</v>
      </c>
      <c r="C40">
        <v>54</v>
      </c>
      <c r="D40">
        <v>0</v>
      </c>
      <c r="E40">
        <v>0</v>
      </c>
      <c r="F40">
        <v>0</v>
      </c>
      <c r="G40">
        <v>54</v>
      </c>
      <c r="H40">
        <v>0</v>
      </c>
      <c r="I40">
        <v>0</v>
      </c>
      <c r="J40">
        <v>0</v>
      </c>
      <c r="K40">
        <v>0</v>
      </c>
      <c r="L40">
        <v>0</v>
      </c>
      <c r="M40">
        <f>region_summary__43[[#This Row],[REJECTED BY Admin Kabupaten]]+region_summary__43[[#This Row],[REJECTED BY Pengawas]]</f>
        <v>0</v>
      </c>
    </row>
    <row r="41" spans="1:13" x14ac:dyDescent="0.25">
      <c r="A41" s="5" t="s">
        <v>9</v>
      </c>
      <c r="B41">
        <v>7172010009001700</v>
      </c>
      <c r="C41">
        <v>51</v>
      </c>
      <c r="D41">
        <v>0</v>
      </c>
      <c r="E41">
        <v>0</v>
      </c>
      <c r="F41">
        <v>0</v>
      </c>
      <c r="G41">
        <v>51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region_summary__43[[#This Row],[REJECTED BY Admin Kabupaten]]+region_summary__43[[#This Row],[REJECTED BY Pengawas]]</f>
        <v>0</v>
      </c>
    </row>
    <row r="42" spans="1:13" x14ac:dyDescent="0.25">
      <c r="A42" s="5" t="s">
        <v>9</v>
      </c>
      <c r="B42">
        <v>7172010009000900</v>
      </c>
      <c r="C42">
        <v>48</v>
      </c>
      <c r="D42">
        <v>39</v>
      </c>
      <c r="E42">
        <v>1</v>
      </c>
      <c r="F42">
        <v>2</v>
      </c>
      <c r="G42">
        <v>2</v>
      </c>
      <c r="H42">
        <v>0</v>
      </c>
      <c r="I42">
        <v>0</v>
      </c>
      <c r="J42">
        <v>0</v>
      </c>
      <c r="K42">
        <v>4</v>
      </c>
      <c r="L42">
        <v>0</v>
      </c>
      <c r="M42">
        <f>region_summary__43[[#This Row],[REJECTED BY Admin Kabupaten]]+region_summary__43[[#This Row],[REJECTED BY Pengawas]]</f>
        <v>0</v>
      </c>
    </row>
    <row r="43" spans="1:13" x14ac:dyDescent="0.25">
      <c r="A43" s="5" t="s">
        <v>9</v>
      </c>
      <c r="B43">
        <v>7172010009001400</v>
      </c>
      <c r="C43">
        <v>48</v>
      </c>
      <c r="D43">
        <v>0</v>
      </c>
      <c r="E43">
        <v>0</v>
      </c>
      <c r="F43">
        <v>0</v>
      </c>
      <c r="G43">
        <v>33</v>
      </c>
      <c r="H43">
        <v>0</v>
      </c>
      <c r="I43">
        <v>1</v>
      </c>
      <c r="J43">
        <v>0</v>
      </c>
      <c r="K43">
        <v>14</v>
      </c>
      <c r="L43">
        <v>0</v>
      </c>
      <c r="M43">
        <f>region_summary__43[[#This Row],[REJECTED BY Admin Kabupaten]]+region_summary__43[[#This Row],[REJECTED BY Pengawas]]</f>
        <v>1</v>
      </c>
    </row>
    <row r="44" spans="1:13" x14ac:dyDescent="0.25">
      <c r="A44" s="5" t="s">
        <v>9</v>
      </c>
      <c r="B44">
        <v>7172010009001500</v>
      </c>
      <c r="C44">
        <v>44</v>
      </c>
      <c r="D44">
        <v>0</v>
      </c>
      <c r="E44">
        <v>0</v>
      </c>
      <c r="F44">
        <v>0</v>
      </c>
      <c r="G44">
        <v>40</v>
      </c>
      <c r="H44">
        <v>0</v>
      </c>
      <c r="I44">
        <v>0</v>
      </c>
      <c r="J44">
        <v>0</v>
      </c>
      <c r="K44">
        <v>4</v>
      </c>
      <c r="L44">
        <v>0</v>
      </c>
      <c r="M44">
        <f>region_summary__43[[#This Row],[REJECTED BY Admin Kabupaten]]+region_summary__43[[#This Row],[REJECTED BY Pengawas]]</f>
        <v>0</v>
      </c>
    </row>
    <row r="45" spans="1:13" x14ac:dyDescent="0.25">
      <c r="A45" s="5" t="s">
        <v>9</v>
      </c>
      <c r="B45">
        <v>7172010009001600</v>
      </c>
      <c r="C45">
        <v>42</v>
      </c>
      <c r="D45">
        <v>0</v>
      </c>
      <c r="E45">
        <v>0</v>
      </c>
      <c r="F45">
        <v>0</v>
      </c>
      <c r="G45">
        <v>41</v>
      </c>
      <c r="H45">
        <v>0</v>
      </c>
      <c r="I45">
        <v>0</v>
      </c>
      <c r="J45">
        <v>0</v>
      </c>
      <c r="K45">
        <v>1</v>
      </c>
      <c r="L45">
        <v>0</v>
      </c>
      <c r="M45">
        <f>region_summary__43[[#This Row],[REJECTED BY Admin Kabupaten]]+region_summary__43[[#This Row],[REJECTED BY Pengawas]]</f>
        <v>0</v>
      </c>
    </row>
    <row r="46" spans="1:13" x14ac:dyDescent="0.25">
      <c r="A46" s="5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region_summary__43[[#This Row],[REJECTED BY Admin Kabupaten]]+region_summary__43[[#This Row],[REJECTED BY Pengawas]]</f>
        <v>0</v>
      </c>
    </row>
    <row r="47" spans="1:13" x14ac:dyDescent="0.25">
      <c r="A47" s="5" t="s">
        <v>9</v>
      </c>
      <c r="B47">
        <v>7172010009000800</v>
      </c>
      <c r="C47">
        <v>36</v>
      </c>
      <c r="D47">
        <v>33</v>
      </c>
      <c r="E47">
        <v>0</v>
      </c>
      <c r="F47">
        <v>0</v>
      </c>
      <c r="G47">
        <v>1</v>
      </c>
      <c r="H47">
        <v>0</v>
      </c>
      <c r="I47">
        <v>1</v>
      </c>
      <c r="J47">
        <v>0</v>
      </c>
      <c r="K47">
        <v>1</v>
      </c>
      <c r="L47">
        <v>0</v>
      </c>
      <c r="M47">
        <f>region_summary__43[[#This Row],[REJECTED BY Admin Kabupaten]]+region_summary__43[[#This Row],[REJECTED BY Pengawas]]</f>
        <v>1</v>
      </c>
    </row>
    <row r="48" spans="1:13" x14ac:dyDescent="0.25">
      <c r="A48" s="5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region_summary__43[[#This Row],[REJECTED BY Admin Kabupaten]]+region_summary__43[[#This Row],[REJECTED BY Pengawas]]</f>
        <v>0</v>
      </c>
    </row>
    <row r="49" spans="1:13" x14ac:dyDescent="0.25">
      <c r="A49" s="5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region_summary__43[[#This Row],[REJECTED BY Admin Kabupaten]]+region_summary__43[[#This Row],[REJECTED BY Pengawas]]</f>
        <v>0</v>
      </c>
    </row>
    <row r="50" spans="1:13" x14ac:dyDescent="0.25">
      <c r="A50" s="5" t="s">
        <v>12</v>
      </c>
      <c r="B50">
        <v>7172010010000600</v>
      </c>
      <c r="C50">
        <v>89</v>
      </c>
      <c r="D50">
        <v>78</v>
      </c>
      <c r="E50">
        <v>0</v>
      </c>
      <c r="F50">
        <v>0</v>
      </c>
      <c r="G50">
        <v>10</v>
      </c>
      <c r="H50">
        <v>0</v>
      </c>
      <c r="I50">
        <v>1</v>
      </c>
      <c r="J50">
        <v>0</v>
      </c>
      <c r="K50">
        <v>0</v>
      </c>
      <c r="L50">
        <v>0</v>
      </c>
      <c r="M50">
        <f>region_summary__43[[#This Row],[REJECTED BY Admin Kabupaten]]+region_summary__43[[#This Row],[REJECTED BY Pengawas]]</f>
        <v>1</v>
      </c>
    </row>
    <row r="51" spans="1:13" x14ac:dyDescent="0.25">
      <c r="A51" s="5" t="s">
        <v>12</v>
      </c>
      <c r="B51">
        <v>7172010010001500</v>
      </c>
      <c r="C51">
        <v>75</v>
      </c>
      <c r="D51">
        <v>70</v>
      </c>
      <c r="E51">
        <v>0</v>
      </c>
      <c r="F51">
        <v>1</v>
      </c>
      <c r="G51">
        <v>4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region_summary__43[[#This Row],[REJECTED BY Admin Kabupaten]]+region_summary__43[[#This Row],[REJECTED BY Pengawas]]</f>
        <v>0</v>
      </c>
    </row>
    <row r="52" spans="1:13" x14ac:dyDescent="0.25">
      <c r="A52" s="5" t="s">
        <v>12</v>
      </c>
      <c r="B52">
        <v>7172010010001200</v>
      </c>
      <c r="C52">
        <v>66</v>
      </c>
      <c r="D52">
        <v>0</v>
      </c>
      <c r="E52">
        <v>0</v>
      </c>
      <c r="F52">
        <v>0</v>
      </c>
      <c r="G52">
        <v>66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region_summary__43[[#This Row],[REJECTED BY Admin Kabupaten]]+region_summary__43[[#This Row],[REJECTED BY Pengawas]]</f>
        <v>0</v>
      </c>
    </row>
    <row r="53" spans="1:13" x14ac:dyDescent="0.25">
      <c r="A53" s="5" t="s">
        <v>12</v>
      </c>
      <c r="B53">
        <v>7172010010000800</v>
      </c>
      <c r="C53">
        <v>65</v>
      </c>
      <c r="D53">
        <v>0</v>
      </c>
      <c r="E53">
        <v>1</v>
      </c>
      <c r="F53">
        <v>0</v>
      </c>
      <c r="G53">
        <v>64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region_summary__43[[#This Row],[REJECTED BY Admin Kabupaten]]+region_summary__43[[#This Row],[REJECTED BY Pengawas]]</f>
        <v>0</v>
      </c>
    </row>
    <row r="54" spans="1:13" x14ac:dyDescent="0.25">
      <c r="A54" s="5" t="s">
        <v>12</v>
      </c>
      <c r="B54">
        <v>7172010010000700</v>
      </c>
      <c r="C54">
        <v>64</v>
      </c>
      <c r="D54">
        <v>28</v>
      </c>
      <c r="E54">
        <v>5</v>
      </c>
      <c r="F54">
        <v>1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region_summary__43[[#This Row],[REJECTED BY Admin Kabupaten]]+region_summary__43[[#This Row],[REJECTED BY Pengawas]]</f>
        <v>0</v>
      </c>
    </row>
    <row r="55" spans="1:13" x14ac:dyDescent="0.25">
      <c r="A55" s="5" t="s">
        <v>12</v>
      </c>
      <c r="B55">
        <v>7172010010001100</v>
      </c>
      <c r="C55">
        <v>53</v>
      </c>
      <c r="D55">
        <v>48</v>
      </c>
      <c r="E55">
        <v>0</v>
      </c>
      <c r="F55">
        <v>0</v>
      </c>
      <c r="G55">
        <v>4</v>
      </c>
      <c r="H55">
        <v>0</v>
      </c>
      <c r="I55">
        <v>0</v>
      </c>
      <c r="J55">
        <v>0</v>
      </c>
      <c r="K55">
        <v>1</v>
      </c>
      <c r="L55">
        <v>0</v>
      </c>
      <c r="M55">
        <f>region_summary__43[[#This Row],[REJECTED BY Admin Kabupaten]]+region_summary__43[[#This Row],[REJECTED BY Pengawas]]</f>
        <v>0</v>
      </c>
    </row>
    <row r="56" spans="1:13" x14ac:dyDescent="0.25">
      <c r="A56" s="5" t="s">
        <v>12</v>
      </c>
      <c r="B56">
        <v>7172010010001400</v>
      </c>
      <c r="C56">
        <v>53</v>
      </c>
      <c r="D56">
        <v>37</v>
      </c>
      <c r="E56">
        <v>3</v>
      </c>
      <c r="F56">
        <v>1</v>
      </c>
      <c r="G56">
        <v>2</v>
      </c>
      <c r="H56">
        <v>0</v>
      </c>
      <c r="I56">
        <v>0</v>
      </c>
      <c r="J56">
        <v>1</v>
      </c>
      <c r="K56">
        <v>9</v>
      </c>
      <c r="L56">
        <v>0</v>
      </c>
      <c r="M56">
        <f>region_summary__43[[#This Row],[REJECTED BY Admin Kabupaten]]+region_summary__43[[#This Row],[REJECTED BY Pengawas]]</f>
        <v>0</v>
      </c>
    </row>
    <row r="57" spans="1:13" x14ac:dyDescent="0.25">
      <c r="A57" s="5" t="s">
        <v>12</v>
      </c>
      <c r="B57">
        <v>7172010010001300</v>
      </c>
      <c r="C57">
        <v>49</v>
      </c>
      <c r="D57">
        <v>0</v>
      </c>
      <c r="E57">
        <v>0</v>
      </c>
      <c r="F57">
        <v>0</v>
      </c>
      <c r="G57">
        <v>49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region_summary__43[[#This Row],[REJECTED BY Admin Kabupaten]]+region_summary__43[[#This Row],[REJECTED BY Pengawas]]</f>
        <v>0</v>
      </c>
    </row>
    <row r="58" spans="1:13" x14ac:dyDescent="0.25">
      <c r="A58" s="5" t="s">
        <v>12</v>
      </c>
      <c r="B58">
        <v>7172010010001000</v>
      </c>
      <c r="C58">
        <v>32</v>
      </c>
      <c r="D58">
        <v>0</v>
      </c>
      <c r="E58">
        <v>1</v>
      </c>
      <c r="F58">
        <v>0</v>
      </c>
      <c r="G58">
        <v>31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region_summary__43[[#This Row],[REJECTED BY Admin Kabupaten]]+region_summary__43[[#This Row],[REJECTED BY Pengawas]]</f>
        <v>0</v>
      </c>
    </row>
    <row r="59" spans="1:13" x14ac:dyDescent="0.25">
      <c r="A59" s="5" t="s">
        <v>12</v>
      </c>
      <c r="B59">
        <v>7172010010000900</v>
      </c>
      <c r="C59">
        <v>23</v>
      </c>
      <c r="D59">
        <v>0</v>
      </c>
      <c r="E59">
        <v>0</v>
      </c>
      <c r="F59">
        <v>0</v>
      </c>
      <c r="G59">
        <v>23</v>
      </c>
      <c r="H59">
        <v>0</v>
      </c>
      <c r="I59">
        <v>0</v>
      </c>
      <c r="J59">
        <v>0</v>
      </c>
      <c r="K59">
        <v>0</v>
      </c>
      <c r="L59">
        <v>0</v>
      </c>
      <c r="M59">
        <f>region_summary__43[[#This Row],[REJECTED BY Admin Kabupaten]]+region_summary__43[[#This Row],[REJECTED BY Pengawas]]</f>
        <v>0</v>
      </c>
    </row>
    <row r="60" spans="1:13" x14ac:dyDescent="0.25">
      <c r="A60" s="5" t="s">
        <v>15</v>
      </c>
      <c r="B60">
        <v>7172010011002200</v>
      </c>
      <c r="C60">
        <v>89</v>
      </c>
      <c r="D60">
        <v>84</v>
      </c>
      <c r="E60">
        <v>1</v>
      </c>
      <c r="F60">
        <v>1</v>
      </c>
      <c r="G60">
        <v>3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region_summary__43[[#This Row],[REJECTED BY Admin Kabupaten]]+region_summary__43[[#This Row],[REJECTED BY Pengawas]]</f>
        <v>0</v>
      </c>
    </row>
    <row r="61" spans="1:13" x14ac:dyDescent="0.25">
      <c r="A61" s="5" t="s">
        <v>15</v>
      </c>
      <c r="B61">
        <v>7172010012000300</v>
      </c>
      <c r="C61">
        <v>82</v>
      </c>
      <c r="D61">
        <v>76</v>
      </c>
      <c r="E61">
        <v>0</v>
      </c>
      <c r="F61">
        <v>5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f>region_summary__43[[#This Row],[REJECTED BY Admin Kabupaten]]+region_summary__43[[#This Row],[REJECTED BY Pengawas]]</f>
        <v>1</v>
      </c>
    </row>
    <row r="62" spans="1:13" x14ac:dyDescent="0.25">
      <c r="A62" s="5" t="s">
        <v>15</v>
      </c>
      <c r="B62">
        <v>7172010012001000</v>
      </c>
      <c r="C62">
        <v>79</v>
      </c>
      <c r="D62">
        <v>63</v>
      </c>
      <c r="E62">
        <v>0</v>
      </c>
      <c r="F62">
        <v>0</v>
      </c>
      <c r="G62">
        <v>5</v>
      </c>
      <c r="H62">
        <v>0</v>
      </c>
      <c r="I62">
        <v>0</v>
      </c>
      <c r="J62">
        <v>0</v>
      </c>
      <c r="K62">
        <v>11</v>
      </c>
      <c r="L62">
        <v>0</v>
      </c>
      <c r="M62">
        <f>region_summary__43[[#This Row],[REJECTED BY Admin Kabupaten]]+region_summary__43[[#This Row],[REJECTED BY Pengawas]]</f>
        <v>0</v>
      </c>
    </row>
    <row r="63" spans="1:13" x14ac:dyDescent="0.25">
      <c r="A63" s="5" t="s">
        <v>15</v>
      </c>
      <c r="B63">
        <v>7172010012000700</v>
      </c>
      <c r="C63">
        <v>76</v>
      </c>
      <c r="D63">
        <v>70</v>
      </c>
      <c r="E63">
        <v>0</v>
      </c>
      <c r="F63">
        <v>4</v>
      </c>
      <c r="G63">
        <v>1</v>
      </c>
      <c r="H63">
        <v>1</v>
      </c>
      <c r="I63">
        <v>0</v>
      </c>
      <c r="J63">
        <v>0</v>
      </c>
      <c r="K63">
        <v>0</v>
      </c>
      <c r="L63">
        <v>0</v>
      </c>
      <c r="M63">
        <f>region_summary__43[[#This Row],[REJECTED BY Admin Kabupaten]]+region_summary__43[[#This Row],[REJECTED BY Pengawas]]</f>
        <v>1</v>
      </c>
    </row>
    <row r="64" spans="1:13" x14ac:dyDescent="0.25">
      <c r="A64" s="5" t="s">
        <v>15</v>
      </c>
      <c r="B64">
        <v>7172010012000500</v>
      </c>
      <c r="C64">
        <v>70</v>
      </c>
      <c r="D64">
        <v>48</v>
      </c>
      <c r="E64">
        <v>0</v>
      </c>
      <c r="F64">
        <v>10</v>
      </c>
      <c r="G64">
        <v>11</v>
      </c>
      <c r="H64">
        <v>1</v>
      </c>
      <c r="I64">
        <v>0</v>
      </c>
      <c r="J64">
        <v>0</v>
      </c>
      <c r="K64">
        <v>0</v>
      </c>
      <c r="L64">
        <v>0</v>
      </c>
      <c r="M64">
        <f>region_summary__43[[#This Row],[REJECTED BY Admin Kabupaten]]+region_summary__43[[#This Row],[REJECTED BY Pengawas]]</f>
        <v>1</v>
      </c>
    </row>
    <row r="65" spans="1:13" x14ac:dyDescent="0.25">
      <c r="A65" s="5" t="s">
        <v>15</v>
      </c>
      <c r="B65">
        <v>7172010012001100</v>
      </c>
      <c r="C65">
        <v>66</v>
      </c>
      <c r="D65">
        <v>0</v>
      </c>
      <c r="E65">
        <v>0</v>
      </c>
      <c r="F65">
        <v>0</v>
      </c>
      <c r="G65">
        <v>43</v>
      </c>
      <c r="H65">
        <v>0</v>
      </c>
      <c r="I65">
        <v>0</v>
      </c>
      <c r="J65">
        <v>0</v>
      </c>
      <c r="K65">
        <v>23</v>
      </c>
      <c r="L65">
        <v>0</v>
      </c>
      <c r="M65">
        <f>region_summary__43[[#This Row],[REJECTED BY Admin Kabupaten]]+region_summary__43[[#This Row],[REJECTED BY Pengawas]]</f>
        <v>0</v>
      </c>
    </row>
    <row r="66" spans="1:13" x14ac:dyDescent="0.25">
      <c r="A66" s="5" t="s">
        <v>15</v>
      </c>
      <c r="B66">
        <v>7172010012000100</v>
      </c>
      <c r="C66">
        <v>50</v>
      </c>
      <c r="D66">
        <v>41</v>
      </c>
      <c r="E66">
        <v>0</v>
      </c>
      <c r="F66">
        <v>0</v>
      </c>
      <c r="G66">
        <v>9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region_summary__43[[#This Row],[REJECTED BY Admin Kabupaten]]+region_summary__43[[#This Row],[REJECTED BY Pengawas]]</f>
        <v>0</v>
      </c>
    </row>
    <row r="67" spans="1:13" x14ac:dyDescent="0.25">
      <c r="A67" s="5" t="s">
        <v>15</v>
      </c>
      <c r="B67">
        <v>7172010012000200</v>
      </c>
      <c r="C67">
        <v>48</v>
      </c>
      <c r="D67">
        <v>47</v>
      </c>
      <c r="E67">
        <v>0</v>
      </c>
      <c r="F67">
        <v>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region_summary__43[[#This Row],[REJECTED BY Admin Kabupaten]]+region_summary__43[[#This Row],[REJECTED BY Pengawas]]</f>
        <v>0</v>
      </c>
    </row>
    <row r="68" spans="1:13" x14ac:dyDescent="0.25">
      <c r="A68" s="5" t="s">
        <v>15</v>
      </c>
      <c r="B68">
        <v>7172010012000400</v>
      </c>
      <c r="C68">
        <v>38</v>
      </c>
      <c r="D68">
        <v>21</v>
      </c>
      <c r="E68">
        <v>0</v>
      </c>
      <c r="F68">
        <v>10</v>
      </c>
      <c r="G68">
        <v>7</v>
      </c>
      <c r="H68">
        <v>0</v>
      </c>
      <c r="I68">
        <v>0</v>
      </c>
      <c r="J68">
        <v>0</v>
      </c>
      <c r="K68">
        <v>0</v>
      </c>
      <c r="L68">
        <v>0</v>
      </c>
      <c r="M68">
        <f>region_summary__43[[#This Row],[REJECTED BY Admin Kabupaten]]+region_summary__43[[#This Row],[REJECTED BY Pengawas]]</f>
        <v>0</v>
      </c>
    </row>
    <row r="69" spans="1:13" x14ac:dyDescent="0.25">
      <c r="A69" s="5" t="s">
        <v>15</v>
      </c>
      <c r="B69">
        <v>7172010012000600</v>
      </c>
      <c r="C69">
        <v>37</v>
      </c>
      <c r="D69">
        <v>0</v>
      </c>
      <c r="E69">
        <v>0</v>
      </c>
      <c r="F69">
        <v>0</v>
      </c>
      <c r="G69">
        <v>37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region_summary__43[[#This Row],[REJECTED BY Admin Kabupaten]]+region_summary__43[[#This Row],[REJECTED BY Pengawas]]</f>
        <v>0</v>
      </c>
    </row>
    <row r="70" spans="1:13" x14ac:dyDescent="0.25">
      <c r="A70" s="5" t="s">
        <v>15</v>
      </c>
      <c r="B70">
        <v>7172010012001200</v>
      </c>
      <c r="C70">
        <v>36</v>
      </c>
      <c r="D70">
        <v>0</v>
      </c>
      <c r="E70">
        <v>0</v>
      </c>
      <c r="F70">
        <v>0</v>
      </c>
      <c r="G70">
        <v>35</v>
      </c>
      <c r="H70">
        <v>0</v>
      </c>
      <c r="I70">
        <v>0</v>
      </c>
      <c r="J70">
        <v>0</v>
      </c>
      <c r="K70">
        <v>1</v>
      </c>
      <c r="L70">
        <v>0</v>
      </c>
      <c r="M70">
        <f>region_summary__43[[#This Row],[REJECTED BY Admin Kabupaten]]+region_summary__43[[#This Row],[REJECTED BY Pengawas]]</f>
        <v>0</v>
      </c>
    </row>
    <row r="71" spans="1:13" x14ac:dyDescent="0.25">
      <c r="A71" s="5" t="s">
        <v>15</v>
      </c>
      <c r="B71">
        <v>7172010012000900</v>
      </c>
      <c r="C71">
        <v>32</v>
      </c>
      <c r="D71">
        <v>0</v>
      </c>
      <c r="E71">
        <v>0</v>
      </c>
      <c r="F71">
        <v>0</v>
      </c>
      <c r="G71">
        <v>32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region_summary__43[[#This Row],[REJECTED BY Admin Kabupaten]]+region_summary__43[[#This Row],[REJECTED BY Pengawas]]</f>
        <v>0</v>
      </c>
    </row>
    <row r="72" spans="1:13" x14ac:dyDescent="0.25">
      <c r="A72" s="5" t="s">
        <v>15</v>
      </c>
      <c r="B72">
        <v>7172010012000800</v>
      </c>
      <c r="C72">
        <v>23</v>
      </c>
      <c r="D72">
        <v>0</v>
      </c>
      <c r="E72">
        <v>0</v>
      </c>
      <c r="F72">
        <v>0</v>
      </c>
      <c r="G72">
        <v>23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region_summary__43[[#This Row],[REJECTED BY Admin Kabupaten]]+region_summary__43[[#This Row],[REJECTED BY Pengawas]]</f>
        <v>0</v>
      </c>
    </row>
    <row r="73" spans="1:13" x14ac:dyDescent="0.25">
      <c r="A73" s="5" t="s">
        <v>23</v>
      </c>
      <c r="B73">
        <v>7172010015003200</v>
      </c>
      <c r="C73">
        <v>178</v>
      </c>
      <c r="D73">
        <v>10</v>
      </c>
      <c r="E73">
        <v>21</v>
      </c>
      <c r="F73">
        <v>0</v>
      </c>
      <c r="G73">
        <v>133</v>
      </c>
      <c r="H73">
        <v>0</v>
      </c>
      <c r="I73">
        <v>0</v>
      </c>
      <c r="J73">
        <v>0</v>
      </c>
      <c r="K73">
        <v>14</v>
      </c>
      <c r="L73">
        <v>0</v>
      </c>
      <c r="M73">
        <f>region_summary__43[[#This Row],[REJECTED BY Admin Kabupaten]]+region_summary__43[[#This Row],[REJECTED BY Pengawas]]</f>
        <v>0</v>
      </c>
    </row>
    <row r="74" spans="1:13" x14ac:dyDescent="0.25">
      <c r="A74" s="5" t="s">
        <v>23</v>
      </c>
      <c r="B74">
        <v>7172010015003100</v>
      </c>
      <c r="C74">
        <v>146</v>
      </c>
      <c r="D74">
        <v>118</v>
      </c>
      <c r="E74">
        <v>4</v>
      </c>
      <c r="F74">
        <v>4</v>
      </c>
      <c r="G74">
        <v>18</v>
      </c>
      <c r="H74">
        <v>2</v>
      </c>
      <c r="I74">
        <v>0</v>
      </c>
      <c r="J74">
        <v>0</v>
      </c>
      <c r="K74">
        <v>0</v>
      </c>
      <c r="L74">
        <v>0</v>
      </c>
      <c r="M74">
        <f>region_summary__43[[#This Row],[REJECTED BY Admin Kabupaten]]+region_summary__43[[#This Row],[REJECTED BY Pengawas]]</f>
        <v>2</v>
      </c>
    </row>
    <row r="75" spans="1:13" x14ac:dyDescent="0.25">
      <c r="A75" s="5" t="s">
        <v>23</v>
      </c>
      <c r="B75">
        <v>7172010015002700</v>
      </c>
      <c r="C75">
        <v>101</v>
      </c>
      <c r="D75">
        <v>32</v>
      </c>
      <c r="E75">
        <v>2</v>
      </c>
      <c r="F75">
        <v>0</v>
      </c>
      <c r="G75">
        <v>66</v>
      </c>
      <c r="H75">
        <v>0</v>
      </c>
      <c r="I75">
        <v>0</v>
      </c>
      <c r="J75">
        <v>0</v>
      </c>
      <c r="K75">
        <v>1</v>
      </c>
      <c r="L75">
        <v>0</v>
      </c>
      <c r="M75">
        <f>region_summary__43[[#This Row],[REJECTED BY Admin Kabupaten]]+region_summary__43[[#This Row],[REJECTED BY Pengawas]]</f>
        <v>0</v>
      </c>
    </row>
    <row r="76" spans="1:13" x14ac:dyDescent="0.25">
      <c r="A76" s="5" t="s">
        <v>23</v>
      </c>
      <c r="B76">
        <v>7172010015002900</v>
      </c>
      <c r="C76">
        <v>89</v>
      </c>
      <c r="D76">
        <v>59</v>
      </c>
      <c r="E76">
        <v>1</v>
      </c>
      <c r="F76">
        <v>0</v>
      </c>
      <c r="G76">
        <v>24</v>
      </c>
      <c r="H76">
        <v>0</v>
      </c>
      <c r="I76">
        <v>0</v>
      </c>
      <c r="J76">
        <v>0</v>
      </c>
      <c r="K76">
        <v>5</v>
      </c>
      <c r="L76">
        <v>0</v>
      </c>
      <c r="M76">
        <f>region_summary__43[[#This Row],[REJECTED BY Admin Kabupaten]]+region_summary__43[[#This Row],[REJECTED BY Pengawas]]</f>
        <v>0</v>
      </c>
    </row>
    <row r="77" spans="1:13" x14ac:dyDescent="0.25">
      <c r="A77" s="5" t="s">
        <v>23</v>
      </c>
      <c r="B77">
        <v>7172010015003000</v>
      </c>
      <c r="C77">
        <v>69</v>
      </c>
      <c r="D77">
        <v>37</v>
      </c>
      <c r="E77">
        <v>6</v>
      </c>
      <c r="F77">
        <v>0</v>
      </c>
      <c r="G77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region_summary__43[[#This Row],[REJECTED BY Admin Kabupaten]]+region_summary__43[[#This Row],[REJECTED BY Pengawas]]</f>
        <v>0</v>
      </c>
    </row>
    <row r="78" spans="1:13" x14ac:dyDescent="0.25">
      <c r="A78" s="5" t="s">
        <v>23</v>
      </c>
      <c r="B78">
        <v>7172010015002800</v>
      </c>
      <c r="C78">
        <v>60</v>
      </c>
      <c r="D78">
        <v>36</v>
      </c>
      <c r="E78">
        <v>4</v>
      </c>
      <c r="F78">
        <v>0</v>
      </c>
      <c r="G78">
        <v>19</v>
      </c>
      <c r="H78">
        <v>0</v>
      </c>
      <c r="I78">
        <v>0</v>
      </c>
      <c r="J78">
        <v>0</v>
      </c>
      <c r="K78">
        <v>1</v>
      </c>
      <c r="L78">
        <v>0</v>
      </c>
      <c r="M78">
        <f>region_summary__43[[#This Row],[REJECTED BY Admin Kabupaten]]+region_summary__43[[#This Row],[REJECTED BY Pengawas]]</f>
        <v>0</v>
      </c>
    </row>
    <row r="79" spans="1:13" x14ac:dyDescent="0.25">
      <c r="A79" s="5" t="s">
        <v>23</v>
      </c>
      <c r="B79">
        <v>7172010015001200</v>
      </c>
      <c r="C79">
        <v>39</v>
      </c>
      <c r="D79">
        <v>19</v>
      </c>
      <c r="E79">
        <v>0</v>
      </c>
      <c r="F79">
        <v>0</v>
      </c>
      <c r="G79">
        <v>20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region_summary__43[[#This Row],[REJECTED BY Admin Kabupaten]]+region_summary__43[[#This Row],[REJECTED BY Pengawas]]</f>
        <v>0</v>
      </c>
    </row>
    <row r="80" spans="1:13" x14ac:dyDescent="0.25">
      <c r="A80" s="5" t="s">
        <v>237</v>
      </c>
      <c r="B80">
        <v>7172010017001200</v>
      </c>
      <c r="C80">
        <v>167</v>
      </c>
      <c r="D80">
        <v>159</v>
      </c>
      <c r="E80">
        <v>3</v>
      </c>
      <c r="F80">
        <v>1</v>
      </c>
      <c r="G80">
        <v>0</v>
      </c>
      <c r="H80">
        <v>3</v>
      </c>
      <c r="I80">
        <v>1</v>
      </c>
      <c r="J80">
        <v>0</v>
      </c>
      <c r="K80">
        <v>0</v>
      </c>
      <c r="L80">
        <v>0</v>
      </c>
      <c r="M80">
        <f>region_summary__43[[#This Row],[REJECTED BY Admin Kabupaten]]+region_summary__43[[#This Row],[REJECTED BY Pengawas]]</f>
        <v>4</v>
      </c>
    </row>
    <row r="81" spans="1:13" x14ac:dyDescent="0.25">
      <c r="A81" s="5" t="s">
        <v>237</v>
      </c>
      <c r="B81">
        <v>7172010017000800</v>
      </c>
      <c r="C81">
        <v>98</v>
      </c>
      <c r="D81">
        <v>95</v>
      </c>
      <c r="E81">
        <v>0</v>
      </c>
      <c r="F81">
        <v>1</v>
      </c>
      <c r="G81">
        <v>0</v>
      </c>
      <c r="H81">
        <v>2</v>
      </c>
      <c r="I81">
        <v>0</v>
      </c>
      <c r="J81">
        <v>0</v>
      </c>
      <c r="K81">
        <v>0</v>
      </c>
      <c r="L81">
        <v>0</v>
      </c>
      <c r="M81">
        <f>region_summary__43[[#This Row],[REJECTED BY Admin Kabupaten]]+region_summary__43[[#This Row],[REJECTED BY Pengawas]]</f>
        <v>2</v>
      </c>
    </row>
    <row r="82" spans="1:13" x14ac:dyDescent="0.25">
      <c r="A82" s="5" t="s">
        <v>237</v>
      </c>
      <c r="B82">
        <v>7172010017001100</v>
      </c>
      <c r="C82">
        <v>82</v>
      </c>
      <c r="D82">
        <v>9</v>
      </c>
      <c r="E82">
        <v>3</v>
      </c>
      <c r="F82">
        <v>0</v>
      </c>
      <c r="G82">
        <v>69</v>
      </c>
      <c r="H82">
        <v>0</v>
      </c>
      <c r="I82">
        <v>0</v>
      </c>
      <c r="J82">
        <v>0</v>
      </c>
      <c r="K82">
        <v>1</v>
      </c>
      <c r="L82">
        <v>0</v>
      </c>
      <c r="M82">
        <f>region_summary__43[[#This Row],[REJECTED BY Admin Kabupaten]]+region_summary__43[[#This Row],[REJECTED BY Pengawas]]</f>
        <v>0</v>
      </c>
    </row>
    <row r="83" spans="1:13" x14ac:dyDescent="0.25">
      <c r="A83" s="5" t="s">
        <v>237</v>
      </c>
      <c r="B83">
        <v>7172010017001400</v>
      </c>
      <c r="C83">
        <v>60</v>
      </c>
      <c r="D83">
        <v>0</v>
      </c>
      <c r="E83">
        <v>0</v>
      </c>
      <c r="F83">
        <v>0</v>
      </c>
      <c r="G83">
        <v>60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region_summary__43[[#This Row],[REJECTED BY Admin Kabupaten]]+region_summary__43[[#This Row],[REJECTED BY Pengawas]]</f>
        <v>0</v>
      </c>
    </row>
    <row r="84" spans="1:13" x14ac:dyDescent="0.25">
      <c r="A84" s="5" t="s">
        <v>237</v>
      </c>
      <c r="B84">
        <v>7172010017000700</v>
      </c>
      <c r="C84">
        <v>55</v>
      </c>
      <c r="D84">
        <v>0</v>
      </c>
      <c r="E84">
        <v>0</v>
      </c>
      <c r="F84">
        <v>0</v>
      </c>
      <c r="G84">
        <v>55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region_summary__43[[#This Row],[REJECTED BY Admin Kabupaten]]+region_summary__43[[#This Row],[REJECTED BY Pengawas]]</f>
        <v>0</v>
      </c>
    </row>
    <row r="85" spans="1:13" x14ac:dyDescent="0.25">
      <c r="A85" s="5" t="s">
        <v>237</v>
      </c>
      <c r="B85">
        <v>7172010017000900</v>
      </c>
      <c r="C85">
        <v>55</v>
      </c>
      <c r="D85">
        <v>0</v>
      </c>
      <c r="E85">
        <v>0</v>
      </c>
      <c r="F85">
        <v>0</v>
      </c>
      <c r="G85">
        <v>55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region_summary__43[[#This Row],[REJECTED BY Admin Kabupaten]]+region_summary__43[[#This Row],[REJECTED BY Pengawas]]</f>
        <v>0</v>
      </c>
    </row>
    <row r="86" spans="1:13" x14ac:dyDescent="0.25">
      <c r="A86" s="5" t="s">
        <v>237</v>
      </c>
      <c r="B86">
        <v>7172010017001000</v>
      </c>
      <c r="C86">
        <v>48</v>
      </c>
      <c r="D86">
        <v>6</v>
      </c>
      <c r="E86">
        <v>22</v>
      </c>
      <c r="F86">
        <v>0</v>
      </c>
      <c r="G86">
        <v>10</v>
      </c>
      <c r="H86">
        <v>0</v>
      </c>
      <c r="I86">
        <v>0</v>
      </c>
      <c r="J86">
        <v>0</v>
      </c>
      <c r="K86">
        <v>10</v>
      </c>
      <c r="L86">
        <v>0</v>
      </c>
      <c r="M86">
        <f>region_summary__43[[#This Row],[REJECTED BY Admin Kabupaten]]+region_summary__43[[#This Row],[REJECTED BY Pengawas]]</f>
        <v>0</v>
      </c>
    </row>
    <row r="87" spans="1:13" x14ac:dyDescent="0.25">
      <c r="A87" s="5" t="s">
        <v>237</v>
      </c>
      <c r="B87">
        <v>7172010017000500</v>
      </c>
      <c r="C87">
        <v>47</v>
      </c>
      <c r="D87">
        <v>0</v>
      </c>
      <c r="E87">
        <v>0</v>
      </c>
      <c r="F87">
        <v>0</v>
      </c>
      <c r="G87">
        <v>47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region_summary__43[[#This Row],[REJECTED BY Admin Kabupaten]]+region_summary__43[[#This Row],[REJECTED BY Pengawas]]</f>
        <v>0</v>
      </c>
    </row>
    <row r="88" spans="1:13" x14ac:dyDescent="0.25">
      <c r="A88" s="5" t="s">
        <v>237</v>
      </c>
      <c r="B88">
        <v>7172010017000600</v>
      </c>
      <c r="C88">
        <v>38</v>
      </c>
      <c r="D88">
        <v>0</v>
      </c>
      <c r="E88">
        <v>0</v>
      </c>
      <c r="F88">
        <v>0</v>
      </c>
      <c r="G88">
        <v>38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region_summary__43[[#This Row],[REJECTED BY Admin Kabupaten]]+region_summary__43[[#This Row],[REJECTED BY Pengawas]]</f>
        <v>0</v>
      </c>
    </row>
    <row r="89" spans="1:13" x14ac:dyDescent="0.25">
      <c r="A89" s="5" t="s">
        <v>14</v>
      </c>
      <c r="B89">
        <v>7172010011001900</v>
      </c>
      <c r="C89">
        <v>63</v>
      </c>
      <c r="D89">
        <v>0</v>
      </c>
      <c r="E89">
        <v>0</v>
      </c>
      <c r="F89">
        <v>0</v>
      </c>
      <c r="G89">
        <v>63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region_summary__43[[#This Row],[REJECTED BY Admin Kabupaten]]+region_summary__43[[#This Row],[REJECTED BY Pengawas]]</f>
        <v>0</v>
      </c>
    </row>
    <row r="90" spans="1:13" x14ac:dyDescent="0.25">
      <c r="A90" s="5" t="s">
        <v>14</v>
      </c>
      <c r="B90">
        <v>7172010011002000</v>
      </c>
      <c r="C90">
        <v>63</v>
      </c>
      <c r="D90">
        <v>0</v>
      </c>
      <c r="E90">
        <v>0</v>
      </c>
      <c r="F90">
        <v>0</v>
      </c>
      <c r="G90">
        <v>63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region_summary__43[[#This Row],[REJECTED BY Admin Kabupaten]]+region_summary__43[[#This Row],[REJECTED BY Pengawas]]</f>
        <v>0</v>
      </c>
    </row>
    <row r="91" spans="1:13" x14ac:dyDescent="0.25">
      <c r="A91" s="5" t="s">
        <v>14</v>
      </c>
      <c r="B91">
        <v>7172010011000700</v>
      </c>
      <c r="C91">
        <v>61</v>
      </c>
      <c r="D91">
        <v>59</v>
      </c>
      <c r="E91">
        <v>0</v>
      </c>
      <c r="F91">
        <v>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region_summary__43[[#This Row],[REJECTED BY Admin Kabupaten]]+region_summary__43[[#This Row],[REJECTED BY Pengawas]]</f>
        <v>0</v>
      </c>
    </row>
    <row r="92" spans="1:13" x14ac:dyDescent="0.25">
      <c r="A92" s="5" t="s">
        <v>14</v>
      </c>
      <c r="B92">
        <v>7172010011001800</v>
      </c>
      <c r="C92">
        <v>61</v>
      </c>
      <c r="D92">
        <v>59</v>
      </c>
      <c r="E92">
        <v>0</v>
      </c>
      <c r="F92">
        <v>0</v>
      </c>
      <c r="G92">
        <v>1</v>
      </c>
      <c r="H92">
        <v>0</v>
      </c>
      <c r="I92">
        <v>0</v>
      </c>
      <c r="J92">
        <v>0</v>
      </c>
      <c r="K92">
        <v>1</v>
      </c>
      <c r="L92">
        <v>0</v>
      </c>
      <c r="M92">
        <f>region_summary__43[[#This Row],[REJECTED BY Admin Kabupaten]]+region_summary__43[[#This Row],[REJECTED BY Pengawas]]</f>
        <v>0</v>
      </c>
    </row>
    <row r="93" spans="1:13" x14ac:dyDescent="0.25">
      <c r="A93" s="5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region_summary__43[[#This Row],[REJECTED BY Admin Kabupaten]]+region_summary__43[[#This Row],[REJECTED BY Pengawas]]</f>
        <v>0</v>
      </c>
    </row>
    <row r="94" spans="1:13" x14ac:dyDescent="0.25">
      <c r="A94" s="5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f>region_summary__43[[#This Row],[REJECTED BY Admin Kabupaten]]+region_summary__43[[#This Row],[REJECTED BY Pengawas]]</f>
        <v>0</v>
      </c>
    </row>
    <row r="95" spans="1:13" x14ac:dyDescent="0.25">
      <c r="A95" s="5" t="s">
        <v>14</v>
      </c>
      <c r="B95">
        <v>7172010011002100</v>
      </c>
      <c r="C95">
        <v>39</v>
      </c>
      <c r="D95">
        <v>0</v>
      </c>
      <c r="E95">
        <v>0</v>
      </c>
      <c r="F95">
        <v>0</v>
      </c>
      <c r="G95">
        <v>39</v>
      </c>
      <c r="H95">
        <v>0</v>
      </c>
      <c r="I95">
        <v>0</v>
      </c>
      <c r="J95">
        <v>0</v>
      </c>
      <c r="K95">
        <v>0</v>
      </c>
      <c r="L95">
        <v>0</v>
      </c>
      <c r="M95">
        <f>region_summary__43[[#This Row],[REJECTED BY Admin Kabupaten]]+region_summary__43[[#This Row],[REJECTED BY Pengawas]]</f>
        <v>0</v>
      </c>
    </row>
    <row r="96" spans="1:13" x14ac:dyDescent="0.25">
      <c r="A96" s="5" t="s">
        <v>14</v>
      </c>
      <c r="B96">
        <v>7172010011001200</v>
      </c>
      <c r="C96">
        <v>37</v>
      </c>
      <c r="D96">
        <v>36</v>
      </c>
      <c r="E96">
        <v>1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region_summary__43[[#This Row],[REJECTED BY Admin Kabupaten]]+region_summary__43[[#This Row],[REJECTED BY Pengawas]]</f>
        <v>0</v>
      </c>
    </row>
    <row r="97" spans="1:13" x14ac:dyDescent="0.25">
      <c r="A97" s="5" t="s">
        <v>14</v>
      </c>
      <c r="B97">
        <v>7172010011001700</v>
      </c>
      <c r="C97">
        <v>37</v>
      </c>
      <c r="D97">
        <v>0</v>
      </c>
      <c r="E97">
        <v>0</v>
      </c>
      <c r="F97">
        <v>0</v>
      </c>
      <c r="G97">
        <v>37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region_summary__43[[#This Row],[REJECTED BY Admin Kabupaten]]+region_summary__43[[#This Row],[REJECTED BY Pengawas]]</f>
        <v>0</v>
      </c>
    </row>
    <row r="98" spans="1:13" x14ac:dyDescent="0.25">
      <c r="A98" s="5" t="s">
        <v>14</v>
      </c>
      <c r="B98">
        <v>7172010011000900</v>
      </c>
      <c r="C98">
        <v>36</v>
      </c>
      <c r="D98">
        <v>21</v>
      </c>
      <c r="E98">
        <v>1</v>
      </c>
      <c r="F98">
        <v>0</v>
      </c>
      <c r="G98">
        <v>5</v>
      </c>
      <c r="H98">
        <v>0</v>
      </c>
      <c r="I98">
        <v>0</v>
      </c>
      <c r="J98">
        <v>0</v>
      </c>
      <c r="K98">
        <v>9</v>
      </c>
      <c r="L98">
        <v>0</v>
      </c>
      <c r="M98">
        <f>region_summary__43[[#This Row],[REJECTED BY Admin Kabupaten]]+region_summary__43[[#This Row],[REJECTED BY Pengawas]]</f>
        <v>0</v>
      </c>
    </row>
    <row r="99" spans="1:13" x14ac:dyDescent="0.25">
      <c r="A99" s="5" t="s">
        <v>14</v>
      </c>
      <c r="B99">
        <v>7172010011001500</v>
      </c>
      <c r="C99">
        <v>35</v>
      </c>
      <c r="D99">
        <v>0</v>
      </c>
      <c r="E99">
        <v>0</v>
      </c>
      <c r="F99">
        <v>0</v>
      </c>
      <c r="G99">
        <v>35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region_summary__43[[#This Row],[REJECTED BY Admin Kabupaten]]+region_summary__43[[#This Row],[REJECTED BY Pengawas]]</f>
        <v>0</v>
      </c>
    </row>
    <row r="100" spans="1:13" x14ac:dyDescent="0.25">
      <c r="A100" s="5" t="s">
        <v>14</v>
      </c>
      <c r="B100">
        <v>7172010011001000</v>
      </c>
      <c r="C100">
        <v>33</v>
      </c>
      <c r="D100">
        <v>0</v>
      </c>
      <c r="E100">
        <v>0</v>
      </c>
      <c r="F100">
        <v>0</v>
      </c>
      <c r="G100">
        <v>33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region_summary__43[[#This Row],[REJECTED BY Admin Kabupaten]]+region_summary__43[[#This Row],[REJECTED BY Pengawas]]</f>
        <v>0</v>
      </c>
    </row>
    <row r="101" spans="1:13" x14ac:dyDescent="0.25">
      <c r="A101" s="5" t="s">
        <v>14</v>
      </c>
      <c r="B101">
        <v>7172010011001100</v>
      </c>
      <c r="C101">
        <v>31</v>
      </c>
      <c r="D101">
        <v>0</v>
      </c>
      <c r="E101">
        <v>0</v>
      </c>
      <c r="F101">
        <v>0</v>
      </c>
      <c r="G101">
        <v>31</v>
      </c>
      <c r="H101">
        <v>0</v>
      </c>
      <c r="I101">
        <v>0</v>
      </c>
      <c r="J101">
        <v>0</v>
      </c>
      <c r="K101">
        <v>0</v>
      </c>
      <c r="L101">
        <v>0</v>
      </c>
      <c r="M101">
        <f>region_summary__43[[#This Row],[REJECTED BY Admin Kabupaten]]+region_summary__43[[#This Row],[REJECTED BY Pengawas]]</f>
        <v>0</v>
      </c>
    </row>
    <row r="102" spans="1:13" x14ac:dyDescent="0.25">
      <c r="A102" s="5" t="s">
        <v>14</v>
      </c>
      <c r="B102">
        <v>7172010011001600</v>
      </c>
      <c r="C102">
        <v>28</v>
      </c>
      <c r="D102">
        <v>0</v>
      </c>
      <c r="E102">
        <v>0</v>
      </c>
      <c r="F102">
        <v>0</v>
      </c>
      <c r="G102">
        <v>28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region_summary__43[[#This Row],[REJECTED BY Admin Kabupaten]]+region_summary__43[[#This Row],[REJECTED BY Pengawas]]</f>
        <v>0</v>
      </c>
    </row>
    <row r="103" spans="1:13" x14ac:dyDescent="0.25">
      <c r="A103" s="5" t="s">
        <v>14</v>
      </c>
      <c r="B103">
        <v>7172010011001300</v>
      </c>
      <c r="C103">
        <v>23</v>
      </c>
      <c r="D103">
        <v>21</v>
      </c>
      <c r="E103">
        <v>0</v>
      </c>
      <c r="F103">
        <v>1</v>
      </c>
      <c r="G103">
        <v>1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region_summary__43[[#This Row],[REJECTED BY Admin Kabupaten]]+region_summary__43[[#This Row],[REJECTED BY Pengawas]]</f>
        <v>0</v>
      </c>
    </row>
    <row r="104" spans="1:13" x14ac:dyDescent="0.25">
      <c r="A104" s="5" t="s">
        <v>21</v>
      </c>
      <c r="B104">
        <v>7172010015001800</v>
      </c>
      <c r="C104">
        <v>150</v>
      </c>
      <c r="D104">
        <v>0</v>
      </c>
      <c r="E104">
        <v>1</v>
      </c>
      <c r="F104">
        <v>0</v>
      </c>
      <c r="G104">
        <v>139</v>
      </c>
      <c r="H104">
        <v>0</v>
      </c>
      <c r="I104">
        <v>0</v>
      </c>
      <c r="J104">
        <v>0</v>
      </c>
      <c r="K104">
        <v>10</v>
      </c>
      <c r="L104">
        <v>0</v>
      </c>
      <c r="M104">
        <f>region_summary__43[[#This Row],[REJECTED BY Admin Kabupaten]]+region_summary__43[[#This Row],[REJECTED BY Pengawas]]</f>
        <v>0</v>
      </c>
    </row>
    <row r="105" spans="1:13" x14ac:dyDescent="0.25">
      <c r="A105" s="5" t="s">
        <v>21</v>
      </c>
      <c r="B105">
        <v>7172010015001600</v>
      </c>
      <c r="C105">
        <v>140</v>
      </c>
      <c r="D105">
        <v>125</v>
      </c>
      <c r="E105">
        <v>0</v>
      </c>
      <c r="F105">
        <v>6</v>
      </c>
      <c r="G105">
        <v>4</v>
      </c>
      <c r="H105">
        <v>0</v>
      </c>
      <c r="I105">
        <v>0</v>
      </c>
      <c r="J105">
        <v>0</v>
      </c>
      <c r="K105">
        <v>5</v>
      </c>
      <c r="L105">
        <v>0</v>
      </c>
      <c r="M105">
        <f>region_summary__43[[#This Row],[REJECTED BY Admin Kabupaten]]+region_summary__43[[#This Row],[REJECTED BY Pengawas]]</f>
        <v>0</v>
      </c>
    </row>
    <row r="106" spans="1:13" x14ac:dyDescent="0.25">
      <c r="A106" s="5" t="s">
        <v>21</v>
      </c>
      <c r="B106">
        <v>7172010015001500</v>
      </c>
      <c r="C106">
        <v>118</v>
      </c>
      <c r="D106">
        <v>112</v>
      </c>
      <c r="E106">
        <v>0</v>
      </c>
      <c r="F106">
        <v>5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0</v>
      </c>
      <c r="M106">
        <f>region_summary__43[[#This Row],[REJECTED BY Admin Kabupaten]]+region_summary__43[[#This Row],[REJECTED BY Pengawas]]</f>
        <v>1</v>
      </c>
    </row>
    <row r="107" spans="1:13" x14ac:dyDescent="0.25">
      <c r="A107" s="5" t="s">
        <v>21</v>
      </c>
      <c r="B107">
        <v>7172010015001900</v>
      </c>
      <c r="C107">
        <v>87</v>
      </c>
      <c r="D107">
        <v>0</v>
      </c>
      <c r="E107">
        <v>0</v>
      </c>
      <c r="F107">
        <v>0</v>
      </c>
      <c r="G107">
        <v>87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region_summary__43[[#This Row],[REJECTED BY Admin Kabupaten]]+region_summary__43[[#This Row],[REJECTED BY Pengawas]]</f>
        <v>0</v>
      </c>
    </row>
    <row r="108" spans="1:13" x14ac:dyDescent="0.25">
      <c r="A108" s="5" t="s">
        <v>21</v>
      </c>
      <c r="B108">
        <v>7172010015001700</v>
      </c>
      <c r="C108">
        <v>68</v>
      </c>
      <c r="D108">
        <v>66</v>
      </c>
      <c r="E108">
        <v>0</v>
      </c>
      <c r="F108">
        <v>0</v>
      </c>
      <c r="G108">
        <v>1</v>
      </c>
      <c r="H108">
        <v>0</v>
      </c>
      <c r="I108">
        <v>0</v>
      </c>
      <c r="J108">
        <v>0</v>
      </c>
      <c r="K108">
        <v>1</v>
      </c>
      <c r="L108">
        <v>0</v>
      </c>
      <c r="M108">
        <f>region_summary__43[[#This Row],[REJECTED BY Admin Kabupaten]]+region_summary__43[[#This Row],[REJECTED BY Pengawas]]</f>
        <v>0</v>
      </c>
    </row>
    <row r="109" spans="1:13" x14ac:dyDescent="0.25">
      <c r="A109" s="5" t="s">
        <v>21</v>
      </c>
      <c r="B109">
        <v>7172010015002000</v>
      </c>
      <c r="C109">
        <v>64</v>
      </c>
      <c r="D109">
        <v>0</v>
      </c>
      <c r="E109">
        <v>0</v>
      </c>
      <c r="F109">
        <v>0</v>
      </c>
      <c r="G109">
        <v>64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region_summary__43[[#This Row],[REJECTED BY Admin Kabupaten]]+region_summary__43[[#This Row],[REJECTED BY Pengawas]]</f>
        <v>0</v>
      </c>
    </row>
    <row r="110" spans="1:13" x14ac:dyDescent="0.25">
      <c r="A110" s="5" t="s">
        <v>21</v>
      </c>
      <c r="B110">
        <v>7172010015001000</v>
      </c>
      <c r="C110">
        <v>37</v>
      </c>
      <c r="D110">
        <v>0</v>
      </c>
      <c r="E110">
        <v>0</v>
      </c>
      <c r="F110">
        <v>0</v>
      </c>
      <c r="G110">
        <v>37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region_summary__43[[#This Row],[REJECTED BY Admin Kabupaten]]+region_summary__43[[#This Row],[REJECTED BY Pengawas]]</f>
        <v>0</v>
      </c>
    </row>
    <row r="111" spans="1:13" x14ac:dyDescent="0.25">
      <c r="A111" s="5" t="s">
        <v>27</v>
      </c>
      <c r="B111">
        <v>7172011001000700</v>
      </c>
      <c r="C111">
        <v>178</v>
      </c>
      <c r="D111">
        <v>135</v>
      </c>
      <c r="E111">
        <v>1</v>
      </c>
      <c r="F111">
        <v>4</v>
      </c>
      <c r="G111">
        <v>37</v>
      </c>
      <c r="H111">
        <v>0</v>
      </c>
      <c r="I111">
        <v>0</v>
      </c>
      <c r="J111">
        <v>0</v>
      </c>
      <c r="K111">
        <v>1</v>
      </c>
      <c r="L111">
        <v>0</v>
      </c>
      <c r="M111">
        <f>region_summary__43[[#This Row],[REJECTED BY Admin Kabupaten]]+region_summary__43[[#This Row],[REJECTED BY Pengawas]]</f>
        <v>0</v>
      </c>
    </row>
    <row r="112" spans="1:13" x14ac:dyDescent="0.25">
      <c r="A112" s="5" t="s">
        <v>27</v>
      </c>
      <c r="B112">
        <v>7172011002000600</v>
      </c>
      <c r="C112">
        <v>176</v>
      </c>
      <c r="D112">
        <v>133</v>
      </c>
      <c r="E112">
        <v>7</v>
      </c>
      <c r="F112">
        <v>8</v>
      </c>
      <c r="G112">
        <v>27</v>
      </c>
      <c r="H112">
        <v>0</v>
      </c>
      <c r="I112">
        <v>0</v>
      </c>
      <c r="J112">
        <v>1</v>
      </c>
      <c r="K112">
        <v>0</v>
      </c>
      <c r="L112">
        <v>0</v>
      </c>
      <c r="M112">
        <f>region_summary__43[[#This Row],[REJECTED BY Admin Kabupaten]]+region_summary__43[[#This Row],[REJECTED BY Pengawas]]</f>
        <v>0</v>
      </c>
    </row>
    <row r="113" spans="1:13" x14ac:dyDescent="0.25">
      <c r="A113" s="5" t="s">
        <v>27</v>
      </c>
      <c r="B113">
        <v>7172011002000900</v>
      </c>
      <c r="C113">
        <v>151</v>
      </c>
      <c r="D113">
        <v>92</v>
      </c>
      <c r="E113">
        <v>5</v>
      </c>
      <c r="F113">
        <v>1</v>
      </c>
      <c r="G113">
        <v>46</v>
      </c>
      <c r="H113">
        <v>0</v>
      </c>
      <c r="I113">
        <v>0</v>
      </c>
      <c r="J113">
        <v>0</v>
      </c>
      <c r="K113">
        <v>7</v>
      </c>
      <c r="L113">
        <v>0</v>
      </c>
      <c r="M113">
        <f>region_summary__43[[#This Row],[REJECTED BY Admin Kabupaten]]+region_summary__43[[#This Row],[REJECTED BY Pengawas]]</f>
        <v>0</v>
      </c>
    </row>
    <row r="114" spans="1:13" x14ac:dyDescent="0.25">
      <c r="A114" s="5" t="s">
        <v>27</v>
      </c>
      <c r="B114">
        <v>7172011001000900</v>
      </c>
      <c r="C114">
        <v>76</v>
      </c>
      <c r="D114">
        <v>0</v>
      </c>
      <c r="E114">
        <v>0</v>
      </c>
      <c r="F114">
        <v>0</v>
      </c>
      <c r="G114">
        <v>76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region_summary__43[[#This Row],[REJECTED BY Admin Kabupaten]]+region_summary__43[[#This Row],[REJECTED BY Pengawas]]</f>
        <v>0</v>
      </c>
    </row>
    <row r="115" spans="1:13" x14ac:dyDescent="0.25">
      <c r="A115" s="5" t="s">
        <v>27</v>
      </c>
      <c r="B115">
        <v>7172011001000800</v>
      </c>
      <c r="C115">
        <v>67</v>
      </c>
      <c r="D115">
        <v>0</v>
      </c>
      <c r="E115">
        <v>0</v>
      </c>
      <c r="F115">
        <v>0</v>
      </c>
      <c r="G115">
        <v>67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region_summary__43[[#This Row],[REJECTED BY Admin Kabupaten]]+region_summary__43[[#This Row],[REJECTED BY Pengawas]]</f>
        <v>0</v>
      </c>
    </row>
    <row r="116" spans="1:13" x14ac:dyDescent="0.25">
      <c r="A116" s="5" t="s">
        <v>27</v>
      </c>
      <c r="B116">
        <v>7172011002001000</v>
      </c>
      <c r="C116">
        <v>47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region_summary__43[[#This Row],[REJECTED BY Admin Kabupaten]]+region_summary__43[[#This Row],[REJECTED BY Pengawas]]</f>
        <v>0</v>
      </c>
    </row>
    <row r="117" spans="1:13" x14ac:dyDescent="0.25">
      <c r="A117" s="5" t="s">
        <v>27</v>
      </c>
      <c r="B117">
        <v>7172011002001100</v>
      </c>
      <c r="C117">
        <v>44</v>
      </c>
      <c r="D117">
        <v>0</v>
      </c>
      <c r="E117">
        <v>0</v>
      </c>
      <c r="F117">
        <v>0</v>
      </c>
      <c r="G117">
        <v>44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region_summary__43[[#This Row],[REJECTED BY Admin Kabupaten]]+region_summary__43[[#This Row],[REJECTED BY Pengawas]]</f>
        <v>0</v>
      </c>
    </row>
    <row r="118" spans="1:13" x14ac:dyDescent="0.25">
      <c r="A118" s="5" t="s">
        <v>29</v>
      </c>
      <c r="B118">
        <v>7172011002001600</v>
      </c>
      <c r="C118">
        <v>138</v>
      </c>
      <c r="D118">
        <v>109</v>
      </c>
      <c r="E118">
        <v>3</v>
      </c>
      <c r="F118">
        <v>2</v>
      </c>
      <c r="G118">
        <v>18</v>
      </c>
      <c r="H118">
        <v>5</v>
      </c>
      <c r="I118">
        <v>1</v>
      </c>
      <c r="J118">
        <v>0</v>
      </c>
      <c r="K118">
        <v>0</v>
      </c>
      <c r="L118">
        <v>0</v>
      </c>
      <c r="M118">
        <f>region_summary__43[[#This Row],[REJECTED BY Admin Kabupaten]]+region_summary__43[[#This Row],[REJECTED BY Pengawas]]</f>
        <v>6</v>
      </c>
    </row>
    <row r="119" spans="1:13" x14ac:dyDescent="0.25">
      <c r="A119" s="5" t="s">
        <v>29</v>
      </c>
      <c r="B119">
        <v>7172011002001200</v>
      </c>
      <c r="C119">
        <v>118</v>
      </c>
      <c r="D119">
        <v>78</v>
      </c>
      <c r="E119">
        <v>7</v>
      </c>
      <c r="F119">
        <v>1</v>
      </c>
      <c r="G119">
        <v>31</v>
      </c>
      <c r="H119">
        <v>0</v>
      </c>
      <c r="I119">
        <v>1</v>
      </c>
      <c r="J119">
        <v>0</v>
      </c>
      <c r="K119">
        <v>0</v>
      </c>
      <c r="L119">
        <v>0</v>
      </c>
      <c r="M119">
        <f>region_summary__43[[#This Row],[REJECTED BY Admin Kabupaten]]+region_summary__43[[#This Row],[REJECTED BY Pengawas]]</f>
        <v>1</v>
      </c>
    </row>
    <row r="120" spans="1:13" x14ac:dyDescent="0.25">
      <c r="A120" s="5" t="s">
        <v>29</v>
      </c>
      <c r="B120">
        <v>7172011002001500</v>
      </c>
      <c r="C120">
        <v>98</v>
      </c>
      <c r="D120">
        <v>40</v>
      </c>
      <c r="E120">
        <v>9</v>
      </c>
      <c r="F120">
        <v>0</v>
      </c>
      <c r="G120">
        <v>37</v>
      </c>
      <c r="H120">
        <v>0</v>
      </c>
      <c r="I120">
        <v>0</v>
      </c>
      <c r="J120">
        <v>0</v>
      </c>
      <c r="K120">
        <v>12</v>
      </c>
      <c r="L120">
        <v>0</v>
      </c>
      <c r="M120">
        <f>region_summary__43[[#This Row],[REJECTED BY Admin Kabupaten]]+region_summary__43[[#This Row],[REJECTED BY Pengawas]]</f>
        <v>0</v>
      </c>
    </row>
    <row r="121" spans="1:13" x14ac:dyDescent="0.25">
      <c r="A121" s="5" t="s">
        <v>29</v>
      </c>
      <c r="B121">
        <v>7172011002001400</v>
      </c>
      <c r="C121">
        <v>97</v>
      </c>
      <c r="D121">
        <v>57</v>
      </c>
      <c r="E121">
        <v>3</v>
      </c>
      <c r="F121">
        <v>0</v>
      </c>
      <c r="G121">
        <v>34</v>
      </c>
      <c r="H121">
        <v>1</v>
      </c>
      <c r="I121">
        <v>2</v>
      </c>
      <c r="J121">
        <v>0</v>
      </c>
      <c r="K121">
        <v>0</v>
      </c>
      <c r="L121">
        <v>0</v>
      </c>
      <c r="M121">
        <f>region_summary__43[[#This Row],[REJECTED BY Admin Kabupaten]]+region_summary__43[[#This Row],[REJECTED BY Pengawas]]</f>
        <v>3</v>
      </c>
    </row>
    <row r="122" spans="1:13" x14ac:dyDescent="0.25">
      <c r="A122" s="5" t="s">
        <v>29</v>
      </c>
      <c r="B122">
        <v>7172011011000500</v>
      </c>
      <c r="C122">
        <v>89</v>
      </c>
      <c r="D122">
        <v>78</v>
      </c>
      <c r="E122">
        <v>5</v>
      </c>
      <c r="F122">
        <v>4</v>
      </c>
      <c r="G122">
        <v>0</v>
      </c>
      <c r="H122">
        <v>0</v>
      </c>
      <c r="I122">
        <v>2</v>
      </c>
      <c r="J122">
        <v>0</v>
      </c>
      <c r="K122">
        <v>0</v>
      </c>
      <c r="L122">
        <v>0</v>
      </c>
      <c r="M122">
        <f>region_summary__43[[#This Row],[REJECTED BY Admin Kabupaten]]+region_summary__43[[#This Row],[REJECTED BY Pengawas]]</f>
        <v>2</v>
      </c>
    </row>
    <row r="123" spans="1:13" x14ac:dyDescent="0.25">
      <c r="A123" s="5" t="s">
        <v>29</v>
      </c>
      <c r="B123">
        <v>7172011011000400</v>
      </c>
      <c r="C123">
        <v>71</v>
      </c>
      <c r="D123">
        <v>0</v>
      </c>
      <c r="E123">
        <v>0</v>
      </c>
      <c r="F123">
        <v>0</v>
      </c>
      <c r="G123">
        <v>71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region_summary__43[[#This Row],[REJECTED BY Admin Kabupaten]]+region_summary__43[[#This Row],[REJECTED BY Pengawas]]</f>
        <v>0</v>
      </c>
    </row>
    <row r="124" spans="1:13" x14ac:dyDescent="0.25">
      <c r="A124" s="5" t="s">
        <v>29</v>
      </c>
      <c r="B124">
        <v>7172011002001300</v>
      </c>
      <c r="C124">
        <v>58</v>
      </c>
      <c r="D124">
        <v>0</v>
      </c>
      <c r="E124">
        <v>0</v>
      </c>
      <c r="F124">
        <v>0</v>
      </c>
      <c r="G124">
        <v>58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region_summary__43[[#This Row],[REJECTED BY Admin Kabupaten]]+region_summary__43[[#This Row],[REJECTED BY Pengawas]]</f>
        <v>0</v>
      </c>
    </row>
    <row r="125" spans="1:13" x14ac:dyDescent="0.25">
      <c r="A125" s="5" t="s">
        <v>29</v>
      </c>
      <c r="B125">
        <v>7172011011000300</v>
      </c>
      <c r="C125">
        <v>50</v>
      </c>
      <c r="D125">
        <v>0</v>
      </c>
      <c r="E125">
        <v>0</v>
      </c>
      <c r="F125">
        <v>0</v>
      </c>
      <c r="G125">
        <v>50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f>region_summary__43[[#This Row],[REJECTED BY Admin Kabupaten]]+region_summary__43[[#This Row],[REJECTED BY Pengawas]]</f>
        <v>0</v>
      </c>
    </row>
    <row r="126" spans="1:13" x14ac:dyDescent="0.25">
      <c r="A126" s="5" t="s">
        <v>29</v>
      </c>
      <c r="B126">
        <v>7172011011000200</v>
      </c>
      <c r="C126">
        <v>38</v>
      </c>
      <c r="D126">
        <v>1</v>
      </c>
      <c r="E126">
        <v>0</v>
      </c>
      <c r="F126">
        <v>0</v>
      </c>
      <c r="G126">
        <v>37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region_summary__43[[#This Row],[REJECTED BY Admin Kabupaten]]+region_summary__43[[#This Row],[REJECTED BY Pengawas]]</f>
        <v>0</v>
      </c>
    </row>
    <row r="127" spans="1:13" x14ac:dyDescent="0.25">
      <c r="A127" s="5" t="s">
        <v>29</v>
      </c>
      <c r="B127">
        <v>7172011011000100</v>
      </c>
      <c r="C127">
        <v>27</v>
      </c>
      <c r="D127">
        <v>0</v>
      </c>
      <c r="E127">
        <v>0</v>
      </c>
      <c r="F127">
        <v>0</v>
      </c>
      <c r="G127">
        <v>27</v>
      </c>
      <c r="H127">
        <v>0</v>
      </c>
      <c r="I127">
        <v>0</v>
      </c>
      <c r="J127">
        <v>0</v>
      </c>
      <c r="K127">
        <v>0</v>
      </c>
      <c r="L127">
        <v>0</v>
      </c>
      <c r="M127">
        <f>region_summary__43[[#This Row],[REJECTED BY Admin Kabupaten]]+region_summary__43[[#This Row],[REJECTED BY Pengawas]]</f>
        <v>0</v>
      </c>
    </row>
    <row r="128" spans="1:13" x14ac:dyDescent="0.25">
      <c r="A128" s="5" t="s">
        <v>30</v>
      </c>
      <c r="B128">
        <v>7172011003001803</v>
      </c>
      <c r="C128">
        <v>166</v>
      </c>
      <c r="D128">
        <v>125</v>
      </c>
      <c r="E128">
        <v>0</v>
      </c>
      <c r="F128">
        <v>0</v>
      </c>
      <c r="G128">
        <v>15</v>
      </c>
      <c r="H128">
        <v>0</v>
      </c>
      <c r="I128">
        <v>0</v>
      </c>
      <c r="J128">
        <v>0</v>
      </c>
      <c r="K128">
        <v>26</v>
      </c>
      <c r="L128">
        <v>0</v>
      </c>
      <c r="M128">
        <f>region_summary__43[[#This Row],[REJECTED BY Admin Kabupaten]]+region_summary__43[[#This Row],[REJECTED BY Pengawas]]</f>
        <v>0</v>
      </c>
    </row>
    <row r="129" spans="1:13" x14ac:dyDescent="0.25">
      <c r="A129" s="5" t="s">
        <v>30</v>
      </c>
      <c r="B129">
        <v>7172011003000400</v>
      </c>
      <c r="C129">
        <v>150</v>
      </c>
      <c r="D129">
        <v>67</v>
      </c>
      <c r="E129">
        <v>7</v>
      </c>
      <c r="F129">
        <v>0</v>
      </c>
      <c r="G129">
        <v>60</v>
      </c>
      <c r="H129">
        <v>0</v>
      </c>
      <c r="I129">
        <v>0</v>
      </c>
      <c r="J129">
        <v>0</v>
      </c>
      <c r="K129">
        <v>16</v>
      </c>
      <c r="L129">
        <v>0</v>
      </c>
      <c r="M129">
        <f>region_summary__43[[#This Row],[REJECTED BY Admin Kabupaten]]+region_summary__43[[#This Row],[REJECTED BY Pengawas]]</f>
        <v>0</v>
      </c>
    </row>
    <row r="130" spans="1:13" x14ac:dyDescent="0.25">
      <c r="A130" s="5" t="s">
        <v>30</v>
      </c>
      <c r="B130">
        <v>7172011003000700</v>
      </c>
      <c r="C130">
        <v>142</v>
      </c>
      <c r="D130">
        <v>74</v>
      </c>
      <c r="E130">
        <v>0</v>
      </c>
      <c r="F130">
        <v>0</v>
      </c>
      <c r="G130">
        <v>54</v>
      </c>
      <c r="H130">
        <v>0</v>
      </c>
      <c r="I130">
        <v>0</v>
      </c>
      <c r="J130">
        <v>0</v>
      </c>
      <c r="K130">
        <v>14</v>
      </c>
      <c r="L130">
        <v>0</v>
      </c>
      <c r="M130">
        <f>region_summary__43[[#This Row],[REJECTED BY Admin Kabupaten]]+region_summary__43[[#This Row],[REJECTED BY Pengawas]]</f>
        <v>0</v>
      </c>
    </row>
    <row r="131" spans="1:13" x14ac:dyDescent="0.25">
      <c r="A131" s="5" t="s">
        <v>30</v>
      </c>
      <c r="B131">
        <v>7172011003000100</v>
      </c>
      <c r="C131">
        <v>121</v>
      </c>
      <c r="D131">
        <v>0</v>
      </c>
      <c r="E131">
        <v>0</v>
      </c>
      <c r="F131">
        <v>0</v>
      </c>
      <c r="G131">
        <v>121</v>
      </c>
      <c r="H131">
        <v>0</v>
      </c>
      <c r="I131">
        <v>0</v>
      </c>
      <c r="J131">
        <v>0</v>
      </c>
      <c r="K131">
        <v>0</v>
      </c>
      <c r="L131">
        <v>0</v>
      </c>
      <c r="M131">
        <f>region_summary__43[[#This Row],[REJECTED BY Admin Kabupaten]]+region_summary__43[[#This Row],[REJECTED BY Pengawas]]</f>
        <v>0</v>
      </c>
    </row>
    <row r="132" spans="1:13" x14ac:dyDescent="0.25">
      <c r="A132" s="5" t="s">
        <v>30</v>
      </c>
      <c r="B132">
        <v>7172011003000202</v>
      </c>
      <c r="C132">
        <v>90</v>
      </c>
      <c r="D132">
        <v>0</v>
      </c>
      <c r="E132">
        <v>0</v>
      </c>
      <c r="F132">
        <v>0</v>
      </c>
      <c r="G132">
        <v>90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region_summary__43[[#This Row],[REJECTED BY Admin Kabupaten]]+region_summary__43[[#This Row],[REJECTED BY Pengawas]]</f>
        <v>0</v>
      </c>
    </row>
    <row r="133" spans="1:13" x14ac:dyDescent="0.25">
      <c r="A133" s="5" t="s">
        <v>33</v>
      </c>
      <c r="B133">
        <v>7172011003003300</v>
      </c>
      <c r="C133">
        <v>124</v>
      </c>
      <c r="D133">
        <v>10</v>
      </c>
      <c r="E133">
        <v>0</v>
      </c>
      <c r="F133">
        <v>0</v>
      </c>
      <c r="G133">
        <v>114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region_summary__43[[#This Row],[REJECTED BY Admin Kabupaten]]+region_summary__43[[#This Row],[REJECTED BY Pengawas]]</f>
        <v>0</v>
      </c>
    </row>
    <row r="134" spans="1:13" x14ac:dyDescent="0.25">
      <c r="A134" s="5" t="s">
        <v>33</v>
      </c>
      <c r="B134">
        <v>7172011003003503</v>
      </c>
      <c r="C134">
        <v>123</v>
      </c>
      <c r="D134">
        <v>45</v>
      </c>
      <c r="E134">
        <v>14</v>
      </c>
      <c r="F134">
        <v>0</v>
      </c>
      <c r="G134">
        <v>64</v>
      </c>
      <c r="H134">
        <v>0</v>
      </c>
      <c r="I134">
        <v>0</v>
      </c>
      <c r="J134">
        <v>0</v>
      </c>
      <c r="K134">
        <v>0</v>
      </c>
      <c r="L134">
        <v>0</v>
      </c>
      <c r="M134">
        <f>region_summary__43[[#This Row],[REJECTED BY Admin Kabupaten]]+region_summary__43[[#This Row],[REJECTED BY Pengawas]]</f>
        <v>0</v>
      </c>
    </row>
    <row r="135" spans="1:13" x14ac:dyDescent="0.25">
      <c r="A135" s="5" t="s">
        <v>33</v>
      </c>
      <c r="B135">
        <v>7172011014001702</v>
      </c>
      <c r="C135">
        <v>119</v>
      </c>
      <c r="D135">
        <v>116</v>
      </c>
      <c r="E135">
        <v>2</v>
      </c>
      <c r="F135">
        <v>0</v>
      </c>
      <c r="G135">
        <v>0</v>
      </c>
      <c r="H135">
        <v>0</v>
      </c>
      <c r="I135">
        <v>0</v>
      </c>
      <c r="J135">
        <v>1</v>
      </c>
      <c r="K135">
        <v>0</v>
      </c>
      <c r="L135">
        <v>0</v>
      </c>
      <c r="M135">
        <f>region_summary__43[[#This Row],[REJECTED BY Admin Kabupaten]]+region_summary__43[[#This Row],[REJECTED BY Pengawas]]</f>
        <v>0</v>
      </c>
    </row>
    <row r="136" spans="1:13" x14ac:dyDescent="0.25">
      <c r="A136" s="5" t="s">
        <v>33</v>
      </c>
      <c r="B136">
        <v>7172011003003200</v>
      </c>
      <c r="C136">
        <v>116</v>
      </c>
      <c r="D136">
        <v>2</v>
      </c>
      <c r="E136">
        <v>2</v>
      </c>
      <c r="F136">
        <v>0</v>
      </c>
      <c r="G136">
        <v>112</v>
      </c>
      <c r="H136">
        <v>0</v>
      </c>
      <c r="I136">
        <v>0</v>
      </c>
      <c r="J136">
        <v>0</v>
      </c>
      <c r="K136">
        <v>0</v>
      </c>
      <c r="L136">
        <v>0</v>
      </c>
      <c r="M136">
        <f>region_summary__43[[#This Row],[REJECTED BY Admin Kabupaten]]+region_summary__43[[#This Row],[REJECTED BY Pengawas]]</f>
        <v>0</v>
      </c>
    </row>
    <row r="137" spans="1:13" x14ac:dyDescent="0.25">
      <c r="A137" s="5" t="s">
        <v>33</v>
      </c>
      <c r="B137">
        <v>7172011003000800</v>
      </c>
      <c r="C137">
        <v>88</v>
      </c>
      <c r="D137">
        <v>0</v>
      </c>
      <c r="E137">
        <v>0</v>
      </c>
      <c r="F137">
        <v>0</v>
      </c>
      <c r="G137">
        <v>88</v>
      </c>
      <c r="H137">
        <v>0</v>
      </c>
      <c r="I137">
        <v>0</v>
      </c>
      <c r="J137">
        <v>0</v>
      </c>
      <c r="K137">
        <v>0</v>
      </c>
      <c r="L137">
        <v>0</v>
      </c>
      <c r="M137">
        <f>region_summary__43[[#This Row],[REJECTED BY Admin Kabupaten]]+region_summary__43[[#This Row],[REJECTED BY Pengawas]]</f>
        <v>0</v>
      </c>
    </row>
    <row r="138" spans="1:13" x14ac:dyDescent="0.25">
      <c r="A138" s="5" t="s">
        <v>33</v>
      </c>
      <c r="B138">
        <v>7172011003003502</v>
      </c>
      <c r="C138">
        <v>73</v>
      </c>
      <c r="D138">
        <v>67</v>
      </c>
      <c r="E138">
        <v>5</v>
      </c>
      <c r="F138">
        <v>0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  <c r="M138">
        <f>region_summary__43[[#This Row],[REJECTED BY Admin Kabupaten]]+region_summary__43[[#This Row],[REJECTED BY Pengawas]]</f>
        <v>1</v>
      </c>
    </row>
    <row r="139" spans="1:13" x14ac:dyDescent="0.25">
      <c r="A139" s="5" t="s">
        <v>33</v>
      </c>
      <c r="B139">
        <v>7172011003003400</v>
      </c>
      <c r="C139">
        <v>67</v>
      </c>
      <c r="D139">
        <v>50</v>
      </c>
      <c r="E139">
        <v>0</v>
      </c>
      <c r="F139">
        <v>0</v>
      </c>
      <c r="G139">
        <v>15</v>
      </c>
      <c r="H139">
        <v>0</v>
      </c>
      <c r="I139">
        <v>2</v>
      </c>
      <c r="J139">
        <v>0</v>
      </c>
      <c r="K139">
        <v>0</v>
      </c>
      <c r="L139">
        <v>0</v>
      </c>
      <c r="M139">
        <f>region_summary__43[[#This Row],[REJECTED BY Admin Kabupaten]]+region_summary__43[[#This Row],[REJECTED BY Pengawas]]</f>
        <v>2</v>
      </c>
    </row>
    <row r="140" spans="1:13" x14ac:dyDescent="0.25">
      <c r="A140" s="5" t="s">
        <v>51</v>
      </c>
      <c r="B140">
        <v>7172012001000500</v>
      </c>
      <c r="C140">
        <v>188</v>
      </c>
      <c r="D140">
        <v>168</v>
      </c>
      <c r="E140">
        <v>2</v>
      </c>
      <c r="F140">
        <v>0</v>
      </c>
      <c r="G140">
        <v>4</v>
      </c>
      <c r="H140">
        <v>0</v>
      </c>
      <c r="I140">
        <v>11</v>
      </c>
      <c r="J140">
        <v>1</v>
      </c>
      <c r="K140">
        <v>2</v>
      </c>
      <c r="L140">
        <v>0</v>
      </c>
      <c r="M140">
        <f>region_summary__43[[#This Row],[REJECTED BY Admin Kabupaten]]+region_summary__43[[#This Row],[REJECTED BY Pengawas]]</f>
        <v>11</v>
      </c>
    </row>
    <row r="141" spans="1:13" x14ac:dyDescent="0.25">
      <c r="A141" s="5" t="s">
        <v>51</v>
      </c>
      <c r="B141">
        <v>7172012001001001</v>
      </c>
      <c r="C141">
        <v>163</v>
      </c>
      <c r="D141">
        <v>26</v>
      </c>
      <c r="E141">
        <v>0</v>
      </c>
      <c r="F141">
        <v>0</v>
      </c>
      <c r="G141">
        <v>74</v>
      </c>
      <c r="H141">
        <v>0</v>
      </c>
      <c r="I141">
        <v>0</v>
      </c>
      <c r="J141">
        <v>0</v>
      </c>
      <c r="K141">
        <v>63</v>
      </c>
      <c r="L141">
        <v>0</v>
      </c>
      <c r="M141">
        <f>region_summary__43[[#This Row],[REJECTED BY Admin Kabupaten]]+region_summary__43[[#This Row],[REJECTED BY Pengawas]]</f>
        <v>0</v>
      </c>
    </row>
    <row r="142" spans="1:13" x14ac:dyDescent="0.25">
      <c r="A142" s="5" t="s">
        <v>51</v>
      </c>
      <c r="B142">
        <v>7172012001000601</v>
      </c>
      <c r="C142">
        <v>142</v>
      </c>
      <c r="D142">
        <v>0</v>
      </c>
      <c r="E142">
        <v>0</v>
      </c>
      <c r="F142">
        <v>0</v>
      </c>
      <c r="G142">
        <v>142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region_summary__43[[#This Row],[REJECTED BY Admin Kabupaten]]+region_summary__43[[#This Row],[REJECTED BY Pengawas]]</f>
        <v>0</v>
      </c>
    </row>
    <row r="143" spans="1:13" x14ac:dyDescent="0.25">
      <c r="A143" s="5" t="s">
        <v>55</v>
      </c>
      <c r="B143">
        <v>7172012006001800</v>
      </c>
      <c r="C143">
        <v>163</v>
      </c>
      <c r="D143">
        <v>141</v>
      </c>
      <c r="E143">
        <v>3</v>
      </c>
      <c r="F143">
        <v>0</v>
      </c>
      <c r="G143">
        <v>10</v>
      </c>
      <c r="H143">
        <v>0</v>
      </c>
      <c r="I143">
        <v>0</v>
      </c>
      <c r="J143">
        <v>0</v>
      </c>
      <c r="K143">
        <v>9</v>
      </c>
      <c r="L143">
        <v>0</v>
      </c>
      <c r="M143">
        <f>region_summary__43[[#This Row],[REJECTED BY Admin Kabupaten]]+region_summary__43[[#This Row],[REJECTED BY Pengawas]]</f>
        <v>0</v>
      </c>
    </row>
    <row r="144" spans="1:13" x14ac:dyDescent="0.25">
      <c r="A144" s="5" t="s">
        <v>55</v>
      </c>
      <c r="B144">
        <v>7172012006001700</v>
      </c>
      <c r="C144">
        <v>145</v>
      </c>
      <c r="D144">
        <v>20</v>
      </c>
      <c r="E144">
        <v>3</v>
      </c>
      <c r="F144">
        <v>0</v>
      </c>
      <c r="G144">
        <v>119</v>
      </c>
      <c r="H144">
        <v>0</v>
      </c>
      <c r="I144">
        <v>0</v>
      </c>
      <c r="J144">
        <v>0</v>
      </c>
      <c r="K144">
        <v>3</v>
      </c>
      <c r="L144">
        <v>0</v>
      </c>
      <c r="M144">
        <f>region_summary__43[[#This Row],[REJECTED BY Admin Kabupaten]]+region_summary__43[[#This Row],[REJECTED BY Pengawas]]</f>
        <v>0</v>
      </c>
    </row>
    <row r="145" spans="1:13" x14ac:dyDescent="0.25">
      <c r="A145" s="5" t="s">
        <v>55</v>
      </c>
      <c r="B145">
        <v>7172012006001900</v>
      </c>
      <c r="C145">
        <v>132</v>
      </c>
      <c r="D145">
        <v>33</v>
      </c>
      <c r="E145">
        <v>0</v>
      </c>
      <c r="F145">
        <v>0</v>
      </c>
      <c r="G145">
        <v>98</v>
      </c>
      <c r="H145">
        <v>0</v>
      </c>
      <c r="I145">
        <v>0</v>
      </c>
      <c r="J145">
        <v>0</v>
      </c>
      <c r="K145">
        <v>1</v>
      </c>
      <c r="L145">
        <v>0</v>
      </c>
      <c r="M145">
        <f>region_summary__43[[#This Row],[REJECTED BY Admin Kabupaten]]+region_summary__43[[#This Row],[REJECTED BY Pengawas]]</f>
        <v>0</v>
      </c>
    </row>
    <row r="146" spans="1:13" x14ac:dyDescent="0.25">
      <c r="A146" s="5" t="s">
        <v>55</v>
      </c>
      <c r="B146">
        <v>7172012006001400</v>
      </c>
      <c r="C146">
        <v>107</v>
      </c>
      <c r="D146">
        <v>59</v>
      </c>
      <c r="E146">
        <v>0</v>
      </c>
      <c r="F146">
        <v>0</v>
      </c>
      <c r="G146">
        <v>44</v>
      </c>
      <c r="H146">
        <v>0</v>
      </c>
      <c r="I146">
        <v>0</v>
      </c>
      <c r="J146">
        <v>0</v>
      </c>
      <c r="K146">
        <v>4</v>
      </c>
      <c r="L146">
        <v>0</v>
      </c>
      <c r="M146">
        <f>region_summary__43[[#This Row],[REJECTED BY Admin Kabupaten]]+region_summary__43[[#This Row],[REJECTED BY Pengawas]]</f>
        <v>0</v>
      </c>
    </row>
    <row r="147" spans="1:13" x14ac:dyDescent="0.25">
      <c r="A147" s="5" t="s">
        <v>55</v>
      </c>
      <c r="B147">
        <v>7172012002001200</v>
      </c>
      <c r="C147">
        <v>55</v>
      </c>
      <c r="D147">
        <v>4</v>
      </c>
      <c r="E147">
        <v>2</v>
      </c>
      <c r="F147">
        <v>0</v>
      </c>
      <c r="G147">
        <v>48</v>
      </c>
      <c r="H147">
        <v>0</v>
      </c>
      <c r="I147">
        <v>0</v>
      </c>
      <c r="J147">
        <v>0</v>
      </c>
      <c r="K147">
        <v>1</v>
      </c>
      <c r="L147">
        <v>0</v>
      </c>
      <c r="M147">
        <f>region_summary__43[[#This Row],[REJECTED BY Admin Kabupaten]]+region_summary__43[[#This Row],[REJECTED BY Pengawas]]</f>
        <v>0</v>
      </c>
    </row>
    <row r="148" spans="1:13" x14ac:dyDescent="0.25">
      <c r="A148" s="5" t="s">
        <v>58</v>
      </c>
      <c r="B148">
        <v>7172012003000400</v>
      </c>
      <c r="C148">
        <v>141</v>
      </c>
      <c r="D148">
        <v>111</v>
      </c>
      <c r="E148">
        <v>6</v>
      </c>
      <c r="F148">
        <v>2</v>
      </c>
      <c r="G148">
        <v>17</v>
      </c>
      <c r="H148">
        <v>0</v>
      </c>
      <c r="I148">
        <v>0</v>
      </c>
      <c r="J148">
        <v>0</v>
      </c>
      <c r="K148">
        <v>5</v>
      </c>
      <c r="L148">
        <v>0</v>
      </c>
      <c r="M148">
        <f>region_summary__43[[#This Row],[REJECTED BY Admin Kabupaten]]+region_summary__43[[#This Row],[REJECTED BY Pengawas]]</f>
        <v>0</v>
      </c>
    </row>
    <row r="149" spans="1:13" x14ac:dyDescent="0.25">
      <c r="A149" s="5" t="s">
        <v>58</v>
      </c>
      <c r="B149">
        <v>7172012004000300</v>
      </c>
      <c r="C149">
        <v>109</v>
      </c>
      <c r="D149">
        <v>0</v>
      </c>
      <c r="E149">
        <v>0</v>
      </c>
      <c r="F149">
        <v>0</v>
      </c>
      <c r="G149">
        <v>109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region_summary__43[[#This Row],[REJECTED BY Admin Kabupaten]]+region_summary__43[[#This Row],[REJECTED BY Pengawas]]</f>
        <v>0</v>
      </c>
    </row>
    <row r="150" spans="1:13" x14ac:dyDescent="0.25">
      <c r="A150" s="5" t="s">
        <v>58</v>
      </c>
      <c r="B150">
        <v>7172012004000100</v>
      </c>
      <c r="C150">
        <v>100</v>
      </c>
      <c r="D150">
        <v>0</v>
      </c>
      <c r="E150">
        <v>0</v>
      </c>
      <c r="F150">
        <v>0</v>
      </c>
      <c r="G150">
        <v>100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region_summary__43[[#This Row],[REJECTED BY Admin Kabupaten]]+region_summary__43[[#This Row],[REJECTED BY Pengawas]]</f>
        <v>0</v>
      </c>
    </row>
    <row r="151" spans="1:13" x14ac:dyDescent="0.25">
      <c r="A151" s="5" t="s">
        <v>58</v>
      </c>
      <c r="B151">
        <v>7172012003000700</v>
      </c>
      <c r="C151">
        <v>74</v>
      </c>
      <c r="D151">
        <v>9</v>
      </c>
      <c r="E151">
        <v>4</v>
      </c>
      <c r="F151">
        <v>0</v>
      </c>
      <c r="G151">
        <v>42</v>
      </c>
      <c r="H151">
        <v>0</v>
      </c>
      <c r="I151">
        <v>0</v>
      </c>
      <c r="J151">
        <v>0</v>
      </c>
      <c r="K151">
        <v>19</v>
      </c>
      <c r="L151">
        <v>0</v>
      </c>
      <c r="M151">
        <f>region_summary__43[[#This Row],[REJECTED BY Admin Kabupaten]]+region_summary__43[[#This Row],[REJECTED BY Pengawas]]</f>
        <v>0</v>
      </c>
    </row>
    <row r="152" spans="1:13" x14ac:dyDescent="0.25">
      <c r="A152" s="5" t="s">
        <v>58</v>
      </c>
      <c r="B152">
        <v>7172012003000300</v>
      </c>
      <c r="C152">
        <v>73</v>
      </c>
      <c r="D152">
        <v>68</v>
      </c>
      <c r="E152">
        <v>1</v>
      </c>
      <c r="F152">
        <v>0</v>
      </c>
      <c r="G152">
        <v>4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region_summary__43[[#This Row],[REJECTED BY Admin Kabupaten]]+region_summary__43[[#This Row],[REJECTED BY Pengawas]]</f>
        <v>0</v>
      </c>
    </row>
    <row r="153" spans="1:13" x14ac:dyDescent="0.25">
      <c r="A153" s="5" t="s">
        <v>58</v>
      </c>
      <c r="B153">
        <v>7172012003000200</v>
      </c>
      <c r="C153">
        <v>66</v>
      </c>
      <c r="D153">
        <v>58</v>
      </c>
      <c r="E153">
        <v>2</v>
      </c>
      <c r="F153">
        <v>1</v>
      </c>
      <c r="G153">
        <v>2</v>
      </c>
      <c r="H153">
        <v>0</v>
      </c>
      <c r="I153">
        <v>0</v>
      </c>
      <c r="J153">
        <v>0</v>
      </c>
      <c r="K153">
        <v>3</v>
      </c>
      <c r="L153">
        <v>0</v>
      </c>
      <c r="M153">
        <f>region_summary__43[[#This Row],[REJECTED BY Admin Kabupaten]]+region_summary__43[[#This Row],[REJECTED BY Pengawas]]</f>
        <v>0</v>
      </c>
    </row>
    <row r="154" spans="1:13" x14ac:dyDescent="0.25">
      <c r="A154" s="5" t="s">
        <v>58</v>
      </c>
      <c r="B154">
        <v>7172012004000200</v>
      </c>
      <c r="C154">
        <v>65</v>
      </c>
      <c r="D154">
        <v>0</v>
      </c>
      <c r="E154">
        <v>0</v>
      </c>
      <c r="F154">
        <v>0</v>
      </c>
      <c r="G154">
        <v>65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region_summary__43[[#This Row],[REJECTED BY Admin Kabupaten]]+region_summary__43[[#This Row],[REJECTED BY Pengawas]]</f>
        <v>0</v>
      </c>
    </row>
    <row r="155" spans="1:13" x14ac:dyDescent="0.25">
      <c r="A155" s="5" t="s">
        <v>40</v>
      </c>
      <c r="B155">
        <v>7172011004001200</v>
      </c>
      <c r="C155">
        <v>177</v>
      </c>
      <c r="D155">
        <v>69</v>
      </c>
      <c r="E155">
        <v>55</v>
      </c>
      <c r="F155">
        <v>0</v>
      </c>
      <c r="G155">
        <v>53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region_summary__43[[#This Row],[REJECTED BY Admin Kabupaten]]+region_summary__43[[#This Row],[REJECTED BY Pengawas]]</f>
        <v>0</v>
      </c>
    </row>
    <row r="156" spans="1:13" x14ac:dyDescent="0.25">
      <c r="A156" s="5" t="s">
        <v>40</v>
      </c>
      <c r="B156">
        <v>7172011004000900</v>
      </c>
      <c r="C156">
        <v>150</v>
      </c>
      <c r="D156">
        <v>28</v>
      </c>
      <c r="E156">
        <v>0</v>
      </c>
      <c r="F156">
        <v>0</v>
      </c>
      <c r="G156">
        <v>122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region_summary__43[[#This Row],[REJECTED BY Admin Kabupaten]]+region_summary__43[[#This Row],[REJECTED BY Pengawas]]</f>
        <v>0</v>
      </c>
    </row>
    <row r="157" spans="1:13" x14ac:dyDescent="0.25">
      <c r="A157" s="5" t="s">
        <v>40</v>
      </c>
      <c r="B157">
        <v>7172011004000700</v>
      </c>
      <c r="C157">
        <v>140</v>
      </c>
      <c r="D157">
        <v>133</v>
      </c>
      <c r="E157">
        <v>2</v>
      </c>
      <c r="F157">
        <v>2</v>
      </c>
      <c r="G157">
        <v>1</v>
      </c>
      <c r="H157">
        <v>0</v>
      </c>
      <c r="I157">
        <v>0</v>
      </c>
      <c r="J157">
        <v>1</v>
      </c>
      <c r="K157">
        <v>1</v>
      </c>
      <c r="L157">
        <v>0</v>
      </c>
      <c r="M157">
        <f>region_summary__43[[#This Row],[REJECTED BY Admin Kabupaten]]+region_summary__43[[#This Row],[REJECTED BY Pengawas]]</f>
        <v>0</v>
      </c>
    </row>
    <row r="158" spans="1:13" x14ac:dyDescent="0.25">
      <c r="A158" s="5" t="s">
        <v>40</v>
      </c>
      <c r="B158">
        <v>7172011004001000</v>
      </c>
      <c r="C158">
        <v>100</v>
      </c>
      <c r="D158">
        <v>27</v>
      </c>
      <c r="E158">
        <v>0</v>
      </c>
      <c r="F158">
        <v>0</v>
      </c>
      <c r="G158">
        <v>73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region_summary__43[[#This Row],[REJECTED BY Admin Kabupaten]]+region_summary__43[[#This Row],[REJECTED BY Pengawas]]</f>
        <v>0</v>
      </c>
    </row>
    <row r="159" spans="1:13" x14ac:dyDescent="0.25">
      <c r="A159" s="5" t="s">
        <v>40</v>
      </c>
      <c r="B159">
        <v>7172011004001100</v>
      </c>
      <c r="C159">
        <v>59</v>
      </c>
      <c r="D159">
        <v>0</v>
      </c>
      <c r="E159">
        <v>0</v>
      </c>
      <c r="F159">
        <v>0</v>
      </c>
      <c r="G159">
        <v>59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region_summary__43[[#This Row],[REJECTED BY Admin Kabupaten]]+region_summary__43[[#This Row],[REJECTED BY Pengawas]]</f>
        <v>0</v>
      </c>
    </row>
    <row r="160" spans="1:13" x14ac:dyDescent="0.25">
      <c r="A160" s="5" t="s">
        <v>43</v>
      </c>
      <c r="B160">
        <v>7172011011001600</v>
      </c>
      <c r="C160">
        <v>223</v>
      </c>
      <c r="D160">
        <v>73</v>
      </c>
      <c r="E160">
        <v>19</v>
      </c>
      <c r="F160">
        <v>0</v>
      </c>
      <c r="G160">
        <v>131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region_summary__43[[#This Row],[REJECTED BY Admin Kabupaten]]+region_summary__43[[#This Row],[REJECTED BY Pengawas]]</f>
        <v>0</v>
      </c>
    </row>
    <row r="161" spans="1:13" x14ac:dyDescent="0.25">
      <c r="A161" s="5" t="s">
        <v>43</v>
      </c>
      <c r="B161">
        <v>7172011011001500</v>
      </c>
      <c r="C161">
        <v>91</v>
      </c>
      <c r="D161">
        <v>3</v>
      </c>
      <c r="E161">
        <v>2</v>
      </c>
      <c r="F161">
        <v>0</v>
      </c>
      <c r="G161">
        <v>86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region_summary__43[[#This Row],[REJECTED BY Admin Kabupaten]]+region_summary__43[[#This Row],[REJECTED BY Pengawas]]</f>
        <v>0</v>
      </c>
    </row>
    <row r="162" spans="1:13" x14ac:dyDescent="0.25">
      <c r="A162" s="5" t="s">
        <v>43</v>
      </c>
      <c r="B162">
        <v>7172011011000600</v>
      </c>
      <c r="C162">
        <v>70</v>
      </c>
      <c r="D162">
        <v>57</v>
      </c>
      <c r="E162">
        <v>0</v>
      </c>
      <c r="F162">
        <v>0</v>
      </c>
      <c r="G162">
        <v>13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region_summary__43[[#This Row],[REJECTED BY Admin Kabupaten]]+region_summary__43[[#This Row],[REJECTED BY Pengawas]]</f>
        <v>0</v>
      </c>
    </row>
    <row r="163" spans="1:13" x14ac:dyDescent="0.25">
      <c r="A163" s="5" t="s">
        <v>43</v>
      </c>
      <c r="B163">
        <v>7172011011000900</v>
      </c>
      <c r="C163">
        <v>64</v>
      </c>
      <c r="D163">
        <v>51</v>
      </c>
      <c r="E163">
        <v>2</v>
      </c>
      <c r="F163">
        <v>0</v>
      </c>
      <c r="G163">
        <v>10</v>
      </c>
      <c r="H163">
        <v>0</v>
      </c>
      <c r="I163">
        <v>1</v>
      </c>
      <c r="J163">
        <v>0</v>
      </c>
      <c r="K163">
        <v>0</v>
      </c>
      <c r="L163">
        <v>0</v>
      </c>
      <c r="M163">
        <f>region_summary__43[[#This Row],[REJECTED BY Admin Kabupaten]]+region_summary__43[[#This Row],[REJECTED BY Pengawas]]</f>
        <v>1</v>
      </c>
    </row>
    <row r="164" spans="1:13" x14ac:dyDescent="0.25">
      <c r="A164" s="5" t="s">
        <v>43</v>
      </c>
      <c r="B164">
        <v>7172011011000800</v>
      </c>
      <c r="C164">
        <v>60</v>
      </c>
      <c r="D164">
        <v>38</v>
      </c>
      <c r="E164">
        <v>0</v>
      </c>
      <c r="F164">
        <v>0</v>
      </c>
      <c r="G164">
        <v>22</v>
      </c>
      <c r="H164">
        <v>0</v>
      </c>
      <c r="I164">
        <v>0</v>
      </c>
      <c r="J164">
        <v>0</v>
      </c>
      <c r="K164">
        <v>0</v>
      </c>
      <c r="L164">
        <v>0</v>
      </c>
      <c r="M164">
        <f>region_summary__43[[#This Row],[REJECTED BY Admin Kabupaten]]+region_summary__43[[#This Row],[REJECTED BY Pengawas]]</f>
        <v>0</v>
      </c>
    </row>
    <row r="165" spans="1:13" x14ac:dyDescent="0.25">
      <c r="A165" s="5" t="s">
        <v>43</v>
      </c>
      <c r="B165">
        <v>7172011011001400</v>
      </c>
      <c r="C165">
        <v>55</v>
      </c>
      <c r="D165">
        <v>22</v>
      </c>
      <c r="E165">
        <v>1</v>
      </c>
      <c r="F165">
        <v>0</v>
      </c>
      <c r="G165">
        <v>32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region_summary__43[[#This Row],[REJECTED BY Admin Kabupaten]]+region_summary__43[[#This Row],[REJECTED BY Pengawas]]</f>
        <v>0</v>
      </c>
    </row>
    <row r="166" spans="1:13" x14ac:dyDescent="0.25">
      <c r="A166" s="5" t="s">
        <v>43</v>
      </c>
      <c r="B166">
        <v>7172011011001100</v>
      </c>
      <c r="C166">
        <v>53</v>
      </c>
      <c r="D166">
        <v>19</v>
      </c>
      <c r="E166">
        <v>4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f>region_summary__43[[#This Row],[REJECTED BY Admin Kabupaten]]+region_summary__43[[#This Row],[REJECTED BY Pengawas]]</f>
        <v>0</v>
      </c>
    </row>
    <row r="167" spans="1:13" x14ac:dyDescent="0.25">
      <c r="A167" s="5" t="s">
        <v>43</v>
      </c>
      <c r="B167">
        <v>7172011011001300</v>
      </c>
      <c r="C167">
        <v>48</v>
      </c>
      <c r="D167">
        <v>9</v>
      </c>
      <c r="E167">
        <v>1</v>
      </c>
      <c r="F167">
        <v>0</v>
      </c>
      <c r="G167">
        <v>38</v>
      </c>
      <c r="H167">
        <v>0</v>
      </c>
      <c r="I167">
        <v>0</v>
      </c>
      <c r="J167">
        <v>0</v>
      </c>
      <c r="K167">
        <v>0</v>
      </c>
      <c r="L167">
        <v>0</v>
      </c>
      <c r="M167">
        <f>region_summary__43[[#This Row],[REJECTED BY Admin Kabupaten]]+region_summary__43[[#This Row],[REJECTED BY Pengawas]]</f>
        <v>0</v>
      </c>
    </row>
    <row r="168" spans="1:13" x14ac:dyDescent="0.25">
      <c r="A168" s="5" t="s">
        <v>43</v>
      </c>
      <c r="B168">
        <v>7172011011001200</v>
      </c>
      <c r="C168">
        <v>43</v>
      </c>
      <c r="D168">
        <v>15</v>
      </c>
      <c r="E168">
        <v>0</v>
      </c>
      <c r="F168">
        <v>0</v>
      </c>
      <c r="G168">
        <v>28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region_summary__43[[#This Row],[REJECTED BY Admin Kabupaten]]+region_summary__43[[#This Row],[REJECTED BY Pengawas]]</f>
        <v>0</v>
      </c>
    </row>
    <row r="169" spans="1:13" x14ac:dyDescent="0.25">
      <c r="A169" s="5" t="s">
        <v>43</v>
      </c>
      <c r="B169">
        <v>7172011011001000</v>
      </c>
      <c r="C169">
        <v>37</v>
      </c>
      <c r="D169">
        <v>20</v>
      </c>
      <c r="E169">
        <v>0</v>
      </c>
      <c r="F169">
        <v>0</v>
      </c>
      <c r="G169">
        <v>17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region_summary__43[[#This Row],[REJECTED BY Admin Kabupaten]]+region_summary__43[[#This Row],[REJECTED BY Pengawas]]</f>
        <v>0</v>
      </c>
    </row>
    <row r="170" spans="1:13" x14ac:dyDescent="0.25">
      <c r="A170" s="5" t="s">
        <v>43</v>
      </c>
      <c r="B170">
        <v>7172011011000700</v>
      </c>
      <c r="C170">
        <v>29</v>
      </c>
      <c r="D170">
        <v>21</v>
      </c>
      <c r="E170">
        <v>3</v>
      </c>
      <c r="F170">
        <v>1</v>
      </c>
      <c r="G170">
        <v>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f>region_summary__43[[#This Row],[REJECTED BY Admin Kabupaten]]+region_summary__43[[#This Row],[REJECTED BY Pengawas]]</f>
        <v>0</v>
      </c>
    </row>
    <row r="171" spans="1:13" x14ac:dyDescent="0.25">
      <c r="A171" s="5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f>region_summary__43[[#This Row],[REJECTED BY Admin Kabupaten]]+region_summary__43[[#This Row],[REJECTED BY Pengawas]]</f>
        <v>0</v>
      </c>
    </row>
    <row r="172" spans="1:13" x14ac:dyDescent="0.25">
      <c r="A172" s="5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f>region_summary__43[[#This Row],[REJECTED BY Admin Kabupaten]]+region_summary__43[[#This Row],[REJECTED BY Pengawas]]</f>
        <v>0</v>
      </c>
    </row>
    <row r="173" spans="1:13" x14ac:dyDescent="0.25">
      <c r="A173" s="5" t="s">
        <v>34</v>
      </c>
      <c r="B173">
        <v>7172011003000900</v>
      </c>
      <c r="C173">
        <v>144</v>
      </c>
      <c r="D173">
        <v>0</v>
      </c>
      <c r="E173">
        <v>0</v>
      </c>
      <c r="F173">
        <v>0</v>
      </c>
      <c r="G173">
        <v>144</v>
      </c>
      <c r="H173">
        <v>0</v>
      </c>
      <c r="I173">
        <v>0</v>
      </c>
      <c r="J173">
        <v>0</v>
      </c>
      <c r="K173">
        <v>0</v>
      </c>
      <c r="L173">
        <v>0</v>
      </c>
      <c r="M173">
        <f>region_summary__43[[#This Row],[REJECTED BY Admin Kabupaten]]+region_summary__43[[#This Row],[REJECTED BY Pengawas]]</f>
        <v>0</v>
      </c>
    </row>
    <row r="174" spans="1:13" x14ac:dyDescent="0.25">
      <c r="A174" s="5" t="s">
        <v>34</v>
      </c>
      <c r="B174">
        <v>7172011003001200</v>
      </c>
      <c r="C174">
        <v>122</v>
      </c>
      <c r="D174">
        <v>47</v>
      </c>
      <c r="E174">
        <v>11</v>
      </c>
      <c r="F174">
        <v>0</v>
      </c>
      <c r="G174">
        <v>56</v>
      </c>
      <c r="H174">
        <v>0</v>
      </c>
      <c r="I174">
        <v>0</v>
      </c>
      <c r="J174">
        <v>0</v>
      </c>
      <c r="K174">
        <v>8</v>
      </c>
      <c r="L174">
        <v>0</v>
      </c>
      <c r="M174">
        <f>region_summary__43[[#This Row],[REJECTED BY Admin Kabupaten]]+region_summary__43[[#This Row],[REJECTED BY Pengawas]]</f>
        <v>0</v>
      </c>
    </row>
    <row r="175" spans="1:13" x14ac:dyDescent="0.25">
      <c r="A175" s="5" t="s">
        <v>34</v>
      </c>
      <c r="B175">
        <v>7172011003001400</v>
      </c>
      <c r="C175">
        <v>121</v>
      </c>
      <c r="D175">
        <v>64</v>
      </c>
      <c r="E175">
        <v>4</v>
      </c>
      <c r="F175">
        <v>2</v>
      </c>
      <c r="G175">
        <v>51</v>
      </c>
      <c r="H175">
        <v>0</v>
      </c>
      <c r="I175">
        <v>0</v>
      </c>
      <c r="J175">
        <v>0</v>
      </c>
      <c r="K175">
        <v>0</v>
      </c>
      <c r="L175">
        <v>0</v>
      </c>
      <c r="M175">
        <f>region_summary__43[[#This Row],[REJECTED BY Admin Kabupaten]]+region_summary__43[[#This Row],[REJECTED BY Pengawas]]</f>
        <v>0</v>
      </c>
    </row>
    <row r="176" spans="1:13" x14ac:dyDescent="0.25">
      <c r="A176" s="5" t="s">
        <v>34</v>
      </c>
      <c r="B176">
        <v>7172011003001600</v>
      </c>
      <c r="C176">
        <v>121</v>
      </c>
      <c r="D176">
        <v>105</v>
      </c>
      <c r="E176">
        <v>1</v>
      </c>
      <c r="F176">
        <v>1</v>
      </c>
      <c r="G176">
        <v>13</v>
      </c>
      <c r="H176">
        <v>0</v>
      </c>
      <c r="I176">
        <v>0</v>
      </c>
      <c r="J176">
        <v>1</v>
      </c>
      <c r="K176">
        <v>0</v>
      </c>
      <c r="L176">
        <v>0</v>
      </c>
      <c r="M176">
        <f>region_summary__43[[#This Row],[REJECTED BY Admin Kabupaten]]+region_summary__43[[#This Row],[REJECTED BY Pengawas]]</f>
        <v>0</v>
      </c>
    </row>
    <row r="177" spans="1:13" x14ac:dyDescent="0.25">
      <c r="A177" s="5" t="s">
        <v>34</v>
      </c>
      <c r="B177">
        <v>7172011003001500</v>
      </c>
      <c r="C177">
        <v>113</v>
      </c>
      <c r="D177">
        <v>87</v>
      </c>
      <c r="E177">
        <v>8</v>
      </c>
      <c r="F177">
        <v>5</v>
      </c>
      <c r="G177">
        <v>11</v>
      </c>
      <c r="H177">
        <v>0</v>
      </c>
      <c r="I177">
        <v>2</v>
      </c>
      <c r="J177">
        <v>0</v>
      </c>
      <c r="K177">
        <v>0</v>
      </c>
      <c r="L177">
        <v>0</v>
      </c>
      <c r="M177">
        <f>region_summary__43[[#This Row],[REJECTED BY Admin Kabupaten]]+region_summary__43[[#This Row],[REJECTED BY Pengawas]]</f>
        <v>2</v>
      </c>
    </row>
    <row r="178" spans="1:13" x14ac:dyDescent="0.25">
      <c r="A178" s="5" t="s">
        <v>34</v>
      </c>
      <c r="B178">
        <v>7172011014000800</v>
      </c>
      <c r="C178">
        <v>67</v>
      </c>
      <c r="D178">
        <v>0</v>
      </c>
      <c r="E178">
        <v>0</v>
      </c>
      <c r="F178">
        <v>0</v>
      </c>
      <c r="G178">
        <v>67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region_summary__43[[#This Row],[REJECTED BY Admin Kabupaten]]+region_summary__43[[#This Row],[REJECTED BY Pengawas]]</f>
        <v>0</v>
      </c>
    </row>
    <row r="179" spans="1:13" x14ac:dyDescent="0.25">
      <c r="A179" s="5" t="s">
        <v>47</v>
      </c>
      <c r="B179">
        <v>7172011014000600</v>
      </c>
      <c r="C179">
        <v>189</v>
      </c>
      <c r="D179">
        <v>120</v>
      </c>
      <c r="E179">
        <v>0</v>
      </c>
      <c r="F179">
        <v>0</v>
      </c>
      <c r="G179">
        <v>2</v>
      </c>
      <c r="H179">
        <v>0</v>
      </c>
      <c r="I179">
        <v>16</v>
      </c>
      <c r="J179">
        <v>0</v>
      </c>
      <c r="K179">
        <v>51</v>
      </c>
      <c r="L179">
        <v>0</v>
      </c>
      <c r="M179">
        <f>region_summary__43[[#This Row],[REJECTED BY Admin Kabupaten]]+region_summary__43[[#This Row],[REJECTED BY Pengawas]]</f>
        <v>16</v>
      </c>
    </row>
    <row r="180" spans="1:13" x14ac:dyDescent="0.25">
      <c r="A180" s="5" t="s">
        <v>47</v>
      </c>
      <c r="B180">
        <v>7172011014000300</v>
      </c>
      <c r="C180">
        <v>169</v>
      </c>
      <c r="D180">
        <v>0</v>
      </c>
      <c r="E180">
        <v>0</v>
      </c>
      <c r="F180">
        <v>0</v>
      </c>
      <c r="G180">
        <v>161</v>
      </c>
      <c r="H180">
        <v>0</v>
      </c>
      <c r="I180">
        <v>0</v>
      </c>
      <c r="J180">
        <v>0</v>
      </c>
      <c r="K180">
        <v>7</v>
      </c>
      <c r="L180">
        <v>1</v>
      </c>
      <c r="M180">
        <f>region_summary__43[[#This Row],[REJECTED BY Admin Kabupaten]]+region_summary__43[[#This Row],[REJECTED BY Pengawas]]</f>
        <v>0</v>
      </c>
    </row>
    <row r="181" spans="1:13" x14ac:dyDescent="0.25">
      <c r="A181" s="5" t="s">
        <v>47</v>
      </c>
      <c r="B181">
        <v>7172011014000200</v>
      </c>
      <c r="C181">
        <v>148</v>
      </c>
      <c r="D181">
        <v>129</v>
      </c>
      <c r="E181">
        <v>5</v>
      </c>
      <c r="F181">
        <v>0</v>
      </c>
      <c r="G181">
        <v>13</v>
      </c>
      <c r="H181">
        <v>0</v>
      </c>
      <c r="I181">
        <v>0</v>
      </c>
      <c r="J181">
        <v>0</v>
      </c>
      <c r="K181">
        <v>1</v>
      </c>
      <c r="L181">
        <v>0</v>
      </c>
      <c r="M181">
        <f>region_summary__43[[#This Row],[REJECTED BY Admin Kabupaten]]+region_summary__43[[#This Row],[REJECTED BY Pengawas]]</f>
        <v>0</v>
      </c>
    </row>
    <row r="182" spans="1:13" x14ac:dyDescent="0.25">
      <c r="A182" s="5" t="s">
        <v>47</v>
      </c>
      <c r="B182">
        <v>7172011014000100</v>
      </c>
      <c r="C182">
        <v>109</v>
      </c>
      <c r="D182">
        <v>0</v>
      </c>
      <c r="E182">
        <v>0</v>
      </c>
      <c r="F182">
        <v>0</v>
      </c>
      <c r="G182">
        <v>109</v>
      </c>
      <c r="H182">
        <v>0</v>
      </c>
      <c r="I182">
        <v>0</v>
      </c>
      <c r="J182">
        <v>0</v>
      </c>
      <c r="K182">
        <v>0</v>
      </c>
      <c r="L182">
        <v>0</v>
      </c>
      <c r="M182">
        <f>region_summary__43[[#This Row],[REJECTED BY Admin Kabupaten]]+region_summary__43[[#This Row],[REJECTED BY Pengawas]]</f>
        <v>0</v>
      </c>
    </row>
    <row r="183" spans="1:13" x14ac:dyDescent="0.25">
      <c r="A183" s="5" t="s">
        <v>47</v>
      </c>
      <c r="B183">
        <v>7172011014000400</v>
      </c>
      <c r="C183">
        <v>76</v>
      </c>
      <c r="D183">
        <v>0</v>
      </c>
      <c r="E183">
        <v>0</v>
      </c>
      <c r="F183">
        <v>0</v>
      </c>
      <c r="G183">
        <v>76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region_summary__43[[#This Row],[REJECTED BY Admin Kabupaten]]+region_summary__43[[#This Row],[REJECTED BY Pengawas]]</f>
        <v>0</v>
      </c>
    </row>
    <row r="184" spans="1:13" x14ac:dyDescent="0.25">
      <c r="A184" s="5" t="s">
        <v>53</v>
      </c>
      <c r="B184">
        <v>7172012002000200</v>
      </c>
      <c r="C184">
        <v>186</v>
      </c>
      <c r="D184">
        <v>174</v>
      </c>
      <c r="E184">
        <v>5</v>
      </c>
      <c r="F184">
        <v>0</v>
      </c>
      <c r="G184">
        <v>5</v>
      </c>
      <c r="H184">
        <v>2</v>
      </c>
      <c r="I184">
        <v>0</v>
      </c>
      <c r="J184">
        <v>0</v>
      </c>
      <c r="K184">
        <v>0</v>
      </c>
      <c r="L184">
        <v>0</v>
      </c>
      <c r="M184">
        <f>region_summary__43[[#This Row],[REJECTED BY Admin Kabupaten]]+region_summary__43[[#This Row],[REJECTED BY Pengawas]]</f>
        <v>2</v>
      </c>
    </row>
    <row r="185" spans="1:13" x14ac:dyDescent="0.25">
      <c r="A185" s="5" t="s">
        <v>53</v>
      </c>
      <c r="B185">
        <v>7172012002000900</v>
      </c>
      <c r="C185">
        <v>144</v>
      </c>
      <c r="D185">
        <v>94</v>
      </c>
      <c r="E185">
        <v>12</v>
      </c>
      <c r="F185">
        <v>0</v>
      </c>
      <c r="G185">
        <v>20</v>
      </c>
      <c r="H185">
        <v>0</v>
      </c>
      <c r="I185">
        <v>0</v>
      </c>
      <c r="J185">
        <v>0</v>
      </c>
      <c r="K185">
        <v>18</v>
      </c>
      <c r="L185">
        <v>0</v>
      </c>
      <c r="M185">
        <f>region_summary__43[[#This Row],[REJECTED BY Admin Kabupaten]]+region_summary__43[[#This Row],[REJECTED BY Pengawas]]</f>
        <v>0</v>
      </c>
    </row>
    <row r="186" spans="1:13" x14ac:dyDescent="0.25">
      <c r="A186" s="5" t="s">
        <v>53</v>
      </c>
      <c r="B186">
        <v>7172012002001000</v>
      </c>
      <c r="C186">
        <v>111</v>
      </c>
      <c r="D186">
        <v>0</v>
      </c>
      <c r="E186">
        <v>1</v>
      </c>
      <c r="F186">
        <v>0</v>
      </c>
      <c r="G186">
        <v>110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region_summary__43[[#This Row],[REJECTED BY Admin Kabupaten]]+region_summary__43[[#This Row],[REJECTED BY Pengawas]]</f>
        <v>0</v>
      </c>
    </row>
    <row r="187" spans="1:13" x14ac:dyDescent="0.25">
      <c r="A187" s="5" t="s">
        <v>53</v>
      </c>
      <c r="B187">
        <v>7172012002001600</v>
      </c>
      <c r="C187">
        <v>102</v>
      </c>
      <c r="D187">
        <v>0</v>
      </c>
      <c r="E187">
        <v>0</v>
      </c>
      <c r="F187">
        <v>0</v>
      </c>
      <c r="G187">
        <v>94</v>
      </c>
      <c r="H187">
        <v>0</v>
      </c>
      <c r="I187">
        <v>0</v>
      </c>
      <c r="J187">
        <v>0</v>
      </c>
      <c r="K187">
        <v>8</v>
      </c>
      <c r="L187">
        <v>0</v>
      </c>
      <c r="M187">
        <f>region_summary__43[[#This Row],[REJECTED BY Admin Kabupaten]]+region_summary__43[[#This Row],[REJECTED BY Pengawas]]</f>
        <v>0</v>
      </c>
    </row>
    <row r="188" spans="1:13" x14ac:dyDescent="0.25">
      <c r="A188" s="5" t="s">
        <v>53</v>
      </c>
      <c r="B188">
        <v>7172012002001100</v>
      </c>
      <c r="C188">
        <v>80</v>
      </c>
      <c r="D188">
        <v>0</v>
      </c>
      <c r="E188">
        <v>0</v>
      </c>
      <c r="F188">
        <v>0</v>
      </c>
      <c r="G188">
        <v>80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region_summary__43[[#This Row],[REJECTED BY Admin Kabupaten]]+region_summary__43[[#This Row],[REJECTED BY Pengawas]]</f>
        <v>0</v>
      </c>
    </row>
    <row r="189" spans="1:13" x14ac:dyDescent="0.25">
      <c r="A189" s="5" t="s">
        <v>48</v>
      </c>
      <c r="B189">
        <v>7172011014001200</v>
      </c>
      <c r="C189">
        <v>236</v>
      </c>
      <c r="D189">
        <v>194</v>
      </c>
      <c r="E189">
        <v>12</v>
      </c>
      <c r="F189">
        <v>0</v>
      </c>
      <c r="G189">
        <v>23</v>
      </c>
      <c r="H189">
        <v>0</v>
      </c>
      <c r="I189">
        <v>3</v>
      </c>
      <c r="J189">
        <v>3</v>
      </c>
      <c r="K189">
        <v>1</v>
      </c>
      <c r="L189">
        <v>0</v>
      </c>
      <c r="M189">
        <f>region_summary__43[[#This Row],[REJECTED BY Admin Kabupaten]]+region_summary__43[[#This Row],[REJECTED BY Pengawas]]</f>
        <v>3</v>
      </c>
    </row>
    <row r="190" spans="1:13" x14ac:dyDescent="0.25">
      <c r="A190" s="5" t="s">
        <v>48</v>
      </c>
      <c r="B190">
        <v>7172011014001100</v>
      </c>
      <c r="C190">
        <v>202</v>
      </c>
      <c r="D190">
        <v>141</v>
      </c>
      <c r="E190">
        <v>12</v>
      </c>
      <c r="F190">
        <v>0</v>
      </c>
      <c r="G190">
        <v>46</v>
      </c>
      <c r="H190">
        <v>0</v>
      </c>
      <c r="I190">
        <v>0</v>
      </c>
      <c r="J190">
        <v>0</v>
      </c>
      <c r="K190">
        <v>3</v>
      </c>
      <c r="L190">
        <v>0</v>
      </c>
      <c r="M190">
        <f>region_summary__43[[#This Row],[REJECTED BY Admin Kabupaten]]+region_summary__43[[#This Row],[REJECTED BY Pengawas]]</f>
        <v>0</v>
      </c>
    </row>
    <row r="191" spans="1:13" x14ac:dyDescent="0.25">
      <c r="A191" s="5" t="s">
        <v>48</v>
      </c>
      <c r="B191">
        <v>7172011014000700</v>
      </c>
      <c r="C191">
        <v>126</v>
      </c>
      <c r="D191">
        <v>16</v>
      </c>
      <c r="E191">
        <v>3</v>
      </c>
      <c r="F191">
        <v>0</v>
      </c>
      <c r="G191">
        <v>106</v>
      </c>
      <c r="H191">
        <v>0</v>
      </c>
      <c r="I191">
        <v>0</v>
      </c>
      <c r="J191">
        <v>0</v>
      </c>
      <c r="K191">
        <v>1</v>
      </c>
      <c r="L191">
        <v>0</v>
      </c>
      <c r="M191">
        <f>region_summary__43[[#This Row],[REJECTED BY Admin Kabupaten]]+region_summary__43[[#This Row],[REJECTED BY Pengawas]]</f>
        <v>0</v>
      </c>
    </row>
    <row r="192" spans="1:13" x14ac:dyDescent="0.25">
      <c r="A192" s="5" t="s">
        <v>48</v>
      </c>
      <c r="B192">
        <v>7172011014000900</v>
      </c>
      <c r="C192">
        <v>83</v>
      </c>
      <c r="D192">
        <v>0</v>
      </c>
      <c r="E192">
        <v>1</v>
      </c>
      <c r="F192">
        <v>0</v>
      </c>
      <c r="G192">
        <v>80</v>
      </c>
      <c r="H192">
        <v>0</v>
      </c>
      <c r="I192">
        <v>0</v>
      </c>
      <c r="J192">
        <v>0</v>
      </c>
      <c r="K192">
        <v>2</v>
      </c>
      <c r="L192">
        <v>0</v>
      </c>
      <c r="M192">
        <f>region_summary__43[[#This Row],[REJECTED BY Admin Kabupaten]]+region_summary__43[[#This Row],[REJECTED BY Pengawas]]</f>
        <v>0</v>
      </c>
    </row>
    <row r="193" spans="1:13" x14ac:dyDescent="0.25">
      <c r="A193" s="5" t="s">
        <v>48</v>
      </c>
      <c r="B193">
        <v>7172011014000500</v>
      </c>
      <c r="C193">
        <v>79</v>
      </c>
      <c r="D193">
        <v>23</v>
      </c>
      <c r="E193">
        <v>2</v>
      </c>
      <c r="F193">
        <v>0</v>
      </c>
      <c r="G193">
        <v>42</v>
      </c>
      <c r="H193">
        <v>0</v>
      </c>
      <c r="I193">
        <v>0</v>
      </c>
      <c r="J193">
        <v>0</v>
      </c>
      <c r="K193">
        <v>12</v>
      </c>
      <c r="L193">
        <v>0</v>
      </c>
      <c r="M193">
        <f>region_summary__43[[#This Row],[REJECTED BY Admin Kabupaten]]+region_summary__43[[#This Row],[REJECTED BY Pengawas]]</f>
        <v>0</v>
      </c>
    </row>
    <row r="194" spans="1:13" x14ac:dyDescent="0.25">
      <c r="A194" s="5" t="s">
        <v>48</v>
      </c>
      <c r="B194">
        <v>7172011014001000</v>
      </c>
      <c r="C194">
        <v>62</v>
      </c>
      <c r="D194">
        <v>0</v>
      </c>
      <c r="E194">
        <v>0</v>
      </c>
      <c r="F194">
        <v>0</v>
      </c>
      <c r="G194">
        <v>62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region_summary__43[[#This Row],[REJECTED BY Admin Kabupaten]]+region_summary__43[[#This Row],[REJECTED BY Pengawas]]</f>
        <v>0</v>
      </c>
    </row>
    <row r="195" spans="1:13" x14ac:dyDescent="0.25">
      <c r="A195" s="5" t="s">
        <v>32</v>
      </c>
      <c r="B195">
        <v>7172011003000300</v>
      </c>
      <c r="C195">
        <v>208</v>
      </c>
      <c r="D195">
        <v>178</v>
      </c>
      <c r="E195">
        <v>0</v>
      </c>
      <c r="F195">
        <v>0</v>
      </c>
      <c r="G195">
        <v>30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f>region_summary__43[[#This Row],[REJECTED BY Admin Kabupaten]]+region_summary__43[[#This Row],[REJECTED BY Pengawas]]</f>
        <v>0</v>
      </c>
    </row>
    <row r="196" spans="1:13" x14ac:dyDescent="0.25">
      <c r="A196" s="5" t="s">
        <v>32</v>
      </c>
      <c r="B196">
        <v>7172011003000600</v>
      </c>
      <c r="C196">
        <v>208</v>
      </c>
      <c r="D196">
        <v>85</v>
      </c>
      <c r="E196">
        <v>1</v>
      </c>
      <c r="F196">
        <v>0</v>
      </c>
      <c r="G196">
        <v>111</v>
      </c>
      <c r="H196">
        <v>0</v>
      </c>
      <c r="I196">
        <v>0</v>
      </c>
      <c r="J196">
        <v>0</v>
      </c>
      <c r="K196">
        <v>11</v>
      </c>
      <c r="L196">
        <v>0</v>
      </c>
      <c r="M196">
        <f>region_summary__43[[#This Row],[REJECTED BY Admin Kabupaten]]+region_summary__43[[#This Row],[REJECTED BY Pengawas]]</f>
        <v>0</v>
      </c>
    </row>
    <row r="197" spans="1:13" x14ac:dyDescent="0.25">
      <c r="A197" s="5" t="s">
        <v>32</v>
      </c>
      <c r="B197">
        <v>7172011003000500</v>
      </c>
      <c r="C197">
        <v>128</v>
      </c>
      <c r="D197">
        <v>0</v>
      </c>
      <c r="E197">
        <v>0</v>
      </c>
      <c r="F197">
        <v>0</v>
      </c>
      <c r="G197">
        <v>124</v>
      </c>
      <c r="H197">
        <v>0</v>
      </c>
      <c r="I197">
        <v>0</v>
      </c>
      <c r="J197">
        <v>0</v>
      </c>
      <c r="K197">
        <v>4</v>
      </c>
      <c r="L197">
        <v>0</v>
      </c>
      <c r="M197">
        <f>region_summary__43[[#This Row],[REJECTED BY Admin Kabupaten]]+region_summary__43[[#This Row],[REJECTED BY Pengawas]]</f>
        <v>0</v>
      </c>
    </row>
    <row r="198" spans="1:13" x14ac:dyDescent="0.25">
      <c r="A198" s="5" t="s">
        <v>32</v>
      </c>
      <c r="B198">
        <v>7172011003001001</v>
      </c>
      <c r="C198">
        <v>103</v>
      </c>
      <c r="D198">
        <v>0</v>
      </c>
      <c r="E198">
        <v>0</v>
      </c>
      <c r="F198">
        <v>0</v>
      </c>
      <c r="G198">
        <v>103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region_summary__43[[#This Row],[REJECTED BY Admin Kabupaten]]+region_summary__43[[#This Row],[REJECTED BY Pengawas]]</f>
        <v>0</v>
      </c>
    </row>
    <row r="199" spans="1:13" x14ac:dyDescent="0.25">
      <c r="A199" s="5" t="s">
        <v>52</v>
      </c>
      <c r="B199">
        <v>7172012001000700</v>
      </c>
      <c r="C199">
        <v>301</v>
      </c>
      <c r="D199">
        <v>199</v>
      </c>
      <c r="E199">
        <v>6</v>
      </c>
      <c r="F199">
        <v>1</v>
      </c>
      <c r="G199">
        <v>89</v>
      </c>
      <c r="H199">
        <v>0</v>
      </c>
      <c r="I199">
        <v>2</v>
      </c>
      <c r="J199">
        <v>0</v>
      </c>
      <c r="K199">
        <v>4</v>
      </c>
      <c r="L199">
        <v>0</v>
      </c>
      <c r="M199">
        <f>region_summary__43[[#This Row],[REJECTED BY Admin Kabupaten]]+region_summary__43[[#This Row],[REJECTED BY Pengawas]]</f>
        <v>2</v>
      </c>
    </row>
    <row r="200" spans="1:13" x14ac:dyDescent="0.25">
      <c r="A200" s="5" t="s">
        <v>52</v>
      </c>
      <c r="B200">
        <v>7172012001000602</v>
      </c>
      <c r="C200">
        <v>240</v>
      </c>
      <c r="D200">
        <v>82</v>
      </c>
      <c r="E200">
        <v>2</v>
      </c>
      <c r="F200">
        <v>0</v>
      </c>
      <c r="G200">
        <v>139</v>
      </c>
      <c r="H200">
        <v>0</v>
      </c>
      <c r="I200">
        <v>0</v>
      </c>
      <c r="J200">
        <v>0</v>
      </c>
      <c r="K200">
        <v>17</v>
      </c>
      <c r="L200">
        <v>0</v>
      </c>
      <c r="M200">
        <f>region_summary__43[[#This Row],[REJECTED BY Admin Kabupaten]]+region_summary__43[[#This Row],[REJECTED BY Pengawas]]</f>
        <v>0</v>
      </c>
    </row>
    <row r="201" spans="1:13" x14ac:dyDescent="0.25">
      <c r="A201" s="5" t="s">
        <v>49</v>
      </c>
      <c r="B201">
        <v>7172012002000101</v>
      </c>
      <c r="C201">
        <v>157</v>
      </c>
      <c r="D201">
        <v>62</v>
      </c>
      <c r="E201">
        <v>5</v>
      </c>
      <c r="F201">
        <v>0</v>
      </c>
      <c r="G201">
        <v>41</v>
      </c>
      <c r="H201">
        <v>3</v>
      </c>
      <c r="I201">
        <v>4</v>
      </c>
      <c r="J201">
        <v>0</v>
      </c>
      <c r="K201">
        <v>42</v>
      </c>
      <c r="L201">
        <v>0</v>
      </c>
      <c r="M201">
        <f>region_summary__43[[#This Row],[REJECTED BY Admin Kabupaten]]+region_summary__43[[#This Row],[REJECTED BY Pengawas]]</f>
        <v>7</v>
      </c>
    </row>
    <row r="202" spans="1:13" x14ac:dyDescent="0.25">
      <c r="A202" s="5" t="s">
        <v>49</v>
      </c>
      <c r="B202">
        <v>7172012002000500</v>
      </c>
      <c r="C202">
        <v>134</v>
      </c>
      <c r="D202">
        <v>20</v>
      </c>
      <c r="E202">
        <v>0</v>
      </c>
      <c r="F202">
        <v>0</v>
      </c>
      <c r="G202">
        <v>102</v>
      </c>
      <c r="H202">
        <v>0</v>
      </c>
      <c r="I202">
        <v>0</v>
      </c>
      <c r="J202">
        <v>0</v>
      </c>
      <c r="K202">
        <v>12</v>
      </c>
      <c r="L202">
        <v>0</v>
      </c>
      <c r="M202">
        <f>region_summary__43[[#This Row],[REJECTED BY Admin Kabupaten]]+region_summary__43[[#This Row],[REJECTED BY Pengawas]]</f>
        <v>0</v>
      </c>
    </row>
    <row r="203" spans="1:13" x14ac:dyDescent="0.25">
      <c r="A203" s="5" t="s">
        <v>49</v>
      </c>
      <c r="B203">
        <v>7172012001000100</v>
      </c>
      <c r="C203">
        <v>125</v>
      </c>
      <c r="D203">
        <v>118</v>
      </c>
      <c r="E203">
        <v>0</v>
      </c>
      <c r="F203">
        <v>0</v>
      </c>
      <c r="G203">
        <v>0</v>
      </c>
      <c r="H203">
        <v>7</v>
      </c>
      <c r="I203">
        <v>0</v>
      </c>
      <c r="J203">
        <v>0</v>
      </c>
      <c r="K203">
        <v>0</v>
      </c>
      <c r="L203">
        <v>0</v>
      </c>
      <c r="M203">
        <f>region_summary__43[[#This Row],[REJECTED BY Admin Kabupaten]]+region_summary__43[[#This Row],[REJECTED BY Pengawas]]</f>
        <v>7</v>
      </c>
    </row>
    <row r="204" spans="1:13" x14ac:dyDescent="0.25">
      <c r="A204" s="5" t="s">
        <v>49</v>
      </c>
      <c r="B204">
        <v>7172012001001100</v>
      </c>
      <c r="C204">
        <v>94</v>
      </c>
      <c r="D204">
        <v>15</v>
      </c>
      <c r="E204">
        <v>5</v>
      </c>
      <c r="F204">
        <v>0</v>
      </c>
      <c r="G204">
        <v>74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region_summary__43[[#This Row],[REJECTED BY Admin Kabupaten]]+region_summary__43[[#This Row],[REJECTED BY Pengawas]]</f>
        <v>0</v>
      </c>
    </row>
    <row r="205" spans="1:13" x14ac:dyDescent="0.25">
      <c r="A205" s="5" t="s">
        <v>49</v>
      </c>
      <c r="B205">
        <v>7172012001001002</v>
      </c>
      <c r="C205">
        <v>81</v>
      </c>
      <c r="D205">
        <v>0</v>
      </c>
      <c r="E205">
        <v>0</v>
      </c>
      <c r="F205">
        <v>0</v>
      </c>
      <c r="G205">
        <v>81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region_summary__43[[#This Row],[REJECTED BY Admin Kabupaten]]+region_summary__43[[#This Row],[REJECTED BY Pengawas]]</f>
        <v>0</v>
      </c>
    </row>
    <row r="206" spans="1:13" x14ac:dyDescent="0.25">
      <c r="A206" s="5" t="s">
        <v>49</v>
      </c>
      <c r="B206">
        <v>7172012002000102</v>
      </c>
      <c r="C206">
        <v>74</v>
      </c>
      <c r="D206">
        <v>0</v>
      </c>
      <c r="E206">
        <v>0</v>
      </c>
      <c r="F206">
        <v>0</v>
      </c>
      <c r="G206">
        <v>74</v>
      </c>
      <c r="H206">
        <v>0</v>
      </c>
      <c r="I206">
        <v>0</v>
      </c>
      <c r="J206">
        <v>0</v>
      </c>
      <c r="K206">
        <v>0</v>
      </c>
      <c r="L206">
        <v>0</v>
      </c>
      <c r="M206">
        <f>region_summary__43[[#This Row],[REJECTED BY Admin Kabupaten]]+region_summary__43[[#This Row],[REJECTED BY Pengawas]]</f>
        <v>0</v>
      </c>
    </row>
    <row r="207" spans="1:13" x14ac:dyDescent="0.25">
      <c r="A207" s="5" t="s">
        <v>57</v>
      </c>
      <c r="B207">
        <v>7172012003000800</v>
      </c>
      <c r="C207">
        <v>152</v>
      </c>
      <c r="D207">
        <v>19</v>
      </c>
      <c r="E207">
        <v>11</v>
      </c>
      <c r="F207">
        <v>0</v>
      </c>
      <c r="G207">
        <v>74</v>
      </c>
      <c r="H207">
        <v>0</v>
      </c>
      <c r="I207">
        <v>0</v>
      </c>
      <c r="J207">
        <v>0</v>
      </c>
      <c r="K207">
        <v>48</v>
      </c>
      <c r="L207">
        <v>0</v>
      </c>
      <c r="M207">
        <f>region_summary__43[[#This Row],[REJECTED BY Admin Kabupaten]]+region_summary__43[[#This Row],[REJECTED BY Pengawas]]</f>
        <v>0</v>
      </c>
    </row>
    <row r="208" spans="1:13" x14ac:dyDescent="0.25">
      <c r="A208" s="5" t="s">
        <v>57</v>
      </c>
      <c r="B208">
        <v>7172012003001100</v>
      </c>
      <c r="C208">
        <v>123</v>
      </c>
      <c r="D208">
        <v>104</v>
      </c>
      <c r="E208">
        <v>0</v>
      </c>
      <c r="F208">
        <v>1</v>
      </c>
      <c r="G208">
        <v>9</v>
      </c>
      <c r="H208">
        <v>0</v>
      </c>
      <c r="I208">
        <v>0</v>
      </c>
      <c r="J208">
        <v>0</v>
      </c>
      <c r="K208">
        <v>9</v>
      </c>
      <c r="L208">
        <v>0</v>
      </c>
      <c r="M208">
        <f>region_summary__43[[#This Row],[REJECTED BY Admin Kabupaten]]+region_summary__43[[#This Row],[REJECTED BY Pengawas]]</f>
        <v>0</v>
      </c>
    </row>
    <row r="209" spans="1:13" x14ac:dyDescent="0.25">
      <c r="A209" s="5" t="s">
        <v>57</v>
      </c>
      <c r="B209">
        <v>7172012003000600</v>
      </c>
      <c r="C209">
        <v>90</v>
      </c>
      <c r="D209">
        <v>68</v>
      </c>
      <c r="E209">
        <v>1</v>
      </c>
      <c r="F209">
        <v>0</v>
      </c>
      <c r="G209">
        <v>15</v>
      </c>
      <c r="H209">
        <v>0</v>
      </c>
      <c r="I209">
        <v>0</v>
      </c>
      <c r="J209">
        <v>0</v>
      </c>
      <c r="K209">
        <v>6</v>
      </c>
      <c r="L209">
        <v>0</v>
      </c>
      <c r="M209">
        <f>region_summary__43[[#This Row],[REJECTED BY Admin Kabupaten]]+region_summary__43[[#This Row],[REJECTED BY Pengawas]]</f>
        <v>0</v>
      </c>
    </row>
    <row r="210" spans="1:13" x14ac:dyDescent="0.25">
      <c r="A210" s="5" t="s">
        <v>57</v>
      </c>
      <c r="B210">
        <v>7172012003001200</v>
      </c>
      <c r="C210">
        <v>84</v>
      </c>
      <c r="D210">
        <v>6</v>
      </c>
      <c r="E210">
        <v>0</v>
      </c>
      <c r="F210">
        <v>0</v>
      </c>
      <c r="G210">
        <v>78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region_summary__43[[#This Row],[REJECTED BY Admin Kabupaten]]+region_summary__43[[#This Row],[REJECTED BY Pengawas]]</f>
        <v>0</v>
      </c>
    </row>
    <row r="211" spans="1:13" x14ac:dyDescent="0.25">
      <c r="A211" s="5" t="s">
        <v>57</v>
      </c>
      <c r="B211">
        <v>7172012003001000</v>
      </c>
      <c r="C211">
        <v>64</v>
      </c>
      <c r="D211">
        <v>1</v>
      </c>
      <c r="E211">
        <v>0</v>
      </c>
      <c r="F211">
        <v>0</v>
      </c>
      <c r="G211">
        <v>63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region_summary__43[[#This Row],[REJECTED BY Admin Kabupaten]]+region_summary__43[[#This Row],[REJECTED BY Pengawas]]</f>
        <v>0</v>
      </c>
    </row>
    <row r="212" spans="1:13" x14ac:dyDescent="0.25">
      <c r="A212" s="5" t="s">
        <v>57</v>
      </c>
      <c r="B212">
        <v>7172012003000500</v>
      </c>
      <c r="C212">
        <v>62</v>
      </c>
      <c r="D212">
        <v>24</v>
      </c>
      <c r="E212">
        <v>1</v>
      </c>
      <c r="F212">
        <v>0</v>
      </c>
      <c r="G212">
        <v>31</v>
      </c>
      <c r="H212">
        <v>0</v>
      </c>
      <c r="I212">
        <v>0</v>
      </c>
      <c r="J212">
        <v>0</v>
      </c>
      <c r="K212">
        <v>6</v>
      </c>
      <c r="L212">
        <v>0</v>
      </c>
      <c r="M212">
        <f>region_summary__43[[#This Row],[REJECTED BY Admin Kabupaten]]+region_summary__43[[#This Row],[REJECTED BY Pengawas]]</f>
        <v>0</v>
      </c>
    </row>
    <row r="213" spans="1:13" x14ac:dyDescent="0.25">
      <c r="A213" s="5" t="s">
        <v>57</v>
      </c>
      <c r="B213">
        <v>7172012003000900</v>
      </c>
      <c r="C213">
        <v>60</v>
      </c>
      <c r="D213">
        <v>0</v>
      </c>
      <c r="E213">
        <v>0</v>
      </c>
      <c r="F213">
        <v>0</v>
      </c>
      <c r="G213">
        <v>60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f>region_summary__43[[#This Row],[REJECTED BY Admin Kabupaten]]+region_summary__43[[#This Row],[REJECTED BY Pengawas]]</f>
        <v>0</v>
      </c>
    </row>
    <row r="214" spans="1:13" x14ac:dyDescent="0.25">
      <c r="A214" s="5" t="s">
        <v>57</v>
      </c>
      <c r="B214">
        <v>7172012003000100</v>
      </c>
      <c r="C214">
        <v>57</v>
      </c>
      <c r="D214">
        <v>49</v>
      </c>
      <c r="E214">
        <v>4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4</v>
      </c>
      <c r="L214">
        <v>0</v>
      </c>
      <c r="M214">
        <f>region_summary__43[[#This Row],[REJECTED BY Admin Kabupaten]]+region_summary__43[[#This Row],[REJECTED BY Pengawas]]</f>
        <v>0</v>
      </c>
    </row>
    <row r="215" spans="1:13" x14ac:dyDescent="0.25">
      <c r="A215" s="5" t="s">
        <v>238</v>
      </c>
      <c r="B215">
        <v>7172012004000500</v>
      </c>
      <c r="C215">
        <v>170</v>
      </c>
      <c r="D215">
        <v>91</v>
      </c>
      <c r="E215">
        <v>0</v>
      </c>
      <c r="F215">
        <v>0</v>
      </c>
      <c r="G215">
        <v>14</v>
      </c>
      <c r="H215">
        <v>0</v>
      </c>
      <c r="I215">
        <v>1</v>
      </c>
      <c r="J215">
        <v>0</v>
      </c>
      <c r="K215">
        <v>64</v>
      </c>
      <c r="L215">
        <v>0</v>
      </c>
      <c r="M215">
        <f>region_summary__43[[#This Row],[REJECTED BY Admin Kabupaten]]+region_summary__43[[#This Row],[REJECTED BY Pengawas]]</f>
        <v>1</v>
      </c>
    </row>
    <row r="216" spans="1:13" x14ac:dyDescent="0.25">
      <c r="A216" s="5" t="s">
        <v>238</v>
      </c>
      <c r="B216">
        <v>7172012004000600</v>
      </c>
      <c r="C216">
        <v>156</v>
      </c>
      <c r="D216">
        <v>44</v>
      </c>
      <c r="E216">
        <v>9</v>
      </c>
      <c r="F216">
        <v>0</v>
      </c>
      <c r="G216">
        <v>57</v>
      </c>
      <c r="H216">
        <v>0</v>
      </c>
      <c r="I216">
        <v>0</v>
      </c>
      <c r="J216">
        <v>0</v>
      </c>
      <c r="K216">
        <v>46</v>
      </c>
      <c r="L216">
        <v>0</v>
      </c>
      <c r="M216">
        <f>region_summary__43[[#This Row],[REJECTED BY Admin Kabupaten]]+region_summary__43[[#This Row],[REJECTED BY Pengawas]]</f>
        <v>0</v>
      </c>
    </row>
    <row r="217" spans="1:13" x14ac:dyDescent="0.25">
      <c r="A217" s="5" t="s">
        <v>238</v>
      </c>
      <c r="B217">
        <v>7172012004000700</v>
      </c>
      <c r="C217">
        <v>113</v>
      </c>
      <c r="D217">
        <v>71</v>
      </c>
      <c r="E217">
        <v>1</v>
      </c>
      <c r="F217">
        <v>0</v>
      </c>
      <c r="G217">
        <v>20</v>
      </c>
      <c r="H217">
        <v>0</v>
      </c>
      <c r="I217">
        <v>0</v>
      </c>
      <c r="J217">
        <v>0</v>
      </c>
      <c r="K217">
        <v>21</v>
      </c>
      <c r="L217">
        <v>0</v>
      </c>
      <c r="M217">
        <f>region_summary__43[[#This Row],[REJECTED BY Admin Kabupaten]]+region_summary__43[[#This Row],[REJECTED BY Pengawas]]</f>
        <v>0</v>
      </c>
    </row>
    <row r="218" spans="1:13" x14ac:dyDescent="0.25">
      <c r="A218" s="5" t="s">
        <v>238</v>
      </c>
      <c r="B218">
        <v>7172012004001001</v>
      </c>
      <c r="C218">
        <v>92</v>
      </c>
      <c r="D218">
        <v>0</v>
      </c>
      <c r="E218">
        <v>2</v>
      </c>
      <c r="F218">
        <v>0</v>
      </c>
      <c r="G218">
        <v>90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region_summary__43[[#This Row],[REJECTED BY Admin Kabupaten]]+region_summary__43[[#This Row],[REJECTED BY Pengawas]]</f>
        <v>0</v>
      </c>
    </row>
    <row r="219" spans="1:13" x14ac:dyDescent="0.25">
      <c r="A219" s="5" t="s">
        <v>238</v>
      </c>
      <c r="B219">
        <v>7172012004000400</v>
      </c>
      <c r="C219">
        <v>81</v>
      </c>
      <c r="D219">
        <v>0</v>
      </c>
      <c r="E219">
        <v>0</v>
      </c>
      <c r="F219">
        <v>0</v>
      </c>
      <c r="G219">
        <v>81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region_summary__43[[#This Row],[REJECTED BY Admin Kabupaten]]+region_summary__43[[#This Row],[REJECTED BY Pengawas]]</f>
        <v>0</v>
      </c>
    </row>
    <row r="220" spans="1:13" x14ac:dyDescent="0.25">
      <c r="A220" s="5" t="s">
        <v>238</v>
      </c>
      <c r="B220">
        <v>7172012004000800</v>
      </c>
      <c r="C220">
        <v>78</v>
      </c>
      <c r="D220">
        <v>54</v>
      </c>
      <c r="E220">
        <v>0</v>
      </c>
      <c r="F220">
        <v>0</v>
      </c>
      <c r="G220">
        <v>7</v>
      </c>
      <c r="H220">
        <v>0</v>
      </c>
      <c r="I220">
        <v>0</v>
      </c>
      <c r="J220">
        <v>0</v>
      </c>
      <c r="K220">
        <v>17</v>
      </c>
      <c r="L220">
        <v>0</v>
      </c>
      <c r="M220">
        <f>region_summary__43[[#This Row],[REJECTED BY Admin Kabupaten]]+region_summary__43[[#This Row],[REJECTED BY Pengawas]]</f>
        <v>0</v>
      </c>
    </row>
    <row r="221" spans="1:13" x14ac:dyDescent="0.25">
      <c r="A221" s="5" t="s">
        <v>61</v>
      </c>
      <c r="B221">
        <v>7172012004001201</v>
      </c>
      <c r="C221">
        <v>240</v>
      </c>
      <c r="D221">
        <v>20</v>
      </c>
      <c r="E221">
        <v>4</v>
      </c>
      <c r="F221">
        <v>0</v>
      </c>
      <c r="G221">
        <v>213</v>
      </c>
      <c r="H221">
        <v>0</v>
      </c>
      <c r="I221">
        <v>0</v>
      </c>
      <c r="J221">
        <v>0</v>
      </c>
      <c r="K221">
        <v>3</v>
      </c>
      <c r="L221">
        <v>0</v>
      </c>
      <c r="M221">
        <f>region_summary__43[[#This Row],[REJECTED BY Admin Kabupaten]]+region_summary__43[[#This Row],[REJECTED BY Pengawas]]</f>
        <v>0</v>
      </c>
    </row>
    <row r="222" spans="1:13" x14ac:dyDescent="0.25">
      <c r="A222" s="5" t="s">
        <v>61</v>
      </c>
      <c r="B222">
        <v>7172012004001100</v>
      </c>
      <c r="C222">
        <v>180</v>
      </c>
      <c r="D222">
        <v>138</v>
      </c>
      <c r="E222">
        <v>0</v>
      </c>
      <c r="F222">
        <v>0</v>
      </c>
      <c r="G222">
        <v>42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f>region_summary__43[[#This Row],[REJECTED BY Admin Kabupaten]]+region_summary__43[[#This Row],[REJECTED BY Pengawas]]</f>
        <v>0</v>
      </c>
    </row>
    <row r="223" spans="1:13" x14ac:dyDescent="0.25">
      <c r="A223" s="5" t="s">
        <v>61</v>
      </c>
      <c r="B223">
        <v>7172012004001202</v>
      </c>
      <c r="C223">
        <v>133</v>
      </c>
      <c r="D223">
        <v>59</v>
      </c>
      <c r="E223">
        <v>5</v>
      </c>
      <c r="F223">
        <v>0</v>
      </c>
      <c r="G223">
        <v>51</v>
      </c>
      <c r="H223">
        <v>0</v>
      </c>
      <c r="I223">
        <v>0</v>
      </c>
      <c r="J223">
        <v>0</v>
      </c>
      <c r="K223">
        <v>18</v>
      </c>
      <c r="L223">
        <v>0</v>
      </c>
      <c r="M223">
        <f>region_summary__43[[#This Row],[REJECTED BY Admin Kabupaten]]+region_summary__43[[#This Row],[REJECTED BY Pengawas]]</f>
        <v>0</v>
      </c>
    </row>
    <row r="224" spans="1:13" x14ac:dyDescent="0.25">
      <c r="A224" s="5" t="s">
        <v>61</v>
      </c>
      <c r="B224">
        <v>7172012004001003</v>
      </c>
      <c r="C224">
        <v>93</v>
      </c>
      <c r="D224">
        <v>19</v>
      </c>
      <c r="E224">
        <v>0</v>
      </c>
      <c r="F224">
        <v>0</v>
      </c>
      <c r="G224">
        <v>74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region_summary__43[[#This Row],[REJECTED BY Admin Kabupaten]]+region_summary__43[[#This Row],[REJECTED BY Pengawas]]</f>
        <v>0</v>
      </c>
    </row>
    <row r="225" spans="1:13" x14ac:dyDescent="0.25">
      <c r="A225" s="5" t="s">
        <v>61</v>
      </c>
      <c r="B225">
        <v>7172012004001002</v>
      </c>
      <c r="C225">
        <v>67</v>
      </c>
      <c r="D225">
        <v>49</v>
      </c>
      <c r="E225">
        <v>0</v>
      </c>
      <c r="F225">
        <v>0</v>
      </c>
      <c r="G225">
        <v>18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region_summary__43[[#This Row],[REJECTED BY Admin Kabupaten]]+region_summary__43[[#This Row],[REJECTED BY Pengawas]]</f>
        <v>0</v>
      </c>
    </row>
    <row r="226" spans="1:13" x14ac:dyDescent="0.25">
      <c r="A226" s="5" t="s">
        <v>68</v>
      </c>
      <c r="B226">
        <v>7172012007001800</v>
      </c>
      <c r="C226">
        <v>136</v>
      </c>
      <c r="D226">
        <v>83</v>
      </c>
      <c r="E226">
        <v>6</v>
      </c>
      <c r="F226">
        <v>0</v>
      </c>
      <c r="G226">
        <v>46</v>
      </c>
      <c r="H226">
        <v>0</v>
      </c>
      <c r="I226">
        <v>1</v>
      </c>
      <c r="J226">
        <v>0</v>
      </c>
      <c r="K226">
        <v>0</v>
      </c>
      <c r="L226">
        <v>0</v>
      </c>
      <c r="M226">
        <f>region_summary__43[[#This Row],[REJECTED BY Admin Kabupaten]]+region_summary__43[[#This Row],[REJECTED BY Pengawas]]</f>
        <v>1</v>
      </c>
    </row>
    <row r="227" spans="1:13" x14ac:dyDescent="0.25">
      <c r="A227" s="5" t="s">
        <v>68</v>
      </c>
      <c r="B227">
        <v>7172012007002000</v>
      </c>
      <c r="C227">
        <v>127</v>
      </c>
      <c r="D227">
        <v>122</v>
      </c>
      <c r="E227">
        <v>2</v>
      </c>
      <c r="F227">
        <v>0</v>
      </c>
      <c r="G227">
        <v>3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region_summary__43[[#This Row],[REJECTED BY Admin Kabupaten]]+region_summary__43[[#This Row],[REJECTED BY Pengawas]]</f>
        <v>0</v>
      </c>
    </row>
    <row r="228" spans="1:13" x14ac:dyDescent="0.25">
      <c r="A228" s="5" t="s">
        <v>68</v>
      </c>
      <c r="B228">
        <v>7172012007001700</v>
      </c>
      <c r="C228">
        <v>122</v>
      </c>
      <c r="D228">
        <v>5</v>
      </c>
      <c r="E228">
        <v>10</v>
      </c>
      <c r="F228">
        <v>0</v>
      </c>
      <c r="G228">
        <v>100</v>
      </c>
      <c r="H228">
        <v>0</v>
      </c>
      <c r="I228">
        <v>0</v>
      </c>
      <c r="J228">
        <v>0</v>
      </c>
      <c r="K228">
        <v>7</v>
      </c>
      <c r="L228">
        <v>0</v>
      </c>
      <c r="M228">
        <f>region_summary__43[[#This Row],[REJECTED BY Admin Kabupaten]]+region_summary__43[[#This Row],[REJECTED BY Pengawas]]</f>
        <v>0</v>
      </c>
    </row>
    <row r="229" spans="1:13" x14ac:dyDescent="0.25">
      <c r="A229" s="5" t="s">
        <v>68</v>
      </c>
      <c r="B229">
        <v>7172012007002100</v>
      </c>
      <c r="C229">
        <v>108</v>
      </c>
      <c r="D229">
        <v>88</v>
      </c>
      <c r="E229">
        <v>4</v>
      </c>
      <c r="F229">
        <v>0</v>
      </c>
      <c r="G229">
        <v>15</v>
      </c>
      <c r="H229">
        <v>0</v>
      </c>
      <c r="I229">
        <v>1</v>
      </c>
      <c r="J229">
        <v>0</v>
      </c>
      <c r="K229">
        <v>0</v>
      </c>
      <c r="L229">
        <v>0</v>
      </c>
      <c r="M229">
        <f>region_summary__43[[#This Row],[REJECTED BY Admin Kabupaten]]+region_summary__43[[#This Row],[REJECTED BY Pengawas]]</f>
        <v>1</v>
      </c>
    </row>
    <row r="230" spans="1:13" x14ac:dyDescent="0.25">
      <c r="A230" s="5" t="s">
        <v>68</v>
      </c>
      <c r="B230">
        <v>7172012006000100</v>
      </c>
      <c r="C230">
        <v>92</v>
      </c>
      <c r="D230">
        <v>0</v>
      </c>
      <c r="E230">
        <v>0</v>
      </c>
      <c r="F230">
        <v>0</v>
      </c>
      <c r="G230">
        <v>92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region_summary__43[[#This Row],[REJECTED BY Admin Kabupaten]]+region_summary__43[[#This Row],[REJECTED BY Pengawas]]</f>
        <v>0</v>
      </c>
    </row>
    <row r="231" spans="1:13" x14ac:dyDescent="0.25">
      <c r="A231" s="5" t="s">
        <v>68</v>
      </c>
      <c r="B231">
        <v>7172012006000400</v>
      </c>
      <c r="C231">
        <v>56</v>
      </c>
      <c r="D231">
        <v>0</v>
      </c>
      <c r="E231">
        <v>0</v>
      </c>
      <c r="F231">
        <v>0</v>
      </c>
      <c r="G231">
        <v>56</v>
      </c>
      <c r="H231">
        <v>0</v>
      </c>
      <c r="I231">
        <v>0</v>
      </c>
      <c r="J231">
        <v>0</v>
      </c>
      <c r="K231">
        <v>0</v>
      </c>
      <c r="L231">
        <v>0</v>
      </c>
      <c r="M231">
        <f>region_summary__43[[#This Row],[REJECTED BY Admin Kabupaten]]+region_summary__43[[#This Row],[REJECTED BY Pengawas]]</f>
        <v>0</v>
      </c>
    </row>
    <row r="232" spans="1:13" x14ac:dyDescent="0.25">
      <c r="A232" s="5" t="s">
        <v>68</v>
      </c>
      <c r="B232">
        <v>7172012006000300</v>
      </c>
      <c r="C232">
        <v>47</v>
      </c>
      <c r="D232">
        <v>0</v>
      </c>
      <c r="E232">
        <v>0</v>
      </c>
      <c r="F232">
        <v>0</v>
      </c>
      <c r="G232">
        <v>47</v>
      </c>
      <c r="H232">
        <v>0</v>
      </c>
      <c r="I232">
        <v>0</v>
      </c>
      <c r="J232">
        <v>0</v>
      </c>
      <c r="K232">
        <v>0</v>
      </c>
      <c r="L232">
        <v>0</v>
      </c>
      <c r="M232">
        <f>region_summary__43[[#This Row],[REJECTED BY Admin Kabupaten]]+region_summary__43[[#This Row],[REJECTED BY Pengawas]]</f>
        <v>0</v>
      </c>
    </row>
    <row r="233" spans="1:13" x14ac:dyDescent="0.25">
      <c r="A233" s="5" t="s">
        <v>68</v>
      </c>
      <c r="B233">
        <v>7172012006000200</v>
      </c>
      <c r="C233">
        <v>39</v>
      </c>
      <c r="D233">
        <v>0</v>
      </c>
      <c r="E233">
        <v>0</v>
      </c>
      <c r="F233">
        <v>0</v>
      </c>
      <c r="G233">
        <v>39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region_summary__43[[#This Row],[REJECTED BY Admin Kabupaten]]+region_summary__43[[#This Row],[REJECTED BY Pengawas]]</f>
        <v>0</v>
      </c>
    </row>
    <row r="234" spans="1:13" x14ac:dyDescent="0.25">
      <c r="A234" s="5" t="s">
        <v>66</v>
      </c>
      <c r="B234">
        <v>7172012007000100</v>
      </c>
      <c r="C234">
        <v>136</v>
      </c>
      <c r="D234">
        <v>0</v>
      </c>
      <c r="E234">
        <v>0</v>
      </c>
      <c r="F234">
        <v>0</v>
      </c>
      <c r="G234">
        <v>136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region_summary__43[[#This Row],[REJECTED BY Admin Kabupaten]]+region_summary__43[[#This Row],[REJECTED BY Pengawas]]</f>
        <v>0</v>
      </c>
    </row>
    <row r="235" spans="1:13" x14ac:dyDescent="0.25">
      <c r="A235" s="5" t="s">
        <v>66</v>
      </c>
      <c r="B235">
        <v>7172012005001900</v>
      </c>
      <c r="C235">
        <v>90</v>
      </c>
      <c r="D235">
        <v>0</v>
      </c>
      <c r="E235">
        <v>0</v>
      </c>
      <c r="F235">
        <v>0</v>
      </c>
      <c r="G235">
        <v>90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f>region_summary__43[[#This Row],[REJECTED BY Admin Kabupaten]]+region_summary__43[[#This Row],[REJECTED BY Pengawas]]</f>
        <v>0</v>
      </c>
    </row>
    <row r="236" spans="1:13" x14ac:dyDescent="0.25">
      <c r="A236" s="5" t="s">
        <v>66</v>
      </c>
      <c r="B236">
        <v>7172012005000400</v>
      </c>
      <c r="C236">
        <v>62</v>
      </c>
      <c r="D236">
        <v>50</v>
      </c>
      <c r="E236">
        <v>2</v>
      </c>
      <c r="F236">
        <v>0</v>
      </c>
      <c r="G236">
        <v>9</v>
      </c>
      <c r="H236">
        <v>0</v>
      </c>
      <c r="I236">
        <v>0</v>
      </c>
      <c r="J236">
        <v>1</v>
      </c>
      <c r="K236">
        <v>0</v>
      </c>
      <c r="L236">
        <v>0</v>
      </c>
      <c r="M236">
        <f>region_summary__43[[#This Row],[REJECTED BY Admin Kabupaten]]+region_summary__43[[#This Row],[REJECTED BY Pengawas]]</f>
        <v>0</v>
      </c>
    </row>
    <row r="237" spans="1:13" x14ac:dyDescent="0.25">
      <c r="A237" s="5" t="s">
        <v>66</v>
      </c>
      <c r="B237">
        <v>7172012005000600</v>
      </c>
      <c r="C237">
        <v>59</v>
      </c>
      <c r="D237">
        <v>54</v>
      </c>
      <c r="E237">
        <v>1</v>
      </c>
      <c r="F237">
        <v>0</v>
      </c>
      <c r="G237">
        <v>4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region_summary__43[[#This Row],[REJECTED BY Admin Kabupaten]]+region_summary__43[[#This Row],[REJECTED BY Pengawas]]</f>
        <v>0</v>
      </c>
    </row>
    <row r="238" spans="1:13" x14ac:dyDescent="0.25">
      <c r="A238" s="5" t="s">
        <v>66</v>
      </c>
      <c r="B238">
        <v>7172012005000500</v>
      </c>
      <c r="C238">
        <v>56</v>
      </c>
      <c r="D238">
        <v>51</v>
      </c>
      <c r="E238">
        <v>0</v>
      </c>
      <c r="F238">
        <v>0</v>
      </c>
      <c r="G238">
        <v>5</v>
      </c>
      <c r="H238">
        <v>0</v>
      </c>
      <c r="I238">
        <v>0</v>
      </c>
      <c r="J238">
        <v>0</v>
      </c>
      <c r="K238">
        <v>0</v>
      </c>
      <c r="L238">
        <v>0</v>
      </c>
      <c r="M238">
        <f>region_summary__43[[#This Row],[REJECTED BY Admin Kabupaten]]+region_summary__43[[#This Row],[REJECTED BY Pengawas]]</f>
        <v>0</v>
      </c>
    </row>
    <row r="239" spans="1:13" x14ac:dyDescent="0.25">
      <c r="A239" s="5" t="s">
        <v>66</v>
      </c>
      <c r="B239">
        <v>7172012005002400</v>
      </c>
      <c r="C239">
        <v>52</v>
      </c>
      <c r="D239">
        <v>36</v>
      </c>
      <c r="E239">
        <v>2</v>
      </c>
      <c r="F239">
        <v>0</v>
      </c>
      <c r="G239">
        <v>12</v>
      </c>
      <c r="H239">
        <v>0</v>
      </c>
      <c r="I239">
        <v>0</v>
      </c>
      <c r="J239">
        <v>0</v>
      </c>
      <c r="K239">
        <v>2</v>
      </c>
      <c r="L239">
        <v>0</v>
      </c>
      <c r="M239">
        <f>region_summary__43[[#This Row],[REJECTED BY Admin Kabupaten]]+region_summary__43[[#This Row],[REJECTED BY Pengawas]]</f>
        <v>0</v>
      </c>
    </row>
    <row r="240" spans="1:13" x14ac:dyDescent="0.25">
      <c r="A240" s="5" t="s">
        <v>66</v>
      </c>
      <c r="B240">
        <v>7172012005002200</v>
      </c>
      <c r="C240">
        <v>47</v>
      </c>
      <c r="D240">
        <v>20</v>
      </c>
      <c r="E240">
        <v>0</v>
      </c>
      <c r="F240">
        <v>0</v>
      </c>
      <c r="G240">
        <v>24</v>
      </c>
      <c r="H240">
        <v>0</v>
      </c>
      <c r="I240">
        <v>0</v>
      </c>
      <c r="J240">
        <v>0</v>
      </c>
      <c r="K240">
        <v>3</v>
      </c>
      <c r="L240">
        <v>0</v>
      </c>
      <c r="M240">
        <f>region_summary__43[[#This Row],[REJECTED BY Admin Kabupaten]]+region_summary__43[[#This Row],[REJECTED BY Pengawas]]</f>
        <v>0</v>
      </c>
    </row>
    <row r="241" spans="1:13" x14ac:dyDescent="0.25">
      <c r="A241" s="5" t="s">
        <v>66</v>
      </c>
      <c r="B241">
        <v>7172012005002300</v>
      </c>
      <c r="C241">
        <v>46</v>
      </c>
      <c r="D241">
        <v>0</v>
      </c>
      <c r="E241">
        <v>11</v>
      </c>
      <c r="F241">
        <v>0</v>
      </c>
      <c r="G241">
        <v>34</v>
      </c>
      <c r="H241">
        <v>0</v>
      </c>
      <c r="I241">
        <v>0</v>
      </c>
      <c r="J241">
        <v>0</v>
      </c>
      <c r="K241">
        <v>1</v>
      </c>
      <c r="L241">
        <v>0</v>
      </c>
      <c r="M241">
        <f>region_summary__43[[#This Row],[REJECTED BY Admin Kabupaten]]+region_summary__43[[#This Row],[REJECTED BY Pengawas]]</f>
        <v>0</v>
      </c>
    </row>
    <row r="242" spans="1:13" x14ac:dyDescent="0.25">
      <c r="A242" s="5" t="s">
        <v>66</v>
      </c>
      <c r="B242">
        <v>7172012005000300</v>
      </c>
      <c r="C242">
        <v>42</v>
      </c>
      <c r="D242">
        <v>39</v>
      </c>
      <c r="E242">
        <v>0</v>
      </c>
      <c r="F242">
        <v>1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f>region_summary__43[[#This Row],[REJECTED BY Admin Kabupaten]]+region_summary__43[[#This Row],[REJECTED BY Pengawas]]</f>
        <v>0</v>
      </c>
    </row>
    <row r="243" spans="1:13" x14ac:dyDescent="0.25">
      <c r="A243" s="5" t="s">
        <v>66</v>
      </c>
      <c r="B243">
        <v>7172012005002100</v>
      </c>
      <c r="C243">
        <v>36</v>
      </c>
      <c r="D243">
        <v>19</v>
      </c>
      <c r="E243">
        <v>4</v>
      </c>
      <c r="F243">
        <v>0</v>
      </c>
      <c r="G243">
        <v>8</v>
      </c>
      <c r="H243">
        <v>0</v>
      </c>
      <c r="I243">
        <v>0</v>
      </c>
      <c r="J243">
        <v>0</v>
      </c>
      <c r="K243">
        <v>5</v>
      </c>
      <c r="L243">
        <v>0</v>
      </c>
      <c r="M243">
        <f>region_summary__43[[#This Row],[REJECTED BY Admin Kabupaten]]+region_summary__43[[#This Row],[REJECTED BY Pengawas]]</f>
        <v>0</v>
      </c>
    </row>
    <row r="244" spans="1:13" x14ac:dyDescent="0.25">
      <c r="A244" s="5" t="s">
        <v>66</v>
      </c>
      <c r="B244">
        <v>7172012005002000</v>
      </c>
      <c r="C244">
        <v>28</v>
      </c>
      <c r="D244">
        <v>5</v>
      </c>
      <c r="E244">
        <v>2</v>
      </c>
      <c r="F244">
        <v>0</v>
      </c>
      <c r="G244">
        <v>15</v>
      </c>
      <c r="H244">
        <v>0</v>
      </c>
      <c r="I244">
        <v>0</v>
      </c>
      <c r="J244">
        <v>0</v>
      </c>
      <c r="K244">
        <v>6</v>
      </c>
      <c r="L244">
        <v>0</v>
      </c>
      <c r="M244">
        <f>region_summary__43[[#This Row],[REJECTED BY Admin Kabupaten]]+region_summary__43[[#This Row],[REJECTED BY Pengawas]]</f>
        <v>0</v>
      </c>
    </row>
    <row r="245" spans="1:13" x14ac:dyDescent="0.25">
      <c r="A245" s="5" t="s">
        <v>69</v>
      </c>
      <c r="B245">
        <v>7172012006000801</v>
      </c>
      <c r="C245">
        <v>156</v>
      </c>
      <c r="D245">
        <v>93</v>
      </c>
      <c r="E245">
        <v>4</v>
      </c>
      <c r="F245">
        <v>1</v>
      </c>
      <c r="G245">
        <v>58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region_summary__43[[#This Row],[REJECTED BY Admin Kabupaten]]+region_summary__43[[#This Row],[REJECTED BY Pengawas]]</f>
        <v>0</v>
      </c>
    </row>
    <row r="246" spans="1:13" x14ac:dyDescent="0.25">
      <c r="A246" s="5" t="s">
        <v>69</v>
      </c>
      <c r="B246">
        <v>7172012006000700</v>
      </c>
      <c r="C246">
        <v>135</v>
      </c>
      <c r="D246">
        <v>0</v>
      </c>
      <c r="E246">
        <v>0</v>
      </c>
      <c r="F246">
        <v>0</v>
      </c>
      <c r="G246">
        <v>135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region_summary__43[[#This Row],[REJECTED BY Admin Kabupaten]]+region_summary__43[[#This Row],[REJECTED BY Pengawas]]</f>
        <v>0</v>
      </c>
    </row>
    <row r="247" spans="1:13" x14ac:dyDescent="0.25">
      <c r="A247" s="5" t="s">
        <v>69</v>
      </c>
      <c r="B247">
        <v>7172012006000901</v>
      </c>
      <c r="C247">
        <v>130</v>
      </c>
      <c r="D247">
        <v>0</v>
      </c>
      <c r="E247">
        <v>0</v>
      </c>
      <c r="F247">
        <v>0</v>
      </c>
      <c r="G247">
        <v>130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f>region_summary__43[[#This Row],[REJECTED BY Admin Kabupaten]]+region_summary__43[[#This Row],[REJECTED BY Pengawas]]</f>
        <v>0</v>
      </c>
    </row>
    <row r="248" spans="1:13" x14ac:dyDescent="0.25">
      <c r="A248" s="5" t="s">
        <v>69</v>
      </c>
      <c r="B248">
        <v>7172012006000802</v>
      </c>
      <c r="C248">
        <v>122</v>
      </c>
      <c r="D248">
        <v>114</v>
      </c>
      <c r="E248">
        <v>5</v>
      </c>
      <c r="F248">
        <v>1</v>
      </c>
      <c r="G248">
        <v>0</v>
      </c>
      <c r="H248">
        <v>0</v>
      </c>
      <c r="I248">
        <v>0</v>
      </c>
      <c r="J248">
        <v>0</v>
      </c>
      <c r="K248">
        <v>2</v>
      </c>
      <c r="L248">
        <v>0</v>
      </c>
      <c r="M248">
        <f>region_summary__43[[#This Row],[REJECTED BY Admin Kabupaten]]+region_summary__43[[#This Row],[REJECTED BY Pengawas]]</f>
        <v>0</v>
      </c>
    </row>
    <row r="249" spans="1:13" x14ac:dyDescent="0.25">
      <c r="A249" s="5" t="s">
        <v>69</v>
      </c>
      <c r="B249">
        <v>7172012006000600</v>
      </c>
      <c r="C249">
        <v>97</v>
      </c>
      <c r="D249">
        <v>0</v>
      </c>
      <c r="E249">
        <v>20</v>
      </c>
      <c r="F249">
        <v>0</v>
      </c>
      <c r="G249">
        <v>60</v>
      </c>
      <c r="H249">
        <v>0</v>
      </c>
      <c r="I249">
        <v>0</v>
      </c>
      <c r="J249">
        <v>0</v>
      </c>
      <c r="K249">
        <v>17</v>
      </c>
      <c r="L249">
        <v>0</v>
      </c>
      <c r="M249">
        <f>region_summary__43[[#This Row],[REJECTED BY Admin Kabupaten]]+region_summary__43[[#This Row],[REJECTED BY Pengawas]]</f>
        <v>0</v>
      </c>
    </row>
    <row r="250" spans="1:13" x14ac:dyDescent="0.25">
      <c r="A250" s="5" t="s">
        <v>69</v>
      </c>
      <c r="B250">
        <v>7172012006000500</v>
      </c>
      <c r="C250">
        <v>75</v>
      </c>
      <c r="D250">
        <v>72</v>
      </c>
      <c r="E250">
        <v>1</v>
      </c>
      <c r="F250">
        <v>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region_summary__43[[#This Row],[REJECTED BY Admin Kabupaten]]+region_summary__43[[#This Row],[REJECTED BY Pengawas]]</f>
        <v>0</v>
      </c>
    </row>
    <row r="251" spans="1:13" x14ac:dyDescent="0.25">
      <c r="A251" s="5" t="s">
        <v>73</v>
      </c>
      <c r="B251">
        <v>7172012007001300</v>
      </c>
      <c r="C251">
        <v>170</v>
      </c>
      <c r="D251">
        <v>103</v>
      </c>
      <c r="E251">
        <v>3</v>
      </c>
      <c r="F251">
        <v>1</v>
      </c>
      <c r="G251">
        <v>63</v>
      </c>
      <c r="H251">
        <v>0</v>
      </c>
      <c r="I251">
        <v>0</v>
      </c>
      <c r="J251">
        <v>0</v>
      </c>
      <c r="K251">
        <v>0</v>
      </c>
      <c r="L251">
        <v>0</v>
      </c>
      <c r="M251">
        <f>region_summary__43[[#This Row],[REJECTED BY Admin Kabupaten]]+region_summary__43[[#This Row],[REJECTED BY Pengawas]]</f>
        <v>0</v>
      </c>
    </row>
    <row r="252" spans="1:13" x14ac:dyDescent="0.25">
      <c r="A252" s="5" t="s">
        <v>73</v>
      </c>
      <c r="B252">
        <v>7172012007001400</v>
      </c>
      <c r="C252">
        <v>114</v>
      </c>
      <c r="D252">
        <v>52</v>
      </c>
      <c r="E252">
        <v>3</v>
      </c>
      <c r="F252">
        <v>0</v>
      </c>
      <c r="G252">
        <v>51</v>
      </c>
      <c r="H252">
        <v>0</v>
      </c>
      <c r="I252">
        <v>0</v>
      </c>
      <c r="J252">
        <v>0</v>
      </c>
      <c r="K252">
        <v>8</v>
      </c>
      <c r="L252">
        <v>0</v>
      </c>
      <c r="M252">
        <f>region_summary__43[[#This Row],[REJECTED BY Admin Kabupaten]]+region_summary__43[[#This Row],[REJECTED BY Pengawas]]</f>
        <v>0</v>
      </c>
    </row>
    <row r="253" spans="1:13" x14ac:dyDescent="0.25">
      <c r="A253" s="5" t="s">
        <v>73</v>
      </c>
      <c r="B253">
        <v>7172012007001500</v>
      </c>
      <c r="C253">
        <v>103</v>
      </c>
      <c r="D253">
        <v>84</v>
      </c>
      <c r="E253">
        <v>3</v>
      </c>
      <c r="F253">
        <v>1</v>
      </c>
      <c r="G253">
        <v>15</v>
      </c>
      <c r="H253">
        <v>0</v>
      </c>
      <c r="I253">
        <v>0</v>
      </c>
      <c r="J253">
        <v>0</v>
      </c>
      <c r="K253">
        <v>0</v>
      </c>
      <c r="L253">
        <v>0</v>
      </c>
      <c r="M253">
        <f>region_summary__43[[#This Row],[REJECTED BY Admin Kabupaten]]+region_summary__43[[#This Row],[REJECTED BY Pengawas]]</f>
        <v>0</v>
      </c>
    </row>
    <row r="254" spans="1:13" x14ac:dyDescent="0.25">
      <c r="A254" s="5" t="s">
        <v>73</v>
      </c>
      <c r="B254">
        <v>7172012007001200</v>
      </c>
      <c r="C254">
        <v>85</v>
      </c>
      <c r="D254">
        <v>11</v>
      </c>
      <c r="E254">
        <v>0</v>
      </c>
      <c r="F254">
        <v>0</v>
      </c>
      <c r="G254">
        <v>74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region_summary__43[[#This Row],[REJECTED BY Admin Kabupaten]]+region_summary__43[[#This Row],[REJECTED BY Pengawas]]</f>
        <v>0</v>
      </c>
    </row>
    <row r="255" spans="1:13" x14ac:dyDescent="0.25">
      <c r="A255" s="5" t="s">
        <v>73</v>
      </c>
      <c r="B255">
        <v>7172012007001600</v>
      </c>
      <c r="C255">
        <v>81</v>
      </c>
      <c r="D255">
        <v>6</v>
      </c>
      <c r="E255">
        <v>0</v>
      </c>
      <c r="F255">
        <v>0</v>
      </c>
      <c r="G255">
        <v>75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region_summary__43[[#This Row],[REJECTED BY Admin Kabupaten]]+region_summary__43[[#This Row],[REJECTED BY Pengawas]]</f>
        <v>0</v>
      </c>
    </row>
    <row r="256" spans="1:13" x14ac:dyDescent="0.25">
      <c r="A256" s="5" t="s">
        <v>73</v>
      </c>
      <c r="B256">
        <v>7172012007001900</v>
      </c>
      <c r="C256">
        <v>78</v>
      </c>
      <c r="D256">
        <v>4</v>
      </c>
      <c r="E256">
        <v>0</v>
      </c>
      <c r="F256">
        <v>0</v>
      </c>
      <c r="G256">
        <v>73</v>
      </c>
      <c r="H256">
        <v>0</v>
      </c>
      <c r="I256">
        <v>0</v>
      </c>
      <c r="J256">
        <v>0</v>
      </c>
      <c r="K256">
        <v>1</v>
      </c>
      <c r="L256">
        <v>0</v>
      </c>
      <c r="M256">
        <f>region_summary__43[[#This Row],[REJECTED BY Admin Kabupaten]]+region_summary__43[[#This Row],[REJECTED BY Pengawas]]</f>
        <v>0</v>
      </c>
    </row>
    <row r="257" spans="1:13" x14ac:dyDescent="0.25">
      <c r="A257" s="5" t="s">
        <v>77</v>
      </c>
      <c r="B257">
        <v>7172021003000200</v>
      </c>
      <c r="C257">
        <v>114</v>
      </c>
      <c r="D257">
        <v>109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5</v>
      </c>
      <c r="L257">
        <v>0</v>
      </c>
      <c r="M257">
        <f>region_summary__43[[#This Row],[REJECTED BY Admin Kabupaten]]+region_summary__43[[#This Row],[REJECTED BY Pengawas]]</f>
        <v>0</v>
      </c>
    </row>
    <row r="258" spans="1:13" x14ac:dyDescent="0.25">
      <c r="A258" s="5" t="s">
        <v>77</v>
      </c>
      <c r="B258">
        <v>7172021003000400</v>
      </c>
      <c r="C258">
        <v>109</v>
      </c>
      <c r="D258">
        <v>74</v>
      </c>
      <c r="E258">
        <v>2</v>
      </c>
      <c r="F258">
        <v>0</v>
      </c>
      <c r="G258">
        <v>20</v>
      </c>
      <c r="H258">
        <v>0</v>
      </c>
      <c r="I258">
        <v>0</v>
      </c>
      <c r="J258">
        <v>0</v>
      </c>
      <c r="K258">
        <v>13</v>
      </c>
      <c r="L258">
        <v>0</v>
      </c>
      <c r="M258">
        <f>region_summary__43[[#This Row],[REJECTED BY Admin Kabupaten]]+region_summary__43[[#This Row],[REJECTED BY Pengawas]]</f>
        <v>0</v>
      </c>
    </row>
    <row r="259" spans="1:13" x14ac:dyDescent="0.25">
      <c r="A259" s="5" t="s">
        <v>77</v>
      </c>
      <c r="B259">
        <v>7172021003000500</v>
      </c>
      <c r="C259">
        <v>94</v>
      </c>
      <c r="D259">
        <v>0</v>
      </c>
      <c r="E259">
        <v>0</v>
      </c>
      <c r="F259">
        <v>0</v>
      </c>
      <c r="G259">
        <v>94</v>
      </c>
      <c r="H259">
        <v>0</v>
      </c>
      <c r="I259">
        <v>0</v>
      </c>
      <c r="J259">
        <v>0</v>
      </c>
      <c r="K259">
        <v>0</v>
      </c>
      <c r="L259">
        <v>0</v>
      </c>
      <c r="M259">
        <f>region_summary__43[[#This Row],[REJECTED BY Admin Kabupaten]]+region_summary__43[[#This Row],[REJECTED BY Pengawas]]</f>
        <v>0</v>
      </c>
    </row>
    <row r="260" spans="1:13" x14ac:dyDescent="0.25">
      <c r="A260" s="5" t="s">
        <v>77</v>
      </c>
      <c r="B260">
        <v>7172021003000600</v>
      </c>
      <c r="C260">
        <v>81</v>
      </c>
      <c r="D260">
        <v>0</v>
      </c>
      <c r="E260">
        <v>0</v>
      </c>
      <c r="F260">
        <v>0</v>
      </c>
      <c r="G260">
        <v>81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region_summary__43[[#This Row],[REJECTED BY Admin Kabupaten]]+region_summary__43[[#This Row],[REJECTED BY Pengawas]]</f>
        <v>0</v>
      </c>
    </row>
    <row r="261" spans="1:13" x14ac:dyDescent="0.25">
      <c r="A261" s="5" t="s">
        <v>77</v>
      </c>
      <c r="B261">
        <v>7172021003000700</v>
      </c>
      <c r="C261">
        <v>51</v>
      </c>
      <c r="D261">
        <v>0</v>
      </c>
      <c r="E261">
        <v>0</v>
      </c>
      <c r="F261">
        <v>0</v>
      </c>
      <c r="G261">
        <v>51</v>
      </c>
      <c r="H261">
        <v>0</v>
      </c>
      <c r="I261">
        <v>0</v>
      </c>
      <c r="J261">
        <v>0</v>
      </c>
      <c r="K261">
        <v>0</v>
      </c>
      <c r="L261">
        <v>0</v>
      </c>
      <c r="M261">
        <f>region_summary__43[[#This Row],[REJECTED BY Admin Kabupaten]]+region_summary__43[[#This Row],[REJECTED BY Pengawas]]</f>
        <v>0</v>
      </c>
    </row>
    <row r="262" spans="1:13" x14ac:dyDescent="0.25">
      <c r="A262" s="5" t="s">
        <v>80</v>
      </c>
      <c r="B262">
        <v>7172021006001200</v>
      </c>
      <c r="C262">
        <v>89</v>
      </c>
      <c r="D262">
        <v>13</v>
      </c>
      <c r="E262">
        <v>0</v>
      </c>
      <c r="F262">
        <v>0</v>
      </c>
      <c r="G262">
        <v>76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region_summary__43[[#This Row],[REJECTED BY Admin Kabupaten]]+region_summary__43[[#This Row],[REJECTED BY Pengawas]]</f>
        <v>0</v>
      </c>
    </row>
    <row r="263" spans="1:13" x14ac:dyDescent="0.25">
      <c r="A263" s="5" t="s">
        <v>80</v>
      </c>
      <c r="B263">
        <v>7172021006001400</v>
      </c>
      <c r="C263">
        <v>81</v>
      </c>
      <c r="D263">
        <v>49</v>
      </c>
      <c r="E263">
        <v>2</v>
      </c>
      <c r="F263">
        <v>0</v>
      </c>
      <c r="G263">
        <v>30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f>region_summary__43[[#This Row],[REJECTED BY Admin Kabupaten]]+region_summary__43[[#This Row],[REJECTED BY Pengawas]]</f>
        <v>0</v>
      </c>
    </row>
    <row r="264" spans="1:13" x14ac:dyDescent="0.25">
      <c r="A264" s="5" t="s">
        <v>80</v>
      </c>
      <c r="B264">
        <v>7172021006001500</v>
      </c>
      <c r="C264">
        <v>66</v>
      </c>
      <c r="D264">
        <v>1</v>
      </c>
      <c r="E264">
        <v>0</v>
      </c>
      <c r="F264">
        <v>0</v>
      </c>
      <c r="G264">
        <v>65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region_summary__43[[#This Row],[REJECTED BY Admin Kabupaten]]+region_summary__43[[#This Row],[REJECTED BY Pengawas]]</f>
        <v>0</v>
      </c>
    </row>
    <row r="265" spans="1:13" x14ac:dyDescent="0.25">
      <c r="A265" s="5" t="s">
        <v>80</v>
      </c>
      <c r="B265">
        <v>7172021006000900</v>
      </c>
      <c r="C265">
        <v>62</v>
      </c>
      <c r="D265">
        <v>51</v>
      </c>
      <c r="E265">
        <v>0</v>
      </c>
      <c r="F265">
        <v>0</v>
      </c>
      <c r="G265">
        <v>7</v>
      </c>
      <c r="H265">
        <v>0</v>
      </c>
      <c r="I265">
        <v>0</v>
      </c>
      <c r="J265">
        <v>0</v>
      </c>
      <c r="K265">
        <v>4</v>
      </c>
      <c r="L265">
        <v>0</v>
      </c>
      <c r="M265">
        <f>region_summary__43[[#This Row],[REJECTED BY Admin Kabupaten]]+region_summary__43[[#This Row],[REJECTED BY Pengawas]]</f>
        <v>0</v>
      </c>
    </row>
    <row r="266" spans="1:13" x14ac:dyDescent="0.25">
      <c r="A266" s="5" t="s">
        <v>80</v>
      </c>
      <c r="B266">
        <v>7172021006001000</v>
      </c>
      <c r="C266">
        <v>58</v>
      </c>
      <c r="D266">
        <v>7</v>
      </c>
      <c r="E266">
        <v>0</v>
      </c>
      <c r="F266">
        <v>0</v>
      </c>
      <c r="G266">
        <v>48</v>
      </c>
      <c r="H266">
        <v>0</v>
      </c>
      <c r="I266">
        <v>2</v>
      </c>
      <c r="J266">
        <v>1</v>
      </c>
      <c r="K266">
        <v>0</v>
      </c>
      <c r="L266">
        <v>0</v>
      </c>
      <c r="M266">
        <f>region_summary__43[[#This Row],[REJECTED BY Admin Kabupaten]]+region_summary__43[[#This Row],[REJECTED BY Pengawas]]</f>
        <v>2</v>
      </c>
    </row>
    <row r="267" spans="1:13" x14ac:dyDescent="0.25">
      <c r="A267" s="5" t="s">
        <v>80</v>
      </c>
      <c r="B267">
        <v>7172021006000800</v>
      </c>
      <c r="C267">
        <v>53</v>
      </c>
      <c r="D267">
        <v>48</v>
      </c>
      <c r="E267">
        <v>2</v>
      </c>
      <c r="F267">
        <v>0</v>
      </c>
      <c r="G267">
        <v>3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region_summary__43[[#This Row],[REJECTED BY Admin Kabupaten]]+region_summary__43[[#This Row],[REJECTED BY Pengawas]]</f>
        <v>0</v>
      </c>
    </row>
    <row r="268" spans="1:13" x14ac:dyDescent="0.25">
      <c r="A268" s="5" t="s">
        <v>80</v>
      </c>
      <c r="B268">
        <v>7172021006001300</v>
      </c>
      <c r="C268">
        <v>45</v>
      </c>
      <c r="D268">
        <v>42</v>
      </c>
      <c r="E268">
        <v>0</v>
      </c>
      <c r="F268">
        <v>0</v>
      </c>
      <c r="G268">
        <v>0</v>
      </c>
      <c r="H268">
        <v>0</v>
      </c>
      <c r="I268">
        <v>2</v>
      </c>
      <c r="J268">
        <v>1</v>
      </c>
      <c r="K268">
        <v>0</v>
      </c>
      <c r="L268">
        <v>0</v>
      </c>
      <c r="M268">
        <f>region_summary__43[[#This Row],[REJECTED BY Admin Kabupaten]]+region_summary__43[[#This Row],[REJECTED BY Pengawas]]</f>
        <v>2</v>
      </c>
    </row>
    <row r="269" spans="1:13" x14ac:dyDescent="0.25">
      <c r="A269" s="5" t="s">
        <v>80</v>
      </c>
      <c r="B269">
        <v>7172021006001100</v>
      </c>
      <c r="C269">
        <v>42</v>
      </c>
      <c r="D269">
        <v>6</v>
      </c>
      <c r="E269">
        <v>0</v>
      </c>
      <c r="F269">
        <v>0</v>
      </c>
      <c r="G269">
        <v>36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f>region_summary__43[[#This Row],[REJECTED BY Admin Kabupaten]]+region_summary__43[[#This Row],[REJECTED BY Pengawas]]</f>
        <v>0</v>
      </c>
    </row>
    <row r="270" spans="1:13" x14ac:dyDescent="0.25">
      <c r="A270" s="5" t="s">
        <v>239</v>
      </c>
      <c r="B270">
        <v>7172021006002200</v>
      </c>
      <c r="C270">
        <v>83</v>
      </c>
      <c r="D270">
        <v>38</v>
      </c>
      <c r="E270">
        <v>3</v>
      </c>
      <c r="F270">
        <v>0</v>
      </c>
      <c r="G270">
        <v>39</v>
      </c>
      <c r="H270">
        <v>0</v>
      </c>
      <c r="I270">
        <v>0</v>
      </c>
      <c r="J270">
        <v>0</v>
      </c>
      <c r="K270">
        <v>3</v>
      </c>
      <c r="L270">
        <v>0</v>
      </c>
      <c r="M270">
        <f>region_summary__43[[#This Row],[REJECTED BY Admin Kabupaten]]+region_summary__43[[#This Row],[REJECTED BY Pengawas]]</f>
        <v>0</v>
      </c>
    </row>
    <row r="271" spans="1:13" x14ac:dyDescent="0.25">
      <c r="A271" s="5" t="s">
        <v>239</v>
      </c>
      <c r="B271">
        <v>7172021006001600</v>
      </c>
      <c r="C271">
        <v>74</v>
      </c>
      <c r="D271">
        <v>54</v>
      </c>
      <c r="E271">
        <v>12</v>
      </c>
      <c r="F271">
        <v>0</v>
      </c>
      <c r="G271">
        <v>8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region_summary__43[[#This Row],[REJECTED BY Admin Kabupaten]]+region_summary__43[[#This Row],[REJECTED BY Pengawas]]</f>
        <v>0</v>
      </c>
    </row>
    <row r="272" spans="1:13" x14ac:dyDescent="0.25">
      <c r="A272" s="5" t="s">
        <v>239</v>
      </c>
      <c r="B272">
        <v>7172021006001800</v>
      </c>
      <c r="C272">
        <v>58</v>
      </c>
      <c r="D272">
        <v>17</v>
      </c>
      <c r="E272">
        <v>7</v>
      </c>
      <c r="F272">
        <v>0</v>
      </c>
      <c r="G272">
        <v>34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region_summary__43[[#This Row],[REJECTED BY Admin Kabupaten]]+region_summary__43[[#This Row],[REJECTED BY Pengawas]]</f>
        <v>0</v>
      </c>
    </row>
    <row r="273" spans="1:13" x14ac:dyDescent="0.25">
      <c r="A273" s="5" t="s">
        <v>239</v>
      </c>
      <c r="B273">
        <v>7172021007000400</v>
      </c>
      <c r="C273">
        <v>55</v>
      </c>
      <c r="D273">
        <v>4</v>
      </c>
      <c r="E273">
        <v>1</v>
      </c>
      <c r="F273">
        <v>0</v>
      </c>
      <c r="G273">
        <v>49</v>
      </c>
      <c r="H273">
        <v>0</v>
      </c>
      <c r="I273">
        <v>0</v>
      </c>
      <c r="J273">
        <v>1</v>
      </c>
      <c r="K273">
        <v>0</v>
      </c>
      <c r="L273">
        <v>0</v>
      </c>
      <c r="M273">
        <f>region_summary__43[[#This Row],[REJECTED BY Admin Kabupaten]]+region_summary__43[[#This Row],[REJECTED BY Pengawas]]</f>
        <v>0</v>
      </c>
    </row>
    <row r="274" spans="1:13" x14ac:dyDescent="0.25">
      <c r="A274" s="5" t="s">
        <v>239</v>
      </c>
      <c r="B274">
        <v>7172021007000100</v>
      </c>
      <c r="C274">
        <v>52</v>
      </c>
      <c r="D274">
        <v>43</v>
      </c>
      <c r="E274">
        <v>4</v>
      </c>
      <c r="F274">
        <v>0</v>
      </c>
      <c r="G274">
        <v>4</v>
      </c>
      <c r="H274">
        <v>0</v>
      </c>
      <c r="I274">
        <v>0</v>
      </c>
      <c r="J274">
        <v>0</v>
      </c>
      <c r="K274">
        <v>1</v>
      </c>
      <c r="L274">
        <v>0</v>
      </c>
      <c r="M274">
        <f>region_summary__43[[#This Row],[REJECTED BY Admin Kabupaten]]+region_summary__43[[#This Row],[REJECTED BY Pengawas]]</f>
        <v>0</v>
      </c>
    </row>
    <row r="275" spans="1:13" x14ac:dyDescent="0.25">
      <c r="A275" s="5" t="s">
        <v>239</v>
      </c>
      <c r="B275">
        <v>7172021006001700</v>
      </c>
      <c r="C275">
        <v>45</v>
      </c>
      <c r="D275">
        <v>42</v>
      </c>
      <c r="E275">
        <v>1</v>
      </c>
      <c r="F275">
        <v>0</v>
      </c>
      <c r="G275">
        <v>1</v>
      </c>
      <c r="H275">
        <v>0</v>
      </c>
      <c r="I275">
        <v>0</v>
      </c>
      <c r="J275">
        <v>0</v>
      </c>
      <c r="K275">
        <v>1</v>
      </c>
      <c r="L275">
        <v>0</v>
      </c>
      <c r="M275">
        <f>region_summary__43[[#This Row],[REJECTED BY Admin Kabupaten]]+region_summary__43[[#This Row],[REJECTED BY Pengawas]]</f>
        <v>0</v>
      </c>
    </row>
    <row r="276" spans="1:13" x14ac:dyDescent="0.25">
      <c r="A276" s="5" t="s">
        <v>239</v>
      </c>
      <c r="B276">
        <v>7172021007000500</v>
      </c>
      <c r="C276">
        <v>42</v>
      </c>
      <c r="D276">
        <v>7</v>
      </c>
      <c r="E276">
        <v>1</v>
      </c>
      <c r="F276">
        <v>0</v>
      </c>
      <c r="G276">
        <v>34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region_summary__43[[#This Row],[REJECTED BY Admin Kabupaten]]+region_summary__43[[#This Row],[REJECTED BY Pengawas]]</f>
        <v>0</v>
      </c>
    </row>
    <row r="277" spans="1:13" x14ac:dyDescent="0.25">
      <c r="A277" s="5" t="s">
        <v>239</v>
      </c>
      <c r="B277">
        <v>7172021007000300</v>
      </c>
      <c r="C277">
        <v>41</v>
      </c>
      <c r="D277">
        <v>5</v>
      </c>
      <c r="E277">
        <v>6</v>
      </c>
      <c r="F277">
        <v>0</v>
      </c>
      <c r="G277">
        <v>14</v>
      </c>
      <c r="H277">
        <v>0</v>
      </c>
      <c r="I277">
        <v>0</v>
      </c>
      <c r="J277">
        <v>0</v>
      </c>
      <c r="K277">
        <v>16</v>
      </c>
      <c r="L277">
        <v>0</v>
      </c>
      <c r="M277">
        <f>region_summary__43[[#This Row],[REJECTED BY Admin Kabupaten]]+region_summary__43[[#This Row],[REJECTED BY Pengawas]]</f>
        <v>0</v>
      </c>
    </row>
    <row r="278" spans="1:13" x14ac:dyDescent="0.25">
      <c r="A278" s="5" t="s">
        <v>239</v>
      </c>
      <c r="B278">
        <v>7172021007000200</v>
      </c>
      <c r="C278">
        <v>39</v>
      </c>
      <c r="D278">
        <v>8</v>
      </c>
      <c r="E278">
        <v>2</v>
      </c>
      <c r="F278">
        <v>0</v>
      </c>
      <c r="G278">
        <v>29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region_summary__43[[#This Row],[REJECTED BY Admin Kabupaten]]+region_summary__43[[#This Row],[REJECTED BY Pengawas]]</f>
        <v>0</v>
      </c>
    </row>
    <row r="279" spans="1:13" x14ac:dyDescent="0.25">
      <c r="A279" s="5" t="s">
        <v>239</v>
      </c>
      <c r="B279">
        <v>7172021007000600</v>
      </c>
      <c r="C279">
        <v>31</v>
      </c>
      <c r="D279">
        <v>7</v>
      </c>
      <c r="E279">
        <v>1</v>
      </c>
      <c r="F279">
        <v>0</v>
      </c>
      <c r="G279">
        <v>23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region_summary__43[[#This Row],[REJECTED BY Admin Kabupaten]]+region_summary__43[[#This Row],[REJECTED BY Pengawas]]</f>
        <v>0</v>
      </c>
    </row>
    <row r="280" spans="1:13" x14ac:dyDescent="0.25">
      <c r="A280" s="5" t="s">
        <v>82</v>
      </c>
      <c r="B280">
        <v>7172022001000200</v>
      </c>
      <c r="C280">
        <v>107</v>
      </c>
      <c r="D280">
        <v>92</v>
      </c>
      <c r="E280">
        <v>6</v>
      </c>
      <c r="F280">
        <v>1</v>
      </c>
      <c r="G280">
        <v>3</v>
      </c>
      <c r="H280">
        <v>0</v>
      </c>
      <c r="I280">
        <v>0</v>
      </c>
      <c r="J280">
        <v>0</v>
      </c>
      <c r="K280">
        <v>5</v>
      </c>
      <c r="L280">
        <v>0</v>
      </c>
      <c r="M280">
        <f>region_summary__43[[#This Row],[REJECTED BY Admin Kabupaten]]+region_summary__43[[#This Row],[REJECTED BY Pengawas]]</f>
        <v>0</v>
      </c>
    </row>
    <row r="281" spans="1:13" x14ac:dyDescent="0.25">
      <c r="A281" s="5" t="s">
        <v>82</v>
      </c>
      <c r="B281">
        <v>7172022001000300</v>
      </c>
      <c r="C281">
        <v>102</v>
      </c>
      <c r="D281">
        <v>41</v>
      </c>
      <c r="E281">
        <v>10</v>
      </c>
      <c r="F281">
        <v>0</v>
      </c>
      <c r="G281">
        <v>40</v>
      </c>
      <c r="H281">
        <v>0</v>
      </c>
      <c r="I281">
        <v>0</v>
      </c>
      <c r="J281">
        <v>0</v>
      </c>
      <c r="K281">
        <v>11</v>
      </c>
      <c r="L281">
        <v>0</v>
      </c>
      <c r="M281">
        <f>region_summary__43[[#This Row],[REJECTED BY Admin Kabupaten]]+region_summary__43[[#This Row],[REJECTED BY Pengawas]]</f>
        <v>0</v>
      </c>
    </row>
    <row r="282" spans="1:13" x14ac:dyDescent="0.25">
      <c r="A282" s="5" t="s">
        <v>82</v>
      </c>
      <c r="B282">
        <v>7172022001000400</v>
      </c>
      <c r="C282">
        <v>91</v>
      </c>
      <c r="D282">
        <v>0</v>
      </c>
      <c r="E282">
        <v>0</v>
      </c>
      <c r="F282">
        <v>0</v>
      </c>
      <c r="G282">
        <v>91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region_summary__43[[#This Row],[REJECTED BY Admin Kabupaten]]+region_summary__43[[#This Row],[REJECTED BY Pengawas]]</f>
        <v>0</v>
      </c>
    </row>
    <row r="283" spans="1:13" x14ac:dyDescent="0.25">
      <c r="A283" s="5" t="s">
        <v>82</v>
      </c>
      <c r="B283">
        <v>7172022001000100</v>
      </c>
      <c r="C283">
        <v>85</v>
      </c>
      <c r="D283">
        <v>77</v>
      </c>
      <c r="E283">
        <v>5</v>
      </c>
      <c r="F283">
        <v>0</v>
      </c>
      <c r="G283">
        <v>3</v>
      </c>
      <c r="H283">
        <v>0</v>
      </c>
      <c r="I283">
        <v>0</v>
      </c>
      <c r="J283">
        <v>0</v>
      </c>
      <c r="K283">
        <v>0</v>
      </c>
      <c r="L283">
        <v>0</v>
      </c>
      <c r="M283">
        <f>region_summary__43[[#This Row],[REJECTED BY Admin Kabupaten]]+region_summary__43[[#This Row],[REJECTED BY Pengawas]]</f>
        <v>0</v>
      </c>
    </row>
    <row r="284" spans="1:13" x14ac:dyDescent="0.25">
      <c r="A284" s="5" t="s">
        <v>82</v>
      </c>
      <c r="B284">
        <v>7172022001000500</v>
      </c>
      <c r="C284">
        <v>78</v>
      </c>
      <c r="D284">
        <v>0</v>
      </c>
      <c r="E284">
        <v>0</v>
      </c>
      <c r="F284">
        <v>0</v>
      </c>
      <c r="G284">
        <v>78</v>
      </c>
      <c r="H284">
        <v>0</v>
      </c>
      <c r="I284">
        <v>0</v>
      </c>
      <c r="J284">
        <v>0</v>
      </c>
      <c r="K284">
        <v>0</v>
      </c>
      <c r="L284">
        <v>0</v>
      </c>
      <c r="M284">
        <f>region_summary__43[[#This Row],[REJECTED BY Admin Kabupaten]]+region_summary__43[[#This Row],[REJECTED BY Pengawas]]</f>
        <v>0</v>
      </c>
    </row>
    <row r="285" spans="1:13" x14ac:dyDescent="0.25">
      <c r="A285" s="5" t="s">
        <v>86</v>
      </c>
      <c r="B285">
        <v>7172022009000500</v>
      </c>
      <c r="C285">
        <v>72</v>
      </c>
      <c r="D285">
        <v>67</v>
      </c>
      <c r="E285">
        <v>1</v>
      </c>
      <c r="F285">
        <v>1</v>
      </c>
      <c r="G285">
        <v>0</v>
      </c>
      <c r="H285">
        <v>0</v>
      </c>
      <c r="I285">
        <v>0</v>
      </c>
      <c r="J285">
        <v>0</v>
      </c>
      <c r="K285">
        <v>3</v>
      </c>
      <c r="L285">
        <v>0</v>
      </c>
      <c r="M285">
        <f>region_summary__43[[#This Row],[REJECTED BY Admin Kabupaten]]+region_summary__43[[#This Row],[REJECTED BY Pengawas]]</f>
        <v>0</v>
      </c>
    </row>
    <row r="286" spans="1:13" x14ac:dyDescent="0.25">
      <c r="A286" s="5" t="s">
        <v>86</v>
      </c>
      <c r="B286">
        <v>7172022010000700</v>
      </c>
      <c r="C286">
        <v>58</v>
      </c>
      <c r="D286">
        <v>0</v>
      </c>
      <c r="E286">
        <v>0</v>
      </c>
      <c r="F286">
        <v>0</v>
      </c>
      <c r="G286">
        <v>58</v>
      </c>
      <c r="H286">
        <v>0</v>
      </c>
      <c r="I286">
        <v>0</v>
      </c>
      <c r="J286">
        <v>0</v>
      </c>
      <c r="K286">
        <v>0</v>
      </c>
      <c r="L286">
        <v>0</v>
      </c>
      <c r="M286">
        <f>region_summary__43[[#This Row],[REJECTED BY Admin Kabupaten]]+region_summary__43[[#This Row],[REJECTED BY Pengawas]]</f>
        <v>0</v>
      </c>
    </row>
    <row r="287" spans="1:13" x14ac:dyDescent="0.25">
      <c r="A287" s="5" t="s">
        <v>86</v>
      </c>
      <c r="B287">
        <v>7172022003000100</v>
      </c>
      <c r="C287">
        <v>54</v>
      </c>
      <c r="D287">
        <v>50</v>
      </c>
      <c r="E287">
        <v>2</v>
      </c>
      <c r="F287">
        <v>0</v>
      </c>
      <c r="G287">
        <v>2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region_summary__43[[#This Row],[REJECTED BY Admin Kabupaten]]+region_summary__43[[#This Row],[REJECTED BY Pengawas]]</f>
        <v>0</v>
      </c>
    </row>
    <row r="288" spans="1:13" x14ac:dyDescent="0.25">
      <c r="A288" s="5" t="s">
        <v>86</v>
      </c>
      <c r="B288">
        <v>7172022010000300</v>
      </c>
      <c r="C288">
        <v>46</v>
      </c>
      <c r="D288">
        <v>2</v>
      </c>
      <c r="E288">
        <v>2</v>
      </c>
      <c r="F288">
        <v>0</v>
      </c>
      <c r="G288">
        <v>37</v>
      </c>
      <c r="H288">
        <v>0</v>
      </c>
      <c r="I288">
        <v>0</v>
      </c>
      <c r="J288">
        <v>0</v>
      </c>
      <c r="K288">
        <v>5</v>
      </c>
      <c r="L288">
        <v>0</v>
      </c>
      <c r="M288">
        <f>region_summary__43[[#This Row],[REJECTED BY Admin Kabupaten]]+region_summary__43[[#This Row],[REJECTED BY Pengawas]]</f>
        <v>0</v>
      </c>
    </row>
    <row r="289" spans="1:13" x14ac:dyDescent="0.25">
      <c r="A289" s="5" t="s">
        <v>86</v>
      </c>
      <c r="B289">
        <v>7172022010000100</v>
      </c>
      <c r="C289">
        <v>45</v>
      </c>
      <c r="D289">
        <v>38</v>
      </c>
      <c r="E289">
        <v>1</v>
      </c>
      <c r="F289">
        <v>0</v>
      </c>
      <c r="G289">
        <v>6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region_summary__43[[#This Row],[REJECTED BY Admin Kabupaten]]+region_summary__43[[#This Row],[REJECTED BY Pengawas]]</f>
        <v>0</v>
      </c>
    </row>
    <row r="290" spans="1:13" x14ac:dyDescent="0.25">
      <c r="A290" s="5" t="s">
        <v>86</v>
      </c>
      <c r="B290">
        <v>7172022010000500</v>
      </c>
      <c r="C290">
        <v>45</v>
      </c>
      <c r="D290">
        <v>0</v>
      </c>
      <c r="E290">
        <v>0</v>
      </c>
      <c r="F290">
        <v>0</v>
      </c>
      <c r="G290">
        <v>45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region_summary__43[[#This Row],[REJECTED BY Admin Kabupaten]]+region_summary__43[[#This Row],[REJECTED BY Pengawas]]</f>
        <v>0</v>
      </c>
    </row>
    <row r="291" spans="1:13" x14ac:dyDescent="0.25">
      <c r="A291" s="5" t="s">
        <v>86</v>
      </c>
      <c r="B291">
        <v>7172022010000400</v>
      </c>
      <c r="C291">
        <v>38</v>
      </c>
      <c r="D291">
        <v>1</v>
      </c>
      <c r="E291">
        <v>0</v>
      </c>
      <c r="F291">
        <v>0</v>
      </c>
      <c r="G291">
        <v>37</v>
      </c>
      <c r="H291">
        <v>0</v>
      </c>
      <c r="I291">
        <v>0</v>
      </c>
      <c r="J291">
        <v>0</v>
      </c>
      <c r="K291">
        <v>0</v>
      </c>
      <c r="L291">
        <v>0</v>
      </c>
      <c r="M291">
        <f>region_summary__43[[#This Row],[REJECTED BY Admin Kabupaten]]+region_summary__43[[#This Row],[REJECTED BY Pengawas]]</f>
        <v>0</v>
      </c>
    </row>
    <row r="292" spans="1:13" x14ac:dyDescent="0.25">
      <c r="A292" s="5" t="s">
        <v>86</v>
      </c>
      <c r="B292">
        <v>7172022010000600</v>
      </c>
      <c r="C292">
        <v>38</v>
      </c>
      <c r="D292">
        <v>1</v>
      </c>
      <c r="E292">
        <v>0</v>
      </c>
      <c r="F292">
        <v>0</v>
      </c>
      <c r="G292">
        <v>37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region_summary__43[[#This Row],[REJECTED BY Admin Kabupaten]]+region_summary__43[[#This Row],[REJECTED BY Pengawas]]</f>
        <v>0</v>
      </c>
    </row>
    <row r="293" spans="1:13" x14ac:dyDescent="0.25">
      <c r="A293" s="5" t="s">
        <v>86</v>
      </c>
      <c r="B293">
        <v>7172022010000200</v>
      </c>
      <c r="C293">
        <v>33</v>
      </c>
      <c r="D293">
        <v>27</v>
      </c>
      <c r="E293">
        <v>0</v>
      </c>
      <c r="F293">
        <v>0</v>
      </c>
      <c r="G293">
        <v>5</v>
      </c>
      <c r="H293">
        <v>0</v>
      </c>
      <c r="I293">
        <v>0</v>
      </c>
      <c r="J293">
        <v>0</v>
      </c>
      <c r="K293">
        <v>1</v>
      </c>
      <c r="L293">
        <v>0</v>
      </c>
      <c r="M293">
        <f>region_summary__43[[#This Row],[REJECTED BY Admin Kabupaten]]+region_summary__43[[#This Row],[REJECTED BY Pengawas]]</f>
        <v>0</v>
      </c>
    </row>
    <row r="294" spans="1:13" x14ac:dyDescent="0.25">
      <c r="A294" s="5" t="s">
        <v>84</v>
      </c>
      <c r="B294">
        <v>7172022002000100</v>
      </c>
      <c r="C294">
        <v>89</v>
      </c>
      <c r="D294">
        <v>60</v>
      </c>
      <c r="E294">
        <v>0</v>
      </c>
      <c r="F294">
        <v>0</v>
      </c>
      <c r="G294">
        <v>28</v>
      </c>
      <c r="H294">
        <v>0</v>
      </c>
      <c r="I294">
        <v>0</v>
      </c>
      <c r="J294">
        <v>1</v>
      </c>
      <c r="K294">
        <v>0</v>
      </c>
      <c r="L294">
        <v>0</v>
      </c>
      <c r="M294">
        <f>region_summary__43[[#This Row],[REJECTED BY Admin Kabupaten]]+region_summary__43[[#This Row],[REJECTED BY Pengawas]]</f>
        <v>0</v>
      </c>
    </row>
    <row r="295" spans="1:13" x14ac:dyDescent="0.25">
      <c r="A295" s="5" t="s">
        <v>84</v>
      </c>
      <c r="B295">
        <v>7172022006000200</v>
      </c>
      <c r="C295">
        <v>61</v>
      </c>
      <c r="D295">
        <v>14</v>
      </c>
      <c r="E295">
        <v>1</v>
      </c>
      <c r="F295">
        <v>0</v>
      </c>
      <c r="G295">
        <v>46</v>
      </c>
      <c r="H295">
        <v>0</v>
      </c>
      <c r="I295">
        <v>0</v>
      </c>
      <c r="J295">
        <v>0</v>
      </c>
      <c r="K295">
        <v>0</v>
      </c>
      <c r="L295">
        <v>0</v>
      </c>
      <c r="M295">
        <f>region_summary__43[[#This Row],[REJECTED BY Admin Kabupaten]]+region_summary__43[[#This Row],[REJECTED BY Pengawas]]</f>
        <v>0</v>
      </c>
    </row>
    <row r="296" spans="1:13" x14ac:dyDescent="0.25">
      <c r="A296" s="5" t="s">
        <v>84</v>
      </c>
      <c r="B296">
        <v>7172022002000200</v>
      </c>
      <c r="C296">
        <v>55</v>
      </c>
      <c r="D296">
        <v>0</v>
      </c>
      <c r="E296">
        <v>0</v>
      </c>
      <c r="F296">
        <v>0</v>
      </c>
      <c r="G296">
        <v>55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region_summary__43[[#This Row],[REJECTED BY Admin Kabupaten]]+region_summary__43[[#This Row],[REJECTED BY Pengawas]]</f>
        <v>0</v>
      </c>
    </row>
    <row r="297" spans="1:13" x14ac:dyDescent="0.25">
      <c r="A297" s="5" t="s">
        <v>84</v>
      </c>
      <c r="B297">
        <v>7172022006000100</v>
      </c>
      <c r="C297">
        <v>53</v>
      </c>
      <c r="D297">
        <v>17</v>
      </c>
      <c r="E297">
        <v>0</v>
      </c>
      <c r="F297">
        <v>0</v>
      </c>
      <c r="G297">
        <v>36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region_summary__43[[#This Row],[REJECTED BY Admin Kabupaten]]+region_summary__43[[#This Row],[REJECTED BY Pengawas]]</f>
        <v>0</v>
      </c>
    </row>
    <row r="298" spans="1:13" x14ac:dyDescent="0.25">
      <c r="A298" s="5" t="s">
        <v>84</v>
      </c>
      <c r="B298">
        <v>7172022006000400</v>
      </c>
      <c r="C298">
        <v>53</v>
      </c>
      <c r="D298">
        <v>34</v>
      </c>
      <c r="E298">
        <v>2</v>
      </c>
      <c r="F298">
        <v>0</v>
      </c>
      <c r="G298">
        <v>17</v>
      </c>
      <c r="H298">
        <v>0</v>
      </c>
      <c r="I298">
        <v>0</v>
      </c>
      <c r="J298">
        <v>0</v>
      </c>
      <c r="K298">
        <v>0</v>
      </c>
      <c r="L298">
        <v>0</v>
      </c>
      <c r="M298">
        <f>region_summary__43[[#This Row],[REJECTED BY Admin Kabupaten]]+region_summary__43[[#This Row],[REJECTED BY Pengawas]]</f>
        <v>0</v>
      </c>
    </row>
    <row r="299" spans="1:13" x14ac:dyDescent="0.25">
      <c r="A299" s="5" t="s">
        <v>84</v>
      </c>
      <c r="B299">
        <v>7172022006000600</v>
      </c>
      <c r="C299">
        <v>49</v>
      </c>
      <c r="D299">
        <v>11</v>
      </c>
      <c r="E299">
        <v>8</v>
      </c>
      <c r="F299">
        <v>0</v>
      </c>
      <c r="G299">
        <v>30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f>region_summary__43[[#This Row],[REJECTED BY Admin Kabupaten]]+region_summary__43[[#This Row],[REJECTED BY Pengawas]]</f>
        <v>0</v>
      </c>
    </row>
    <row r="300" spans="1:13" x14ac:dyDescent="0.25">
      <c r="A300" s="5" t="s">
        <v>84</v>
      </c>
      <c r="B300">
        <v>7172022006000500</v>
      </c>
      <c r="C300">
        <v>48</v>
      </c>
      <c r="D300">
        <v>40</v>
      </c>
      <c r="E300">
        <v>0</v>
      </c>
      <c r="F300">
        <v>1</v>
      </c>
      <c r="G300">
        <v>7</v>
      </c>
      <c r="H300">
        <v>0</v>
      </c>
      <c r="I300">
        <v>0</v>
      </c>
      <c r="J300">
        <v>0</v>
      </c>
      <c r="K300">
        <v>0</v>
      </c>
      <c r="L300">
        <v>0</v>
      </c>
      <c r="M300">
        <f>region_summary__43[[#This Row],[REJECTED BY Admin Kabupaten]]+region_summary__43[[#This Row],[REJECTED BY Pengawas]]</f>
        <v>0</v>
      </c>
    </row>
    <row r="301" spans="1:13" x14ac:dyDescent="0.25">
      <c r="A301" s="5" t="s">
        <v>84</v>
      </c>
      <c r="B301">
        <v>7172022006000300</v>
      </c>
      <c r="C301">
        <v>39</v>
      </c>
      <c r="D301">
        <v>9</v>
      </c>
      <c r="E301">
        <v>0</v>
      </c>
      <c r="F301">
        <v>0</v>
      </c>
      <c r="G301">
        <v>30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f>region_summary__43[[#This Row],[REJECTED BY Admin Kabupaten]]+region_summary__43[[#This Row],[REJECTED BY Pengawas]]</f>
        <v>0</v>
      </c>
    </row>
    <row r="302" spans="1:13" x14ac:dyDescent="0.25">
      <c r="A302" s="5" t="s">
        <v>84</v>
      </c>
      <c r="B302">
        <v>7172022002000300</v>
      </c>
      <c r="C302">
        <v>36</v>
      </c>
      <c r="D302">
        <v>11</v>
      </c>
      <c r="E302">
        <v>0</v>
      </c>
      <c r="F302">
        <v>0</v>
      </c>
      <c r="G302">
        <v>25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region_summary__43[[#This Row],[REJECTED BY Admin Kabupaten]]+region_summary__43[[#This Row],[REJECTED BY Pengawas]]</f>
        <v>0</v>
      </c>
    </row>
    <row r="303" spans="1:13" x14ac:dyDescent="0.25">
      <c r="A303" s="5" t="s">
        <v>87</v>
      </c>
      <c r="B303">
        <v>7172022005000200</v>
      </c>
      <c r="C303">
        <v>62</v>
      </c>
      <c r="D303">
        <v>48</v>
      </c>
      <c r="E303">
        <v>3</v>
      </c>
      <c r="F303">
        <v>0</v>
      </c>
      <c r="G303">
        <v>3</v>
      </c>
      <c r="H303">
        <v>0</v>
      </c>
      <c r="I303">
        <v>1</v>
      </c>
      <c r="J303">
        <v>0</v>
      </c>
      <c r="K303">
        <v>7</v>
      </c>
      <c r="L303">
        <v>0</v>
      </c>
      <c r="M303">
        <f>region_summary__43[[#This Row],[REJECTED BY Admin Kabupaten]]+region_summary__43[[#This Row],[REJECTED BY Pengawas]]</f>
        <v>1</v>
      </c>
    </row>
    <row r="304" spans="1:13" x14ac:dyDescent="0.25">
      <c r="A304" s="5" t="s">
        <v>87</v>
      </c>
      <c r="B304">
        <v>7172022005000300</v>
      </c>
      <c r="C304">
        <v>49</v>
      </c>
      <c r="D304">
        <v>0</v>
      </c>
      <c r="E304">
        <v>0</v>
      </c>
      <c r="F304">
        <v>0</v>
      </c>
      <c r="G304">
        <v>49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region_summary__43[[#This Row],[REJECTED BY Admin Kabupaten]]+region_summary__43[[#This Row],[REJECTED BY Pengawas]]</f>
        <v>0</v>
      </c>
    </row>
    <row r="305" spans="1:13" x14ac:dyDescent="0.25">
      <c r="A305" s="5" t="s">
        <v>87</v>
      </c>
      <c r="B305">
        <v>7172022004000100</v>
      </c>
      <c r="C305">
        <v>48</v>
      </c>
      <c r="D305">
        <v>47</v>
      </c>
      <c r="E305">
        <v>0</v>
      </c>
      <c r="F305">
        <v>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region_summary__43[[#This Row],[REJECTED BY Admin Kabupaten]]+region_summary__43[[#This Row],[REJECTED BY Pengawas]]</f>
        <v>0</v>
      </c>
    </row>
    <row r="306" spans="1:13" x14ac:dyDescent="0.25">
      <c r="A306" s="5" t="s">
        <v>87</v>
      </c>
      <c r="B306">
        <v>7172022004000200</v>
      </c>
      <c r="C306">
        <v>47</v>
      </c>
      <c r="D306">
        <v>47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region_summary__43[[#This Row],[REJECTED BY Admin Kabupaten]]+region_summary__43[[#This Row],[REJECTED BY Pengawas]]</f>
        <v>0</v>
      </c>
    </row>
    <row r="307" spans="1:13" x14ac:dyDescent="0.25">
      <c r="A307" s="5" t="s">
        <v>87</v>
      </c>
      <c r="B307">
        <v>7172022005000100</v>
      </c>
      <c r="C307">
        <v>46</v>
      </c>
      <c r="D307">
        <v>39</v>
      </c>
      <c r="E307">
        <v>1</v>
      </c>
      <c r="F307">
        <v>0</v>
      </c>
      <c r="G307">
        <v>2</v>
      </c>
      <c r="H307">
        <v>0</v>
      </c>
      <c r="I307">
        <v>0</v>
      </c>
      <c r="J307">
        <v>0</v>
      </c>
      <c r="K307">
        <v>4</v>
      </c>
      <c r="L307">
        <v>0</v>
      </c>
      <c r="M307">
        <f>region_summary__43[[#This Row],[REJECTED BY Admin Kabupaten]]+region_summary__43[[#This Row],[REJECTED BY Pengawas]]</f>
        <v>0</v>
      </c>
    </row>
    <row r="308" spans="1:13" x14ac:dyDescent="0.25">
      <c r="A308" s="5" t="s">
        <v>87</v>
      </c>
      <c r="B308">
        <v>7172022005000400</v>
      </c>
      <c r="C308">
        <v>40</v>
      </c>
      <c r="D308">
        <v>4</v>
      </c>
      <c r="E308">
        <v>7</v>
      </c>
      <c r="F308">
        <v>0</v>
      </c>
      <c r="G308">
        <v>28</v>
      </c>
      <c r="H308">
        <v>0</v>
      </c>
      <c r="I308">
        <v>0</v>
      </c>
      <c r="J308">
        <v>0</v>
      </c>
      <c r="K308">
        <v>1</v>
      </c>
      <c r="L308">
        <v>0</v>
      </c>
      <c r="M308">
        <f>region_summary__43[[#This Row],[REJECTED BY Admin Kabupaten]]+region_summary__43[[#This Row],[REJECTED BY Pengawas]]</f>
        <v>0</v>
      </c>
    </row>
    <row r="309" spans="1:13" x14ac:dyDescent="0.25">
      <c r="A309" s="5" t="s">
        <v>87</v>
      </c>
      <c r="B309">
        <v>7172022004000400</v>
      </c>
      <c r="C309">
        <v>38</v>
      </c>
      <c r="D309">
        <v>0</v>
      </c>
      <c r="E309">
        <v>1</v>
      </c>
      <c r="F309">
        <v>0</v>
      </c>
      <c r="G309">
        <v>37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region_summary__43[[#This Row],[REJECTED BY Admin Kabupaten]]+region_summary__43[[#This Row],[REJECTED BY Pengawas]]</f>
        <v>0</v>
      </c>
    </row>
    <row r="310" spans="1:13" x14ac:dyDescent="0.25">
      <c r="A310" s="5" t="s">
        <v>87</v>
      </c>
      <c r="B310">
        <v>7172022004000300</v>
      </c>
      <c r="C310">
        <v>35</v>
      </c>
      <c r="D310">
        <v>0</v>
      </c>
      <c r="E310">
        <v>1</v>
      </c>
      <c r="F310">
        <v>0</v>
      </c>
      <c r="G310">
        <v>34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region_summary__43[[#This Row],[REJECTED BY Admin Kabupaten]]+region_summary__43[[#This Row],[REJECTED BY Pengawas]]</f>
        <v>0</v>
      </c>
    </row>
    <row r="311" spans="1:13" x14ac:dyDescent="0.25">
      <c r="A311" s="5" t="s">
        <v>87</v>
      </c>
      <c r="B311">
        <v>7172022004000600</v>
      </c>
      <c r="C311">
        <v>27</v>
      </c>
      <c r="D311">
        <v>0</v>
      </c>
      <c r="E311">
        <v>0</v>
      </c>
      <c r="F311">
        <v>0</v>
      </c>
      <c r="G311">
        <v>27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region_summary__43[[#This Row],[REJECTED BY Admin Kabupaten]]+region_summary__43[[#This Row],[REJECTED BY Pengawas]]</f>
        <v>0</v>
      </c>
    </row>
    <row r="312" spans="1:13" x14ac:dyDescent="0.25">
      <c r="A312" s="5" t="s">
        <v>87</v>
      </c>
      <c r="B312">
        <v>7172022004000500</v>
      </c>
      <c r="C312">
        <v>24</v>
      </c>
      <c r="D312">
        <v>0</v>
      </c>
      <c r="E312">
        <v>0</v>
      </c>
      <c r="F312">
        <v>0</v>
      </c>
      <c r="G312">
        <v>24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region_summary__43[[#This Row],[REJECTED BY Admin Kabupaten]]+region_summary__43[[#This Row],[REJECTED BY Pengawas]]</f>
        <v>0</v>
      </c>
    </row>
    <row r="313" spans="1:13" x14ac:dyDescent="0.25">
      <c r="A313" s="5" t="s">
        <v>240</v>
      </c>
      <c r="B313">
        <v>7172022007000300</v>
      </c>
      <c r="C313">
        <v>70</v>
      </c>
      <c r="D313">
        <v>26</v>
      </c>
      <c r="E313">
        <v>1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region_summary__43[[#This Row],[REJECTED BY Admin Kabupaten]]+region_summary__43[[#This Row],[REJECTED BY Pengawas]]</f>
        <v>0</v>
      </c>
    </row>
    <row r="314" spans="1:13" x14ac:dyDescent="0.25">
      <c r="A314" s="5" t="s">
        <v>240</v>
      </c>
      <c r="B314">
        <v>7172022008000100</v>
      </c>
      <c r="C314">
        <v>70</v>
      </c>
      <c r="D314">
        <v>56</v>
      </c>
      <c r="E314">
        <v>1</v>
      </c>
      <c r="F314">
        <v>1</v>
      </c>
      <c r="G314">
        <v>12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region_summary__43[[#This Row],[REJECTED BY Admin Kabupaten]]+region_summary__43[[#This Row],[REJECTED BY Pengawas]]</f>
        <v>0</v>
      </c>
    </row>
    <row r="315" spans="1:13" x14ac:dyDescent="0.25">
      <c r="A315" s="5" t="s">
        <v>240</v>
      </c>
      <c r="B315">
        <v>7172022007000400</v>
      </c>
      <c r="C315">
        <v>62</v>
      </c>
      <c r="D315">
        <v>0</v>
      </c>
      <c r="E315">
        <v>0</v>
      </c>
      <c r="F315">
        <v>0</v>
      </c>
      <c r="G315">
        <v>62</v>
      </c>
      <c r="H315">
        <v>0</v>
      </c>
      <c r="I315">
        <v>0</v>
      </c>
      <c r="J315">
        <v>0</v>
      </c>
      <c r="K315">
        <v>0</v>
      </c>
      <c r="L315">
        <v>0</v>
      </c>
      <c r="M315">
        <f>region_summary__43[[#This Row],[REJECTED BY Admin Kabupaten]]+region_summary__43[[#This Row],[REJECTED BY Pengawas]]</f>
        <v>0</v>
      </c>
    </row>
    <row r="316" spans="1:13" x14ac:dyDescent="0.25">
      <c r="A316" s="5" t="s">
        <v>240</v>
      </c>
      <c r="B316">
        <v>7172022008000300</v>
      </c>
      <c r="C316">
        <v>62</v>
      </c>
      <c r="D316">
        <v>58</v>
      </c>
      <c r="E316">
        <v>2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</v>
      </c>
      <c r="L316">
        <v>0</v>
      </c>
      <c r="M316">
        <f>region_summary__43[[#This Row],[REJECTED BY Admin Kabupaten]]+region_summary__43[[#This Row],[REJECTED BY Pengawas]]</f>
        <v>0</v>
      </c>
    </row>
    <row r="317" spans="1:13" x14ac:dyDescent="0.25">
      <c r="A317" s="5" t="s">
        <v>240</v>
      </c>
      <c r="B317">
        <v>7172022007000100</v>
      </c>
      <c r="C317">
        <v>59</v>
      </c>
      <c r="D317">
        <v>0</v>
      </c>
      <c r="E317">
        <v>0</v>
      </c>
      <c r="F317">
        <v>0</v>
      </c>
      <c r="G317">
        <v>59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region_summary__43[[#This Row],[REJECTED BY Admin Kabupaten]]+region_summary__43[[#This Row],[REJECTED BY Pengawas]]</f>
        <v>0</v>
      </c>
    </row>
    <row r="318" spans="1:13" x14ac:dyDescent="0.25">
      <c r="A318" s="5" t="s">
        <v>240</v>
      </c>
      <c r="B318">
        <v>7172022007000200</v>
      </c>
      <c r="C318">
        <v>56</v>
      </c>
      <c r="D318">
        <v>0</v>
      </c>
      <c r="E318">
        <v>0</v>
      </c>
      <c r="F318">
        <v>0</v>
      </c>
      <c r="G318">
        <v>56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region_summary__43[[#This Row],[REJECTED BY Admin Kabupaten]]+region_summary__43[[#This Row],[REJECTED BY Pengawas]]</f>
        <v>0</v>
      </c>
    </row>
    <row r="319" spans="1:13" x14ac:dyDescent="0.25">
      <c r="A319" s="5" t="s">
        <v>240</v>
      </c>
      <c r="B319">
        <v>7172022008000200</v>
      </c>
      <c r="C319">
        <v>51</v>
      </c>
      <c r="D319">
        <v>45</v>
      </c>
      <c r="E319">
        <v>1</v>
      </c>
      <c r="F319">
        <v>0</v>
      </c>
      <c r="G319">
        <v>5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region_summary__43[[#This Row],[REJECTED BY Admin Kabupaten]]+region_summary__43[[#This Row],[REJECTED BY Pengawas]]</f>
        <v>0</v>
      </c>
    </row>
    <row r="320" spans="1:13" x14ac:dyDescent="0.25">
      <c r="A320" s="5" t="s">
        <v>241</v>
      </c>
      <c r="B320">
        <v>7172030013001000</v>
      </c>
      <c r="C320">
        <v>111</v>
      </c>
      <c r="D320">
        <v>35</v>
      </c>
      <c r="E320">
        <v>0</v>
      </c>
      <c r="F320">
        <v>0</v>
      </c>
      <c r="G320">
        <v>58</v>
      </c>
      <c r="H320">
        <v>0</v>
      </c>
      <c r="I320">
        <v>0</v>
      </c>
      <c r="J320">
        <v>0</v>
      </c>
      <c r="K320">
        <v>18</v>
      </c>
      <c r="L320">
        <v>0</v>
      </c>
      <c r="M320">
        <f>region_summary__43[[#This Row],[REJECTED BY Admin Kabupaten]]+region_summary__43[[#This Row],[REJECTED BY Pengawas]]</f>
        <v>0</v>
      </c>
    </row>
    <row r="321" spans="1:13" x14ac:dyDescent="0.25">
      <c r="A321" s="5" t="s">
        <v>241</v>
      </c>
      <c r="B321">
        <v>7172030013000200</v>
      </c>
      <c r="C321">
        <v>88</v>
      </c>
      <c r="D321">
        <v>80</v>
      </c>
      <c r="E321">
        <v>0</v>
      </c>
      <c r="F321">
        <v>2</v>
      </c>
      <c r="G321">
        <v>3</v>
      </c>
      <c r="H321">
        <v>0</v>
      </c>
      <c r="I321">
        <v>0</v>
      </c>
      <c r="J321">
        <v>0</v>
      </c>
      <c r="K321">
        <v>3</v>
      </c>
      <c r="L321">
        <v>0</v>
      </c>
      <c r="M321">
        <f>region_summary__43[[#This Row],[REJECTED BY Admin Kabupaten]]+region_summary__43[[#This Row],[REJECTED BY Pengawas]]</f>
        <v>0</v>
      </c>
    </row>
    <row r="322" spans="1:13" x14ac:dyDescent="0.25">
      <c r="A322" s="5" t="s">
        <v>241</v>
      </c>
      <c r="B322">
        <v>7172030013001200</v>
      </c>
      <c r="C322">
        <v>76</v>
      </c>
      <c r="D322">
        <v>16</v>
      </c>
      <c r="E322">
        <v>0</v>
      </c>
      <c r="F322">
        <v>0</v>
      </c>
      <c r="G322">
        <v>53</v>
      </c>
      <c r="H322">
        <v>0</v>
      </c>
      <c r="I322">
        <v>0</v>
      </c>
      <c r="J322">
        <v>0</v>
      </c>
      <c r="K322">
        <v>7</v>
      </c>
      <c r="L322">
        <v>0</v>
      </c>
      <c r="M322">
        <f>region_summary__43[[#This Row],[REJECTED BY Admin Kabupaten]]+region_summary__43[[#This Row],[REJECTED BY Pengawas]]</f>
        <v>0</v>
      </c>
    </row>
    <row r="323" spans="1:13" x14ac:dyDescent="0.25">
      <c r="A323" s="5" t="s">
        <v>241</v>
      </c>
      <c r="B323">
        <v>7172030013000600</v>
      </c>
      <c r="C323">
        <v>63</v>
      </c>
      <c r="D323">
        <v>16</v>
      </c>
      <c r="E323">
        <v>10</v>
      </c>
      <c r="F323">
        <v>0</v>
      </c>
      <c r="G323">
        <v>27</v>
      </c>
      <c r="H323">
        <v>0</v>
      </c>
      <c r="I323">
        <v>0</v>
      </c>
      <c r="J323">
        <v>0</v>
      </c>
      <c r="K323">
        <v>10</v>
      </c>
      <c r="L323">
        <v>0</v>
      </c>
      <c r="M323">
        <f>region_summary__43[[#This Row],[REJECTED BY Admin Kabupaten]]+region_summary__43[[#This Row],[REJECTED BY Pengawas]]</f>
        <v>0</v>
      </c>
    </row>
    <row r="324" spans="1:13" x14ac:dyDescent="0.25">
      <c r="A324" s="5" t="s">
        <v>241</v>
      </c>
      <c r="B324">
        <v>7172030013000400</v>
      </c>
      <c r="C324">
        <v>57</v>
      </c>
      <c r="D324">
        <v>42</v>
      </c>
      <c r="E324">
        <v>4</v>
      </c>
      <c r="F324">
        <v>1</v>
      </c>
      <c r="G324">
        <v>10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region_summary__43[[#This Row],[REJECTED BY Admin Kabupaten]]+region_summary__43[[#This Row],[REJECTED BY Pengawas]]</f>
        <v>0</v>
      </c>
    </row>
    <row r="325" spans="1:13" x14ac:dyDescent="0.25">
      <c r="A325" s="5" t="s">
        <v>241</v>
      </c>
      <c r="B325">
        <v>7172030013000500</v>
      </c>
      <c r="C325">
        <v>53</v>
      </c>
      <c r="D325">
        <v>12</v>
      </c>
      <c r="E325">
        <v>0</v>
      </c>
      <c r="F325">
        <v>0</v>
      </c>
      <c r="G325">
        <v>41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region_summary__43[[#This Row],[REJECTED BY Admin Kabupaten]]+region_summary__43[[#This Row],[REJECTED BY Pengawas]]</f>
        <v>0</v>
      </c>
    </row>
    <row r="326" spans="1:13" x14ac:dyDescent="0.25">
      <c r="A326" s="5" t="s">
        <v>241</v>
      </c>
      <c r="B326">
        <v>7172030013000900</v>
      </c>
      <c r="C326">
        <v>53</v>
      </c>
      <c r="D326">
        <v>4</v>
      </c>
      <c r="E326">
        <v>0</v>
      </c>
      <c r="F326">
        <v>0</v>
      </c>
      <c r="G326">
        <v>48</v>
      </c>
      <c r="H326">
        <v>0</v>
      </c>
      <c r="I326">
        <v>0</v>
      </c>
      <c r="J326">
        <v>0</v>
      </c>
      <c r="K326">
        <v>1</v>
      </c>
      <c r="L326">
        <v>0</v>
      </c>
      <c r="M326">
        <f>region_summary__43[[#This Row],[REJECTED BY Admin Kabupaten]]+region_summary__43[[#This Row],[REJECTED BY Pengawas]]</f>
        <v>0</v>
      </c>
    </row>
    <row r="327" spans="1:13" x14ac:dyDescent="0.25">
      <c r="A327" s="5" t="s">
        <v>241</v>
      </c>
      <c r="B327">
        <v>7172030013000800</v>
      </c>
      <c r="C327">
        <v>42</v>
      </c>
      <c r="D327">
        <v>10</v>
      </c>
      <c r="E327">
        <v>0</v>
      </c>
      <c r="F327">
        <v>0</v>
      </c>
      <c r="G327">
        <v>32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region_summary__43[[#This Row],[REJECTED BY Admin Kabupaten]]+region_summary__43[[#This Row],[REJECTED BY Pengawas]]</f>
        <v>0</v>
      </c>
    </row>
    <row r="328" spans="1:13" x14ac:dyDescent="0.25">
      <c r="A328" s="5" t="s">
        <v>241</v>
      </c>
      <c r="B328">
        <v>7172030013000700</v>
      </c>
      <c r="C328">
        <v>34</v>
      </c>
      <c r="D328">
        <v>13</v>
      </c>
      <c r="E328">
        <v>0</v>
      </c>
      <c r="F328">
        <v>0</v>
      </c>
      <c r="G328">
        <v>20</v>
      </c>
      <c r="H328">
        <v>0</v>
      </c>
      <c r="I328">
        <v>0</v>
      </c>
      <c r="J328">
        <v>0</v>
      </c>
      <c r="K328">
        <v>1</v>
      </c>
      <c r="L328">
        <v>0</v>
      </c>
      <c r="M328">
        <f>region_summary__43[[#This Row],[REJECTED BY Admin Kabupaten]]+region_summary__43[[#This Row],[REJECTED BY Pengawas]]</f>
        <v>0</v>
      </c>
    </row>
    <row r="329" spans="1:13" x14ac:dyDescent="0.25">
      <c r="A329" s="5" t="s">
        <v>96</v>
      </c>
      <c r="B329">
        <v>7172030009000100</v>
      </c>
      <c r="C329">
        <v>104</v>
      </c>
      <c r="D329">
        <v>15</v>
      </c>
      <c r="E329">
        <v>0</v>
      </c>
      <c r="F329">
        <v>0</v>
      </c>
      <c r="G329">
        <v>89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region_summary__43[[#This Row],[REJECTED BY Admin Kabupaten]]+region_summary__43[[#This Row],[REJECTED BY Pengawas]]</f>
        <v>0</v>
      </c>
    </row>
    <row r="330" spans="1:13" x14ac:dyDescent="0.25">
      <c r="A330" s="5" t="s">
        <v>96</v>
      </c>
      <c r="B330">
        <v>7172030017000500</v>
      </c>
      <c r="C330">
        <v>88</v>
      </c>
      <c r="D330">
        <v>66</v>
      </c>
      <c r="E330">
        <v>2</v>
      </c>
      <c r="F330">
        <v>12</v>
      </c>
      <c r="G330">
        <v>0</v>
      </c>
      <c r="H330">
        <v>0</v>
      </c>
      <c r="I330">
        <v>8</v>
      </c>
      <c r="J330">
        <v>0</v>
      </c>
      <c r="K330">
        <v>0</v>
      </c>
      <c r="L330">
        <v>0</v>
      </c>
      <c r="M330">
        <f>region_summary__43[[#This Row],[REJECTED BY Admin Kabupaten]]+region_summary__43[[#This Row],[REJECTED BY Pengawas]]</f>
        <v>8</v>
      </c>
    </row>
    <row r="331" spans="1:13" x14ac:dyDescent="0.25">
      <c r="A331" s="5" t="s">
        <v>96</v>
      </c>
      <c r="B331">
        <v>7172030017000100</v>
      </c>
      <c r="C331">
        <v>82</v>
      </c>
      <c r="D331">
        <v>46</v>
      </c>
      <c r="E331">
        <v>23</v>
      </c>
      <c r="F331">
        <v>4</v>
      </c>
      <c r="G331">
        <v>0</v>
      </c>
      <c r="H331">
        <v>0</v>
      </c>
      <c r="I331">
        <v>0</v>
      </c>
      <c r="J331">
        <v>0</v>
      </c>
      <c r="K331">
        <v>9</v>
      </c>
      <c r="L331">
        <v>0</v>
      </c>
      <c r="M331">
        <f>region_summary__43[[#This Row],[REJECTED BY Admin Kabupaten]]+region_summary__43[[#This Row],[REJECTED BY Pengawas]]</f>
        <v>0</v>
      </c>
    </row>
    <row r="332" spans="1:13" x14ac:dyDescent="0.25">
      <c r="A332" s="5" t="s">
        <v>96</v>
      </c>
      <c r="B332">
        <v>7172030009000200</v>
      </c>
      <c r="C332">
        <v>59</v>
      </c>
      <c r="D332">
        <v>8</v>
      </c>
      <c r="E332">
        <v>0</v>
      </c>
      <c r="F332">
        <v>0</v>
      </c>
      <c r="G332">
        <v>51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region_summary__43[[#This Row],[REJECTED BY Admin Kabupaten]]+region_summary__43[[#This Row],[REJECTED BY Pengawas]]</f>
        <v>0</v>
      </c>
    </row>
    <row r="333" spans="1:13" x14ac:dyDescent="0.25">
      <c r="A333" s="5" t="s">
        <v>96</v>
      </c>
      <c r="B333">
        <v>7172030009000500</v>
      </c>
      <c r="C333">
        <v>56</v>
      </c>
      <c r="D333">
        <v>12</v>
      </c>
      <c r="E333">
        <v>0</v>
      </c>
      <c r="F333">
        <v>0</v>
      </c>
      <c r="G333">
        <v>44</v>
      </c>
      <c r="H333">
        <v>0</v>
      </c>
      <c r="I333">
        <v>0</v>
      </c>
      <c r="J333">
        <v>0</v>
      </c>
      <c r="K333">
        <v>0</v>
      </c>
      <c r="L333">
        <v>0</v>
      </c>
      <c r="M333">
        <f>region_summary__43[[#This Row],[REJECTED BY Admin Kabupaten]]+region_summary__43[[#This Row],[REJECTED BY Pengawas]]</f>
        <v>0</v>
      </c>
    </row>
    <row r="334" spans="1:13" x14ac:dyDescent="0.25">
      <c r="A334" s="5" t="s">
        <v>96</v>
      </c>
      <c r="B334">
        <v>7172030009000300</v>
      </c>
      <c r="C334">
        <v>45</v>
      </c>
      <c r="D334">
        <v>2</v>
      </c>
      <c r="E334">
        <v>0</v>
      </c>
      <c r="F334">
        <v>0</v>
      </c>
      <c r="G334">
        <v>43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region_summary__43[[#This Row],[REJECTED BY Admin Kabupaten]]+region_summary__43[[#This Row],[REJECTED BY Pengawas]]</f>
        <v>0</v>
      </c>
    </row>
    <row r="335" spans="1:13" x14ac:dyDescent="0.25">
      <c r="A335" s="5" t="s">
        <v>96</v>
      </c>
      <c r="B335">
        <v>7172030009000600</v>
      </c>
      <c r="C335">
        <v>43</v>
      </c>
      <c r="D335">
        <v>10</v>
      </c>
      <c r="E335">
        <v>0</v>
      </c>
      <c r="F335">
        <v>0</v>
      </c>
      <c r="G335">
        <v>33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region_summary__43[[#This Row],[REJECTED BY Admin Kabupaten]]+region_summary__43[[#This Row],[REJECTED BY Pengawas]]</f>
        <v>0</v>
      </c>
    </row>
    <row r="336" spans="1:13" x14ac:dyDescent="0.25">
      <c r="A336" s="5" t="s">
        <v>96</v>
      </c>
      <c r="B336">
        <v>7172030009000400</v>
      </c>
      <c r="C336">
        <v>37</v>
      </c>
      <c r="D336">
        <v>15</v>
      </c>
      <c r="E336">
        <v>0</v>
      </c>
      <c r="F336">
        <v>2</v>
      </c>
      <c r="G336">
        <v>0</v>
      </c>
      <c r="H336">
        <v>0</v>
      </c>
      <c r="I336">
        <v>0</v>
      </c>
      <c r="J336">
        <v>0</v>
      </c>
      <c r="K336">
        <v>20</v>
      </c>
      <c r="L336">
        <v>0</v>
      </c>
      <c r="M336">
        <f>region_summary__43[[#This Row],[REJECTED BY Admin Kabupaten]]+region_summary__43[[#This Row],[REJECTED BY Pengawas]]</f>
        <v>0</v>
      </c>
    </row>
    <row r="337" spans="1:13" x14ac:dyDescent="0.25">
      <c r="A337" s="5" t="s">
        <v>96</v>
      </c>
      <c r="B337">
        <v>7172030009000800</v>
      </c>
      <c r="C337">
        <v>35</v>
      </c>
      <c r="D337">
        <v>0</v>
      </c>
      <c r="E337">
        <v>34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1</v>
      </c>
      <c r="L337">
        <v>0</v>
      </c>
      <c r="M337">
        <f>region_summary__43[[#This Row],[REJECTED BY Admin Kabupaten]]+region_summary__43[[#This Row],[REJECTED BY Pengawas]]</f>
        <v>0</v>
      </c>
    </row>
    <row r="338" spans="1:13" x14ac:dyDescent="0.25">
      <c r="A338" s="5" t="s">
        <v>96</v>
      </c>
      <c r="B338">
        <v>7172030017000300</v>
      </c>
      <c r="C338">
        <v>32</v>
      </c>
      <c r="D338">
        <v>14</v>
      </c>
      <c r="E338">
        <v>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17</v>
      </c>
      <c r="L338">
        <v>0</v>
      </c>
      <c r="M338">
        <f>region_summary__43[[#This Row],[REJECTED BY Admin Kabupaten]]+region_summary__43[[#This Row],[REJECTED BY Pengawas]]</f>
        <v>0</v>
      </c>
    </row>
    <row r="339" spans="1:13" x14ac:dyDescent="0.25">
      <c r="A339" s="5" t="s">
        <v>96</v>
      </c>
      <c r="B339">
        <v>7172030017000200</v>
      </c>
      <c r="C339">
        <v>24</v>
      </c>
      <c r="D339">
        <v>22</v>
      </c>
      <c r="E339">
        <v>2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region_summary__43[[#This Row],[REJECTED BY Admin Kabupaten]]+region_summary__43[[#This Row],[REJECTED BY Pengawas]]</f>
        <v>0</v>
      </c>
    </row>
    <row r="340" spans="1:13" x14ac:dyDescent="0.25">
      <c r="A340" s="5" t="s">
        <v>96</v>
      </c>
      <c r="B340">
        <v>7172030009000700</v>
      </c>
      <c r="C340">
        <v>22</v>
      </c>
      <c r="D340">
        <v>4</v>
      </c>
      <c r="E340">
        <v>8</v>
      </c>
      <c r="F340">
        <v>0</v>
      </c>
      <c r="G340">
        <v>10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region_summary__43[[#This Row],[REJECTED BY Admin Kabupaten]]+region_summary__43[[#This Row],[REJECTED BY Pengawas]]</f>
        <v>0</v>
      </c>
    </row>
    <row r="341" spans="1:13" x14ac:dyDescent="0.25">
      <c r="A341" s="5" t="s">
        <v>96</v>
      </c>
      <c r="B341">
        <v>7172030009200100</v>
      </c>
      <c r="C341">
        <v>1</v>
      </c>
      <c r="D341">
        <v>0</v>
      </c>
      <c r="E341">
        <v>0</v>
      </c>
      <c r="F341">
        <v>0</v>
      </c>
      <c r="G341">
        <v>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region_summary__43[[#This Row],[REJECTED BY Admin Kabupaten]]+region_summary__43[[#This Row],[REJECTED BY Pengawas]]</f>
        <v>0</v>
      </c>
    </row>
    <row r="342" spans="1:13" x14ac:dyDescent="0.25">
      <c r="A342" s="5" t="s">
        <v>94</v>
      </c>
      <c r="B342">
        <v>7172030007001900</v>
      </c>
      <c r="C342">
        <v>84</v>
      </c>
      <c r="D342">
        <v>11</v>
      </c>
      <c r="E342">
        <v>0</v>
      </c>
      <c r="F342">
        <v>0</v>
      </c>
      <c r="G342">
        <v>73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region_summary__43[[#This Row],[REJECTED BY Admin Kabupaten]]+region_summary__43[[#This Row],[REJECTED BY Pengawas]]</f>
        <v>0</v>
      </c>
    </row>
    <row r="343" spans="1:13" x14ac:dyDescent="0.25">
      <c r="A343" s="5" t="s">
        <v>94</v>
      </c>
      <c r="B343">
        <v>7172030007001800</v>
      </c>
      <c r="C343">
        <v>79</v>
      </c>
      <c r="D343">
        <v>13</v>
      </c>
      <c r="E343">
        <v>0</v>
      </c>
      <c r="F343">
        <v>0</v>
      </c>
      <c r="G343">
        <v>66</v>
      </c>
      <c r="H343">
        <v>0</v>
      </c>
      <c r="I343">
        <v>0</v>
      </c>
      <c r="J343">
        <v>0</v>
      </c>
      <c r="K343">
        <v>0</v>
      </c>
      <c r="L343">
        <v>0</v>
      </c>
      <c r="M343">
        <f>region_summary__43[[#This Row],[REJECTED BY Admin Kabupaten]]+region_summary__43[[#This Row],[REJECTED BY Pengawas]]</f>
        <v>0</v>
      </c>
    </row>
    <row r="344" spans="1:13" x14ac:dyDescent="0.25">
      <c r="A344" s="5" t="s">
        <v>94</v>
      </c>
      <c r="B344">
        <v>7172030007001500</v>
      </c>
      <c r="C344">
        <v>77</v>
      </c>
      <c r="D344">
        <v>13</v>
      </c>
      <c r="E344">
        <v>0</v>
      </c>
      <c r="F344">
        <v>0</v>
      </c>
      <c r="G344">
        <v>64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region_summary__43[[#This Row],[REJECTED BY Admin Kabupaten]]+region_summary__43[[#This Row],[REJECTED BY Pengawas]]</f>
        <v>0</v>
      </c>
    </row>
    <row r="345" spans="1:13" x14ac:dyDescent="0.25">
      <c r="A345" s="5" t="s">
        <v>94</v>
      </c>
      <c r="B345">
        <v>7172030007001700</v>
      </c>
      <c r="C345">
        <v>76</v>
      </c>
      <c r="D345">
        <v>12</v>
      </c>
      <c r="E345">
        <v>0</v>
      </c>
      <c r="F345">
        <v>0</v>
      </c>
      <c r="G345">
        <v>64</v>
      </c>
      <c r="H345">
        <v>0</v>
      </c>
      <c r="I345">
        <v>0</v>
      </c>
      <c r="J345">
        <v>0</v>
      </c>
      <c r="K345">
        <v>0</v>
      </c>
      <c r="L345">
        <v>0</v>
      </c>
      <c r="M345">
        <f>region_summary__43[[#This Row],[REJECTED BY Admin Kabupaten]]+region_summary__43[[#This Row],[REJECTED BY Pengawas]]</f>
        <v>0</v>
      </c>
    </row>
    <row r="346" spans="1:13" x14ac:dyDescent="0.25">
      <c r="A346" s="5" t="s">
        <v>94</v>
      </c>
      <c r="B346">
        <v>7172030007001100</v>
      </c>
      <c r="C346">
        <v>58</v>
      </c>
      <c r="D346">
        <v>57</v>
      </c>
      <c r="E346">
        <v>0</v>
      </c>
      <c r="F346">
        <v>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region_summary__43[[#This Row],[REJECTED BY Admin Kabupaten]]+region_summary__43[[#This Row],[REJECTED BY Pengawas]]</f>
        <v>0</v>
      </c>
    </row>
    <row r="347" spans="1:13" x14ac:dyDescent="0.25">
      <c r="A347" s="5" t="s">
        <v>94</v>
      </c>
      <c r="B347">
        <v>7172030007001200</v>
      </c>
      <c r="C347">
        <v>54</v>
      </c>
      <c r="D347">
        <v>54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f>region_summary__43[[#This Row],[REJECTED BY Admin Kabupaten]]+region_summary__43[[#This Row],[REJECTED BY Pengawas]]</f>
        <v>0</v>
      </c>
    </row>
    <row r="348" spans="1:13" x14ac:dyDescent="0.25">
      <c r="A348" s="5" t="s">
        <v>94</v>
      </c>
      <c r="B348">
        <v>7172030007001600</v>
      </c>
      <c r="C348">
        <v>53</v>
      </c>
      <c r="D348">
        <v>14</v>
      </c>
      <c r="E348">
        <v>1</v>
      </c>
      <c r="F348">
        <v>0</v>
      </c>
      <c r="G348">
        <v>38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region_summary__43[[#This Row],[REJECTED BY Admin Kabupaten]]+region_summary__43[[#This Row],[REJECTED BY Pengawas]]</f>
        <v>0</v>
      </c>
    </row>
    <row r="349" spans="1:13" x14ac:dyDescent="0.25">
      <c r="A349" s="5" t="s">
        <v>94</v>
      </c>
      <c r="B349">
        <v>7172030007001300</v>
      </c>
      <c r="C349">
        <v>45</v>
      </c>
      <c r="D349">
        <v>42</v>
      </c>
      <c r="E349">
        <v>1</v>
      </c>
      <c r="F349">
        <v>0</v>
      </c>
      <c r="G349">
        <v>0</v>
      </c>
      <c r="H349">
        <v>0</v>
      </c>
      <c r="I349">
        <v>2</v>
      </c>
      <c r="J349">
        <v>0</v>
      </c>
      <c r="K349">
        <v>0</v>
      </c>
      <c r="L349">
        <v>0</v>
      </c>
      <c r="M349">
        <f>region_summary__43[[#This Row],[REJECTED BY Admin Kabupaten]]+region_summary__43[[#This Row],[REJECTED BY Pengawas]]</f>
        <v>2</v>
      </c>
    </row>
    <row r="350" spans="1:13" x14ac:dyDescent="0.25">
      <c r="A350" s="5" t="s">
        <v>94</v>
      </c>
      <c r="B350">
        <v>7172030007001400</v>
      </c>
      <c r="C350">
        <v>44</v>
      </c>
      <c r="D350">
        <v>27</v>
      </c>
      <c r="E350">
        <v>4</v>
      </c>
      <c r="F350">
        <v>0</v>
      </c>
      <c r="G350">
        <v>13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region_summary__43[[#This Row],[REJECTED BY Admin Kabupaten]]+region_summary__43[[#This Row],[REJECTED BY Pengawas]]</f>
        <v>0</v>
      </c>
    </row>
    <row r="351" spans="1:13" x14ac:dyDescent="0.25">
      <c r="A351" s="5" t="s">
        <v>98</v>
      </c>
      <c r="B351">
        <v>7172030012001400</v>
      </c>
      <c r="C351">
        <v>108</v>
      </c>
      <c r="D351">
        <v>37</v>
      </c>
      <c r="E351">
        <v>0</v>
      </c>
      <c r="F351">
        <v>0</v>
      </c>
      <c r="G351">
        <v>71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region_summary__43[[#This Row],[REJECTED BY Admin Kabupaten]]+region_summary__43[[#This Row],[REJECTED BY Pengawas]]</f>
        <v>0</v>
      </c>
    </row>
    <row r="352" spans="1:13" x14ac:dyDescent="0.25">
      <c r="A352" s="5" t="s">
        <v>98</v>
      </c>
      <c r="B352">
        <v>7172030012001000</v>
      </c>
      <c r="C352">
        <v>104</v>
      </c>
      <c r="D352">
        <v>69</v>
      </c>
      <c r="E352">
        <v>9</v>
      </c>
      <c r="F352">
        <v>0</v>
      </c>
      <c r="G352">
        <v>26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f>region_summary__43[[#This Row],[REJECTED BY Admin Kabupaten]]+region_summary__43[[#This Row],[REJECTED BY Pengawas]]</f>
        <v>0</v>
      </c>
    </row>
    <row r="353" spans="1:13" x14ac:dyDescent="0.25">
      <c r="A353" s="5" t="s">
        <v>98</v>
      </c>
      <c r="B353">
        <v>7172030012000800</v>
      </c>
      <c r="C353">
        <v>99</v>
      </c>
      <c r="D353">
        <v>35</v>
      </c>
      <c r="E353">
        <v>0</v>
      </c>
      <c r="F353">
        <v>0</v>
      </c>
      <c r="G353">
        <v>64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region_summary__43[[#This Row],[REJECTED BY Admin Kabupaten]]+region_summary__43[[#This Row],[REJECTED BY Pengawas]]</f>
        <v>0</v>
      </c>
    </row>
    <row r="354" spans="1:13" x14ac:dyDescent="0.25">
      <c r="A354" s="5" t="s">
        <v>98</v>
      </c>
      <c r="B354">
        <v>7172030012001100</v>
      </c>
      <c r="C354">
        <v>99</v>
      </c>
      <c r="D354">
        <v>68</v>
      </c>
      <c r="E354">
        <v>18</v>
      </c>
      <c r="F354">
        <v>0</v>
      </c>
      <c r="G354">
        <v>4</v>
      </c>
      <c r="H354">
        <v>0</v>
      </c>
      <c r="I354">
        <v>4</v>
      </c>
      <c r="J354">
        <v>0</v>
      </c>
      <c r="K354">
        <v>5</v>
      </c>
      <c r="L354">
        <v>0</v>
      </c>
      <c r="M354">
        <f>region_summary__43[[#This Row],[REJECTED BY Admin Kabupaten]]+region_summary__43[[#This Row],[REJECTED BY Pengawas]]</f>
        <v>4</v>
      </c>
    </row>
    <row r="355" spans="1:13" x14ac:dyDescent="0.25">
      <c r="A355" s="5" t="s">
        <v>98</v>
      </c>
      <c r="B355">
        <v>7172030012000600</v>
      </c>
      <c r="C355">
        <v>94</v>
      </c>
      <c r="D355">
        <v>50</v>
      </c>
      <c r="E355">
        <v>11</v>
      </c>
      <c r="F355">
        <v>0</v>
      </c>
      <c r="G355">
        <v>33</v>
      </c>
      <c r="H355">
        <v>0</v>
      </c>
      <c r="I355">
        <v>0</v>
      </c>
      <c r="J355">
        <v>0</v>
      </c>
      <c r="K355">
        <v>0</v>
      </c>
      <c r="L355">
        <v>0</v>
      </c>
      <c r="M355">
        <f>region_summary__43[[#This Row],[REJECTED BY Admin Kabupaten]]+region_summary__43[[#This Row],[REJECTED BY Pengawas]]</f>
        <v>0</v>
      </c>
    </row>
    <row r="356" spans="1:13" x14ac:dyDescent="0.25">
      <c r="A356" s="5" t="s">
        <v>98</v>
      </c>
      <c r="B356">
        <v>7172030012001300</v>
      </c>
      <c r="C356">
        <v>61</v>
      </c>
      <c r="D356">
        <v>10</v>
      </c>
      <c r="E356">
        <v>0</v>
      </c>
      <c r="F356">
        <v>0</v>
      </c>
      <c r="G356">
        <v>51</v>
      </c>
      <c r="H356">
        <v>0</v>
      </c>
      <c r="I356">
        <v>0</v>
      </c>
      <c r="J356">
        <v>0</v>
      </c>
      <c r="K356">
        <v>0</v>
      </c>
      <c r="L356">
        <v>0</v>
      </c>
      <c r="M356">
        <f>region_summary__43[[#This Row],[REJECTED BY Admin Kabupaten]]+region_summary__43[[#This Row],[REJECTED BY Pengawas]]</f>
        <v>0</v>
      </c>
    </row>
    <row r="357" spans="1:13" x14ac:dyDescent="0.25">
      <c r="A357" s="5" t="s">
        <v>98</v>
      </c>
      <c r="B357">
        <v>7172030012001500</v>
      </c>
      <c r="C357">
        <v>51</v>
      </c>
      <c r="D357">
        <v>41</v>
      </c>
      <c r="E357">
        <v>0</v>
      </c>
      <c r="F357">
        <v>0</v>
      </c>
      <c r="G357">
        <v>9</v>
      </c>
      <c r="H357">
        <v>0</v>
      </c>
      <c r="I357">
        <v>0</v>
      </c>
      <c r="J357">
        <v>1</v>
      </c>
      <c r="K357">
        <v>0</v>
      </c>
      <c r="L357">
        <v>0</v>
      </c>
      <c r="M357">
        <f>region_summary__43[[#This Row],[REJECTED BY Admin Kabupaten]]+region_summary__43[[#This Row],[REJECTED BY Pengawas]]</f>
        <v>0</v>
      </c>
    </row>
    <row r="358" spans="1:13" x14ac:dyDescent="0.25">
      <c r="A358" s="5" t="s">
        <v>107</v>
      </c>
      <c r="B358">
        <v>7172030017000400</v>
      </c>
      <c r="C358">
        <v>124</v>
      </c>
      <c r="D358">
        <v>58</v>
      </c>
      <c r="E358">
        <v>6</v>
      </c>
      <c r="F358">
        <v>2</v>
      </c>
      <c r="G358">
        <v>55</v>
      </c>
      <c r="H358">
        <v>0</v>
      </c>
      <c r="I358">
        <v>0</v>
      </c>
      <c r="J358">
        <v>0</v>
      </c>
      <c r="K358">
        <v>3</v>
      </c>
      <c r="L358">
        <v>0</v>
      </c>
      <c r="M358">
        <f>region_summary__43[[#This Row],[REJECTED BY Admin Kabupaten]]+region_summary__43[[#This Row],[REJECTED BY Pengawas]]</f>
        <v>0</v>
      </c>
    </row>
    <row r="359" spans="1:13" x14ac:dyDescent="0.25">
      <c r="A359" s="5" t="s">
        <v>107</v>
      </c>
      <c r="B359">
        <v>7172030017000700</v>
      </c>
      <c r="C359">
        <v>112</v>
      </c>
      <c r="D359">
        <v>85</v>
      </c>
      <c r="E359">
        <v>4</v>
      </c>
      <c r="F359">
        <v>0</v>
      </c>
      <c r="G359">
        <v>20</v>
      </c>
      <c r="H359">
        <v>0</v>
      </c>
      <c r="I359">
        <v>1</v>
      </c>
      <c r="J359">
        <v>0</v>
      </c>
      <c r="K359">
        <v>2</v>
      </c>
      <c r="L359">
        <v>0</v>
      </c>
      <c r="M359">
        <f>region_summary__43[[#This Row],[REJECTED BY Admin Kabupaten]]+region_summary__43[[#This Row],[REJECTED BY Pengawas]]</f>
        <v>1</v>
      </c>
    </row>
    <row r="360" spans="1:13" x14ac:dyDescent="0.25">
      <c r="A360" s="5" t="s">
        <v>107</v>
      </c>
      <c r="B360">
        <v>7172030017000600</v>
      </c>
      <c r="C360">
        <v>97</v>
      </c>
      <c r="D360">
        <v>33</v>
      </c>
      <c r="E360">
        <v>5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3</v>
      </c>
      <c r="L360">
        <v>0</v>
      </c>
      <c r="M360">
        <f>region_summary__43[[#This Row],[REJECTED BY Admin Kabupaten]]+region_summary__43[[#This Row],[REJECTED BY Pengawas]]</f>
        <v>0</v>
      </c>
    </row>
    <row r="361" spans="1:13" x14ac:dyDescent="0.25">
      <c r="A361" s="5" t="s">
        <v>107</v>
      </c>
      <c r="B361">
        <v>7172030017001000</v>
      </c>
      <c r="C361">
        <v>56</v>
      </c>
      <c r="D361">
        <v>0</v>
      </c>
      <c r="E361">
        <v>0</v>
      </c>
      <c r="F361">
        <v>0</v>
      </c>
      <c r="G361">
        <v>56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f>region_summary__43[[#This Row],[REJECTED BY Admin Kabupaten]]+region_summary__43[[#This Row],[REJECTED BY Pengawas]]</f>
        <v>0</v>
      </c>
    </row>
    <row r="362" spans="1:13" x14ac:dyDescent="0.25">
      <c r="A362" s="5" t="s">
        <v>107</v>
      </c>
      <c r="B362">
        <v>7172030017000800</v>
      </c>
      <c r="C362">
        <v>48</v>
      </c>
      <c r="D362">
        <v>35</v>
      </c>
      <c r="E362">
        <v>2</v>
      </c>
      <c r="F362">
        <v>0</v>
      </c>
      <c r="G362">
        <v>10</v>
      </c>
      <c r="H362">
        <v>0</v>
      </c>
      <c r="I362">
        <v>1</v>
      </c>
      <c r="J362">
        <v>0</v>
      </c>
      <c r="K362">
        <v>0</v>
      </c>
      <c r="L362">
        <v>0</v>
      </c>
      <c r="M362">
        <f>region_summary__43[[#This Row],[REJECTED BY Admin Kabupaten]]+region_summary__43[[#This Row],[REJECTED BY Pengawas]]</f>
        <v>1</v>
      </c>
    </row>
    <row r="363" spans="1:13" x14ac:dyDescent="0.25">
      <c r="A363" s="5" t="s">
        <v>107</v>
      </c>
      <c r="B363">
        <v>7172030017000900</v>
      </c>
      <c r="C363">
        <v>48</v>
      </c>
      <c r="D363">
        <v>3</v>
      </c>
      <c r="E363">
        <v>0</v>
      </c>
      <c r="F363">
        <v>0</v>
      </c>
      <c r="G363">
        <v>45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region_summary__43[[#This Row],[REJECTED BY Admin Kabupaten]]+region_summary__43[[#This Row],[REJECTED BY Pengawas]]</f>
        <v>0</v>
      </c>
    </row>
    <row r="364" spans="1:13" x14ac:dyDescent="0.25">
      <c r="A364" s="5" t="s">
        <v>107</v>
      </c>
      <c r="B364">
        <v>7172030017001200</v>
      </c>
      <c r="C364">
        <v>41</v>
      </c>
      <c r="D364">
        <v>5</v>
      </c>
      <c r="E364">
        <v>0</v>
      </c>
      <c r="F364">
        <v>0</v>
      </c>
      <c r="G364">
        <v>36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region_summary__43[[#This Row],[REJECTED BY Admin Kabupaten]]+region_summary__43[[#This Row],[REJECTED BY Pengawas]]</f>
        <v>0</v>
      </c>
    </row>
    <row r="365" spans="1:13" x14ac:dyDescent="0.25">
      <c r="A365" s="5" t="s">
        <v>107</v>
      </c>
      <c r="B365">
        <v>7172030017001300</v>
      </c>
      <c r="C365">
        <v>41</v>
      </c>
      <c r="D365">
        <v>35</v>
      </c>
      <c r="E365">
        <v>5</v>
      </c>
      <c r="F365">
        <v>0</v>
      </c>
      <c r="G365">
        <v>1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region_summary__43[[#This Row],[REJECTED BY Admin Kabupaten]]+region_summary__43[[#This Row],[REJECTED BY Pengawas]]</f>
        <v>0</v>
      </c>
    </row>
    <row r="366" spans="1:13" x14ac:dyDescent="0.25">
      <c r="A366" s="5" t="s">
        <v>107</v>
      </c>
      <c r="B366">
        <v>7172030017001100</v>
      </c>
      <c r="C366">
        <v>38</v>
      </c>
      <c r="D366">
        <v>0</v>
      </c>
      <c r="E366">
        <v>2</v>
      </c>
      <c r="F366">
        <v>0</v>
      </c>
      <c r="G366">
        <v>36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region_summary__43[[#This Row],[REJECTED BY Admin Kabupaten]]+region_summary__43[[#This Row],[REJECTED BY Pengawas]]</f>
        <v>0</v>
      </c>
    </row>
    <row r="367" spans="1:13" x14ac:dyDescent="0.25">
      <c r="A367" s="5" t="s">
        <v>107</v>
      </c>
      <c r="B367">
        <v>7172030017001500</v>
      </c>
      <c r="C367">
        <v>34</v>
      </c>
      <c r="D367">
        <v>0</v>
      </c>
      <c r="E367">
        <v>0</v>
      </c>
      <c r="F367">
        <v>0</v>
      </c>
      <c r="G367">
        <v>34</v>
      </c>
      <c r="H367">
        <v>0</v>
      </c>
      <c r="I367">
        <v>0</v>
      </c>
      <c r="J367">
        <v>0</v>
      </c>
      <c r="K367">
        <v>0</v>
      </c>
      <c r="L367">
        <v>0</v>
      </c>
      <c r="M367">
        <f>region_summary__43[[#This Row],[REJECTED BY Admin Kabupaten]]+region_summary__43[[#This Row],[REJECTED BY Pengawas]]</f>
        <v>0</v>
      </c>
    </row>
    <row r="368" spans="1:13" x14ac:dyDescent="0.25">
      <c r="A368" s="5" t="s">
        <v>242</v>
      </c>
      <c r="B368">
        <v>7172030013001300</v>
      </c>
      <c r="C368">
        <v>132</v>
      </c>
      <c r="D368">
        <v>113</v>
      </c>
      <c r="E368">
        <v>0</v>
      </c>
      <c r="F368">
        <v>2</v>
      </c>
      <c r="G368">
        <v>17</v>
      </c>
      <c r="H368">
        <v>0</v>
      </c>
      <c r="I368">
        <v>0</v>
      </c>
      <c r="J368">
        <v>0</v>
      </c>
      <c r="K368">
        <v>0</v>
      </c>
      <c r="L368">
        <v>0</v>
      </c>
      <c r="M368">
        <f>region_summary__43[[#This Row],[REJECTED BY Admin Kabupaten]]+region_summary__43[[#This Row],[REJECTED BY Pengawas]]</f>
        <v>0</v>
      </c>
    </row>
    <row r="369" spans="1:13" x14ac:dyDescent="0.25">
      <c r="A369" s="5" t="s">
        <v>242</v>
      </c>
      <c r="B369">
        <v>7172030013001500</v>
      </c>
      <c r="C369">
        <v>130</v>
      </c>
      <c r="D369">
        <v>38</v>
      </c>
      <c r="E369">
        <v>0</v>
      </c>
      <c r="F369">
        <v>1</v>
      </c>
      <c r="G369">
        <v>91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region_summary__43[[#This Row],[REJECTED BY Admin Kabupaten]]+region_summary__43[[#This Row],[REJECTED BY Pengawas]]</f>
        <v>0</v>
      </c>
    </row>
    <row r="370" spans="1:13" x14ac:dyDescent="0.25">
      <c r="A370" s="5" t="s">
        <v>242</v>
      </c>
      <c r="B370">
        <v>7172030013001600</v>
      </c>
      <c r="C370">
        <v>95</v>
      </c>
      <c r="D370">
        <v>20</v>
      </c>
      <c r="E370">
        <v>0</v>
      </c>
      <c r="F370">
        <v>0</v>
      </c>
      <c r="G370">
        <v>75</v>
      </c>
      <c r="H370">
        <v>0</v>
      </c>
      <c r="I370">
        <v>0</v>
      </c>
      <c r="J370">
        <v>0</v>
      </c>
      <c r="K370">
        <v>0</v>
      </c>
      <c r="L370">
        <v>0</v>
      </c>
      <c r="M370">
        <f>region_summary__43[[#This Row],[REJECTED BY Admin Kabupaten]]+region_summary__43[[#This Row],[REJECTED BY Pengawas]]</f>
        <v>0</v>
      </c>
    </row>
    <row r="371" spans="1:13" x14ac:dyDescent="0.25">
      <c r="A371" s="5" t="s">
        <v>242</v>
      </c>
      <c r="B371">
        <v>7172030014000100</v>
      </c>
      <c r="C371">
        <v>75</v>
      </c>
      <c r="D371">
        <v>19</v>
      </c>
      <c r="E371">
        <v>0</v>
      </c>
      <c r="F371">
        <v>0</v>
      </c>
      <c r="G371">
        <v>56</v>
      </c>
      <c r="H371">
        <v>0</v>
      </c>
      <c r="I371">
        <v>0</v>
      </c>
      <c r="J371">
        <v>0</v>
      </c>
      <c r="K371">
        <v>0</v>
      </c>
      <c r="L371">
        <v>0</v>
      </c>
      <c r="M371">
        <f>region_summary__43[[#This Row],[REJECTED BY Admin Kabupaten]]+region_summary__43[[#This Row],[REJECTED BY Pengawas]]</f>
        <v>0</v>
      </c>
    </row>
    <row r="372" spans="1:13" x14ac:dyDescent="0.25">
      <c r="A372" s="5" t="s">
        <v>242</v>
      </c>
      <c r="B372">
        <v>7172030013001400</v>
      </c>
      <c r="C372">
        <v>70</v>
      </c>
      <c r="D372">
        <v>9</v>
      </c>
      <c r="E372">
        <v>0</v>
      </c>
      <c r="F372">
        <v>0</v>
      </c>
      <c r="G372">
        <v>61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region_summary__43[[#This Row],[REJECTED BY Admin Kabupaten]]+region_summary__43[[#This Row],[REJECTED BY Pengawas]]</f>
        <v>0</v>
      </c>
    </row>
    <row r="373" spans="1:13" x14ac:dyDescent="0.25">
      <c r="A373" s="5" t="s">
        <v>242</v>
      </c>
      <c r="B373">
        <v>7172030013001100</v>
      </c>
      <c r="C373">
        <v>58</v>
      </c>
      <c r="D373">
        <v>5</v>
      </c>
      <c r="E373">
        <v>0</v>
      </c>
      <c r="F373">
        <v>0</v>
      </c>
      <c r="G373">
        <v>53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region_summary__43[[#This Row],[REJECTED BY Admin Kabupaten]]+region_summary__43[[#This Row],[REJECTED BY Pengawas]]</f>
        <v>0</v>
      </c>
    </row>
    <row r="374" spans="1:13" x14ac:dyDescent="0.25">
      <c r="A374" s="5" t="s">
        <v>242</v>
      </c>
      <c r="B374">
        <v>7172030014000200</v>
      </c>
      <c r="C374">
        <v>58</v>
      </c>
      <c r="D374">
        <v>57</v>
      </c>
      <c r="E374">
        <v>0</v>
      </c>
      <c r="F374">
        <v>0</v>
      </c>
      <c r="G374">
        <v>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region_summary__43[[#This Row],[REJECTED BY Admin Kabupaten]]+region_summary__43[[#This Row],[REJECTED BY Pengawas]]</f>
        <v>0</v>
      </c>
    </row>
    <row r="375" spans="1:13" x14ac:dyDescent="0.25">
      <c r="A375" s="5" t="s">
        <v>106</v>
      </c>
      <c r="B375">
        <v>7172030015001500</v>
      </c>
      <c r="C375">
        <v>223</v>
      </c>
      <c r="D375">
        <v>220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3</v>
      </c>
      <c r="L375">
        <v>0</v>
      </c>
      <c r="M375">
        <f>region_summary__43[[#This Row],[REJECTED BY Admin Kabupaten]]+region_summary__43[[#This Row],[REJECTED BY Pengawas]]</f>
        <v>0</v>
      </c>
    </row>
    <row r="376" spans="1:13" x14ac:dyDescent="0.25">
      <c r="A376" s="5" t="s">
        <v>106</v>
      </c>
      <c r="B376">
        <v>7172030015001702</v>
      </c>
      <c r="C376">
        <v>203</v>
      </c>
      <c r="D376">
        <v>0</v>
      </c>
      <c r="E376">
        <v>1</v>
      </c>
      <c r="F376">
        <v>0</v>
      </c>
      <c r="G376">
        <v>202</v>
      </c>
      <c r="H376">
        <v>0</v>
      </c>
      <c r="I376">
        <v>0</v>
      </c>
      <c r="J376">
        <v>0</v>
      </c>
      <c r="K376">
        <v>0</v>
      </c>
      <c r="L376">
        <v>0</v>
      </c>
      <c r="M376">
        <f>region_summary__43[[#This Row],[REJECTED BY Admin Kabupaten]]+region_summary__43[[#This Row],[REJECTED BY Pengawas]]</f>
        <v>0</v>
      </c>
    </row>
    <row r="377" spans="1:13" x14ac:dyDescent="0.25">
      <c r="A377" s="5" t="s">
        <v>106</v>
      </c>
      <c r="B377">
        <v>7172030015001600</v>
      </c>
      <c r="C377">
        <v>92</v>
      </c>
      <c r="D377">
        <v>1</v>
      </c>
      <c r="E377">
        <v>5</v>
      </c>
      <c r="F377">
        <v>0</v>
      </c>
      <c r="G377">
        <v>73</v>
      </c>
      <c r="H377">
        <v>0</v>
      </c>
      <c r="I377">
        <v>0</v>
      </c>
      <c r="J377">
        <v>0</v>
      </c>
      <c r="K377">
        <v>13</v>
      </c>
      <c r="L377">
        <v>0</v>
      </c>
      <c r="M377">
        <f>region_summary__43[[#This Row],[REJECTED BY Admin Kabupaten]]+region_summary__43[[#This Row],[REJECTED BY Pengawas]]</f>
        <v>0</v>
      </c>
    </row>
    <row r="378" spans="1:13" x14ac:dyDescent="0.25">
      <c r="A378" s="5" t="s">
        <v>106</v>
      </c>
      <c r="B378">
        <v>7172030015001400</v>
      </c>
      <c r="C378">
        <v>56</v>
      </c>
      <c r="D378">
        <v>56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f>region_summary__43[[#This Row],[REJECTED BY Admin Kabupaten]]+region_summary__43[[#This Row],[REJECTED BY Pengawas]]</f>
        <v>0</v>
      </c>
    </row>
    <row r="379" spans="1:13" x14ac:dyDescent="0.25">
      <c r="A379" s="5" t="s">
        <v>102</v>
      </c>
      <c r="B379">
        <v>7172030014000500</v>
      </c>
      <c r="C379">
        <v>129</v>
      </c>
      <c r="D379">
        <v>57</v>
      </c>
      <c r="E379">
        <v>30</v>
      </c>
      <c r="F379">
        <v>3</v>
      </c>
      <c r="G379">
        <v>36</v>
      </c>
      <c r="H379">
        <v>0</v>
      </c>
      <c r="I379">
        <v>0</v>
      </c>
      <c r="J379">
        <v>0</v>
      </c>
      <c r="K379">
        <v>3</v>
      </c>
      <c r="L379">
        <v>0</v>
      </c>
      <c r="M379">
        <f>region_summary__43[[#This Row],[REJECTED BY Admin Kabupaten]]+region_summary__43[[#This Row],[REJECTED BY Pengawas]]</f>
        <v>0</v>
      </c>
    </row>
    <row r="380" spans="1:13" x14ac:dyDescent="0.25">
      <c r="A380" s="5" t="s">
        <v>102</v>
      </c>
      <c r="B380">
        <v>7172030014000900</v>
      </c>
      <c r="C380">
        <v>105</v>
      </c>
      <c r="D380">
        <v>25</v>
      </c>
      <c r="E380">
        <v>0</v>
      </c>
      <c r="F380">
        <v>0</v>
      </c>
      <c r="G380">
        <v>80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region_summary__43[[#This Row],[REJECTED BY Admin Kabupaten]]+region_summary__43[[#This Row],[REJECTED BY Pengawas]]</f>
        <v>0</v>
      </c>
    </row>
    <row r="381" spans="1:13" x14ac:dyDescent="0.25">
      <c r="A381" s="5" t="s">
        <v>102</v>
      </c>
      <c r="B381">
        <v>7172030014000300</v>
      </c>
      <c r="C381">
        <v>96</v>
      </c>
      <c r="D381">
        <v>94</v>
      </c>
      <c r="E381">
        <v>0</v>
      </c>
      <c r="F381">
        <v>1</v>
      </c>
      <c r="G381">
        <v>1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region_summary__43[[#This Row],[REJECTED BY Admin Kabupaten]]+region_summary__43[[#This Row],[REJECTED BY Pengawas]]</f>
        <v>0</v>
      </c>
    </row>
    <row r="382" spans="1:13" x14ac:dyDescent="0.25">
      <c r="A382" s="5" t="s">
        <v>102</v>
      </c>
      <c r="B382">
        <v>7172030014000600</v>
      </c>
      <c r="C382">
        <v>93</v>
      </c>
      <c r="D382">
        <v>0</v>
      </c>
      <c r="E382">
        <v>0</v>
      </c>
      <c r="F382">
        <v>0</v>
      </c>
      <c r="G382">
        <v>93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region_summary__43[[#This Row],[REJECTED BY Admin Kabupaten]]+region_summary__43[[#This Row],[REJECTED BY Pengawas]]</f>
        <v>0</v>
      </c>
    </row>
    <row r="383" spans="1:13" x14ac:dyDescent="0.25">
      <c r="A383" s="5" t="s">
        <v>102</v>
      </c>
      <c r="B383">
        <v>7172030014000700</v>
      </c>
      <c r="C383">
        <v>90</v>
      </c>
      <c r="D383">
        <v>4</v>
      </c>
      <c r="E383">
        <v>0</v>
      </c>
      <c r="F383">
        <v>0</v>
      </c>
      <c r="G383">
        <v>86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region_summary__43[[#This Row],[REJECTED BY Admin Kabupaten]]+region_summary__43[[#This Row],[REJECTED BY Pengawas]]</f>
        <v>0</v>
      </c>
    </row>
    <row r="384" spans="1:13" x14ac:dyDescent="0.25">
      <c r="A384" s="5" t="s">
        <v>102</v>
      </c>
      <c r="B384">
        <v>7172030014000800</v>
      </c>
      <c r="C384">
        <v>67</v>
      </c>
      <c r="D384">
        <v>17</v>
      </c>
      <c r="E384">
        <v>0</v>
      </c>
      <c r="F384">
        <v>0</v>
      </c>
      <c r="G384">
        <v>50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region_summary__43[[#This Row],[REJECTED BY Admin Kabupaten]]+region_summary__43[[#This Row],[REJECTED BY Pengawas]]</f>
        <v>0</v>
      </c>
    </row>
    <row r="385" spans="1:13" x14ac:dyDescent="0.25">
      <c r="A385" s="5" t="s">
        <v>102</v>
      </c>
      <c r="B385">
        <v>7172030014000400</v>
      </c>
      <c r="C385">
        <v>62</v>
      </c>
      <c r="D385">
        <v>59</v>
      </c>
      <c r="E385">
        <v>3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region_summary__43[[#This Row],[REJECTED BY Admin Kabupaten]]+region_summary__43[[#This Row],[REJECTED BY Pengawas]]</f>
        <v>0</v>
      </c>
    </row>
    <row r="386" spans="1:13" x14ac:dyDescent="0.25">
      <c r="A386" s="5" t="s">
        <v>108</v>
      </c>
      <c r="B386">
        <v>7172030017001900</v>
      </c>
      <c r="C386">
        <v>131</v>
      </c>
      <c r="D386">
        <v>68</v>
      </c>
      <c r="E386">
        <v>6</v>
      </c>
      <c r="F386">
        <v>0</v>
      </c>
      <c r="G386">
        <v>53</v>
      </c>
      <c r="H386">
        <v>0</v>
      </c>
      <c r="I386">
        <v>0</v>
      </c>
      <c r="J386">
        <v>0</v>
      </c>
      <c r="K386">
        <v>4</v>
      </c>
      <c r="L386">
        <v>0</v>
      </c>
      <c r="M386">
        <f>region_summary__43[[#This Row],[REJECTED BY Admin Kabupaten]]+region_summary__43[[#This Row],[REJECTED BY Pengawas]]</f>
        <v>0</v>
      </c>
    </row>
    <row r="387" spans="1:13" x14ac:dyDescent="0.25">
      <c r="A387" s="5" t="s">
        <v>108</v>
      </c>
      <c r="B387">
        <v>7172030017002001</v>
      </c>
      <c r="C387">
        <v>108</v>
      </c>
      <c r="D387">
        <v>31</v>
      </c>
      <c r="E387">
        <v>3</v>
      </c>
      <c r="F387">
        <v>0</v>
      </c>
      <c r="G387">
        <v>73</v>
      </c>
      <c r="H387">
        <v>0</v>
      </c>
      <c r="I387">
        <v>0</v>
      </c>
      <c r="J387">
        <v>0</v>
      </c>
      <c r="K387">
        <v>1</v>
      </c>
      <c r="L387">
        <v>0</v>
      </c>
      <c r="M387">
        <f>region_summary__43[[#This Row],[REJECTED BY Admin Kabupaten]]+region_summary__43[[#This Row],[REJECTED BY Pengawas]]</f>
        <v>0</v>
      </c>
    </row>
    <row r="388" spans="1:13" x14ac:dyDescent="0.25">
      <c r="A388" s="5" t="s">
        <v>108</v>
      </c>
      <c r="B388">
        <v>7172030017001700</v>
      </c>
      <c r="C388">
        <v>102</v>
      </c>
      <c r="D388">
        <v>11</v>
      </c>
      <c r="E388">
        <v>8</v>
      </c>
      <c r="F388">
        <v>0</v>
      </c>
      <c r="G388">
        <v>69</v>
      </c>
      <c r="H388">
        <v>0</v>
      </c>
      <c r="I388">
        <v>0</v>
      </c>
      <c r="J388">
        <v>0</v>
      </c>
      <c r="K388">
        <v>14</v>
      </c>
      <c r="L388">
        <v>0</v>
      </c>
      <c r="M388">
        <f>region_summary__43[[#This Row],[REJECTED BY Admin Kabupaten]]+region_summary__43[[#This Row],[REJECTED BY Pengawas]]</f>
        <v>0</v>
      </c>
    </row>
    <row r="389" spans="1:13" x14ac:dyDescent="0.25">
      <c r="A389" s="5" t="s">
        <v>108</v>
      </c>
      <c r="B389">
        <v>7172030017002002</v>
      </c>
      <c r="C389">
        <v>100</v>
      </c>
      <c r="D389">
        <v>23</v>
      </c>
      <c r="E389">
        <v>10</v>
      </c>
      <c r="F389">
        <v>0</v>
      </c>
      <c r="G389">
        <v>58</v>
      </c>
      <c r="H389">
        <v>0</v>
      </c>
      <c r="I389">
        <v>0</v>
      </c>
      <c r="J389">
        <v>0</v>
      </c>
      <c r="K389">
        <v>9</v>
      </c>
      <c r="L389">
        <v>0</v>
      </c>
      <c r="M389">
        <f>region_summary__43[[#This Row],[REJECTED BY Admin Kabupaten]]+region_summary__43[[#This Row],[REJECTED BY Pengawas]]</f>
        <v>0</v>
      </c>
    </row>
    <row r="390" spans="1:13" x14ac:dyDescent="0.25">
      <c r="A390" s="5" t="s">
        <v>108</v>
      </c>
      <c r="B390">
        <v>7172030017001800</v>
      </c>
      <c r="C390">
        <v>99</v>
      </c>
      <c r="D390">
        <v>25</v>
      </c>
      <c r="E390">
        <v>2</v>
      </c>
      <c r="F390">
        <v>0</v>
      </c>
      <c r="G390">
        <v>63</v>
      </c>
      <c r="H390">
        <v>0</v>
      </c>
      <c r="I390">
        <v>0</v>
      </c>
      <c r="J390">
        <v>0</v>
      </c>
      <c r="K390">
        <v>9</v>
      </c>
      <c r="L390">
        <v>0</v>
      </c>
      <c r="M390">
        <f>region_summary__43[[#This Row],[REJECTED BY Admin Kabupaten]]+region_summary__43[[#This Row],[REJECTED BY Pengawas]]</f>
        <v>0</v>
      </c>
    </row>
    <row r="391" spans="1:13" x14ac:dyDescent="0.25">
      <c r="A391" s="5" t="s">
        <v>108</v>
      </c>
      <c r="B391">
        <v>7172030017001400</v>
      </c>
      <c r="C391">
        <v>88</v>
      </c>
      <c r="D391">
        <v>72</v>
      </c>
      <c r="E391">
        <v>13</v>
      </c>
      <c r="F391">
        <v>0</v>
      </c>
      <c r="G391">
        <v>0</v>
      </c>
      <c r="H391">
        <v>0</v>
      </c>
      <c r="I391">
        <v>2</v>
      </c>
      <c r="J391">
        <v>0</v>
      </c>
      <c r="K391">
        <v>1</v>
      </c>
      <c r="L391">
        <v>0</v>
      </c>
      <c r="M391">
        <f>region_summary__43[[#This Row],[REJECTED BY Admin Kabupaten]]+region_summary__43[[#This Row],[REJECTED BY Pengawas]]</f>
        <v>2</v>
      </c>
    </row>
    <row r="392" spans="1:13" x14ac:dyDescent="0.25">
      <c r="A392" s="5" t="s">
        <v>108</v>
      </c>
      <c r="B392">
        <v>7172030017001600</v>
      </c>
      <c r="C392">
        <v>69</v>
      </c>
      <c r="D392">
        <v>30</v>
      </c>
      <c r="E392">
        <v>5</v>
      </c>
      <c r="F392">
        <v>0</v>
      </c>
      <c r="G392">
        <v>26</v>
      </c>
      <c r="H392">
        <v>0</v>
      </c>
      <c r="I392">
        <v>0</v>
      </c>
      <c r="J392">
        <v>1</v>
      </c>
      <c r="K392">
        <v>7</v>
      </c>
      <c r="L392">
        <v>0</v>
      </c>
      <c r="M392">
        <f>region_summary__43[[#This Row],[REJECTED BY Admin Kabupaten]]+region_summary__43[[#This Row],[REJECTED BY Pengawas]]</f>
        <v>0</v>
      </c>
    </row>
    <row r="393" spans="1:13" x14ac:dyDescent="0.25">
      <c r="A393" s="5" t="s">
        <v>110</v>
      </c>
      <c r="B393">
        <v>7172031002000100</v>
      </c>
      <c r="C393">
        <v>231</v>
      </c>
      <c r="D393">
        <v>201</v>
      </c>
      <c r="E393">
        <v>10</v>
      </c>
      <c r="F393">
        <v>0</v>
      </c>
      <c r="G393">
        <v>4</v>
      </c>
      <c r="H393">
        <v>0</v>
      </c>
      <c r="I393">
        <v>16</v>
      </c>
      <c r="J393">
        <v>0</v>
      </c>
      <c r="K393">
        <v>0</v>
      </c>
      <c r="L393">
        <v>0</v>
      </c>
      <c r="M393">
        <f>region_summary__43[[#This Row],[REJECTED BY Admin Kabupaten]]+region_summary__43[[#This Row],[REJECTED BY Pengawas]]</f>
        <v>16</v>
      </c>
    </row>
    <row r="394" spans="1:13" x14ac:dyDescent="0.25">
      <c r="A394" s="5" t="s">
        <v>110</v>
      </c>
      <c r="B394">
        <v>7172031002000200</v>
      </c>
      <c r="C394">
        <v>190</v>
      </c>
      <c r="D394">
        <v>163</v>
      </c>
      <c r="E394">
        <v>8</v>
      </c>
      <c r="F394">
        <v>0</v>
      </c>
      <c r="G394">
        <v>12</v>
      </c>
      <c r="H394">
        <v>0</v>
      </c>
      <c r="I394">
        <v>6</v>
      </c>
      <c r="J394">
        <v>0</v>
      </c>
      <c r="K394">
        <v>1</v>
      </c>
      <c r="L394">
        <v>0</v>
      </c>
      <c r="M394">
        <f>region_summary__43[[#This Row],[REJECTED BY Admin Kabupaten]]+region_summary__43[[#This Row],[REJECTED BY Pengawas]]</f>
        <v>6</v>
      </c>
    </row>
    <row r="395" spans="1:13" x14ac:dyDescent="0.25">
      <c r="A395" s="5" t="s">
        <v>110</v>
      </c>
      <c r="B395">
        <v>7172031002000300</v>
      </c>
      <c r="C395">
        <v>143</v>
      </c>
      <c r="D395">
        <v>56</v>
      </c>
      <c r="E395">
        <v>12</v>
      </c>
      <c r="F395">
        <v>0</v>
      </c>
      <c r="G395">
        <v>71</v>
      </c>
      <c r="H395">
        <v>0</v>
      </c>
      <c r="I395">
        <v>3</v>
      </c>
      <c r="J395">
        <v>0</v>
      </c>
      <c r="K395">
        <v>1</v>
      </c>
      <c r="L395">
        <v>0</v>
      </c>
      <c r="M395">
        <f>region_summary__43[[#This Row],[REJECTED BY Admin Kabupaten]]+region_summary__43[[#This Row],[REJECTED BY Pengawas]]</f>
        <v>3</v>
      </c>
    </row>
    <row r="396" spans="1:13" x14ac:dyDescent="0.25">
      <c r="A396" s="5" t="s">
        <v>110</v>
      </c>
      <c r="B396">
        <v>7172031001001500</v>
      </c>
      <c r="C396">
        <v>95</v>
      </c>
      <c r="D396">
        <v>87</v>
      </c>
      <c r="E396">
        <v>2</v>
      </c>
      <c r="F396">
        <v>0</v>
      </c>
      <c r="G396">
        <v>0</v>
      </c>
      <c r="H396">
        <v>0</v>
      </c>
      <c r="I396">
        <v>6</v>
      </c>
      <c r="J396">
        <v>0</v>
      </c>
      <c r="K396">
        <v>0</v>
      </c>
      <c r="L396">
        <v>0</v>
      </c>
      <c r="M396">
        <f>region_summary__43[[#This Row],[REJECTED BY Admin Kabupaten]]+region_summary__43[[#This Row],[REJECTED BY Pengawas]]</f>
        <v>6</v>
      </c>
    </row>
    <row r="397" spans="1:13" x14ac:dyDescent="0.25">
      <c r="A397" s="5" t="s">
        <v>111</v>
      </c>
      <c r="B397">
        <v>7172031002000500</v>
      </c>
      <c r="C397">
        <v>137</v>
      </c>
      <c r="D397">
        <v>105</v>
      </c>
      <c r="E397">
        <v>17</v>
      </c>
      <c r="F397">
        <v>0</v>
      </c>
      <c r="G397">
        <v>15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region_summary__43[[#This Row],[REJECTED BY Admin Kabupaten]]+region_summary__43[[#This Row],[REJECTED BY Pengawas]]</f>
        <v>0</v>
      </c>
    </row>
    <row r="398" spans="1:13" x14ac:dyDescent="0.25">
      <c r="A398" s="5" t="s">
        <v>111</v>
      </c>
      <c r="B398">
        <v>7172031002001101</v>
      </c>
      <c r="C398">
        <v>111</v>
      </c>
      <c r="D398">
        <v>31</v>
      </c>
      <c r="E398">
        <v>24</v>
      </c>
      <c r="F398">
        <v>0</v>
      </c>
      <c r="G398">
        <v>51</v>
      </c>
      <c r="H398">
        <v>0</v>
      </c>
      <c r="I398">
        <v>4</v>
      </c>
      <c r="J398">
        <v>0</v>
      </c>
      <c r="K398">
        <v>1</v>
      </c>
      <c r="L398">
        <v>0</v>
      </c>
      <c r="M398">
        <f>region_summary__43[[#This Row],[REJECTED BY Admin Kabupaten]]+region_summary__43[[#This Row],[REJECTED BY Pengawas]]</f>
        <v>4</v>
      </c>
    </row>
    <row r="399" spans="1:13" x14ac:dyDescent="0.25">
      <c r="A399" s="5" t="s">
        <v>111</v>
      </c>
      <c r="B399">
        <v>7172031002000400</v>
      </c>
      <c r="C399">
        <v>104</v>
      </c>
      <c r="D399">
        <v>103</v>
      </c>
      <c r="E399">
        <v>1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region_summary__43[[#This Row],[REJECTED BY Admin Kabupaten]]+region_summary__43[[#This Row],[REJECTED BY Pengawas]]</f>
        <v>0</v>
      </c>
    </row>
    <row r="400" spans="1:13" x14ac:dyDescent="0.25">
      <c r="A400" s="5" t="s">
        <v>111</v>
      </c>
      <c r="B400">
        <v>7172031002000700</v>
      </c>
      <c r="C400">
        <v>64</v>
      </c>
      <c r="D400">
        <v>4</v>
      </c>
      <c r="E400">
        <v>1</v>
      </c>
      <c r="F400">
        <v>0</v>
      </c>
      <c r="G400">
        <v>59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region_summary__43[[#This Row],[REJECTED BY Admin Kabupaten]]+region_summary__43[[#This Row],[REJECTED BY Pengawas]]</f>
        <v>0</v>
      </c>
    </row>
    <row r="401" spans="1:13" x14ac:dyDescent="0.25">
      <c r="A401" s="5" t="s">
        <v>111</v>
      </c>
      <c r="B401">
        <v>7172031002001500</v>
      </c>
      <c r="C401">
        <v>59</v>
      </c>
      <c r="D401">
        <v>0</v>
      </c>
      <c r="E401">
        <v>0</v>
      </c>
      <c r="F401">
        <v>0</v>
      </c>
      <c r="G401">
        <v>59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region_summary__43[[#This Row],[REJECTED BY Admin Kabupaten]]+region_summary__43[[#This Row],[REJECTED BY Pengawas]]</f>
        <v>0</v>
      </c>
    </row>
    <row r="402" spans="1:13" x14ac:dyDescent="0.25">
      <c r="A402" s="5" t="s">
        <v>111</v>
      </c>
      <c r="B402">
        <v>7172031003000200</v>
      </c>
      <c r="C402">
        <v>56</v>
      </c>
      <c r="D402">
        <v>20</v>
      </c>
      <c r="E402">
        <v>0</v>
      </c>
      <c r="F402">
        <v>0</v>
      </c>
      <c r="G402">
        <v>36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region_summary__43[[#This Row],[REJECTED BY Admin Kabupaten]]+region_summary__43[[#This Row],[REJECTED BY Pengawas]]</f>
        <v>0</v>
      </c>
    </row>
    <row r="403" spans="1:13" x14ac:dyDescent="0.25">
      <c r="A403" s="5" t="s">
        <v>111</v>
      </c>
      <c r="B403">
        <v>7172031002001400</v>
      </c>
      <c r="C403">
        <v>55</v>
      </c>
      <c r="D403">
        <v>0</v>
      </c>
      <c r="E403">
        <v>0</v>
      </c>
      <c r="F403">
        <v>0</v>
      </c>
      <c r="G403">
        <v>55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region_summary__43[[#This Row],[REJECTED BY Admin Kabupaten]]+region_summary__43[[#This Row],[REJECTED BY Pengawas]]</f>
        <v>0</v>
      </c>
    </row>
    <row r="404" spans="1:13" x14ac:dyDescent="0.25">
      <c r="A404" s="5" t="s">
        <v>111</v>
      </c>
      <c r="B404">
        <v>7172031002000600</v>
      </c>
      <c r="C404">
        <v>49</v>
      </c>
      <c r="D404">
        <v>0</v>
      </c>
      <c r="E404">
        <v>0</v>
      </c>
      <c r="F404">
        <v>0</v>
      </c>
      <c r="G404">
        <v>49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region_summary__43[[#This Row],[REJECTED BY Admin Kabupaten]]+region_summary__43[[#This Row],[REJECTED BY Pengawas]]</f>
        <v>0</v>
      </c>
    </row>
    <row r="405" spans="1:13" x14ac:dyDescent="0.25">
      <c r="A405" s="5" t="s">
        <v>112</v>
      </c>
      <c r="B405">
        <v>7172031002001102</v>
      </c>
      <c r="C405">
        <v>181</v>
      </c>
      <c r="D405">
        <v>74</v>
      </c>
      <c r="E405">
        <v>69</v>
      </c>
      <c r="F405">
        <v>1</v>
      </c>
      <c r="G405">
        <v>29</v>
      </c>
      <c r="H405">
        <v>0</v>
      </c>
      <c r="I405">
        <v>1</v>
      </c>
      <c r="J405">
        <v>0</v>
      </c>
      <c r="K405">
        <v>7</v>
      </c>
      <c r="L405">
        <v>0</v>
      </c>
      <c r="M405">
        <f>region_summary__43[[#This Row],[REJECTED BY Admin Kabupaten]]+region_summary__43[[#This Row],[REJECTED BY Pengawas]]</f>
        <v>1</v>
      </c>
    </row>
    <row r="406" spans="1:13" x14ac:dyDescent="0.25">
      <c r="A406" s="5" t="s">
        <v>112</v>
      </c>
      <c r="B406">
        <v>7172031002001000</v>
      </c>
      <c r="C406">
        <v>137</v>
      </c>
      <c r="D406">
        <v>131</v>
      </c>
      <c r="E406">
        <v>6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region_summary__43[[#This Row],[REJECTED BY Admin Kabupaten]]+region_summary__43[[#This Row],[REJECTED BY Pengawas]]</f>
        <v>0</v>
      </c>
    </row>
    <row r="407" spans="1:13" x14ac:dyDescent="0.25">
      <c r="A407" s="5" t="s">
        <v>112</v>
      </c>
      <c r="B407">
        <v>7172031002001300</v>
      </c>
      <c r="C407">
        <v>88</v>
      </c>
      <c r="D407">
        <v>53</v>
      </c>
      <c r="E407">
        <v>23</v>
      </c>
      <c r="F407">
        <v>0</v>
      </c>
      <c r="G407">
        <v>12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region_summary__43[[#This Row],[REJECTED BY Admin Kabupaten]]+region_summary__43[[#This Row],[REJECTED BY Pengawas]]</f>
        <v>0</v>
      </c>
    </row>
    <row r="408" spans="1:13" x14ac:dyDescent="0.25">
      <c r="A408" s="5" t="s">
        <v>112</v>
      </c>
      <c r="B408">
        <v>7172031008001400</v>
      </c>
      <c r="C408">
        <v>77</v>
      </c>
      <c r="D408">
        <v>0</v>
      </c>
      <c r="E408">
        <v>0</v>
      </c>
      <c r="F408">
        <v>0</v>
      </c>
      <c r="G408">
        <v>77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region_summary__43[[#This Row],[REJECTED BY Admin Kabupaten]]+region_summary__43[[#This Row],[REJECTED BY Pengawas]]</f>
        <v>0</v>
      </c>
    </row>
    <row r="409" spans="1:13" x14ac:dyDescent="0.25">
      <c r="A409" s="5" t="s">
        <v>112</v>
      </c>
      <c r="B409">
        <v>7172031002000800</v>
      </c>
      <c r="C409">
        <v>76</v>
      </c>
      <c r="D409">
        <v>0</v>
      </c>
      <c r="E409">
        <v>0</v>
      </c>
      <c r="F409">
        <v>0</v>
      </c>
      <c r="G409">
        <v>76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region_summary__43[[#This Row],[REJECTED BY Admin Kabupaten]]+region_summary__43[[#This Row],[REJECTED BY Pengawas]]</f>
        <v>0</v>
      </c>
    </row>
    <row r="410" spans="1:13" x14ac:dyDescent="0.25">
      <c r="A410" s="5" t="s">
        <v>112</v>
      </c>
      <c r="B410">
        <v>7172031008000800</v>
      </c>
      <c r="C410">
        <v>57</v>
      </c>
      <c r="D410">
        <v>57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region_summary__43[[#This Row],[REJECTED BY Admin Kabupaten]]+region_summary__43[[#This Row],[REJECTED BY Pengawas]]</f>
        <v>0</v>
      </c>
    </row>
    <row r="411" spans="1:13" x14ac:dyDescent="0.25">
      <c r="A411" s="5" t="s">
        <v>112</v>
      </c>
      <c r="B411">
        <v>7172031002000900</v>
      </c>
      <c r="C411">
        <v>48</v>
      </c>
      <c r="D411">
        <v>1</v>
      </c>
      <c r="E411">
        <v>0</v>
      </c>
      <c r="F411">
        <v>0</v>
      </c>
      <c r="G411">
        <v>47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region_summary__43[[#This Row],[REJECTED BY Admin Kabupaten]]+region_summary__43[[#This Row],[REJECTED BY Pengawas]]</f>
        <v>0</v>
      </c>
    </row>
    <row r="412" spans="1:13" x14ac:dyDescent="0.25">
      <c r="A412" s="5" t="s">
        <v>112</v>
      </c>
      <c r="B412">
        <v>7172031008001500</v>
      </c>
      <c r="C412">
        <v>30</v>
      </c>
      <c r="D412">
        <v>29</v>
      </c>
      <c r="E412">
        <v>0</v>
      </c>
      <c r="F412">
        <v>1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region_summary__43[[#This Row],[REJECTED BY Admin Kabupaten]]+region_summary__43[[#This Row],[REJECTED BY Pengawas]]</f>
        <v>0</v>
      </c>
    </row>
    <row r="413" spans="1:13" x14ac:dyDescent="0.25">
      <c r="A413" s="5" t="s">
        <v>115</v>
      </c>
      <c r="B413">
        <v>7172031003002000</v>
      </c>
      <c r="C413">
        <v>198</v>
      </c>
      <c r="D413">
        <v>142</v>
      </c>
      <c r="E413">
        <v>3</v>
      </c>
      <c r="F413">
        <v>45</v>
      </c>
      <c r="G413">
        <v>7</v>
      </c>
      <c r="H413">
        <v>0</v>
      </c>
      <c r="I413">
        <v>0</v>
      </c>
      <c r="J413">
        <v>0</v>
      </c>
      <c r="K413">
        <v>1</v>
      </c>
      <c r="L413">
        <v>0</v>
      </c>
      <c r="M413">
        <f>region_summary__43[[#This Row],[REJECTED BY Admin Kabupaten]]+region_summary__43[[#This Row],[REJECTED BY Pengawas]]</f>
        <v>0</v>
      </c>
    </row>
    <row r="414" spans="1:13" x14ac:dyDescent="0.25">
      <c r="A414" s="5" t="s">
        <v>115</v>
      </c>
      <c r="B414">
        <v>7172031003002100</v>
      </c>
      <c r="C414">
        <v>139</v>
      </c>
      <c r="D414">
        <v>47</v>
      </c>
      <c r="E414">
        <v>5</v>
      </c>
      <c r="F414">
        <v>0</v>
      </c>
      <c r="G414">
        <v>87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region_summary__43[[#This Row],[REJECTED BY Admin Kabupaten]]+region_summary__43[[#This Row],[REJECTED BY Pengawas]]</f>
        <v>0</v>
      </c>
    </row>
    <row r="415" spans="1:13" x14ac:dyDescent="0.25">
      <c r="A415" s="5" t="s">
        <v>115</v>
      </c>
      <c r="B415">
        <v>7172031003001700</v>
      </c>
      <c r="C415">
        <v>138</v>
      </c>
      <c r="D415">
        <v>38</v>
      </c>
      <c r="E415">
        <v>0</v>
      </c>
      <c r="F415">
        <v>0</v>
      </c>
      <c r="G415">
        <v>100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region_summary__43[[#This Row],[REJECTED BY Admin Kabupaten]]+region_summary__43[[#This Row],[REJECTED BY Pengawas]]</f>
        <v>0</v>
      </c>
    </row>
    <row r="416" spans="1:13" x14ac:dyDescent="0.25">
      <c r="A416" s="5" t="s">
        <v>115</v>
      </c>
      <c r="B416">
        <v>7172031003001900</v>
      </c>
      <c r="C416">
        <v>64</v>
      </c>
      <c r="D416">
        <v>29</v>
      </c>
      <c r="E416">
        <v>2</v>
      </c>
      <c r="F416">
        <v>2</v>
      </c>
      <c r="G416">
        <v>23</v>
      </c>
      <c r="H416">
        <v>0</v>
      </c>
      <c r="I416">
        <v>0</v>
      </c>
      <c r="J416">
        <v>0</v>
      </c>
      <c r="K416">
        <v>8</v>
      </c>
      <c r="L416">
        <v>0</v>
      </c>
      <c r="M416">
        <f>region_summary__43[[#This Row],[REJECTED BY Admin Kabupaten]]+region_summary__43[[#This Row],[REJECTED BY Pengawas]]</f>
        <v>0</v>
      </c>
    </row>
    <row r="417" spans="1:13" x14ac:dyDescent="0.25">
      <c r="A417" s="5" t="s">
        <v>115</v>
      </c>
      <c r="B417">
        <v>7172031003001400</v>
      </c>
      <c r="C417">
        <v>56</v>
      </c>
      <c r="D417">
        <v>0</v>
      </c>
      <c r="E417">
        <v>0</v>
      </c>
      <c r="F417">
        <v>0</v>
      </c>
      <c r="G417">
        <v>56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region_summary__43[[#This Row],[REJECTED BY Admin Kabupaten]]+region_summary__43[[#This Row],[REJECTED BY Pengawas]]</f>
        <v>0</v>
      </c>
    </row>
    <row r="418" spans="1:13" x14ac:dyDescent="0.25">
      <c r="A418" s="5" t="s">
        <v>117</v>
      </c>
      <c r="B418">
        <v>7172031004000800</v>
      </c>
      <c r="C418">
        <v>123</v>
      </c>
      <c r="D418">
        <v>23</v>
      </c>
      <c r="E418">
        <v>6</v>
      </c>
      <c r="F418">
        <v>0</v>
      </c>
      <c r="G418">
        <v>94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region_summary__43[[#This Row],[REJECTED BY Admin Kabupaten]]+region_summary__43[[#This Row],[REJECTED BY Pengawas]]</f>
        <v>0</v>
      </c>
    </row>
    <row r="419" spans="1:13" x14ac:dyDescent="0.25">
      <c r="A419" s="5" t="s">
        <v>117</v>
      </c>
      <c r="B419">
        <v>7172031004000900</v>
      </c>
      <c r="C419">
        <v>79</v>
      </c>
      <c r="D419">
        <v>63</v>
      </c>
      <c r="E419">
        <v>3</v>
      </c>
      <c r="F419">
        <v>13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region_summary__43[[#This Row],[REJECTED BY Admin Kabupaten]]+region_summary__43[[#This Row],[REJECTED BY Pengawas]]</f>
        <v>0</v>
      </c>
    </row>
    <row r="420" spans="1:13" x14ac:dyDescent="0.25">
      <c r="A420" s="5" t="s">
        <v>117</v>
      </c>
      <c r="B420">
        <v>7172031004000200</v>
      </c>
      <c r="C420">
        <v>56</v>
      </c>
      <c r="D420">
        <v>15</v>
      </c>
      <c r="E420">
        <v>5</v>
      </c>
      <c r="F420">
        <v>0</v>
      </c>
      <c r="G420">
        <v>36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region_summary__43[[#This Row],[REJECTED BY Admin Kabupaten]]+region_summary__43[[#This Row],[REJECTED BY Pengawas]]</f>
        <v>0</v>
      </c>
    </row>
    <row r="421" spans="1:13" x14ac:dyDescent="0.25">
      <c r="A421" s="5" t="s">
        <v>117</v>
      </c>
      <c r="B421">
        <v>7172031004000100</v>
      </c>
      <c r="C421">
        <v>54</v>
      </c>
      <c r="D421">
        <v>21</v>
      </c>
      <c r="E421">
        <v>3</v>
      </c>
      <c r="F421">
        <v>0</v>
      </c>
      <c r="G421">
        <v>30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f>region_summary__43[[#This Row],[REJECTED BY Admin Kabupaten]]+region_summary__43[[#This Row],[REJECTED BY Pengawas]]</f>
        <v>0</v>
      </c>
    </row>
    <row r="422" spans="1:13" x14ac:dyDescent="0.25">
      <c r="A422" s="5" t="s">
        <v>117</v>
      </c>
      <c r="B422">
        <v>7172031004001000</v>
      </c>
      <c r="C422">
        <v>52</v>
      </c>
      <c r="D422">
        <v>29</v>
      </c>
      <c r="E422">
        <v>18</v>
      </c>
      <c r="F422">
        <v>2</v>
      </c>
      <c r="G422">
        <v>1</v>
      </c>
      <c r="H422">
        <v>0</v>
      </c>
      <c r="I422">
        <v>0</v>
      </c>
      <c r="J422">
        <v>0</v>
      </c>
      <c r="K422">
        <v>2</v>
      </c>
      <c r="L422">
        <v>0</v>
      </c>
      <c r="M422">
        <f>region_summary__43[[#This Row],[REJECTED BY Admin Kabupaten]]+region_summary__43[[#This Row],[REJECTED BY Pengawas]]</f>
        <v>0</v>
      </c>
    </row>
    <row r="423" spans="1:13" x14ac:dyDescent="0.25">
      <c r="A423" s="5" t="s">
        <v>117</v>
      </c>
      <c r="B423">
        <v>7172031004000300</v>
      </c>
      <c r="C423">
        <v>51</v>
      </c>
      <c r="D423">
        <v>15</v>
      </c>
      <c r="E423">
        <v>0</v>
      </c>
      <c r="F423">
        <v>0</v>
      </c>
      <c r="G423">
        <v>36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region_summary__43[[#This Row],[REJECTED BY Admin Kabupaten]]+region_summary__43[[#This Row],[REJECTED BY Pengawas]]</f>
        <v>0</v>
      </c>
    </row>
    <row r="424" spans="1:13" x14ac:dyDescent="0.25">
      <c r="A424" s="5" t="s">
        <v>117</v>
      </c>
      <c r="B424">
        <v>7172031004000500</v>
      </c>
      <c r="C424">
        <v>48</v>
      </c>
      <c r="D424">
        <v>40</v>
      </c>
      <c r="E424">
        <v>0</v>
      </c>
      <c r="F424">
        <v>6</v>
      </c>
      <c r="G424">
        <v>1</v>
      </c>
      <c r="H424">
        <v>0</v>
      </c>
      <c r="I424">
        <v>0</v>
      </c>
      <c r="J424">
        <v>1</v>
      </c>
      <c r="K424">
        <v>0</v>
      </c>
      <c r="L424">
        <v>0</v>
      </c>
      <c r="M424">
        <f>region_summary__43[[#This Row],[REJECTED BY Admin Kabupaten]]+region_summary__43[[#This Row],[REJECTED BY Pengawas]]</f>
        <v>0</v>
      </c>
    </row>
    <row r="425" spans="1:13" x14ac:dyDescent="0.25">
      <c r="A425" s="5" t="s">
        <v>117</v>
      </c>
      <c r="B425">
        <v>7172031004001100</v>
      </c>
      <c r="C425">
        <v>48</v>
      </c>
      <c r="D425">
        <v>8</v>
      </c>
      <c r="E425">
        <v>0</v>
      </c>
      <c r="F425">
        <v>0</v>
      </c>
      <c r="G425">
        <v>40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region_summary__43[[#This Row],[REJECTED BY Admin Kabupaten]]+region_summary__43[[#This Row],[REJECTED BY Pengawas]]</f>
        <v>0</v>
      </c>
    </row>
    <row r="426" spans="1:13" x14ac:dyDescent="0.25">
      <c r="A426" s="5" t="s">
        <v>117</v>
      </c>
      <c r="B426">
        <v>7172031004000700</v>
      </c>
      <c r="C426">
        <v>45</v>
      </c>
      <c r="D426">
        <v>10</v>
      </c>
      <c r="E426">
        <v>0</v>
      </c>
      <c r="F426">
        <v>0</v>
      </c>
      <c r="G426">
        <v>35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region_summary__43[[#This Row],[REJECTED BY Admin Kabupaten]]+region_summary__43[[#This Row],[REJECTED BY Pengawas]]</f>
        <v>0</v>
      </c>
    </row>
    <row r="427" spans="1:13" x14ac:dyDescent="0.25">
      <c r="A427" s="5" t="s">
        <v>117</v>
      </c>
      <c r="B427">
        <v>7172031004000600</v>
      </c>
      <c r="C427">
        <v>42</v>
      </c>
      <c r="D427">
        <v>14</v>
      </c>
      <c r="E427">
        <v>26</v>
      </c>
      <c r="F427">
        <v>0</v>
      </c>
      <c r="G427">
        <v>2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region_summary__43[[#This Row],[REJECTED BY Admin Kabupaten]]+region_summary__43[[#This Row],[REJECTED BY Pengawas]]</f>
        <v>0</v>
      </c>
    </row>
    <row r="428" spans="1:13" x14ac:dyDescent="0.25">
      <c r="A428" s="5" t="s">
        <v>117</v>
      </c>
      <c r="B428">
        <v>7172031004000400</v>
      </c>
      <c r="C428">
        <v>28</v>
      </c>
      <c r="D428">
        <v>12</v>
      </c>
      <c r="E428">
        <v>0</v>
      </c>
      <c r="F428">
        <v>0</v>
      </c>
      <c r="G428">
        <v>16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region_summary__43[[#This Row],[REJECTED BY Admin Kabupaten]]+region_summary__43[[#This Row],[REJECTED BY Pengawas]]</f>
        <v>0</v>
      </c>
    </row>
    <row r="429" spans="1:13" x14ac:dyDescent="0.25">
      <c r="A429" s="5" t="s">
        <v>243</v>
      </c>
      <c r="B429">
        <v>7172031003001800</v>
      </c>
      <c r="C429">
        <v>146</v>
      </c>
      <c r="D429">
        <v>110</v>
      </c>
      <c r="E429">
        <v>0</v>
      </c>
      <c r="F429">
        <v>22</v>
      </c>
      <c r="G429">
        <v>14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region_summary__43[[#This Row],[REJECTED BY Admin Kabupaten]]+region_summary__43[[#This Row],[REJECTED BY Pengawas]]</f>
        <v>0</v>
      </c>
    </row>
    <row r="430" spans="1:13" x14ac:dyDescent="0.25">
      <c r="A430" s="5" t="s">
        <v>243</v>
      </c>
      <c r="B430">
        <v>7172031003002500</v>
      </c>
      <c r="C430">
        <v>109</v>
      </c>
      <c r="D430">
        <v>64</v>
      </c>
      <c r="E430">
        <v>3</v>
      </c>
      <c r="F430">
        <v>23</v>
      </c>
      <c r="G430">
        <v>19</v>
      </c>
      <c r="H430">
        <v>0</v>
      </c>
      <c r="I430">
        <v>0</v>
      </c>
      <c r="J430">
        <v>0</v>
      </c>
      <c r="K430">
        <v>0</v>
      </c>
      <c r="L430">
        <v>0</v>
      </c>
      <c r="M430">
        <f>region_summary__43[[#This Row],[REJECTED BY Admin Kabupaten]]+region_summary__43[[#This Row],[REJECTED BY Pengawas]]</f>
        <v>0</v>
      </c>
    </row>
    <row r="431" spans="1:13" x14ac:dyDescent="0.25">
      <c r="A431" s="5" t="s">
        <v>243</v>
      </c>
      <c r="B431">
        <v>7172031003002700</v>
      </c>
      <c r="C431">
        <v>106</v>
      </c>
      <c r="D431">
        <v>26</v>
      </c>
      <c r="E431">
        <v>4</v>
      </c>
      <c r="F431">
        <v>0</v>
      </c>
      <c r="G431">
        <v>76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region_summary__43[[#This Row],[REJECTED BY Admin Kabupaten]]+region_summary__43[[#This Row],[REJECTED BY Pengawas]]</f>
        <v>0</v>
      </c>
    </row>
    <row r="432" spans="1:13" x14ac:dyDescent="0.25">
      <c r="A432" s="5" t="s">
        <v>243</v>
      </c>
      <c r="B432">
        <v>7172031003002600</v>
      </c>
      <c r="C432">
        <v>81</v>
      </c>
      <c r="D432">
        <v>64</v>
      </c>
      <c r="E432">
        <v>9</v>
      </c>
      <c r="F432">
        <v>5</v>
      </c>
      <c r="G432">
        <v>2</v>
      </c>
      <c r="H432">
        <v>0</v>
      </c>
      <c r="I432">
        <v>1</v>
      </c>
      <c r="J432">
        <v>0</v>
      </c>
      <c r="K432">
        <v>0</v>
      </c>
      <c r="L432">
        <v>0</v>
      </c>
      <c r="M432">
        <f>region_summary__43[[#This Row],[REJECTED BY Admin Kabupaten]]+region_summary__43[[#This Row],[REJECTED BY Pengawas]]</f>
        <v>1</v>
      </c>
    </row>
    <row r="433" spans="1:13" x14ac:dyDescent="0.25">
      <c r="A433" s="5" t="s">
        <v>243</v>
      </c>
      <c r="B433">
        <v>7172031003002300</v>
      </c>
      <c r="C433">
        <v>77</v>
      </c>
      <c r="D433">
        <v>0</v>
      </c>
      <c r="E433">
        <v>0</v>
      </c>
      <c r="F433">
        <v>0</v>
      </c>
      <c r="G433">
        <v>77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region_summary__43[[#This Row],[REJECTED BY Admin Kabupaten]]+region_summary__43[[#This Row],[REJECTED BY Pengawas]]</f>
        <v>0</v>
      </c>
    </row>
    <row r="434" spans="1:13" x14ac:dyDescent="0.25">
      <c r="A434" s="5" t="s">
        <v>243</v>
      </c>
      <c r="B434">
        <v>7172031003002400</v>
      </c>
      <c r="C434">
        <v>62</v>
      </c>
      <c r="D434">
        <v>40</v>
      </c>
      <c r="E434">
        <v>0</v>
      </c>
      <c r="F434">
        <v>11</v>
      </c>
      <c r="G434">
        <v>11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region_summary__43[[#This Row],[REJECTED BY Admin Kabupaten]]+region_summary__43[[#This Row],[REJECTED BY Pengawas]]</f>
        <v>0</v>
      </c>
    </row>
    <row r="435" spans="1:13" x14ac:dyDescent="0.25">
      <c r="A435" s="5" t="s">
        <v>243</v>
      </c>
      <c r="B435">
        <v>7172031003002200</v>
      </c>
      <c r="C435">
        <v>60</v>
      </c>
      <c r="D435">
        <v>1</v>
      </c>
      <c r="E435">
        <v>0</v>
      </c>
      <c r="F435">
        <v>0</v>
      </c>
      <c r="G435">
        <v>59</v>
      </c>
      <c r="H435">
        <v>0</v>
      </c>
      <c r="I435">
        <v>0</v>
      </c>
      <c r="J435">
        <v>0</v>
      </c>
      <c r="K435">
        <v>0</v>
      </c>
      <c r="L435">
        <v>0</v>
      </c>
      <c r="M435">
        <f>region_summary__43[[#This Row],[REJECTED BY Admin Kabupaten]]+region_summary__43[[#This Row],[REJECTED BY Pengawas]]</f>
        <v>0</v>
      </c>
    </row>
    <row r="436" spans="1:13" x14ac:dyDescent="0.25">
      <c r="A436" s="5" t="s">
        <v>120</v>
      </c>
      <c r="B436">
        <v>7172031006000101</v>
      </c>
      <c r="C436">
        <v>229</v>
      </c>
      <c r="D436">
        <v>220</v>
      </c>
      <c r="E436">
        <v>3</v>
      </c>
      <c r="F436">
        <v>1</v>
      </c>
      <c r="G436">
        <v>5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region_summary__43[[#This Row],[REJECTED BY Admin Kabupaten]]+region_summary__43[[#This Row],[REJECTED BY Pengawas]]</f>
        <v>0</v>
      </c>
    </row>
    <row r="437" spans="1:13" x14ac:dyDescent="0.25">
      <c r="A437" s="5" t="s">
        <v>120</v>
      </c>
      <c r="B437">
        <v>7172031006000300</v>
      </c>
      <c r="C437">
        <v>133</v>
      </c>
      <c r="D437">
        <v>16</v>
      </c>
      <c r="E437">
        <v>0</v>
      </c>
      <c r="F437">
        <v>0</v>
      </c>
      <c r="G437">
        <v>117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region_summary__43[[#This Row],[REJECTED BY Admin Kabupaten]]+region_summary__43[[#This Row],[REJECTED BY Pengawas]]</f>
        <v>0</v>
      </c>
    </row>
    <row r="438" spans="1:13" x14ac:dyDescent="0.25">
      <c r="A438" s="5" t="s">
        <v>120</v>
      </c>
      <c r="B438">
        <v>7172031006000400</v>
      </c>
      <c r="C438">
        <v>123</v>
      </c>
      <c r="D438">
        <v>0</v>
      </c>
      <c r="E438">
        <v>0</v>
      </c>
      <c r="F438">
        <v>0</v>
      </c>
      <c r="G438">
        <v>123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region_summary__43[[#This Row],[REJECTED BY Admin Kabupaten]]+region_summary__43[[#This Row],[REJECTED BY Pengawas]]</f>
        <v>0</v>
      </c>
    </row>
    <row r="439" spans="1:13" x14ac:dyDescent="0.25">
      <c r="A439" s="5" t="s">
        <v>120</v>
      </c>
      <c r="B439">
        <v>7172031006000200</v>
      </c>
      <c r="C439">
        <v>117</v>
      </c>
      <c r="D439">
        <v>0</v>
      </c>
      <c r="E439">
        <v>0</v>
      </c>
      <c r="F439">
        <v>0</v>
      </c>
      <c r="G439">
        <v>117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region_summary__43[[#This Row],[REJECTED BY Admin Kabupaten]]+region_summary__43[[#This Row],[REJECTED BY Pengawas]]</f>
        <v>0</v>
      </c>
    </row>
    <row r="440" spans="1:13" x14ac:dyDescent="0.25">
      <c r="A440" s="5" t="s">
        <v>120</v>
      </c>
      <c r="B440">
        <v>7172031006000102</v>
      </c>
      <c r="C440">
        <v>95</v>
      </c>
      <c r="D440">
        <v>74</v>
      </c>
      <c r="E440">
        <v>16</v>
      </c>
      <c r="F440">
        <v>0</v>
      </c>
      <c r="G440">
        <v>5</v>
      </c>
      <c r="H440">
        <v>0</v>
      </c>
      <c r="I440">
        <v>0</v>
      </c>
      <c r="J440">
        <v>0</v>
      </c>
      <c r="K440">
        <v>0</v>
      </c>
      <c r="L440">
        <v>0</v>
      </c>
      <c r="M440">
        <f>region_summary__43[[#This Row],[REJECTED BY Admin Kabupaten]]+region_summary__43[[#This Row],[REJECTED BY Pengawas]]</f>
        <v>0</v>
      </c>
    </row>
    <row r="441" spans="1:13" x14ac:dyDescent="0.25">
      <c r="A441" s="5" t="s">
        <v>127</v>
      </c>
      <c r="B441">
        <v>7172031007001600</v>
      </c>
      <c r="C441">
        <v>137</v>
      </c>
      <c r="D441">
        <v>82</v>
      </c>
      <c r="E441">
        <v>4</v>
      </c>
      <c r="F441">
        <v>0</v>
      </c>
      <c r="G441">
        <v>49</v>
      </c>
      <c r="H441">
        <v>0</v>
      </c>
      <c r="I441">
        <v>2</v>
      </c>
      <c r="J441">
        <v>0</v>
      </c>
      <c r="K441">
        <v>0</v>
      </c>
      <c r="L441">
        <v>0</v>
      </c>
      <c r="M441">
        <f>region_summary__43[[#This Row],[REJECTED BY Admin Kabupaten]]+region_summary__43[[#This Row],[REJECTED BY Pengawas]]</f>
        <v>2</v>
      </c>
    </row>
    <row r="442" spans="1:13" x14ac:dyDescent="0.25">
      <c r="A442" s="5" t="s">
        <v>127</v>
      </c>
      <c r="B442">
        <v>7172031007001800</v>
      </c>
      <c r="C442">
        <v>117</v>
      </c>
      <c r="D442">
        <v>18</v>
      </c>
      <c r="E442">
        <v>0</v>
      </c>
      <c r="F442">
        <v>0</v>
      </c>
      <c r="G442">
        <v>99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region_summary__43[[#This Row],[REJECTED BY Admin Kabupaten]]+region_summary__43[[#This Row],[REJECTED BY Pengawas]]</f>
        <v>0</v>
      </c>
    </row>
    <row r="443" spans="1:13" x14ac:dyDescent="0.25">
      <c r="A443" s="5" t="s">
        <v>127</v>
      </c>
      <c r="B443">
        <v>7172031007001200</v>
      </c>
      <c r="C443">
        <v>106</v>
      </c>
      <c r="D443">
        <v>84</v>
      </c>
      <c r="E443">
        <v>3</v>
      </c>
      <c r="F443">
        <v>0</v>
      </c>
      <c r="G443">
        <v>9</v>
      </c>
      <c r="H443">
        <v>0</v>
      </c>
      <c r="I443">
        <v>9</v>
      </c>
      <c r="J443">
        <v>1</v>
      </c>
      <c r="K443">
        <v>0</v>
      </c>
      <c r="L443">
        <v>0</v>
      </c>
      <c r="M443">
        <f>region_summary__43[[#This Row],[REJECTED BY Admin Kabupaten]]+region_summary__43[[#This Row],[REJECTED BY Pengawas]]</f>
        <v>9</v>
      </c>
    </row>
    <row r="444" spans="1:13" x14ac:dyDescent="0.25">
      <c r="A444" s="5" t="s">
        <v>127</v>
      </c>
      <c r="B444">
        <v>7172031007001000</v>
      </c>
      <c r="C444">
        <v>102</v>
      </c>
      <c r="D444">
        <v>91</v>
      </c>
      <c r="E444">
        <v>1</v>
      </c>
      <c r="F444">
        <v>0</v>
      </c>
      <c r="G444">
        <v>4</v>
      </c>
      <c r="H444">
        <v>0</v>
      </c>
      <c r="I444">
        <v>5</v>
      </c>
      <c r="J444">
        <v>1</v>
      </c>
      <c r="K444">
        <v>0</v>
      </c>
      <c r="L444">
        <v>0</v>
      </c>
      <c r="M444">
        <f>region_summary__43[[#This Row],[REJECTED BY Admin Kabupaten]]+region_summary__43[[#This Row],[REJECTED BY Pengawas]]</f>
        <v>5</v>
      </c>
    </row>
    <row r="445" spans="1:13" x14ac:dyDescent="0.25">
      <c r="A445" s="5" t="s">
        <v>127</v>
      </c>
      <c r="B445">
        <v>7172031007001700</v>
      </c>
      <c r="C445">
        <v>87</v>
      </c>
      <c r="D445">
        <v>10</v>
      </c>
      <c r="E445">
        <v>3</v>
      </c>
      <c r="F445">
        <v>0</v>
      </c>
      <c r="G445">
        <v>52</v>
      </c>
      <c r="H445">
        <v>0</v>
      </c>
      <c r="I445">
        <v>1</v>
      </c>
      <c r="J445">
        <v>0</v>
      </c>
      <c r="K445">
        <v>21</v>
      </c>
      <c r="L445">
        <v>0</v>
      </c>
      <c r="M445">
        <f>region_summary__43[[#This Row],[REJECTED BY Admin Kabupaten]]+region_summary__43[[#This Row],[REJECTED BY Pengawas]]</f>
        <v>1</v>
      </c>
    </row>
    <row r="446" spans="1:13" x14ac:dyDescent="0.25">
      <c r="A446" s="5" t="s">
        <v>127</v>
      </c>
      <c r="B446">
        <v>7172031007002000</v>
      </c>
      <c r="C446">
        <v>79</v>
      </c>
      <c r="D446">
        <v>0</v>
      </c>
      <c r="E446">
        <v>0</v>
      </c>
      <c r="F446">
        <v>0</v>
      </c>
      <c r="G446">
        <v>79</v>
      </c>
      <c r="H446">
        <v>0</v>
      </c>
      <c r="I446">
        <v>0</v>
      </c>
      <c r="J446">
        <v>0</v>
      </c>
      <c r="K446">
        <v>0</v>
      </c>
      <c r="L446">
        <v>0</v>
      </c>
      <c r="M446">
        <f>region_summary__43[[#This Row],[REJECTED BY Admin Kabupaten]]+region_summary__43[[#This Row],[REJECTED BY Pengawas]]</f>
        <v>0</v>
      </c>
    </row>
    <row r="447" spans="1:13" x14ac:dyDescent="0.25">
      <c r="A447" s="5" t="s">
        <v>122</v>
      </c>
      <c r="B447">
        <v>7172031006000900</v>
      </c>
      <c r="C447">
        <v>202</v>
      </c>
      <c r="D447">
        <v>146</v>
      </c>
      <c r="E447">
        <v>14</v>
      </c>
      <c r="F447">
        <v>0</v>
      </c>
      <c r="G447">
        <v>37</v>
      </c>
      <c r="H447">
        <v>0</v>
      </c>
      <c r="I447">
        <v>2</v>
      </c>
      <c r="J447">
        <v>0</v>
      </c>
      <c r="K447">
        <v>3</v>
      </c>
      <c r="L447">
        <v>0</v>
      </c>
      <c r="M447">
        <f>region_summary__43[[#This Row],[REJECTED BY Admin Kabupaten]]+region_summary__43[[#This Row],[REJECTED BY Pengawas]]</f>
        <v>2</v>
      </c>
    </row>
    <row r="448" spans="1:13" x14ac:dyDescent="0.25">
      <c r="A448" s="5" t="s">
        <v>122</v>
      </c>
      <c r="B448">
        <v>7172031006001200</v>
      </c>
      <c r="C448">
        <v>136</v>
      </c>
      <c r="D448">
        <v>0</v>
      </c>
      <c r="E448">
        <v>0</v>
      </c>
      <c r="F448">
        <v>0</v>
      </c>
      <c r="G448">
        <v>136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region_summary__43[[#This Row],[REJECTED BY Admin Kabupaten]]+region_summary__43[[#This Row],[REJECTED BY Pengawas]]</f>
        <v>0</v>
      </c>
    </row>
    <row r="449" spans="1:13" x14ac:dyDescent="0.25">
      <c r="A449" s="5" t="s">
        <v>122</v>
      </c>
      <c r="B449">
        <v>7172031006001300</v>
      </c>
      <c r="C449">
        <v>116</v>
      </c>
      <c r="D449">
        <v>111</v>
      </c>
      <c r="E449">
        <v>5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region_summary__43[[#This Row],[REJECTED BY Admin Kabupaten]]+region_summary__43[[#This Row],[REJECTED BY Pengawas]]</f>
        <v>0</v>
      </c>
    </row>
    <row r="450" spans="1:13" x14ac:dyDescent="0.25">
      <c r="A450" s="5" t="s">
        <v>122</v>
      </c>
      <c r="B450">
        <v>7172031006001000</v>
      </c>
      <c r="C450">
        <v>105</v>
      </c>
      <c r="D450">
        <v>0</v>
      </c>
      <c r="E450">
        <v>0</v>
      </c>
      <c r="F450">
        <v>0</v>
      </c>
      <c r="G450">
        <v>105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region_summary__43[[#This Row],[REJECTED BY Admin Kabupaten]]+region_summary__43[[#This Row],[REJECTED BY Pengawas]]</f>
        <v>0</v>
      </c>
    </row>
    <row r="451" spans="1:13" x14ac:dyDescent="0.25">
      <c r="A451" s="5" t="s">
        <v>122</v>
      </c>
      <c r="B451">
        <v>7172031006000700</v>
      </c>
      <c r="C451">
        <v>72</v>
      </c>
      <c r="D451">
        <v>3</v>
      </c>
      <c r="E451">
        <v>0</v>
      </c>
      <c r="F451">
        <v>0</v>
      </c>
      <c r="G451">
        <v>69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region_summary__43[[#This Row],[REJECTED BY Admin Kabupaten]]+region_summary__43[[#This Row],[REJECTED BY Pengawas]]</f>
        <v>0</v>
      </c>
    </row>
    <row r="452" spans="1:13" x14ac:dyDescent="0.25">
      <c r="A452" s="5" t="s">
        <v>124</v>
      </c>
      <c r="B452">
        <v>7172031006001400</v>
      </c>
      <c r="C452">
        <v>178</v>
      </c>
      <c r="D452">
        <v>141</v>
      </c>
      <c r="E452">
        <v>16</v>
      </c>
      <c r="F452">
        <v>2</v>
      </c>
      <c r="G452">
        <v>0</v>
      </c>
      <c r="H452">
        <v>0</v>
      </c>
      <c r="I452">
        <v>19</v>
      </c>
      <c r="J452">
        <v>0</v>
      </c>
      <c r="K452">
        <v>0</v>
      </c>
      <c r="L452">
        <v>0</v>
      </c>
      <c r="M452">
        <f>region_summary__43[[#This Row],[REJECTED BY Admin Kabupaten]]+region_summary__43[[#This Row],[REJECTED BY Pengawas]]</f>
        <v>19</v>
      </c>
    </row>
    <row r="453" spans="1:13" x14ac:dyDescent="0.25">
      <c r="A453" s="5" t="s">
        <v>124</v>
      </c>
      <c r="B453">
        <v>7172031006001500</v>
      </c>
      <c r="C453">
        <v>143</v>
      </c>
      <c r="D453">
        <v>45</v>
      </c>
      <c r="E453">
        <v>19</v>
      </c>
      <c r="F453">
        <v>0</v>
      </c>
      <c r="G453">
        <v>77</v>
      </c>
      <c r="H453">
        <v>0</v>
      </c>
      <c r="I453">
        <v>1</v>
      </c>
      <c r="J453">
        <v>0</v>
      </c>
      <c r="K453">
        <v>1</v>
      </c>
      <c r="L453">
        <v>0</v>
      </c>
      <c r="M453">
        <f>region_summary__43[[#This Row],[REJECTED BY Admin Kabupaten]]+region_summary__43[[#This Row],[REJECTED BY Pengawas]]</f>
        <v>1</v>
      </c>
    </row>
    <row r="454" spans="1:13" x14ac:dyDescent="0.25">
      <c r="A454" s="5" t="s">
        <v>124</v>
      </c>
      <c r="B454">
        <v>7172031006001700</v>
      </c>
      <c r="C454">
        <v>139</v>
      </c>
      <c r="D454">
        <v>108</v>
      </c>
      <c r="E454">
        <v>3</v>
      </c>
      <c r="F454">
        <v>0</v>
      </c>
      <c r="G454">
        <v>9</v>
      </c>
      <c r="H454">
        <v>0</v>
      </c>
      <c r="I454">
        <v>19</v>
      </c>
      <c r="J454">
        <v>0</v>
      </c>
      <c r="K454">
        <v>0</v>
      </c>
      <c r="L454">
        <v>0</v>
      </c>
      <c r="M454">
        <f>region_summary__43[[#This Row],[REJECTED BY Admin Kabupaten]]+region_summary__43[[#This Row],[REJECTED BY Pengawas]]</f>
        <v>19</v>
      </c>
    </row>
    <row r="455" spans="1:13" x14ac:dyDescent="0.25">
      <c r="A455" s="5" t="s">
        <v>124</v>
      </c>
      <c r="B455">
        <v>7172031006001600</v>
      </c>
      <c r="C455">
        <v>100</v>
      </c>
      <c r="D455">
        <v>73</v>
      </c>
      <c r="E455">
        <v>14</v>
      </c>
      <c r="F455">
        <v>0</v>
      </c>
      <c r="G455">
        <v>11</v>
      </c>
      <c r="H455">
        <v>0</v>
      </c>
      <c r="I455">
        <v>2</v>
      </c>
      <c r="J455">
        <v>0</v>
      </c>
      <c r="K455">
        <v>0</v>
      </c>
      <c r="L455">
        <v>0</v>
      </c>
      <c r="M455">
        <f>region_summary__43[[#This Row],[REJECTED BY Admin Kabupaten]]+region_summary__43[[#This Row],[REJECTED BY Pengawas]]</f>
        <v>2</v>
      </c>
    </row>
    <row r="456" spans="1:13" x14ac:dyDescent="0.25">
      <c r="A456" s="5" t="s">
        <v>124</v>
      </c>
      <c r="B456">
        <v>7172031006001800</v>
      </c>
      <c r="C456">
        <v>91</v>
      </c>
      <c r="D456">
        <v>0</v>
      </c>
      <c r="E456">
        <v>0</v>
      </c>
      <c r="F456">
        <v>0</v>
      </c>
      <c r="G456">
        <v>91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region_summary__43[[#This Row],[REJECTED BY Admin Kabupaten]]+region_summary__43[[#This Row],[REJECTED BY Pengawas]]</f>
        <v>0</v>
      </c>
    </row>
    <row r="457" spans="1:13" x14ac:dyDescent="0.25">
      <c r="A457" s="5" t="s">
        <v>129</v>
      </c>
      <c r="B457">
        <v>7172031008000300</v>
      </c>
      <c r="C457">
        <v>93</v>
      </c>
      <c r="D457">
        <v>92</v>
      </c>
      <c r="E457">
        <v>0</v>
      </c>
      <c r="F457">
        <v>0</v>
      </c>
      <c r="G457">
        <v>0</v>
      </c>
      <c r="H457">
        <v>0</v>
      </c>
      <c r="I457">
        <v>1</v>
      </c>
      <c r="J457">
        <v>0</v>
      </c>
      <c r="K457">
        <v>0</v>
      </c>
      <c r="L457">
        <v>0</v>
      </c>
      <c r="M457">
        <f>region_summary__43[[#This Row],[REJECTED BY Admin Kabupaten]]+region_summary__43[[#This Row],[REJECTED BY Pengawas]]</f>
        <v>1</v>
      </c>
    </row>
    <row r="458" spans="1:13" x14ac:dyDescent="0.25">
      <c r="A458" s="5" t="s">
        <v>129</v>
      </c>
      <c r="B458">
        <v>7172031008000900</v>
      </c>
      <c r="C458">
        <v>92</v>
      </c>
      <c r="D458">
        <v>28</v>
      </c>
      <c r="E458">
        <v>24</v>
      </c>
      <c r="F458">
        <v>0</v>
      </c>
      <c r="G458">
        <v>40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region_summary__43[[#This Row],[REJECTED BY Admin Kabupaten]]+region_summary__43[[#This Row],[REJECTED BY Pengawas]]</f>
        <v>0</v>
      </c>
    </row>
    <row r="459" spans="1:13" x14ac:dyDescent="0.25">
      <c r="A459" s="5" t="s">
        <v>129</v>
      </c>
      <c r="B459">
        <v>7172031008001000</v>
      </c>
      <c r="C459">
        <v>86</v>
      </c>
      <c r="D459">
        <v>0</v>
      </c>
      <c r="E459">
        <v>0</v>
      </c>
      <c r="F459">
        <v>0</v>
      </c>
      <c r="G459">
        <v>86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region_summary__43[[#This Row],[REJECTED BY Admin Kabupaten]]+region_summary__43[[#This Row],[REJECTED BY Pengawas]]</f>
        <v>0</v>
      </c>
    </row>
    <row r="460" spans="1:13" x14ac:dyDescent="0.25">
      <c r="A460" s="5" t="s">
        <v>129</v>
      </c>
      <c r="B460">
        <v>7172031008001200</v>
      </c>
      <c r="C460">
        <v>81</v>
      </c>
      <c r="D460">
        <v>0</v>
      </c>
      <c r="E460">
        <v>0</v>
      </c>
      <c r="F460">
        <v>0</v>
      </c>
      <c r="G460">
        <v>81</v>
      </c>
      <c r="H460">
        <v>0</v>
      </c>
      <c r="I460">
        <v>0</v>
      </c>
      <c r="J460">
        <v>0</v>
      </c>
      <c r="K460">
        <v>0</v>
      </c>
      <c r="L460">
        <v>0</v>
      </c>
      <c r="M460">
        <f>region_summary__43[[#This Row],[REJECTED BY Admin Kabupaten]]+region_summary__43[[#This Row],[REJECTED BY Pengawas]]</f>
        <v>0</v>
      </c>
    </row>
    <row r="461" spans="1:13" x14ac:dyDescent="0.25">
      <c r="A461" s="5" t="s">
        <v>129</v>
      </c>
      <c r="B461">
        <v>7172031008001300</v>
      </c>
      <c r="C461">
        <v>73</v>
      </c>
      <c r="D461">
        <v>0</v>
      </c>
      <c r="E461">
        <v>0</v>
      </c>
      <c r="F461">
        <v>0</v>
      </c>
      <c r="G461">
        <v>73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region_summary__43[[#This Row],[REJECTED BY Admin Kabupaten]]+region_summary__43[[#This Row],[REJECTED BY Pengawas]]</f>
        <v>0</v>
      </c>
    </row>
    <row r="462" spans="1:13" x14ac:dyDescent="0.25">
      <c r="A462" s="5" t="s">
        <v>129</v>
      </c>
      <c r="B462">
        <v>7172031008001100</v>
      </c>
      <c r="C462">
        <v>57</v>
      </c>
      <c r="D462">
        <v>0</v>
      </c>
      <c r="E462">
        <v>0</v>
      </c>
      <c r="F462">
        <v>0</v>
      </c>
      <c r="G462">
        <v>57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region_summary__43[[#This Row],[REJECTED BY Admin Kabupaten]]+region_summary__43[[#This Row],[REJECTED BY Pengawas]]</f>
        <v>0</v>
      </c>
    </row>
    <row r="463" spans="1:13" x14ac:dyDescent="0.25">
      <c r="A463" s="5" t="s">
        <v>129</v>
      </c>
      <c r="B463">
        <v>7172031008000500</v>
      </c>
      <c r="C463">
        <v>50</v>
      </c>
      <c r="D463">
        <v>47</v>
      </c>
      <c r="E463">
        <v>1</v>
      </c>
      <c r="F463">
        <v>0</v>
      </c>
      <c r="G463">
        <v>1</v>
      </c>
      <c r="H463">
        <v>0</v>
      </c>
      <c r="I463">
        <v>0</v>
      </c>
      <c r="J463">
        <v>1</v>
      </c>
      <c r="K463">
        <v>0</v>
      </c>
      <c r="L463">
        <v>0</v>
      </c>
      <c r="M463">
        <f>region_summary__43[[#This Row],[REJECTED BY Admin Kabupaten]]+region_summary__43[[#This Row],[REJECTED BY Pengawas]]</f>
        <v>0</v>
      </c>
    </row>
    <row r="464" spans="1:13" x14ac:dyDescent="0.25">
      <c r="A464" s="5" t="s">
        <v>129</v>
      </c>
      <c r="B464">
        <v>7172031008000600</v>
      </c>
      <c r="C464">
        <v>46</v>
      </c>
      <c r="D464">
        <v>42</v>
      </c>
      <c r="E464">
        <v>1</v>
      </c>
      <c r="F464">
        <v>2</v>
      </c>
      <c r="G464">
        <v>0</v>
      </c>
      <c r="H464">
        <v>0</v>
      </c>
      <c r="I464">
        <v>1</v>
      </c>
      <c r="J464">
        <v>0</v>
      </c>
      <c r="K464">
        <v>0</v>
      </c>
      <c r="L464">
        <v>0</v>
      </c>
      <c r="M464">
        <f>region_summary__43[[#This Row],[REJECTED BY Admin Kabupaten]]+region_summary__43[[#This Row],[REJECTED BY Pengawas]]</f>
        <v>1</v>
      </c>
    </row>
    <row r="465" spans="1:13" x14ac:dyDescent="0.25">
      <c r="A465" s="5" t="s">
        <v>129</v>
      </c>
      <c r="B465">
        <v>7172031008000700</v>
      </c>
      <c r="C465">
        <v>26</v>
      </c>
      <c r="D465">
        <v>25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region_summary__43[[#This Row],[REJECTED BY Admin Kabupaten]]+region_summary__43[[#This Row],[REJECTED BY Pengawas]]</f>
        <v>0</v>
      </c>
    </row>
    <row r="466" spans="1:13" x14ac:dyDescent="0.25">
      <c r="A466" s="5" t="s">
        <v>129</v>
      </c>
      <c r="B466">
        <v>7172031008500100</v>
      </c>
      <c r="C466">
        <v>21</v>
      </c>
      <c r="D466">
        <v>19</v>
      </c>
      <c r="E466">
        <v>1</v>
      </c>
      <c r="F466">
        <v>1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region_summary__43[[#This Row],[REJECTED BY Admin Kabupaten]]+region_summary__43[[#This Row],[REJECTED BY Pengawas]]</f>
        <v>0</v>
      </c>
    </row>
    <row r="467" spans="1:13" x14ac:dyDescent="0.25">
      <c r="A467" s="5" t="s">
        <v>130</v>
      </c>
      <c r="B467">
        <v>7172040009000500</v>
      </c>
      <c r="C467">
        <v>98</v>
      </c>
      <c r="D467">
        <v>42</v>
      </c>
      <c r="E467">
        <v>14</v>
      </c>
      <c r="F467">
        <v>0</v>
      </c>
      <c r="G467">
        <v>27</v>
      </c>
      <c r="H467">
        <v>0</v>
      </c>
      <c r="I467">
        <v>0</v>
      </c>
      <c r="J467">
        <v>0</v>
      </c>
      <c r="K467">
        <v>15</v>
      </c>
      <c r="L467">
        <v>0</v>
      </c>
      <c r="M467">
        <f>region_summary__43[[#This Row],[REJECTED BY Admin Kabupaten]]+region_summary__43[[#This Row],[REJECTED BY Pengawas]]</f>
        <v>0</v>
      </c>
    </row>
    <row r="468" spans="1:13" x14ac:dyDescent="0.25">
      <c r="A468" s="5" t="s">
        <v>130</v>
      </c>
      <c r="B468">
        <v>7172040009000200</v>
      </c>
      <c r="C468">
        <v>85</v>
      </c>
      <c r="D468">
        <v>0</v>
      </c>
      <c r="E468">
        <v>0</v>
      </c>
      <c r="F468">
        <v>0</v>
      </c>
      <c r="G468">
        <v>85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region_summary__43[[#This Row],[REJECTED BY Admin Kabupaten]]+region_summary__43[[#This Row],[REJECTED BY Pengawas]]</f>
        <v>0</v>
      </c>
    </row>
    <row r="469" spans="1:13" x14ac:dyDescent="0.25">
      <c r="A469" s="5" t="s">
        <v>130</v>
      </c>
      <c r="B469">
        <v>7172040009000600</v>
      </c>
      <c r="C469">
        <v>84</v>
      </c>
      <c r="D469">
        <v>70</v>
      </c>
      <c r="E469">
        <v>5</v>
      </c>
      <c r="F469">
        <v>1</v>
      </c>
      <c r="G469">
        <v>6</v>
      </c>
      <c r="H469">
        <v>0</v>
      </c>
      <c r="I469">
        <v>1</v>
      </c>
      <c r="J469">
        <v>0</v>
      </c>
      <c r="K469">
        <v>1</v>
      </c>
      <c r="L469">
        <v>0</v>
      </c>
      <c r="M469">
        <f>region_summary__43[[#This Row],[REJECTED BY Admin Kabupaten]]+region_summary__43[[#This Row],[REJECTED BY Pengawas]]</f>
        <v>1</v>
      </c>
    </row>
    <row r="470" spans="1:13" x14ac:dyDescent="0.25">
      <c r="A470" s="5" t="s">
        <v>130</v>
      </c>
      <c r="B470">
        <v>7172040001000200</v>
      </c>
      <c r="C470">
        <v>72</v>
      </c>
      <c r="D470">
        <v>7</v>
      </c>
      <c r="E470">
        <v>0</v>
      </c>
      <c r="F470">
        <v>0</v>
      </c>
      <c r="G470">
        <v>31</v>
      </c>
      <c r="H470">
        <v>0</v>
      </c>
      <c r="I470">
        <v>0</v>
      </c>
      <c r="J470">
        <v>0</v>
      </c>
      <c r="K470">
        <v>34</v>
      </c>
      <c r="L470">
        <v>0</v>
      </c>
      <c r="M470">
        <f>region_summary__43[[#This Row],[REJECTED BY Admin Kabupaten]]+region_summary__43[[#This Row],[REJECTED BY Pengawas]]</f>
        <v>0</v>
      </c>
    </row>
    <row r="471" spans="1:13" x14ac:dyDescent="0.25">
      <c r="A471" s="5" t="s">
        <v>130</v>
      </c>
      <c r="B471">
        <v>7172040009000100</v>
      </c>
      <c r="C471">
        <v>69</v>
      </c>
      <c r="D471">
        <v>1</v>
      </c>
      <c r="E471">
        <v>0</v>
      </c>
      <c r="F471">
        <v>0</v>
      </c>
      <c r="G471">
        <v>62</v>
      </c>
      <c r="H471">
        <v>0</v>
      </c>
      <c r="I471">
        <v>0</v>
      </c>
      <c r="J471">
        <v>0</v>
      </c>
      <c r="K471">
        <v>6</v>
      </c>
      <c r="L471">
        <v>0</v>
      </c>
      <c r="M471">
        <f>region_summary__43[[#This Row],[REJECTED BY Admin Kabupaten]]+region_summary__43[[#This Row],[REJECTED BY Pengawas]]</f>
        <v>0</v>
      </c>
    </row>
    <row r="472" spans="1:13" x14ac:dyDescent="0.25">
      <c r="A472" s="5" t="s">
        <v>130</v>
      </c>
      <c r="B472">
        <v>7172040009000300</v>
      </c>
      <c r="C472">
        <v>67</v>
      </c>
      <c r="D472">
        <v>5</v>
      </c>
      <c r="E472">
        <v>3</v>
      </c>
      <c r="F472">
        <v>0</v>
      </c>
      <c r="G472">
        <v>46</v>
      </c>
      <c r="H472">
        <v>0</v>
      </c>
      <c r="I472">
        <v>0</v>
      </c>
      <c r="J472">
        <v>0</v>
      </c>
      <c r="K472">
        <v>13</v>
      </c>
      <c r="L472">
        <v>0</v>
      </c>
      <c r="M472">
        <f>region_summary__43[[#This Row],[REJECTED BY Admin Kabupaten]]+region_summary__43[[#This Row],[REJECTED BY Pengawas]]</f>
        <v>0</v>
      </c>
    </row>
    <row r="473" spans="1:13" x14ac:dyDescent="0.25">
      <c r="A473" s="5" t="s">
        <v>130</v>
      </c>
      <c r="B473">
        <v>7172040001000100</v>
      </c>
      <c r="C473">
        <v>59</v>
      </c>
      <c r="D473">
        <v>12</v>
      </c>
      <c r="E473">
        <v>0</v>
      </c>
      <c r="F473">
        <v>0</v>
      </c>
      <c r="G473">
        <v>22</v>
      </c>
      <c r="H473">
        <v>0</v>
      </c>
      <c r="I473">
        <v>0</v>
      </c>
      <c r="J473">
        <v>0</v>
      </c>
      <c r="K473">
        <v>25</v>
      </c>
      <c r="L473">
        <v>0</v>
      </c>
      <c r="M473">
        <f>region_summary__43[[#This Row],[REJECTED BY Admin Kabupaten]]+region_summary__43[[#This Row],[REJECTED BY Pengawas]]</f>
        <v>0</v>
      </c>
    </row>
    <row r="474" spans="1:13" x14ac:dyDescent="0.25">
      <c r="A474" s="5" t="s">
        <v>130</v>
      </c>
      <c r="B474">
        <v>7172040009000400</v>
      </c>
      <c r="C474">
        <v>59</v>
      </c>
      <c r="D474">
        <v>4</v>
      </c>
      <c r="E474">
        <v>5</v>
      </c>
      <c r="F474">
        <v>0</v>
      </c>
      <c r="G474">
        <v>39</v>
      </c>
      <c r="H474">
        <v>0</v>
      </c>
      <c r="I474">
        <v>0</v>
      </c>
      <c r="J474">
        <v>0</v>
      </c>
      <c r="K474">
        <v>11</v>
      </c>
      <c r="L474">
        <v>0</v>
      </c>
      <c r="M474">
        <f>region_summary__43[[#This Row],[REJECTED BY Admin Kabupaten]]+region_summary__43[[#This Row],[REJECTED BY Pengawas]]</f>
        <v>0</v>
      </c>
    </row>
    <row r="475" spans="1:13" x14ac:dyDescent="0.25">
      <c r="A475" s="5" t="s">
        <v>130</v>
      </c>
      <c r="B475">
        <v>7172040001000300</v>
      </c>
      <c r="C475">
        <v>38</v>
      </c>
      <c r="D475">
        <v>2</v>
      </c>
      <c r="E475">
        <v>0</v>
      </c>
      <c r="F475">
        <v>0</v>
      </c>
      <c r="G475">
        <v>26</v>
      </c>
      <c r="H475">
        <v>0</v>
      </c>
      <c r="I475">
        <v>0</v>
      </c>
      <c r="J475">
        <v>0</v>
      </c>
      <c r="K475">
        <v>10</v>
      </c>
      <c r="L475">
        <v>0</v>
      </c>
      <c r="M475">
        <f>region_summary__43[[#This Row],[REJECTED BY Admin Kabupaten]]+region_summary__43[[#This Row],[REJECTED BY Pengawas]]</f>
        <v>0</v>
      </c>
    </row>
    <row r="476" spans="1:13" x14ac:dyDescent="0.25">
      <c r="A476" s="5" t="s">
        <v>132</v>
      </c>
      <c r="B476">
        <v>7172040003000601</v>
      </c>
      <c r="C476">
        <v>198</v>
      </c>
      <c r="D476">
        <v>179</v>
      </c>
      <c r="E476">
        <v>17</v>
      </c>
      <c r="F476">
        <v>0</v>
      </c>
      <c r="G476">
        <v>1</v>
      </c>
      <c r="H476">
        <v>0</v>
      </c>
      <c r="I476">
        <v>0</v>
      </c>
      <c r="J476">
        <v>0</v>
      </c>
      <c r="K476">
        <v>1</v>
      </c>
      <c r="L476">
        <v>0</v>
      </c>
      <c r="M476">
        <f>region_summary__43[[#This Row],[REJECTED BY Admin Kabupaten]]+region_summary__43[[#This Row],[REJECTED BY Pengawas]]</f>
        <v>0</v>
      </c>
    </row>
    <row r="477" spans="1:13" x14ac:dyDescent="0.25">
      <c r="A477" s="5" t="s">
        <v>132</v>
      </c>
      <c r="B477">
        <v>7172040003000500</v>
      </c>
      <c r="C477">
        <v>165</v>
      </c>
      <c r="D477">
        <v>6</v>
      </c>
      <c r="E477">
        <v>3</v>
      </c>
      <c r="F477">
        <v>0</v>
      </c>
      <c r="G477">
        <v>156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region_summary__43[[#This Row],[REJECTED BY Admin Kabupaten]]+region_summary__43[[#This Row],[REJECTED BY Pengawas]]</f>
        <v>0</v>
      </c>
    </row>
    <row r="478" spans="1:13" x14ac:dyDescent="0.25">
      <c r="A478" s="5" t="s">
        <v>132</v>
      </c>
      <c r="B478">
        <v>7172040005001900</v>
      </c>
      <c r="C478">
        <v>107</v>
      </c>
      <c r="D478">
        <v>32</v>
      </c>
      <c r="E478">
        <v>14</v>
      </c>
      <c r="F478">
        <v>1</v>
      </c>
      <c r="G478">
        <v>55</v>
      </c>
      <c r="H478">
        <v>0</v>
      </c>
      <c r="I478">
        <v>5</v>
      </c>
      <c r="J478">
        <v>0</v>
      </c>
      <c r="K478">
        <v>0</v>
      </c>
      <c r="L478">
        <v>0</v>
      </c>
      <c r="M478">
        <f>region_summary__43[[#This Row],[REJECTED BY Admin Kabupaten]]+region_summary__43[[#This Row],[REJECTED BY Pengawas]]</f>
        <v>5</v>
      </c>
    </row>
    <row r="479" spans="1:13" x14ac:dyDescent="0.25">
      <c r="A479" s="5" t="s">
        <v>132</v>
      </c>
      <c r="B479">
        <v>7172040003000101</v>
      </c>
      <c r="C479">
        <v>96</v>
      </c>
      <c r="D479">
        <v>0</v>
      </c>
      <c r="E479">
        <v>0</v>
      </c>
      <c r="F479">
        <v>0</v>
      </c>
      <c r="G479">
        <v>96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region_summary__43[[#This Row],[REJECTED BY Admin Kabupaten]]+region_summary__43[[#This Row],[REJECTED BY Pengawas]]</f>
        <v>0</v>
      </c>
    </row>
    <row r="480" spans="1:13" x14ac:dyDescent="0.25">
      <c r="A480" s="5" t="s">
        <v>132</v>
      </c>
      <c r="B480">
        <v>7172040005002002</v>
      </c>
      <c r="C480">
        <v>70</v>
      </c>
      <c r="D480">
        <v>38</v>
      </c>
      <c r="E480">
        <v>11</v>
      </c>
      <c r="F480">
        <v>0</v>
      </c>
      <c r="G480">
        <v>21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region_summary__43[[#This Row],[REJECTED BY Admin Kabupaten]]+region_summary__43[[#This Row],[REJECTED BY Pengawas]]</f>
        <v>0</v>
      </c>
    </row>
    <row r="481" spans="1:13" x14ac:dyDescent="0.25">
      <c r="A481" s="5" t="s">
        <v>133</v>
      </c>
      <c r="B481">
        <v>7172040003000300</v>
      </c>
      <c r="C481">
        <v>164</v>
      </c>
      <c r="D481">
        <v>66</v>
      </c>
      <c r="E481">
        <v>0</v>
      </c>
      <c r="F481">
        <v>0</v>
      </c>
      <c r="G481">
        <v>96</v>
      </c>
      <c r="H481">
        <v>0</v>
      </c>
      <c r="I481">
        <v>0</v>
      </c>
      <c r="J481">
        <v>2</v>
      </c>
      <c r="K481">
        <v>0</v>
      </c>
      <c r="L481">
        <v>0</v>
      </c>
      <c r="M481">
        <f>region_summary__43[[#This Row],[REJECTED BY Admin Kabupaten]]+region_summary__43[[#This Row],[REJECTED BY Pengawas]]</f>
        <v>0</v>
      </c>
    </row>
    <row r="482" spans="1:13" x14ac:dyDescent="0.25">
      <c r="A482" s="5" t="s">
        <v>133</v>
      </c>
      <c r="B482">
        <v>7172040003000102</v>
      </c>
      <c r="C482">
        <v>140</v>
      </c>
      <c r="D482">
        <v>57</v>
      </c>
      <c r="E482">
        <v>0</v>
      </c>
      <c r="F482">
        <v>0</v>
      </c>
      <c r="G482">
        <v>83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region_summary__43[[#This Row],[REJECTED BY Admin Kabupaten]]+region_summary__43[[#This Row],[REJECTED BY Pengawas]]</f>
        <v>0</v>
      </c>
    </row>
    <row r="483" spans="1:13" x14ac:dyDescent="0.25">
      <c r="A483" s="5" t="s">
        <v>133</v>
      </c>
      <c r="B483">
        <v>7172040003000602</v>
      </c>
      <c r="C483">
        <v>99</v>
      </c>
      <c r="D483">
        <v>95</v>
      </c>
      <c r="E483">
        <v>1</v>
      </c>
      <c r="F483">
        <v>1</v>
      </c>
      <c r="G483">
        <v>1</v>
      </c>
      <c r="H483">
        <v>0</v>
      </c>
      <c r="I483">
        <v>0</v>
      </c>
      <c r="J483">
        <v>0</v>
      </c>
      <c r="K483">
        <v>0</v>
      </c>
      <c r="L483">
        <v>1</v>
      </c>
      <c r="M483">
        <f>region_summary__43[[#This Row],[REJECTED BY Admin Kabupaten]]+region_summary__43[[#This Row],[REJECTED BY Pengawas]]</f>
        <v>0</v>
      </c>
    </row>
    <row r="484" spans="1:13" x14ac:dyDescent="0.25">
      <c r="A484" s="5" t="s">
        <v>133</v>
      </c>
      <c r="B484">
        <v>7172040003000700</v>
      </c>
      <c r="C484">
        <v>80</v>
      </c>
      <c r="D484">
        <v>39</v>
      </c>
      <c r="E484">
        <v>1</v>
      </c>
      <c r="F484">
        <v>0</v>
      </c>
      <c r="G484">
        <v>38</v>
      </c>
      <c r="H484">
        <v>0</v>
      </c>
      <c r="I484">
        <v>0</v>
      </c>
      <c r="J484">
        <v>0</v>
      </c>
      <c r="K484">
        <v>2</v>
      </c>
      <c r="L484">
        <v>0</v>
      </c>
      <c r="M484">
        <f>region_summary__43[[#This Row],[REJECTED BY Admin Kabupaten]]+region_summary__43[[#This Row],[REJECTED BY Pengawas]]</f>
        <v>0</v>
      </c>
    </row>
    <row r="485" spans="1:13" x14ac:dyDescent="0.25">
      <c r="A485" s="5" t="s">
        <v>133</v>
      </c>
      <c r="B485">
        <v>7172040003000400</v>
      </c>
      <c r="C485">
        <v>76</v>
      </c>
      <c r="D485">
        <v>13</v>
      </c>
      <c r="E485">
        <v>0</v>
      </c>
      <c r="F485">
        <v>0</v>
      </c>
      <c r="G485">
        <v>63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region_summary__43[[#This Row],[REJECTED BY Admin Kabupaten]]+region_summary__43[[#This Row],[REJECTED BY Pengawas]]</f>
        <v>0</v>
      </c>
    </row>
    <row r="486" spans="1:13" x14ac:dyDescent="0.25">
      <c r="A486" s="5" t="s">
        <v>133</v>
      </c>
      <c r="B486">
        <v>7172040005000600</v>
      </c>
      <c r="C486">
        <v>42</v>
      </c>
      <c r="D486">
        <v>0</v>
      </c>
      <c r="E486">
        <v>0</v>
      </c>
      <c r="F486">
        <v>0</v>
      </c>
      <c r="G486">
        <v>42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region_summary__43[[#This Row],[REJECTED BY Admin Kabupaten]]+region_summary__43[[#This Row],[REJECTED BY Pengawas]]</f>
        <v>0</v>
      </c>
    </row>
    <row r="487" spans="1:13" x14ac:dyDescent="0.25">
      <c r="A487" s="5" t="s">
        <v>133</v>
      </c>
      <c r="B487">
        <v>7172040005001600</v>
      </c>
      <c r="C487">
        <v>32</v>
      </c>
      <c r="D487">
        <v>0</v>
      </c>
      <c r="E487">
        <v>0</v>
      </c>
      <c r="F487">
        <v>0</v>
      </c>
      <c r="G487">
        <v>32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region_summary__43[[#This Row],[REJECTED BY Admin Kabupaten]]+region_summary__43[[#This Row],[REJECTED BY Pengawas]]</f>
        <v>0</v>
      </c>
    </row>
    <row r="488" spans="1:13" x14ac:dyDescent="0.25">
      <c r="A488" s="5" t="s">
        <v>136</v>
      </c>
      <c r="B488">
        <v>7172040004000600</v>
      </c>
      <c r="C488">
        <v>132</v>
      </c>
      <c r="D488">
        <v>0</v>
      </c>
      <c r="E488">
        <v>0</v>
      </c>
      <c r="F488">
        <v>0</v>
      </c>
      <c r="G488">
        <v>132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region_summary__43[[#This Row],[REJECTED BY Admin Kabupaten]]+region_summary__43[[#This Row],[REJECTED BY Pengawas]]</f>
        <v>0</v>
      </c>
    </row>
    <row r="489" spans="1:13" x14ac:dyDescent="0.25">
      <c r="A489" s="5" t="s">
        <v>136</v>
      </c>
      <c r="B489">
        <v>7172040004000500</v>
      </c>
      <c r="C489">
        <v>94</v>
      </c>
      <c r="D489">
        <v>38</v>
      </c>
      <c r="E489">
        <v>12</v>
      </c>
      <c r="F489">
        <v>0</v>
      </c>
      <c r="G489">
        <v>44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region_summary__43[[#This Row],[REJECTED BY Admin Kabupaten]]+region_summary__43[[#This Row],[REJECTED BY Pengawas]]</f>
        <v>0</v>
      </c>
    </row>
    <row r="490" spans="1:13" x14ac:dyDescent="0.25">
      <c r="A490" s="5" t="s">
        <v>136</v>
      </c>
      <c r="B490">
        <v>7172040004000200</v>
      </c>
      <c r="C490">
        <v>64</v>
      </c>
      <c r="D490">
        <v>9</v>
      </c>
      <c r="E490">
        <v>0</v>
      </c>
      <c r="F490">
        <v>0</v>
      </c>
      <c r="G490">
        <v>55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region_summary__43[[#This Row],[REJECTED BY Admin Kabupaten]]+region_summary__43[[#This Row],[REJECTED BY Pengawas]]</f>
        <v>0</v>
      </c>
    </row>
    <row r="491" spans="1:13" x14ac:dyDescent="0.25">
      <c r="A491" s="5" t="s">
        <v>136</v>
      </c>
      <c r="B491">
        <v>7172040008000200</v>
      </c>
      <c r="C491">
        <v>58</v>
      </c>
      <c r="D491">
        <v>55</v>
      </c>
      <c r="E491">
        <v>1</v>
      </c>
      <c r="F491">
        <v>0</v>
      </c>
      <c r="G491">
        <v>2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region_summary__43[[#This Row],[REJECTED BY Admin Kabupaten]]+region_summary__43[[#This Row],[REJECTED BY Pengawas]]</f>
        <v>0</v>
      </c>
    </row>
    <row r="492" spans="1:13" x14ac:dyDescent="0.25">
      <c r="A492" s="5" t="s">
        <v>136</v>
      </c>
      <c r="B492">
        <v>7172040004000100</v>
      </c>
      <c r="C492">
        <v>54</v>
      </c>
      <c r="D492">
        <v>11</v>
      </c>
      <c r="E492">
        <v>0</v>
      </c>
      <c r="F492">
        <v>0</v>
      </c>
      <c r="G492">
        <v>43</v>
      </c>
      <c r="H492">
        <v>0</v>
      </c>
      <c r="I492">
        <v>0</v>
      </c>
      <c r="J492">
        <v>0</v>
      </c>
      <c r="K492">
        <v>0</v>
      </c>
      <c r="L492">
        <v>0</v>
      </c>
      <c r="M492">
        <f>region_summary__43[[#This Row],[REJECTED BY Admin Kabupaten]]+region_summary__43[[#This Row],[REJECTED BY Pengawas]]</f>
        <v>0</v>
      </c>
    </row>
    <row r="493" spans="1:13" x14ac:dyDescent="0.25">
      <c r="A493" s="5" t="s">
        <v>136</v>
      </c>
      <c r="B493">
        <v>7172040008000300</v>
      </c>
      <c r="C493">
        <v>52</v>
      </c>
      <c r="D493">
        <v>49</v>
      </c>
      <c r="E493">
        <v>2</v>
      </c>
      <c r="F493">
        <v>0</v>
      </c>
      <c r="G493">
        <v>1</v>
      </c>
      <c r="H493">
        <v>0</v>
      </c>
      <c r="I493">
        <v>0</v>
      </c>
      <c r="J493">
        <v>0</v>
      </c>
      <c r="K493">
        <v>0</v>
      </c>
      <c r="L493">
        <v>0</v>
      </c>
      <c r="M493">
        <f>region_summary__43[[#This Row],[REJECTED BY Admin Kabupaten]]+region_summary__43[[#This Row],[REJECTED BY Pengawas]]</f>
        <v>0</v>
      </c>
    </row>
    <row r="494" spans="1:13" x14ac:dyDescent="0.25">
      <c r="A494" s="5" t="s">
        <v>136</v>
      </c>
      <c r="B494">
        <v>7172040004000300</v>
      </c>
      <c r="C494">
        <v>47</v>
      </c>
      <c r="D494">
        <v>9</v>
      </c>
      <c r="E494">
        <v>0</v>
      </c>
      <c r="F494">
        <v>0</v>
      </c>
      <c r="G494">
        <v>38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region_summary__43[[#This Row],[REJECTED BY Admin Kabupaten]]+region_summary__43[[#This Row],[REJECTED BY Pengawas]]</f>
        <v>0</v>
      </c>
    </row>
    <row r="495" spans="1:13" x14ac:dyDescent="0.25">
      <c r="A495" s="5" t="s">
        <v>136</v>
      </c>
      <c r="B495">
        <v>7172040004000400</v>
      </c>
      <c r="C495">
        <v>42</v>
      </c>
      <c r="D495">
        <v>12</v>
      </c>
      <c r="E495">
        <v>4</v>
      </c>
      <c r="F495">
        <v>0</v>
      </c>
      <c r="G495">
        <v>26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region_summary__43[[#This Row],[REJECTED BY Admin Kabupaten]]+region_summary__43[[#This Row],[REJECTED BY Pengawas]]</f>
        <v>0</v>
      </c>
    </row>
    <row r="496" spans="1:13" x14ac:dyDescent="0.25">
      <c r="A496" s="5" t="s">
        <v>136</v>
      </c>
      <c r="B496">
        <v>7172040008000400</v>
      </c>
      <c r="C496">
        <v>42</v>
      </c>
      <c r="D496">
        <v>42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f>region_summary__43[[#This Row],[REJECTED BY Admin Kabupaten]]+region_summary__43[[#This Row],[REJECTED BY Pengawas]]</f>
        <v>0</v>
      </c>
    </row>
    <row r="497" spans="1:13" x14ac:dyDescent="0.25">
      <c r="A497" s="5" t="s">
        <v>136</v>
      </c>
      <c r="B497">
        <v>7172040008000100</v>
      </c>
      <c r="C497">
        <v>39</v>
      </c>
      <c r="D497">
        <v>39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f>region_summary__43[[#This Row],[REJECTED BY Admin Kabupaten]]+region_summary__43[[#This Row],[REJECTED BY Pengawas]]</f>
        <v>0</v>
      </c>
    </row>
    <row r="498" spans="1:13" x14ac:dyDescent="0.25">
      <c r="A498" s="5" t="s">
        <v>140</v>
      </c>
      <c r="B498">
        <v>7172040012000300</v>
      </c>
      <c r="C498">
        <v>102</v>
      </c>
      <c r="D498">
        <v>85</v>
      </c>
      <c r="E498">
        <v>4</v>
      </c>
      <c r="F498">
        <v>0</v>
      </c>
      <c r="G498">
        <v>1</v>
      </c>
      <c r="H498">
        <v>0</v>
      </c>
      <c r="I498">
        <v>0</v>
      </c>
      <c r="J498">
        <v>0</v>
      </c>
      <c r="K498">
        <v>12</v>
      </c>
      <c r="L498">
        <v>0</v>
      </c>
      <c r="M498">
        <f>region_summary__43[[#This Row],[REJECTED BY Admin Kabupaten]]+region_summary__43[[#This Row],[REJECTED BY Pengawas]]</f>
        <v>0</v>
      </c>
    </row>
    <row r="499" spans="1:13" x14ac:dyDescent="0.25">
      <c r="A499" s="5" t="s">
        <v>140</v>
      </c>
      <c r="B499">
        <v>7172040012000200</v>
      </c>
      <c r="C499">
        <v>99</v>
      </c>
      <c r="D499">
        <v>97</v>
      </c>
      <c r="E499">
        <v>1</v>
      </c>
      <c r="F499">
        <v>0</v>
      </c>
      <c r="G499">
        <v>1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region_summary__43[[#This Row],[REJECTED BY Admin Kabupaten]]+region_summary__43[[#This Row],[REJECTED BY Pengawas]]</f>
        <v>0</v>
      </c>
    </row>
    <row r="500" spans="1:13" x14ac:dyDescent="0.25">
      <c r="A500" s="5" t="s">
        <v>140</v>
      </c>
      <c r="B500">
        <v>7172040012000400</v>
      </c>
      <c r="C500">
        <v>86</v>
      </c>
      <c r="D500">
        <v>73</v>
      </c>
      <c r="E500">
        <v>0</v>
      </c>
      <c r="F500">
        <v>0</v>
      </c>
      <c r="G500">
        <v>3</v>
      </c>
      <c r="H500">
        <v>0</v>
      </c>
      <c r="I500">
        <v>0</v>
      </c>
      <c r="J500">
        <v>0</v>
      </c>
      <c r="K500">
        <v>10</v>
      </c>
      <c r="L500">
        <v>0</v>
      </c>
      <c r="M500">
        <f>region_summary__43[[#This Row],[REJECTED BY Admin Kabupaten]]+region_summary__43[[#This Row],[REJECTED BY Pengawas]]</f>
        <v>0</v>
      </c>
    </row>
    <row r="501" spans="1:13" x14ac:dyDescent="0.25">
      <c r="A501" s="5" t="s">
        <v>140</v>
      </c>
      <c r="B501">
        <v>7172040012000100</v>
      </c>
      <c r="C501">
        <v>69</v>
      </c>
      <c r="D501">
        <v>9</v>
      </c>
      <c r="E501">
        <v>0</v>
      </c>
      <c r="F501">
        <v>0</v>
      </c>
      <c r="G501">
        <v>52</v>
      </c>
      <c r="H501">
        <v>0</v>
      </c>
      <c r="I501">
        <v>0</v>
      </c>
      <c r="J501">
        <v>0</v>
      </c>
      <c r="K501">
        <v>8</v>
      </c>
      <c r="L501">
        <v>0</v>
      </c>
      <c r="M501">
        <f>region_summary__43[[#This Row],[REJECTED BY Admin Kabupaten]]+region_summary__43[[#This Row],[REJECTED BY Pengawas]]</f>
        <v>0</v>
      </c>
    </row>
    <row r="502" spans="1:13" x14ac:dyDescent="0.25">
      <c r="A502" s="5" t="s">
        <v>140</v>
      </c>
      <c r="B502">
        <v>7172040010000500</v>
      </c>
      <c r="C502">
        <v>58</v>
      </c>
      <c r="D502">
        <v>0</v>
      </c>
      <c r="E502">
        <v>0</v>
      </c>
      <c r="F502">
        <v>0</v>
      </c>
      <c r="G502">
        <v>58</v>
      </c>
      <c r="H502">
        <v>0</v>
      </c>
      <c r="I502">
        <v>0</v>
      </c>
      <c r="J502">
        <v>0</v>
      </c>
      <c r="K502">
        <v>0</v>
      </c>
      <c r="L502">
        <v>0</v>
      </c>
      <c r="M502">
        <f>region_summary__43[[#This Row],[REJECTED BY Admin Kabupaten]]+region_summary__43[[#This Row],[REJECTED BY Pengawas]]</f>
        <v>0</v>
      </c>
    </row>
    <row r="503" spans="1:13" x14ac:dyDescent="0.25">
      <c r="A503" s="5" t="s">
        <v>140</v>
      </c>
      <c r="B503">
        <v>7172040010000600</v>
      </c>
      <c r="C503">
        <v>56</v>
      </c>
      <c r="D503">
        <v>0</v>
      </c>
      <c r="E503">
        <v>0</v>
      </c>
      <c r="F503">
        <v>0</v>
      </c>
      <c r="G503">
        <v>56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region_summary__43[[#This Row],[REJECTED BY Admin Kabupaten]]+region_summary__43[[#This Row],[REJECTED BY Pengawas]]</f>
        <v>0</v>
      </c>
    </row>
    <row r="504" spans="1:13" x14ac:dyDescent="0.25">
      <c r="A504" s="5" t="s">
        <v>140</v>
      </c>
      <c r="B504">
        <v>7172040012000500</v>
      </c>
      <c r="C504">
        <v>46</v>
      </c>
      <c r="D504">
        <v>41</v>
      </c>
      <c r="E504">
        <v>0</v>
      </c>
      <c r="F504">
        <v>0</v>
      </c>
      <c r="G504">
        <v>2</v>
      </c>
      <c r="H504">
        <v>0</v>
      </c>
      <c r="I504">
        <v>0</v>
      </c>
      <c r="J504">
        <v>0</v>
      </c>
      <c r="K504">
        <v>3</v>
      </c>
      <c r="L504">
        <v>0</v>
      </c>
      <c r="M504">
        <f>region_summary__43[[#This Row],[REJECTED BY Admin Kabupaten]]+region_summary__43[[#This Row],[REJECTED BY Pengawas]]</f>
        <v>0</v>
      </c>
    </row>
    <row r="505" spans="1:13" x14ac:dyDescent="0.25">
      <c r="A505" s="5" t="s">
        <v>140</v>
      </c>
      <c r="B505">
        <v>7172040010000800</v>
      </c>
      <c r="C505">
        <v>40</v>
      </c>
      <c r="D505">
        <v>0</v>
      </c>
      <c r="E505">
        <v>0</v>
      </c>
      <c r="F505">
        <v>0</v>
      </c>
      <c r="G505">
        <v>40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region_summary__43[[#This Row],[REJECTED BY Admin Kabupaten]]+region_summary__43[[#This Row],[REJECTED BY Pengawas]]</f>
        <v>0</v>
      </c>
    </row>
    <row r="506" spans="1:13" x14ac:dyDescent="0.25">
      <c r="A506" s="5" t="s">
        <v>140</v>
      </c>
      <c r="B506">
        <v>7172040010000700</v>
      </c>
      <c r="C506">
        <v>32</v>
      </c>
      <c r="D506">
        <v>0</v>
      </c>
      <c r="E506">
        <v>0</v>
      </c>
      <c r="F506">
        <v>0</v>
      </c>
      <c r="G506">
        <v>32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region_summary__43[[#This Row],[REJECTED BY Admin Kabupaten]]+region_summary__43[[#This Row],[REJECTED BY Pengawas]]</f>
        <v>0</v>
      </c>
    </row>
    <row r="507" spans="1:13" x14ac:dyDescent="0.25">
      <c r="A507" s="5" t="s">
        <v>140</v>
      </c>
      <c r="B507">
        <v>7172040010000400</v>
      </c>
      <c r="C507">
        <v>30</v>
      </c>
      <c r="D507">
        <v>0</v>
      </c>
      <c r="E507">
        <v>0</v>
      </c>
      <c r="F507">
        <v>0</v>
      </c>
      <c r="G507">
        <v>30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region_summary__43[[#This Row],[REJECTED BY Admin Kabupaten]]+region_summary__43[[#This Row],[REJECTED BY Pengawas]]</f>
        <v>0</v>
      </c>
    </row>
    <row r="508" spans="1:13" x14ac:dyDescent="0.25">
      <c r="A508" s="5" t="s">
        <v>140</v>
      </c>
      <c r="B508">
        <v>7172040012000600</v>
      </c>
      <c r="C508">
        <v>30</v>
      </c>
      <c r="D508">
        <v>6</v>
      </c>
      <c r="E508">
        <v>0</v>
      </c>
      <c r="F508">
        <v>0</v>
      </c>
      <c r="G508">
        <v>22</v>
      </c>
      <c r="H508">
        <v>0</v>
      </c>
      <c r="I508">
        <v>0</v>
      </c>
      <c r="J508">
        <v>0</v>
      </c>
      <c r="K508">
        <v>2</v>
      </c>
      <c r="L508">
        <v>0</v>
      </c>
      <c r="M508">
        <f>region_summary__43[[#This Row],[REJECTED BY Admin Kabupaten]]+region_summary__43[[#This Row],[REJECTED BY Pengawas]]</f>
        <v>0</v>
      </c>
    </row>
    <row r="509" spans="1:13" x14ac:dyDescent="0.25">
      <c r="A509" s="5" t="s">
        <v>139</v>
      </c>
      <c r="B509">
        <v>7172040006000100</v>
      </c>
      <c r="C509">
        <v>92</v>
      </c>
      <c r="D509">
        <v>86</v>
      </c>
      <c r="E509">
        <v>4</v>
      </c>
      <c r="F509">
        <v>2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region_summary__43[[#This Row],[REJECTED BY Admin Kabupaten]]+region_summary__43[[#This Row],[REJECTED BY Pengawas]]</f>
        <v>0</v>
      </c>
    </row>
    <row r="510" spans="1:13" x14ac:dyDescent="0.25">
      <c r="A510" s="5" t="s">
        <v>139</v>
      </c>
      <c r="B510">
        <v>7172040006000500</v>
      </c>
      <c r="C510">
        <v>83</v>
      </c>
      <c r="D510">
        <v>9</v>
      </c>
      <c r="E510">
        <v>0</v>
      </c>
      <c r="F510">
        <v>0</v>
      </c>
      <c r="G510">
        <v>74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region_summary__43[[#This Row],[REJECTED BY Admin Kabupaten]]+region_summary__43[[#This Row],[REJECTED BY Pengawas]]</f>
        <v>0</v>
      </c>
    </row>
    <row r="511" spans="1:13" x14ac:dyDescent="0.25">
      <c r="A511" s="5" t="s">
        <v>139</v>
      </c>
      <c r="B511">
        <v>7172040006000200</v>
      </c>
      <c r="C511">
        <v>80</v>
      </c>
      <c r="D511">
        <v>73</v>
      </c>
      <c r="E511">
        <v>3</v>
      </c>
      <c r="F511">
        <v>0</v>
      </c>
      <c r="G511">
        <v>3</v>
      </c>
      <c r="H511">
        <v>0</v>
      </c>
      <c r="I511">
        <v>0</v>
      </c>
      <c r="J511">
        <v>0</v>
      </c>
      <c r="K511">
        <v>1</v>
      </c>
      <c r="L511">
        <v>0</v>
      </c>
      <c r="M511">
        <f>region_summary__43[[#This Row],[REJECTED BY Admin Kabupaten]]+region_summary__43[[#This Row],[REJECTED BY Pengawas]]</f>
        <v>0</v>
      </c>
    </row>
    <row r="512" spans="1:13" x14ac:dyDescent="0.25">
      <c r="A512" s="5" t="s">
        <v>139</v>
      </c>
      <c r="B512">
        <v>7172040006000600</v>
      </c>
      <c r="C512">
        <v>78</v>
      </c>
      <c r="D512">
        <v>33</v>
      </c>
      <c r="E512">
        <v>18</v>
      </c>
      <c r="F512">
        <v>0</v>
      </c>
      <c r="G512">
        <v>19</v>
      </c>
      <c r="H512">
        <v>0</v>
      </c>
      <c r="I512">
        <v>2</v>
      </c>
      <c r="J512">
        <v>0</v>
      </c>
      <c r="K512">
        <v>6</v>
      </c>
      <c r="L512">
        <v>0</v>
      </c>
      <c r="M512">
        <f>region_summary__43[[#This Row],[REJECTED BY Admin Kabupaten]]+region_summary__43[[#This Row],[REJECTED BY Pengawas]]</f>
        <v>2</v>
      </c>
    </row>
    <row r="513" spans="1:13" x14ac:dyDescent="0.25">
      <c r="A513" s="5" t="s">
        <v>139</v>
      </c>
      <c r="B513">
        <v>7172040006000300</v>
      </c>
      <c r="C513">
        <v>57</v>
      </c>
      <c r="D513">
        <v>6</v>
      </c>
      <c r="E513">
        <v>0</v>
      </c>
      <c r="F513">
        <v>0</v>
      </c>
      <c r="G513">
        <v>50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region_summary__43[[#This Row],[REJECTED BY Admin Kabupaten]]+region_summary__43[[#This Row],[REJECTED BY Pengawas]]</f>
        <v>0</v>
      </c>
    </row>
    <row r="514" spans="1:13" x14ac:dyDescent="0.25">
      <c r="A514" s="5" t="s">
        <v>139</v>
      </c>
      <c r="B514">
        <v>7172040006000400</v>
      </c>
      <c r="C514">
        <v>56</v>
      </c>
      <c r="D514">
        <v>6</v>
      </c>
      <c r="E514">
        <v>0</v>
      </c>
      <c r="F514">
        <v>0</v>
      </c>
      <c r="G514">
        <v>50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region_summary__43[[#This Row],[REJECTED BY Admin Kabupaten]]+region_summary__43[[#This Row],[REJECTED BY Pengawas]]</f>
        <v>0</v>
      </c>
    </row>
    <row r="515" spans="1:13" x14ac:dyDescent="0.25">
      <c r="A515" s="5" t="s">
        <v>139</v>
      </c>
      <c r="B515">
        <v>7172040010000100</v>
      </c>
      <c r="C515">
        <v>41</v>
      </c>
      <c r="D515">
        <v>0</v>
      </c>
      <c r="E515">
        <v>0</v>
      </c>
      <c r="F515">
        <v>0</v>
      </c>
      <c r="G515">
        <v>38</v>
      </c>
      <c r="H515">
        <v>0</v>
      </c>
      <c r="I515">
        <v>0</v>
      </c>
      <c r="J515">
        <v>0</v>
      </c>
      <c r="K515">
        <v>3</v>
      </c>
      <c r="L515">
        <v>0</v>
      </c>
      <c r="M515">
        <f>region_summary__43[[#This Row],[REJECTED BY Admin Kabupaten]]+region_summary__43[[#This Row],[REJECTED BY Pengawas]]</f>
        <v>0</v>
      </c>
    </row>
    <row r="516" spans="1:13" x14ac:dyDescent="0.25">
      <c r="A516" s="5" t="s">
        <v>139</v>
      </c>
      <c r="B516">
        <v>7172040010000200</v>
      </c>
      <c r="C516">
        <v>34</v>
      </c>
      <c r="D516">
        <v>0</v>
      </c>
      <c r="E516">
        <v>0</v>
      </c>
      <c r="F516">
        <v>0</v>
      </c>
      <c r="G516">
        <v>32</v>
      </c>
      <c r="H516">
        <v>0</v>
      </c>
      <c r="I516">
        <v>0</v>
      </c>
      <c r="J516">
        <v>0</v>
      </c>
      <c r="K516">
        <v>2</v>
      </c>
      <c r="L516">
        <v>0</v>
      </c>
      <c r="M516">
        <f>region_summary__43[[#This Row],[REJECTED BY Admin Kabupaten]]+region_summary__43[[#This Row],[REJECTED BY Pengawas]]</f>
        <v>0</v>
      </c>
    </row>
    <row r="517" spans="1:13" x14ac:dyDescent="0.25">
      <c r="A517" s="5" t="s">
        <v>139</v>
      </c>
      <c r="B517">
        <v>7172040010000300</v>
      </c>
      <c r="C517">
        <v>29</v>
      </c>
      <c r="D517">
        <v>0</v>
      </c>
      <c r="E517">
        <v>0</v>
      </c>
      <c r="F517">
        <v>0</v>
      </c>
      <c r="G517">
        <v>24</v>
      </c>
      <c r="H517">
        <v>0</v>
      </c>
      <c r="I517">
        <v>0</v>
      </c>
      <c r="J517">
        <v>0</v>
      </c>
      <c r="K517">
        <v>5</v>
      </c>
      <c r="L517">
        <v>0</v>
      </c>
      <c r="M517">
        <f>region_summary__43[[#This Row],[REJECTED BY Admin Kabupaten]]+region_summary__43[[#This Row],[REJECTED BY Pengawas]]</f>
        <v>0</v>
      </c>
    </row>
    <row r="518" spans="1:13" x14ac:dyDescent="0.25">
      <c r="A518" s="5" t="s">
        <v>10</v>
      </c>
      <c r="B518">
        <v>7172010009002700</v>
      </c>
      <c r="C518">
        <v>104</v>
      </c>
      <c r="D518">
        <v>92</v>
      </c>
      <c r="E518">
        <v>3</v>
      </c>
      <c r="F518">
        <v>3</v>
      </c>
      <c r="G518">
        <v>3</v>
      </c>
      <c r="H518">
        <v>0</v>
      </c>
      <c r="I518">
        <v>0</v>
      </c>
      <c r="J518">
        <v>0</v>
      </c>
      <c r="K518">
        <v>3</v>
      </c>
      <c r="L518">
        <v>0</v>
      </c>
      <c r="M518">
        <f>region_summary__43[[#This Row],[REJECTED BY Admin Kabupaten]]+region_summary__43[[#This Row],[REJECTED BY Pengawas]]</f>
        <v>0</v>
      </c>
    </row>
    <row r="519" spans="1:13" x14ac:dyDescent="0.25">
      <c r="A519" s="5" t="s">
        <v>10</v>
      </c>
      <c r="B519">
        <v>7172010009002800</v>
      </c>
      <c r="C519">
        <v>103</v>
      </c>
      <c r="D519">
        <v>99</v>
      </c>
      <c r="E519">
        <v>1</v>
      </c>
      <c r="F519">
        <v>2</v>
      </c>
      <c r="G519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f>region_summary__43[[#This Row],[REJECTED BY Admin Kabupaten]]+region_summary__43[[#This Row],[REJECTED BY Pengawas]]</f>
        <v>1</v>
      </c>
    </row>
    <row r="520" spans="1:13" x14ac:dyDescent="0.25">
      <c r="A520" s="5" t="s">
        <v>10</v>
      </c>
      <c r="B520">
        <v>7172010009002600</v>
      </c>
      <c r="C520">
        <v>93</v>
      </c>
      <c r="D520">
        <v>85</v>
      </c>
      <c r="E520">
        <v>0</v>
      </c>
      <c r="F520">
        <v>1</v>
      </c>
      <c r="G520">
        <v>2</v>
      </c>
      <c r="H520">
        <v>0</v>
      </c>
      <c r="I520">
        <v>0</v>
      </c>
      <c r="J520">
        <v>0</v>
      </c>
      <c r="K520">
        <v>5</v>
      </c>
      <c r="L520">
        <v>0</v>
      </c>
      <c r="M520">
        <f>region_summary__43[[#This Row],[REJECTED BY Admin Kabupaten]]+region_summary__43[[#This Row],[REJECTED BY Pengawas]]</f>
        <v>0</v>
      </c>
    </row>
    <row r="521" spans="1:13" x14ac:dyDescent="0.25">
      <c r="A521" s="5" t="s">
        <v>10</v>
      </c>
      <c r="B521">
        <v>7172010009002500</v>
      </c>
      <c r="C521">
        <v>85</v>
      </c>
      <c r="D521">
        <v>2</v>
      </c>
      <c r="E521">
        <v>1</v>
      </c>
      <c r="F521">
        <v>0</v>
      </c>
      <c r="G521">
        <v>49</v>
      </c>
      <c r="H521">
        <v>0</v>
      </c>
      <c r="I521">
        <v>0</v>
      </c>
      <c r="J521">
        <v>0</v>
      </c>
      <c r="K521">
        <v>33</v>
      </c>
      <c r="L521">
        <v>0</v>
      </c>
      <c r="M521">
        <f>region_summary__43[[#This Row],[REJECTED BY Admin Kabupaten]]+region_summary__43[[#This Row],[REJECTED BY Pengawas]]</f>
        <v>0</v>
      </c>
    </row>
    <row r="522" spans="1:13" x14ac:dyDescent="0.25">
      <c r="A522" s="5" t="s">
        <v>10</v>
      </c>
      <c r="B522">
        <v>7172010009002100</v>
      </c>
      <c r="C522">
        <v>69</v>
      </c>
      <c r="D522">
        <v>0</v>
      </c>
      <c r="E522">
        <v>0</v>
      </c>
      <c r="F522">
        <v>0</v>
      </c>
      <c r="G522">
        <v>69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region_summary__43[[#This Row],[REJECTED BY Admin Kabupaten]]+region_summary__43[[#This Row],[REJECTED BY Pengawas]]</f>
        <v>0</v>
      </c>
    </row>
    <row r="523" spans="1:13" x14ac:dyDescent="0.25">
      <c r="A523" s="5" t="s">
        <v>10</v>
      </c>
      <c r="B523">
        <v>7172010009002200</v>
      </c>
      <c r="C523">
        <v>57</v>
      </c>
      <c r="D523">
        <v>0</v>
      </c>
      <c r="E523">
        <v>0</v>
      </c>
      <c r="F523">
        <v>0</v>
      </c>
      <c r="G523">
        <v>57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region_summary__43[[#This Row],[REJECTED BY Admin Kabupaten]]+region_summary__43[[#This Row],[REJECTED BY Pengawas]]</f>
        <v>0</v>
      </c>
    </row>
    <row r="524" spans="1:13" x14ac:dyDescent="0.25">
      <c r="A524" s="5" t="s">
        <v>10</v>
      </c>
      <c r="B524">
        <v>7172010009002300</v>
      </c>
      <c r="C524">
        <v>53</v>
      </c>
      <c r="D524">
        <v>0</v>
      </c>
      <c r="E524">
        <v>0</v>
      </c>
      <c r="F524">
        <v>0</v>
      </c>
      <c r="G524">
        <v>53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region_summary__43[[#This Row],[REJECTED BY Admin Kabupaten]]+region_summary__43[[#This Row],[REJECTED BY Pengawas]]</f>
        <v>0</v>
      </c>
    </row>
    <row r="525" spans="1:13" x14ac:dyDescent="0.25">
      <c r="A525" s="5" t="s">
        <v>10</v>
      </c>
      <c r="B525">
        <v>7172010009002400</v>
      </c>
      <c r="C525">
        <v>46</v>
      </c>
      <c r="D525">
        <v>0</v>
      </c>
      <c r="E525">
        <v>0</v>
      </c>
      <c r="F525">
        <v>0</v>
      </c>
      <c r="G525">
        <v>46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region_summary__43[[#This Row],[REJECTED BY Admin Kabupaten]]+region_summary__43[[#This Row],[REJECTED BY Pengawas]]</f>
        <v>0</v>
      </c>
    </row>
    <row r="526" spans="1:13" x14ac:dyDescent="0.25">
      <c r="A526" s="5" t="s">
        <v>388</v>
      </c>
      <c r="B526">
        <v>7172012004001600</v>
      </c>
      <c r="C526">
        <v>158</v>
      </c>
      <c r="D526">
        <v>11</v>
      </c>
      <c r="E526">
        <v>0</v>
      </c>
      <c r="F526">
        <v>0</v>
      </c>
      <c r="G526">
        <v>121</v>
      </c>
      <c r="H526">
        <v>0</v>
      </c>
      <c r="I526">
        <v>0</v>
      </c>
      <c r="J526">
        <v>0</v>
      </c>
      <c r="K526">
        <v>26</v>
      </c>
      <c r="L526">
        <v>0</v>
      </c>
      <c r="M526">
        <f>region_summary__43[[#This Row],[REJECTED BY Admin Kabupaten]]+region_summary__43[[#This Row],[REJECTED BY Pengawas]]</f>
        <v>0</v>
      </c>
    </row>
    <row r="527" spans="1:13" x14ac:dyDescent="0.25">
      <c r="A527" s="5" t="s">
        <v>388</v>
      </c>
      <c r="B527">
        <v>7172012004001203</v>
      </c>
      <c r="C527">
        <v>134</v>
      </c>
      <c r="D527">
        <v>106</v>
      </c>
      <c r="E527">
        <v>4</v>
      </c>
      <c r="F527">
        <v>0</v>
      </c>
      <c r="G527">
        <v>1</v>
      </c>
      <c r="H527">
        <v>0</v>
      </c>
      <c r="I527">
        <v>0</v>
      </c>
      <c r="J527">
        <v>0</v>
      </c>
      <c r="K527">
        <v>23</v>
      </c>
      <c r="L527">
        <v>0</v>
      </c>
      <c r="M527">
        <f>region_summary__43[[#This Row],[REJECTED BY Admin Kabupaten]]+region_summary__43[[#This Row],[REJECTED BY Pengawas]]</f>
        <v>0</v>
      </c>
    </row>
    <row r="528" spans="1:13" x14ac:dyDescent="0.25">
      <c r="A528" s="5" t="s">
        <v>388</v>
      </c>
      <c r="B528">
        <v>7172012004001801</v>
      </c>
      <c r="C528">
        <v>134</v>
      </c>
      <c r="D528">
        <v>1</v>
      </c>
      <c r="E528">
        <v>0</v>
      </c>
      <c r="F528">
        <v>0</v>
      </c>
      <c r="G528">
        <v>133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region_summary__43[[#This Row],[REJECTED BY Admin Kabupaten]]+region_summary__43[[#This Row],[REJECTED BY Pengawas]]</f>
        <v>0</v>
      </c>
    </row>
    <row r="529" spans="1:13" x14ac:dyDescent="0.25">
      <c r="A529" s="5" t="s">
        <v>388</v>
      </c>
      <c r="B529">
        <v>7172012004001702</v>
      </c>
      <c r="C529">
        <v>128</v>
      </c>
      <c r="D529">
        <v>46</v>
      </c>
      <c r="E529">
        <v>0</v>
      </c>
      <c r="F529">
        <v>1</v>
      </c>
      <c r="G529">
        <v>79</v>
      </c>
      <c r="H529">
        <v>0</v>
      </c>
      <c r="I529">
        <v>0</v>
      </c>
      <c r="J529">
        <v>0</v>
      </c>
      <c r="K529">
        <v>2</v>
      </c>
      <c r="L529">
        <v>0</v>
      </c>
      <c r="M529">
        <f>region_summary__43[[#This Row],[REJECTED BY Admin Kabupaten]]+region_summary__43[[#This Row],[REJECTED BY Pengawas]]</f>
        <v>0</v>
      </c>
    </row>
    <row r="530" spans="1:13" x14ac:dyDescent="0.25">
      <c r="A530" s="5" t="s">
        <v>388</v>
      </c>
      <c r="B530">
        <v>7172012004001500</v>
      </c>
      <c r="C530">
        <v>114</v>
      </c>
      <c r="D530">
        <v>1</v>
      </c>
      <c r="E530">
        <v>12</v>
      </c>
      <c r="F530">
        <v>0</v>
      </c>
      <c r="G530">
        <v>90</v>
      </c>
      <c r="H530">
        <v>0</v>
      </c>
      <c r="I530">
        <v>0</v>
      </c>
      <c r="J530">
        <v>0</v>
      </c>
      <c r="K530">
        <v>11</v>
      </c>
      <c r="L530">
        <v>0</v>
      </c>
      <c r="M530">
        <f>region_summary__43[[#This Row],[REJECTED BY Admin Kabupaten]]+region_summary__43[[#This Row],[REJECTED BY Pengawas]]</f>
        <v>0</v>
      </c>
    </row>
    <row r="531" spans="1:13" x14ac:dyDescent="0.25">
      <c r="A531" s="5" t="s">
        <v>388</v>
      </c>
      <c r="B531">
        <v>7172012004001300</v>
      </c>
      <c r="C531">
        <v>96</v>
      </c>
      <c r="D531">
        <v>80</v>
      </c>
      <c r="E531">
        <v>5</v>
      </c>
      <c r="F531">
        <v>0</v>
      </c>
      <c r="G531">
        <v>4</v>
      </c>
      <c r="H531">
        <v>0</v>
      </c>
      <c r="I531">
        <v>0</v>
      </c>
      <c r="J531">
        <v>0</v>
      </c>
      <c r="K531">
        <v>7</v>
      </c>
      <c r="L531">
        <v>0</v>
      </c>
      <c r="M531">
        <f>region_summary__43[[#This Row],[REJECTED BY Admin Kabupaten]]+region_summary__43[[#This Row],[REJECTED BY Pengawas]]</f>
        <v>0</v>
      </c>
    </row>
    <row r="532" spans="1:13" x14ac:dyDescent="0.25">
      <c r="A532" s="5" t="s">
        <v>65</v>
      </c>
      <c r="B532">
        <v>7172012005000900</v>
      </c>
      <c r="C532">
        <v>134</v>
      </c>
      <c r="D532">
        <v>0</v>
      </c>
      <c r="E532">
        <v>0</v>
      </c>
      <c r="F532">
        <v>0</v>
      </c>
      <c r="G532">
        <v>134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region_summary__43[[#This Row],[REJECTED BY Admin Kabupaten]]+region_summary__43[[#This Row],[REJECTED BY Pengawas]]</f>
        <v>0</v>
      </c>
    </row>
    <row r="533" spans="1:13" x14ac:dyDescent="0.25">
      <c r="A533" s="5" t="s">
        <v>65</v>
      </c>
      <c r="B533">
        <v>7172012004002600</v>
      </c>
      <c r="C533">
        <v>131</v>
      </c>
      <c r="D533">
        <v>75</v>
      </c>
      <c r="E533">
        <v>1</v>
      </c>
      <c r="F533">
        <v>0</v>
      </c>
      <c r="G533">
        <v>5</v>
      </c>
      <c r="H533">
        <v>0</v>
      </c>
      <c r="I533">
        <v>1</v>
      </c>
      <c r="J533">
        <v>0</v>
      </c>
      <c r="K533">
        <v>49</v>
      </c>
      <c r="L533">
        <v>0</v>
      </c>
      <c r="M533">
        <f>region_summary__43[[#This Row],[REJECTED BY Admin Kabupaten]]+region_summary__43[[#This Row],[REJECTED BY Pengawas]]</f>
        <v>1</v>
      </c>
    </row>
    <row r="534" spans="1:13" x14ac:dyDescent="0.25">
      <c r="A534" s="5" t="s">
        <v>65</v>
      </c>
      <c r="B534">
        <v>7172012005001000</v>
      </c>
      <c r="C534">
        <v>102</v>
      </c>
      <c r="D534">
        <v>3</v>
      </c>
      <c r="E534">
        <v>5</v>
      </c>
      <c r="F534">
        <v>0</v>
      </c>
      <c r="G534">
        <v>60</v>
      </c>
      <c r="H534">
        <v>0</v>
      </c>
      <c r="I534">
        <v>0</v>
      </c>
      <c r="J534">
        <v>0</v>
      </c>
      <c r="K534">
        <v>34</v>
      </c>
      <c r="L534">
        <v>0</v>
      </c>
      <c r="M534">
        <f>region_summary__43[[#This Row],[REJECTED BY Admin Kabupaten]]+region_summary__43[[#This Row],[REJECTED BY Pengawas]]</f>
        <v>0</v>
      </c>
    </row>
    <row r="535" spans="1:13" x14ac:dyDescent="0.25">
      <c r="A535" s="5" t="s">
        <v>65</v>
      </c>
      <c r="B535">
        <v>7172012004002403</v>
      </c>
      <c r="C535">
        <v>92</v>
      </c>
      <c r="D535">
        <v>87</v>
      </c>
      <c r="E535">
        <v>2</v>
      </c>
      <c r="F535">
        <v>0</v>
      </c>
      <c r="G535">
        <v>3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region_summary__43[[#This Row],[REJECTED BY Admin Kabupaten]]+region_summary__43[[#This Row],[REJECTED BY Pengawas]]</f>
        <v>0</v>
      </c>
    </row>
    <row r="536" spans="1:13" x14ac:dyDescent="0.25">
      <c r="A536" s="5" t="s">
        <v>65</v>
      </c>
      <c r="B536">
        <v>7172012005000100</v>
      </c>
      <c r="C536">
        <v>88</v>
      </c>
      <c r="D536">
        <v>0</v>
      </c>
      <c r="E536">
        <v>0</v>
      </c>
      <c r="F536">
        <v>0</v>
      </c>
      <c r="G536">
        <v>88</v>
      </c>
      <c r="H536">
        <v>0</v>
      </c>
      <c r="I536">
        <v>0</v>
      </c>
      <c r="J536">
        <v>0</v>
      </c>
      <c r="K536">
        <v>0</v>
      </c>
      <c r="L536">
        <v>0</v>
      </c>
      <c r="M536">
        <f>region_summary__43[[#This Row],[REJECTED BY Admin Kabupaten]]+region_summary__43[[#This Row],[REJECTED BY Pengawas]]</f>
        <v>0</v>
      </c>
    </row>
    <row r="537" spans="1:13" x14ac:dyDescent="0.25">
      <c r="A537" s="5" t="s">
        <v>65</v>
      </c>
      <c r="B537">
        <v>7172012005001100</v>
      </c>
      <c r="C537">
        <v>68</v>
      </c>
      <c r="D537">
        <v>0</v>
      </c>
      <c r="E537">
        <v>0</v>
      </c>
      <c r="F537">
        <v>0</v>
      </c>
      <c r="G537">
        <v>68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region_summary__43[[#This Row],[REJECTED BY Admin Kabupaten]]+region_summary__43[[#This Row],[REJECTED BY Pengawas]]</f>
        <v>0</v>
      </c>
    </row>
    <row r="538" spans="1:13" x14ac:dyDescent="0.25">
      <c r="A538" s="5" t="s">
        <v>65</v>
      </c>
      <c r="B538">
        <v>7172012005000200</v>
      </c>
      <c r="C538">
        <v>53</v>
      </c>
      <c r="D538">
        <v>47</v>
      </c>
      <c r="E538">
        <v>1</v>
      </c>
      <c r="F538">
        <v>0</v>
      </c>
      <c r="G538">
        <v>5</v>
      </c>
      <c r="H538">
        <v>0</v>
      </c>
      <c r="I538">
        <v>0</v>
      </c>
      <c r="J538">
        <v>0</v>
      </c>
      <c r="K538">
        <v>0</v>
      </c>
      <c r="L538">
        <v>0</v>
      </c>
      <c r="M538">
        <f>region_summary__43[[#This Row],[REJECTED BY Admin Kabupaten]]+region_summary__43[[#This Row],[REJECTED BY Pengawas]]</f>
        <v>0</v>
      </c>
    </row>
    <row r="539" spans="1:13" x14ac:dyDescent="0.25">
      <c r="A539" s="5" t="s">
        <v>389</v>
      </c>
      <c r="B539">
        <v>7172040003001502</v>
      </c>
      <c r="C539">
        <v>264</v>
      </c>
      <c r="D539">
        <v>240</v>
      </c>
      <c r="E539">
        <v>4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20</v>
      </c>
      <c r="L539">
        <v>0</v>
      </c>
      <c r="M539">
        <f>region_summary__43[[#This Row],[REJECTED BY Admin Kabupaten]]+region_summary__43[[#This Row],[REJECTED BY Pengawas]]</f>
        <v>0</v>
      </c>
    </row>
    <row r="540" spans="1:13" x14ac:dyDescent="0.25">
      <c r="A540" s="5" t="s">
        <v>389</v>
      </c>
      <c r="B540">
        <v>7172040003001501</v>
      </c>
      <c r="C540">
        <v>202</v>
      </c>
      <c r="D540">
        <v>49</v>
      </c>
      <c r="E540">
        <v>6</v>
      </c>
      <c r="F540">
        <v>0</v>
      </c>
      <c r="G540">
        <v>143</v>
      </c>
      <c r="H540">
        <v>0</v>
      </c>
      <c r="I540">
        <v>0</v>
      </c>
      <c r="J540">
        <v>0</v>
      </c>
      <c r="K540">
        <v>4</v>
      </c>
      <c r="L540">
        <v>0</v>
      </c>
      <c r="M540">
        <f>region_summary__43[[#This Row],[REJECTED BY Admin Kabupaten]]+region_summary__43[[#This Row],[REJECTED BY Pengawas]]</f>
        <v>0</v>
      </c>
    </row>
    <row r="541" spans="1:13" x14ac:dyDescent="0.25">
      <c r="A541" s="5" t="s">
        <v>389</v>
      </c>
      <c r="B541">
        <v>7172040003001301</v>
      </c>
      <c r="C541">
        <v>136</v>
      </c>
      <c r="D541">
        <v>0</v>
      </c>
      <c r="E541">
        <v>0</v>
      </c>
      <c r="F541">
        <v>0</v>
      </c>
      <c r="G541">
        <v>136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region_summary__43[[#This Row],[REJECTED BY Admin Kabupaten]]+region_summary__43[[#This Row],[REJECTED BY Pengawas]]</f>
        <v>0</v>
      </c>
    </row>
    <row r="542" spans="1:13" x14ac:dyDescent="0.25">
      <c r="A542" s="5" t="s">
        <v>389</v>
      </c>
      <c r="B542">
        <v>7172040003001400</v>
      </c>
      <c r="C542">
        <v>91</v>
      </c>
      <c r="D542">
        <v>0</v>
      </c>
      <c r="E542">
        <v>0</v>
      </c>
      <c r="F542">
        <v>0</v>
      </c>
      <c r="G542">
        <v>90</v>
      </c>
      <c r="H542">
        <v>0</v>
      </c>
      <c r="I542">
        <v>0</v>
      </c>
      <c r="J542">
        <v>0</v>
      </c>
      <c r="K542">
        <v>1</v>
      </c>
      <c r="L542">
        <v>0</v>
      </c>
      <c r="M542">
        <f>region_summary__43[[#This Row],[REJECTED BY Admin Kabupaten]]+region_summary__43[[#This Row],[REJECTED BY Pengawas]]</f>
        <v>0</v>
      </c>
    </row>
    <row r="543" spans="1:13" x14ac:dyDescent="0.25">
      <c r="A543" s="5" t="s">
        <v>389</v>
      </c>
      <c r="B543">
        <v>7172040003000800</v>
      </c>
      <c r="C543">
        <v>88</v>
      </c>
      <c r="D543">
        <v>74</v>
      </c>
      <c r="E543">
        <v>8</v>
      </c>
      <c r="F543">
        <v>1</v>
      </c>
      <c r="G543">
        <v>0</v>
      </c>
      <c r="H543">
        <v>0</v>
      </c>
      <c r="I543">
        <v>0</v>
      </c>
      <c r="J543">
        <v>0</v>
      </c>
      <c r="K543">
        <v>5</v>
      </c>
      <c r="L543">
        <v>0</v>
      </c>
      <c r="M543">
        <f>region_summary__43[[#This Row],[REJECTED BY Admin Kabupaten]]+region_summary__43[[#This Row],[REJECTED BY Pengawas]]</f>
        <v>0</v>
      </c>
    </row>
    <row r="544" spans="1:13" x14ac:dyDescent="0.25">
      <c r="A544" s="5" t="s">
        <v>389</v>
      </c>
      <c r="B544">
        <v>7172040003001302</v>
      </c>
      <c r="C544">
        <v>52</v>
      </c>
      <c r="D544">
        <v>0</v>
      </c>
      <c r="E544">
        <v>0</v>
      </c>
      <c r="F544">
        <v>0</v>
      </c>
      <c r="G544">
        <v>52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region_summary__43[[#This Row],[REJECTED BY Admin Kabupaten]]+region_summary__43[[#This Row],[REJECTED BY Pengawas]]</f>
        <v>0</v>
      </c>
    </row>
    <row r="545" spans="1:13" x14ac:dyDescent="0.25">
      <c r="A545" s="5" t="s">
        <v>36</v>
      </c>
      <c r="B545">
        <v>7172011003002401</v>
      </c>
      <c r="C545">
        <v>195</v>
      </c>
      <c r="D545">
        <v>154</v>
      </c>
      <c r="E545">
        <v>10</v>
      </c>
      <c r="F545">
        <v>0</v>
      </c>
      <c r="G545">
        <v>0</v>
      </c>
      <c r="H545">
        <v>0</v>
      </c>
      <c r="I545">
        <v>2</v>
      </c>
      <c r="J545">
        <v>0</v>
      </c>
      <c r="K545">
        <v>29</v>
      </c>
      <c r="L545">
        <v>0</v>
      </c>
      <c r="M545">
        <f>region_summary__43[[#This Row],[REJECTED BY Admin Kabupaten]]+region_summary__43[[#This Row],[REJECTED BY Pengawas]]</f>
        <v>2</v>
      </c>
    </row>
    <row r="546" spans="1:13" x14ac:dyDescent="0.25">
      <c r="A546" s="5" t="s">
        <v>36</v>
      </c>
      <c r="B546">
        <v>7172011003002100</v>
      </c>
      <c r="C546">
        <v>138</v>
      </c>
      <c r="D546">
        <v>0</v>
      </c>
      <c r="E546">
        <v>30</v>
      </c>
      <c r="F546">
        <v>0</v>
      </c>
      <c r="G546">
        <v>56</v>
      </c>
      <c r="H546">
        <v>0</v>
      </c>
      <c r="I546">
        <v>0</v>
      </c>
      <c r="J546">
        <v>0</v>
      </c>
      <c r="K546">
        <v>52</v>
      </c>
      <c r="L546">
        <v>0</v>
      </c>
      <c r="M546">
        <f>region_summary__43[[#This Row],[REJECTED BY Admin Kabupaten]]+region_summary__43[[#This Row],[REJECTED BY Pengawas]]</f>
        <v>0</v>
      </c>
    </row>
    <row r="547" spans="1:13" x14ac:dyDescent="0.25">
      <c r="A547" s="5" t="s">
        <v>36</v>
      </c>
      <c r="B547">
        <v>7172011003002000</v>
      </c>
      <c r="C547">
        <v>135</v>
      </c>
      <c r="D547">
        <v>48</v>
      </c>
      <c r="E547">
        <v>20</v>
      </c>
      <c r="F547">
        <v>0</v>
      </c>
      <c r="G547">
        <v>43</v>
      </c>
      <c r="H547">
        <v>0</v>
      </c>
      <c r="I547">
        <v>1</v>
      </c>
      <c r="J547">
        <v>0</v>
      </c>
      <c r="K547">
        <v>23</v>
      </c>
      <c r="L547">
        <v>0</v>
      </c>
      <c r="M547">
        <f>region_summary__43[[#This Row],[REJECTED BY Admin Kabupaten]]+region_summary__43[[#This Row],[REJECTED BY Pengawas]]</f>
        <v>1</v>
      </c>
    </row>
    <row r="548" spans="1:13" x14ac:dyDescent="0.25">
      <c r="A548" s="5" t="s">
        <v>36</v>
      </c>
      <c r="B548">
        <v>7172011003002300</v>
      </c>
      <c r="C548">
        <v>114</v>
      </c>
      <c r="D548">
        <v>0</v>
      </c>
      <c r="E548">
        <v>0</v>
      </c>
      <c r="F548">
        <v>0</v>
      </c>
      <c r="G548">
        <v>114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region_summary__43[[#This Row],[REJECTED BY Admin Kabupaten]]+region_summary__43[[#This Row],[REJECTED BY Pengawas]]</f>
        <v>0</v>
      </c>
    </row>
    <row r="549" spans="1:13" x14ac:dyDescent="0.25">
      <c r="A549" s="5" t="s">
        <v>36</v>
      </c>
      <c r="B549">
        <v>7172011003002402</v>
      </c>
      <c r="C549">
        <v>92</v>
      </c>
      <c r="D549">
        <v>54</v>
      </c>
      <c r="E549">
        <v>12</v>
      </c>
      <c r="F549">
        <v>0</v>
      </c>
      <c r="G549">
        <v>6</v>
      </c>
      <c r="H549">
        <v>0</v>
      </c>
      <c r="I549">
        <v>0</v>
      </c>
      <c r="J549">
        <v>0</v>
      </c>
      <c r="K549">
        <v>20</v>
      </c>
      <c r="L549">
        <v>0</v>
      </c>
      <c r="M549">
        <f>region_summary__43[[#This Row],[REJECTED BY Admin Kabupaten]]+region_summary__43[[#This Row],[REJECTED BY Pengawas]]</f>
        <v>0</v>
      </c>
    </row>
    <row r="550" spans="1:13" x14ac:dyDescent="0.25">
      <c r="A550" s="5" t="s">
        <v>36</v>
      </c>
      <c r="B550">
        <v>7172011003002200</v>
      </c>
      <c r="C550">
        <v>55</v>
      </c>
      <c r="D550">
        <v>0</v>
      </c>
      <c r="E550">
        <v>0</v>
      </c>
      <c r="F550">
        <v>0</v>
      </c>
      <c r="G550">
        <v>55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region_summary__43[[#This Row],[REJECTED BY Admin Kabupaten]]+region_summary__43[[#This Row],[REJECTED BY Pengawas]]</f>
        <v>0</v>
      </c>
    </row>
    <row r="551" spans="1:13" x14ac:dyDescent="0.25">
      <c r="A551" s="5" t="s">
        <v>236</v>
      </c>
      <c r="B551">
        <v>7172030014001100</v>
      </c>
      <c r="C551">
        <v>248</v>
      </c>
      <c r="D551">
        <v>217</v>
      </c>
      <c r="E551">
        <v>2</v>
      </c>
      <c r="F551">
        <v>3</v>
      </c>
      <c r="G551">
        <v>18</v>
      </c>
      <c r="H551">
        <v>0</v>
      </c>
      <c r="I551">
        <v>1</v>
      </c>
      <c r="J551">
        <v>1</v>
      </c>
      <c r="K551">
        <v>6</v>
      </c>
      <c r="L551">
        <v>0</v>
      </c>
      <c r="M551">
        <f>region_summary__43[[#This Row],[REJECTED BY Admin Kabupaten]]+region_summary__43[[#This Row],[REJECTED BY Pengawas]]</f>
        <v>1</v>
      </c>
    </row>
    <row r="552" spans="1:13" x14ac:dyDescent="0.25">
      <c r="A552" s="5" t="s">
        <v>236</v>
      </c>
      <c r="B552">
        <v>7172030014001000</v>
      </c>
      <c r="C552">
        <v>150</v>
      </c>
      <c r="D552">
        <v>95</v>
      </c>
      <c r="E552">
        <v>4</v>
      </c>
      <c r="F552">
        <v>10</v>
      </c>
      <c r="G552">
        <v>21</v>
      </c>
      <c r="H552">
        <v>0</v>
      </c>
      <c r="I552">
        <v>0</v>
      </c>
      <c r="J552">
        <v>1</v>
      </c>
      <c r="K552">
        <v>19</v>
      </c>
      <c r="L552">
        <v>0</v>
      </c>
      <c r="M552">
        <f>region_summary__43[[#This Row],[REJECTED BY Admin Kabupaten]]+region_summary__43[[#This Row],[REJECTED BY Pengawas]]</f>
        <v>0</v>
      </c>
    </row>
    <row r="553" spans="1:13" x14ac:dyDescent="0.25">
      <c r="A553" s="5" t="s">
        <v>236</v>
      </c>
      <c r="B553">
        <v>7172030014001200</v>
      </c>
      <c r="C553">
        <v>122</v>
      </c>
      <c r="D553">
        <v>38</v>
      </c>
      <c r="E553">
        <v>0</v>
      </c>
      <c r="F553">
        <v>0</v>
      </c>
      <c r="G553">
        <v>84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region_summary__43[[#This Row],[REJECTED BY Admin Kabupaten]]+region_summary__43[[#This Row],[REJECTED BY Pengawas]]</f>
        <v>0</v>
      </c>
    </row>
    <row r="554" spans="1:13" x14ac:dyDescent="0.25">
      <c r="A554" s="5" t="s">
        <v>236</v>
      </c>
      <c r="B554">
        <v>7172030015000200</v>
      </c>
      <c r="C554">
        <v>64</v>
      </c>
      <c r="D554">
        <v>0</v>
      </c>
      <c r="E554">
        <v>0</v>
      </c>
      <c r="F554">
        <v>0</v>
      </c>
      <c r="G554">
        <v>64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region_summary__43[[#This Row],[REJECTED BY Admin Kabupaten]]+region_summary__43[[#This Row],[REJECTED BY Pengawas]]</f>
        <v>0</v>
      </c>
    </row>
    <row r="555" spans="1:13" x14ac:dyDescent="0.25">
      <c r="A555" s="5" t="s">
        <v>236</v>
      </c>
      <c r="B555">
        <v>7172030015000100</v>
      </c>
      <c r="C555">
        <v>63</v>
      </c>
      <c r="D555">
        <v>0</v>
      </c>
      <c r="E555">
        <v>0</v>
      </c>
      <c r="F555">
        <v>0</v>
      </c>
      <c r="G555">
        <v>63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region_summary__43[[#This Row],[REJECTED BY Admin Kabupaten]]+region_summary__43[[#This Row],[REJECTED BY Pengawas]]</f>
        <v>0</v>
      </c>
    </row>
    <row r="556" spans="1:13" x14ac:dyDescent="0.25">
      <c r="A556" s="5" t="s">
        <v>235</v>
      </c>
      <c r="B556">
        <v>7172030015000800</v>
      </c>
      <c r="C556">
        <v>173</v>
      </c>
      <c r="D556">
        <v>14</v>
      </c>
      <c r="E556">
        <v>6</v>
      </c>
      <c r="F556">
        <v>0</v>
      </c>
      <c r="G556">
        <v>134</v>
      </c>
      <c r="H556">
        <v>0</v>
      </c>
      <c r="I556">
        <v>0</v>
      </c>
      <c r="J556">
        <v>0</v>
      </c>
      <c r="K556">
        <v>19</v>
      </c>
      <c r="L556">
        <v>0</v>
      </c>
      <c r="M556">
        <f>region_summary__43[[#This Row],[REJECTED BY Admin Kabupaten]]+region_summary__43[[#This Row],[REJECTED BY Pengawas]]</f>
        <v>0</v>
      </c>
    </row>
    <row r="557" spans="1:13" x14ac:dyDescent="0.25">
      <c r="A557" s="5" t="s">
        <v>235</v>
      </c>
      <c r="B557">
        <v>7172030015000300</v>
      </c>
      <c r="C557">
        <v>124</v>
      </c>
      <c r="D557">
        <v>79</v>
      </c>
      <c r="E557">
        <v>5</v>
      </c>
      <c r="F557">
        <v>0</v>
      </c>
      <c r="G557">
        <v>39</v>
      </c>
      <c r="H557">
        <v>0</v>
      </c>
      <c r="I557">
        <v>0</v>
      </c>
      <c r="J557">
        <v>0</v>
      </c>
      <c r="K557">
        <v>1</v>
      </c>
      <c r="L557">
        <v>0</v>
      </c>
      <c r="M557">
        <f>region_summary__43[[#This Row],[REJECTED BY Admin Kabupaten]]+region_summary__43[[#This Row],[REJECTED BY Pengawas]]</f>
        <v>0</v>
      </c>
    </row>
    <row r="558" spans="1:13" x14ac:dyDescent="0.25">
      <c r="A558" s="5" t="s">
        <v>235</v>
      </c>
      <c r="B558">
        <v>7172030015000400</v>
      </c>
      <c r="C558">
        <v>86</v>
      </c>
      <c r="D558">
        <v>48</v>
      </c>
      <c r="E558">
        <v>2</v>
      </c>
      <c r="F558">
        <v>0</v>
      </c>
      <c r="G558">
        <v>35</v>
      </c>
      <c r="H558">
        <v>0</v>
      </c>
      <c r="I558">
        <v>0</v>
      </c>
      <c r="J558">
        <v>0</v>
      </c>
      <c r="K558">
        <v>1</v>
      </c>
      <c r="L558">
        <v>0</v>
      </c>
      <c r="M558">
        <f>region_summary__43[[#This Row],[REJECTED BY Admin Kabupaten]]+region_summary__43[[#This Row],[REJECTED BY Pengawas]]</f>
        <v>0</v>
      </c>
    </row>
    <row r="559" spans="1:13" x14ac:dyDescent="0.25">
      <c r="A559" s="5" t="s">
        <v>235</v>
      </c>
      <c r="B559">
        <v>7172030015001000</v>
      </c>
      <c r="C559">
        <v>84</v>
      </c>
      <c r="D559">
        <v>70</v>
      </c>
      <c r="E559">
        <v>5</v>
      </c>
      <c r="F559">
        <v>0</v>
      </c>
      <c r="G559">
        <v>8</v>
      </c>
      <c r="H559">
        <v>0</v>
      </c>
      <c r="I559">
        <v>0</v>
      </c>
      <c r="J559">
        <v>1</v>
      </c>
      <c r="K559">
        <v>0</v>
      </c>
      <c r="L559">
        <v>0</v>
      </c>
      <c r="M559">
        <f>region_summary__43[[#This Row],[REJECTED BY Admin Kabupaten]]+region_summary__43[[#This Row],[REJECTED BY Pengawas]]</f>
        <v>0</v>
      </c>
    </row>
    <row r="560" spans="1:13" x14ac:dyDescent="0.25">
      <c r="A560" s="5" t="s">
        <v>235</v>
      </c>
      <c r="B560">
        <v>7172030015001100</v>
      </c>
      <c r="C560">
        <v>61</v>
      </c>
      <c r="D560">
        <v>45</v>
      </c>
      <c r="E560">
        <v>1</v>
      </c>
      <c r="F560">
        <v>0</v>
      </c>
      <c r="G560">
        <v>15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region_summary__43[[#This Row],[REJECTED BY Admin Kabupaten]]+region_summary__43[[#This Row],[REJECTED BY Pengawas]]</f>
        <v>0</v>
      </c>
    </row>
    <row r="561" spans="1:13" x14ac:dyDescent="0.25">
      <c r="A561" s="5" t="s">
        <v>235</v>
      </c>
      <c r="B561">
        <v>7172030015000700</v>
      </c>
      <c r="C561">
        <v>54</v>
      </c>
      <c r="D561">
        <v>38</v>
      </c>
      <c r="E561">
        <v>3</v>
      </c>
      <c r="F561">
        <v>0</v>
      </c>
      <c r="G561">
        <v>11</v>
      </c>
      <c r="H561">
        <v>0</v>
      </c>
      <c r="I561">
        <v>0</v>
      </c>
      <c r="J561">
        <v>0</v>
      </c>
      <c r="K561">
        <v>2</v>
      </c>
      <c r="L561">
        <v>0</v>
      </c>
      <c r="M561">
        <f>region_summary__43[[#This Row],[REJECTED BY Admin Kabupaten]]+region_summary__43[[#This Row],[REJECTED BY Pengawas]]</f>
        <v>0</v>
      </c>
    </row>
    <row r="562" spans="1:13" x14ac:dyDescent="0.25">
      <c r="A562" s="5" t="s">
        <v>235</v>
      </c>
      <c r="B562">
        <v>7172030015000500</v>
      </c>
      <c r="C562">
        <v>45</v>
      </c>
      <c r="D562">
        <v>0</v>
      </c>
      <c r="E562">
        <v>1</v>
      </c>
      <c r="F562">
        <v>0</v>
      </c>
      <c r="G562">
        <v>43</v>
      </c>
      <c r="H562">
        <v>0</v>
      </c>
      <c r="I562">
        <v>0</v>
      </c>
      <c r="J562">
        <v>0</v>
      </c>
      <c r="K562">
        <v>1</v>
      </c>
      <c r="L562">
        <v>0</v>
      </c>
      <c r="M562">
        <f>region_summary__43[[#This Row],[REJECTED BY Admin Kabupaten]]+region_summary__43[[#This Row],[REJECTED BY Pengawas]]</f>
        <v>0</v>
      </c>
    </row>
    <row r="563" spans="1:13" x14ac:dyDescent="0.25">
      <c r="A563" s="5" t="s">
        <v>235</v>
      </c>
      <c r="B563">
        <v>7172030015000600</v>
      </c>
      <c r="C563">
        <v>38</v>
      </c>
      <c r="D563">
        <v>1</v>
      </c>
      <c r="E563">
        <v>0</v>
      </c>
      <c r="F563">
        <v>0</v>
      </c>
      <c r="G563">
        <v>34</v>
      </c>
      <c r="H563">
        <v>0</v>
      </c>
      <c r="I563">
        <v>0</v>
      </c>
      <c r="J563">
        <v>0</v>
      </c>
      <c r="K563">
        <v>3</v>
      </c>
      <c r="L563">
        <v>0</v>
      </c>
      <c r="M563">
        <f>region_summary__43[[#This Row],[REJECTED BY Admin Kabupaten]]+region_summary__43[[#This Row],[REJECTED BY Pengawas]]</f>
        <v>0</v>
      </c>
    </row>
    <row r="564" spans="1:13" x14ac:dyDescent="0.25">
      <c r="A564" s="5" t="s">
        <v>235</v>
      </c>
      <c r="B564">
        <v>7172030015000900</v>
      </c>
      <c r="C564">
        <v>29</v>
      </c>
      <c r="D564">
        <v>2</v>
      </c>
      <c r="E564">
        <v>2</v>
      </c>
      <c r="F564">
        <v>0</v>
      </c>
      <c r="G564">
        <v>16</v>
      </c>
      <c r="H564">
        <v>0</v>
      </c>
      <c r="I564">
        <v>0</v>
      </c>
      <c r="J564">
        <v>0</v>
      </c>
      <c r="K564">
        <v>9</v>
      </c>
      <c r="L564">
        <v>0</v>
      </c>
      <c r="M564">
        <f>region_summary__43[[#This Row],[REJECTED BY Admin Kabupaten]]+region_summary__43[[#This Row],[REJECTED BY Pengawas]]</f>
        <v>0</v>
      </c>
    </row>
    <row r="565" spans="1:13" x14ac:dyDescent="0.25">
      <c r="A565" s="5" t="s">
        <v>105</v>
      </c>
      <c r="B565">
        <v>7172030015001701</v>
      </c>
      <c r="C565">
        <v>134</v>
      </c>
      <c r="D565">
        <v>65</v>
      </c>
      <c r="E565">
        <v>23</v>
      </c>
      <c r="F565">
        <v>0</v>
      </c>
      <c r="G565">
        <v>33</v>
      </c>
      <c r="H565">
        <v>0</v>
      </c>
      <c r="I565">
        <v>1</v>
      </c>
      <c r="J565">
        <v>0</v>
      </c>
      <c r="K565">
        <v>12</v>
      </c>
      <c r="L565">
        <v>0</v>
      </c>
      <c r="M565">
        <f>region_summary__43[[#This Row],[REJECTED BY Admin Kabupaten]]+region_summary__43[[#This Row],[REJECTED BY Pengawas]]</f>
        <v>1</v>
      </c>
    </row>
    <row r="566" spans="1:13" x14ac:dyDescent="0.25">
      <c r="A566" s="5" t="s">
        <v>105</v>
      </c>
      <c r="B566">
        <v>7172030015001800</v>
      </c>
      <c r="C566">
        <v>117</v>
      </c>
      <c r="D566">
        <v>0</v>
      </c>
      <c r="E566">
        <v>0</v>
      </c>
      <c r="F566">
        <v>0</v>
      </c>
      <c r="G566">
        <v>117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region_summary__43[[#This Row],[REJECTED BY Admin Kabupaten]]+region_summary__43[[#This Row],[REJECTED BY Pengawas]]</f>
        <v>0</v>
      </c>
    </row>
    <row r="567" spans="1:13" x14ac:dyDescent="0.25">
      <c r="A567" s="5" t="s">
        <v>105</v>
      </c>
      <c r="B567">
        <v>7172030015001300</v>
      </c>
      <c r="C567">
        <v>98</v>
      </c>
      <c r="D567">
        <v>80</v>
      </c>
      <c r="E567">
        <v>6</v>
      </c>
      <c r="F567">
        <v>0</v>
      </c>
      <c r="G567">
        <v>9</v>
      </c>
      <c r="H567">
        <v>0</v>
      </c>
      <c r="I567">
        <v>0</v>
      </c>
      <c r="J567">
        <v>0</v>
      </c>
      <c r="K567">
        <v>3</v>
      </c>
      <c r="L567">
        <v>0</v>
      </c>
      <c r="M567">
        <f>region_summary__43[[#This Row],[REJECTED BY Admin Kabupaten]]+region_summary__43[[#This Row],[REJECTED BY Pengawas]]</f>
        <v>0</v>
      </c>
    </row>
    <row r="568" spans="1:13" x14ac:dyDescent="0.25">
      <c r="A568" s="5" t="s">
        <v>105</v>
      </c>
      <c r="B568">
        <v>7172030015001200</v>
      </c>
      <c r="C568">
        <v>67</v>
      </c>
      <c r="D568">
        <v>67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region_summary__43[[#This Row],[REJECTED BY Admin Kabupaten]]+region_summary__43[[#This Row],[REJECTED BY Pengawas]]</f>
        <v>0</v>
      </c>
    </row>
    <row r="569" spans="1:13" x14ac:dyDescent="0.25">
      <c r="A569" s="5" t="s">
        <v>105</v>
      </c>
      <c r="B569">
        <v>7172030015001703</v>
      </c>
      <c r="C569">
        <v>46</v>
      </c>
      <c r="D569">
        <v>0</v>
      </c>
      <c r="E569">
        <v>7</v>
      </c>
      <c r="F569">
        <v>0</v>
      </c>
      <c r="G569">
        <v>29</v>
      </c>
      <c r="H569">
        <v>0</v>
      </c>
      <c r="I569">
        <v>0</v>
      </c>
      <c r="J569">
        <v>0</v>
      </c>
      <c r="K569">
        <v>10</v>
      </c>
      <c r="L569">
        <v>0</v>
      </c>
      <c r="M569">
        <f>region_summary__43[[#This Row],[REJECTED BY Admin Kabupaten]]+region_summary__43[[#This Row],[REJECTED BY Pengawas]]</f>
        <v>0</v>
      </c>
    </row>
    <row r="570" spans="1:13" x14ac:dyDescent="0.25">
      <c r="A570" s="5" t="s">
        <v>97</v>
      </c>
      <c r="B570">
        <v>7172030012000100</v>
      </c>
      <c r="C570">
        <v>93</v>
      </c>
      <c r="D570">
        <v>56</v>
      </c>
      <c r="E570">
        <v>0</v>
      </c>
      <c r="F570">
        <v>0</v>
      </c>
      <c r="G570">
        <v>7</v>
      </c>
      <c r="H570">
        <v>0</v>
      </c>
      <c r="I570">
        <v>1</v>
      </c>
      <c r="J570">
        <v>0</v>
      </c>
      <c r="K570">
        <v>29</v>
      </c>
      <c r="L570">
        <v>0</v>
      </c>
      <c r="M570">
        <f>region_summary__43[[#This Row],[REJECTED BY Admin Kabupaten]]+region_summary__43[[#This Row],[REJECTED BY Pengawas]]</f>
        <v>1</v>
      </c>
    </row>
    <row r="571" spans="1:13" x14ac:dyDescent="0.25">
      <c r="A571" s="5" t="s">
        <v>97</v>
      </c>
      <c r="B571">
        <v>7172030012000300</v>
      </c>
      <c r="C571">
        <v>91</v>
      </c>
      <c r="D571">
        <v>85</v>
      </c>
      <c r="E571">
        <v>0</v>
      </c>
      <c r="F571">
        <v>2</v>
      </c>
      <c r="G571">
        <v>0</v>
      </c>
      <c r="H571">
        <v>0</v>
      </c>
      <c r="I571">
        <v>1</v>
      </c>
      <c r="J571">
        <v>0</v>
      </c>
      <c r="K571">
        <v>3</v>
      </c>
      <c r="L571">
        <v>0</v>
      </c>
      <c r="M571">
        <f>region_summary__43[[#This Row],[REJECTED BY Admin Kabupaten]]+region_summary__43[[#This Row],[REJECTED BY Pengawas]]</f>
        <v>1</v>
      </c>
    </row>
    <row r="572" spans="1:13" x14ac:dyDescent="0.25">
      <c r="A572" s="5" t="s">
        <v>97</v>
      </c>
      <c r="B572">
        <v>7172030016000600</v>
      </c>
      <c r="C572">
        <v>62</v>
      </c>
      <c r="D572">
        <v>4</v>
      </c>
      <c r="E572">
        <v>0</v>
      </c>
      <c r="F572">
        <v>0</v>
      </c>
      <c r="G572">
        <v>58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region_summary__43[[#This Row],[REJECTED BY Admin Kabupaten]]+region_summary__43[[#This Row],[REJECTED BY Pengawas]]</f>
        <v>0</v>
      </c>
    </row>
    <row r="573" spans="1:13" x14ac:dyDescent="0.25">
      <c r="A573" s="5" t="s">
        <v>97</v>
      </c>
      <c r="B573">
        <v>7172030016000900</v>
      </c>
      <c r="C573">
        <v>62</v>
      </c>
      <c r="D573">
        <v>2</v>
      </c>
      <c r="E573">
        <v>0</v>
      </c>
      <c r="F573">
        <v>0</v>
      </c>
      <c r="G573">
        <v>60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region_summary__43[[#This Row],[REJECTED BY Admin Kabupaten]]+region_summary__43[[#This Row],[REJECTED BY Pengawas]]</f>
        <v>0</v>
      </c>
    </row>
    <row r="574" spans="1:13" x14ac:dyDescent="0.25">
      <c r="A574" s="5" t="s">
        <v>97</v>
      </c>
      <c r="B574">
        <v>7172030016000300</v>
      </c>
      <c r="C574">
        <v>57</v>
      </c>
      <c r="D574">
        <v>36</v>
      </c>
      <c r="E574">
        <v>0</v>
      </c>
      <c r="F574">
        <v>2</v>
      </c>
      <c r="G574">
        <v>19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region_summary__43[[#This Row],[REJECTED BY Admin Kabupaten]]+region_summary__43[[#This Row],[REJECTED BY Pengawas]]</f>
        <v>0</v>
      </c>
    </row>
    <row r="575" spans="1:13" x14ac:dyDescent="0.25">
      <c r="A575" s="5" t="s">
        <v>97</v>
      </c>
      <c r="B575">
        <v>7172030016000400</v>
      </c>
      <c r="C575">
        <v>57</v>
      </c>
      <c r="D575">
        <v>8</v>
      </c>
      <c r="E575">
        <v>0</v>
      </c>
      <c r="F575">
        <v>0</v>
      </c>
      <c r="G575">
        <v>49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region_summary__43[[#This Row],[REJECTED BY Admin Kabupaten]]+region_summary__43[[#This Row],[REJECTED BY Pengawas]]</f>
        <v>0</v>
      </c>
    </row>
    <row r="576" spans="1:13" x14ac:dyDescent="0.25">
      <c r="A576" s="5" t="s">
        <v>97</v>
      </c>
      <c r="B576">
        <v>7172030016000800</v>
      </c>
      <c r="C576">
        <v>47</v>
      </c>
      <c r="D576">
        <v>6</v>
      </c>
      <c r="E576">
        <v>0</v>
      </c>
      <c r="F576">
        <v>0</v>
      </c>
      <c r="G576">
        <v>41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region_summary__43[[#This Row],[REJECTED BY Admin Kabupaten]]+region_summary__43[[#This Row],[REJECTED BY Pengawas]]</f>
        <v>0</v>
      </c>
    </row>
    <row r="577" spans="1:13" x14ac:dyDescent="0.25">
      <c r="A577" s="5" t="s">
        <v>97</v>
      </c>
      <c r="B577">
        <v>7172030016000700</v>
      </c>
      <c r="C577">
        <v>46</v>
      </c>
      <c r="D577">
        <v>7</v>
      </c>
      <c r="E577">
        <v>0</v>
      </c>
      <c r="F577">
        <v>0</v>
      </c>
      <c r="G577">
        <v>39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region_summary__43[[#This Row],[REJECTED BY Admin Kabupaten]]+region_summary__43[[#This Row],[REJECTED BY Pengawas]]</f>
        <v>0</v>
      </c>
    </row>
    <row r="578" spans="1:13" x14ac:dyDescent="0.25">
      <c r="A578" s="5" t="s">
        <v>97</v>
      </c>
      <c r="B578">
        <v>7172030016000200</v>
      </c>
      <c r="C578">
        <v>43</v>
      </c>
      <c r="D578">
        <v>13</v>
      </c>
      <c r="E578">
        <v>1</v>
      </c>
      <c r="F578">
        <v>0</v>
      </c>
      <c r="G578">
        <v>7</v>
      </c>
      <c r="H578">
        <v>0</v>
      </c>
      <c r="I578">
        <v>0</v>
      </c>
      <c r="J578">
        <v>0</v>
      </c>
      <c r="K578">
        <v>22</v>
      </c>
      <c r="L578">
        <v>0</v>
      </c>
      <c r="M578">
        <f>region_summary__43[[#This Row],[REJECTED BY Admin Kabupaten]]+region_summary__43[[#This Row],[REJECTED BY Pengawas]]</f>
        <v>0</v>
      </c>
    </row>
    <row r="579" spans="1:13" x14ac:dyDescent="0.25">
      <c r="A579" s="5" t="s">
        <v>97</v>
      </c>
      <c r="B579">
        <v>7172030016000100</v>
      </c>
      <c r="C579">
        <v>33</v>
      </c>
      <c r="D579">
        <v>2</v>
      </c>
      <c r="E579">
        <v>0</v>
      </c>
      <c r="F579">
        <v>0</v>
      </c>
      <c r="G579">
        <v>28</v>
      </c>
      <c r="H579">
        <v>0</v>
      </c>
      <c r="I579">
        <v>0</v>
      </c>
      <c r="J579">
        <v>0</v>
      </c>
      <c r="K579">
        <v>3</v>
      </c>
      <c r="L579">
        <v>0</v>
      </c>
      <c r="M579">
        <f>region_summary__43[[#This Row],[REJECTED BY Admin Kabupaten]]+region_summary__43[[#This Row],[REJECTED BY Pengawas]]</f>
        <v>0</v>
      </c>
    </row>
    <row r="580" spans="1:13" x14ac:dyDescent="0.25">
      <c r="A580" s="5" t="s">
        <v>97</v>
      </c>
      <c r="B580">
        <v>7172030016000500</v>
      </c>
      <c r="C580">
        <v>33</v>
      </c>
      <c r="D580">
        <v>2</v>
      </c>
      <c r="E580">
        <v>0</v>
      </c>
      <c r="F580">
        <v>0</v>
      </c>
      <c r="G580">
        <v>31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region_summary__43[[#This Row],[REJECTED BY Admin Kabupaten]]+region_summary__43[[#This Row],[REJECTED BY Pengawas]]</f>
        <v>0</v>
      </c>
    </row>
    <row r="581" spans="1:13" x14ac:dyDescent="0.25">
      <c r="A581" s="5" t="s">
        <v>109</v>
      </c>
      <c r="B581">
        <v>7172031001000700</v>
      </c>
      <c r="C581">
        <v>93</v>
      </c>
      <c r="D581">
        <v>43</v>
      </c>
      <c r="E581">
        <v>17</v>
      </c>
      <c r="F581">
        <v>0</v>
      </c>
      <c r="G581">
        <v>28</v>
      </c>
      <c r="H581">
        <v>0</v>
      </c>
      <c r="I581">
        <v>5</v>
      </c>
      <c r="J581">
        <v>0</v>
      </c>
      <c r="K581">
        <v>0</v>
      </c>
      <c r="L581">
        <v>0</v>
      </c>
      <c r="M581">
        <f>region_summary__43[[#This Row],[REJECTED BY Admin Kabupaten]]+region_summary__43[[#This Row],[REJECTED BY Pengawas]]</f>
        <v>5</v>
      </c>
    </row>
    <row r="582" spans="1:13" x14ac:dyDescent="0.25">
      <c r="A582" s="5" t="s">
        <v>109</v>
      </c>
      <c r="B582">
        <v>7172031001000800</v>
      </c>
      <c r="C582">
        <v>59</v>
      </c>
      <c r="D582">
        <v>50</v>
      </c>
      <c r="E582">
        <v>8</v>
      </c>
      <c r="F582">
        <v>0</v>
      </c>
      <c r="G582">
        <v>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region_summary__43[[#This Row],[REJECTED BY Admin Kabupaten]]+region_summary__43[[#This Row],[REJECTED BY Pengawas]]</f>
        <v>0</v>
      </c>
    </row>
    <row r="583" spans="1:13" x14ac:dyDescent="0.25">
      <c r="A583" s="5" t="s">
        <v>109</v>
      </c>
      <c r="B583">
        <v>7172031001001200</v>
      </c>
      <c r="C583">
        <v>58</v>
      </c>
      <c r="D583">
        <v>0</v>
      </c>
      <c r="E583">
        <v>0</v>
      </c>
      <c r="F583">
        <v>0</v>
      </c>
      <c r="G583">
        <v>58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region_summary__43[[#This Row],[REJECTED BY Admin Kabupaten]]+region_summary__43[[#This Row],[REJECTED BY Pengawas]]</f>
        <v>0</v>
      </c>
    </row>
    <row r="584" spans="1:13" x14ac:dyDescent="0.25">
      <c r="A584" s="5" t="s">
        <v>109</v>
      </c>
      <c r="B584">
        <v>7172031001001400</v>
      </c>
      <c r="C584">
        <v>56</v>
      </c>
      <c r="D584">
        <v>47</v>
      </c>
      <c r="E584">
        <v>7</v>
      </c>
      <c r="F584">
        <v>0</v>
      </c>
      <c r="G584">
        <v>2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region_summary__43[[#This Row],[REJECTED BY Admin Kabupaten]]+region_summary__43[[#This Row],[REJECTED BY Pengawas]]</f>
        <v>0</v>
      </c>
    </row>
    <row r="585" spans="1:13" x14ac:dyDescent="0.25">
      <c r="A585" s="5" t="s">
        <v>109</v>
      </c>
      <c r="B585">
        <v>7172031001001100</v>
      </c>
      <c r="C585">
        <v>50</v>
      </c>
      <c r="D585">
        <v>1</v>
      </c>
      <c r="E585">
        <v>1</v>
      </c>
      <c r="F585">
        <v>0</v>
      </c>
      <c r="G585">
        <v>48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region_summary__43[[#This Row],[REJECTED BY Admin Kabupaten]]+region_summary__43[[#This Row],[REJECTED BY Pengawas]]</f>
        <v>0</v>
      </c>
    </row>
    <row r="586" spans="1:13" x14ac:dyDescent="0.25">
      <c r="A586" s="5" t="s">
        <v>109</v>
      </c>
      <c r="B586">
        <v>7172031001001300</v>
      </c>
      <c r="C586">
        <v>47</v>
      </c>
      <c r="D586">
        <v>44</v>
      </c>
      <c r="E586">
        <v>3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region_summary__43[[#This Row],[REJECTED BY Admin Kabupaten]]+region_summary__43[[#This Row],[REJECTED BY Pengawas]]</f>
        <v>0</v>
      </c>
    </row>
    <row r="587" spans="1:13" x14ac:dyDescent="0.25">
      <c r="A587" s="5" t="s">
        <v>109</v>
      </c>
      <c r="B587">
        <v>7172031001000600</v>
      </c>
      <c r="C587">
        <v>46</v>
      </c>
      <c r="D587">
        <v>0</v>
      </c>
      <c r="E587">
        <v>2</v>
      </c>
      <c r="F587">
        <v>0</v>
      </c>
      <c r="G587">
        <v>44</v>
      </c>
      <c r="H587">
        <v>0</v>
      </c>
      <c r="I587">
        <v>0</v>
      </c>
      <c r="J587">
        <v>0</v>
      </c>
      <c r="K587">
        <v>0</v>
      </c>
      <c r="L587">
        <v>0</v>
      </c>
      <c r="M587">
        <f>region_summary__43[[#This Row],[REJECTED BY Admin Kabupaten]]+region_summary__43[[#This Row],[REJECTED BY Pengawas]]</f>
        <v>0</v>
      </c>
    </row>
    <row r="588" spans="1:13" x14ac:dyDescent="0.25">
      <c r="A588" s="5" t="s">
        <v>109</v>
      </c>
      <c r="B588">
        <v>7172031001000200</v>
      </c>
      <c r="C588">
        <v>42</v>
      </c>
      <c r="D588">
        <v>34</v>
      </c>
      <c r="E588">
        <v>7</v>
      </c>
      <c r="F588">
        <v>0</v>
      </c>
      <c r="G588">
        <v>1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region_summary__43[[#This Row],[REJECTED BY Admin Kabupaten]]+region_summary__43[[#This Row],[REJECTED BY Pengawas]]</f>
        <v>0</v>
      </c>
    </row>
    <row r="589" spans="1:13" x14ac:dyDescent="0.25">
      <c r="A589" s="5" t="s">
        <v>109</v>
      </c>
      <c r="B589">
        <v>7172031001000500</v>
      </c>
      <c r="C589">
        <v>42</v>
      </c>
      <c r="D589">
        <v>0</v>
      </c>
      <c r="E589">
        <v>0</v>
      </c>
      <c r="F589">
        <v>0</v>
      </c>
      <c r="G589">
        <v>42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region_summary__43[[#This Row],[REJECTED BY Admin Kabupaten]]+region_summary__43[[#This Row],[REJECTED BY Pengawas]]</f>
        <v>0</v>
      </c>
    </row>
    <row r="590" spans="1:13" x14ac:dyDescent="0.25">
      <c r="A590" s="5" t="s">
        <v>109</v>
      </c>
      <c r="B590">
        <v>7172031001001000</v>
      </c>
      <c r="C590">
        <v>40</v>
      </c>
      <c r="D590">
        <v>29</v>
      </c>
      <c r="E590">
        <v>5</v>
      </c>
      <c r="F590">
        <v>0</v>
      </c>
      <c r="G590">
        <v>6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region_summary__43[[#This Row],[REJECTED BY Admin Kabupaten]]+region_summary__43[[#This Row],[REJECTED BY Pengawas]]</f>
        <v>0</v>
      </c>
    </row>
    <row r="591" spans="1:13" x14ac:dyDescent="0.25">
      <c r="A591" s="5" t="s">
        <v>109</v>
      </c>
      <c r="B591">
        <v>7172031001000400</v>
      </c>
      <c r="C591">
        <v>38</v>
      </c>
      <c r="D591">
        <v>0</v>
      </c>
      <c r="E591">
        <v>0</v>
      </c>
      <c r="F591">
        <v>0</v>
      </c>
      <c r="G591">
        <v>38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region_summary__43[[#This Row],[REJECTED BY Admin Kabupaten]]+region_summary__43[[#This Row],[REJECTED BY Pengawas]]</f>
        <v>0</v>
      </c>
    </row>
    <row r="592" spans="1:13" x14ac:dyDescent="0.25">
      <c r="A592" s="5" t="s">
        <v>109</v>
      </c>
      <c r="B592">
        <v>7172031001000300</v>
      </c>
      <c r="C592">
        <v>35</v>
      </c>
      <c r="D592">
        <v>15</v>
      </c>
      <c r="E592">
        <v>9</v>
      </c>
      <c r="F592">
        <v>0</v>
      </c>
      <c r="G592">
        <v>9</v>
      </c>
      <c r="H592">
        <v>0</v>
      </c>
      <c r="I592">
        <v>1</v>
      </c>
      <c r="J592">
        <v>0</v>
      </c>
      <c r="K592">
        <v>1</v>
      </c>
      <c r="L592">
        <v>0</v>
      </c>
      <c r="M592">
        <f>region_summary__43[[#This Row],[REJECTED BY Admin Kabupaten]]+region_summary__43[[#This Row],[REJECTED BY Pengawas]]</f>
        <v>1</v>
      </c>
    </row>
    <row r="593" spans="1:13" x14ac:dyDescent="0.25">
      <c r="A593" s="5" t="s">
        <v>109</v>
      </c>
      <c r="B593">
        <v>7172031001000900</v>
      </c>
      <c r="C593">
        <v>34</v>
      </c>
      <c r="D593">
        <v>30</v>
      </c>
      <c r="E593">
        <v>2</v>
      </c>
      <c r="F593">
        <v>0</v>
      </c>
      <c r="G593">
        <v>1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region_summary__43[[#This Row],[REJECTED BY Admin Kabupaten]]+region_summary__43[[#This Row],[REJECTED BY Pengawas]]</f>
        <v>1</v>
      </c>
    </row>
    <row r="594" spans="1:13" x14ac:dyDescent="0.25">
      <c r="A594" s="5" t="s">
        <v>109</v>
      </c>
      <c r="B594">
        <v>7172031001000100</v>
      </c>
      <c r="C594">
        <v>33</v>
      </c>
      <c r="D594">
        <v>29</v>
      </c>
      <c r="E594">
        <v>2</v>
      </c>
      <c r="F594">
        <v>0</v>
      </c>
      <c r="G594">
        <v>2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region_summary__43[[#This Row],[REJECTED BY Admin Kabupaten]]+region_summary__43[[#This Row],[REJECTED BY Pengawas]]</f>
        <v>0</v>
      </c>
    </row>
    <row r="595" spans="1:13" x14ac:dyDescent="0.25">
      <c r="A595" s="5" t="s">
        <v>113</v>
      </c>
      <c r="B595">
        <v>7172031005001800</v>
      </c>
      <c r="C595">
        <v>134</v>
      </c>
      <c r="D595">
        <v>69</v>
      </c>
      <c r="E595">
        <v>25</v>
      </c>
      <c r="F595">
        <v>0</v>
      </c>
      <c r="G595">
        <v>21</v>
      </c>
      <c r="H595">
        <v>0</v>
      </c>
      <c r="I595">
        <v>3</v>
      </c>
      <c r="J595">
        <v>1</v>
      </c>
      <c r="K595">
        <v>15</v>
      </c>
      <c r="L595">
        <v>0</v>
      </c>
      <c r="M595">
        <f>region_summary__43[[#This Row],[REJECTED BY Admin Kabupaten]]+region_summary__43[[#This Row],[REJECTED BY Pengawas]]</f>
        <v>3</v>
      </c>
    </row>
    <row r="596" spans="1:13" x14ac:dyDescent="0.25">
      <c r="A596" s="5" t="s">
        <v>113</v>
      </c>
      <c r="B596">
        <v>7172031002001200</v>
      </c>
      <c r="C596">
        <v>99</v>
      </c>
      <c r="D596">
        <v>0</v>
      </c>
      <c r="E596">
        <v>0</v>
      </c>
      <c r="F596">
        <v>0</v>
      </c>
      <c r="G596">
        <v>99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region_summary__43[[#This Row],[REJECTED BY Admin Kabupaten]]+region_summary__43[[#This Row],[REJECTED BY Pengawas]]</f>
        <v>0</v>
      </c>
    </row>
    <row r="597" spans="1:13" x14ac:dyDescent="0.25">
      <c r="A597" s="5" t="s">
        <v>113</v>
      </c>
      <c r="B597">
        <v>7172031005001500</v>
      </c>
      <c r="C597">
        <v>82</v>
      </c>
      <c r="D597">
        <v>79</v>
      </c>
      <c r="E597">
        <v>2</v>
      </c>
      <c r="F597">
        <v>0</v>
      </c>
      <c r="G597">
        <v>0</v>
      </c>
      <c r="H597">
        <v>0</v>
      </c>
      <c r="I597">
        <v>1</v>
      </c>
      <c r="J597">
        <v>0</v>
      </c>
      <c r="K597">
        <v>0</v>
      </c>
      <c r="L597">
        <v>0</v>
      </c>
      <c r="M597">
        <f>region_summary__43[[#This Row],[REJECTED BY Admin Kabupaten]]+region_summary__43[[#This Row],[REJECTED BY Pengawas]]</f>
        <v>1</v>
      </c>
    </row>
    <row r="598" spans="1:13" x14ac:dyDescent="0.25">
      <c r="A598" s="5" t="s">
        <v>113</v>
      </c>
      <c r="B598">
        <v>7172031005000800</v>
      </c>
      <c r="C598">
        <v>81</v>
      </c>
      <c r="D598">
        <v>1</v>
      </c>
      <c r="E598">
        <v>0</v>
      </c>
      <c r="F598">
        <v>0</v>
      </c>
      <c r="G598">
        <v>80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region_summary__43[[#This Row],[REJECTED BY Admin Kabupaten]]+region_summary__43[[#This Row],[REJECTED BY Pengawas]]</f>
        <v>0</v>
      </c>
    </row>
    <row r="599" spans="1:13" x14ac:dyDescent="0.25">
      <c r="A599" s="5" t="s">
        <v>113</v>
      </c>
      <c r="B599">
        <v>7172031005001600</v>
      </c>
      <c r="C599">
        <v>78</v>
      </c>
      <c r="D599">
        <v>70</v>
      </c>
      <c r="E599">
        <v>7</v>
      </c>
      <c r="F599">
        <v>1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region_summary__43[[#This Row],[REJECTED BY Admin Kabupaten]]+region_summary__43[[#This Row],[REJECTED BY Pengawas]]</f>
        <v>0</v>
      </c>
    </row>
    <row r="600" spans="1:13" x14ac:dyDescent="0.25">
      <c r="A600" s="5" t="s">
        <v>113</v>
      </c>
      <c r="B600">
        <v>7172031005001300</v>
      </c>
      <c r="C600">
        <v>74</v>
      </c>
      <c r="D600">
        <v>6</v>
      </c>
      <c r="E600">
        <v>0</v>
      </c>
      <c r="F600">
        <v>0</v>
      </c>
      <c r="G600">
        <v>68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region_summary__43[[#This Row],[REJECTED BY Admin Kabupaten]]+region_summary__43[[#This Row],[REJECTED BY Pengawas]]</f>
        <v>0</v>
      </c>
    </row>
    <row r="601" spans="1:13" x14ac:dyDescent="0.25">
      <c r="A601" s="5" t="s">
        <v>113</v>
      </c>
      <c r="B601">
        <v>7172031005001400</v>
      </c>
      <c r="C601">
        <v>69</v>
      </c>
      <c r="D601">
        <v>67</v>
      </c>
      <c r="E601">
        <v>0</v>
      </c>
      <c r="F601">
        <v>0</v>
      </c>
      <c r="G601">
        <v>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region_summary__43[[#This Row],[REJECTED BY Admin Kabupaten]]+region_summary__43[[#This Row],[REJECTED BY Pengawas]]</f>
        <v>0</v>
      </c>
    </row>
    <row r="602" spans="1:13" x14ac:dyDescent="0.25">
      <c r="A602" s="5" t="s">
        <v>113</v>
      </c>
      <c r="B602">
        <v>7172031003000100</v>
      </c>
      <c r="C602">
        <v>51</v>
      </c>
      <c r="D602">
        <v>0</v>
      </c>
      <c r="E602">
        <v>0</v>
      </c>
      <c r="F602">
        <v>0</v>
      </c>
      <c r="G602">
        <v>51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region_summary__43[[#This Row],[REJECTED BY Admin Kabupaten]]+region_summary__43[[#This Row],[REJECTED BY Pengawas]]</f>
        <v>0</v>
      </c>
    </row>
    <row r="603" spans="1:13" x14ac:dyDescent="0.25">
      <c r="A603" s="5" t="s">
        <v>114</v>
      </c>
      <c r="B603">
        <v>7172031003001300</v>
      </c>
      <c r="C603">
        <v>85</v>
      </c>
      <c r="D603">
        <v>78</v>
      </c>
      <c r="E603">
        <v>1</v>
      </c>
      <c r="F603">
        <v>6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region_summary__43[[#This Row],[REJECTED BY Admin Kabupaten]]+region_summary__43[[#This Row],[REJECTED BY Pengawas]]</f>
        <v>0</v>
      </c>
    </row>
    <row r="604" spans="1:13" x14ac:dyDescent="0.25">
      <c r="A604" s="5" t="s">
        <v>114</v>
      </c>
      <c r="B604">
        <v>7172031003001000</v>
      </c>
      <c r="C604">
        <v>73</v>
      </c>
      <c r="D604">
        <v>57</v>
      </c>
      <c r="E604">
        <v>0</v>
      </c>
      <c r="F604">
        <v>11</v>
      </c>
      <c r="G604">
        <v>4</v>
      </c>
      <c r="H604">
        <v>0</v>
      </c>
      <c r="I604">
        <v>0</v>
      </c>
      <c r="J604">
        <v>1</v>
      </c>
      <c r="K604">
        <v>0</v>
      </c>
      <c r="L604">
        <v>0</v>
      </c>
      <c r="M604">
        <f>region_summary__43[[#This Row],[REJECTED BY Admin Kabupaten]]+region_summary__43[[#This Row],[REJECTED BY Pengawas]]</f>
        <v>0</v>
      </c>
    </row>
    <row r="605" spans="1:13" x14ac:dyDescent="0.25">
      <c r="A605" s="5" t="s">
        <v>114</v>
      </c>
      <c r="B605">
        <v>7172031003000500</v>
      </c>
      <c r="C605">
        <v>67</v>
      </c>
      <c r="D605">
        <v>16</v>
      </c>
      <c r="E605">
        <v>0</v>
      </c>
      <c r="F605">
        <v>0</v>
      </c>
      <c r="G605">
        <v>51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region_summary__43[[#This Row],[REJECTED BY Admin Kabupaten]]+region_summary__43[[#This Row],[REJECTED BY Pengawas]]</f>
        <v>0</v>
      </c>
    </row>
    <row r="606" spans="1:13" x14ac:dyDescent="0.25">
      <c r="A606" s="5" t="s">
        <v>114</v>
      </c>
      <c r="B606">
        <v>7172031003001600</v>
      </c>
      <c r="C606">
        <v>65</v>
      </c>
      <c r="D606">
        <v>0</v>
      </c>
      <c r="E606">
        <v>0</v>
      </c>
      <c r="F606">
        <v>0</v>
      </c>
      <c r="G606">
        <v>65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region_summary__43[[#This Row],[REJECTED BY Admin Kabupaten]]+region_summary__43[[#This Row],[REJECTED BY Pengawas]]</f>
        <v>0</v>
      </c>
    </row>
    <row r="607" spans="1:13" x14ac:dyDescent="0.25">
      <c r="A607" s="5" t="s">
        <v>114</v>
      </c>
      <c r="B607">
        <v>7172031003000900</v>
      </c>
      <c r="C607">
        <v>59</v>
      </c>
      <c r="D607">
        <v>49</v>
      </c>
      <c r="E607">
        <v>0</v>
      </c>
      <c r="F607">
        <v>10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region_summary__43[[#This Row],[REJECTED BY Admin Kabupaten]]+region_summary__43[[#This Row],[REJECTED BY Pengawas]]</f>
        <v>0</v>
      </c>
    </row>
    <row r="608" spans="1:13" x14ac:dyDescent="0.25">
      <c r="A608" s="5" t="s">
        <v>114</v>
      </c>
      <c r="B608">
        <v>7172031003000800</v>
      </c>
      <c r="C608">
        <v>57</v>
      </c>
      <c r="D608">
        <v>16</v>
      </c>
      <c r="E608">
        <v>0</v>
      </c>
      <c r="F608">
        <v>0</v>
      </c>
      <c r="G608">
        <v>41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region_summary__43[[#This Row],[REJECTED BY Admin Kabupaten]]+region_summary__43[[#This Row],[REJECTED BY Pengawas]]</f>
        <v>0</v>
      </c>
    </row>
    <row r="609" spans="1:13" x14ac:dyDescent="0.25">
      <c r="A609" s="5" t="s">
        <v>114</v>
      </c>
      <c r="B609">
        <v>7172031003000600</v>
      </c>
      <c r="C609">
        <v>43</v>
      </c>
      <c r="D609">
        <v>10</v>
      </c>
      <c r="E609">
        <v>0</v>
      </c>
      <c r="F609">
        <v>0</v>
      </c>
      <c r="G609">
        <v>32</v>
      </c>
      <c r="H609">
        <v>0</v>
      </c>
      <c r="I609">
        <v>0</v>
      </c>
      <c r="J609">
        <v>0</v>
      </c>
      <c r="K609">
        <v>1</v>
      </c>
      <c r="L609">
        <v>0</v>
      </c>
      <c r="M609">
        <f>region_summary__43[[#This Row],[REJECTED BY Admin Kabupaten]]+region_summary__43[[#This Row],[REJECTED BY Pengawas]]</f>
        <v>0</v>
      </c>
    </row>
    <row r="610" spans="1:13" x14ac:dyDescent="0.25">
      <c r="A610" s="5" t="s">
        <v>114</v>
      </c>
      <c r="B610">
        <v>7172031003001500</v>
      </c>
      <c r="C610">
        <v>42</v>
      </c>
      <c r="D610">
        <v>0</v>
      </c>
      <c r="E610">
        <v>0</v>
      </c>
      <c r="F610">
        <v>0</v>
      </c>
      <c r="G610">
        <v>42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region_summary__43[[#This Row],[REJECTED BY Admin Kabupaten]]+region_summary__43[[#This Row],[REJECTED BY Pengawas]]</f>
        <v>0</v>
      </c>
    </row>
    <row r="611" spans="1:13" x14ac:dyDescent="0.25">
      <c r="A611" s="5" t="s">
        <v>114</v>
      </c>
      <c r="B611">
        <v>7172031003000700</v>
      </c>
      <c r="C611">
        <v>40</v>
      </c>
      <c r="D611">
        <v>6</v>
      </c>
      <c r="E611">
        <v>0</v>
      </c>
      <c r="F611">
        <v>0</v>
      </c>
      <c r="G611">
        <v>34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region_summary__43[[#This Row],[REJECTED BY Admin Kabupaten]]+region_summary__43[[#This Row],[REJECTED BY Pengawas]]</f>
        <v>0</v>
      </c>
    </row>
    <row r="612" spans="1:13" x14ac:dyDescent="0.25">
      <c r="A612" s="5" t="s">
        <v>114</v>
      </c>
      <c r="B612">
        <v>7172031003001100</v>
      </c>
      <c r="C612">
        <v>40</v>
      </c>
      <c r="D612">
        <v>32</v>
      </c>
      <c r="E612">
        <v>3</v>
      </c>
      <c r="F612">
        <v>3</v>
      </c>
      <c r="G612">
        <v>2</v>
      </c>
      <c r="H612">
        <v>0</v>
      </c>
      <c r="I612">
        <v>0</v>
      </c>
      <c r="J612">
        <v>0</v>
      </c>
      <c r="K612">
        <v>0</v>
      </c>
      <c r="L612">
        <v>0</v>
      </c>
      <c r="M612">
        <f>region_summary__43[[#This Row],[REJECTED BY Admin Kabupaten]]+region_summary__43[[#This Row],[REJECTED BY Pengawas]]</f>
        <v>0</v>
      </c>
    </row>
    <row r="613" spans="1:13" x14ac:dyDescent="0.25">
      <c r="A613" s="5" t="s">
        <v>114</v>
      </c>
      <c r="B613">
        <v>7172031003000300</v>
      </c>
      <c r="C613">
        <v>39</v>
      </c>
      <c r="D613">
        <v>0</v>
      </c>
      <c r="E613">
        <v>0</v>
      </c>
      <c r="F613">
        <v>0</v>
      </c>
      <c r="G613">
        <v>39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region_summary__43[[#This Row],[REJECTED BY Admin Kabupaten]]+region_summary__43[[#This Row],[REJECTED BY Pengawas]]</f>
        <v>0</v>
      </c>
    </row>
    <row r="614" spans="1:13" x14ac:dyDescent="0.25">
      <c r="A614" s="5" t="s">
        <v>114</v>
      </c>
      <c r="B614">
        <v>7172031003000400</v>
      </c>
      <c r="C614">
        <v>38</v>
      </c>
      <c r="D614">
        <v>16</v>
      </c>
      <c r="E614">
        <v>1</v>
      </c>
      <c r="F614">
        <v>0</v>
      </c>
      <c r="G614">
        <v>21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region_summary__43[[#This Row],[REJECTED BY Admin Kabupaten]]+region_summary__43[[#This Row],[REJECTED BY Pengawas]]</f>
        <v>0</v>
      </c>
    </row>
    <row r="615" spans="1:13" x14ac:dyDescent="0.25">
      <c r="A615" s="5" t="s">
        <v>114</v>
      </c>
      <c r="B615">
        <v>7172031003001200</v>
      </c>
      <c r="C615">
        <v>33</v>
      </c>
      <c r="D615">
        <v>22</v>
      </c>
      <c r="E615">
        <v>1</v>
      </c>
      <c r="F615">
        <v>0</v>
      </c>
      <c r="G615">
        <v>10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region_summary__43[[#This Row],[REJECTED BY Admin Kabupaten]]+region_summary__43[[#This Row],[REJECTED BY Pengawas]]</f>
        <v>0</v>
      </c>
    </row>
    <row r="616" spans="1:13" x14ac:dyDescent="0.25">
      <c r="A616" s="5" t="s">
        <v>119</v>
      </c>
      <c r="B616">
        <v>7172031005000400</v>
      </c>
      <c r="C616">
        <v>85</v>
      </c>
      <c r="D616">
        <v>56</v>
      </c>
      <c r="E616">
        <v>1</v>
      </c>
      <c r="F616">
        <v>8</v>
      </c>
      <c r="G616">
        <v>13</v>
      </c>
      <c r="H616">
        <v>0</v>
      </c>
      <c r="I616">
        <v>7</v>
      </c>
      <c r="J616">
        <v>0</v>
      </c>
      <c r="K616">
        <v>0</v>
      </c>
      <c r="L616">
        <v>0</v>
      </c>
      <c r="M616">
        <f>region_summary__43[[#This Row],[REJECTED BY Admin Kabupaten]]+region_summary__43[[#This Row],[REJECTED BY Pengawas]]</f>
        <v>7</v>
      </c>
    </row>
    <row r="617" spans="1:13" x14ac:dyDescent="0.25">
      <c r="A617" s="5" t="s">
        <v>119</v>
      </c>
      <c r="B617">
        <v>7172031005000500</v>
      </c>
      <c r="C617">
        <v>84</v>
      </c>
      <c r="D617">
        <v>21</v>
      </c>
      <c r="E617">
        <v>0</v>
      </c>
      <c r="F617">
        <v>2</v>
      </c>
      <c r="G617">
        <v>36</v>
      </c>
      <c r="H617">
        <v>0</v>
      </c>
      <c r="I617">
        <v>25</v>
      </c>
      <c r="J617">
        <v>0</v>
      </c>
      <c r="K617">
        <v>0</v>
      </c>
      <c r="L617">
        <v>0</v>
      </c>
      <c r="M617">
        <f>region_summary__43[[#This Row],[REJECTED BY Admin Kabupaten]]+region_summary__43[[#This Row],[REJECTED BY Pengawas]]</f>
        <v>25</v>
      </c>
    </row>
    <row r="618" spans="1:13" x14ac:dyDescent="0.25">
      <c r="A618" s="5" t="s">
        <v>119</v>
      </c>
      <c r="B618">
        <v>7172031005001200</v>
      </c>
      <c r="C618">
        <v>73</v>
      </c>
      <c r="D618">
        <v>16</v>
      </c>
      <c r="E618">
        <v>0</v>
      </c>
      <c r="F618">
        <v>0</v>
      </c>
      <c r="G618">
        <v>57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region_summary__43[[#This Row],[REJECTED BY Admin Kabupaten]]+region_summary__43[[#This Row],[REJECTED BY Pengawas]]</f>
        <v>0</v>
      </c>
    </row>
    <row r="619" spans="1:13" x14ac:dyDescent="0.25">
      <c r="A619" s="5" t="s">
        <v>119</v>
      </c>
      <c r="B619">
        <v>7172031005000900</v>
      </c>
      <c r="C619">
        <v>60</v>
      </c>
      <c r="D619">
        <v>9</v>
      </c>
      <c r="E619">
        <v>0</v>
      </c>
      <c r="F619">
        <v>1</v>
      </c>
      <c r="G619">
        <v>50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region_summary__43[[#This Row],[REJECTED BY Admin Kabupaten]]+region_summary__43[[#This Row],[REJECTED BY Pengawas]]</f>
        <v>0</v>
      </c>
    </row>
    <row r="620" spans="1:13" x14ac:dyDescent="0.25">
      <c r="A620" s="5" t="s">
        <v>119</v>
      </c>
      <c r="B620">
        <v>7172031005000300</v>
      </c>
      <c r="C620">
        <v>53</v>
      </c>
      <c r="D620">
        <v>36</v>
      </c>
      <c r="E620">
        <v>5</v>
      </c>
      <c r="F620">
        <v>9</v>
      </c>
      <c r="G620">
        <v>3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region_summary__43[[#This Row],[REJECTED BY Admin Kabupaten]]+region_summary__43[[#This Row],[REJECTED BY Pengawas]]</f>
        <v>0</v>
      </c>
    </row>
    <row r="621" spans="1:13" x14ac:dyDescent="0.25">
      <c r="A621" s="5" t="s">
        <v>119</v>
      </c>
      <c r="B621">
        <v>7172031005000700</v>
      </c>
      <c r="C621">
        <v>50</v>
      </c>
      <c r="D621">
        <v>9</v>
      </c>
      <c r="E621">
        <v>0</v>
      </c>
      <c r="F621">
        <v>0</v>
      </c>
      <c r="G621">
        <v>41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region_summary__43[[#This Row],[REJECTED BY Admin Kabupaten]]+region_summary__43[[#This Row],[REJECTED BY Pengawas]]</f>
        <v>0</v>
      </c>
    </row>
    <row r="622" spans="1:13" x14ac:dyDescent="0.25">
      <c r="A622" s="5" t="s">
        <v>119</v>
      </c>
      <c r="B622">
        <v>7172031005000200</v>
      </c>
      <c r="C622">
        <v>48</v>
      </c>
      <c r="D622">
        <v>30</v>
      </c>
      <c r="E622">
        <v>0</v>
      </c>
      <c r="F622">
        <v>5</v>
      </c>
      <c r="G622">
        <v>12</v>
      </c>
      <c r="H622">
        <v>0</v>
      </c>
      <c r="I622">
        <v>0</v>
      </c>
      <c r="J622">
        <v>0</v>
      </c>
      <c r="K622">
        <v>1</v>
      </c>
      <c r="L622">
        <v>0</v>
      </c>
      <c r="M622">
        <f>region_summary__43[[#This Row],[REJECTED BY Admin Kabupaten]]+region_summary__43[[#This Row],[REJECTED BY Pengawas]]</f>
        <v>0</v>
      </c>
    </row>
    <row r="623" spans="1:13" x14ac:dyDescent="0.25">
      <c r="A623" s="5" t="s">
        <v>119</v>
      </c>
      <c r="B623">
        <v>7172031005000600</v>
      </c>
      <c r="C623">
        <v>47</v>
      </c>
      <c r="D623">
        <v>20</v>
      </c>
      <c r="E623">
        <v>1</v>
      </c>
      <c r="F623">
        <v>6</v>
      </c>
      <c r="G623">
        <v>19</v>
      </c>
      <c r="H623">
        <v>0</v>
      </c>
      <c r="I623">
        <v>0</v>
      </c>
      <c r="J623">
        <v>0</v>
      </c>
      <c r="K623">
        <v>1</v>
      </c>
      <c r="L623">
        <v>0</v>
      </c>
      <c r="M623">
        <f>region_summary__43[[#This Row],[REJECTED BY Admin Kabupaten]]+region_summary__43[[#This Row],[REJECTED BY Pengawas]]</f>
        <v>0</v>
      </c>
    </row>
    <row r="624" spans="1:13" x14ac:dyDescent="0.25">
      <c r="A624" s="5" t="s">
        <v>119</v>
      </c>
      <c r="B624">
        <v>7172031005001700</v>
      </c>
      <c r="C624">
        <v>45</v>
      </c>
      <c r="D624">
        <v>8</v>
      </c>
      <c r="E624">
        <v>0</v>
      </c>
      <c r="F624">
        <v>0</v>
      </c>
      <c r="G624">
        <v>37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region_summary__43[[#This Row],[REJECTED BY Admin Kabupaten]]+region_summary__43[[#This Row],[REJECTED BY Pengawas]]</f>
        <v>0</v>
      </c>
    </row>
    <row r="625" spans="1:13" x14ac:dyDescent="0.25">
      <c r="A625" s="5" t="s">
        <v>119</v>
      </c>
      <c r="B625">
        <v>7172031005001000</v>
      </c>
      <c r="C625">
        <v>41</v>
      </c>
      <c r="D625">
        <v>8</v>
      </c>
      <c r="E625">
        <v>0</v>
      </c>
      <c r="F625">
        <v>0</v>
      </c>
      <c r="G625">
        <v>33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region_summary__43[[#This Row],[REJECTED BY Admin Kabupaten]]+region_summary__43[[#This Row],[REJECTED BY Pengawas]]</f>
        <v>0</v>
      </c>
    </row>
    <row r="626" spans="1:13" x14ac:dyDescent="0.25">
      <c r="A626" s="5" t="s">
        <v>119</v>
      </c>
      <c r="B626">
        <v>7172031005000100</v>
      </c>
      <c r="C626">
        <v>32</v>
      </c>
      <c r="D626">
        <v>21</v>
      </c>
      <c r="E626">
        <v>2</v>
      </c>
      <c r="F626">
        <v>7</v>
      </c>
      <c r="G626">
        <v>2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region_summary__43[[#This Row],[REJECTED BY Admin Kabupaten]]+region_summary__43[[#This Row],[REJECTED BY Pengawas]]</f>
        <v>0</v>
      </c>
    </row>
    <row r="627" spans="1:13" x14ac:dyDescent="0.25">
      <c r="A627" s="5" t="s">
        <v>119</v>
      </c>
      <c r="B627">
        <v>7172031005001100</v>
      </c>
      <c r="C627">
        <v>31</v>
      </c>
      <c r="D627">
        <v>6</v>
      </c>
      <c r="E627">
        <v>0</v>
      </c>
      <c r="F627">
        <v>0</v>
      </c>
      <c r="G627">
        <v>25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region_summary__43[[#This Row],[REJECTED BY Admin Kabupaten]]+region_summary__43[[#This Row],[REJECTED BY Pengawas]]</f>
        <v>0</v>
      </c>
    </row>
    <row r="628" spans="1:13" x14ac:dyDescent="0.25">
      <c r="A628" s="5" t="s">
        <v>121</v>
      </c>
      <c r="B628">
        <v>7172031006001100</v>
      </c>
      <c r="C628">
        <v>209</v>
      </c>
      <c r="D628">
        <v>176</v>
      </c>
      <c r="E628">
        <v>3</v>
      </c>
      <c r="F628">
        <v>12</v>
      </c>
      <c r="G628">
        <v>6</v>
      </c>
      <c r="H628">
        <v>0</v>
      </c>
      <c r="I628">
        <v>10</v>
      </c>
      <c r="J628">
        <v>0</v>
      </c>
      <c r="K628">
        <v>2</v>
      </c>
      <c r="L628">
        <v>0</v>
      </c>
      <c r="M628">
        <f>region_summary__43[[#This Row],[REJECTED BY Admin Kabupaten]]+region_summary__43[[#This Row],[REJECTED BY Pengawas]]</f>
        <v>10</v>
      </c>
    </row>
    <row r="629" spans="1:13" x14ac:dyDescent="0.25">
      <c r="A629" s="5" t="s">
        <v>121</v>
      </c>
      <c r="B629">
        <v>7172031006000500</v>
      </c>
      <c r="C629">
        <v>199</v>
      </c>
      <c r="D629">
        <v>8</v>
      </c>
      <c r="E629">
        <v>28</v>
      </c>
      <c r="F629">
        <v>0</v>
      </c>
      <c r="G629">
        <v>154</v>
      </c>
      <c r="H629">
        <v>0</v>
      </c>
      <c r="I629">
        <v>0</v>
      </c>
      <c r="J629">
        <v>0</v>
      </c>
      <c r="K629">
        <v>9</v>
      </c>
      <c r="L629">
        <v>0</v>
      </c>
      <c r="M629">
        <f>region_summary__43[[#This Row],[REJECTED BY Admin Kabupaten]]+region_summary__43[[#This Row],[REJECTED BY Pengawas]]</f>
        <v>0</v>
      </c>
    </row>
    <row r="630" spans="1:13" x14ac:dyDescent="0.25">
      <c r="A630" s="5" t="s">
        <v>121</v>
      </c>
      <c r="B630">
        <v>7172031006000600</v>
      </c>
      <c r="C630">
        <v>127</v>
      </c>
      <c r="D630">
        <v>104</v>
      </c>
      <c r="E630">
        <v>6</v>
      </c>
      <c r="F630">
        <v>2</v>
      </c>
      <c r="G630">
        <v>10</v>
      </c>
      <c r="H630">
        <v>0</v>
      </c>
      <c r="I630">
        <v>1</v>
      </c>
      <c r="J630">
        <v>0</v>
      </c>
      <c r="K630">
        <v>4</v>
      </c>
      <c r="L630">
        <v>0</v>
      </c>
      <c r="M630">
        <f>region_summary__43[[#This Row],[REJECTED BY Admin Kabupaten]]+region_summary__43[[#This Row],[REJECTED BY Pengawas]]</f>
        <v>1</v>
      </c>
    </row>
    <row r="631" spans="1:13" x14ac:dyDescent="0.25">
      <c r="A631" s="5" t="s">
        <v>121</v>
      </c>
      <c r="B631">
        <v>7172031007002600</v>
      </c>
      <c r="C631">
        <v>72</v>
      </c>
      <c r="D631">
        <v>0</v>
      </c>
      <c r="E631">
        <v>0</v>
      </c>
      <c r="F631">
        <v>0</v>
      </c>
      <c r="G631">
        <v>72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region_summary__43[[#This Row],[REJECTED BY Admin Kabupaten]]+region_summary__43[[#This Row],[REJECTED BY Pengawas]]</f>
        <v>0</v>
      </c>
    </row>
    <row r="632" spans="1:13" x14ac:dyDescent="0.25">
      <c r="A632" s="5" t="s">
        <v>121</v>
      </c>
      <c r="B632">
        <v>7172031007002900</v>
      </c>
      <c r="C632">
        <v>61</v>
      </c>
      <c r="D632">
        <v>0</v>
      </c>
      <c r="E632">
        <v>0</v>
      </c>
      <c r="F632">
        <v>0</v>
      </c>
      <c r="G632">
        <v>61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region_summary__43[[#This Row],[REJECTED BY Admin Kabupaten]]+region_summary__43[[#This Row],[REJECTED BY Pengawas]]</f>
        <v>0</v>
      </c>
    </row>
    <row r="633" spans="1:13" x14ac:dyDescent="0.25">
      <c r="A633" s="5" t="s">
        <v>125</v>
      </c>
      <c r="B633">
        <v>7172031007000100</v>
      </c>
      <c r="C633">
        <v>154</v>
      </c>
      <c r="D633">
        <v>0</v>
      </c>
      <c r="E633">
        <v>0</v>
      </c>
      <c r="F633">
        <v>0</v>
      </c>
      <c r="G633">
        <v>154</v>
      </c>
      <c r="H633">
        <v>0</v>
      </c>
      <c r="I633">
        <v>0</v>
      </c>
      <c r="J633">
        <v>0</v>
      </c>
      <c r="K633">
        <v>0</v>
      </c>
      <c r="L633">
        <v>0</v>
      </c>
      <c r="M633">
        <f>region_summary__43[[#This Row],[REJECTED BY Admin Kabupaten]]+region_summary__43[[#This Row],[REJECTED BY Pengawas]]</f>
        <v>0</v>
      </c>
    </row>
    <row r="634" spans="1:13" x14ac:dyDescent="0.25">
      <c r="A634" s="5" t="s">
        <v>125</v>
      </c>
      <c r="B634">
        <v>7172031007000800</v>
      </c>
      <c r="C634">
        <v>133</v>
      </c>
      <c r="D634">
        <v>107</v>
      </c>
      <c r="E634">
        <v>4</v>
      </c>
      <c r="F634">
        <v>0</v>
      </c>
      <c r="G634">
        <v>14</v>
      </c>
      <c r="H634">
        <v>0</v>
      </c>
      <c r="I634">
        <v>8</v>
      </c>
      <c r="J634">
        <v>0</v>
      </c>
      <c r="K634">
        <v>0</v>
      </c>
      <c r="L634">
        <v>0</v>
      </c>
      <c r="M634">
        <f>region_summary__43[[#This Row],[REJECTED BY Admin Kabupaten]]+region_summary__43[[#This Row],[REJECTED BY Pengawas]]</f>
        <v>8</v>
      </c>
    </row>
    <row r="635" spans="1:13" x14ac:dyDescent="0.25">
      <c r="A635" s="5" t="s">
        <v>125</v>
      </c>
      <c r="B635">
        <v>7172031007000400</v>
      </c>
      <c r="C635">
        <v>104</v>
      </c>
      <c r="D635">
        <v>29</v>
      </c>
      <c r="E635">
        <v>15</v>
      </c>
      <c r="F635">
        <v>0</v>
      </c>
      <c r="G635">
        <v>26</v>
      </c>
      <c r="H635">
        <v>0</v>
      </c>
      <c r="I635">
        <v>6</v>
      </c>
      <c r="J635">
        <v>0</v>
      </c>
      <c r="K635">
        <v>28</v>
      </c>
      <c r="L635">
        <v>0</v>
      </c>
      <c r="M635">
        <f>region_summary__43[[#This Row],[REJECTED BY Admin Kabupaten]]+region_summary__43[[#This Row],[REJECTED BY Pengawas]]</f>
        <v>6</v>
      </c>
    </row>
    <row r="636" spans="1:13" x14ac:dyDescent="0.25">
      <c r="A636" s="5" t="s">
        <v>125</v>
      </c>
      <c r="B636">
        <v>7172031007000500</v>
      </c>
      <c r="C636">
        <v>104</v>
      </c>
      <c r="D636">
        <v>83</v>
      </c>
      <c r="E636">
        <v>12</v>
      </c>
      <c r="F636">
        <v>1</v>
      </c>
      <c r="G636">
        <v>0</v>
      </c>
      <c r="H636">
        <v>0</v>
      </c>
      <c r="I636">
        <v>4</v>
      </c>
      <c r="J636">
        <v>0</v>
      </c>
      <c r="K636">
        <v>4</v>
      </c>
      <c r="L636">
        <v>0</v>
      </c>
      <c r="M636">
        <f>region_summary__43[[#This Row],[REJECTED BY Admin Kabupaten]]+region_summary__43[[#This Row],[REJECTED BY Pengawas]]</f>
        <v>4</v>
      </c>
    </row>
    <row r="637" spans="1:13" x14ac:dyDescent="0.25">
      <c r="A637" s="5" t="s">
        <v>125</v>
      </c>
      <c r="B637">
        <v>7172031007000200</v>
      </c>
      <c r="C637">
        <v>99</v>
      </c>
      <c r="D637">
        <v>0</v>
      </c>
      <c r="E637">
        <v>0</v>
      </c>
      <c r="F637">
        <v>0</v>
      </c>
      <c r="G637">
        <v>99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region_summary__43[[#This Row],[REJECTED BY Admin Kabupaten]]+region_summary__43[[#This Row],[REJECTED BY Pengawas]]</f>
        <v>0</v>
      </c>
    </row>
    <row r="638" spans="1:13" x14ac:dyDescent="0.25">
      <c r="A638" s="5" t="s">
        <v>125</v>
      </c>
      <c r="B638">
        <v>7172031007002500</v>
      </c>
      <c r="C638">
        <v>86</v>
      </c>
      <c r="D638">
        <v>76</v>
      </c>
      <c r="E638">
        <v>6</v>
      </c>
      <c r="F638">
        <v>0</v>
      </c>
      <c r="G638">
        <v>4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region_summary__43[[#This Row],[REJECTED BY Admin Kabupaten]]+region_summary__43[[#This Row],[REJECTED BY Pengawas]]</f>
        <v>0</v>
      </c>
    </row>
    <row r="639" spans="1:13" x14ac:dyDescent="0.25">
      <c r="A639" s="5" t="s">
        <v>125</v>
      </c>
      <c r="B639">
        <v>7172031008000400</v>
      </c>
      <c r="C639">
        <v>34</v>
      </c>
      <c r="D639">
        <v>34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region_summary__43[[#This Row],[REJECTED BY Admin Kabupaten]]+region_summary__43[[#This Row],[REJECTED BY Pengawas]]</f>
        <v>0</v>
      </c>
    </row>
    <row r="640" spans="1:13" x14ac:dyDescent="0.25">
      <c r="A640" s="5" t="s">
        <v>123</v>
      </c>
      <c r="B640">
        <v>7172031007002700</v>
      </c>
      <c r="C640">
        <v>182</v>
      </c>
      <c r="D640">
        <v>142</v>
      </c>
      <c r="E640">
        <v>3</v>
      </c>
      <c r="F640">
        <v>35</v>
      </c>
      <c r="G640">
        <v>2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region_summary__43[[#This Row],[REJECTED BY Admin Kabupaten]]+region_summary__43[[#This Row],[REJECTED BY Pengawas]]</f>
        <v>0</v>
      </c>
    </row>
    <row r="641" spans="1:13" x14ac:dyDescent="0.25">
      <c r="A641" s="5" t="s">
        <v>123</v>
      </c>
      <c r="B641">
        <v>7172031006000800</v>
      </c>
      <c r="C641">
        <v>130</v>
      </c>
      <c r="D641">
        <v>25</v>
      </c>
      <c r="E641">
        <v>0</v>
      </c>
      <c r="F641">
        <v>0</v>
      </c>
      <c r="G641">
        <v>105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region_summary__43[[#This Row],[REJECTED BY Admin Kabupaten]]+region_summary__43[[#This Row],[REJECTED BY Pengawas]]</f>
        <v>0</v>
      </c>
    </row>
    <row r="642" spans="1:13" x14ac:dyDescent="0.25">
      <c r="A642" s="5" t="s">
        <v>123</v>
      </c>
      <c r="B642">
        <v>7172031007000300</v>
      </c>
      <c r="C642">
        <v>99</v>
      </c>
      <c r="D642">
        <v>6</v>
      </c>
      <c r="E642">
        <v>0</v>
      </c>
      <c r="F642">
        <v>0</v>
      </c>
      <c r="G642">
        <v>93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region_summary__43[[#This Row],[REJECTED BY Admin Kabupaten]]+region_summary__43[[#This Row],[REJECTED BY Pengawas]]</f>
        <v>0</v>
      </c>
    </row>
    <row r="643" spans="1:13" x14ac:dyDescent="0.25">
      <c r="A643" s="5" t="s">
        <v>123</v>
      </c>
      <c r="B643">
        <v>7172031008000200</v>
      </c>
      <c r="C643">
        <v>89</v>
      </c>
      <c r="D643">
        <v>15</v>
      </c>
      <c r="E643">
        <v>0</v>
      </c>
      <c r="F643">
        <v>0</v>
      </c>
      <c r="G643">
        <v>74</v>
      </c>
      <c r="H643">
        <v>0</v>
      </c>
      <c r="I643">
        <v>0</v>
      </c>
      <c r="J643">
        <v>0</v>
      </c>
      <c r="K643">
        <v>0</v>
      </c>
      <c r="L643">
        <v>0</v>
      </c>
      <c r="M643">
        <f>region_summary__43[[#This Row],[REJECTED BY Admin Kabupaten]]+region_summary__43[[#This Row],[REJECTED BY Pengawas]]</f>
        <v>0</v>
      </c>
    </row>
    <row r="644" spans="1:13" x14ac:dyDescent="0.25">
      <c r="A644" s="5" t="s">
        <v>123</v>
      </c>
      <c r="B644">
        <v>7172031008000100</v>
      </c>
      <c r="C644">
        <v>87</v>
      </c>
      <c r="D644">
        <v>46</v>
      </c>
      <c r="E644">
        <v>3</v>
      </c>
      <c r="F644">
        <v>11</v>
      </c>
      <c r="G644">
        <v>25</v>
      </c>
      <c r="H644">
        <v>0</v>
      </c>
      <c r="I644">
        <v>2</v>
      </c>
      <c r="J644">
        <v>0</v>
      </c>
      <c r="K644">
        <v>0</v>
      </c>
      <c r="L644">
        <v>0</v>
      </c>
      <c r="M644">
        <f>region_summary__43[[#This Row],[REJECTED BY Admin Kabupaten]]+region_summary__43[[#This Row],[REJECTED BY Pengawas]]</f>
        <v>2</v>
      </c>
    </row>
    <row r="645" spans="1:13" x14ac:dyDescent="0.25">
      <c r="A645" s="5" t="s">
        <v>123</v>
      </c>
      <c r="B645">
        <v>7172031007002800</v>
      </c>
      <c r="C645">
        <v>51</v>
      </c>
      <c r="D645">
        <v>16</v>
      </c>
      <c r="E645">
        <v>2</v>
      </c>
      <c r="F645">
        <v>1</v>
      </c>
      <c r="G645">
        <v>32</v>
      </c>
      <c r="H645">
        <v>0</v>
      </c>
      <c r="I645">
        <v>0</v>
      </c>
      <c r="J645">
        <v>0</v>
      </c>
      <c r="K645">
        <v>0</v>
      </c>
      <c r="L645">
        <v>0</v>
      </c>
      <c r="M645">
        <f>region_summary__43[[#This Row],[REJECTED BY Admin Kabupaten]]+region_summary__43[[#This Row],[REJECTED BY Pengawas]]</f>
        <v>0</v>
      </c>
    </row>
    <row r="646" spans="1:13" x14ac:dyDescent="0.25">
      <c r="A646" s="5" t="s">
        <v>126</v>
      </c>
      <c r="B646">
        <v>7172031007000600</v>
      </c>
      <c r="C646">
        <v>185</v>
      </c>
      <c r="D646">
        <v>166</v>
      </c>
      <c r="E646">
        <v>3</v>
      </c>
      <c r="F646">
        <v>0</v>
      </c>
      <c r="G646">
        <v>0</v>
      </c>
      <c r="H646">
        <v>0</v>
      </c>
      <c r="I646">
        <v>11</v>
      </c>
      <c r="J646">
        <v>0</v>
      </c>
      <c r="K646">
        <v>5</v>
      </c>
      <c r="L646">
        <v>0</v>
      </c>
      <c r="M646">
        <f>region_summary__43[[#This Row],[REJECTED BY Admin Kabupaten]]+region_summary__43[[#This Row],[REJECTED BY Pengawas]]</f>
        <v>11</v>
      </c>
    </row>
    <row r="647" spans="1:13" x14ac:dyDescent="0.25">
      <c r="A647" s="5" t="s">
        <v>126</v>
      </c>
      <c r="B647">
        <v>7172031007000700</v>
      </c>
      <c r="C647">
        <v>124</v>
      </c>
      <c r="D647">
        <v>84</v>
      </c>
      <c r="E647">
        <v>14</v>
      </c>
      <c r="F647">
        <v>0</v>
      </c>
      <c r="G647">
        <v>13</v>
      </c>
      <c r="H647">
        <v>0</v>
      </c>
      <c r="I647">
        <v>10</v>
      </c>
      <c r="J647">
        <v>1</v>
      </c>
      <c r="K647">
        <v>2</v>
      </c>
      <c r="L647">
        <v>0</v>
      </c>
      <c r="M647">
        <f>region_summary__43[[#This Row],[REJECTED BY Admin Kabupaten]]+region_summary__43[[#This Row],[REJECTED BY Pengawas]]</f>
        <v>10</v>
      </c>
    </row>
    <row r="648" spans="1:13" x14ac:dyDescent="0.25">
      <c r="A648" s="5" t="s">
        <v>126</v>
      </c>
      <c r="B648">
        <v>7172031007001400</v>
      </c>
      <c r="C648">
        <v>117</v>
      </c>
      <c r="D648">
        <v>0</v>
      </c>
      <c r="E648">
        <v>0</v>
      </c>
      <c r="F648">
        <v>0</v>
      </c>
      <c r="G648">
        <v>117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region_summary__43[[#This Row],[REJECTED BY Admin Kabupaten]]+region_summary__43[[#This Row],[REJECTED BY Pengawas]]</f>
        <v>0</v>
      </c>
    </row>
    <row r="649" spans="1:13" x14ac:dyDescent="0.25">
      <c r="A649" s="5" t="s">
        <v>126</v>
      </c>
      <c r="B649">
        <v>7172031007001300</v>
      </c>
      <c r="C649">
        <v>94</v>
      </c>
      <c r="D649">
        <v>0</v>
      </c>
      <c r="E649">
        <v>0</v>
      </c>
      <c r="F649">
        <v>0</v>
      </c>
      <c r="G649">
        <v>94</v>
      </c>
      <c r="H649">
        <v>0</v>
      </c>
      <c r="I649">
        <v>0</v>
      </c>
      <c r="J649">
        <v>0</v>
      </c>
      <c r="K649">
        <v>0</v>
      </c>
      <c r="L649">
        <v>0</v>
      </c>
      <c r="M649">
        <f>region_summary__43[[#This Row],[REJECTED BY Admin Kabupaten]]+region_summary__43[[#This Row],[REJECTED BY Pengawas]]</f>
        <v>0</v>
      </c>
    </row>
    <row r="650" spans="1:13" x14ac:dyDescent="0.25">
      <c r="A650" s="5" t="s">
        <v>126</v>
      </c>
      <c r="B650">
        <v>7172031007000900</v>
      </c>
      <c r="C650">
        <v>93</v>
      </c>
      <c r="D650">
        <v>3</v>
      </c>
      <c r="E650">
        <v>7</v>
      </c>
      <c r="F650">
        <v>0</v>
      </c>
      <c r="G650">
        <v>83</v>
      </c>
      <c r="H650">
        <v>0</v>
      </c>
      <c r="I650">
        <v>0</v>
      </c>
      <c r="J650">
        <v>0</v>
      </c>
      <c r="K650">
        <v>0</v>
      </c>
      <c r="L650">
        <v>0</v>
      </c>
      <c r="M650">
        <f>region_summary__43[[#This Row],[REJECTED BY Admin Kabupaten]]+region_summary__43[[#This Row],[REJECTED BY Pengawas]]</f>
        <v>0</v>
      </c>
    </row>
    <row r="651" spans="1:13" x14ac:dyDescent="0.25">
      <c r="A651" s="5" t="s">
        <v>126</v>
      </c>
      <c r="B651">
        <v>7172031007001100</v>
      </c>
      <c r="C651">
        <v>54</v>
      </c>
      <c r="D651">
        <v>1</v>
      </c>
      <c r="E651">
        <v>0</v>
      </c>
      <c r="F651">
        <v>0</v>
      </c>
      <c r="G651">
        <v>53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region_summary__43[[#This Row],[REJECTED BY Admin Kabupaten]]+region_summary__43[[#This Row],[REJECTED BY Pengawas]]</f>
        <v>0</v>
      </c>
    </row>
    <row r="652" spans="1:13" x14ac:dyDescent="0.25">
      <c r="A652" s="5" t="s">
        <v>128</v>
      </c>
      <c r="B652">
        <v>7172031007001900</v>
      </c>
      <c r="C652">
        <v>160</v>
      </c>
      <c r="D652">
        <v>117</v>
      </c>
      <c r="E652">
        <v>32</v>
      </c>
      <c r="F652">
        <v>0</v>
      </c>
      <c r="G652">
        <v>2</v>
      </c>
      <c r="H652">
        <v>0</v>
      </c>
      <c r="I652">
        <v>0</v>
      </c>
      <c r="J652">
        <v>3</v>
      </c>
      <c r="K652">
        <v>6</v>
      </c>
      <c r="L652">
        <v>0</v>
      </c>
      <c r="M652">
        <f>region_summary__43[[#This Row],[REJECTED BY Admin Kabupaten]]+region_summary__43[[#This Row],[REJECTED BY Pengawas]]</f>
        <v>0</v>
      </c>
    </row>
    <row r="653" spans="1:13" x14ac:dyDescent="0.25">
      <c r="A653" s="5" t="s">
        <v>128</v>
      </c>
      <c r="B653">
        <v>7172031007002200</v>
      </c>
      <c r="C653">
        <v>120</v>
      </c>
      <c r="D653">
        <v>42</v>
      </c>
      <c r="E653">
        <v>0</v>
      </c>
      <c r="F653">
        <v>0</v>
      </c>
      <c r="G653">
        <v>77</v>
      </c>
      <c r="H653">
        <v>0</v>
      </c>
      <c r="I653">
        <v>0</v>
      </c>
      <c r="J653">
        <v>1</v>
      </c>
      <c r="K653">
        <v>0</v>
      </c>
      <c r="L653">
        <v>0</v>
      </c>
      <c r="M653">
        <f>region_summary__43[[#This Row],[REJECTED BY Admin Kabupaten]]+region_summary__43[[#This Row],[REJECTED BY Pengawas]]</f>
        <v>0</v>
      </c>
    </row>
    <row r="654" spans="1:13" x14ac:dyDescent="0.25">
      <c r="A654" s="5" t="s">
        <v>128</v>
      </c>
      <c r="B654">
        <v>7172031007002100</v>
      </c>
      <c r="C654">
        <v>101</v>
      </c>
      <c r="D654">
        <v>33</v>
      </c>
      <c r="E654">
        <v>1</v>
      </c>
      <c r="F654">
        <v>0</v>
      </c>
      <c r="G654">
        <v>67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region_summary__43[[#This Row],[REJECTED BY Admin Kabupaten]]+region_summary__43[[#This Row],[REJECTED BY Pengawas]]</f>
        <v>0</v>
      </c>
    </row>
    <row r="655" spans="1:13" x14ac:dyDescent="0.25">
      <c r="A655" s="5" t="s">
        <v>128</v>
      </c>
      <c r="B655">
        <v>7172031007001500</v>
      </c>
      <c r="C655">
        <v>92</v>
      </c>
      <c r="D655">
        <v>89</v>
      </c>
      <c r="E655">
        <v>1</v>
      </c>
      <c r="F655">
        <v>1</v>
      </c>
      <c r="G655">
        <v>0</v>
      </c>
      <c r="H655">
        <v>0</v>
      </c>
      <c r="I655">
        <v>0</v>
      </c>
      <c r="J655">
        <v>1</v>
      </c>
      <c r="K655">
        <v>0</v>
      </c>
      <c r="L655">
        <v>0</v>
      </c>
      <c r="M655">
        <f>region_summary__43[[#This Row],[REJECTED BY Admin Kabupaten]]+region_summary__43[[#This Row],[REJECTED BY Pengawas]]</f>
        <v>0</v>
      </c>
    </row>
    <row r="656" spans="1:13" x14ac:dyDescent="0.25">
      <c r="A656" s="5" t="s">
        <v>128</v>
      </c>
      <c r="B656">
        <v>7172031007002400</v>
      </c>
      <c r="C656">
        <v>88</v>
      </c>
      <c r="D656">
        <v>13</v>
      </c>
      <c r="E656">
        <v>9</v>
      </c>
      <c r="F656">
        <v>0</v>
      </c>
      <c r="G656">
        <v>47</v>
      </c>
      <c r="H656">
        <v>0</v>
      </c>
      <c r="I656">
        <v>0</v>
      </c>
      <c r="J656">
        <v>0</v>
      </c>
      <c r="K656">
        <v>19</v>
      </c>
      <c r="L656">
        <v>0</v>
      </c>
      <c r="M656">
        <f>region_summary__43[[#This Row],[REJECTED BY Admin Kabupaten]]+region_summary__43[[#This Row],[REJECTED BY Pengawas]]</f>
        <v>0</v>
      </c>
    </row>
    <row r="657" spans="1:13" x14ac:dyDescent="0.25">
      <c r="A657" s="5" t="s">
        <v>128</v>
      </c>
      <c r="B657">
        <v>7172031007002300</v>
      </c>
      <c r="C657">
        <v>72</v>
      </c>
      <c r="D657">
        <v>0</v>
      </c>
      <c r="E657">
        <v>0</v>
      </c>
      <c r="F657">
        <v>0</v>
      </c>
      <c r="G657">
        <v>59</v>
      </c>
      <c r="H657">
        <v>0</v>
      </c>
      <c r="I657">
        <v>0</v>
      </c>
      <c r="J657">
        <v>0</v>
      </c>
      <c r="K657">
        <v>13</v>
      </c>
      <c r="L657">
        <v>0</v>
      </c>
      <c r="M657">
        <f>region_summary__43[[#This Row],[REJECTED BY Admin Kabupaten]]+region_summary__43[[#This Row],[REJECTED BY Pengawas]]</f>
        <v>0</v>
      </c>
    </row>
    <row r="658" spans="1:13" x14ac:dyDescent="0.25">
      <c r="A658" s="5" t="s">
        <v>131</v>
      </c>
      <c r="B658">
        <v>7172040007000300</v>
      </c>
      <c r="C658">
        <v>100</v>
      </c>
      <c r="D658">
        <v>98</v>
      </c>
      <c r="E658">
        <v>0</v>
      </c>
      <c r="F658">
        <v>0</v>
      </c>
      <c r="G658">
        <v>1</v>
      </c>
      <c r="H658">
        <v>0</v>
      </c>
      <c r="I658">
        <v>0</v>
      </c>
      <c r="J658">
        <v>1</v>
      </c>
      <c r="K658">
        <v>0</v>
      </c>
      <c r="L658">
        <v>0</v>
      </c>
      <c r="M658">
        <f>region_summary__43[[#This Row],[REJECTED BY Admin Kabupaten]]+region_summary__43[[#This Row],[REJECTED BY Pengawas]]</f>
        <v>0</v>
      </c>
    </row>
    <row r="659" spans="1:13" x14ac:dyDescent="0.25">
      <c r="A659" s="5" t="s">
        <v>131</v>
      </c>
      <c r="B659">
        <v>7172040007000100</v>
      </c>
      <c r="C659">
        <v>80</v>
      </c>
      <c r="D659">
        <v>42</v>
      </c>
      <c r="E659">
        <v>3</v>
      </c>
      <c r="F659">
        <v>1</v>
      </c>
      <c r="G659">
        <v>34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region_summary__43[[#This Row],[REJECTED BY Admin Kabupaten]]+region_summary__43[[#This Row],[REJECTED BY Pengawas]]</f>
        <v>0</v>
      </c>
    </row>
    <row r="660" spans="1:13" x14ac:dyDescent="0.25">
      <c r="A660" s="5" t="s">
        <v>131</v>
      </c>
      <c r="B660">
        <v>7172040007000200</v>
      </c>
      <c r="C660">
        <v>80</v>
      </c>
      <c r="D660">
        <v>18</v>
      </c>
      <c r="E660">
        <v>0</v>
      </c>
      <c r="F660">
        <v>0</v>
      </c>
      <c r="G660">
        <v>62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region_summary__43[[#This Row],[REJECTED BY Admin Kabupaten]]+region_summary__43[[#This Row],[REJECTED BY Pengawas]]</f>
        <v>0</v>
      </c>
    </row>
    <row r="661" spans="1:13" x14ac:dyDescent="0.25">
      <c r="A661" s="5" t="s">
        <v>131</v>
      </c>
      <c r="B661">
        <v>7172040001000900</v>
      </c>
      <c r="C661">
        <v>75</v>
      </c>
      <c r="D661">
        <v>14</v>
      </c>
      <c r="E661">
        <v>0</v>
      </c>
      <c r="F661">
        <v>0</v>
      </c>
      <c r="G661">
        <v>61</v>
      </c>
      <c r="H661">
        <v>0</v>
      </c>
      <c r="I661">
        <v>0</v>
      </c>
      <c r="J661">
        <v>0</v>
      </c>
      <c r="K661">
        <v>0</v>
      </c>
      <c r="L661">
        <v>0</v>
      </c>
      <c r="M661">
        <f>region_summary__43[[#This Row],[REJECTED BY Admin Kabupaten]]+region_summary__43[[#This Row],[REJECTED BY Pengawas]]</f>
        <v>0</v>
      </c>
    </row>
    <row r="662" spans="1:13" x14ac:dyDescent="0.25">
      <c r="A662" s="5" t="s">
        <v>131</v>
      </c>
      <c r="B662">
        <v>7172040001000600</v>
      </c>
      <c r="C662">
        <v>67</v>
      </c>
      <c r="D662">
        <v>9</v>
      </c>
      <c r="E662">
        <v>0</v>
      </c>
      <c r="F662">
        <v>0</v>
      </c>
      <c r="G662">
        <v>58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region_summary__43[[#This Row],[REJECTED BY Admin Kabupaten]]+region_summary__43[[#This Row],[REJECTED BY Pengawas]]</f>
        <v>0</v>
      </c>
    </row>
    <row r="663" spans="1:13" x14ac:dyDescent="0.25">
      <c r="A663" s="5" t="s">
        <v>131</v>
      </c>
      <c r="B663">
        <v>7172040001000700</v>
      </c>
      <c r="C663">
        <v>57</v>
      </c>
      <c r="D663">
        <v>15</v>
      </c>
      <c r="E663">
        <v>0</v>
      </c>
      <c r="F663">
        <v>0</v>
      </c>
      <c r="G663">
        <v>42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region_summary__43[[#This Row],[REJECTED BY Admin Kabupaten]]+region_summary__43[[#This Row],[REJECTED BY Pengawas]]</f>
        <v>0</v>
      </c>
    </row>
    <row r="664" spans="1:13" x14ac:dyDescent="0.25">
      <c r="A664" s="5" t="s">
        <v>131</v>
      </c>
      <c r="B664">
        <v>7172040001000500</v>
      </c>
      <c r="C664">
        <v>53</v>
      </c>
      <c r="D664">
        <v>8</v>
      </c>
      <c r="E664">
        <v>0</v>
      </c>
      <c r="F664">
        <v>0</v>
      </c>
      <c r="G664">
        <v>45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region_summary__43[[#This Row],[REJECTED BY Admin Kabupaten]]+region_summary__43[[#This Row],[REJECTED BY Pengawas]]</f>
        <v>0</v>
      </c>
    </row>
    <row r="665" spans="1:13" x14ac:dyDescent="0.25">
      <c r="A665" s="5" t="s">
        <v>131</v>
      </c>
      <c r="B665">
        <v>7172040007000400</v>
      </c>
      <c r="C665">
        <v>47</v>
      </c>
      <c r="D665">
        <v>46</v>
      </c>
      <c r="E665">
        <v>0</v>
      </c>
      <c r="F665">
        <v>1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region_summary__43[[#This Row],[REJECTED BY Admin Kabupaten]]+region_summary__43[[#This Row],[REJECTED BY Pengawas]]</f>
        <v>0</v>
      </c>
    </row>
    <row r="666" spans="1:13" x14ac:dyDescent="0.25">
      <c r="A666" s="5" t="s">
        <v>131</v>
      </c>
      <c r="B666">
        <v>7172040001000800</v>
      </c>
      <c r="C666">
        <v>42</v>
      </c>
      <c r="D666">
        <v>11</v>
      </c>
      <c r="E666">
        <v>1</v>
      </c>
      <c r="F666">
        <v>0</v>
      </c>
      <c r="G666">
        <v>30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f>region_summary__43[[#This Row],[REJECTED BY Admin Kabupaten]]+region_summary__43[[#This Row],[REJECTED BY Pengawas]]</f>
        <v>0</v>
      </c>
    </row>
    <row r="667" spans="1:13" x14ac:dyDescent="0.25">
      <c r="A667" s="5" t="s">
        <v>131</v>
      </c>
      <c r="B667">
        <v>7172040001000400</v>
      </c>
      <c r="C667">
        <v>41</v>
      </c>
      <c r="D667">
        <v>16</v>
      </c>
      <c r="E667">
        <v>0</v>
      </c>
      <c r="F667">
        <v>0</v>
      </c>
      <c r="G667">
        <v>25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region_summary__43[[#This Row],[REJECTED BY Admin Kabupaten]]+region_summary__43[[#This Row],[REJECTED BY Pengawas]]</f>
        <v>0</v>
      </c>
    </row>
    <row r="668" spans="1:13" x14ac:dyDescent="0.25">
      <c r="A668" s="5" t="s">
        <v>134</v>
      </c>
      <c r="B668">
        <v>7172040003001200</v>
      </c>
      <c r="C668">
        <v>215</v>
      </c>
      <c r="D668">
        <v>127</v>
      </c>
      <c r="E668">
        <v>2</v>
      </c>
      <c r="F668">
        <v>0</v>
      </c>
      <c r="G668">
        <v>85</v>
      </c>
      <c r="H668">
        <v>0</v>
      </c>
      <c r="I668">
        <v>1</v>
      </c>
      <c r="J668">
        <v>0</v>
      </c>
      <c r="K668">
        <v>0</v>
      </c>
      <c r="L668">
        <v>0</v>
      </c>
      <c r="M668">
        <f>region_summary__43[[#This Row],[REJECTED BY Admin Kabupaten]]+region_summary__43[[#This Row],[REJECTED BY Pengawas]]</f>
        <v>1</v>
      </c>
    </row>
    <row r="669" spans="1:13" x14ac:dyDescent="0.25">
      <c r="A669" s="5" t="s">
        <v>134</v>
      </c>
      <c r="B669">
        <v>7172040003001000</v>
      </c>
      <c r="C669">
        <v>142</v>
      </c>
      <c r="D669">
        <v>139</v>
      </c>
      <c r="E669">
        <v>2</v>
      </c>
      <c r="F669">
        <v>0</v>
      </c>
      <c r="G669">
        <v>1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region_summary__43[[#This Row],[REJECTED BY Admin Kabupaten]]+region_summary__43[[#This Row],[REJECTED BY Pengawas]]</f>
        <v>0</v>
      </c>
    </row>
    <row r="670" spans="1:13" x14ac:dyDescent="0.25">
      <c r="A670" s="5" t="s">
        <v>134</v>
      </c>
      <c r="B670">
        <v>7172040003001100</v>
      </c>
      <c r="C670">
        <v>129</v>
      </c>
      <c r="D670">
        <v>0</v>
      </c>
      <c r="E670">
        <v>0</v>
      </c>
      <c r="F670">
        <v>0</v>
      </c>
      <c r="G670">
        <v>129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region_summary__43[[#This Row],[REJECTED BY Admin Kabupaten]]+region_summary__43[[#This Row],[REJECTED BY Pengawas]]</f>
        <v>0</v>
      </c>
    </row>
    <row r="671" spans="1:13" x14ac:dyDescent="0.25">
      <c r="A671" s="5" t="s">
        <v>134</v>
      </c>
      <c r="B671">
        <v>7172040003000900</v>
      </c>
      <c r="C671">
        <v>93</v>
      </c>
      <c r="D671">
        <v>0</v>
      </c>
      <c r="E671">
        <v>0</v>
      </c>
      <c r="F671">
        <v>0</v>
      </c>
      <c r="G671">
        <v>93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region_summary__43[[#This Row],[REJECTED BY Admin Kabupaten]]+region_summary__43[[#This Row],[REJECTED BY Pengawas]]</f>
        <v>0</v>
      </c>
    </row>
    <row r="672" spans="1:13" x14ac:dyDescent="0.25">
      <c r="A672" s="5" t="s">
        <v>134</v>
      </c>
      <c r="B672">
        <v>7172040003000200</v>
      </c>
      <c r="C672">
        <v>69</v>
      </c>
      <c r="D672">
        <v>0</v>
      </c>
      <c r="E672">
        <v>0</v>
      </c>
      <c r="F672">
        <v>0</v>
      </c>
      <c r="G672">
        <v>69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region_summary__43[[#This Row],[REJECTED BY Admin Kabupaten]]+region_summary__43[[#This Row],[REJECTED BY Pengawas]]</f>
        <v>0</v>
      </c>
    </row>
    <row r="673" spans="1:13" x14ac:dyDescent="0.25">
      <c r="A673" s="5" t="s">
        <v>137</v>
      </c>
      <c r="B673">
        <v>7172040005000200</v>
      </c>
      <c r="C673">
        <v>159</v>
      </c>
      <c r="D673">
        <v>134</v>
      </c>
      <c r="E673">
        <v>3</v>
      </c>
      <c r="F673">
        <v>1</v>
      </c>
      <c r="G673">
        <v>19</v>
      </c>
      <c r="H673">
        <v>0</v>
      </c>
      <c r="I673">
        <v>0</v>
      </c>
      <c r="J673">
        <v>2</v>
      </c>
      <c r="K673">
        <v>0</v>
      </c>
      <c r="L673">
        <v>0</v>
      </c>
      <c r="M673">
        <f>region_summary__43[[#This Row],[REJECTED BY Admin Kabupaten]]+region_summary__43[[#This Row],[REJECTED BY Pengawas]]</f>
        <v>0</v>
      </c>
    </row>
    <row r="674" spans="1:13" x14ac:dyDescent="0.25">
      <c r="A674" s="5" t="s">
        <v>137</v>
      </c>
      <c r="B674">
        <v>7172040005001200</v>
      </c>
      <c r="C674">
        <v>78</v>
      </c>
      <c r="D674">
        <v>5</v>
      </c>
      <c r="E674">
        <v>1</v>
      </c>
      <c r="F674">
        <v>0</v>
      </c>
      <c r="G674">
        <v>72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region_summary__43[[#This Row],[REJECTED BY Admin Kabupaten]]+region_summary__43[[#This Row],[REJECTED BY Pengawas]]</f>
        <v>0</v>
      </c>
    </row>
    <row r="675" spans="1:13" x14ac:dyDescent="0.25">
      <c r="A675" s="5" t="s">
        <v>137</v>
      </c>
      <c r="B675">
        <v>7172040005000400</v>
      </c>
      <c r="C675">
        <v>73</v>
      </c>
      <c r="D675">
        <v>36</v>
      </c>
      <c r="E675">
        <v>2</v>
      </c>
      <c r="F675">
        <v>2</v>
      </c>
      <c r="G675">
        <v>32</v>
      </c>
      <c r="H675">
        <v>0</v>
      </c>
      <c r="I675">
        <v>0</v>
      </c>
      <c r="J675">
        <v>0</v>
      </c>
      <c r="K675">
        <v>1</v>
      </c>
      <c r="L675">
        <v>0</v>
      </c>
      <c r="M675">
        <f>region_summary__43[[#This Row],[REJECTED BY Admin Kabupaten]]+region_summary__43[[#This Row],[REJECTED BY Pengawas]]</f>
        <v>0</v>
      </c>
    </row>
    <row r="676" spans="1:13" x14ac:dyDescent="0.25">
      <c r="A676" s="5" t="s">
        <v>137</v>
      </c>
      <c r="B676">
        <v>7172040005000700</v>
      </c>
      <c r="C676">
        <v>63</v>
      </c>
      <c r="D676">
        <v>57</v>
      </c>
      <c r="E676">
        <v>0</v>
      </c>
      <c r="F676">
        <v>1</v>
      </c>
      <c r="G676">
        <v>5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region_summary__43[[#This Row],[REJECTED BY Admin Kabupaten]]+region_summary__43[[#This Row],[REJECTED BY Pengawas]]</f>
        <v>0</v>
      </c>
    </row>
    <row r="677" spans="1:13" x14ac:dyDescent="0.25">
      <c r="A677" s="5" t="s">
        <v>137</v>
      </c>
      <c r="B677">
        <v>7172040005000100</v>
      </c>
      <c r="C677">
        <v>53</v>
      </c>
      <c r="D677">
        <v>10</v>
      </c>
      <c r="E677">
        <v>17</v>
      </c>
      <c r="F677">
        <v>0</v>
      </c>
      <c r="G677">
        <v>25</v>
      </c>
      <c r="H677">
        <v>0</v>
      </c>
      <c r="I677">
        <v>0</v>
      </c>
      <c r="J677">
        <v>0</v>
      </c>
      <c r="K677">
        <v>1</v>
      </c>
      <c r="L677">
        <v>0</v>
      </c>
      <c r="M677">
        <f>region_summary__43[[#This Row],[REJECTED BY Admin Kabupaten]]+region_summary__43[[#This Row],[REJECTED BY Pengawas]]</f>
        <v>0</v>
      </c>
    </row>
    <row r="678" spans="1:13" x14ac:dyDescent="0.25">
      <c r="A678" s="5" t="s">
        <v>137</v>
      </c>
      <c r="B678">
        <v>7172040005001000</v>
      </c>
      <c r="C678">
        <v>49</v>
      </c>
      <c r="D678">
        <v>42</v>
      </c>
      <c r="E678">
        <v>1</v>
      </c>
      <c r="F678">
        <v>2</v>
      </c>
      <c r="G678">
        <v>4</v>
      </c>
      <c r="H678">
        <v>0</v>
      </c>
      <c r="I678">
        <v>0</v>
      </c>
      <c r="J678">
        <v>0</v>
      </c>
      <c r="K678">
        <v>0</v>
      </c>
      <c r="L678">
        <v>0</v>
      </c>
      <c r="M678">
        <f>region_summary__43[[#This Row],[REJECTED BY Admin Kabupaten]]+region_summary__43[[#This Row],[REJECTED BY Pengawas]]</f>
        <v>0</v>
      </c>
    </row>
    <row r="679" spans="1:13" x14ac:dyDescent="0.25">
      <c r="A679" s="5" t="s">
        <v>137</v>
      </c>
      <c r="B679">
        <v>7172040005001100</v>
      </c>
      <c r="C679">
        <v>48</v>
      </c>
      <c r="D679">
        <v>1</v>
      </c>
      <c r="E679">
        <v>0</v>
      </c>
      <c r="F679">
        <v>0</v>
      </c>
      <c r="G679">
        <v>47</v>
      </c>
      <c r="H679">
        <v>0</v>
      </c>
      <c r="I679">
        <v>0</v>
      </c>
      <c r="J679">
        <v>0</v>
      </c>
      <c r="K679">
        <v>0</v>
      </c>
      <c r="L679">
        <v>0</v>
      </c>
      <c r="M679">
        <f>region_summary__43[[#This Row],[REJECTED BY Admin Kabupaten]]+region_summary__43[[#This Row],[REJECTED BY Pengawas]]</f>
        <v>0</v>
      </c>
    </row>
    <row r="680" spans="1:13" x14ac:dyDescent="0.25">
      <c r="A680" s="5" t="s">
        <v>137</v>
      </c>
      <c r="B680">
        <v>7172040005000900</v>
      </c>
      <c r="C680">
        <v>44</v>
      </c>
      <c r="D680">
        <v>2</v>
      </c>
      <c r="E680">
        <v>0</v>
      </c>
      <c r="F680">
        <v>0</v>
      </c>
      <c r="G680">
        <v>42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region_summary__43[[#This Row],[REJECTED BY Admin Kabupaten]]+region_summary__43[[#This Row],[REJECTED BY Pengawas]]</f>
        <v>0</v>
      </c>
    </row>
    <row r="681" spans="1:13" x14ac:dyDescent="0.25">
      <c r="A681" s="5" t="s">
        <v>137</v>
      </c>
      <c r="B681">
        <v>7172040005000300</v>
      </c>
      <c r="C681">
        <v>40</v>
      </c>
      <c r="D681">
        <v>2</v>
      </c>
      <c r="E681">
        <v>3</v>
      </c>
      <c r="F681">
        <v>0</v>
      </c>
      <c r="G681">
        <v>35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region_summary__43[[#This Row],[REJECTED BY Admin Kabupaten]]+region_summary__43[[#This Row],[REJECTED BY Pengawas]]</f>
        <v>0</v>
      </c>
    </row>
    <row r="682" spans="1:13" x14ac:dyDescent="0.25">
      <c r="A682" s="5" t="s">
        <v>137</v>
      </c>
      <c r="B682">
        <v>7172040005000800</v>
      </c>
      <c r="C682">
        <v>39</v>
      </c>
      <c r="D682">
        <v>3</v>
      </c>
      <c r="E682">
        <v>0</v>
      </c>
      <c r="F682">
        <v>0</v>
      </c>
      <c r="G682">
        <v>36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region_summary__43[[#This Row],[REJECTED BY Admin Kabupaten]]+region_summary__43[[#This Row],[REJECTED BY Pengawas]]</f>
        <v>0</v>
      </c>
    </row>
    <row r="683" spans="1:13" x14ac:dyDescent="0.25">
      <c r="A683" s="5" t="s">
        <v>137</v>
      </c>
      <c r="B683">
        <v>7172040005000500</v>
      </c>
      <c r="C683">
        <v>24</v>
      </c>
      <c r="D683">
        <v>0</v>
      </c>
      <c r="E683">
        <v>0</v>
      </c>
      <c r="F683">
        <v>0</v>
      </c>
      <c r="G683">
        <v>24</v>
      </c>
      <c r="H683">
        <v>0</v>
      </c>
      <c r="I683">
        <v>0</v>
      </c>
      <c r="J683">
        <v>0</v>
      </c>
      <c r="K683">
        <v>0</v>
      </c>
      <c r="L683">
        <v>0</v>
      </c>
      <c r="M683">
        <f>region_summary__43[[#This Row],[REJECTED BY Admin Kabupaten]]+region_summary__43[[#This Row],[REJECTED BY Pengawas]]</f>
        <v>0</v>
      </c>
    </row>
    <row r="684" spans="1:13" x14ac:dyDescent="0.25">
      <c r="A684" s="5" t="s">
        <v>138</v>
      </c>
      <c r="B684">
        <v>7172040005002001</v>
      </c>
      <c r="C684">
        <v>128</v>
      </c>
      <c r="D684">
        <v>15</v>
      </c>
      <c r="E684">
        <v>1</v>
      </c>
      <c r="F684">
        <v>0</v>
      </c>
      <c r="G684">
        <v>112</v>
      </c>
      <c r="H684">
        <v>0</v>
      </c>
      <c r="I684">
        <v>0</v>
      </c>
      <c r="J684">
        <v>0</v>
      </c>
      <c r="K684">
        <v>0</v>
      </c>
      <c r="L684">
        <v>0</v>
      </c>
      <c r="M684">
        <f>region_summary__43[[#This Row],[REJECTED BY Admin Kabupaten]]+region_summary__43[[#This Row],[REJECTED BY Pengawas]]</f>
        <v>0</v>
      </c>
    </row>
    <row r="685" spans="1:13" x14ac:dyDescent="0.25">
      <c r="A685" s="5" t="s">
        <v>138</v>
      </c>
      <c r="B685">
        <v>7172040005001800</v>
      </c>
      <c r="C685">
        <v>125</v>
      </c>
      <c r="D685">
        <v>71</v>
      </c>
      <c r="E685">
        <v>3</v>
      </c>
      <c r="F685">
        <v>0</v>
      </c>
      <c r="G685">
        <v>48</v>
      </c>
      <c r="H685">
        <v>0</v>
      </c>
      <c r="I685">
        <v>0</v>
      </c>
      <c r="J685">
        <v>3</v>
      </c>
      <c r="K685">
        <v>0</v>
      </c>
      <c r="L685">
        <v>0</v>
      </c>
      <c r="M685">
        <f>region_summary__43[[#This Row],[REJECTED BY Admin Kabupaten]]+region_summary__43[[#This Row],[REJECTED BY Pengawas]]</f>
        <v>0</v>
      </c>
    </row>
    <row r="686" spans="1:13" x14ac:dyDescent="0.25">
      <c r="A686" s="5" t="s">
        <v>138</v>
      </c>
      <c r="B686">
        <v>7172040005001700</v>
      </c>
      <c r="C686">
        <v>123</v>
      </c>
      <c r="D686">
        <v>66</v>
      </c>
      <c r="E686">
        <v>3</v>
      </c>
      <c r="F686">
        <v>0</v>
      </c>
      <c r="G686">
        <v>54</v>
      </c>
      <c r="H686">
        <v>0</v>
      </c>
      <c r="I686">
        <v>0</v>
      </c>
      <c r="J686">
        <v>0</v>
      </c>
      <c r="K686">
        <v>0</v>
      </c>
      <c r="L686">
        <v>0</v>
      </c>
      <c r="M686">
        <f>region_summary__43[[#This Row],[REJECTED BY Admin Kabupaten]]+region_summary__43[[#This Row],[REJECTED BY Pengawas]]</f>
        <v>0</v>
      </c>
    </row>
    <row r="687" spans="1:13" x14ac:dyDescent="0.25">
      <c r="A687" s="5" t="s">
        <v>138</v>
      </c>
      <c r="B687">
        <v>7172040005001402</v>
      </c>
      <c r="C687">
        <v>75</v>
      </c>
      <c r="D687">
        <v>43</v>
      </c>
      <c r="E687">
        <v>2</v>
      </c>
      <c r="F687">
        <v>0</v>
      </c>
      <c r="G687">
        <v>29</v>
      </c>
      <c r="H687">
        <v>0</v>
      </c>
      <c r="I687">
        <v>0</v>
      </c>
      <c r="J687">
        <v>1</v>
      </c>
      <c r="K687">
        <v>0</v>
      </c>
      <c r="L687">
        <v>0</v>
      </c>
      <c r="M687">
        <f>region_summary__43[[#This Row],[REJECTED BY Admin Kabupaten]]+region_summary__43[[#This Row],[REJECTED BY Pengawas]]</f>
        <v>0</v>
      </c>
    </row>
    <row r="688" spans="1:13" x14ac:dyDescent="0.25">
      <c r="A688" s="5" t="s">
        <v>138</v>
      </c>
      <c r="B688">
        <v>7172040005001401</v>
      </c>
      <c r="C688">
        <v>72</v>
      </c>
      <c r="D688">
        <v>0</v>
      </c>
      <c r="E688">
        <v>0</v>
      </c>
      <c r="F688">
        <v>0</v>
      </c>
      <c r="G688">
        <v>72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region_summary__43[[#This Row],[REJECTED BY Admin Kabupaten]]+region_summary__43[[#This Row],[REJECTED BY Pengawas]]</f>
        <v>0</v>
      </c>
    </row>
    <row r="689" spans="1:13" x14ac:dyDescent="0.25">
      <c r="A689" s="5" t="s">
        <v>138</v>
      </c>
      <c r="B689">
        <v>7172040005001300</v>
      </c>
      <c r="C689">
        <v>56</v>
      </c>
      <c r="D689">
        <v>56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region_summary__43[[#This Row],[REJECTED BY Admin Kabupaten]]+region_summary__43[[#This Row],[REJECTED BY Pengawas]]</f>
        <v>0</v>
      </c>
    </row>
    <row r="690" spans="1:13" x14ac:dyDescent="0.25">
      <c r="A690" s="5" t="s">
        <v>138</v>
      </c>
      <c r="B690">
        <v>7172040005001500</v>
      </c>
      <c r="C690">
        <v>56</v>
      </c>
      <c r="D690">
        <v>2</v>
      </c>
      <c r="E690">
        <v>0</v>
      </c>
      <c r="F690">
        <v>0</v>
      </c>
      <c r="G690">
        <v>54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region_summary__43[[#This Row],[REJECTED BY Admin Kabupaten]]+region_summary__43[[#This Row],[REJECTED BY Pengawas]]</f>
        <v>0</v>
      </c>
    </row>
    <row r="691" spans="1:13" x14ac:dyDescent="0.25">
      <c r="A691" s="5" t="s">
        <v>141</v>
      </c>
      <c r="B691">
        <v>7172040013000100</v>
      </c>
      <c r="C691">
        <v>139</v>
      </c>
      <c r="D691">
        <v>88</v>
      </c>
      <c r="E691">
        <v>14</v>
      </c>
      <c r="F691">
        <v>2</v>
      </c>
      <c r="G691">
        <v>0</v>
      </c>
      <c r="H691">
        <v>0</v>
      </c>
      <c r="I691">
        <v>12</v>
      </c>
      <c r="J691">
        <v>0</v>
      </c>
      <c r="K691">
        <v>23</v>
      </c>
      <c r="L691">
        <v>0</v>
      </c>
      <c r="M691">
        <f>region_summary__43[[#This Row],[REJECTED BY Admin Kabupaten]]+region_summary__43[[#This Row],[REJECTED BY Pengawas]]</f>
        <v>12</v>
      </c>
    </row>
    <row r="692" spans="1:13" x14ac:dyDescent="0.25">
      <c r="A692" s="5" t="s">
        <v>141</v>
      </c>
      <c r="B692">
        <v>7172040013000200</v>
      </c>
      <c r="C692">
        <v>100</v>
      </c>
      <c r="D692">
        <v>80</v>
      </c>
      <c r="E692">
        <v>5</v>
      </c>
      <c r="F692">
        <v>0</v>
      </c>
      <c r="G692">
        <v>4</v>
      </c>
      <c r="H692">
        <v>0</v>
      </c>
      <c r="I692">
        <v>5</v>
      </c>
      <c r="J692">
        <v>0</v>
      </c>
      <c r="K692">
        <v>6</v>
      </c>
      <c r="L692">
        <v>0</v>
      </c>
      <c r="M692">
        <f>region_summary__43[[#This Row],[REJECTED BY Admin Kabupaten]]+region_summary__43[[#This Row],[REJECTED BY Pengawas]]</f>
        <v>5</v>
      </c>
    </row>
    <row r="693" spans="1:13" x14ac:dyDescent="0.25">
      <c r="A693" s="5" t="s">
        <v>141</v>
      </c>
      <c r="B693">
        <v>7172040012001200</v>
      </c>
      <c r="C693">
        <v>79</v>
      </c>
      <c r="D693">
        <v>23</v>
      </c>
      <c r="E693">
        <v>2</v>
      </c>
      <c r="F693">
        <v>0</v>
      </c>
      <c r="G693">
        <v>54</v>
      </c>
      <c r="H693">
        <v>0</v>
      </c>
      <c r="I693">
        <v>0</v>
      </c>
      <c r="J693">
        <v>0</v>
      </c>
      <c r="K693">
        <v>0</v>
      </c>
      <c r="L693">
        <v>0</v>
      </c>
      <c r="M693">
        <f>region_summary__43[[#This Row],[REJECTED BY Admin Kabupaten]]+region_summary__43[[#This Row],[REJECTED BY Pengawas]]</f>
        <v>0</v>
      </c>
    </row>
    <row r="694" spans="1:13" x14ac:dyDescent="0.25">
      <c r="A694" s="5" t="s">
        <v>141</v>
      </c>
      <c r="B694">
        <v>7172040012001300</v>
      </c>
      <c r="C694">
        <v>55</v>
      </c>
      <c r="D694">
        <v>15</v>
      </c>
      <c r="E694">
        <v>4</v>
      </c>
      <c r="F694">
        <v>0</v>
      </c>
      <c r="G694">
        <v>36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region_summary__43[[#This Row],[REJECTED BY Admin Kabupaten]]+region_summary__43[[#This Row],[REJECTED BY Pengawas]]</f>
        <v>0</v>
      </c>
    </row>
    <row r="695" spans="1:13" x14ac:dyDescent="0.25">
      <c r="A695" s="5" t="s">
        <v>141</v>
      </c>
      <c r="B695">
        <v>7172040012001400</v>
      </c>
      <c r="C695">
        <v>53</v>
      </c>
      <c r="D695">
        <v>16</v>
      </c>
      <c r="E695">
        <v>27</v>
      </c>
      <c r="F695">
        <v>0</v>
      </c>
      <c r="G695">
        <v>4</v>
      </c>
      <c r="H695">
        <v>0</v>
      </c>
      <c r="I695">
        <v>0</v>
      </c>
      <c r="J695">
        <v>0</v>
      </c>
      <c r="K695">
        <v>6</v>
      </c>
      <c r="L695">
        <v>0</v>
      </c>
      <c r="M695">
        <f>region_summary__43[[#This Row],[REJECTED BY Admin Kabupaten]]+region_summary__43[[#This Row],[REJECTED BY Pengawas]]</f>
        <v>0</v>
      </c>
    </row>
    <row r="696" spans="1:13" x14ac:dyDescent="0.25">
      <c r="A696" s="5" t="s">
        <v>141</v>
      </c>
      <c r="B696">
        <v>7172040012000900</v>
      </c>
      <c r="C696">
        <v>49</v>
      </c>
      <c r="D696">
        <v>13</v>
      </c>
      <c r="E696">
        <v>0</v>
      </c>
      <c r="F696">
        <v>0</v>
      </c>
      <c r="G696">
        <v>36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region_summary__43[[#This Row],[REJECTED BY Admin Kabupaten]]+region_summary__43[[#This Row],[REJECTED BY Pengawas]]</f>
        <v>0</v>
      </c>
    </row>
    <row r="697" spans="1:13" x14ac:dyDescent="0.25">
      <c r="A697" s="5" t="s">
        <v>141</v>
      </c>
      <c r="B697">
        <v>7172040012001100</v>
      </c>
      <c r="C697">
        <v>40</v>
      </c>
      <c r="D697">
        <v>8</v>
      </c>
      <c r="E697">
        <v>2</v>
      </c>
      <c r="F697">
        <v>0</v>
      </c>
      <c r="G697">
        <v>30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region_summary__43[[#This Row],[REJECTED BY Admin Kabupaten]]+region_summary__43[[#This Row],[REJECTED BY Pengawas]]</f>
        <v>0</v>
      </c>
    </row>
    <row r="698" spans="1:13" x14ac:dyDescent="0.25">
      <c r="A698" s="5" t="s">
        <v>141</v>
      </c>
      <c r="B698">
        <v>7172040012000700</v>
      </c>
      <c r="C698">
        <v>38</v>
      </c>
      <c r="D698">
        <v>15</v>
      </c>
      <c r="E698">
        <v>0</v>
      </c>
      <c r="F698">
        <v>0</v>
      </c>
      <c r="G698">
        <v>23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region_summary__43[[#This Row],[REJECTED BY Admin Kabupaten]]+region_summary__43[[#This Row],[REJECTED BY Pengawas]]</f>
        <v>0</v>
      </c>
    </row>
    <row r="699" spans="1:13" x14ac:dyDescent="0.25">
      <c r="A699" s="5" t="s">
        <v>141</v>
      </c>
      <c r="B699">
        <v>7172040012000800</v>
      </c>
      <c r="C699">
        <v>38</v>
      </c>
      <c r="D699">
        <v>13</v>
      </c>
      <c r="E699">
        <v>0</v>
      </c>
      <c r="F699">
        <v>0</v>
      </c>
      <c r="G699">
        <v>25</v>
      </c>
      <c r="H699">
        <v>0</v>
      </c>
      <c r="I699">
        <v>0</v>
      </c>
      <c r="J699">
        <v>0</v>
      </c>
      <c r="K699">
        <v>0</v>
      </c>
      <c r="L699">
        <v>0</v>
      </c>
      <c r="M699">
        <f>region_summary__43[[#This Row],[REJECTED BY Admin Kabupaten]]+region_summary__43[[#This Row],[REJECTED BY Pengawas]]</f>
        <v>0</v>
      </c>
    </row>
    <row r="700" spans="1:13" x14ac:dyDescent="0.25">
      <c r="A700" s="5" t="s">
        <v>141</v>
      </c>
      <c r="B700">
        <v>7172040012001000</v>
      </c>
      <c r="C700">
        <v>34</v>
      </c>
      <c r="D700">
        <v>9</v>
      </c>
      <c r="E700">
        <v>1</v>
      </c>
      <c r="F700">
        <v>0</v>
      </c>
      <c r="G700">
        <v>24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region_summary__43[[#This Row],[REJECTED BY Admin Kabupaten]]+region_summary__43[[#This Row],[REJECTED BY Pengawas]]</f>
        <v>0</v>
      </c>
    </row>
    <row r="701" spans="1:13" x14ac:dyDescent="0.25">
      <c r="A701" s="5" t="s">
        <v>142</v>
      </c>
      <c r="B701">
        <v>7172040013000600</v>
      </c>
      <c r="C701">
        <v>132</v>
      </c>
      <c r="D701">
        <v>106</v>
      </c>
      <c r="E701">
        <v>8</v>
      </c>
      <c r="F701">
        <v>2</v>
      </c>
      <c r="G701">
        <v>11</v>
      </c>
      <c r="H701">
        <v>0</v>
      </c>
      <c r="I701">
        <v>5</v>
      </c>
      <c r="J701">
        <v>0</v>
      </c>
      <c r="K701">
        <v>0</v>
      </c>
      <c r="L701">
        <v>0</v>
      </c>
      <c r="M701">
        <f>region_summary__43[[#This Row],[REJECTED BY Admin Kabupaten]]+region_summary__43[[#This Row],[REJECTED BY Pengawas]]</f>
        <v>5</v>
      </c>
    </row>
    <row r="702" spans="1:13" x14ac:dyDescent="0.25">
      <c r="A702" s="5" t="s">
        <v>142</v>
      </c>
      <c r="B702">
        <v>7172040013000800</v>
      </c>
      <c r="C702">
        <v>89</v>
      </c>
      <c r="D702">
        <v>86</v>
      </c>
      <c r="E702">
        <v>0</v>
      </c>
      <c r="F702">
        <v>1</v>
      </c>
      <c r="G702">
        <v>1</v>
      </c>
      <c r="H702">
        <v>0</v>
      </c>
      <c r="I702">
        <v>1</v>
      </c>
      <c r="J702">
        <v>0</v>
      </c>
      <c r="K702">
        <v>0</v>
      </c>
      <c r="L702">
        <v>0</v>
      </c>
      <c r="M702">
        <f>region_summary__43[[#This Row],[REJECTED BY Admin Kabupaten]]+region_summary__43[[#This Row],[REJECTED BY Pengawas]]</f>
        <v>1</v>
      </c>
    </row>
    <row r="703" spans="1:13" x14ac:dyDescent="0.25">
      <c r="A703" s="5" t="s">
        <v>142</v>
      </c>
      <c r="B703">
        <v>7172040013000300</v>
      </c>
      <c r="C703">
        <v>68</v>
      </c>
      <c r="D703">
        <v>16</v>
      </c>
      <c r="E703">
        <v>0</v>
      </c>
      <c r="F703">
        <v>0</v>
      </c>
      <c r="G703">
        <v>52</v>
      </c>
      <c r="H703">
        <v>0</v>
      </c>
      <c r="I703">
        <v>0</v>
      </c>
      <c r="J703">
        <v>0</v>
      </c>
      <c r="K703">
        <v>0</v>
      </c>
      <c r="L703">
        <v>0</v>
      </c>
      <c r="M703">
        <f>region_summary__43[[#This Row],[REJECTED BY Admin Kabupaten]]+region_summary__43[[#This Row],[REJECTED BY Pengawas]]</f>
        <v>0</v>
      </c>
    </row>
    <row r="704" spans="1:13" x14ac:dyDescent="0.25">
      <c r="A704" s="5" t="s">
        <v>142</v>
      </c>
      <c r="B704">
        <v>7172040013000400</v>
      </c>
      <c r="C704">
        <v>67</v>
      </c>
      <c r="D704">
        <v>8</v>
      </c>
      <c r="E704">
        <v>0</v>
      </c>
      <c r="F704">
        <v>0</v>
      </c>
      <c r="G704">
        <v>59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region_summary__43[[#This Row],[REJECTED BY Admin Kabupaten]]+region_summary__43[[#This Row],[REJECTED BY Pengawas]]</f>
        <v>0</v>
      </c>
    </row>
    <row r="705" spans="1:13" x14ac:dyDescent="0.25">
      <c r="A705" s="5" t="s">
        <v>142</v>
      </c>
      <c r="B705">
        <v>7172040013000500</v>
      </c>
      <c r="C705">
        <v>56</v>
      </c>
      <c r="D705">
        <v>39</v>
      </c>
      <c r="E705">
        <v>5</v>
      </c>
      <c r="F705">
        <v>1</v>
      </c>
      <c r="G705">
        <v>11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region_summary__43[[#This Row],[REJECTED BY Admin Kabupaten]]+region_summary__43[[#This Row],[REJECTED BY Pengawas]]</f>
        <v>0</v>
      </c>
    </row>
    <row r="706" spans="1:13" x14ac:dyDescent="0.25">
      <c r="A706" s="5" t="s">
        <v>142</v>
      </c>
      <c r="B706">
        <v>7172040013000900</v>
      </c>
      <c r="C706">
        <v>56</v>
      </c>
      <c r="D706">
        <v>34</v>
      </c>
      <c r="E706">
        <v>1</v>
      </c>
      <c r="F706">
        <v>0</v>
      </c>
      <c r="G706">
        <v>21</v>
      </c>
      <c r="H706">
        <v>0</v>
      </c>
      <c r="I706">
        <v>0</v>
      </c>
      <c r="J706">
        <v>0</v>
      </c>
      <c r="K706">
        <v>0</v>
      </c>
      <c r="L706">
        <v>0</v>
      </c>
      <c r="M706">
        <f>region_summary__43[[#This Row],[REJECTED BY Admin Kabupaten]]+region_summary__43[[#This Row],[REJECTED BY Pengawas]]</f>
        <v>0</v>
      </c>
    </row>
    <row r="707" spans="1:13" x14ac:dyDescent="0.25">
      <c r="A707" s="5" t="s">
        <v>142</v>
      </c>
      <c r="B707">
        <v>7172040012001500</v>
      </c>
      <c r="C707">
        <v>55</v>
      </c>
      <c r="D707">
        <v>9</v>
      </c>
      <c r="E707">
        <v>0</v>
      </c>
      <c r="F707">
        <v>0</v>
      </c>
      <c r="G707">
        <v>46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region_summary__43[[#This Row],[REJECTED BY Admin Kabupaten]]+region_summary__43[[#This Row],[REJECTED BY Pengawas]]</f>
        <v>0</v>
      </c>
    </row>
    <row r="708" spans="1:13" x14ac:dyDescent="0.25">
      <c r="A708" s="5" t="s">
        <v>142</v>
      </c>
      <c r="B708">
        <v>7172040013000700</v>
      </c>
      <c r="C708">
        <v>52</v>
      </c>
      <c r="D708">
        <v>2</v>
      </c>
      <c r="E708">
        <v>0</v>
      </c>
      <c r="F708">
        <v>0</v>
      </c>
      <c r="G708">
        <v>50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region_summary__43[[#This Row],[REJECTED BY Admin Kabupaten]]+region_summary__43[[#This Row],[REJECTED BY Pengawas]]</f>
        <v>0</v>
      </c>
    </row>
    <row r="709" spans="1:13" x14ac:dyDescent="0.25">
      <c r="A709" s="5" t="s">
        <v>142</v>
      </c>
      <c r="B709">
        <v>7172040013001000</v>
      </c>
      <c r="C709">
        <v>48</v>
      </c>
      <c r="D709">
        <v>3</v>
      </c>
      <c r="E709">
        <v>0</v>
      </c>
      <c r="F709">
        <v>0</v>
      </c>
      <c r="G709">
        <v>45</v>
      </c>
      <c r="H709">
        <v>0</v>
      </c>
      <c r="I709">
        <v>0</v>
      </c>
      <c r="J709">
        <v>0</v>
      </c>
      <c r="K709">
        <v>0</v>
      </c>
      <c r="L709">
        <v>0</v>
      </c>
      <c r="M709">
        <f>region_summary__43[[#This Row],[REJECTED BY Admin Kabupaten]]+region_summary__43[[#This Row],[REJECTED BY Pengawas]]</f>
        <v>0</v>
      </c>
    </row>
    <row r="710" spans="1:13" x14ac:dyDescent="0.25">
      <c r="A710" s="5" t="s">
        <v>142</v>
      </c>
      <c r="B710">
        <v>7172040013001100</v>
      </c>
      <c r="C710">
        <v>48</v>
      </c>
      <c r="D710">
        <v>7</v>
      </c>
      <c r="E710">
        <v>0</v>
      </c>
      <c r="F710">
        <v>0</v>
      </c>
      <c r="G710">
        <v>41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region_summary__43[[#This Row],[REJECTED BY Admin Kabupaten]]+region_summary__43[[#This Row],[REJECTED BY Pengawas]]</f>
        <v>0</v>
      </c>
    </row>
    <row r="711" spans="1:13" x14ac:dyDescent="0.25">
      <c r="A711" s="5" t="s">
        <v>142</v>
      </c>
      <c r="B711">
        <v>7172040013001200</v>
      </c>
      <c r="C711">
        <v>41</v>
      </c>
      <c r="D711">
        <v>2</v>
      </c>
      <c r="E711">
        <v>0</v>
      </c>
      <c r="F711">
        <v>0</v>
      </c>
      <c r="G711">
        <v>39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region_summary__43[[#This Row],[REJECTED BY Admin Kabupaten]]+region_summary__43[[#This Row],[REJECTED BY Pengawas]]</f>
        <v>0</v>
      </c>
    </row>
    <row r="712" spans="1:13" x14ac:dyDescent="0.25">
      <c r="A712" s="5" t="s">
        <v>6</v>
      </c>
      <c r="B712">
        <v>7172010008000700</v>
      </c>
      <c r="C712">
        <v>160</v>
      </c>
      <c r="D712">
        <v>0</v>
      </c>
      <c r="E712">
        <v>0</v>
      </c>
      <c r="F712">
        <v>0</v>
      </c>
      <c r="G712">
        <v>160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region_summary__43[[#This Row],[REJECTED BY Admin Kabupaten]]+region_summary__43[[#This Row],[REJECTED BY Pengawas]]</f>
        <v>0</v>
      </c>
    </row>
    <row r="713" spans="1:13" x14ac:dyDescent="0.25">
      <c r="A713" s="5" t="s">
        <v>6</v>
      </c>
      <c r="B713">
        <v>7172010008000600</v>
      </c>
      <c r="C713">
        <v>132</v>
      </c>
      <c r="D713">
        <v>31</v>
      </c>
      <c r="E713">
        <v>11</v>
      </c>
      <c r="F713">
        <v>0</v>
      </c>
      <c r="G713">
        <v>84</v>
      </c>
      <c r="H713">
        <v>0</v>
      </c>
      <c r="I713">
        <v>0</v>
      </c>
      <c r="J713">
        <v>0</v>
      </c>
      <c r="K713">
        <v>6</v>
      </c>
      <c r="L713">
        <v>0</v>
      </c>
      <c r="M713">
        <f>region_summary__43[[#This Row],[REJECTED BY Admin Kabupaten]]+region_summary__43[[#This Row],[REJECTED BY Pengawas]]</f>
        <v>0</v>
      </c>
    </row>
    <row r="714" spans="1:13" x14ac:dyDescent="0.25">
      <c r="A714" s="5" t="s">
        <v>6</v>
      </c>
      <c r="B714">
        <v>7172010008000500</v>
      </c>
      <c r="C714">
        <v>88</v>
      </c>
      <c r="D714">
        <v>82</v>
      </c>
      <c r="E714">
        <v>1</v>
      </c>
      <c r="F714">
        <v>1</v>
      </c>
      <c r="G714">
        <v>0</v>
      </c>
      <c r="H714">
        <v>1</v>
      </c>
      <c r="I714">
        <v>0</v>
      </c>
      <c r="J714">
        <v>0</v>
      </c>
      <c r="K714">
        <v>3</v>
      </c>
      <c r="L714">
        <v>0</v>
      </c>
      <c r="M714">
        <f>region_summary__43[[#This Row],[REJECTED BY Admin Kabupaten]]+region_summary__43[[#This Row],[REJECTED BY Pengawas]]</f>
        <v>1</v>
      </c>
    </row>
    <row r="715" spans="1:13" x14ac:dyDescent="0.25">
      <c r="A715" s="5" t="s">
        <v>6</v>
      </c>
      <c r="B715">
        <v>7172010008000200</v>
      </c>
      <c r="C715">
        <v>73</v>
      </c>
      <c r="D715">
        <v>69</v>
      </c>
      <c r="E715">
        <v>1</v>
      </c>
      <c r="F715">
        <v>2</v>
      </c>
      <c r="G715">
        <v>0</v>
      </c>
      <c r="H715">
        <v>1</v>
      </c>
      <c r="I715">
        <v>0</v>
      </c>
      <c r="J715">
        <v>0</v>
      </c>
      <c r="K715">
        <v>0</v>
      </c>
      <c r="L715">
        <v>0</v>
      </c>
      <c r="M715">
        <f>region_summary__43[[#This Row],[REJECTED BY Admin Kabupaten]]+region_summary__43[[#This Row],[REJECTED BY Pengawas]]</f>
        <v>1</v>
      </c>
    </row>
    <row r="716" spans="1:13" x14ac:dyDescent="0.25">
      <c r="A716" s="5" t="s">
        <v>6</v>
      </c>
      <c r="B716">
        <v>7172010008000400</v>
      </c>
      <c r="C716">
        <v>71</v>
      </c>
      <c r="D716">
        <v>68</v>
      </c>
      <c r="E716">
        <v>0</v>
      </c>
      <c r="F716">
        <v>2</v>
      </c>
      <c r="G716">
        <v>0</v>
      </c>
      <c r="H716">
        <v>1</v>
      </c>
      <c r="I716">
        <v>0</v>
      </c>
      <c r="J716">
        <v>0</v>
      </c>
      <c r="K716">
        <v>0</v>
      </c>
      <c r="L716">
        <v>0</v>
      </c>
      <c r="M716">
        <f>region_summary__43[[#This Row],[REJECTED BY Admin Kabupaten]]+region_summary__43[[#This Row],[REJECTED BY Pengawas]]</f>
        <v>1</v>
      </c>
    </row>
    <row r="717" spans="1:13" x14ac:dyDescent="0.25">
      <c r="A717" s="5" t="s">
        <v>6</v>
      </c>
      <c r="B717">
        <v>7172010015001400</v>
      </c>
      <c r="C717">
        <v>48</v>
      </c>
      <c r="D717">
        <v>0</v>
      </c>
      <c r="E717">
        <v>0</v>
      </c>
      <c r="F717">
        <v>0</v>
      </c>
      <c r="G717">
        <v>48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region_summary__43[[#This Row],[REJECTED BY Admin Kabupaten]]+region_summary__43[[#This Row],[REJECTED BY Pengawas]]</f>
        <v>0</v>
      </c>
    </row>
    <row r="718" spans="1:13" x14ac:dyDescent="0.25">
      <c r="A718" s="5" t="s">
        <v>6</v>
      </c>
      <c r="B718">
        <v>7172010008000300</v>
      </c>
      <c r="C718">
        <v>43</v>
      </c>
      <c r="D718">
        <v>43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region_summary__43[[#This Row],[REJECTED BY Admin Kabupaten]]+region_summary__43[[#This Row],[REJECTED BY Pengawas]]</f>
        <v>0</v>
      </c>
    </row>
    <row r="719" spans="1:13" x14ac:dyDescent="0.25">
      <c r="A719" s="5" t="s">
        <v>13</v>
      </c>
      <c r="B719">
        <v>7172010010002100</v>
      </c>
      <c r="C719">
        <v>86</v>
      </c>
      <c r="D719">
        <v>78</v>
      </c>
      <c r="E719">
        <v>0</v>
      </c>
      <c r="F719">
        <v>4</v>
      </c>
      <c r="G719">
        <v>3</v>
      </c>
      <c r="H719">
        <v>1</v>
      </c>
      <c r="I719">
        <v>0</v>
      </c>
      <c r="J719">
        <v>0</v>
      </c>
      <c r="K719">
        <v>0</v>
      </c>
      <c r="L719">
        <v>0</v>
      </c>
      <c r="M719">
        <f>region_summary__43[[#This Row],[REJECTED BY Admin Kabupaten]]+region_summary__43[[#This Row],[REJECTED BY Pengawas]]</f>
        <v>1</v>
      </c>
    </row>
    <row r="720" spans="1:13" x14ac:dyDescent="0.25">
      <c r="A720" s="5" t="s">
        <v>13</v>
      </c>
      <c r="B720">
        <v>7172010010001600</v>
      </c>
      <c r="C720">
        <v>80</v>
      </c>
      <c r="D720">
        <v>62</v>
      </c>
      <c r="E720">
        <v>0</v>
      </c>
      <c r="F720">
        <v>1</v>
      </c>
      <c r="G720">
        <v>13</v>
      </c>
      <c r="H720">
        <v>0</v>
      </c>
      <c r="I720">
        <v>0</v>
      </c>
      <c r="J720">
        <v>0</v>
      </c>
      <c r="K720">
        <v>4</v>
      </c>
      <c r="L720">
        <v>0</v>
      </c>
      <c r="M720">
        <f>region_summary__43[[#This Row],[REJECTED BY Admin Kabupaten]]+region_summary__43[[#This Row],[REJECTED BY Pengawas]]</f>
        <v>0</v>
      </c>
    </row>
    <row r="721" spans="1:13" x14ac:dyDescent="0.25">
      <c r="A721" s="5" t="s">
        <v>13</v>
      </c>
      <c r="B721">
        <v>7172010010001800</v>
      </c>
      <c r="C721">
        <v>78</v>
      </c>
      <c r="D721">
        <v>50</v>
      </c>
      <c r="E721">
        <v>0</v>
      </c>
      <c r="F721">
        <v>5</v>
      </c>
      <c r="G721">
        <v>21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region_summary__43[[#This Row],[REJECTED BY Admin Kabupaten]]+region_summary__43[[#This Row],[REJECTED BY Pengawas]]</f>
        <v>0</v>
      </c>
    </row>
    <row r="722" spans="1:13" x14ac:dyDescent="0.25">
      <c r="A722" s="5" t="s">
        <v>13</v>
      </c>
      <c r="B722">
        <v>7172010010001900</v>
      </c>
      <c r="C722">
        <v>70</v>
      </c>
      <c r="D722">
        <v>0</v>
      </c>
      <c r="E722">
        <v>0</v>
      </c>
      <c r="F722">
        <v>0</v>
      </c>
      <c r="G722">
        <v>51</v>
      </c>
      <c r="H722">
        <v>0</v>
      </c>
      <c r="I722">
        <v>0</v>
      </c>
      <c r="J722">
        <v>0</v>
      </c>
      <c r="K722">
        <v>19</v>
      </c>
      <c r="L722">
        <v>0</v>
      </c>
      <c r="M722">
        <f>region_summary__43[[#This Row],[REJECTED BY Admin Kabupaten]]+region_summary__43[[#This Row],[REJECTED BY Pengawas]]</f>
        <v>0</v>
      </c>
    </row>
    <row r="723" spans="1:13" x14ac:dyDescent="0.25">
      <c r="A723" s="5" t="s">
        <v>13</v>
      </c>
      <c r="B723">
        <v>7172010010002000</v>
      </c>
      <c r="C723">
        <v>67</v>
      </c>
      <c r="D723">
        <v>20</v>
      </c>
      <c r="E723">
        <v>1</v>
      </c>
      <c r="F723">
        <v>0</v>
      </c>
      <c r="G723">
        <v>29</v>
      </c>
      <c r="H723">
        <v>0</v>
      </c>
      <c r="I723">
        <v>0</v>
      </c>
      <c r="J723">
        <v>0</v>
      </c>
      <c r="K723">
        <v>17</v>
      </c>
      <c r="L723">
        <v>0</v>
      </c>
      <c r="M723">
        <f>region_summary__43[[#This Row],[REJECTED BY Admin Kabupaten]]+region_summary__43[[#This Row],[REJECTED BY Pengawas]]</f>
        <v>0</v>
      </c>
    </row>
    <row r="724" spans="1:13" x14ac:dyDescent="0.25">
      <c r="A724" s="5" t="s">
        <v>13</v>
      </c>
      <c r="B724">
        <v>7172010010001700</v>
      </c>
      <c r="C724">
        <v>47</v>
      </c>
      <c r="D724">
        <v>40</v>
      </c>
      <c r="E724">
        <v>0</v>
      </c>
      <c r="F724">
        <v>2</v>
      </c>
      <c r="G724">
        <v>5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region_summary__43[[#This Row],[REJECTED BY Admin Kabupaten]]+region_summary__43[[#This Row],[REJECTED BY Pengawas]]</f>
        <v>0</v>
      </c>
    </row>
    <row r="725" spans="1:13" x14ac:dyDescent="0.25">
      <c r="A725" s="5" t="s">
        <v>13</v>
      </c>
      <c r="B725">
        <v>7172010011000300</v>
      </c>
      <c r="C725">
        <v>42</v>
      </c>
      <c r="D725">
        <v>0</v>
      </c>
      <c r="E725">
        <v>0</v>
      </c>
      <c r="F725">
        <v>0</v>
      </c>
      <c r="G725">
        <v>42</v>
      </c>
      <c r="H725">
        <v>0</v>
      </c>
      <c r="I725">
        <v>0</v>
      </c>
      <c r="J725">
        <v>0</v>
      </c>
      <c r="K725">
        <v>0</v>
      </c>
      <c r="L725">
        <v>0</v>
      </c>
      <c r="M725">
        <f>region_summary__43[[#This Row],[REJECTED BY Admin Kabupaten]]+region_summary__43[[#This Row],[REJECTED BY Pengawas]]</f>
        <v>0</v>
      </c>
    </row>
    <row r="726" spans="1:13" x14ac:dyDescent="0.25">
      <c r="A726" s="5" t="s">
        <v>13</v>
      </c>
      <c r="B726">
        <v>7172010011000100</v>
      </c>
      <c r="C726">
        <v>41</v>
      </c>
      <c r="D726">
        <v>0</v>
      </c>
      <c r="E726">
        <v>0</v>
      </c>
      <c r="F726">
        <v>0</v>
      </c>
      <c r="G726">
        <v>41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region_summary__43[[#This Row],[REJECTED BY Admin Kabupaten]]+region_summary__43[[#This Row],[REJECTED BY Pengawas]]</f>
        <v>0</v>
      </c>
    </row>
    <row r="727" spans="1:13" x14ac:dyDescent="0.25">
      <c r="A727" s="5" t="s">
        <v>13</v>
      </c>
      <c r="B727">
        <v>7172010011000600</v>
      </c>
      <c r="C727">
        <v>41</v>
      </c>
      <c r="D727">
        <v>0</v>
      </c>
      <c r="E727">
        <v>0</v>
      </c>
      <c r="F727">
        <v>0</v>
      </c>
      <c r="G727">
        <v>41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region_summary__43[[#This Row],[REJECTED BY Admin Kabupaten]]+region_summary__43[[#This Row],[REJECTED BY Pengawas]]</f>
        <v>0</v>
      </c>
    </row>
    <row r="728" spans="1:13" x14ac:dyDescent="0.25">
      <c r="A728" s="5" t="s">
        <v>13</v>
      </c>
      <c r="B728">
        <v>7172010010002200</v>
      </c>
      <c r="C728">
        <v>40</v>
      </c>
      <c r="D728">
        <v>25</v>
      </c>
      <c r="E728">
        <v>0</v>
      </c>
      <c r="F728">
        <v>3</v>
      </c>
      <c r="G728">
        <v>9</v>
      </c>
      <c r="H728">
        <v>0</v>
      </c>
      <c r="I728">
        <v>0</v>
      </c>
      <c r="J728">
        <v>0</v>
      </c>
      <c r="K728">
        <v>3</v>
      </c>
      <c r="L728">
        <v>0</v>
      </c>
      <c r="M728">
        <f>region_summary__43[[#This Row],[REJECTED BY Admin Kabupaten]]+region_summary__43[[#This Row],[REJECTED BY Pengawas]]</f>
        <v>0</v>
      </c>
    </row>
    <row r="729" spans="1:13" x14ac:dyDescent="0.25">
      <c r="A729" s="5" t="s">
        <v>13</v>
      </c>
      <c r="B729">
        <v>7172010011000200</v>
      </c>
      <c r="C729">
        <v>29</v>
      </c>
      <c r="D729">
        <v>0</v>
      </c>
      <c r="E729">
        <v>0</v>
      </c>
      <c r="F729">
        <v>0</v>
      </c>
      <c r="G729">
        <v>29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region_summary__43[[#This Row],[REJECTED BY Admin Kabupaten]]+region_summary__43[[#This Row],[REJECTED BY Pengawas]]</f>
        <v>0</v>
      </c>
    </row>
    <row r="730" spans="1:13" x14ac:dyDescent="0.25">
      <c r="A730" s="5" t="s">
        <v>13</v>
      </c>
      <c r="B730">
        <v>7172010011000500</v>
      </c>
      <c r="C730">
        <v>28</v>
      </c>
      <c r="D730">
        <v>0</v>
      </c>
      <c r="E730">
        <v>0</v>
      </c>
      <c r="F730">
        <v>0</v>
      </c>
      <c r="G730">
        <v>28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region_summary__43[[#This Row],[REJECTED BY Admin Kabupaten]]+region_summary__43[[#This Row],[REJECTED BY Pengawas]]</f>
        <v>0</v>
      </c>
    </row>
    <row r="731" spans="1:13" x14ac:dyDescent="0.25">
      <c r="A731" s="5" t="s">
        <v>13</v>
      </c>
      <c r="B731">
        <v>7172010011000400</v>
      </c>
      <c r="C731">
        <v>13</v>
      </c>
      <c r="D731">
        <v>0</v>
      </c>
      <c r="E731">
        <v>0</v>
      </c>
      <c r="F731">
        <v>0</v>
      </c>
      <c r="G731">
        <v>13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region_summary__43[[#This Row],[REJECTED BY Admin Kabupaten]]+region_summary__43[[#This Row],[REJECTED BY Pengawas]]</f>
        <v>0</v>
      </c>
    </row>
    <row r="732" spans="1:13" x14ac:dyDescent="0.25">
      <c r="A732" s="5" t="s">
        <v>16</v>
      </c>
      <c r="B732">
        <v>7172010012002300</v>
      </c>
      <c r="C732">
        <v>102</v>
      </c>
      <c r="D732">
        <v>0</v>
      </c>
      <c r="E732">
        <v>0</v>
      </c>
      <c r="F732">
        <v>0</v>
      </c>
      <c r="G732">
        <v>102</v>
      </c>
      <c r="H732">
        <v>0</v>
      </c>
      <c r="I732">
        <v>0</v>
      </c>
      <c r="J732">
        <v>0</v>
      </c>
      <c r="K732">
        <v>0</v>
      </c>
      <c r="L732">
        <v>0</v>
      </c>
      <c r="M732">
        <f>region_summary__43[[#This Row],[REJECTED BY Admin Kabupaten]]+region_summary__43[[#This Row],[REJECTED BY Pengawas]]</f>
        <v>0</v>
      </c>
    </row>
    <row r="733" spans="1:13" x14ac:dyDescent="0.25">
      <c r="A733" s="5" t="s">
        <v>16</v>
      </c>
      <c r="B733">
        <v>7172010012002100</v>
      </c>
      <c r="C733">
        <v>79</v>
      </c>
      <c r="D733">
        <v>48</v>
      </c>
      <c r="E733">
        <v>0</v>
      </c>
      <c r="F733">
        <v>1</v>
      </c>
      <c r="G733">
        <v>9</v>
      </c>
      <c r="H733">
        <v>0</v>
      </c>
      <c r="I733">
        <v>0</v>
      </c>
      <c r="J733">
        <v>0</v>
      </c>
      <c r="K733">
        <v>21</v>
      </c>
      <c r="L733">
        <v>0</v>
      </c>
      <c r="M733">
        <f>region_summary__43[[#This Row],[REJECTED BY Admin Kabupaten]]+region_summary__43[[#This Row],[REJECTED BY Pengawas]]</f>
        <v>0</v>
      </c>
    </row>
    <row r="734" spans="1:13" x14ac:dyDescent="0.25">
      <c r="A734" s="5" t="s">
        <v>16</v>
      </c>
      <c r="B734">
        <v>7172010012001500</v>
      </c>
      <c r="C734">
        <v>78</v>
      </c>
      <c r="D734">
        <v>70</v>
      </c>
      <c r="E734">
        <v>1</v>
      </c>
      <c r="F734">
        <v>0</v>
      </c>
      <c r="G734">
        <v>6</v>
      </c>
      <c r="H734">
        <v>1</v>
      </c>
      <c r="I734">
        <v>0</v>
      </c>
      <c r="J734">
        <v>0</v>
      </c>
      <c r="K734">
        <v>0</v>
      </c>
      <c r="L734">
        <v>0</v>
      </c>
      <c r="M734">
        <f>region_summary__43[[#This Row],[REJECTED BY Admin Kabupaten]]+region_summary__43[[#This Row],[REJECTED BY Pengawas]]</f>
        <v>1</v>
      </c>
    </row>
    <row r="735" spans="1:13" x14ac:dyDescent="0.25">
      <c r="A735" s="5" t="s">
        <v>16</v>
      </c>
      <c r="B735">
        <v>7172010012001400</v>
      </c>
      <c r="C735">
        <v>65</v>
      </c>
      <c r="D735">
        <v>58</v>
      </c>
      <c r="E735">
        <v>4</v>
      </c>
      <c r="F735">
        <v>2</v>
      </c>
      <c r="G735">
        <v>1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region_summary__43[[#This Row],[REJECTED BY Admin Kabupaten]]+region_summary__43[[#This Row],[REJECTED BY Pengawas]]</f>
        <v>0</v>
      </c>
    </row>
    <row r="736" spans="1:13" x14ac:dyDescent="0.25">
      <c r="A736" s="5" t="s">
        <v>16</v>
      </c>
      <c r="B736">
        <v>7172010012002200</v>
      </c>
      <c r="C736">
        <v>61</v>
      </c>
      <c r="D736">
        <v>0</v>
      </c>
      <c r="E736">
        <v>0</v>
      </c>
      <c r="F736">
        <v>0</v>
      </c>
      <c r="G736">
        <v>61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region_summary__43[[#This Row],[REJECTED BY Admin Kabupaten]]+region_summary__43[[#This Row],[REJECTED BY Pengawas]]</f>
        <v>0</v>
      </c>
    </row>
    <row r="737" spans="1:13" x14ac:dyDescent="0.25">
      <c r="A737" s="5" t="s">
        <v>16</v>
      </c>
      <c r="B737">
        <v>7172010012001800</v>
      </c>
      <c r="C737">
        <v>59</v>
      </c>
      <c r="D737">
        <v>0</v>
      </c>
      <c r="E737">
        <v>0</v>
      </c>
      <c r="F737">
        <v>0</v>
      </c>
      <c r="G737">
        <v>59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region_summary__43[[#This Row],[REJECTED BY Admin Kabupaten]]+region_summary__43[[#This Row],[REJECTED BY Pengawas]]</f>
        <v>0</v>
      </c>
    </row>
    <row r="738" spans="1:13" x14ac:dyDescent="0.25">
      <c r="A738" s="5" t="s">
        <v>16</v>
      </c>
      <c r="B738">
        <v>7172010012001700</v>
      </c>
      <c r="C738">
        <v>53</v>
      </c>
      <c r="D738">
        <v>51</v>
      </c>
      <c r="E738">
        <v>0</v>
      </c>
      <c r="F738">
        <v>1</v>
      </c>
      <c r="G738">
        <v>0</v>
      </c>
      <c r="H738">
        <v>1</v>
      </c>
      <c r="I738">
        <v>0</v>
      </c>
      <c r="J738">
        <v>0</v>
      </c>
      <c r="K738">
        <v>0</v>
      </c>
      <c r="L738">
        <v>0</v>
      </c>
      <c r="M738">
        <f>region_summary__43[[#This Row],[REJECTED BY Admin Kabupaten]]+region_summary__43[[#This Row],[REJECTED BY Pengawas]]</f>
        <v>1</v>
      </c>
    </row>
    <row r="739" spans="1:13" x14ac:dyDescent="0.25">
      <c r="A739" s="5" t="s">
        <v>16</v>
      </c>
      <c r="B739">
        <v>7172010012002400</v>
      </c>
      <c r="C739">
        <v>51</v>
      </c>
      <c r="D739">
        <v>0</v>
      </c>
      <c r="E739">
        <v>0</v>
      </c>
      <c r="F739">
        <v>0</v>
      </c>
      <c r="G739">
        <v>51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region_summary__43[[#This Row],[REJECTED BY Admin Kabupaten]]+region_summary__43[[#This Row],[REJECTED BY Pengawas]]</f>
        <v>0</v>
      </c>
    </row>
    <row r="740" spans="1:13" x14ac:dyDescent="0.25">
      <c r="A740" s="5" t="s">
        <v>16</v>
      </c>
      <c r="B740">
        <v>7172010012002000</v>
      </c>
      <c r="C740">
        <v>45</v>
      </c>
      <c r="D740">
        <v>0</v>
      </c>
      <c r="E740">
        <v>0</v>
      </c>
      <c r="F740">
        <v>0</v>
      </c>
      <c r="G740">
        <v>45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region_summary__43[[#This Row],[REJECTED BY Admin Kabupaten]]+region_summary__43[[#This Row],[REJECTED BY Pengawas]]</f>
        <v>0</v>
      </c>
    </row>
    <row r="741" spans="1:13" x14ac:dyDescent="0.25">
      <c r="A741" s="5" t="s">
        <v>16</v>
      </c>
      <c r="B741">
        <v>7172010012001300</v>
      </c>
      <c r="C741">
        <v>30</v>
      </c>
      <c r="D741">
        <v>26</v>
      </c>
      <c r="E741">
        <v>0</v>
      </c>
      <c r="F741">
        <v>4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region_summary__43[[#This Row],[REJECTED BY Admin Kabupaten]]+region_summary__43[[#This Row],[REJECTED BY Pengawas]]</f>
        <v>0</v>
      </c>
    </row>
    <row r="742" spans="1:13" x14ac:dyDescent="0.25">
      <c r="A742" s="5" t="s">
        <v>16</v>
      </c>
      <c r="B742">
        <v>7172010012001600</v>
      </c>
      <c r="C742">
        <v>30</v>
      </c>
      <c r="D742">
        <v>30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region_summary__43[[#This Row],[REJECTED BY Admin Kabupaten]]+region_summary__43[[#This Row],[REJECTED BY Pengawas]]</f>
        <v>0</v>
      </c>
    </row>
    <row r="743" spans="1:13" x14ac:dyDescent="0.25">
      <c r="A743" s="5" t="s">
        <v>16</v>
      </c>
      <c r="B743">
        <v>7172010012001900</v>
      </c>
      <c r="C743">
        <v>28</v>
      </c>
      <c r="D743">
        <v>0</v>
      </c>
      <c r="E743">
        <v>0</v>
      </c>
      <c r="F743">
        <v>0</v>
      </c>
      <c r="G743">
        <v>28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region_summary__43[[#This Row],[REJECTED BY Admin Kabupaten]]+region_summary__43[[#This Row],[REJECTED BY Pengawas]]</f>
        <v>0</v>
      </c>
    </row>
    <row r="744" spans="1:13" x14ac:dyDescent="0.25">
      <c r="A744" s="5" t="s">
        <v>17</v>
      </c>
      <c r="B744">
        <v>7172010015003400</v>
      </c>
      <c r="C744">
        <v>227</v>
      </c>
      <c r="D744">
        <v>213</v>
      </c>
      <c r="E744">
        <v>5</v>
      </c>
      <c r="F744">
        <v>4</v>
      </c>
      <c r="G744">
        <v>0</v>
      </c>
      <c r="H744">
        <v>3</v>
      </c>
      <c r="I744">
        <v>1</v>
      </c>
      <c r="J744">
        <v>0</v>
      </c>
      <c r="K744">
        <v>1</v>
      </c>
      <c r="L744">
        <v>0</v>
      </c>
      <c r="M744">
        <f>region_summary__43[[#This Row],[REJECTED BY Admin Kabupaten]]+region_summary__43[[#This Row],[REJECTED BY Pengawas]]</f>
        <v>4</v>
      </c>
    </row>
    <row r="745" spans="1:13" x14ac:dyDescent="0.25">
      <c r="A745" s="5" t="s">
        <v>17</v>
      </c>
      <c r="B745">
        <v>7172010015003300</v>
      </c>
      <c r="C745">
        <v>215</v>
      </c>
      <c r="D745">
        <v>65</v>
      </c>
      <c r="E745">
        <v>23</v>
      </c>
      <c r="F745">
        <v>1</v>
      </c>
      <c r="G745">
        <v>115</v>
      </c>
      <c r="H745">
        <v>1</v>
      </c>
      <c r="I745">
        <v>0</v>
      </c>
      <c r="J745">
        <v>0</v>
      </c>
      <c r="K745">
        <v>10</v>
      </c>
      <c r="L745">
        <v>0</v>
      </c>
      <c r="M745">
        <f>region_summary__43[[#This Row],[REJECTED BY Admin Kabupaten]]+region_summary__43[[#This Row],[REJECTED BY Pengawas]]</f>
        <v>1</v>
      </c>
    </row>
    <row r="746" spans="1:13" x14ac:dyDescent="0.25">
      <c r="A746" s="5" t="s">
        <v>17</v>
      </c>
      <c r="B746">
        <v>7172010015000400</v>
      </c>
      <c r="C746">
        <v>67</v>
      </c>
      <c r="D746">
        <v>0</v>
      </c>
      <c r="E746">
        <v>0</v>
      </c>
      <c r="F746">
        <v>0</v>
      </c>
      <c r="G746">
        <v>67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region_summary__43[[#This Row],[REJECTED BY Admin Kabupaten]]+region_summary__43[[#This Row],[REJECTED BY Pengawas]]</f>
        <v>0</v>
      </c>
    </row>
    <row r="747" spans="1:13" x14ac:dyDescent="0.25">
      <c r="A747" s="5" t="s">
        <v>17</v>
      </c>
      <c r="B747">
        <v>7172010015000100</v>
      </c>
      <c r="C747">
        <v>56</v>
      </c>
      <c r="D747">
        <v>0</v>
      </c>
      <c r="E747">
        <v>0</v>
      </c>
      <c r="F747">
        <v>0</v>
      </c>
      <c r="G747">
        <v>56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f>region_summary__43[[#This Row],[REJECTED BY Admin Kabupaten]]+region_summary__43[[#This Row],[REJECTED BY Pengawas]]</f>
        <v>0</v>
      </c>
    </row>
    <row r="748" spans="1:13" x14ac:dyDescent="0.25">
      <c r="A748" s="5" t="s">
        <v>17</v>
      </c>
      <c r="B748">
        <v>7172010015000200</v>
      </c>
      <c r="C748">
        <v>54</v>
      </c>
      <c r="D748">
        <v>0</v>
      </c>
      <c r="E748">
        <v>0</v>
      </c>
      <c r="F748">
        <v>0</v>
      </c>
      <c r="G748">
        <v>54</v>
      </c>
      <c r="H748">
        <v>0</v>
      </c>
      <c r="I748">
        <v>0</v>
      </c>
      <c r="J748">
        <v>0</v>
      </c>
      <c r="K748">
        <v>0</v>
      </c>
      <c r="L748">
        <v>0</v>
      </c>
      <c r="M748">
        <f>region_summary__43[[#This Row],[REJECTED BY Admin Kabupaten]]+region_summary__43[[#This Row],[REJECTED BY Pengawas]]</f>
        <v>0</v>
      </c>
    </row>
    <row r="749" spans="1:13" x14ac:dyDescent="0.25">
      <c r="A749" s="5" t="s">
        <v>17</v>
      </c>
      <c r="B749">
        <v>7172010015000300</v>
      </c>
      <c r="C749">
        <v>44</v>
      </c>
      <c r="D749">
        <v>0</v>
      </c>
      <c r="E749">
        <v>0</v>
      </c>
      <c r="F749">
        <v>0</v>
      </c>
      <c r="G749">
        <v>44</v>
      </c>
      <c r="H749">
        <v>0</v>
      </c>
      <c r="I749">
        <v>0</v>
      </c>
      <c r="J749">
        <v>0</v>
      </c>
      <c r="K749">
        <v>0</v>
      </c>
      <c r="L749">
        <v>0</v>
      </c>
      <c r="M749">
        <f>region_summary__43[[#This Row],[REJECTED BY Admin Kabupaten]]+region_summary__43[[#This Row],[REJECTED BY Pengawas]]</f>
        <v>0</v>
      </c>
    </row>
    <row r="750" spans="1:13" x14ac:dyDescent="0.25">
      <c r="A750" s="5" t="s">
        <v>17</v>
      </c>
      <c r="B750">
        <v>7172010015000500</v>
      </c>
      <c r="C750">
        <v>30</v>
      </c>
      <c r="D750">
        <v>0</v>
      </c>
      <c r="E750">
        <v>0</v>
      </c>
      <c r="F750">
        <v>0</v>
      </c>
      <c r="G750">
        <v>30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f>region_summary__43[[#This Row],[REJECTED BY Admin Kabupaten]]+region_summary__43[[#This Row],[REJECTED BY Pengawas]]</f>
        <v>0</v>
      </c>
    </row>
    <row r="751" spans="1:13" x14ac:dyDescent="0.25">
      <c r="A751" s="5" t="s">
        <v>19</v>
      </c>
      <c r="B751">
        <v>7172010016002300</v>
      </c>
      <c r="C751">
        <v>149</v>
      </c>
      <c r="D751">
        <v>20</v>
      </c>
      <c r="E751">
        <v>0</v>
      </c>
      <c r="F751">
        <v>0</v>
      </c>
      <c r="G751">
        <v>129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region_summary__43[[#This Row],[REJECTED BY Admin Kabupaten]]+region_summary__43[[#This Row],[REJECTED BY Pengawas]]</f>
        <v>0</v>
      </c>
    </row>
    <row r="752" spans="1:13" x14ac:dyDescent="0.25">
      <c r="A752" s="5" t="s">
        <v>19</v>
      </c>
      <c r="B752">
        <v>7172010016002400</v>
      </c>
      <c r="C752">
        <v>107</v>
      </c>
      <c r="D752">
        <v>99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8</v>
      </c>
      <c r="L752">
        <v>0</v>
      </c>
      <c r="M752">
        <f>region_summary__43[[#This Row],[REJECTED BY Admin Kabupaten]]+region_summary__43[[#This Row],[REJECTED BY Pengawas]]</f>
        <v>0</v>
      </c>
    </row>
    <row r="753" spans="1:13" x14ac:dyDescent="0.25">
      <c r="A753" s="5" t="s">
        <v>19</v>
      </c>
      <c r="B753">
        <v>7172010017000400</v>
      </c>
      <c r="C753">
        <v>90</v>
      </c>
      <c r="D753">
        <v>16</v>
      </c>
      <c r="E753">
        <v>0</v>
      </c>
      <c r="F753">
        <v>0</v>
      </c>
      <c r="G753">
        <v>74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region_summary__43[[#This Row],[REJECTED BY Admin Kabupaten]]+region_summary__43[[#This Row],[REJECTED BY Pengawas]]</f>
        <v>0</v>
      </c>
    </row>
    <row r="754" spans="1:13" x14ac:dyDescent="0.25">
      <c r="A754" s="5" t="s">
        <v>19</v>
      </c>
      <c r="B754">
        <v>7172010016002500</v>
      </c>
      <c r="C754">
        <v>83</v>
      </c>
      <c r="D754">
        <v>19</v>
      </c>
      <c r="E754">
        <v>0</v>
      </c>
      <c r="F754">
        <v>0</v>
      </c>
      <c r="G754">
        <v>63</v>
      </c>
      <c r="H754">
        <v>0</v>
      </c>
      <c r="I754">
        <v>0</v>
      </c>
      <c r="J754">
        <v>0</v>
      </c>
      <c r="K754">
        <v>0</v>
      </c>
      <c r="L754">
        <v>1</v>
      </c>
      <c r="M754">
        <f>region_summary__43[[#This Row],[REJECTED BY Admin Kabupaten]]+region_summary__43[[#This Row],[REJECTED BY Pengawas]]</f>
        <v>0</v>
      </c>
    </row>
    <row r="755" spans="1:13" x14ac:dyDescent="0.25">
      <c r="A755" s="5" t="s">
        <v>19</v>
      </c>
      <c r="B755">
        <v>7172010017000200</v>
      </c>
      <c r="C755">
        <v>61</v>
      </c>
      <c r="D755">
        <v>60</v>
      </c>
      <c r="E755">
        <v>0</v>
      </c>
      <c r="F755">
        <v>0</v>
      </c>
      <c r="G755">
        <v>0</v>
      </c>
      <c r="H755">
        <v>0</v>
      </c>
      <c r="I755">
        <v>1</v>
      </c>
      <c r="J755">
        <v>0</v>
      </c>
      <c r="K755">
        <v>0</v>
      </c>
      <c r="L755">
        <v>0</v>
      </c>
      <c r="M755">
        <f>region_summary__43[[#This Row],[REJECTED BY Admin Kabupaten]]+region_summary__43[[#This Row],[REJECTED BY Pengawas]]</f>
        <v>1</v>
      </c>
    </row>
    <row r="756" spans="1:13" x14ac:dyDescent="0.25">
      <c r="A756" s="5" t="s">
        <v>19</v>
      </c>
      <c r="B756">
        <v>7172010017000100</v>
      </c>
      <c r="C756">
        <v>53</v>
      </c>
      <c r="D756">
        <v>53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region_summary__43[[#This Row],[REJECTED BY Admin Kabupaten]]+region_summary__43[[#This Row],[REJECTED BY Pengawas]]</f>
        <v>0</v>
      </c>
    </row>
    <row r="757" spans="1:13" x14ac:dyDescent="0.25">
      <c r="A757" s="5" t="s">
        <v>19</v>
      </c>
      <c r="B757">
        <v>7172010015000700</v>
      </c>
      <c r="C757">
        <v>46</v>
      </c>
      <c r="D757">
        <v>2</v>
      </c>
      <c r="E757">
        <v>0</v>
      </c>
      <c r="F757">
        <v>0</v>
      </c>
      <c r="G757">
        <v>44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region_summary__43[[#This Row],[REJECTED BY Admin Kabupaten]]+region_summary__43[[#This Row],[REJECTED BY Pengawas]]</f>
        <v>0</v>
      </c>
    </row>
    <row r="758" spans="1:13" x14ac:dyDescent="0.25">
      <c r="A758" s="5" t="s">
        <v>19</v>
      </c>
      <c r="B758">
        <v>7172010016002600</v>
      </c>
      <c r="C758">
        <v>43</v>
      </c>
      <c r="D758">
        <v>20</v>
      </c>
      <c r="E758">
        <v>0</v>
      </c>
      <c r="F758">
        <v>0</v>
      </c>
      <c r="G758">
        <v>23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region_summary__43[[#This Row],[REJECTED BY Admin Kabupaten]]+region_summary__43[[#This Row],[REJECTED BY Pengawas]]</f>
        <v>0</v>
      </c>
    </row>
    <row r="759" spans="1:13" x14ac:dyDescent="0.25">
      <c r="A759" s="5" t="s">
        <v>19</v>
      </c>
      <c r="B759">
        <v>7172010017000300</v>
      </c>
      <c r="C759">
        <v>43</v>
      </c>
      <c r="D759">
        <v>0</v>
      </c>
      <c r="E759">
        <v>0</v>
      </c>
      <c r="F759">
        <v>0</v>
      </c>
      <c r="G759">
        <v>42</v>
      </c>
      <c r="H759">
        <v>0</v>
      </c>
      <c r="I759">
        <v>0</v>
      </c>
      <c r="J759">
        <v>0</v>
      </c>
      <c r="K759">
        <v>1</v>
      </c>
      <c r="L759">
        <v>0</v>
      </c>
      <c r="M759">
        <f>region_summary__43[[#This Row],[REJECTED BY Admin Kabupaten]]+region_summary__43[[#This Row],[REJECTED BY Pengawas]]</f>
        <v>0</v>
      </c>
    </row>
    <row r="760" spans="1:13" x14ac:dyDescent="0.25">
      <c r="A760" s="5" t="s">
        <v>20</v>
      </c>
      <c r="B760">
        <v>7172010016001700</v>
      </c>
      <c r="C760">
        <v>101</v>
      </c>
      <c r="D760">
        <v>87</v>
      </c>
      <c r="E760">
        <v>0</v>
      </c>
      <c r="F760">
        <v>6</v>
      </c>
      <c r="G760">
        <v>6</v>
      </c>
      <c r="H760">
        <v>0</v>
      </c>
      <c r="I760">
        <v>0</v>
      </c>
      <c r="J760">
        <v>0</v>
      </c>
      <c r="K760">
        <v>2</v>
      </c>
      <c r="L760">
        <v>0</v>
      </c>
      <c r="M760">
        <f>region_summary__43[[#This Row],[REJECTED BY Admin Kabupaten]]+region_summary__43[[#This Row],[REJECTED BY Pengawas]]</f>
        <v>0</v>
      </c>
    </row>
    <row r="761" spans="1:13" x14ac:dyDescent="0.25">
      <c r="A761" s="5" t="s">
        <v>20</v>
      </c>
      <c r="B761">
        <v>7172010016001800</v>
      </c>
      <c r="C761">
        <v>97</v>
      </c>
      <c r="D761">
        <v>0</v>
      </c>
      <c r="E761">
        <v>0</v>
      </c>
      <c r="F761">
        <v>0</v>
      </c>
      <c r="G761">
        <v>97</v>
      </c>
      <c r="H761">
        <v>0</v>
      </c>
      <c r="I761">
        <v>0</v>
      </c>
      <c r="J761">
        <v>0</v>
      </c>
      <c r="K761">
        <v>0</v>
      </c>
      <c r="L761">
        <v>0</v>
      </c>
      <c r="M761">
        <f>region_summary__43[[#This Row],[REJECTED BY Admin Kabupaten]]+region_summary__43[[#This Row],[REJECTED BY Pengawas]]</f>
        <v>0</v>
      </c>
    </row>
    <row r="762" spans="1:13" x14ac:dyDescent="0.25">
      <c r="A762" s="5" t="s">
        <v>20</v>
      </c>
      <c r="B762">
        <v>7172010016002000</v>
      </c>
      <c r="C762">
        <v>84</v>
      </c>
      <c r="D762">
        <v>47</v>
      </c>
      <c r="E762">
        <v>2</v>
      </c>
      <c r="F762">
        <v>4</v>
      </c>
      <c r="G762">
        <v>31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region_summary__43[[#This Row],[REJECTED BY Admin Kabupaten]]+region_summary__43[[#This Row],[REJECTED BY Pengawas]]</f>
        <v>0</v>
      </c>
    </row>
    <row r="763" spans="1:13" x14ac:dyDescent="0.25">
      <c r="A763" s="5" t="s">
        <v>20</v>
      </c>
      <c r="B763">
        <v>7172010016002200</v>
      </c>
      <c r="C763">
        <v>62</v>
      </c>
      <c r="D763">
        <v>53</v>
      </c>
      <c r="E763">
        <v>2</v>
      </c>
      <c r="F763">
        <v>3</v>
      </c>
      <c r="G763">
        <v>4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region_summary__43[[#This Row],[REJECTED BY Admin Kabupaten]]+region_summary__43[[#This Row],[REJECTED BY Pengawas]]</f>
        <v>0</v>
      </c>
    </row>
    <row r="764" spans="1:13" x14ac:dyDescent="0.25">
      <c r="A764" s="5" t="s">
        <v>20</v>
      </c>
      <c r="B764">
        <v>7172010015000800</v>
      </c>
      <c r="C764">
        <v>61</v>
      </c>
      <c r="D764">
        <v>0</v>
      </c>
      <c r="E764">
        <v>0</v>
      </c>
      <c r="F764">
        <v>0</v>
      </c>
      <c r="G764">
        <v>61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region_summary__43[[#This Row],[REJECTED BY Admin Kabupaten]]+region_summary__43[[#This Row],[REJECTED BY Pengawas]]</f>
        <v>0</v>
      </c>
    </row>
    <row r="765" spans="1:13" x14ac:dyDescent="0.25">
      <c r="A765" s="5" t="s">
        <v>20</v>
      </c>
      <c r="B765">
        <v>7172010016001900</v>
      </c>
      <c r="C765">
        <v>60</v>
      </c>
      <c r="D765">
        <v>0</v>
      </c>
      <c r="E765">
        <v>0</v>
      </c>
      <c r="F765">
        <v>0</v>
      </c>
      <c r="G765">
        <v>60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region_summary__43[[#This Row],[REJECTED BY Admin Kabupaten]]+region_summary__43[[#This Row],[REJECTED BY Pengawas]]</f>
        <v>0</v>
      </c>
    </row>
    <row r="766" spans="1:13" x14ac:dyDescent="0.25">
      <c r="A766" s="5" t="s">
        <v>20</v>
      </c>
      <c r="B766">
        <v>7172010016002100</v>
      </c>
      <c r="C766">
        <v>60</v>
      </c>
      <c r="D766">
        <v>13</v>
      </c>
      <c r="E766">
        <v>1</v>
      </c>
      <c r="F766">
        <v>2</v>
      </c>
      <c r="G766">
        <v>8</v>
      </c>
      <c r="H766">
        <v>0</v>
      </c>
      <c r="I766">
        <v>0</v>
      </c>
      <c r="J766">
        <v>0</v>
      </c>
      <c r="K766">
        <v>36</v>
      </c>
      <c r="L766">
        <v>0</v>
      </c>
      <c r="M766">
        <f>region_summary__43[[#This Row],[REJECTED BY Admin Kabupaten]]+region_summary__43[[#This Row],[REJECTED BY Pengawas]]</f>
        <v>0</v>
      </c>
    </row>
    <row r="767" spans="1:13" x14ac:dyDescent="0.25">
      <c r="A767" s="5" t="s">
        <v>20</v>
      </c>
      <c r="B767">
        <v>7172010016001600</v>
      </c>
      <c r="C767">
        <v>48</v>
      </c>
      <c r="D767">
        <v>0</v>
      </c>
      <c r="E767">
        <v>0</v>
      </c>
      <c r="F767">
        <v>0</v>
      </c>
      <c r="G767">
        <v>48</v>
      </c>
      <c r="H767">
        <v>0</v>
      </c>
      <c r="I767">
        <v>0</v>
      </c>
      <c r="J767">
        <v>0</v>
      </c>
      <c r="K767">
        <v>0</v>
      </c>
      <c r="L767">
        <v>0</v>
      </c>
      <c r="M767">
        <f>region_summary__43[[#This Row],[REJECTED BY Admin Kabupaten]]+region_summary__43[[#This Row],[REJECTED BY Pengawas]]</f>
        <v>0</v>
      </c>
    </row>
    <row r="768" spans="1:13" x14ac:dyDescent="0.25">
      <c r="A768" s="5" t="s">
        <v>20</v>
      </c>
      <c r="B768">
        <v>7172010016001400</v>
      </c>
      <c r="C768">
        <v>47</v>
      </c>
      <c r="D768">
        <v>0</v>
      </c>
      <c r="E768">
        <v>0</v>
      </c>
      <c r="F768">
        <v>0</v>
      </c>
      <c r="G768">
        <v>47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region_summary__43[[#This Row],[REJECTED BY Admin Kabupaten]]+region_summary__43[[#This Row],[REJECTED BY Pengawas]]</f>
        <v>0</v>
      </c>
    </row>
    <row r="769" spans="1:13" x14ac:dyDescent="0.25">
      <c r="A769" s="5" t="s">
        <v>20</v>
      </c>
      <c r="B769">
        <v>7172010016001500</v>
      </c>
      <c r="C769">
        <v>45</v>
      </c>
      <c r="D769">
        <v>30</v>
      </c>
      <c r="E769">
        <v>0</v>
      </c>
      <c r="F769">
        <v>8</v>
      </c>
      <c r="G769">
        <v>7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region_summary__43[[#This Row],[REJECTED BY Admin Kabupaten]]+region_summary__43[[#This Row],[REJECTED BY Pengawas]]</f>
        <v>0</v>
      </c>
    </row>
    <row r="770" spans="1:13" x14ac:dyDescent="0.25">
      <c r="A770" s="5" t="s">
        <v>22</v>
      </c>
      <c r="B770">
        <v>7172010015002100</v>
      </c>
      <c r="C770">
        <v>149</v>
      </c>
      <c r="D770">
        <v>123</v>
      </c>
      <c r="E770">
        <v>5</v>
      </c>
      <c r="F770">
        <v>4</v>
      </c>
      <c r="G770">
        <v>16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f>region_summary__43[[#This Row],[REJECTED BY Admin Kabupaten]]+region_summary__43[[#This Row],[REJECTED BY Pengawas]]</f>
        <v>1</v>
      </c>
    </row>
    <row r="771" spans="1:13" x14ac:dyDescent="0.25">
      <c r="A771" s="5" t="s">
        <v>22</v>
      </c>
      <c r="B771">
        <v>7172010015002400</v>
      </c>
      <c r="C771">
        <v>138</v>
      </c>
      <c r="D771">
        <v>90</v>
      </c>
      <c r="E771">
        <v>0</v>
      </c>
      <c r="F771">
        <v>6</v>
      </c>
      <c r="G771">
        <v>41</v>
      </c>
      <c r="H771">
        <v>0</v>
      </c>
      <c r="I771">
        <v>1</v>
      </c>
      <c r="J771">
        <v>0</v>
      </c>
      <c r="K771">
        <v>0</v>
      </c>
      <c r="L771">
        <v>0</v>
      </c>
      <c r="M771">
        <f>region_summary__43[[#This Row],[REJECTED BY Admin Kabupaten]]+region_summary__43[[#This Row],[REJECTED BY Pengawas]]</f>
        <v>1</v>
      </c>
    </row>
    <row r="772" spans="1:13" x14ac:dyDescent="0.25">
      <c r="A772" s="5" t="s">
        <v>22</v>
      </c>
      <c r="B772">
        <v>7172010015002500</v>
      </c>
      <c r="C772">
        <v>119</v>
      </c>
      <c r="D772">
        <v>89</v>
      </c>
      <c r="E772">
        <v>1</v>
      </c>
      <c r="F772">
        <v>6</v>
      </c>
      <c r="G772">
        <v>21</v>
      </c>
      <c r="H772">
        <v>2</v>
      </c>
      <c r="I772">
        <v>0</v>
      </c>
      <c r="J772">
        <v>0</v>
      </c>
      <c r="K772">
        <v>0</v>
      </c>
      <c r="L772">
        <v>0</v>
      </c>
      <c r="M772">
        <f>region_summary__43[[#This Row],[REJECTED BY Admin Kabupaten]]+region_summary__43[[#This Row],[REJECTED BY Pengawas]]</f>
        <v>2</v>
      </c>
    </row>
    <row r="773" spans="1:13" x14ac:dyDescent="0.25">
      <c r="A773" s="5" t="s">
        <v>22</v>
      </c>
      <c r="B773">
        <v>7172010015002301</v>
      </c>
      <c r="C773">
        <v>95</v>
      </c>
      <c r="D773">
        <v>0</v>
      </c>
      <c r="E773">
        <v>0</v>
      </c>
      <c r="F773">
        <v>0</v>
      </c>
      <c r="G773">
        <v>95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region_summary__43[[#This Row],[REJECTED BY Admin Kabupaten]]+region_summary__43[[#This Row],[REJECTED BY Pengawas]]</f>
        <v>0</v>
      </c>
    </row>
    <row r="774" spans="1:13" x14ac:dyDescent="0.25">
      <c r="A774" s="5" t="s">
        <v>22</v>
      </c>
      <c r="B774">
        <v>7172010015002200</v>
      </c>
      <c r="C774">
        <v>91</v>
      </c>
      <c r="D774">
        <v>7</v>
      </c>
      <c r="E774">
        <v>9</v>
      </c>
      <c r="F774">
        <v>0</v>
      </c>
      <c r="G774">
        <v>50</v>
      </c>
      <c r="H774">
        <v>0</v>
      </c>
      <c r="I774">
        <v>0</v>
      </c>
      <c r="J774">
        <v>0</v>
      </c>
      <c r="K774">
        <v>25</v>
      </c>
      <c r="L774">
        <v>0</v>
      </c>
      <c r="M774">
        <f>region_summary__43[[#This Row],[REJECTED BY Admin Kabupaten]]+region_summary__43[[#This Row],[REJECTED BY Pengawas]]</f>
        <v>0</v>
      </c>
    </row>
    <row r="775" spans="1:13" x14ac:dyDescent="0.25">
      <c r="A775" s="5" t="s">
        <v>22</v>
      </c>
      <c r="B775">
        <v>7172010015002601</v>
      </c>
      <c r="C775">
        <v>71</v>
      </c>
      <c r="D775">
        <v>0</v>
      </c>
      <c r="E775">
        <v>0</v>
      </c>
      <c r="F775">
        <v>0</v>
      </c>
      <c r="G775">
        <v>71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region_summary__43[[#This Row],[REJECTED BY Admin Kabupaten]]+region_summary__43[[#This Row],[REJECTED BY Pengawas]]</f>
        <v>0</v>
      </c>
    </row>
    <row r="776" spans="1:13" x14ac:dyDescent="0.25">
      <c r="A776" s="5" t="s">
        <v>22</v>
      </c>
      <c r="B776">
        <v>7172010015001100</v>
      </c>
      <c r="C776">
        <v>26</v>
      </c>
      <c r="D776">
        <v>0</v>
      </c>
      <c r="E776">
        <v>0</v>
      </c>
      <c r="F776">
        <v>0</v>
      </c>
      <c r="G776">
        <v>26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region_summary__43[[#This Row],[REJECTED BY Admin Kabupaten]]+region_summary__43[[#This Row],[REJECTED BY Pengawas]]</f>
        <v>0</v>
      </c>
    </row>
    <row r="777" spans="1:13" x14ac:dyDescent="0.25">
      <c r="A777" s="5" t="s">
        <v>22</v>
      </c>
      <c r="B777">
        <v>7172010015002302</v>
      </c>
      <c r="C777">
        <v>6</v>
      </c>
      <c r="D777">
        <v>0</v>
      </c>
      <c r="E777">
        <v>0</v>
      </c>
      <c r="F777">
        <v>0</v>
      </c>
      <c r="G777">
        <v>6</v>
      </c>
      <c r="H777">
        <v>0</v>
      </c>
      <c r="I777">
        <v>0</v>
      </c>
      <c r="J777">
        <v>0</v>
      </c>
      <c r="K777">
        <v>0</v>
      </c>
      <c r="L777">
        <v>0</v>
      </c>
      <c r="M777">
        <f>region_summary__43[[#This Row],[REJECTED BY Admin Kabupaten]]+region_summary__43[[#This Row],[REJECTED BY Pengawas]]</f>
        <v>0</v>
      </c>
    </row>
    <row r="778" spans="1:13" x14ac:dyDescent="0.25">
      <c r="A778" s="5" t="s">
        <v>24</v>
      </c>
      <c r="B778">
        <v>7172010016001300</v>
      </c>
      <c r="C778">
        <v>103</v>
      </c>
      <c r="D778">
        <v>97</v>
      </c>
      <c r="E778">
        <v>0</v>
      </c>
      <c r="F778">
        <v>2</v>
      </c>
      <c r="G778">
        <v>3</v>
      </c>
      <c r="H778">
        <v>0</v>
      </c>
      <c r="I778">
        <v>0</v>
      </c>
      <c r="J778">
        <v>0</v>
      </c>
      <c r="K778">
        <v>1</v>
      </c>
      <c r="L778">
        <v>0</v>
      </c>
      <c r="M778">
        <f>region_summary__43[[#This Row],[REJECTED BY Admin Kabupaten]]+region_summary__43[[#This Row],[REJECTED BY Pengawas]]</f>
        <v>0</v>
      </c>
    </row>
    <row r="779" spans="1:13" x14ac:dyDescent="0.25">
      <c r="A779" s="5" t="s">
        <v>24</v>
      </c>
      <c r="B779">
        <v>7172010016000700</v>
      </c>
      <c r="C779">
        <v>77</v>
      </c>
      <c r="D779">
        <v>69</v>
      </c>
      <c r="E779">
        <v>2</v>
      </c>
      <c r="F779">
        <v>0</v>
      </c>
      <c r="G779">
        <v>4</v>
      </c>
      <c r="H779">
        <v>0</v>
      </c>
      <c r="I779">
        <v>0</v>
      </c>
      <c r="J779">
        <v>0</v>
      </c>
      <c r="K779">
        <v>2</v>
      </c>
      <c r="L779">
        <v>0</v>
      </c>
      <c r="M779">
        <f>region_summary__43[[#This Row],[REJECTED BY Admin Kabupaten]]+region_summary__43[[#This Row],[REJECTED BY Pengawas]]</f>
        <v>0</v>
      </c>
    </row>
    <row r="780" spans="1:13" x14ac:dyDescent="0.25">
      <c r="A780" s="5" t="s">
        <v>24</v>
      </c>
      <c r="B780">
        <v>7172010016000500</v>
      </c>
      <c r="C780">
        <v>71</v>
      </c>
      <c r="D780">
        <v>0</v>
      </c>
      <c r="E780">
        <v>0</v>
      </c>
      <c r="F780">
        <v>0</v>
      </c>
      <c r="G780">
        <v>71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region_summary__43[[#This Row],[REJECTED BY Admin Kabupaten]]+region_summary__43[[#This Row],[REJECTED BY Pengawas]]</f>
        <v>0</v>
      </c>
    </row>
    <row r="781" spans="1:13" x14ac:dyDescent="0.25">
      <c r="A781" s="5" t="s">
        <v>24</v>
      </c>
      <c r="B781">
        <v>7172010016001200</v>
      </c>
      <c r="C781">
        <v>70</v>
      </c>
      <c r="D781">
        <v>0</v>
      </c>
      <c r="E781">
        <v>5</v>
      </c>
      <c r="F781">
        <v>0</v>
      </c>
      <c r="G781">
        <v>21</v>
      </c>
      <c r="H781">
        <v>0</v>
      </c>
      <c r="I781">
        <v>0</v>
      </c>
      <c r="J781">
        <v>0</v>
      </c>
      <c r="K781">
        <v>44</v>
      </c>
      <c r="L781">
        <v>0</v>
      </c>
      <c r="M781">
        <f>region_summary__43[[#This Row],[REJECTED BY Admin Kabupaten]]+region_summary__43[[#This Row],[REJECTED BY Pengawas]]</f>
        <v>0</v>
      </c>
    </row>
    <row r="782" spans="1:13" x14ac:dyDescent="0.25">
      <c r="A782" s="5" t="s">
        <v>24</v>
      </c>
      <c r="B782">
        <v>7172010016000800</v>
      </c>
      <c r="C782">
        <v>65</v>
      </c>
      <c r="D782">
        <v>59</v>
      </c>
      <c r="E782">
        <v>0</v>
      </c>
      <c r="F782">
        <v>1</v>
      </c>
      <c r="G782">
        <v>5</v>
      </c>
      <c r="H782">
        <v>0</v>
      </c>
      <c r="I782">
        <v>0</v>
      </c>
      <c r="J782">
        <v>0</v>
      </c>
      <c r="K782">
        <v>0</v>
      </c>
      <c r="L782">
        <v>0</v>
      </c>
      <c r="M782">
        <f>region_summary__43[[#This Row],[REJECTED BY Admin Kabupaten]]+region_summary__43[[#This Row],[REJECTED BY Pengawas]]</f>
        <v>0</v>
      </c>
    </row>
    <row r="783" spans="1:13" x14ac:dyDescent="0.25">
      <c r="A783" s="5" t="s">
        <v>24</v>
      </c>
      <c r="B783">
        <v>7172010016001000</v>
      </c>
      <c r="C783">
        <v>55</v>
      </c>
      <c r="D783">
        <v>46</v>
      </c>
      <c r="E783">
        <v>0</v>
      </c>
      <c r="F783">
        <v>1</v>
      </c>
      <c r="G783">
        <v>8</v>
      </c>
      <c r="H783">
        <v>0</v>
      </c>
      <c r="I783">
        <v>0</v>
      </c>
      <c r="J783">
        <v>0</v>
      </c>
      <c r="K783">
        <v>0</v>
      </c>
      <c r="L783">
        <v>0</v>
      </c>
      <c r="M783">
        <f>region_summary__43[[#This Row],[REJECTED BY Admin Kabupaten]]+region_summary__43[[#This Row],[REJECTED BY Pengawas]]</f>
        <v>0</v>
      </c>
    </row>
    <row r="784" spans="1:13" x14ac:dyDescent="0.25">
      <c r="A784" s="5" t="s">
        <v>24</v>
      </c>
      <c r="B784">
        <v>7172010016000600</v>
      </c>
      <c r="C784">
        <v>54</v>
      </c>
      <c r="D784">
        <v>0</v>
      </c>
      <c r="E784">
        <v>0</v>
      </c>
      <c r="F784">
        <v>0</v>
      </c>
      <c r="G784">
        <v>54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region_summary__43[[#This Row],[REJECTED BY Admin Kabupaten]]+region_summary__43[[#This Row],[REJECTED BY Pengawas]]</f>
        <v>0</v>
      </c>
    </row>
    <row r="785" spans="1:13" x14ac:dyDescent="0.25">
      <c r="A785" s="5" t="s">
        <v>24</v>
      </c>
      <c r="B785">
        <v>7172010016000300</v>
      </c>
      <c r="C785">
        <v>48</v>
      </c>
      <c r="D785">
        <v>0</v>
      </c>
      <c r="E785">
        <v>0</v>
      </c>
      <c r="F785">
        <v>0</v>
      </c>
      <c r="G785">
        <v>48</v>
      </c>
      <c r="H785">
        <v>0</v>
      </c>
      <c r="I785">
        <v>0</v>
      </c>
      <c r="J785">
        <v>0</v>
      </c>
      <c r="K785">
        <v>0</v>
      </c>
      <c r="L785">
        <v>0</v>
      </c>
      <c r="M785">
        <f>region_summary__43[[#This Row],[REJECTED BY Admin Kabupaten]]+region_summary__43[[#This Row],[REJECTED BY Pengawas]]</f>
        <v>0</v>
      </c>
    </row>
    <row r="786" spans="1:13" x14ac:dyDescent="0.25">
      <c r="A786" s="5" t="s">
        <v>24</v>
      </c>
      <c r="B786">
        <v>7172010016000400</v>
      </c>
      <c r="C786">
        <v>48</v>
      </c>
      <c r="D786">
        <v>1</v>
      </c>
      <c r="E786">
        <v>0</v>
      </c>
      <c r="F786">
        <v>0</v>
      </c>
      <c r="G786">
        <v>47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region_summary__43[[#This Row],[REJECTED BY Admin Kabupaten]]+region_summary__43[[#This Row],[REJECTED BY Pengawas]]</f>
        <v>0</v>
      </c>
    </row>
    <row r="787" spans="1:13" x14ac:dyDescent="0.25">
      <c r="A787" s="5" t="s">
        <v>24</v>
      </c>
      <c r="B787">
        <v>7172010016000900</v>
      </c>
      <c r="C787">
        <v>37</v>
      </c>
      <c r="D787">
        <v>0</v>
      </c>
      <c r="E787">
        <v>0</v>
      </c>
      <c r="F787">
        <v>0</v>
      </c>
      <c r="G787">
        <v>37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region_summary__43[[#This Row],[REJECTED BY Admin Kabupaten]]+region_summary__43[[#This Row],[REJECTED BY Pengawas]]</f>
        <v>0</v>
      </c>
    </row>
    <row r="788" spans="1:13" x14ac:dyDescent="0.25">
      <c r="A788" s="5" t="s">
        <v>24</v>
      </c>
      <c r="B788">
        <v>7172010016001100</v>
      </c>
      <c r="C788">
        <v>36</v>
      </c>
      <c r="D788">
        <v>0</v>
      </c>
      <c r="E788">
        <v>0</v>
      </c>
      <c r="F788">
        <v>0</v>
      </c>
      <c r="G788">
        <v>36</v>
      </c>
      <c r="H788">
        <v>0</v>
      </c>
      <c r="I788">
        <v>0</v>
      </c>
      <c r="J788">
        <v>0</v>
      </c>
      <c r="K788">
        <v>0</v>
      </c>
      <c r="L788">
        <v>0</v>
      </c>
      <c r="M788">
        <f>region_summary__43[[#This Row],[REJECTED BY Admin Kabupaten]]+region_summary__43[[#This Row],[REJECTED BY Pengawas]]</f>
        <v>0</v>
      </c>
    </row>
    <row r="789" spans="1:13" x14ac:dyDescent="0.25">
      <c r="A789" s="5" t="s">
        <v>18</v>
      </c>
      <c r="B789">
        <v>7172010017001300</v>
      </c>
      <c r="C789">
        <v>149</v>
      </c>
      <c r="D789">
        <v>130</v>
      </c>
      <c r="E789">
        <v>4</v>
      </c>
      <c r="F789">
        <v>1</v>
      </c>
      <c r="G789">
        <v>0</v>
      </c>
      <c r="H789">
        <v>1</v>
      </c>
      <c r="I789">
        <v>13</v>
      </c>
      <c r="J789">
        <v>0</v>
      </c>
      <c r="K789">
        <v>0</v>
      </c>
      <c r="L789">
        <v>0</v>
      </c>
      <c r="M789">
        <f>region_summary__43[[#This Row],[REJECTED BY Admin Kabupaten]]+region_summary__43[[#This Row],[REJECTED BY Pengawas]]</f>
        <v>14</v>
      </c>
    </row>
    <row r="790" spans="1:13" x14ac:dyDescent="0.25">
      <c r="A790" s="5" t="s">
        <v>18</v>
      </c>
      <c r="B790">
        <v>7172010017001800</v>
      </c>
      <c r="C790">
        <v>102</v>
      </c>
      <c r="D790">
        <v>94</v>
      </c>
      <c r="E790">
        <v>8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f>region_summary__43[[#This Row],[REJECTED BY Admin Kabupaten]]+region_summary__43[[#This Row],[REJECTED BY Pengawas]]</f>
        <v>0</v>
      </c>
    </row>
    <row r="791" spans="1:13" x14ac:dyDescent="0.25">
      <c r="A791" s="5" t="s">
        <v>18</v>
      </c>
      <c r="B791">
        <v>7172010017002100</v>
      </c>
      <c r="C791">
        <v>100</v>
      </c>
      <c r="D791">
        <v>31</v>
      </c>
      <c r="E791">
        <v>4</v>
      </c>
      <c r="F791">
        <v>0</v>
      </c>
      <c r="G791">
        <v>35</v>
      </c>
      <c r="H791">
        <v>0</v>
      </c>
      <c r="I791">
        <v>0</v>
      </c>
      <c r="J791">
        <v>0</v>
      </c>
      <c r="K791">
        <v>30</v>
      </c>
      <c r="L791">
        <v>0</v>
      </c>
      <c r="M791">
        <f>region_summary__43[[#This Row],[REJECTED BY Admin Kabupaten]]+region_summary__43[[#This Row],[REJECTED BY Pengawas]]</f>
        <v>0</v>
      </c>
    </row>
    <row r="792" spans="1:13" x14ac:dyDescent="0.25">
      <c r="A792" s="5" t="s">
        <v>18</v>
      </c>
      <c r="B792">
        <v>7172010017001900</v>
      </c>
      <c r="C792">
        <v>76</v>
      </c>
      <c r="D792">
        <v>60</v>
      </c>
      <c r="E792">
        <v>3</v>
      </c>
      <c r="F792">
        <v>1</v>
      </c>
      <c r="G792">
        <v>12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region_summary__43[[#This Row],[REJECTED BY Admin Kabupaten]]+region_summary__43[[#This Row],[REJECTED BY Pengawas]]</f>
        <v>0</v>
      </c>
    </row>
    <row r="793" spans="1:13" x14ac:dyDescent="0.25">
      <c r="A793" s="5" t="s">
        <v>18</v>
      </c>
      <c r="B793">
        <v>7172010017001500</v>
      </c>
      <c r="C793">
        <v>71</v>
      </c>
      <c r="D793">
        <v>0</v>
      </c>
      <c r="E793">
        <v>1</v>
      </c>
      <c r="F793">
        <v>0</v>
      </c>
      <c r="G793">
        <v>70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region_summary__43[[#This Row],[REJECTED BY Admin Kabupaten]]+region_summary__43[[#This Row],[REJECTED BY Pengawas]]</f>
        <v>0</v>
      </c>
    </row>
    <row r="794" spans="1:13" x14ac:dyDescent="0.25">
      <c r="A794" s="5" t="s">
        <v>18</v>
      </c>
      <c r="B794">
        <v>7172010017002000</v>
      </c>
      <c r="C794">
        <v>61</v>
      </c>
      <c r="D794">
        <v>0</v>
      </c>
      <c r="E794">
        <v>0</v>
      </c>
      <c r="F794">
        <v>0</v>
      </c>
      <c r="G794">
        <v>61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region_summary__43[[#This Row],[REJECTED BY Admin Kabupaten]]+region_summary__43[[#This Row],[REJECTED BY Pengawas]]</f>
        <v>0</v>
      </c>
    </row>
    <row r="795" spans="1:13" x14ac:dyDescent="0.25">
      <c r="A795" s="5" t="s">
        <v>18</v>
      </c>
      <c r="B795">
        <v>7172010017001600</v>
      </c>
      <c r="C795">
        <v>55</v>
      </c>
      <c r="D795">
        <v>0</v>
      </c>
      <c r="E795">
        <v>0</v>
      </c>
      <c r="F795">
        <v>0</v>
      </c>
      <c r="G795">
        <v>55</v>
      </c>
      <c r="H795">
        <v>0</v>
      </c>
      <c r="I795">
        <v>0</v>
      </c>
      <c r="J795">
        <v>0</v>
      </c>
      <c r="K795">
        <v>0</v>
      </c>
      <c r="L795">
        <v>0</v>
      </c>
      <c r="M795">
        <f>region_summary__43[[#This Row],[REJECTED BY Admin Kabupaten]]+region_summary__43[[#This Row],[REJECTED BY Pengawas]]</f>
        <v>0</v>
      </c>
    </row>
    <row r="796" spans="1:13" x14ac:dyDescent="0.25">
      <c r="A796" s="5" t="s">
        <v>18</v>
      </c>
      <c r="B796">
        <v>7172010015000600</v>
      </c>
      <c r="C796">
        <v>45</v>
      </c>
      <c r="D796">
        <v>0</v>
      </c>
      <c r="E796">
        <v>0</v>
      </c>
      <c r="F796">
        <v>0</v>
      </c>
      <c r="G796">
        <v>45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region_summary__43[[#This Row],[REJECTED BY Admin Kabupaten]]+region_summary__43[[#This Row],[REJECTED BY Pengawas]]</f>
        <v>0</v>
      </c>
    </row>
    <row r="797" spans="1:13" x14ac:dyDescent="0.25">
      <c r="A797" s="5" t="s">
        <v>18</v>
      </c>
      <c r="B797">
        <v>7172010017001700</v>
      </c>
      <c r="C797">
        <v>29</v>
      </c>
      <c r="D797">
        <v>0</v>
      </c>
      <c r="E797">
        <v>0</v>
      </c>
      <c r="F797">
        <v>0</v>
      </c>
      <c r="G797">
        <v>29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region_summary__43[[#This Row],[REJECTED BY Admin Kabupaten]]+region_summary__43[[#This Row],[REJECTED BY Pengawas]]</f>
        <v>0</v>
      </c>
    </row>
    <row r="798" spans="1:13" x14ac:dyDescent="0.25">
      <c r="A798" s="5" t="s">
        <v>26</v>
      </c>
      <c r="B798">
        <v>7172011001000100</v>
      </c>
      <c r="C798">
        <v>154</v>
      </c>
      <c r="D798">
        <v>116</v>
      </c>
      <c r="E798">
        <v>21</v>
      </c>
      <c r="F798">
        <v>5</v>
      </c>
      <c r="G798">
        <v>12</v>
      </c>
      <c r="H798">
        <v>0</v>
      </c>
      <c r="I798">
        <v>0</v>
      </c>
      <c r="J798">
        <v>0</v>
      </c>
      <c r="K798">
        <v>0</v>
      </c>
      <c r="L798">
        <v>0</v>
      </c>
      <c r="M798">
        <f>region_summary__43[[#This Row],[REJECTED BY Admin Kabupaten]]+region_summary__43[[#This Row],[REJECTED BY Pengawas]]</f>
        <v>0</v>
      </c>
    </row>
    <row r="799" spans="1:13" x14ac:dyDescent="0.25">
      <c r="A799" s="5" t="s">
        <v>26</v>
      </c>
      <c r="B799">
        <v>7172011004002000</v>
      </c>
      <c r="C799">
        <v>108</v>
      </c>
      <c r="D799">
        <v>5</v>
      </c>
      <c r="E799">
        <v>5</v>
      </c>
      <c r="F799">
        <v>0</v>
      </c>
      <c r="G799">
        <v>98</v>
      </c>
      <c r="H799">
        <v>0</v>
      </c>
      <c r="I799">
        <v>0</v>
      </c>
      <c r="J799">
        <v>0</v>
      </c>
      <c r="K799">
        <v>0</v>
      </c>
      <c r="L799">
        <v>0</v>
      </c>
      <c r="M799">
        <f>region_summary__43[[#This Row],[REJECTED BY Admin Kabupaten]]+region_summary__43[[#This Row],[REJECTED BY Pengawas]]</f>
        <v>0</v>
      </c>
    </row>
    <row r="800" spans="1:13" x14ac:dyDescent="0.25">
      <c r="A800" s="5" t="s">
        <v>26</v>
      </c>
      <c r="B800">
        <v>7172011001000600</v>
      </c>
      <c r="C800">
        <v>96</v>
      </c>
      <c r="D800">
        <v>55</v>
      </c>
      <c r="E800">
        <v>22</v>
      </c>
      <c r="F800">
        <v>0</v>
      </c>
      <c r="G800">
        <v>19</v>
      </c>
      <c r="H800">
        <v>0</v>
      </c>
      <c r="I800">
        <v>0</v>
      </c>
      <c r="J800">
        <v>0</v>
      </c>
      <c r="K800">
        <v>0</v>
      </c>
      <c r="L800">
        <v>0</v>
      </c>
      <c r="M800">
        <f>region_summary__43[[#This Row],[REJECTED BY Admin Kabupaten]]+region_summary__43[[#This Row],[REJECTED BY Pengawas]]</f>
        <v>0</v>
      </c>
    </row>
    <row r="801" spans="1:13" x14ac:dyDescent="0.25">
      <c r="A801" s="5" t="s">
        <v>26</v>
      </c>
      <c r="B801">
        <v>7172011001000300</v>
      </c>
      <c r="C801">
        <v>80</v>
      </c>
      <c r="D801">
        <v>19</v>
      </c>
      <c r="E801">
        <v>9</v>
      </c>
      <c r="F801">
        <v>0</v>
      </c>
      <c r="G801">
        <v>52</v>
      </c>
      <c r="H801">
        <v>0</v>
      </c>
      <c r="I801">
        <v>0</v>
      </c>
      <c r="J801">
        <v>0</v>
      </c>
      <c r="K801">
        <v>0</v>
      </c>
      <c r="L801">
        <v>0</v>
      </c>
      <c r="M801">
        <f>region_summary__43[[#This Row],[REJECTED BY Admin Kabupaten]]+region_summary__43[[#This Row],[REJECTED BY Pengawas]]</f>
        <v>0</v>
      </c>
    </row>
    <row r="802" spans="1:13" x14ac:dyDescent="0.25">
      <c r="A802" s="5" t="s">
        <v>26</v>
      </c>
      <c r="B802">
        <v>7172011004002100</v>
      </c>
      <c r="C802">
        <v>76</v>
      </c>
      <c r="D802">
        <v>29</v>
      </c>
      <c r="E802">
        <v>4</v>
      </c>
      <c r="F802">
        <v>0</v>
      </c>
      <c r="G802">
        <v>38</v>
      </c>
      <c r="H802">
        <v>0</v>
      </c>
      <c r="I802">
        <v>0</v>
      </c>
      <c r="J802">
        <v>0</v>
      </c>
      <c r="K802">
        <v>5</v>
      </c>
      <c r="L802">
        <v>0</v>
      </c>
      <c r="M802">
        <f>region_summary__43[[#This Row],[REJECTED BY Admin Kabupaten]]+region_summary__43[[#This Row],[REJECTED BY Pengawas]]</f>
        <v>0</v>
      </c>
    </row>
    <row r="803" spans="1:13" x14ac:dyDescent="0.25">
      <c r="A803" s="5" t="s">
        <v>26</v>
      </c>
      <c r="B803">
        <v>7172011001000200</v>
      </c>
      <c r="C803">
        <v>74</v>
      </c>
      <c r="D803">
        <v>22</v>
      </c>
      <c r="E803">
        <v>10</v>
      </c>
      <c r="F803">
        <v>0</v>
      </c>
      <c r="G803">
        <v>42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region_summary__43[[#This Row],[REJECTED BY Admin Kabupaten]]+region_summary__43[[#This Row],[REJECTED BY Pengawas]]</f>
        <v>0</v>
      </c>
    </row>
    <row r="804" spans="1:13" x14ac:dyDescent="0.25">
      <c r="A804" s="5" t="s">
        <v>26</v>
      </c>
      <c r="B804">
        <v>7172011001000500</v>
      </c>
      <c r="C804">
        <v>71</v>
      </c>
      <c r="D804">
        <v>59</v>
      </c>
      <c r="E804">
        <v>8</v>
      </c>
      <c r="F804">
        <v>0</v>
      </c>
      <c r="G804">
        <v>4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region_summary__43[[#This Row],[REJECTED BY Admin Kabupaten]]+region_summary__43[[#This Row],[REJECTED BY Pengawas]]</f>
        <v>0</v>
      </c>
    </row>
    <row r="805" spans="1:13" x14ac:dyDescent="0.25">
      <c r="A805" s="5" t="s">
        <v>26</v>
      </c>
      <c r="B805">
        <v>7172011001000400</v>
      </c>
      <c r="C805">
        <v>59</v>
      </c>
      <c r="D805">
        <v>10</v>
      </c>
      <c r="E805">
        <v>1</v>
      </c>
      <c r="F805">
        <v>0</v>
      </c>
      <c r="G805">
        <v>47</v>
      </c>
      <c r="H805">
        <v>0</v>
      </c>
      <c r="I805">
        <v>1</v>
      </c>
      <c r="J805">
        <v>0</v>
      </c>
      <c r="K805">
        <v>0</v>
      </c>
      <c r="L805">
        <v>0</v>
      </c>
      <c r="M805">
        <f>region_summary__43[[#This Row],[REJECTED BY Admin Kabupaten]]+region_summary__43[[#This Row],[REJECTED BY Pengawas]]</f>
        <v>1</v>
      </c>
    </row>
    <row r="806" spans="1:13" x14ac:dyDescent="0.25">
      <c r="A806" s="5" t="s">
        <v>28</v>
      </c>
      <c r="B806">
        <v>7172011002000100</v>
      </c>
      <c r="C806">
        <v>166</v>
      </c>
      <c r="D806">
        <v>21</v>
      </c>
      <c r="E806">
        <v>2</v>
      </c>
      <c r="F806">
        <v>3</v>
      </c>
      <c r="G806">
        <v>139</v>
      </c>
      <c r="H806">
        <v>0</v>
      </c>
      <c r="I806">
        <v>1</v>
      </c>
      <c r="J806">
        <v>0</v>
      </c>
      <c r="K806">
        <v>0</v>
      </c>
      <c r="L806">
        <v>0</v>
      </c>
      <c r="M806">
        <f>region_summary__43[[#This Row],[REJECTED BY Admin Kabupaten]]+region_summary__43[[#This Row],[REJECTED BY Pengawas]]</f>
        <v>1</v>
      </c>
    </row>
    <row r="807" spans="1:13" x14ac:dyDescent="0.25">
      <c r="A807" s="5" t="s">
        <v>28</v>
      </c>
      <c r="B807">
        <v>7172011002000700</v>
      </c>
      <c r="C807">
        <v>116</v>
      </c>
      <c r="D807">
        <v>102</v>
      </c>
      <c r="E807">
        <v>2</v>
      </c>
      <c r="F807">
        <v>1</v>
      </c>
      <c r="G807">
        <v>11</v>
      </c>
      <c r="H807">
        <v>0</v>
      </c>
      <c r="I807">
        <v>0</v>
      </c>
      <c r="J807">
        <v>0</v>
      </c>
      <c r="K807">
        <v>0</v>
      </c>
      <c r="L807">
        <v>0</v>
      </c>
      <c r="M807">
        <f>region_summary__43[[#This Row],[REJECTED BY Admin Kabupaten]]+region_summary__43[[#This Row],[REJECTED BY Pengawas]]</f>
        <v>0</v>
      </c>
    </row>
    <row r="808" spans="1:13" x14ac:dyDescent="0.25">
      <c r="A808" s="5" t="s">
        <v>28</v>
      </c>
      <c r="B808">
        <v>7172011002000500</v>
      </c>
      <c r="C808">
        <v>109</v>
      </c>
      <c r="D808">
        <v>90</v>
      </c>
      <c r="E808">
        <v>7</v>
      </c>
      <c r="F808">
        <v>6</v>
      </c>
      <c r="G808">
        <v>5</v>
      </c>
      <c r="H808">
        <v>1</v>
      </c>
      <c r="I808">
        <v>0</v>
      </c>
      <c r="J808">
        <v>0</v>
      </c>
      <c r="K808">
        <v>0</v>
      </c>
      <c r="L808">
        <v>0</v>
      </c>
      <c r="M808">
        <f>region_summary__43[[#This Row],[REJECTED BY Admin Kabupaten]]+region_summary__43[[#This Row],[REJECTED BY Pengawas]]</f>
        <v>1</v>
      </c>
    </row>
    <row r="809" spans="1:13" x14ac:dyDescent="0.25">
      <c r="A809" s="5" t="s">
        <v>28</v>
      </c>
      <c r="B809">
        <v>7172011002000400</v>
      </c>
      <c r="C809">
        <v>86</v>
      </c>
      <c r="D809">
        <v>0</v>
      </c>
      <c r="E809">
        <v>0</v>
      </c>
      <c r="F809">
        <v>0</v>
      </c>
      <c r="G809">
        <v>86</v>
      </c>
      <c r="H809">
        <v>0</v>
      </c>
      <c r="I809">
        <v>0</v>
      </c>
      <c r="J809">
        <v>0</v>
      </c>
      <c r="K809">
        <v>0</v>
      </c>
      <c r="L809">
        <v>0</v>
      </c>
      <c r="M809">
        <f>region_summary__43[[#This Row],[REJECTED BY Admin Kabupaten]]+region_summary__43[[#This Row],[REJECTED BY Pengawas]]</f>
        <v>0</v>
      </c>
    </row>
    <row r="810" spans="1:13" x14ac:dyDescent="0.25">
      <c r="A810" s="5" t="s">
        <v>28</v>
      </c>
      <c r="B810">
        <v>7172011002000200</v>
      </c>
      <c r="C810">
        <v>85</v>
      </c>
      <c r="D810">
        <v>21</v>
      </c>
      <c r="E810">
        <v>0</v>
      </c>
      <c r="F810">
        <v>0</v>
      </c>
      <c r="G810">
        <v>64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region_summary__43[[#This Row],[REJECTED BY Admin Kabupaten]]+region_summary__43[[#This Row],[REJECTED BY Pengawas]]</f>
        <v>0</v>
      </c>
    </row>
    <row r="811" spans="1:13" x14ac:dyDescent="0.25">
      <c r="A811" s="5" t="s">
        <v>28</v>
      </c>
      <c r="B811">
        <v>7172011002000300</v>
      </c>
      <c r="C811">
        <v>85</v>
      </c>
      <c r="D811">
        <v>47</v>
      </c>
      <c r="E811">
        <v>3</v>
      </c>
      <c r="F811">
        <v>0</v>
      </c>
      <c r="G811">
        <v>35</v>
      </c>
      <c r="H811">
        <v>0</v>
      </c>
      <c r="I811">
        <v>0</v>
      </c>
      <c r="J811">
        <v>0</v>
      </c>
      <c r="K811">
        <v>0</v>
      </c>
      <c r="L811">
        <v>0</v>
      </c>
      <c r="M811">
        <f>region_summary__43[[#This Row],[REJECTED BY Admin Kabupaten]]+region_summary__43[[#This Row],[REJECTED BY Pengawas]]</f>
        <v>0</v>
      </c>
    </row>
    <row r="812" spans="1:13" x14ac:dyDescent="0.25">
      <c r="A812" s="5" t="s">
        <v>28</v>
      </c>
      <c r="B812">
        <v>7172011002000800</v>
      </c>
      <c r="C812">
        <v>53</v>
      </c>
      <c r="D812">
        <v>30</v>
      </c>
      <c r="E812">
        <v>4</v>
      </c>
      <c r="F812">
        <v>0</v>
      </c>
      <c r="G812">
        <v>19</v>
      </c>
      <c r="H812">
        <v>0</v>
      </c>
      <c r="I812">
        <v>0</v>
      </c>
      <c r="J812">
        <v>0</v>
      </c>
      <c r="K812">
        <v>0</v>
      </c>
      <c r="L812">
        <v>0</v>
      </c>
      <c r="M812">
        <f>region_summary__43[[#This Row],[REJECTED BY Admin Kabupaten]]+region_summary__43[[#This Row],[REJECTED BY Pengawas]]</f>
        <v>0</v>
      </c>
    </row>
    <row r="813" spans="1:13" x14ac:dyDescent="0.25">
      <c r="A813" s="5" t="s">
        <v>35</v>
      </c>
      <c r="B813">
        <v>7172011003001801</v>
      </c>
      <c r="C813">
        <v>247</v>
      </c>
      <c r="D813">
        <v>25</v>
      </c>
      <c r="E813">
        <v>11</v>
      </c>
      <c r="F813">
        <v>0</v>
      </c>
      <c r="G813">
        <v>199</v>
      </c>
      <c r="H813">
        <v>0</v>
      </c>
      <c r="I813">
        <v>0</v>
      </c>
      <c r="J813">
        <v>0</v>
      </c>
      <c r="K813">
        <v>12</v>
      </c>
      <c r="L813">
        <v>0</v>
      </c>
      <c r="M813">
        <f>region_summary__43[[#This Row],[REJECTED BY Admin Kabupaten]]+region_summary__43[[#This Row],[REJECTED BY Pengawas]]</f>
        <v>0</v>
      </c>
    </row>
    <row r="814" spans="1:13" x14ac:dyDescent="0.25">
      <c r="A814" s="5" t="s">
        <v>35</v>
      </c>
      <c r="B814">
        <v>7172011003001900</v>
      </c>
      <c r="C814">
        <v>132</v>
      </c>
      <c r="D814">
        <v>92</v>
      </c>
      <c r="E814">
        <v>14</v>
      </c>
      <c r="F814">
        <v>0</v>
      </c>
      <c r="G814">
        <v>1</v>
      </c>
      <c r="H814">
        <v>0</v>
      </c>
      <c r="I814">
        <v>4</v>
      </c>
      <c r="J814">
        <v>3</v>
      </c>
      <c r="K814">
        <v>18</v>
      </c>
      <c r="L814">
        <v>0</v>
      </c>
      <c r="M814">
        <f>region_summary__43[[#This Row],[REJECTED BY Admin Kabupaten]]+region_summary__43[[#This Row],[REJECTED BY Pengawas]]</f>
        <v>4</v>
      </c>
    </row>
    <row r="815" spans="1:13" x14ac:dyDescent="0.25">
      <c r="A815" s="5" t="s">
        <v>35</v>
      </c>
      <c r="B815">
        <v>7172011003001700</v>
      </c>
      <c r="C815">
        <v>70</v>
      </c>
      <c r="D815">
        <v>27</v>
      </c>
      <c r="E815">
        <v>1</v>
      </c>
      <c r="F815">
        <v>0</v>
      </c>
      <c r="G815">
        <v>42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region_summary__43[[#This Row],[REJECTED BY Admin Kabupaten]]+region_summary__43[[#This Row],[REJECTED BY Pengawas]]</f>
        <v>0</v>
      </c>
    </row>
    <row r="816" spans="1:13" x14ac:dyDescent="0.25">
      <c r="A816" s="5" t="s">
        <v>35</v>
      </c>
      <c r="B816">
        <v>7172011003001802</v>
      </c>
      <c r="C816">
        <v>70</v>
      </c>
      <c r="D816">
        <v>8</v>
      </c>
      <c r="E816">
        <v>2</v>
      </c>
      <c r="F816">
        <v>0</v>
      </c>
      <c r="G816">
        <v>54</v>
      </c>
      <c r="H816">
        <v>0</v>
      </c>
      <c r="I816">
        <v>0</v>
      </c>
      <c r="J816">
        <v>0</v>
      </c>
      <c r="K816">
        <v>6</v>
      </c>
      <c r="L816">
        <v>0</v>
      </c>
      <c r="M816">
        <f>region_summary__43[[#This Row],[REJECTED BY Admin Kabupaten]]+region_summary__43[[#This Row],[REJECTED BY Pengawas]]</f>
        <v>0</v>
      </c>
    </row>
    <row r="817" spans="1:13" x14ac:dyDescent="0.25">
      <c r="A817" s="5" t="s">
        <v>35</v>
      </c>
      <c r="B817">
        <v>7172011003001300</v>
      </c>
      <c r="C817">
        <v>66</v>
      </c>
      <c r="D817">
        <v>64</v>
      </c>
      <c r="E817">
        <v>2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region_summary__43[[#This Row],[REJECTED BY Admin Kabupaten]]+region_summary__43[[#This Row],[REJECTED BY Pengawas]]</f>
        <v>0</v>
      </c>
    </row>
    <row r="818" spans="1:13" x14ac:dyDescent="0.25">
      <c r="A818" s="5" t="s">
        <v>35</v>
      </c>
      <c r="B818">
        <v>7172011003001002</v>
      </c>
      <c r="C818">
        <v>52</v>
      </c>
      <c r="D818">
        <v>0</v>
      </c>
      <c r="E818">
        <v>0</v>
      </c>
      <c r="F818">
        <v>0</v>
      </c>
      <c r="G818">
        <v>47</v>
      </c>
      <c r="H818">
        <v>0</v>
      </c>
      <c r="I818">
        <v>0</v>
      </c>
      <c r="J818">
        <v>0</v>
      </c>
      <c r="K818">
        <v>5</v>
      </c>
      <c r="L818">
        <v>0</v>
      </c>
      <c r="M818">
        <f>region_summary__43[[#This Row],[REJECTED BY Admin Kabupaten]]+region_summary__43[[#This Row],[REJECTED BY Pengawas]]</f>
        <v>0</v>
      </c>
    </row>
    <row r="819" spans="1:13" x14ac:dyDescent="0.25">
      <c r="A819" s="5" t="s">
        <v>37</v>
      </c>
      <c r="B819">
        <v>7172011003002602</v>
      </c>
      <c r="C819">
        <v>224</v>
      </c>
      <c r="D819">
        <v>164</v>
      </c>
      <c r="E819">
        <v>5</v>
      </c>
      <c r="F819">
        <v>0</v>
      </c>
      <c r="G819">
        <v>15</v>
      </c>
      <c r="H819">
        <v>0</v>
      </c>
      <c r="I819">
        <v>7</v>
      </c>
      <c r="J819">
        <v>1</v>
      </c>
      <c r="K819">
        <v>32</v>
      </c>
      <c r="L819">
        <v>0</v>
      </c>
      <c r="M819">
        <f>region_summary__43[[#This Row],[REJECTED BY Admin Kabupaten]]+region_summary__43[[#This Row],[REJECTED BY Pengawas]]</f>
        <v>7</v>
      </c>
    </row>
    <row r="820" spans="1:13" x14ac:dyDescent="0.25">
      <c r="A820" s="5" t="s">
        <v>37</v>
      </c>
      <c r="B820">
        <v>7172011003002500</v>
      </c>
      <c r="C820">
        <v>186</v>
      </c>
      <c r="D820">
        <v>74</v>
      </c>
      <c r="E820">
        <v>3</v>
      </c>
      <c r="F820">
        <v>0</v>
      </c>
      <c r="G820">
        <v>82</v>
      </c>
      <c r="H820">
        <v>0</v>
      </c>
      <c r="I820">
        <v>0</v>
      </c>
      <c r="J820">
        <v>0</v>
      </c>
      <c r="K820">
        <v>27</v>
      </c>
      <c r="L820">
        <v>0</v>
      </c>
      <c r="M820">
        <f>region_summary__43[[#This Row],[REJECTED BY Admin Kabupaten]]+region_summary__43[[#This Row],[REJECTED BY Pengawas]]</f>
        <v>0</v>
      </c>
    </row>
    <row r="821" spans="1:13" x14ac:dyDescent="0.25">
      <c r="A821" s="5" t="s">
        <v>37</v>
      </c>
      <c r="B821">
        <v>7172011003002601</v>
      </c>
      <c r="C821">
        <v>143</v>
      </c>
      <c r="D821">
        <v>6</v>
      </c>
      <c r="E821">
        <v>4</v>
      </c>
      <c r="F821">
        <v>0</v>
      </c>
      <c r="G821">
        <v>93</v>
      </c>
      <c r="H821">
        <v>0</v>
      </c>
      <c r="I821">
        <v>1</v>
      </c>
      <c r="J821">
        <v>0</v>
      </c>
      <c r="K821">
        <v>39</v>
      </c>
      <c r="L821">
        <v>0</v>
      </c>
      <c r="M821">
        <f>region_summary__43[[#This Row],[REJECTED BY Admin Kabupaten]]+region_summary__43[[#This Row],[REJECTED BY Pengawas]]</f>
        <v>1</v>
      </c>
    </row>
    <row r="822" spans="1:13" x14ac:dyDescent="0.25">
      <c r="A822" s="5" t="s">
        <v>37</v>
      </c>
      <c r="B822">
        <v>7172011003003501</v>
      </c>
      <c r="C822">
        <v>129</v>
      </c>
      <c r="D822">
        <v>0</v>
      </c>
      <c r="E822">
        <v>0</v>
      </c>
      <c r="F822">
        <v>0</v>
      </c>
      <c r="G822">
        <v>129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region_summary__43[[#This Row],[REJECTED BY Admin Kabupaten]]+region_summary__43[[#This Row],[REJECTED BY Pengawas]]</f>
        <v>0</v>
      </c>
    </row>
    <row r="823" spans="1:13" x14ac:dyDescent="0.25">
      <c r="A823" s="5" t="s">
        <v>37</v>
      </c>
      <c r="B823">
        <v>7172011003002603</v>
      </c>
      <c r="C823">
        <v>39</v>
      </c>
      <c r="D823">
        <v>0</v>
      </c>
      <c r="E823">
        <v>0</v>
      </c>
      <c r="F823">
        <v>0</v>
      </c>
      <c r="G823">
        <v>37</v>
      </c>
      <c r="H823">
        <v>0</v>
      </c>
      <c r="I823">
        <v>0</v>
      </c>
      <c r="J823">
        <v>0</v>
      </c>
      <c r="K823">
        <v>2</v>
      </c>
      <c r="L823">
        <v>0</v>
      </c>
      <c r="M823">
        <f>region_summary__43[[#This Row],[REJECTED BY Admin Kabupaten]]+region_summary__43[[#This Row],[REJECTED BY Pengawas]]</f>
        <v>0</v>
      </c>
    </row>
    <row r="824" spans="1:13" x14ac:dyDescent="0.25">
      <c r="A824" s="5" t="s">
        <v>38</v>
      </c>
      <c r="B824">
        <v>7172011003003100</v>
      </c>
      <c r="C824">
        <v>211</v>
      </c>
      <c r="D824">
        <v>160</v>
      </c>
      <c r="E824">
        <v>9</v>
      </c>
      <c r="F824">
        <v>0</v>
      </c>
      <c r="G824">
        <v>2</v>
      </c>
      <c r="H824">
        <v>0</v>
      </c>
      <c r="I824">
        <v>0</v>
      </c>
      <c r="J824">
        <v>0</v>
      </c>
      <c r="K824">
        <v>40</v>
      </c>
      <c r="L824">
        <v>0</v>
      </c>
      <c r="M824">
        <f>region_summary__43[[#This Row],[REJECTED BY Admin Kabupaten]]+region_summary__43[[#This Row],[REJECTED BY Pengawas]]</f>
        <v>0</v>
      </c>
    </row>
    <row r="825" spans="1:13" x14ac:dyDescent="0.25">
      <c r="A825" s="5" t="s">
        <v>38</v>
      </c>
      <c r="B825">
        <v>7172011003003000</v>
      </c>
      <c r="C825">
        <v>135</v>
      </c>
      <c r="D825">
        <v>84</v>
      </c>
      <c r="E825">
        <v>4</v>
      </c>
      <c r="F825">
        <v>0</v>
      </c>
      <c r="G825">
        <v>6</v>
      </c>
      <c r="H825">
        <v>0</v>
      </c>
      <c r="I825">
        <v>0</v>
      </c>
      <c r="J825">
        <v>0</v>
      </c>
      <c r="K825">
        <v>41</v>
      </c>
      <c r="L825">
        <v>0</v>
      </c>
      <c r="M825">
        <f>region_summary__43[[#This Row],[REJECTED BY Admin Kabupaten]]+region_summary__43[[#This Row],[REJECTED BY Pengawas]]</f>
        <v>0</v>
      </c>
    </row>
    <row r="826" spans="1:13" x14ac:dyDescent="0.25">
      <c r="A826" s="5" t="s">
        <v>38</v>
      </c>
      <c r="B826">
        <v>7172011003002700</v>
      </c>
      <c r="C826">
        <v>102</v>
      </c>
      <c r="D826">
        <v>0</v>
      </c>
      <c r="E826">
        <v>0</v>
      </c>
      <c r="F826">
        <v>0</v>
      </c>
      <c r="G826">
        <v>102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region_summary__43[[#This Row],[REJECTED BY Admin Kabupaten]]+region_summary__43[[#This Row],[REJECTED BY Pengawas]]</f>
        <v>0</v>
      </c>
    </row>
    <row r="827" spans="1:13" x14ac:dyDescent="0.25">
      <c r="A827" s="5" t="s">
        <v>38</v>
      </c>
      <c r="B827">
        <v>7172011003002900</v>
      </c>
      <c r="C827">
        <v>97</v>
      </c>
      <c r="D827">
        <v>0</v>
      </c>
      <c r="E827">
        <v>14</v>
      </c>
      <c r="F827">
        <v>0</v>
      </c>
      <c r="G827">
        <v>61</v>
      </c>
      <c r="H827">
        <v>0</v>
      </c>
      <c r="I827">
        <v>0</v>
      </c>
      <c r="J827">
        <v>0</v>
      </c>
      <c r="K827">
        <v>22</v>
      </c>
      <c r="L827">
        <v>0</v>
      </c>
      <c r="M827">
        <f>region_summary__43[[#This Row],[REJECTED BY Admin Kabupaten]]+region_summary__43[[#This Row],[REJECTED BY Pengawas]]</f>
        <v>0</v>
      </c>
    </row>
    <row r="828" spans="1:13" x14ac:dyDescent="0.25">
      <c r="A828" s="5" t="s">
        <v>38</v>
      </c>
      <c r="B828">
        <v>7172011003002801</v>
      </c>
      <c r="C828">
        <v>93</v>
      </c>
      <c r="D828">
        <v>0</v>
      </c>
      <c r="E828">
        <v>0</v>
      </c>
      <c r="F828">
        <v>0</v>
      </c>
      <c r="G828">
        <v>93</v>
      </c>
      <c r="H828">
        <v>0</v>
      </c>
      <c r="I828">
        <v>0</v>
      </c>
      <c r="J828">
        <v>0</v>
      </c>
      <c r="K828">
        <v>0</v>
      </c>
      <c r="L828">
        <v>0</v>
      </c>
      <c r="M828">
        <f>region_summary__43[[#This Row],[REJECTED BY Admin Kabupaten]]+region_summary__43[[#This Row],[REJECTED BY Pengawas]]</f>
        <v>0</v>
      </c>
    </row>
    <row r="829" spans="1:13" x14ac:dyDescent="0.25">
      <c r="A829" s="5" t="s">
        <v>38</v>
      </c>
      <c r="B829">
        <v>7172011003002802</v>
      </c>
      <c r="C829">
        <v>71</v>
      </c>
      <c r="D829">
        <v>0</v>
      </c>
      <c r="E829">
        <v>0</v>
      </c>
      <c r="F829">
        <v>0</v>
      </c>
      <c r="G829">
        <v>71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region_summary__43[[#This Row],[REJECTED BY Admin Kabupaten]]+region_summary__43[[#This Row],[REJECTED BY Pengawas]]</f>
        <v>0</v>
      </c>
    </row>
    <row r="830" spans="1:13" x14ac:dyDescent="0.25">
      <c r="A830" s="5" t="s">
        <v>31</v>
      </c>
      <c r="B830">
        <v>7172011003001100</v>
      </c>
      <c r="C830">
        <v>264</v>
      </c>
      <c r="D830">
        <v>179</v>
      </c>
      <c r="E830">
        <v>1</v>
      </c>
      <c r="F830">
        <v>0</v>
      </c>
      <c r="G830">
        <v>84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region_summary__43[[#This Row],[REJECTED BY Admin Kabupaten]]+region_summary__43[[#This Row],[REJECTED BY Pengawas]]</f>
        <v>0</v>
      </c>
    </row>
    <row r="831" spans="1:13" x14ac:dyDescent="0.25">
      <c r="A831" s="5" t="s">
        <v>31</v>
      </c>
      <c r="B831">
        <v>7172011003003600</v>
      </c>
      <c r="C831">
        <v>250</v>
      </c>
      <c r="D831">
        <v>96</v>
      </c>
      <c r="E831">
        <v>2</v>
      </c>
      <c r="F831">
        <v>0</v>
      </c>
      <c r="G831">
        <v>92</v>
      </c>
      <c r="H831">
        <v>0</v>
      </c>
      <c r="I831">
        <v>0</v>
      </c>
      <c r="J831">
        <v>0</v>
      </c>
      <c r="K831">
        <v>60</v>
      </c>
      <c r="L831">
        <v>0</v>
      </c>
      <c r="M831">
        <f>region_summary__43[[#This Row],[REJECTED BY Admin Kabupaten]]+region_summary__43[[#This Row],[REJECTED BY Pengawas]]</f>
        <v>0</v>
      </c>
    </row>
    <row r="832" spans="1:13" x14ac:dyDescent="0.25">
      <c r="A832" s="5" t="s">
        <v>31</v>
      </c>
      <c r="B832">
        <v>7172011003000201</v>
      </c>
      <c r="C832">
        <v>126</v>
      </c>
      <c r="D832">
        <v>11</v>
      </c>
      <c r="E832">
        <v>3</v>
      </c>
      <c r="F832">
        <v>0</v>
      </c>
      <c r="G832">
        <v>106</v>
      </c>
      <c r="H832">
        <v>0</v>
      </c>
      <c r="I832">
        <v>0</v>
      </c>
      <c r="J832">
        <v>0</v>
      </c>
      <c r="K832">
        <v>6</v>
      </c>
      <c r="L832">
        <v>0</v>
      </c>
      <c r="M832">
        <f>region_summary__43[[#This Row],[REJECTED BY Admin Kabupaten]]+region_summary__43[[#This Row],[REJECTED BY Pengawas]]</f>
        <v>0</v>
      </c>
    </row>
    <row r="833" spans="1:13" x14ac:dyDescent="0.25">
      <c r="A833" s="5" t="s">
        <v>31</v>
      </c>
      <c r="B833">
        <v>7172011003002403</v>
      </c>
      <c r="C833">
        <v>39</v>
      </c>
      <c r="D833">
        <v>0</v>
      </c>
      <c r="E833">
        <v>1</v>
      </c>
      <c r="F833">
        <v>0</v>
      </c>
      <c r="G833">
        <v>32</v>
      </c>
      <c r="H833">
        <v>0</v>
      </c>
      <c r="I833">
        <v>0</v>
      </c>
      <c r="J833">
        <v>0</v>
      </c>
      <c r="K833">
        <v>6</v>
      </c>
      <c r="L833">
        <v>0</v>
      </c>
      <c r="M833">
        <f>region_summary__43[[#This Row],[REJECTED BY Admin Kabupaten]]+region_summary__43[[#This Row],[REJECTED BY Pengawas]]</f>
        <v>0</v>
      </c>
    </row>
    <row r="834" spans="1:13" x14ac:dyDescent="0.25">
      <c r="A834" s="5" t="s">
        <v>39</v>
      </c>
      <c r="B834">
        <v>7172011004000100</v>
      </c>
      <c r="C834">
        <v>157</v>
      </c>
      <c r="D834">
        <v>95</v>
      </c>
      <c r="E834">
        <v>39</v>
      </c>
      <c r="F834">
        <v>0</v>
      </c>
      <c r="G834">
        <v>19</v>
      </c>
      <c r="H834">
        <v>0</v>
      </c>
      <c r="I834">
        <v>1</v>
      </c>
      <c r="J834">
        <v>0</v>
      </c>
      <c r="K834">
        <v>3</v>
      </c>
      <c r="L834">
        <v>0</v>
      </c>
      <c r="M834">
        <f>region_summary__43[[#This Row],[REJECTED BY Admin Kabupaten]]+region_summary__43[[#This Row],[REJECTED BY Pengawas]]</f>
        <v>1</v>
      </c>
    </row>
    <row r="835" spans="1:13" x14ac:dyDescent="0.25">
      <c r="A835" s="5" t="s">
        <v>39</v>
      </c>
      <c r="B835">
        <v>7172011004000600</v>
      </c>
      <c r="C835">
        <v>119</v>
      </c>
      <c r="D835">
        <v>0</v>
      </c>
      <c r="E835">
        <v>0</v>
      </c>
      <c r="F835">
        <v>0</v>
      </c>
      <c r="G835">
        <v>119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region_summary__43[[#This Row],[REJECTED BY Admin Kabupaten]]+region_summary__43[[#This Row],[REJECTED BY Pengawas]]</f>
        <v>0</v>
      </c>
    </row>
    <row r="836" spans="1:13" x14ac:dyDescent="0.25">
      <c r="A836" s="5" t="s">
        <v>39</v>
      </c>
      <c r="B836">
        <v>7172011004000200</v>
      </c>
      <c r="C836">
        <v>113</v>
      </c>
      <c r="D836">
        <v>35</v>
      </c>
      <c r="E836">
        <v>12</v>
      </c>
      <c r="F836">
        <v>0</v>
      </c>
      <c r="G836">
        <v>66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region_summary__43[[#This Row],[REJECTED BY Admin Kabupaten]]+region_summary__43[[#This Row],[REJECTED BY Pengawas]]</f>
        <v>0</v>
      </c>
    </row>
    <row r="837" spans="1:13" x14ac:dyDescent="0.25">
      <c r="A837" s="5" t="s">
        <v>39</v>
      </c>
      <c r="B837">
        <v>7172011004000500</v>
      </c>
      <c r="C837">
        <v>101</v>
      </c>
      <c r="D837">
        <v>0</v>
      </c>
      <c r="E837">
        <v>0</v>
      </c>
      <c r="F837">
        <v>0</v>
      </c>
      <c r="G837">
        <v>101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region_summary__43[[#This Row],[REJECTED BY Admin Kabupaten]]+region_summary__43[[#This Row],[REJECTED BY Pengawas]]</f>
        <v>0</v>
      </c>
    </row>
    <row r="838" spans="1:13" x14ac:dyDescent="0.25">
      <c r="A838" s="5" t="s">
        <v>39</v>
      </c>
      <c r="B838">
        <v>7172011004000400</v>
      </c>
      <c r="C838">
        <v>99</v>
      </c>
      <c r="D838">
        <v>97</v>
      </c>
      <c r="E838">
        <v>1</v>
      </c>
      <c r="F838">
        <v>0</v>
      </c>
      <c r="G838">
        <v>1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region_summary__43[[#This Row],[REJECTED BY Admin Kabupaten]]+region_summary__43[[#This Row],[REJECTED BY Pengawas]]</f>
        <v>0</v>
      </c>
    </row>
    <row r="839" spans="1:13" x14ac:dyDescent="0.25">
      <c r="A839" s="5" t="s">
        <v>39</v>
      </c>
      <c r="B839">
        <v>7172011004000300</v>
      </c>
      <c r="C839">
        <v>76</v>
      </c>
      <c r="D839">
        <v>66</v>
      </c>
      <c r="E839">
        <v>4</v>
      </c>
      <c r="F839">
        <v>0</v>
      </c>
      <c r="G839">
        <v>4</v>
      </c>
      <c r="H839">
        <v>0</v>
      </c>
      <c r="I839">
        <v>0</v>
      </c>
      <c r="J839">
        <v>0</v>
      </c>
      <c r="K839">
        <v>2</v>
      </c>
      <c r="L839">
        <v>0</v>
      </c>
      <c r="M839">
        <f>region_summary__43[[#This Row],[REJECTED BY Admin Kabupaten]]+region_summary__43[[#This Row],[REJECTED BY Pengawas]]</f>
        <v>0</v>
      </c>
    </row>
    <row r="840" spans="1:13" x14ac:dyDescent="0.25">
      <c r="A840" s="5" t="s">
        <v>41</v>
      </c>
      <c r="B840">
        <v>7172011004001800</v>
      </c>
      <c r="C840">
        <v>273</v>
      </c>
      <c r="D840">
        <v>243</v>
      </c>
      <c r="E840">
        <v>5</v>
      </c>
      <c r="F840">
        <v>0</v>
      </c>
      <c r="G840">
        <v>22</v>
      </c>
      <c r="H840">
        <v>0</v>
      </c>
      <c r="I840">
        <v>0</v>
      </c>
      <c r="J840">
        <v>1</v>
      </c>
      <c r="K840">
        <v>2</v>
      </c>
      <c r="L840">
        <v>0</v>
      </c>
      <c r="M840">
        <f>region_summary__43[[#This Row],[REJECTED BY Admin Kabupaten]]+region_summary__43[[#This Row],[REJECTED BY Pengawas]]</f>
        <v>0</v>
      </c>
    </row>
    <row r="841" spans="1:13" x14ac:dyDescent="0.25">
      <c r="A841" s="5" t="s">
        <v>41</v>
      </c>
      <c r="B841">
        <v>7172011004001500</v>
      </c>
      <c r="C841">
        <v>153</v>
      </c>
      <c r="D841">
        <v>119</v>
      </c>
      <c r="E841">
        <v>10</v>
      </c>
      <c r="F841">
        <v>1</v>
      </c>
      <c r="G841">
        <v>3</v>
      </c>
      <c r="H841">
        <v>0</v>
      </c>
      <c r="I841">
        <v>0</v>
      </c>
      <c r="J841">
        <v>1</v>
      </c>
      <c r="K841">
        <v>19</v>
      </c>
      <c r="L841">
        <v>0</v>
      </c>
      <c r="M841">
        <f>region_summary__43[[#This Row],[REJECTED BY Admin Kabupaten]]+region_summary__43[[#This Row],[REJECTED BY Pengawas]]</f>
        <v>0</v>
      </c>
    </row>
    <row r="842" spans="1:13" x14ac:dyDescent="0.25">
      <c r="A842" s="5" t="s">
        <v>41</v>
      </c>
      <c r="B842">
        <v>7172011004001900</v>
      </c>
      <c r="C842">
        <v>103</v>
      </c>
      <c r="D842">
        <v>68</v>
      </c>
      <c r="E842">
        <v>10</v>
      </c>
      <c r="F842">
        <v>1</v>
      </c>
      <c r="G842">
        <v>24</v>
      </c>
      <c r="H842">
        <v>0</v>
      </c>
      <c r="I842">
        <v>0</v>
      </c>
      <c r="J842">
        <v>0</v>
      </c>
      <c r="K842">
        <v>0</v>
      </c>
      <c r="L842">
        <v>0</v>
      </c>
      <c r="M842">
        <f>region_summary__43[[#This Row],[REJECTED BY Admin Kabupaten]]+region_summary__43[[#This Row],[REJECTED BY Pengawas]]</f>
        <v>0</v>
      </c>
    </row>
    <row r="843" spans="1:13" x14ac:dyDescent="0.25">
      <c r="A843" s="5" t="s">
        <v>41</v>
      </c>
      <c r="B843">
        <v>7172011004001300</v>
      </c>
      <c r="C843">
        <v>95</v>
      </c>
      <c r="D843">
        <v>9</v>
      </c>
      <c r="E843">
        <v>5</v>
      </c>
      <c r="F843">
        <v>0</v>
      </c>
      <c r="G843">
        <v>81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region_summary__43[[#This Row],[REJECTED BY Admin Kabupaten]]+region_summary__43[[#This Row],[REJECTED BY Pengawas]]</f>
        <v>0</v>
      </c>
    </row>
    <row r="844" spans="1:13" x14ac:dyDescent="0.25">
      <c r="A844" s="5" t="s">
        <v>41</v>
      </c>
      <c r="B844">
        <v>7172011004001600</v>
      </c>
      <c r="C844">
        <v>81</v>
      </c>
      <c r="D844">
        <v>3</v>
      </c>
      <c r="E844">
        <v>0</v>
      </c>
      <c r="F844">
        <v>0</v>
      </c>
      <c r="G844">
        <v>78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region_summary__43[[#This Row],[REJECTED BY Admin Kabupaten]]+region_summary__43[[#This Row],[REJECTED BY Pengawas]]</f>
        <v>0</v>
      </c>
    </row>
    <row r="845" spans="1:13" x14ac:dyDescent="0.25">
      <c r="A845" s="5" t="s">
        <v>41</v>
      </c>
      <c r="B845">
        <v>7172011004001700</v>
      </c>
      <c r="C845">
        <v>81</v>
      </c>
      <c r="D845">
        <v>49</v>
      </c>
      <c r="E845">
        <v>7</v>
      </c>
      <c r="F845">
        <v>0</v>
      </c>
      <c r="G845">
        <v>25</v>
      </c>
      <c r="H845">
        <v>0</v>
      </c>
      <c r="I845">
        <v>0</v>
      </c>
      <c r="J845">
        <v>0</v>
      </c>
      <c r="K845">
        <v>0</v>
      </c>
      <c r="L845">
        <v>0</v>
      </c>
      <c r="M845">
        <f>region_summary__43[[#This Row],[REJECTED BY Admin Kabupaten]]+region_summary__43[[#This Row],[REJECTED BY Pengawas]]</f>
        <v>0</v>
      </c>
    </row>
    <row r="846" spans="1:13" x14ac:dyDescent="0.25">
      <c r="A846" s="5" t="s">
        <v>41</v>
      </c>
      <c r="B846">
        <v>7172011004000800</v>
      </c>
      <c r="C846">
        <v>66</v>
      </c>
      <c r="D846">
        <v>0</v>
      </c>
      <c r="E846">
        <v>0</v>
      </c>
      <c r="F846">
        <v>0</v>
      </c>
      <c r="G846">
        <v>66</v>
      </c>
      <c r="H846">
        <v>0</v>
      </c>
      <c r="I846">
        <v>0</v>
      </c>
      <c r="J846">
        <v>0</v>
      </c>
      <c r="K846">
        <v>0</v>
      </c>
      <c r="L846">
        <v>0</v>
      </c>
      <c r="M846">
        <f>region_summary__43[[#This Row],[REJECTED BY Admin Kabupaten]]+region_summary__43[[#This Row],[REJECTED BY Pengawas]]</f>
        <v>0</v>
      </c>
    </row>
    <row r="847" spans="1:13" x14ac:dyDescent="0.25">
      <c r="A847" s="5" t="s">
        <v>42</v>
      </c>
      <c r="B847">
        <v>7172011014001300</v>
      </c>
      <c r="C847">
        <v>175</v>
      </c>
      <c r="D847">
        <v>16</v>
      </c>
      <c r="E847">
        <v>0</v>
      </c>
      <c r="F847">
        <v>0</v>
      </c>
      <c r="G847">
        <v>159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region_summary__43[[#This Row],[REJECTED BY Admin Kabupaten]]+region_summary__43[[#This Row],[REJECTED BY Pengawas]]</f>
        <v>0</v>
      </c>
    </row>
    <row r="848" spans="1:13" x14ac:dyDescent="0.25">
      <c r="A848" s="5" t="s">
        <v>42</v>
      </c>
      <c r="B848">
        <v>7172011014001600</v>
      </c>
      <c r="C848">
        <v>127</v>
      </c>
      <c r="D848">
        <v>85</v>
      </c>
      <c r="E848">
        <v>39</v>
      </c>
      <c r="F848">
        <v>2</v>
      </c>
      <c r="G848">
        <v>0</v>
      </c>
      <c r="H848">
        <v>0</v>
      </c>
      <c r="I848">
        <v>0</v>
      </c>
      <c r="J848">
        <v>0</v>
      </c>
      <c r="K848">
        <v>1</v>
      </c>
      <c r="L848">
        <v>0</v>
      </c>
      <c r="M848">
        <f>region_summary__43[[#This Row],[REJECTED BY Admin Kabupaten]]+region_summary__43[[#This Row],[REJECTED BY Pengawas]]</f>
        <v>0</v>
      </c>
    </row>
    <row r="849" spans="1:13" x14ac:dyDescent="0.25">
      <c r="A849" s="5" t="s">
        <v>42</v>
      </c>
      <c r="B849">
        <v>7172011014001400</v>
      </c>
      <c r="C849">
        <v>90</v>
      </c>
      <c r="D849">
        <v>1</v>
      </c>
      <c r="E849">
        <v>0</v>
      </c>
      <c r="F849">
        <v>0</v>
      </c>
      <c r="G849">
        <v>89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region_summary__43[[#This Row],[REJECTED BY Admin Kabupaten]]+region_summary__43[[#This Row],[REJECTED BY Pengawas]]</f>
        <v>0</v>
      </c>
    </row>
    <row r="850" spans="1:13" x14ac:dyDescent="0.25">
      <c r="A850" s="5" t="s">
        <v>42</v>
      </c>
      <c r="B850">
        <v>7172011014001703</v>
      </c>
      <c r="C850">
        <v>84</v>
      </c>
      <c r="D850">
        <v>83</v>
      </c>
      <c r="E850">
        <v>1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region_summary__43[[#This Row],[REJECTED BY Admin Kabupaten]]+region_summary__43[[#This Row],[REJECTED BY Pengawas]]</f>
        <v>0</v>
      </c>
    </row>
    <row r="851" spans="1:13" x14ac:dyDescent="0.25">
      <c r="A851" s="5" t="s">
        <v>42</v>
      </c>
      <c r="B851">
        <v>7172011014001500</v>
      </c>
      <c r="C851">
        <v>78</v>
      </c>
      <c r="D851">
        <v>37</v>
      </c>
      <c r="E851">
        <v>24</v>
      </c>
      <c r="F851">
        <v>0</v>
      </c>
      <c r="G851">
        <v>17</v>
      </c>
      <c r="H851">
        <v>0</v>
      </c>
      <c r="I851">
        <v>0</v>
      </c>
      <c r="J851">
        <v>0</v>
      </c>
      <c r="K851">
        <v>0</v>
      </c>
      <c r="L851">
        <v>0</v>
      </c>
      <c r="M851">
        <f>region_summary__43[[#This Row],[REJECTED BY Admin Kabupaten]]+region_summary__43[[#This Row],[REJECTED BY Pengawas]]</f>
        <v>0</v>
      </c>
    </row>
    <row r="852" spans="1:13" x14ac:dyDescent="0.25">
      <c r="A852" s="5" t="s">
        <v>42</v>
      </c>
      <c r="B852">
        <v>7172011014001701</v>
      </c>
      <c r="C852">
        <v>64</v>
      </c>
      <c r="D852">
        <v>11</v>
      </c>
      <c r="E852">
        <v>0</v>
      </c>
      <c r="F852">
        <v>0</v>
      </c>
      <c r="G852">
        <v>51</v>
      </c>
      <c r="H852">
        <v>0</v>
      </c>
      <c r="I852">
        <v>0</v>
      </c>
      <c r="J852">
        <v>0</v>
      </c>
      <c r="K852">
        <v>2</v>
      </c>
      <c r="L852">
        <v>0</v>
      </c>
      <c r="M852">
        <f>region_summary__43[[#This Row],[REJECTED BY Admin Kabupaten]]+region_summary__43[[#This Row],[REJECTED BY Pengawas]]</f>
        <v>0</v>
      </c>
    </row>
    <row r="853" spans="1:13" x14ac:dyDescent="0.25">
      <c r="A853" s="5" t="s">
        <v>42</v>
      </c>
      <c r="B853">
        <v>7172011004001400</v>
      </c>
      <c r="C853">
        <v>45</v>
      </c>
      <c r="D853">
        <v>38</v>
      </c>
      <c r="E853">
        <v>0</v>
      </c>
      <c r="F853">
        <v>0</v>
      </c>
      <c r="G853">
        <v>6</v>
      </c>
      <c r="H853">
        <v>0</v>
      </c>
      <c r="I853">
        <v>1</v>
      </c>
      <c r="J853">
        <v>0</v>
      </c>
      <c r="K853">
        <v>0</v>
      </c>
      <c r="L853">
        <v>0</v>
      </c>
      <c r="M853">
        <f>region_summary__43[[#This Row],[REJECTED BY Admin Kabupaten]]+region_summary__43[[#This Row],[REJECTED BY Pengawas]]</f>
        <v>1</v>
      </c>
    </row>
    <row r="854" spans="1:13" x14ac:dyDescent="0.25">
      <c r="A854" s="5" t="s">
        <v>44</v>
      </c>
      <c r="B854">
        <v>7172011012000700</v>
      </c>
      <c r="C854">
        <v>168</v>
      </c>
      <c r="D854">
        <v>121</v>
      </c>
      <c r="E854">
        <v>7</v>
      </c>
      <c r="F854">
        <v>1</v>
      </c>
      <c r="G854">
        <v>34</v>
      </c>
      <c r="H854">
        <v>0</v>
      </c>
      <c r="I854">
        <v>5</v>
      </c>
      <c r="J854">
        <v>0</v>
      </c>
      <c r="K854">
        <v>0</v>
      </c>
      <c r="L854">
        <v>0</v>
      </c>
      <c r="M854">
        <f>region_summary__43[[#This Row],[REJECTED BY Admin Kabupaten]]+region_summary__43[[#This Row],[REJECTED BY Pengawas]]</f>
        <v>5</v>
      </c>
    </row>
    <row r="855" spans="1:13" x14ac:dyDescent="0.25">
      <c r="A855" s="5" t="s">
        <v>44</v>
      </c>
      <c r="B855">
        <v>7172011012000200</v>
      </c>
      <c r="C855">
        <v>125</v>
      </c>
      <c r="D855">
        <v>79</v>
      </c>
      <c r="E855">
        <v>3</v>
      </c>
      <c r="F855">
        <v>3</v>
      </c>
      <c r="G855">
        <v>40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region_summary__43[[#This Row],[REJECTED BY Admin Kabupaten]]+region_summary__43[[#This Row],[REJECTED BY Pengawas]]</f>
        <v>0</v>
      </c>
    </row>
    <row r="856" spans="1:13" x14ac:dyDescent="0.25">
      <c r="A856" s="5" t="s">
        <v>44</v>
      </c>
      <c r="B856">
        <v>7172011012000400</v>
      </c>
      <c r="C856">
        <v>90</v>
      </c>
      <c r="D856">
        <v>38</v>
      </c>
      <c r="E856">
        <v>5</v>
      </c>
      <c r="F856">
        <v>0</v>
      </c>
      <c r="G856">
        <v>42</v>
      </c>
      <c r="H856">
        <v>0</v>
      </c>
      <c r="I856">
        <v>1</v>
      </c>
      <c r="J856">
        <v>0</v>
      </c>
      <c r="K856">
        <v>4</v>
      </c>
      <c r="L856">
        <v>0</v>
      </c>
      <c r="M856">
        <f>region_summary__43[[#This Row],[REJECTED BY Admin Kabupaten]]+region_summary__43[[#This Row],[REJECTED BY Pengawas]]</f>
        <v>1</v>
      </c>
    </row>
    <row r="857" spans="1:13" x14ac:dyDescent="0.25">
      <c r="A857" s="5" t="s">
        <v>44</v>
      </c>
      <c r="B857">
        <v>7172011012000300</v>
      </c>
      <c r="C857">
        <v>71</v>
      </c>
      <c r="D857">
        <v>42</v>
      </c>
      <c r="E857">
        <v>0</v>
      </c>
      <c r="F857">
        <v>0</v>
      </c>
      <c r="G857">
        <v>29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region_summary__43[[#This Row],[REJECTED BY Admin Kabupaten]]+region_summary__43[[#This Row],[REJECTED BY Pengawas]]</f>
        <v>0</v>
      </c>
    </row>
    <row r="858" spans="1:13" x14ac:dyDescent="0.25">
      <c r="A858" s="5" t="s">
        <v>44</v>
      </c>
      <c r="B858">
        <v>7172011012000900</v>
      </c>
      <c r="C858">
        <v>57</v>
      </c>
      <c r="D858">
        <v>0</v>
      </c>
      <c r="E858">
        <v>0</v>
      </c>
      <c r="F858">
        <v>0</v>
      </c>
      <c r="G858">
        <v>57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region_summary__43[[#This Row],[REJECTED BY Admin Kabupaten]]+region_summary__43[[#This Row],[REJECTED BY Pengawas]]</f>
        <v>0</v>
      </c>
    </row>
    <row r="859" spans="1:13" x14ac:dyDescent="0.25">
      <c r="A859" s="5" t="s">
        <v>44</v>
      </c>
      <c r="B859">
        <v>7172011012000800</v>
      </c>
      <c r="C859">
        <v>56</v>
      </c>
      <c r="D859">
        <v>0</v>
      </c>
      <c r="E859">
        <v>0</v>
      </c>
      <c r="F859">
        <v>0</v>
      </c>
      <c r="G859">
        <v>56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f>region_summary__43[[#This Row],[REJECTED BY Admin Kabupaten]]+region_summary__43[[#This Row],[REJECTED BY Pengawas]]</f>
        <v>0</v>
      </c>
    </row>
    <row r="860" spans="1:13" x14ac:dyDescent="0.25">
      <c r="A860" s="5" t="s">
        <v>44</v>
      </c>
      <c r="B860">
        <v>7172011012000100</v>
      </c>
      <c r="C860">
        <v>55</v>
      </c>
      <c r="D860">
        <v>0</v>
      </c>
      <c r="E860">
        <v>0</v>
      </c>
      <c r="F860">
        <v>0</v>
      </c>
      <c r="G860">
        <v>55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region_summary__43[[#This Row],[REJECTED BY Admin Kabupaten]]+region_summary__43[[#This Row],[REJECTED BY Pengawas]]</f>
        <v>0</v>
      </c>
    </row>
    <row r="861" spans="1:13" x14ac:dyDescent="0.25">
      <c r="A861" s="5" t="s">
        <v>44</v>
      </c>
      <c r="B861">
        <v>7172011012000500</v>
      </c>
      <c r="C861">
        <v>47</v>
      </c>
      <c r="D861">
        <v>0</v>
      </c>
      <c r="E861">
        <v>2</v>
      </c>
      <c r="F861">
        <v>0</v>
      </c>
      <c r="G861">
        <v>45</v>
      </c>
      <c r="H861">
        <v>0</v>
      </c>
      <c r="I861">
        <v>0</v>
      </c>
      <c r="J861">
        <v>0</v>
      </c>
      <c r="K861">
        <v>0</v>
      </c>
      <c r="L861">
        <v>0</v>
      </c>
      <c r="M861">
        <f>region_summary__43[[#This Row],[REJECTED BY Admin Kabupaten]]+region_summary__43[[#This Row],[REJECTED BY Pengawas]]</f>
        <v>0</v>
      </c>
    </row>
    <row r="862" spans="1:13" x14ac:dyDescent="0.25">
      <c r="A862" s="5" t="s">
        <v>44</v>
      </c>
      <c r="B862">
        <v>7172011012000600</v>
      </c>
      <c r="C862">
        <v>38</v>
      </c>
      <c r="D862">
        <v>0</v>
      </c>
      <c r="E862">
        <v>0</v>
      </c>
      <c r="F862">
        <v>0</v>
      </c>
      <c r="G862">
        <v>38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region_summary__43[[#This Row],[REJECTED BY Admin Kabupaten]]+region_summary__43[[#This Row],[REJECTED BY Pengawas]]</f>
        <v>0</v>
      </c>
    </row>
    <row r="863" spans="1:13" x14ac:dyDescent="0.25">
      <c r="A863" s="5" t="s">
        <v>45</v>
      </c>
      <c r="B863">
        <v>7172011012001100</v>
      </c>
      <c r="C863">
        <v>176</v>
      </c>
      <c r="D863">
        <v>29</v>
      </c>
      <c r="E863">
        <v>0</v>
      </c>
      <c r="F863">
        <v>0</v>
      </c>
      <c r="G863">
        <v>147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region_summary__43[[#This Row],[REJECTED BY Admin Kabupaten]]+region_summary__43[[#This Row],[REJECTED BY Pengawas]]</f>
        <v>0</v>
      </c>
    </row>
    <row r="864" spans="1:13" x14ac:dyDescent="0.25">
      <c r="A864" s="5" t="s">
        <v>45</v>
      </c>
      <c r="B864">
        <v>7172011012001300</v>
      </c>
      <c r="C864">
        <v>133</v>
      </c>
      <c r="D864">
        <v>100</v>
      </c>
      <c r="E864">
        <v>10</v>
      </c>
      <c r="F864">
        <v>2</v>
      </c>
      <c r="G864">
        <v>20</v>
      </c>
      <c r="H864">
        <v>0</v>
      </c>
      <c r="I864">
        <v>1</v>
      </c>
      <c r="J864">
        <v>0</v>
      </c>
      <c r="K864">
        <v>0</v>
      </c>
      <c r="L864">
        <v>0</v>
      </c>
      <c r="M864">
        <f>region_summary__43[[#This Row],[REJECTED BY Admin Kabupaten]]+region_summary__43[[#This Row],[REJECTED BY Pengawas]]</f>
        <v>1</v>
      </c>
    </row>
    <row r="865" spans="1:13" x14ac:dyDescent="0.25">
      <c r="A865" s="5" t="s">
        <v>45</v>
      </c>
      <c r="B865">
        <v>7172011012001200</v>
      </c>
      <c r="C865">
        <v>132</v>
      </c>
      <c r="D865">
        <v>39</v>
      </c>
      <c r="E865">
        <v>4</v>
      </c>
      <c r="F865">
        <v>1</v>
      </c>
      <c r="G865">
        <v>88</v>
      </c>
      <c r="H865">
        <v>0</v>
      </c>
      <c r="I865">
        <v>0</v>
      </c>
      <c r="J865">
        <v>0</v>
      </c>
      <c r="K865">
        <v>0</v>
      </c>
      <c r="L865">
        <v>0</v>
      </c>
      <c r="M865">
        <f>region_summary__43[[#This Row],[REJECTED BY Admin Kabupaten]]+region_summary__43[[#This Row],[REJECTED BY Pengawas]]</f>
        <v>0</v>
      </c>
    </row>
    <row r="866" spans="1:13" x14ac:dyDescent="0.25">
      <c r="A866" s="5" t="s">
        <v>45</v>
      </c>
      <c r="B866">
        <v>7172011012001000</v>
      </c>
      <c r="C866">
        <v>112</v>
      </c>
      <c r="D866">
        <v>0</v>
      </c>
      <c r="E866">
        <v>0</v>
      </c>
      <c r="F866">
        <v>0</v>
      </c>
      <c r="G866">
        <v>112</v>
      </c>
      <c r="H866">
        <v>0</v>
      </c>
      <c r="I866">
        <v>0</v>
      </c>
      <c r="J866">
        <v>0</v>
      </c>
      <c r="K866">
        <v>0</v>
      </c>
      <c r="L866">
        <v>0</v>
      </c>
      <c r="M866">
        <f>region_summary__43[[#This Row],[REJECTED BY Admin Kabupaten]]+region_summary__43[[#This Row],[REJECTED BY Pengawas]]</f>
        <v>0</v>
      </c>
    </row>
    <row r="867" spans="1:13" x14ac:dyDescent="0.25">
      <c r="A867" s="5" t="s">
        <v>45</v>
      </c>
      <c r="B867">
        <v>7172011013000200</v>
      </c>
      <c r="C867">
        <v>60</v>
      </c>
      <c r="D867">
        <v>50</v>
      </c>
      <c r="E867">
        <v>2</v>
      </c>
      <c r="F867">
        <v>3</v>
      </c>
      <c r="G867">
        <v>2</v>
      </c>
      <c r="H867">
        <v>1</v>
      </c>
      <c r="I867">
        <v>2</v>
      </c>
      <c r="J867">
        <v>0</v>
      </c>
      <c r="K867">
        <v>0</v>
      </c>
      <c r="L867">
        <v>0</v>
      </c>
      <c r="M867">
        <f>region_summary__43[[#This Row],[REJECTED BY Admin Kabupaten]]+region_summary__43[[#This Row],[REJECTED BY Pengawas]]</f>
        <v>3</v>
      </c>
    </row>
    <row r="868" spans="1:13" x14ac:dyDescent="0.25">
      <c r="A868" s="5" t="s">
        <v>45</v>
      </c>
      <c r="B868">
        <v>7172011013000100</v>
      </c>
      <c r="C868">
        <v>59</v>
      </c>
      <c r="D868">
        <v>52</v>
      </c>
      <c r="E868">
        <v>1</v>
      </c>
      <c r="F868">
        <v>4</v>
      </c>
      <c r="G868">
        <v>2</v>
      </c>
      <c r="H868">
        <v>0</v>
      </c>
      <c r="I868">
        <v>0</v>
      </c>
      <c r="J868">
        <v>0</v>
      </c>
      <c r="K868">
        <v>0</v>
      </c>
      <c r="L868">
        <v>0</v>
      </c>
      <c r="M868">
        <f>region_summary__43[[#This Row],[REJECTED BY Admin Kabupaten]]+region_summary__43[[#This Row],[REJECTED BY Pengawas]]</f>
        <v>0</v>
      </c>
    </row>
    <row r="869" spans="1:13" x14ac:dyDescent="0.25">
      <c r="A869" s="5" t="s">
        <v>45</v>
      </c>
      <c r="B869">
        <v>7172011012200100</v>
      </c>
      <c r="C869">
        <v>2</v>
      </c>
      <c r="D869">
        <v>0</v>
      </c>
      <c r="E869">
        <v>0</v>
      </c>
      <c r="F869">
        <v>0</v>
      </c>
      <c r="G869">
        <v>2</v>
      </c>
      <c r="H869">
        <v>0</v>
      </c>
      <c r="I869">
        <v>0</v>
      </c>
      <c r="J869">
        <v>0</v>
      </c>
      <c r="K869">
        <v>0</v>
      </c>
      <c r="L869">
        <v>0</v>
      </c>
      <c r="M869">
        <f>region_summary__43[[#This Row],[REJECTED BY Admin Kabupaten]]+region_summary__43[[#This Row],[REJECTED BY Pengawas]]</f>
        <v>0</v>
      </c>
    </row>
    <row r="870" spans="1:13" x14ac:dyDescent="0.25">
      <c r="A870" s="5" t="s">
        <v>46</v>
      </c>
      <c r="B870">
        <v>7172011013000800</v>
      </c>
      <c r="C870">
        <v>92</v>
      </c>
      <c r="D870">
        <v>27</v>
      </c>
      <c r="E870">
        <v>12</v>
      </c>
      <c r="F870">
        <v>0</v>
      </c>
      <c r="G870">
        <v>23</v>
      </c>
      <c r="H870">
        <v>0</v>
      </c>
      <c r="I870">
        <v>22</v>
      </c>
      <c r="J870">
        <v>0</v>
      </c>
      <c r="K870">
        <v>8</v>
      </c>
      <c r="L870">
        <v>0</v>
      </c>
      <c r="M870">
        <f>region_summary__43[[#This Row],[REJECTED BY Admin Kabupaten]]+region_summary__43[[#This Row],[REJECTED BY Pengawas]]</f>
        <v>22</v>
      </c>
    </row>
    <row r="871" spans="1:13" x14ac:dyDescent="0.25">
      <c r="A871" s="5" t="s">
        <v>46</v>
      </c>
      <c r="B871">
        <v>7172011013000900</v>
      </c>
      <c r="C871">
        <v>81</v>
      </c>
      <c r="D871">
        <v>25</v>
      </c>
      <c r="E871">
        <v>9</v>
      </c>
      <c r="F871">
        <v>0</v>
      </c>
      <c r="G871">
        <v>12</v>
      </c>
      <c r="H871">
        <v>0</v>
      </c>
      <c r="I871">
        <v>27</v>
      </c>
      <c r="J871">
        <v>0</v>
      </c>
      <c r="K871">
        <v>8</v>
      </c>
      <c r="L871">
        <v>0</v>
      </c>
      <c r="M871">
        <f>region_summary__43[[#This Row],[REJECTED BY Admin Kabupaten]]+region_summary__43[[#This Row],[REJECTED BY Pengawas]]</f>
        <v>27</v>
      </c>
    </row>
    <row r="872" spans="1:13" x14ac:dyDescent="0.25">
      <c r="A872" s="5" t="s">
        <v>46</v>
      </c>
      <c r="B872">
        <v>7172011013000700</v>
      </c>
      <c r="C872">
        <v>64</v>
      </c>
      <c r="D872">
        <v>0</v>
      </c>
      <c r="E872">
        <v>0</v>
      </c>
      <c r="F872">
        <v>0</v>
      </c>
      <c r="G872">
        <v>64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region_summary__43[[#This Row],[REJECTED BY Admin Kabupaten]]+region_summary__43[[#This Row],[REJECTED BY Pengawas]]</f>
        <v>0</v>
      </c>
    </row>
    <row r="873" spans="1:13" x14ac:dyDescent="0.25">
      <c r="A873" s="5" t="s">
        <v>46</v>
      </c>
      <c r="B873">
        <v>7172011013001200</v>
      </c>
      <c r="C873">
        <v>60</v>
      </c>
      <c r="D873">
        <v>0</v>
      </c>
      <c r="E873">
        <v>0</v>
      </c>
      <c r="F873">
        <v>0</v>
      </c>
      <c r="G873">
        <v>60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f>region_summary__43[[#This Row],[REJECTED BY Admin Kabupaten]]+region_summary__43[[#This Row],[REJECTED BY Pengawas]]</f>
        <v>0</v>
      </c>
    </row>
    <row r="874" spans="1:13" x14ac:dyDescent="0.25">
      <c r="A874" s="5" t="s">
        <v>46</v>
      </c>
      <c r="B874">
        <v>7172011013000600</v>
      </c>
      <c r="C874">
        <v>51</v>
      </c>
      <c r="D874">
        <v>12</v>
      </c>
      <c r="E874">
        <v>1</v>
      </c>
      <c r="F874">
        <v>0</v>
      </c>
      <c r="G874">
        <v>34</v>
      </c>
      <c r="H874">
        <v>0</v>
      </c>
      <c r="I874">
        <v>1</v>
      </c>
      <c r="J874">
        <v>0</v>
      </c>
      <c r="K874">
        <v>3</v>
      </c>
      <c r="L874">
        <v>0</v>
      </c>
      <c r="M874">
        <f>region_summary__43[[#This Row],[REJECTED BY Admin Kabupaten]]+region_summary__43[[#This Row],[REJECTED BY Pengawas]]</f>
        <v>1</v>
      </c>
    </row>
    <row r="875" spans="1:13" x14ac:dyDescent="0.25">
      <c r="A875" s="5" t="s">
        <v>46</v>
      </c>
      <c r="B875">
        <v>7172011013000500</v>
      </c>
      <c r="C875">
        <v>50</v>
      </c>
      <c r="D875">
        <v>0</v>
      </c>
      <c r="E875">
        <v>0</v>
      </c>
      <c r="F875">
        <v>0</v>
      </c>
      <c r="G875">
        <v>50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f>region_summary__43[[#This Row],[REJECTED BY Admin Kabupaten]]+region_summary__43[[#This Row],[REJECTED BY Pengawas]]</f>
        <v>0</v>
      </c>
    </row>
    <row r="876" spans="1:13" x14ac:dyDescent="0.25">
      <c r="A876" s="5" t="s">
        <v>46</v>
      </c>
      <c r="B876">
        <v>7172011013001100</v>
      </c>
      <c r="C876">
        <v>48</v>
      </c>
      <c r="D876">
        <v>0</v>
      </c>
      <c r="E876">
        <v>0</v>
      </c>
      <c r="F876">
        <v>0</v>
      </c>
      <c r="G876">
        <v>48</v>
      </c>
      <c r="H876">
        <v>0</v>
      </c>
      <c r="I876">
        <v>0</v>
      </c>
      <c r="J876">
        <v>0</v>
      </c>
      <c r="K876">
        <v>0</v>
      </c>
      <c r="L876">
        <v>0</v>
      </c>
      <c r="M876">
        <f>region_summary__43[[#This Row],[REJECTED BY Admin Kabupaten]]+region_summary__43[[#This Row],[REJECTED BY Pengawas]]</f>
        <v>0</v>
      </c>
    </row>
    <row r="877" spans="1:13" x14ac:dyDescent="0.25">
      <c r="A877" s="5" t="s">
        <v>46</v>
      </c>
      <c r="B877">
        <v>7172011013000300</v>
      </c>
      <c r="C877">
        <v>40</v>
      </c>
      <c r="D877">
        <v>1</v>
      </c>
      <c r="E877">
        <v>1</v>
      </c>
      <c r="F877">
        <v>0</v>
      </c>
      <c r="G877">
        <v>38</v>
      </c>
      <c r="H877">
        <v>0</v>
      </c>
      <c r="I877">
        <v>0</v>
      </c>
      <c r="J877">
        <v>0</v>
      </c>
      <c r="K877">
        <v>0</v>
      </c>
      <c r="L877">
        <v>0</v>
      </c>
      <c r="M877">
        <f>region_summary__43[[#This Row],[REJECTED BY Admin Kabupaten]]+region_summary__43[[#This Row],[REJECTED BY Pengawas]]</f>
        <v>0</v>
      </c>
    </row>
    <row r="878" spans="1:13" x14ac:dyDescent="0.25">
      <c r="A878" s="5" t="s">
        <v>46</v>
      </c>
      <c r="B878">
        <v>7172011013000400</v>
      </c>
      <c r="C878">
        <v>36</v>
      </c>
      <c r="D878">
        <v>16</v>
      </c>
      <c r="E878">
        <v>1</v>
      </c>
      <c r="F878">
        <v>0</v>
      </c>
      <c r="G878">
        <v>17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region_summary__43[[#This Row],[REJECTED BY Admin Kabupaten]]+region_summary__43[[#This Row],[REJECTED BY Pengawas]]</f>
        <v>0</v>
      </c>
    </row>
    <row r="879" spans="1:13" x14ac:dyDescent="0.25">
      <c r="A879" s="5" t="s">
        <v>46</v>
      </c>
      <c r="B879">
        <v>7172011013001000</v>
      </c>
      <c r="C879">
        <v>36</v>
      </c>
      <c r="D879">
        <v>0</v>
      </c>
      <c r="E879">
        <v>0</v>
      </c>
      <c r="F879">
        <v>0</v>
      </c>
      <c r="G879">
        <v>36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region_summary__43[[#This Row],[REJECTED BY Admin Kabupaten]]+region_summary__43[[#This Row],[REJECTED BY Pengawas]]</f>
        <v>0</v>
      </c>
    </row>
    <row r="880" spans="1:13" x14ac:dyDescent="0.25">
      <c r="A880" s="5" t="s">
        <v>46</v>
      </c>
      <c r="B880">
        <v>7172011013001400</v>
      </c>
      <c r="C880">
        <v>36</v>
      </c>
      <c r="D880">
        <v>0</v>
      </c>
      <c r="E880">
        <v>5</v>
      </c>
      <c r="F880">
        <v>0</v>
      </c>
      <c r="G880">
        <v>19</v>
      </c>
      <c r="H880">
        <v>0</v>
      </c>
      <c r="I880">
        <v>0</v>
      </c>
      <c r="J880">
        <v>0</v>
      </c>
      <c r="K880">
        <v>12</v>
      </c>
      <c r="L880">
        <v>0</v>
      </c>
      <c r="M880">
        <f>region_summary__43[[#This Row],[REJECTED BY Admin Kabupaten]]+region_summary__43[[#This Row],[REJECTED BY Pengawas]]</f>
        <v>0</v>
      </c>
    </row>
    <row r="881" spans="1:13" x14ac:dyDescent="0.25">
      <c r="A881" s="5" t="s">
        <v>46</v>
      </c>
      <c r="B881">
        <v>7172011013001300</v>
      </c>
      <c r="C881">
        <v>27</v>
      </c>
      <c r="D881">
        <v>0</v>
      </c>
      <c r="E881">
        <v>0</v>
      </c>
      <c r="F881">
        <v>0</v>
      </c>
      <c r="G881">
        <v>27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region_summary__43[[#This Row],[REJECTED BY Admin Kabupaten]]+region_summary__43[[#This Row],[REJECTED BY Pengawas]]</f>
        <v>0</v>
      </c>
    </row>
    <row r="882" spans="1:13" x14ac:dyDescent="0.25">
      <c r="A882" s="5" t="s">
        <v>46</v>
      </c>
      <c r="B882">
        <v>7172011013100100</v>
      </c>
      <c r="C882">
        <v>2</v>
      </c>
      <c r="D882">
        <v>0</v>
      </c>
      <c r="E882">
        <v>0</v>
      </c>
      <c r="F882">
        <v>0</v>
      </c>
      <c r="G882">
        <v>2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region_summary__43[[#This Row],[REJECTED BY Admin Kabupaten]]+region_summary__43[[#This Row],[REJECTED BY Pengawas]]</f>
        <v>0</v>
      </c>
    </row>
    <row r="883" spans="1:13" x14ac:dyDescent="0.25">
      <c r="A883" s="5" t="s">
        <v>46</v>
      </c>
      <c r="B883">
        <v>7172011013100200</v>
      </c>
      <c r="C883">
        <v>2</v>
      </c>
      <c r="D883">
        <v>0</v>
      </c>
      <c r="E883">
        <v>0</v>
      </c>
      <c r="F883">
        <v>0</v>
      </c>
      <c r="G883">
        <v>2</v>
      </c>
      <c r="H883">
        <v>0</v>
      </c>
      <c r="I883">
        <v>0</v>
      </c>
      <c r="J883">
        <v>0</v>
      </c>
      <c r="K883">
        <v>0</v>
      </c>
      <c r="L883">
        <v>0</v>
      </c>
      <c r="M883">
        <f>region_summary__43[[#This Row],[REJECTED BY Admin Kabupaten]]+region_summary__43[[#This Row],[REJECTED BY Pengawas]]</f>
        <v>0</v>
      </c>
    </row>
    <row r="884" spans="1:13" x14ac:dyDescent="0.25">
      <c r="A884" s="5" t="s">
        <v>50</v>
      </c>
      <c r="B884">
        <v>7172012001000200</v>
      </c>
      <c r="C884">
        <v>154</v>
      </c>
      <c r="D884">
        <v>18</v>
      </c>
      <c r="E884">
        <v>8</v>
      </c>
      <c r="F884">
        <v>0</v>
      </c>
      <c r="G884">
        <v>96</v>
      </c>
      <c r="H884">
        <v>0</v>
      </c>
      <c r="I884">
        <v>0</v>
      </c>
      <c r="J884">
        <v>0</v>
      </c>
      <c r="K884">
        <v>32</v>
      </c>
      <c r="L884">
        <v>0</v>
      </c>
      <c r="M884">
        <f>region_summary__43[[#This Row],[REJECTED BY Admin Kabupaten]]+region_summary__43[[#This Row],[REJECTED BY Pengawas]]</f>
        <v>0</v>
      </c>
    </row>
    <row r="885" spans="1:13" x14ac:dyDescent="0.25">
      <c r="A885" s="5" t="s">
        <v>50</v>
      </c>
      <c r="B885">
        <v>7172012001000900</v>
      </c>
      <c r="C885">
        <v>143</v>
      </c>
      <c r="D885">
        <v>83</v>
      </c>
      <c r="E885">
        <v>6</v>
      </c>
      <c r="F885">
        <v>0</v>
      </c>
      <c r="G885">
        <v>11</v>
      </c>
      <c r="H885">
        <v>0</v>
      </c>
      <c r="I885">
        <v>0</v>
      </c>
      <c r="J885">
        <v>0</v>
      </c>
      <c r="K885">
        <v>43</v>
      </c>
      <c r="L885">
        <v>0</v>
      </c>
      <c r="M885">
        <f>region_summary__43[[#This Row],[REJECTED BY Admin Kabupaten]]+region_summary__43[[#This Row],[REJECTED BY Pengawas]]</f>
        <v>0</v>
      </c>
    </row>
    <row r="886" spans="1:13" x14ac:dyDescent="0.25">
      <c r="A886" s="5" t="s">
        <v>50</v>
      </c>
      <c r="B886">
        <v>7172012001000300</v>
      </c>
      <c r="C886">
        <v>141</v>
      </c>
      <c r="D886">
        <v>0</v>
      </c>
      <c r="E886">
        <v>2</v>
      </c>
      <c r="F886">
        <v>0</v>
      </c>
      <c r="G886">
        <v>135</v>
      </c>
      <c r="H886">
        <v>0</v>
      </c>
      <c r="I886">
        <v>0</v>
      </c>
      <c r="J886">
        <v>0</v>
      </c>
      <c r="K886">
        <v>4</v>
      </c>
      <c r="L886">
        <v>0</v>
      </c>
      <c r="M886">
        <f>region_summary__43[[#This Row],[REJECTED BY Admin Kabupaten]]+region_summary__43[[#This Row],[REJECTED BY Pengawas]]</f>
        <v>0</v>
      </c>
    </row>
    <row r="887" spans="1:13" x14ac:dyDescent="0.25">
      <c r="A887" s="5" t="s">
        <v>50</v>
      </c>
      <c r="B887">
        <v>7172012001000400</v>
      </c>
      <c r="C887">
        <v>124</v>
      </c>
      <c r="D887">
        <v>0</v>
      </c>
      <c r="E887">
        <v>0</v>
      </c>
      <c r="F887">
        <v>0</v>
      </c>
      <c r="G887">
        <v>121</v>
      </c>
      <c r="H887">
        <v>0</v>
      </c>
      <c r="I887">
        <v>0</v>
      </c>
      <c r="J887">
        <v>0</v>
      </c>
      <c r="K887">
        <v>3</v>
      </c>
      <c r="L887">
        <v>0</v>
      </c>
      <c r="M887">
        <f>region_summary__43[[#This Row],[REJECTED BY Admin Kabupaten]]+region_summary__43[[#This Row],[REJECTED BY Pengawas]]</f>
        <v>0</v>
      </c>
    </row>
    <row r="888" spans="1:13" x14ac:dyDescent="0.25">
      <c r="A888" s="5" t="s">
        <v>50</v>
      </c>
      <c r="B888">
        <v>7172012001000800</v>
      </c>
      <c r="C888">
        <v>122</v>
      </c>
      <c r="D888">
        <v>95</v>
      </c>
      <c r="E888">
        <v>6</v>
      </c>
      <c r="F888">
        <v>0</v>
      </c>
      <c r="G888">
        <v>1</v>
      </c>
      <c r="H888">
        <v>0</v>
      </c>
      <c r="I888">
        <v>0</v>
      </c>
      <c r="J888">
        <v>0</v>
      </c>
      <c r="K888">
        <v>20</v>
      </c>
      <c r="L888">
        <v>0</v>
      </c>
      <c r="M888">
        <f>region_summary__43[[#This Row],[REJECTED BY Admin Kabupaten]]+region_summary__43[[#This Row],[REJECTED BY Pengawas]]</f>
        <v>0</v>
      </c>
    </row>
    <row r="889" spans="1:13" x14ac:dyDescent="0.25">
      <c r="A889" s="5" t="s">
        <v>54</v>
      </c>
      <c r="B889">
        <v>7172012002000600</v>
      </c>
      <c r="C889">
        <v>130</v>
      </c>
      <c r="D889">
        <v>123</v>
      </c>
      <c r="E889">
        <v>3</v>
      </c>
      <c r="F889">
        <v>0</v>
      </c>
      <c r="G889">
        <v>1</v>
      </c>
      <c r="H889">
        <v>3</v>
      </c>
      <c r="I889">
        <v>0</v>
      </c>
      <c r="J889">
        <v>0</v>
      </c>
      <c r="K889">
        <v>0</v>
      </c>
      <c r="L889">
        <v>0</v>
      </c>
      <c r="M889">
        <f>region_summary__43[[#This Row],[REJECTED BY Admin Kabupaten]]+region_summary__43[[#This Row],[REJECTED BY Pengawas]]</f>
        <v>3</v>
      </c>
    </row>
    <row r="890" spans="1:13" x14ac:dyDescent="0.25">
      <c r="A890" s="5" t="s">
        <v>54</v>
      </c>
      <c r="B890">
        <v>7172012002000401</v>
      </c>
      <c r="C890">
        <v>119</v>
      </c>
      <c r="D890">
        <v>1</v>
      </c>
      <c r="E890">
        <v>0</v>
      </c>
      <c r="F890">
        <v>0</v>
      </c>
      <c r="G890">
        <v>113</v>
      </c>
      <c r="H890">
        <v>0</v>
      </c>
      <c r="I890">
        <v>0</v>
      </c>
      <c r="J890">
        <v>0</v>
      </c>
      <c r="K890">
        <v>5</v>
      </c>
      <c r="L890">
        <v>0</v>
      </c>
      <c r="M890">
        <f>region_summary__43[[#This Row],[REJECTED BY Admin Kabupaten]]+region_summary__43[[#This Row],[REJECTED BY Pengawas]]</f>
        <v>0</v>
      </c>
    </row>
    <row r="891" spans="1:13" x14ac:dyDescent="0.25">
      <c r="A891" s="5" t="s">
        <v>54</v>
      </c>
      <c r="B891">
        <v>7172012002000300</v>
      </c>
      <c r="C891">
        <v>107</v>
      </c>
      <c r="D891">
        <v>83</v>
      </c>
      <c r="E891">
        <v>2</v>
      </c>
      <c r="F891">
        <v>0</v>
      </c>
      <c r="G891">
        <v>19</v>
      </c>
      <c r="H891">
        <v>3</v>
      </c>
      <c r="I891">
        <v>0</v>
      </c>
      <c r="J891">
        <v>0</v>
      </c>
      <c r="K891">
        <v>0</v>
      </c>
      <c r="L891">
        <v>0</v>
      </c>
      <c r="M891">
        <f>region_summary__43[[#This Row],[REJECTED BY Admin Kabupaten]]+region_summary__43[[#This Row],[REJECTED BY Pengawas]]</f>
        <v>3</v>
      </c>
    </row>
    <row r="892" spans="1:13" x14ac:dyDescent="0.25">
      <c r="A892" s="5" t="s">
        <v>54</v>
      </c>
      <c r="B892">
        <v>7172012002000800</v>
      </c>
      <c r="C892">
        <v>105</v>
      </c>
      <c r="D892">
        <v>16</v>
      </c>
      <c r="E892">
        <v>17</v>
      </c>
      <c r="F892">
        <v>0</v>
      </c>
      <c r="G892">
        <v>70</v>
      </c>
      <c r="H892">
        <v>1</v>
      </c>
      <c r="I892">
        <v>0</v>
      </c>
      <c r="J892">
        <v>0</v>
      </c>
      <c r="K892">
        <v>1</v>
      </c>
      <c r="L892">
        <v>0</v>
      </c>
      <c r="M892">
        <f>region_summary__43[[#This Row],[REJECTED BY Admin Kabupaten]]+region_summary__43[[#This Row],[REJECTED BY Pengawas]]</f>
        <v>1</v>
      </c>
    </row>
    <row r="893" spans="1:13" x14ac:dyDescent="0.25">
      <c r="A893" s="5" t="s">
        <v>54</v>
      </c>
      <c r="B893">
        <v>7172012002000700</v>
      </c>
      <c r="C893">
        <v>95</v>
      </c>
      <c r="D893">
        <v>31</v>
      </c>
      <c r="E893">
        <v>6</v>
      </c>
      <c r="F893">
        <v>0</v>
      </c>
      <c r="G893">
        <v>52</v>
      </c>
      <c r="H893">
        <v>0</v>
      </c>
      <c r="I893">
        <v>0</v>
      </c>
      <c r="J893">
        <v>0</v>
      </c>
      <c r="K893">
        <v>6</v>
      </c>
      <c r="L893">
        <v>0</v>
      </c>
      <c r="M893">
        <f>region_summary__43[[#This Row],[REJECTED BY Admin Kabupaten]]+region_summary__43[[#This Row],[REJECTED BY Pengawas]]</f>
        <v>0</v>
      </c>
    </row>
    <row r="894" spans="1:13" x14ac:dyDescent="0.25">
      <c r="A894" s="5" t="s">
        <v>54</v>
      </c>
      <c r="B894">
        <v>7172012002000402</v>
      </c>
      <c r="C894">
        <v>88</v>
      </c>
      <c r="D894">
        <v>3</v>
      </c>
      <c r="E894">
        <v>0</v>
      </c>
      <c r="F894">
        <v>0</v>
      </c>
      <c r="G894">
        <v>85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region_summary__43[[#This Row],[REJECTED BY Admin Kabupaten]]+region_summary__43[[#This Row],[REJECTED BY Pengawas]]</f>
        <v>0</v>
      </c>
    </row>
    <row r="895" spans="1:13" x14ac:dyDescent="0.25">
      <c r="A895" s="5" t="s">
        <v>229</v>
      </c>
      <c r="B895">
        <v>7172012002001301</v>
      </c>
      <c r="C895">
        <v>156</v>
      </c>
      <c r="D895">
        <v>99</v>
      </c>
      <c r="E895">
        <v>9</v>
      </c>
      <c r="F895">
        <v>0</v>
      </c>
      <c r="G895">
        <v>44</v>
      </c>
      <c r="H895">
        <v>0</v>
      </c>
      <c r="I895">
        <v>0</v>
      </c>
      <c r="J895">
        <v>0</v>
      </c>
      <c r="K895">
        <v>4</v>
      </c>
      <c r="L895">
        <v>0</v>
      </c>
      <c r="M895">
        <f>region_summary__43[[#This Row],[REJECTED BY Admin Kabupaten]]+region_summary__43[[#This Row],[REJECTED BY Pengawas]]</f>
        <v>0</v>
      </c>
    </row>
    <row r="896" spans="1:13" x14ac:dyDescent="0.25">
      <c r="A896" s="5" t="s">
        <v>229</v>
      </c>
      <c r="B896">
        <v>7172012002001302</v>
      </c>
      <c r="C896">
        <v>154</v>
      </c>
      <c r="D896">
        <v>130</v>
      </c>
      <c r="E896">
        <v>5</v>
      </c>
      <c r="F896">
        <v>1</v>
      </c>
      <c r="G896">
        <v>11</v>
      </c>
      <c r="H896">
        <v>4</v>
      </c>
      <c r="I896">
        <v>3</v>
      </c>
      <c r="J896">
        <v>0</v>
      </c>
      <c r="K896">
        <v>0</v>
      </c>
      <c r="L896">
        <v>0</v>
      </c>
      <c r="M896">
        <f>region_summary__43[[#This Row],[REJECTED BY Admin Kabupaten]]+region_summary__43[[#This Row],[REJECTED BY Pengawas]]</f>
        <v>7</v>
      </c>
    </row>
    <row r="897" spans="1:13" x14ac:dyDescent="0.25">
      <c r="A897" s="5" t="s">
        <v>229</v>
      </c>
      <c r="B897">
        <v>7172012002001500</v>
      </c>
      <c r="C897">
        <v>111</v>
      </c>
      <c r="D897">
        <v>5</v>
      </c>
      <c r="E897">
        <v>0</v>
      </c>
      <c r="F897">
        <v>0</v>
      </c>
      <c r="G897">
        <v>106</v>
      </c>
      <c r="H897">
        <v>0</v>
      </c>
      <c r="I897">
        <v>0</v>
      </c>
      <c r="J897">
        <v>0</v>
      </c>
      <c r="K897">
        <v>0</v>
      </c>
      <c r="L897">
        <v>0</v>
      </c>
      <c r="M897">
        <f>region_summary__43[[#This Row],[REJECTED BY Admin Kabupaten]]+region_summary__43[[#This Row],[REJECTED BY Pengawas]]</f>
        <v>0</v>
      </c>
    </row>
    <row r="898" spans="1:13" x14ac:dyDescent="0.25">
      <c r="A898" s="5" t="s">
        <v>229</v>
      </c>
      <c r="B898">
        <v>7172012002001400</v>
      </c>
      <c r="C898">
        <v>95</v>
      </c>
      <c r="D898">
        <v>12</v>
      </c>
      <c r="E898">
        <v>0</v>
      </c>
      <c r="F898">
        <v>0</v>
      </c>
      <c r="G898">
        <v>83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region_summary__43[[#This Row],[REJECTED BY Admin Kabupaten]]+region_summary__43[[#This Row],[REJECTED BY Pengawas]]</f>
        <v>0</v>
      </c>
    </row>
    <row r="899" spans="1:13" x14ac:dyDescent="0.25">
      <c r="A899" s="5" t="s">
        <v>229</v>
      </c>
      <c r="B899">
        <v>7172012002001700</v>
      </c>
      <c r="C899">
        <v>90</v>
      </c>
      <c r="D899">
        <v>8</v>
      </c>
      <c r="E899">
        <v>0</v>
      </c>
      <c r="F899">
        <v>0</v>
      </c>
      <c r="G899">
        <v>82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region_summary__43[[#This Row],[REJECTED BY Admin Kabupaten]]+region_summary__43[[#This Row],[REJECTED BY Pengawas]]</f>
        <v>0</v>
      </c>
    </row>
    <row r="900" spans="1:13" x14ac:dyDescent="0.25">
      <c r="A900" s="5" t="s">
        <v>229</v>
      </c>
      <c r="B900">
        <v>7172012002001800</v>
      </c>
      <c r="C900">
        <v>76</v>
      </c>
      <c r="D900">
        <v>4</v>
      </c>
      <c r="E900">
        <v>4</v>
      </c>
      <c r="F900">
        <v>0</v>
      </c>
      <c r="G900">
        <v>59</v>
      </c>
      <c r="H900">
        <v>0</v>
      </c>
      <c r="I900">
        <v>5</v>
      </c>
      <c r="J900">
        <v>0</v>
      </c>
      <c r="K900">
        <v>4</v>
      </c>
      <c r="L900">
        <v>0</v>
      </c>
      <c r="M900">
        <f>region_summary__43[[#This Row],[REJECTED BY Admin Kabupaten]]+region_summary__43[[#This Row],[REJECTED BY Pengawas]]</f>
        <v>5</v>
      </c>
    </row>
    <row r="901" spans="1:13" x14ac:dyDescent="0.25">
      <c r="A901" s="5" t="s">
        <v>63</v>
      </c>
      <c r="B901">
        <v>7172012004001701</v>
      </c>
      <c r="C901">
        <v>342</v>
      </c>
      <c r="D901">
        <v>186</v>
      </c>
      <c r="E901">
        <v>25</v>
      </c>
      <c r="F901">
        <v>4</v>
      </c>
      <c r="G901">
        <v>127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region_summary__43[[#This Row],[REJECTED BY Admin Kabupaten]]+region_summary__43[[#This Row],[REJECTED BY Pengawas]]</f>
        <v>0</v>
      </c>
    </row>
    <row r="902" spans="1:13" x14ac:dyDescent="0.25">
      <c r="A902" s="5" t="s">
        <v>63</v>
      </c>
      <c r="B902">
        <v>7172012004002000</v>
      </c>
      <c r="C902">
        <v>170</v>
      </c>
      <c r="D902">
        <v>17</v>
      </c>
      <c r="E902">
        <v>1</v>
      </c>
      <c r="F902">
        <v>0</v>
      </c>
      <c r="G902">
        <v>152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region_summary__43[[#This Row],[REJECTED BY Admin Kabupaten]]+region_summary__43[[#This Row],[REJECTED BY Pengawas]]</f>
        <v>0</v>
      </c>
    </row>
    <row r="903" spans="1:13" x14ac:dyDescent="0.25">
      <c r="A903" s="5" t="s">
        <v>63</v>
      </c>
      <c r="B903">
        <v>7172012004002102</v>
      </c>
      <c r="C903">
        <v>87</v>
      </c>
      <c r="D903">
        <v>14</v>
      </c>
      <c r="E903">
        <v>7</v>
      </c>
      <c r="F903">
        <v>0</v>
      </c>
      <c r="G903">
        <v>46</v>
      </c>
      <c r="H903">
        <v>0</v>
      </c>
      <c r="I903">
        <v>0</v>
      </c>
      <c r="J903">
        <v>0</v>
      </c>
      <c r="K903">
        <v>20</v>
      </c>
      <c r="L903">
        <v>0</v>
      </c>
      <c r="M903">
        <f>region_summary__43[[#This Row],[REJECTED BY Admin Kabupaten]]+region_summary__43[[#This Row],[REJECTED BY Pengawas]]</f>
        <v>0</v>
      </c>
    </row>
    <row r="904" spans="1:13" x14ac:dyDescent="0.25">
      <c r="A904" s="5" t="s">
        <v>63</v>
      </c>
      <c r="B904">
        <v>7172012004002402</v>
      </c>
      <c r="C904">
        <v>35</v>
      </c>
      <c r="D904">
        <v>29</v>
      </c>
      <c r="E904">
        <v>2</v>
      </c>
      <c r="F904">
        <v>3</v>
      </c>
      <c r="G904">
        <v>1</v>
      </c>
      <c r="H904">
        <v>0</v>
      </c>
      <c r="I904">
        <v>0</v>
      </c>
      <c r="J904">
        <v>0</v>
      </c>
      <c r="K904">
        <v>0</v>
      </c>
      <c r="L904">
        <v>0</v>
      </c>
      <c r="M904">
        <f>region_summary__43[[#This Row],[REJECTED BY Admin Kabupaten]]+region_summary__43[[#This Row],[REJECTED BY Pengawas]]</f>
        <v>0</v>
      </c>
    </row>
    <row r="905" spans="1:13" x14ac:dyDescent="0.25">
      <c r="A905" s="5" t="s">
        <v>64</v>
      </c>
      <c r="B905">
        <v>7172012004002300</v>
      </c>
      <c r="C905">
        <v>177</v>
      </c>
      <c r="D905">
        <v>0</v>
      </c>
      <c r="E905">
        <v>0</v>
      </c>
      <c r="F905">
        <v>0</v>
      </c>
      <c r="G905">
        <v>177</v>
      </c>
      <c r="H905">
        <v>0</v>
      </c>
      <c r="I905">
        <v>0</v>
      </c>
      <c r="J905">
        <v>0</v>
      </c>
      <c r="K905">
        <v>0</v>
      </c>
      <c r="L905">
        <v>0</v>
      </c>
      <c r="M905">
        <f>region_summary__43[[#This Row],[REJECTED BY Admin Kabupaten]]+region_summary__43[[#This Row],[REJECTED BY Pengawas]]</f>
        <v>0</v>
      </c>
    </row>
    <row r="906" spans="1:13" x14ac:dyDescent="0.25">
      <c r="A906" s="5" t="s">
        <v>64</v>
      </c>
      <c r="B906">
        <v>7172012004002200</v>
      </c>
      <c r="C906">
        <v>171</v>
      </c>
      <c r="D906">
        <v>110</v>
      </c>
      <c r="E906">
        <v>3</v>
      </c>
      <c r="F906">
        <v>1</v>
      </c>
      <c r="G906">
        <v>14</v>
      </c>
      <c r="H906">
        <v>0</v>
      </c>
      <c r="I906">
        <v>3</v>
      </c>
      <c r="J906">
        <v>0</v>
      </c>
      <c r="K906">
        <v>40</v>
      </c>
      <c r="L906">
        <v>0</v>
      </c>
      <c r="M906">
        <f>region_summary__43[[#This Row],[REJECTED BY Admin Kabupaten]]+region_summary__43[[#This Row],[REJECTED BY Pengawas]]</f>
        <v>3</v>
      </c>
    </row>
    <row r="907" spans="1:13" x14ac:dyDescent="0.25">
      <c r="A907" s="5" t="s">
        <v>64</v>
      </c>
      <c r="B907">
        <v>7172012004002500</v>
      </c>
      <c r="C907">
        <v>162</v>
      </c>
      <c r="D907">
        <v>27</v>
      </c>
      <c r="E907">
        <v>4</v>
      </c>
      <c r="F907">
        <v>1</v>
      </c>
      <c r="G907">
        <v>47</v>
      </c>
      <c r="H907">
        <v>0</v>
      </c>
      <c r="I907">
        <v>0</v>
      </c>
      <c r="J907">
        <v>0</v>
      </c>
      <c r="K907">
        <v>83</v>
      </c>
      <c r="L907">
        <v>0</v>
      </c>
      <c r="M907">
        <f>region_summary__43[[#This Row],[REJECTED BY Admin Kabupaten]]+region_summary__43[[#This Row],[REJECTED BY Pengawas]]</f>
        <v>0</v>
      </c>
    </row>
    <row r="908" spans="1:13" x14ac:dyDescent="0.25">
      <c r="A908" s="5" t="s">
        <v>64</v>
      </c>
      <c r="B908">
        <v>7172012004002401</v>
      </c>
      <c r="C908">
        <v>144</v>
      </c>
      <c r="D908">
        <v>107</v>
      </c>
      <c r="E908">
        <v>5</v>
      </c>
      <c r="F908">
        <v>0</v>
      </c>
      <c r="G908">
        <v>20</v>
      </c>
      <c r="H908">
        <v>0</v>
      </c>
      <c r="I908">
        <v>0</v>
      </c>
      <c r="J908">
        <v>0</v>
      </c>
      <c r="K908">
        <v>12</v>
      </c>
      <c r="L908">
        <v>0</v>
      </c>
      <c r="M908">
        <f>region_summary__43[[#This Row],[REJECTED BY Admin Kabupaten]]+region_summary__43[[#This Row],[REJECTED BY Pengawas]]</f>
        <v>0</v>
      </c>
    </row>
    <row r="909" spans="1:13" x14ac:dyDescent="0.25">
      <c r="A909" s="5" t="s">
        <v>67</v>
      </c>
      <c r="B909">
        <v>7172012005001400</v>
      </c>
      <c r="C909">
        <v>130</v>
      </c>
      <c r="D909">
        <v>12</v>
      </c>
      <c r="E909">
        <v>3</v>
      </c>
      <c r="F909">
        <v>0</v>
      </c>
      <c r="G909">
        <v>93</v>
      </c>
      <c r="H909">
        <v>0</v>
      </c>
      <c r="I909">
        <v>0</v>
      </c>
      <c r="J909">
        <v>0</v>
      </c>
      <c r="K909">
        <v>22</v>
      </c>
      <c r="L909">
        <v>0</v>
      </c>
      <c r="M909">
        <f>region_summary__43[[#This Row],[REJECTED BY Admin Kabupaten]]+region_summary__43[[#This Row],[REJECTED BY Pengawas]]</f>
        <v>0</v>
      </c>
    </row>
    <row r="910" spans="1:13" x14ac:dyDescent="0.25">
      <c r="A910" s="5" t="s">
        <v>67</v>
      </c>
      <c r="B910">
        <v>7172012005001500</v>
      </c>
      <c r="C910">
        <v>105</v>
      </c>
      <c r="D910">
        <v>0</v>
      </c>
      <c r="E910">
        <v>8</v>
      </c>
      <c r="F910">
        <v>0</v>
      </c>
      <c r="G910">
        <v>94</v>
      </c>
      <c r="H910">
        <v>0</v>
      </c>
      <c r="I910">
        <v>0</v>
      </c>
      <c r="J910">
        <v>0</v>
      </c>
      <c r="K910">
        <v>3</v>
      </c>
      <c r="L910">
        <v>0</v>
      </c>
      <c r="M910">
        <f>region_summary__43[[#This Row],[REJECTED BY Admin Kabupaten]]+region_summary__43[[#This Row],[REJECTED BY Pengawas]]</f>
        <v>0</v>
      </c>
    </row>
    <row r="911" spans="1:13" x14ac:dyDescent="0.25">
      <c r="A911" s="5" t="s">
        <v>67</v>
      </c>
      <c r="B911">
        <v>7172012005001700</v>
      </c>
      <c r="C911">
        <v>102</v>
      </c>
      <c r="D911">
        <v>79</v>
      </c>
      <c r="E911">
        <v>3</v>
      </c>
      <c r="F911">
        <v>0</v>
      </c>
      <c r="G911">
        <v>19</v>
      </c>
      <c r="H911">
        <v>0</v>
      </c>
      <c r="I911">
        <v>1</v>
      </c>
      <c r="J911">
        <v>0</v>
      </c>
      <c r="K911">
        <v>0</v>
      </c>
      <c r="L911">
        <v>0</v>
      </c>
      <c r="M911">
        <f>region_summary__43[[#This Row],[REJECTED BY Admin Kabupaten]]+region_summary__43[[#This Row],[REJECTED BY Pengawas]]</f>
        <v>1</v>
      </c>
    </row>
    <row r="912" spans="1:13" x14ac:dyDescent="0.25">
      <c r="A912" s="5" t="s">
        <v>67</v>
      </c>
      <c r="B912">
        <v>7172012005001800</v>
      </c>
      <c r="C912">
        <v>70</v>
      </c>
      <c r="D912">
        <v>26</v>
      </c>
      <c r="E912">
        <v>1</v>
      </c>
      <c r="F912">
        <v>0</v>
      </c>
      <c r="G912">
        <v>43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region_summary__43[[#This Row],[REJECTED BY Admin Kabupaten]]+region_summary__43[[#This Row],[REJECTED BY Pengawas]]</f>
        <v>0</v>
      </c>
    </row>
    <row r="913" spans="1:13" x14ac:dyDescent="0.25">
      <c r="A913" s="5" t="s">
        <v>67</v>
      </c>
      <c r="B913">
        <v>7172012005001200</v>
      </c>
      <c r="C913">
        <v>61</v>
      </c>
      <c r="D913">
        <v>23</v>
      </c>
      <c r="E913">
        <v>6</v>
      </c>
      <c r="F913">
        <v>0</v>
      </c>
      <c r="G913">
        <v>32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region_summary__43[[#This Row],[REJECTED BY Admin Kabupaten]]+region_summary__43[[#This Row],[REJECTED BY Pengawas]]</f>
        <v>0</v>
      </c>
    </row>
    <row r="914" spans="1:13" x14ac:dyDescent="0.25">
      <c r="A914" s="5" t="s">
        <v>67</v>
      </c>
      <c r="B914">
        <v>7172012005001600</v>
      </c>
      <c r="C914">
        <v>58</v>
      </c>
      <c r="D914">
        <v>47</v>
      </c>
      <c r="E914">
        <v>4</v>
      </c>
      <c r="F914">
        <v>0</v>
      </c>
      <c r="G914">
        <v>6</v>
      </c>
      <c r="H914">
        <v>0</v>
      </c>
      <c r="I914">
        <v>0</v>
      </c>
      <c r="J914">
        <v>0</v>
      </c>
      <c r="K914">
        <v>1</v>
      </c>
      <c r="L914">
        <v>0</v>
      </c>
      <c r="M914">
        <f>region_summary__43[[#This Row],[REJECTED BY Admin Kabupaten]]+region_summary__43[[#This Row],[REJECTED BY Pengawas]]</f>
        <v>0</v>
      </c>
    </row>
    <row r="915" spans="1:13" x14ac:dyDescent="0.25">
      <c r="A915" s="5" t="s">
        <v>67</v>
      </c>
      <c r="B915">
        <v>7172012005001300</v>
      </c>
      <c r="C915">
        <v>54</v>
      </c>
      <c r="D915">
        <v>47</v>
      </c>
      <c r="E915">
        <v>4</v>
      </c>
      <c r="F915">
        <v>1</v>
      </c>
      <c r="G915">
        <v>2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region_summary__43[[#This Row],[REJECTED BY Admin Kabupaten]]+region_summary__43[[#This Row],[REJECTED BY Pengawas]]</f>
        <v>0</v>
      </c>
    </row>
    <row r="916" spans="1:13" x14ac:dyDescent="0.25">
      <c r="A916" s="5" t="s">
        <v>67</v>
      </c>
      <c r="B916">
        <v>7172012005000800</v>
      </c>
      <c r="C916">
        <v>39</v>
      </c>
      <c r="D916">
        <v>30</v>
      </c>
      <c r="E916">
        <v>1</v>
      </c>
      <c r="F916">
        <v>0</v>
      </c>
      <c r="G916">
        <v>8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region_summary__43[[#This Row],[REJECTED BY Admin Kabupaten]]+region_summary__43[[#This Row],[REJECTED BY Pengawas]]</f>
        <v>0</v>
      </c>
    </row>
    <row r="917" spans="1:13" x14ac:dyDescent="0.25">
      <c r="A917" s="5" t="s">
        <v>67</v>
      </c>
      <c r="B917">
        <v>7172012005000700</v>
      </c>
      <c r="C917">
        <v>38</v>
      </c>
      <c r="D917">
        <v>37</v>
      </c>
      <c r="E917">
        <v>0</v>
      </c>
      <c r="F917">
        <v>0</v>
      </c>
      <c r="G917">
        <v>1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region_summary__43[[#This Row],[REJECTED BY Admin Kabupaten]]+region_summary__43[[#This Row],[REJECTED BY Pengawas]]</f>
        <v>0</v>
      </c>
    </row>
    <row r="918" spans="1:13" x14ac:dyDescent="0.25">
      <c r="A918" s="5" t="s">
        <v>70</v>
      </c>
      <c r="B918">
        <v>7172012006001600</v>
      </c>
      <c r="C918">
        <v>117</v>
      </c>
      <c r="D918">
        <v>76</v>
      </c>
      <c r="E918">
        <v>3</v>
      </c>
      <c r="F918">
        <v>0</v>
      </c>
      <c r="G918">
        <v>35</v>
      </c>
      <c r="H918">
        <v>0</v>
      </c>
      <c r="I918">
        <v>0</v>
      </c>
      <c r="J918">
        <v>0</v>
      </c>
      <c r="K918">
        <v>3</v>
      </c>
      <c r="L918">
        <v>0</v>
      </c>
      <c r="M918">
        <f>region_summary__43[[#This Row],[REJECTED BY Admin Kabupaten]]+region_summary__43[[#This Row],[REJECTED BY Pengawas]]</f>
        <v>0</v>
      </c>
    </row>
    <row r="919" spans="1:13" x14ac:dyDescent="0.25">
      <c r="A919" s="5" t="s">
        <v>70</v>
      </c>
      <c r="B919">
        <v>7172012006001300</v>
      </c>
      <c r="C919">
        <v>105</v>
      </c>
      <c r="D919">
        <v>12</v>
      </c>
      <c r="E919">
        <v>9</v>
      </c>
      <c r="F919">
        <v>0</v>
      </c>
      <c r="G919">
        <v>33</v>
      </c>
      <c r="H919">
        <v>0</v>
      </c>
      <c r="I919">
        <v>1</v>
      </c>
      <c r="J919">
        <v>0</v>
      </c>
      <c r="K919">
        <v>50</v>
      </c>
      <c r="L919">
        <v>0</v>
      </c>
      <c r="M919">
        <f>region_summary__43[[#This Row],[REJECTED BY Admin Kabupaten]]+region_summary__43[[#This Row],[REJECTED BY Pengawas]]</f>
        <v>1</v>
      </c>
    </row>
    <row r="920" spans="1:13" x14ac:dyDescent="0.25">
      <c r="A920" s="5" t="s">
        <v>70</v>
      </c>
      <c r="B920">
        <v>7172012006000902</v>
      </c>
      <c r="C920">
        <v>102</v>
      </c>
      <c r="D920">
        <v>22</v>
      </c>
      <c r="E920">
        <v>4</v>
      </c>
      <c r="F920">
        <v>0</v>
      </c>
      <c r="G920">
        <v>73</v>
      </c>
      <c r="H920">
        <v>0</v>
      </c>
      <c r="I920">
        <v>0</v>
      </c>
      <c r="J920">
        <v>0</v>
      </c>
      <c r="K920">
        <v>3</v>
      </c>
      <c r="L920">
        <v>0</v>
      </c>
      <c r="M920">
        <f>region_summary__43[[#This Row],[REJECTED BY Admin Kabupaten]]+region_summary__43[[#This Row],[REJECTED BY Pengawas]]</f>
        <v>0</v>
      </c>
    </row>
    <row r="921" spans="1:13" x14ac:dyDescent="0.25">
      <c r="A921" s="5" t="s">
        <v>70</v>
      </c>
      <c r="B921">
        <v>7172012006001500</v>
      </c>
      <c r="C921">
        <v>101</v>
      </c>
      <c r="D921">
        <v>40</v>
      </c>
      <c r="E921">
        <v>5</v>
      </c>
      <c r="F921">
        <v>0</v>
      </c>
      <c r="G921">
        <v>47</v>
      </c>
      <c r="H921">
        <v>0</v>
      </c>
      <c r="I921">
        <v>0</v>
      </c>
      <c r="J921">
        <v>0</v>
      </c>
      <c r="K921">
        <v>9</v>
      </c>
      <c r="L921">
        <v>0</v>
      </c>
      <c r="M921">
        <f>region_summary__43[[#This Row],[REJECTED BY Admin Kabupaten]]+region_summary__43[[#This Row],[REJECTED BY Pengawas]]</f>
        <v>0</v>
      </c>
    </row>
    <row r="922" spans="1:13" x14ac:dyDescent="0.25">
      <c r="A922" s="5" t="s">
        <v>70</v>
      </c>
      <c r="B922">
        <v>7172012006001200</v>
      </c>
      <c r="C922">
        <v>84</v>
      </c>
      <c r="D922">
        <v>19</v>
      </c>
      <c r="E922">
        <v>3</v>
      </c>
      <c r="F922">
        <v>0</v>
      </c>
      <c r="G922">
        <v>47</v>
      </c>
      <c r="H922">
        <v>0</v>
      </c>
      <c r="I922">
        <v>0</v>
      </c>
      <c r="J922">
        <v>0</v>
      </c>
      <c r="K922">
        <v>15</v>
      </c>
      <c r="L922">
        <v>0</v>
      </c>
      <c r="M922">
        <f>region_summary__43[[#This Row],[REJECTED BY Admin Kabupaten]]+region_summary__43[[#This Row],[REJECTED BY Pengawas]]</f>
        <v>0</v>
      </c>
    </row>
    <row r="923" spans="1:13" x14ac:dyDescent="0.25">
      <c r="A923" s="5" t="s">
        <v>70</v>
      </c>
      <c r="B923">
        <v>7172012006000903</v>
      </c>
      <c r="C923">
        <v>74</v>
      </c>
      <c r="D923">
        <v>0</v>
      </c>
      <c r="E923">
        <v>8</v>
      </c>
      <c r="F923">
        <v>0</v>
      </c>
      <c r="G923">
        <v>65</v>
      </c>
      <c r="H923">
        <v>0</v>
      </c>
      <c r="I923">
        <v>0</v>
      </c>
      <c r="J923">
        <v>0</v>
      </c>
      <c r="K923">
        <v>1</v>
      </c>
      <c r="L923">
        <v>0</v>
      </c>
      <c r="M923">
        <f>region_summary__43[[#This Row],[REJECTED BY Admin Kabupaten]]+region_summary__43[[#This Row],[REJECTED BY Pengawas]]</f>
        <v>0</v>
      </c>
    </row>
    <row r="924" spans="1:13" x14ac:dyDescent="0.25">
      <c r="A924" s="5" t="s">
        <v>70</v>
      </c>
      <c r="B924">
        <v>7172012006001000</v>
      </c>
      <c r="C924">
        <v>71</v>
      </c>
      <c r="D924">
        <v>3</v>
      </c>
      <c r="E924">
        <v>0</v>
      </c>
      <c r="F924">
        <v>0</v>
      </c>
      <c r="G924">
        <v>66</v>
      </c>
      <c r="H924">
        <v>0</v>
      </c>
      <c r="I924">
        <v>0</v>
      </c>
      <c r="J924">
        <v>0</v>
      </c>
      <c r="K924">
        <v>2</v>
      </c>
      <c r="L924">
        <v>0</v>
      </c>
      <c r="M924">
        <f>region_summary__43[[#This Row],[REJECTED BY Admin Kabupaten]]+region_summary__43[[#This Row],[REJECTED BY Pengawas]]</f>
        <v>0</v>
      </c>
    </row>
    <row r="925" spans="1:13" x14ac:dyDescent="0.25">
      <c r="A925" s="5" t="s">
        <v>70</v>
      </c>
      <c r="B925">
        <v>7172012006001100</v>
      </c>
      <c r="C925">
        <v>50</v>
      </c>
      <c r="D925">
        <v>49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1</v>
      </c>
      <c r="L925">
        <v>0</v>
      </c>
      <c r="M925">
        <f>region_summary__43[[#This Row],[REJECTED BY Admin Kabupaten]]+region_summary__43[[#This Row],[REJECTED BY Pengawas]]</f>
        <v>0</v>
      </c>
    </row>
    <row r="926" spans="1:13" x14ac:dyDescent="0.25">
      <c r="A926" s="5" t="s">
        <v>230</v>
      </c>
      <c r="B926">
        <v>7172012007000600</v>
      </c>
      <c r="C926">
        <v>185</v>
      </c>
      <c r="D926">
        <v>18</v>
      </c>
      <c r="E926">
        <v>2</v>
      </c>
      <c r="F926">
        <v>0</v>
      </c>
      <c r="G926">
        <v>151</v>
      </c>
      <c r="H926">
        <v>0</v>
      </c>
      <c r="I926">
        <v>0</v>
      </c>
      <c r="J926">
        <v>0</v>
      </c>
      <c r="K926">
        <v>14</v>
      </c>
      <c r="L926">
        <v>0</v>
      </c>
      <c r="M926">
        <f>region_summary__43[[#This Row],[REJECTED BY Admin Kabupaten]]+region_summary__43[[#This Row],[REJECTED BY Pengawas]]</f>
        <v>0</v>
      </c>
    </row>
    <row r="927" spans="1:13" x14ac:dyDescent="0.25">
      <c r="A927" s="5" t="s">
        <v>230</v>
      </c>
      <c r="B927">
        <v>7172012007000700</v>
      </c>
      <c r="C927">
        <v>167</v>
      </c>
      <c r="D927">
        <v>0</v>
      </c>
      <c r="E927">
        <v>0</v>
      </c>
      <c r="F927">
        <v>0</v>
      </c>
      <c r="G927">
        <v>167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region_summary__43[[#This Row],[REJECTED BY Admin Kabupaten]]+region_summary__43[[#This Row],[REJECTED BY Pengawas]]</f>
        <v>0</v>
      </c>
    </row>
    <row r="928" spans="1:13" x14ac:dyDescent="0.25">
      <c r="A928" s="5" t="s">
        <v>230</v>
      </c>
      <c r="B928">
        <v>7172012007000300</v>
      </c>
      <c r="C928">
        <v>134</v>
      </c>
      <c r="D928">
        <v>106</v>
      </c>
      <c r="E928">
        <v>9</v>
      </c>
      <c r="F928">
        <v>0</v>
      </c>
      <c r="G928">
        <v>19</v>
      </c>
      <c r="H928">
        <v>0</v>
      </c>
      <c r="I928">
        <v>0</v>
      </c>
      <c r="J928">
        <v>0</v>
      </c>
      <c r="K928">
        <v>0</v>
      </c>
      <c r="L928">
        <v>0</v>
      </c>
      <c r="M928">
        <f>region_summary__43[[#This Row],[REJECTED BY Admin Kabupaten]]+region_summary__43[[#This Row],[REJECTED BY Pengawas]]</f>
        <v>0</v>
      </c>
    </row>
    <row r="929" spans="1:13" x14ac:dyDescent="0.25">
      <c r="A929" s="5" t="s">
        <v>230</v>
      </c>
      <c r="B929">
        <v>7172012007000200</v>
      </c>
      <c r="C929">
        <v>125</v>
      </c>
      <c r="D929">
        <v>97</v>
      </c>
      <c r="E929">
        <v>3</v>
      </c>
      <c r="F929">
        <v>0</v>
      </c>
      <c r="G929">
        <v>25</v>
      </c>
      <c r="H929">
        <v>0</v>
      </c>
      <c r="I929">
        <v>0</v>
      </c>
      <c r="J929">
        <v>0</v>
      </c>
      <c r="K929">
        <v>0</v>
      </c>
      <c r="L929">
        <v>0</v>
      </c>
      <c r="M929">
        <f>region_summary__43[[#This Row],[REJECTED BY Admin Kabupaten]]+region_summary__43[[#This Row],[REJECTED BY Pengawas]]</f>
        <v>0</v>
      </c>
    </row>
    <row r="930" spans="1:13" x14ac:dyDescent="0.25">
      <c r="A930" s="5" t="s">
        <v>230</v>
      </c>
      <c r="B930">
        <v>7172012007000400</v>
      </c>
      <c r="C930">
        <v>114</v>
      </c>
      <c r="D930">
        <v>79</v>
      </c>
      <c r="E930">
        <v>2</v>
      </c>
      <c r="F930">
        <v>0</v>
      </c>
      <c r="G930">
        <v>33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region_summary__43[[#This Row],[REJECTED BY Admin Kabupaten]]+region_summary__43[[#This Row],[REJECTED BY Pengawas]]</f>
        <v>0</v>
      </c>
    </row>
    <row r="931" spans="1:13" x14ac:dyDescent="0.25">
      <c r="A931" s="5" t="s">
        <v>72</v>
      </c>
      <c r="B931">
        <v>7172012007001100</v>
      </c>
      <c r="C931">
        <v>166</v>
      </c>
      <c r="D931">
        <v>0</v>
      </c>
      <c r="E931">
        <v>0</v>
      </c>
      <c r="F931">
        <v>0</v>
      </c>
      <c r="G931">
        <v>166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region_summary__43[[#This Row],[REJECTED BY Admin Kabupaten]]+region_summary__43[[#This Row],[REJECTED BY Pengawas]]</f>
        <v>0</v>
      </c>
    </row>
    <row r="932" spans="1:13" x14ac:dyDescent="0.25">
      <c r="A932" s="5" t="s">
        <v>72</v>
      </c>
      <c r="B932">
        <v>7172012007000800</v>
      </c>
      <c r="C932">
        <v>161</v>
      </c>
      <c r="D932">
        <v>62</v>
      </c>
      <c r="E932">
        <v>24</v>
      </c>
      <c r="F932">
        <v>0</v>
      </c>
      <c r="G932">
        <v>74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region_summary__43[[#This Row],[REJECTED BY Admin Kabupaten]]+region_summary__43[[#This Row],[REJECTED BY Pengawas]]</f>
        <v>0</v>
      </c>
    </row>
    <row r="933" spans="1:13" x14ac:dyDescent="0.25">
      <c r="A933" s="5" t="s">
        <v>72</v>
      </c>
      <c r="B933">
        <v>7172012007000900</v>
      </c>
      <c r="C933">
        <v>125</v>
      </c>
      <c r="D933">
        <v>119</v>
      </c>
      <c r="E933">
        <v>5</v>
      </c>
      <c r="F933">
        <v>0</v>
      </c>
      <c r="G933">
        <v>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region_summary__43[[#This Row],[REJECTED BY Admin Kabupaten]]+region_summary__43[[#This Row],[REJECTED BY Pengawas]]</f>
        <v>0</v>
      </c>
    </row>
    <row r="934" spans="1:13" x14ac:dyDescent="0.25">
      <c r="A934" s="5" t="s">
        <v>72</v>
      </c>
      <c r="B934">
        <v>7172012007001000</v>
      </c>
      <c r="C934">
        <v>98</v>
      </c>
      <c r="D934">
        <v>55</v>
      </c>
      <c r="E934">
        <v>1</v>
      </c>
      <c r="F934">
        <v>0</v>
      </c>
      <c r="G934">
        <v>40</v>
      </c>
      <c r="H934">
        <v>0</v>
      </c>
      <c r="I934">
        <v>1</v>
      </c>
      <c r="J934">
        <v>0</v>
      </c>
      <c r="K934">
        <v>1</v>
      </c>
      <c r="L934">
        <v>0</v>
      </c>
      <c r="M934">
        <f>region_summary__43[[#This Row],[REJECTED BY Admin Kabupaten]]+region_summary__43[[#This Row],[REJECTED BY Pengawas]]</f>
        <v>1</v>
      </c>
    </row>
    <row r="935" spans="1:13" x14ac:dyDescent="0.25">
      <c r="A935" s="5" t="s">
        <v>72</v>
      </c>
      <c r="B935">
        <v>7172012007000500</v>
      </c>
      <c r="C935">
        <v>92</v>
      </c>
      <c r="D935">
        <v>38</v>
      </c>
      <c r="E935">
        <v>8</v>
      </c>
      <c r="F935">
        <v>0</v>
      </c>
      <c r="G935">
        <v>41</v>
      </c>
      <c r="H935">
        <v>0</v>
      </c>
      <c r="I935">
        <v>0</v>
      </c>
      <c r="J935">
        <v>0</v>
      </c>
      <c r="K935">
        <v>5</v>
      </c>
      <c r="L935">
        <v>0</v>
      </c>
      <c r="M935">
        <f>region_summary__43[[#This Row],[REJECTED BY Admin Kabupaten]]+region_summary__43[[#This Row],[REJECTED BY Pengawas]]</f>
        <v>0</v>
      </c>
    </row>
    <row r="936" spans="1:13" x14ac:dyDescent="0.25">
      <c r="A936" s="5" t="s">
        <v>74</v>
      </c>
      <c r="B936">
        <v>7172021002000500</v>
      </c>
      <c r="C936">
        <v>104</v>
      </c>
      <c r="D936">
        <v>36</v>
      </c>
      <c r="E936">
        <v>9</v>
      </c>
      <c r="F936">
        <v>0</v>
      </c>
      <c r="G936">
        <v>30</v>
      </c>
      <c r="H936">
        <v>0</v>
      </c>
      <c r="I936">
        <v>0</v>
      </c>
      <c r="J936">
        <v>2</v>
      </c>
      <c r="K936">
        <v>27</v>
      </c>
      <c r="L936">
        <v>0</v>
      </c>
      <c r="M936">
        <f>region_summary__43[[#This Row],[REJECTED BY Admin Kabupaten]]+region_summary__43[[#This Row],[REJECTED BY Pengawas]]</f>
        <v>0</v>
      </c>
    </row>
    <row r="937" spans="1:13" x14ac:dyDescent="0.25">
      <c r="A937" s="5" t="s">
        <v>74</v>
      </c>
      <c r="B937">
        <v>7172021002000200</v>
      </c>
      <c r="C937">
        <v>85</v>
      </c>
      <c r="D937">
        <v>55</v>
      </c>
      <c r="E937">
        <v>1</v>
      </c>
      <c r="F937">
        <v>0</v>
      </c>
      <c r="G937">
        <v>27</v>
      </c>
      <c r="H937">
        <v>0</v>
      </c>
      <c r="I937">
        <v>0</v>
      </c>
      <c r="J937">
        <v>1</v>
      </c>
      <c r="K937">
        <v>1</v>
      </c>
      <c r="L937">
        <v>0</v>
      </c>
      <c r="M937">
        <f>region_summary__43[[#This Row],[REJECTED BY Admin Kabupaten]]+region_summary__43[[#This Row],[REJECTED BY Pengawas]]</f>
        <v>0</v>
      </c>
    </row>
    <row r="938" spans="1:13" x14ac:dyDescent="0.25">
      <c r="A938" s="5" t="s">
        <v>74</v>
      </c>
      <c r="B938">
        <v>7172021002000300</v>
      </c>
      <c r="C938">
        <v>76</v>
      </c>
      <c r="D938">
        <v>18</v>
      </c>
      <c r="E938">
        <v>0</v>
      </c>
      <c r="F938">
        <v>0</v>
      </c>
      <c r="G938">
        <v>58</v>
      </c>
      <c r="H938">
        <v>0</v>
      </c>
      <c r="I938">
        <v>0</v>
      </c>
      <c r="J938">
        <v>0</v>
      </c>
      <c r="K938">
        <v>0</v>
      </c>
      <c r="L938">
        <v>0</v>
      </c>
      <c r="M938">
        <f>region_summary__43[[#This Row],[REJECTED BY Admin Kabupaten]]+region_summary__43[[#This Row],[REJECTED BY Pengawas]]</f>
        <v>0</v>
      </c>
    </row>
    <row r="939" spans="1:13" x14ac:dyDescent="0.25">
      <c r="A939" s="5" t="s">
        <v>74</v>
      </c>
      <c r="B939">
        <v>7172021001000300</v>
      </c>
      <c r="C939">
        <v>63</v>
      </c>
      <c r="D939">
        <v>14</v>
      </c>
      <c r="E939">
        <v>0</v>
      </c>
      <c r="F939">
        <v>0</v>
      </c>
      <c r="G939">
        <v>49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region_summary__43[[#This Row],[REJECTED BY Admin Kabupaten]]+region_summary__43[[#This Row],[REJECTED BY Pengawas]]</f>
        <v>0</v>
      </c>
    </row>
    <row r="940" spans="1:13" x14ac:dyDescent="0.25">
      <c r="A940" s="5" t="s">
        <v>74</v>
      </c>
      <c r="B940">
        <v>7172021002000100</v>
      </c>
      <c r="C940">
        <v>55</v>
      </c>
      <c r="D940">
        <v>14</v>
      </c>
      <c r="E940">
        <v>0</v>
      </c>
      <c r="F940">
        <v>0</v>
      </c>
      <c r="G940">
        <v>41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region_summary__43[[#This Row],[REJECTED BY Admin Kabupaten]]+region_summary__43[[#This Row],[REJECTED BY Pengawas]]</f>
        <v>0</v>
      </c>
    </row>
    <row r="941" spans="1:13" x14ac:dyDescent="0.25">
      <c r="A941" s="5" t="s">
        <v>74</v>
      </c>
      <c r="B941">
        <v>7172021001000400</v>
      </c>
      <c r="C941">
        <v>41</v>
      </c>
      <c r="D941">
        <v>37</v>
      </c>
      <c r="E941">
        <v>2</v>
      </c>
      <c r="F941">
        <v>0</v>
      </c>
      <c r="G941">
        <v>2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region_summary__43[[#This Row],[REJECTED BY Admin Kabupaten]]+region_summary__43[[#This Row],[REJECTED BY Pengawas]]</f>
        <v>0</v>
      </c>
    </row>
    <row r="942" spans="1:13" x14ac:dyDescent="0.25">
      <c r="A942" s="5" t="s">
        <v>74</v>
      </c>
      <c r="B942">
        <v>7172021001000200</v>
      </c>
      <c r="C942">
        <v>36</v>
      </c>
      <c r="D942">
        <v>8</v>
      </c>
      <c r="E942">
        <v>0</v>
      </c>
      <c r="F942">
        <v>0</v>
      </c>
      <c r="G942">
        <v>28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region_summary__43[[#This Row],[REJECTED BY Admin Kabupaten]]+region_summary__43[[#This Row],[REJECTED BY Pengawas]]</f>
        <v>0</v>
      </c>
    </row>
    <row r="943" spans="1:13" x14ac:dyDescent="0.25">
      <c r="A943" s="5" t="s">
        <v>74</v>
      </c>
      <c r="B943">
        <v>7172021001000100</v>
      </c>
      <c r="C943">
        <v>32</v>
      </c>
      <c r="D943">
        <v>15</v>
      </c>
      <c r="E943">
        <v>4</v>
      </c>
      <c r="F943">
        <v>0</v>
      </c>
      <c r="G943">
        <v>13</v>
      </c>
      <c r="H943">
        <v>0</v>
      </c>
      <c r="I943">
        <v>0</v>
      </c>
      <c r="J943">
        <v>0</v>
      </c>
      <c r="K943">
        <v>0</v>
      </c>
      <c r="L943">
        <v>0</v>
      </c>
      <c r="M943">
        <f>region_summary__43[[#This Row],[REJECTED BY Admin Kabupaten]]+region_summary__43[[#This Row],[REJECTED BY Pengawas]]</f>
        <v>0</v>
      </c>
    </row>
    <row r="944" spans="1:13" x14ac:dyDescent="0.25">
      <c r="A944" s="5" t="s">
        <v>231</v>
      </c>
      <c r="B944">
        <v>7172021003000100</v>
      </c>
      <c r="C944">
        <v>107</v>
      </c>
      <c r="D944">
        <v>37</v>
      </c>
      <c r="E944">
        <v>1</v>
      </c>
      <c r="F944">
        <v>0</v>
      </c>
      <c r="G944">
        <v>68</v>
      </c>
      <c r="H944">
        <v>0</v>
      </c>
      <c r="I944">
        <v>0</v>
      </c>
      <c r="J944">
        <v>0</v>
      </c>
      <c r="K944">
        <v>1</v>
      </c>
      <c r="L944">
        <v>0</v>
      </c>
      <c r="M944">
        <f>region_summary__43[[#This Row],[REJECTED BY Admin Kabupaten]]+region_summary__43[[#This Row],[REJECTED BY Pengawas]]</f>
        <v>0</v>
      </c>
    </row>
    <row r="945" spans="1:13" x14ac:dyDescent="0.25">
      <c r="A945" s="5" t="s">
        <v>231</v>
      </c>
      <c r="B945">
        <v>7172021002000600</v>
      </c>
      <c r="C945">
        <v>70</v>
      </c>
      <c r="D945">
        <v>63</v>
      </c>
      <c r="E945">
        <v>5</v>
      </c>
      <c r="F945">
        <v>0</v>
      </c>
      <c r="G945">
        <v>2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region_summary__43[[#This Row],[REJECTED BY Admin Kabupaten]]+region_summary__43[[#This Row],[REJECTED BY Pengawas]]</f>
        <v>0</v>
      </c>
    </row>
    <row r="946" spans="1:13" x14ac:dyDescent="0.25">
      <c r="A946" s="5" t="s">
        <v>231</v>
      </c>
      <c r="B946">
        <v>7172021003001200</v>
      </c>
      <c r="C946">
        <v>69</v>
      </c>
      <c r="D946">
        <v>12</v>
      </c>
      <c r="E946">
        <v>0</v>
      </c>
      <c r="F946">
        <v>0</v>
      </c>
      <c r="G946">
        <v>57</v>
      </c>
      <c r="H946">
        <v>0</v>
      </c>
      <c r="I946">
        <v>0</v>
      </c>
      <c r="J946">
        <v>0</v>
      </c>
      <c r="K946">
        <v>0</v>
      </c>
      <c r="L946">
        <v>0</v>
      </c>
      <c r="M946">
        <f>region_summary__43[[#This Row],[REJECTED BY Admin Kabupaten]]+region_summary__43[[#This Row],[REJECTED BY Pengawas]]</f>
        <v>0</v>
      </c>
    </row>
    <row r="947" spans="1:13" x14ac:dyDescent="0.25">
      <c r="A947" s="5" t="s">
        <v>231</v>
      </c>
      <c r="B947">
        <v>7172021003000300</v>
      </c>
      <c r="C947">
        <v>67</v>
      </c>
      <c r="D947">
        <v>6</v>
      </c>
      <c r="E947">
        <v>0</v>
      </c>
      <c r="F947">
        <v>0</v>
      </c>
      <c r="G947">
        <v>61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region_summary__43[[#This Row],[REJECTED BY Admin Kabupaten]]+region_summary__43[[#This Row],[REJECTED BY Pengawas]]</f>
        <v>0</v>
      </c>
    </row>
    <row r="948" spans="1:13" x14ac:dyDescent="0.25">
      <c r="A948" s="5" t="s">
        <v>231</v>
      </c>
      <c r="B948">
        <v>7172021006001900</v>
      </c>
      <c r="C948">
        <v>67</v>
      </c>
      <c r="D948">
        <v>10</v>
      </c>
      <c r="E948">
        <v>2</v>
      </c>
      <c r="F948">
        <v>0</v>
      </c>
      <c r="G948">
        <v>55</v>
      </c>
      <c r="H948">
        <v>0</v>
      </c>
      <c r="I948">
        <v>0</v>
      </c>
      <c r="J948">
        <v>0</v>
      </c>
      <c r="K948">
        <v>0</v>
      </c>
      <c r="L948">
        <v>0</v>
      </c>
      <c r="M948">
        <f>region_summary__43[[#This Row],[REJECTED BY Admin Kabupaten]]+region_summary__43[[#This Row],[REJECTED BY Pengawas]]</f>
        <v>0</v>
      </c>
    </row>
    <row r="949" spans="1:13" x14ac:dyDescent="0.25">
      <c r="A949" s="5" t="s">
        <v>231</v>
      </c>
      <c r="B949">
        <v>7172021006002000</v>
      </c>
      <c r="C949">
        <v>61</v>
      </c>
      <c r="D949">
        <v>59</v>
      </c>
      <c r="E949">
        <v>0</v>
      </c>
      <c r="F949">
        <v>0</v>
      </c>
      <c r="G949">
        <v>0</v>
      </c>
      <c r="H949">
        <v>0</v>
      </c>
      <c r="I949">
        <v>2</v>
      </c>
      <c r="J949">
        <v>0</v>
      </c>
      <c r="K949">
        <v>0</v>
      </c>
      <c r="L949">
        <v>0</v>
      </c>
      <c r="M949">
        <f>region_summary__43[[#This Row],[REJECTED BY Admin Kabupaten]]+region_summary__43[[#This Row],[REJECTED BY Pengawas]]</f>
        <v>2</v>
      </c>
    </row>
    <row r="950" spans="1:13" x14ac:dyDescent="0.25">
      <c r="A950" s="5" t="s">
        <v>231</v>
      </c>
      <c r="B950">
        <v>7172021006002100</v>
      </c>
      <c r="C950">
        <v>56</v>
      </c>
      <c r="D950">
        <v>16</v>
      </c>
      <c r="E950">
        <v>2</v>
      </c>
      <c r="F950">
        <v>0</v>
      </c>
      <c r="G950">
        <v>27</v>
      </c>
      <c r="H950">
        <v>0</v>
      </c>
      <c r="I950">
        <v>0</v>
      </c>
      <c r="J950">
        <v>0</v>
      </c>
      <c r="K950">
        <v>11</v>
      </c>
      <c r="L950">
        <v>0</v>
      </c>
      <c r="M950">
        <f>region_summary__43[[#This Row],[REJECTED BY Admin Kabupaten]]+region_summary__43[[#This Row],[REJECTED BY Pengawas]]</f>
        <v>0</v>
      </c>
    </row>
    <row r="951" spans="1:13" x14ac:dyDescent="0.25">
      <c r="A951" s="5" t="s">
        <v>75</v>
      </c>
      <c r="B951">
        <v>7172021003000800</v>
      </c>
      <c r="C951">
        <v>106</v>
      </c>
      <c r="D951">
        <v>44</v>
      </c>
      <c r="E951">
        <v>9</v>
      </c>
      <c r="F951">
        <v>0</v>
      </c>
      <c r="G951">
        <v>49</v>
      </c>
      <c r="H951">
        <v>0</v>
      </c>
      <c r="I951">
        <v>0</v>
      </c>
      <c r="J951">
        <v>4</v>
      </c>
      <c r="K951">
        <v>0</v>
      </c>
      <c r="L951">
        <v>0</v>
      </c>
      <c r="M951">
        <f>region_summary__43[[#This Row],[REJECTED BY Admin Kabupaten]]+region_summary__43[[#This Row],[REJECTED BY Pengawas]]</f>
        <v>0</v>
      </c>
    </row>
    <row r="952" spans="1:13" x14ac:dyDescent="0.25">
      <c r="A952" s="5" t="s">
        <v>75</v>
      </c>
      <c r="B952">
        <v>7172021003001100</v>
      </c>
      <c r="C952">
        <v>91</v>
      </c>
      <c r="D952">
        <v>22</v>
      </c>
      <c r="E952">
        <v>0</v>
      </c>
      <c r="F952">
        <v>0</v>
      </c>
      <c r="G952">
        <v>69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region_summary__43[[#This Row],[REJECTED BY Admin Kabupaten]]+region_summary__43[[#This Row],[REJECTED BY Pengawas]]</f>
        <v>0</v>
      </c>
    </row>
    <row r="953" spans="1:13" x14ac:dyDescent="0.25">
      <c r="A953" s="5" t="s">
        <v>75</v>
      </c>
      <c r="B953">
        <v>7172021006000100</v>
      </c>
      <c r="C953">
        <v>90</v>
      </c>
      <c r="D953">
        <v>22</v>
      </c>
      <c r="E953">
        <v>0</v>
      </c>
      <c r="F953">
        <v>0</v>
      </c>
      <c r="G953">
        <v>68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region_summary__43[[#This Row],[REJECTED BY Admin Kabupaten]]+region_summary__43[[#This Row],[REJECTED BY Pengawas]]</f>
        <v>0</v>
      </c>
    </row>
    <row r="954" spans="1:13" x14ac:dyDescent="0.25">
      <c r="A954" s="5" t="s">
        <v>75</v>
      </c>
      <c r="B954">
        <v>7172021003001000</v>
      </c>
      <c r="C954">
        <v>62</v>
      </c>
      <c r="D954">
        <v>52</v>
      </c>
      <c r="E954">
        <v>10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region_summary__43[[#This Row],[REJECTED BY Admin Kabupaten]]+region_summary__43[[#This Row],[REJECTED BY Pengawas]]</f>
        <v>0</v>
      </c>
    </row>
    <row r="955" spans="1:13" x14ac:dyDescent="0.25">
      <c r="A955" s="5" t="s">
        <v>75</v>
      </c>
      <c r="B955">
        <v>7172021003000900</v>
      </c>
      <c r="C955">
        <v>57</v>
      </c>
      <c r="D955">
        <v>15</v>
      </c>
      <c r="E955">
        <v>0</v>
      </c>
      <c r="F955">
        <v>0</v>
      </c>
      <c r="G955">
        <v>42</v>
      </c>
      <c r="H955">
        <v>0</v>
      </c>
      <c r="I955">
        <v>0</v>
      </c>
      <c r="J955">
        <v>0</v>
      </c>
      <c r="K955">
        <v>0</v>
      </c>
      <c r="L955">
        <v>0</v>
      </c>
      <c r="M955">
        <f>region_summary__43[[#This Row],[REJECTED BY Admin Kabupaten]]+region_summary__43[[#This Row],[REJECTED BY Pengawas]]</f>
        <v>0</v>
      </c>
    </row>
    <row r="956" spans="1:13" x14ac:dyDescent="0.25">
      <c r="A956" s="5" t="s">
        <v>75</v>
      </c>
      <c r="B956">
        <v>7172021002000400</v>
      </c>
      <c r="C956">
        <v>38</v>
      </c>
      <c r="D956">
        <v>31</v>
      </c>
      <c r="E956">
        <v>4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2</v>
      </c>
      <c r="L956">
        <v>0</v>
      </c>
      <c r="M956">
        <f>region_summary__43[[#This Row],[REJECTED BY Admin Kabupaten]]+region_summary__43[[#This Row],[REJECTED BY Pengawas]]</f>
        <v>0</v>
      </c>
    </row>
    <row r="957" spans="1:13" x14ac:dyDescent="0.25">
      <c r="A957" s="5" t="s">
        <v>75</v>
      </c>
      <c r="B957">
        <v>7172021006000700</v>
      </c>
      <c r="C957">
        <v>25</v>
      </c>
      <c r="D957">
        <v>3</v>
      </c>
      <c r="E957">
        <v>0</v>
      </c>
      <c r="F957">
        <v>0</v>
      </c>
      <c r="G957">
        <v>22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region_summary__43[[#This Row],[REJECTED BY Admin Kabupaten]]+region_summary__43[[#This Row],[REJECTED BY Pengawas]]</f>
        <v>0</v>
      </c>
    </row>
    <row r="958" spans="1:13" x14ac:dyDescent="0.25">
      <c r="A958" s="5" t="s">
        <v>78</v>
      </c>
      <c r="B958">
        <v>7172021005000100</v>
      </c>
      <c r="C958">
        <v>100</v>
      </c>
      <c r="D958">
        <v>86</v>
      </c>
      <c r="E958">
        <v>3</v>
      </c>
      <c r="F958">
        <v>0</v>
      </c>
      <c r="G958">
        <v>9</v>
      </c>
      <c r="H958">
        <v>0</v>
      </c>
      <c r="I958">
        <v>0</v>
      </c>
      <c r="J958">
        <v>0</v>
      </c>
      <c r="K958">
        <v>2</v>
      </c>
      <c r="L958">
        <v>0</v>
      </c>
      <c r="M958">
        <f>region_summary__43[[#This Row],[REJECTED BY Admin Kabupaten]]+region_summary__43[[#This Row],[REJECTED BY Pengawas]]</f>
        <v>0</v>
      </c>
    </row>
    <row r="959" spans="1:13" x14ac:dyDescent="0.25">
      <c r="A959" s="5" t="s">
        <v>78</v>
      </c>
      <c r="B959">
        <v>7172021004000500</v>
      </c>
      <c r="C959">
        <v>97</v>
      </c>
      <c r="D959">
        <v>16</v>
      </c>
      <c r="E959">
        <v>0</v>
      </c>
      <c r="F959">
        <v>0</v>
      </c>
      <c r="G959">
        <v>81</v>
      </c>
      <c r="H959">
        <v>0</v>
      </c>
      <c r="I959">
        <v>0</v>
      </c>
      <c r="J959">
        <v>0</v>
      </c>
      <c r="K959">
        <v>0</v>
      </c>
      <c r="L959">
        <v>0</v>
      </c>
      <c r="M959">
        <f>region_summary__43[[#This Row],[REJECTED BY Admin Kabupaten]]+region_summary__43[[#This Row],[REJECTED BY Pengawas]]</f>
        <v>0</v>
      </c>
    </row>
    <row r="960" spans="1:13" x14ac:dyDescent="0.25">
      <c r="A960" s="5" t="s">
        <v>78</v>
      </c>
      <c r="B960">
        <v>7172021004000200</v>
      </c>
      <c r="C960">
        <v>88</v>
      </c>
      <c r="D960">
        <v>31</v>
      </c>
      <c r="E960">
        <v>1</v>
      </c>
      <c r="F960">
        <v>0</v>
      </c>
      <c r="G960">
        <v>34</v>
      </c>
      <c r="H960">
        <v>0</v>
      </c>
      <c r="I960">
        <v>0</v>
      </c>
      <c r="J960">
        <v>1</v>
      </c>
      <c r="K960">
        <v>21</v>
      </c>
      <c r="L960">
        <v>0</v>
      </c>
      <c r="M960">
        <f>region_summary__43[[#This Row],[REJECTED BY Admin Kabupaten]]+region_summary__43[[#This Row],[REJECTED BY Pengawas]]</f>
        <v>0</v>
      </c>
    </row>
    <row r="961" spans="1:13" x14ac:dyDescent="0.25">
      <c r="A961" s="5" t="s">
        <v>78</v>
      </c>
      <c r="B961">
        <v>7172021004000600</v>
      </c>
      <c r="C961">
        <v>78</v>
      </c>
      <c r="D961">
        <v>17</v>
      </c>
      <c r="E961">
        <v>0</v>
      </c>
      <c r="F961">
        <v>0</v>
      </c>
      <c r="G961">
        <v>61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region_summary__43[[#This Row],[REJECTED BY Admin Kabupaten]]+region_summary__43[[#This Row],[REJECTED BY Pengawas]]</f>
        <v>0</v>
      </c>
    </row>
    <row r="962" spans="1:13" x14ac:dyDescent="0.25">
      <c r="A962" s="5" t="s">
        <v>78</v>
      </c>
      <c r="B962">
        <v>7172021004000400</v>
      </c>
      <c r="C962">
        <v>73</v>
      </c>
      <c r="D962">
        <v>8</v>
      </c>
      <c r="E962">
        <v>0</v>
      </c>
      <c r="F962">
        <v>0</v>
      </c>
      <c r="G962">
        <v>65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region_summary__43[[#This Row],[REJECTED BY Admin Kabupaten]]+region_summary__43[[#This Row],[REJECTED BY Pengawas]]</f>
        <v>0</v>
      </c>
    </row>
    <row r="963" spans="1:13" x14ac:dyDescent="0.25">
      <c r="A963" s="5" t="s">
        <v>78</v>
      </c>
      <c r="B963">
        <v>7172021004000100</v>
      </c>
      <c r="C963">
        <v>69</v>
      </c>
      <c r="D963">
        <v>62</v>
      </c>
      <c r="E963">
        <v>2</v>
      </c>
      <c r="F963">
        <v>0</v>
      </c>
      <c r="G963">
        <v>2</v>
      </c>
      <c r="H963">
        <v>0</v>
      </c>
      <c r="I963">
        <v>0</v>
      </c>
      <c r="J963">
        <v>0</v>
      </c>
      <c r="K963">
        <v>3</v>
      </c>
      <c r="L963">
        <v>0</v>
      </c>
      <c r="M963">
        <f>region_summary__43[[#This Row],[REJECTED BY Admin Kabupaten]]+region_summary__43[[#This Row],[REJECTED BY Pengawas]]</f>
        <v>0</v>
      </c>
    </row>
    <row r="964" spans="1:13" x14ac:dyDescent="0.25">
      <c r="A964" s="5" t="s">
        <v>78</v>
      </c>
      <c r="B964">
        <v>7172021004000300</v>
      </c>
      <c r="C964">
        <v>51</v>
      </c>
      <c r="D964">
        <v>12</v>
      </c>
      <c r="E964">
        <v>0</v>
      </c>
      <c r="F964">
        <v>0</v>
      </c>
      <c r="G964">
        <v>39</v>
      </c>
      <c r="H964">
        <v>0</v>
      </c>
      <c r="I964">
        <v>0</v>
      </c>
      <c r="J964">
        <v>0</v>
      </c>
      <c r="K964">
        <v>0</v>
      </c>
      <c r="L964">
        <v>0</v>
      </c>
      <c r="M964">
        <f>region_summary__43[[#This Row],[REJECTED BY Admin Kabupaten]]+region_summary__43[[#This Row],[REJECTED BY Pengawas]]</f>
        <v>0</v>
      </c>
    </row>
    <row r="965" spans="1:13" x14ac:dyDescent="0.25">
      <c r="A965" s="5" t="s">
        <v>79</v>
      </c>
      <c r="B965">
        <v>7172021006000400</v>
      </c>
      <c r="C965">
        <v>89</v>
      </c>
      <c r="D965">
        <v>65</v>
      </c>
      <c r="E965">
        <v>9</v>
      </c>
      <c r="F965">
        <v>0</v>
      </c>
      <c r="G965">
        <v>15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region_summary__43[[#This Row],[REJECTED BY Admin Kabupaten]]+region_summary__43[[#This Row],[REJECTED BY Pengawas]]</f>
        <v>0</v>
      </c>
    </row>
    <row r="966" spans="1:13" x14ac:dyDescent="0.25">
      <c r="A966" s="5" t="s">
        <v>79</v>
      </c>
      <c r="B966">
        <v>7172021006000200</v>
      </c>
      <c r="C966">
        <v>83</v>
      </c>
      <c r="D966">
        <v>56</v>
      </c>
      <c r="E966">
        <v>3</v>
      </c>
      <c r="F966">
        <v>0</v>
      </c>
      <c r="G966">
        <v>24</v>
      </c>
      <c r="H966">
        <v>0</v>
      </c>
      <c r="I966">
        <v>0</v>
      </c>
      <c r="J966">
        <v>0</v>
      </c>
      <c r="K966">
        <v>0</v>
      </c>
      <c r="L966">
        <v>0</v>
      </c>
      <c r="M966">
        <f>region_summary__43[[#This Row],[REJECTED BY Admin Kabupaten]]+region_summary__43[[#This Row],[REJECTED BY Pengawas]]</f>
        <v>0</v>
      </c>
    </row>
    <row r="967" spans="1:13" x14ac:dyDescent="0.25">
      <c r="A967" s="5" t="s">
        <v>79</v>
      </c>
      <c r="B967">
        <v>7172021006000300</v>
      </c>
      <c r="C967">
        <v>83</v>
      </c>
      <c r="D967">
        <v>25</v>
      </c>
      <c r="E967">
        <v>2</v>
      </c>
      <c r="F967">
        <v>0</v>
      </c>
      <c r="G967">
        <v>56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region_summary__43[[#This Row],[REJECTED BY Admin Kabupaten]]+region_summary__43[[#This Row],[REJECTED BY Pengawas]]</f>
        <v>0</v>
      </c>
    </row>
    <row r="968" spans="1:13" x14ac:dyDescent="0.25">
      <c r="A968" s="5" t="s">
        <v>79</v>
      </c>
      <c r="B968">
        <v>7172021005000200</v>
      </c>
      <c r="C968">
        <v>79</v>
      </c>
      <c r="D968">
        <v>31</v>
      </c>
      <c r="E968">
        <v>5</v>
      </c>
      <c r="F968">
        <v>0</v>
      </c>
      <c r="G968">
        <v>43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region_summary__43[[#This Row],[REJECTED BY Admin Kabupaten]]+region_summary__43[[#This Row],[REJECTED BY Pengawas]]</f>
        <v>0</v>
      </c>
    </row>
    <row r="969" spans="1:13" x14ac:dyDescent="0.25">
      <c r="A969" s="5" t="s">
        <v>79</v>
      </c>
      <c r="B969">
        <v>7172021005000300</v>
      </c>
      <c r="C969">
        <v>56</v>
      </c>
      <c r="D969">
        <v>9</v>
      </c>
      <c r="E969">
        <v>0</v>
      </c>
      <c r="F969">
        <v>0</v>
      </c>
      <c r="G969">
        <v>47</v>
      </c>
      <c r="H969">
        <v>0</v>
      </c>
      <c r="I969">
        <v>0</v>
      </c>
      <c r="J969">
        <v>0</v>
      </c>
      <c r="K969">
        <v>0</v>
      </c>
      <c r="L969">
        <v>0</v>
      </c>
      <c r="M969">
        <f>region_summary__43[[#This Row],[REJECTED BY Admin Kabupaten]]+region_summary__43[[#This Row],[REJECTED BY Pengawas]]</f>
        <v>0</v>
      </c>
    </row>
    <row r="970" spans="1:13" x14ac:dyDescent="0.25">
      <c r="A970" s="5" t="s">
        <v>79</v>
      </c>
      <c r="B970">
        <v>7172021006000500</v>
      </c>
      <c r="C970">
        <v>48</v>
      </c>
      <c r="D970">
        <v>10</v>
      </c>
      <c r="E970">
        <v>0</v>
      </c>
      <c r="F970">
        <v>0</v>
      </c>
      <c r="G970">
        <v>38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region_summary__43[[#This Row],[REJECTED BY Admin Kabupaten]]+region_summary__43[[#This Row],[REJECTED BY Pengawas]]</f>
        <v>0</v>
      </c>
    </row>
    <row r="971" spans="1:13" x14ac:dyDescent="0.25">
      <c r="A971" s="5" t="s">
        <v>79</v>
      </c>
      <c r="B971">
        <v>7172021006000600</v>
      </c>
      <c r="C971">
        <v>41</v>
      </c>
      <c r="D971">
        <v>18</v>
      </c>
      <c r="E971">
        <v>0</v>
      </c>
      <c r="F971">
        <v>0</v>
      </c>
      <c r="G971">
        <v>21</v>
      </c>
      <c r="H971">
        <v>0</v>
      </c>
      <c r="I971">
        <v>0</v>
      </c>
      <c r="J971">
        <v>0</v>
      </c>
      <c r="K971">
        <v>2</v>
      </c>
      <c r="L971">
        <v>0</v>
      </c>
      <c r="M971">
        <f>region_summary__43[[#This Row],[REJECTED BY Admin Kabupaten]]+region_summary__43[[#This Row],[REJECTED BY Pengawas]]</f>
        <v>0</v>
      </c>
    </row>
    <row r="972" spans="1:13" x14ac:dyDescent="0.25">
      <c r="A972" s="5" t="s">
        <v>79</v>
      </c>
      <c r="B972">
        <v>7172021005000400</v>
      </c>
      <c r="C972">
        <v>19</v>
      </c>
      <c r="D972">
        <v>4</v>
      </c>
      <c r="E972">
        <v>0</v>
      </c>
      <c r="F972">
        <v>0</v>
      </c>
      <c r="G972">
        <v>15</v>
      </c>
      <c r="H972">
        <v>0</v>
      </c>
      <c r="I972">
        <v>0</v>
      </c>
      <c r="J972">
        <v>0</v>
      </c>
      <c r="K972">
        <v>0</v>
      </c>
      <c r="L972">
        <v>0</v>
      </c>
      <c r="M972">
        <f>region_summary__43[[#This Row],[REJECTED BY Admin Kabupaten]]+region_summary__43[[#This Row],[REJECTED BY Pengawas]]</f>
        <v>0</v>
      </c>
    </row>
    <row r="973" spans="1:13" x14ac:dyDescent="0.25">
      <c r="A973" s="5" t="s">
        <v>232</v>
      </c>
      <c r="B973">
        <v>7172022001000800</v>
      </c>
      <c r="C973">
        <v>75</v>
      </c>
      <c r="D973">
        <v>59</v>
      </c>
      <c r="E973">
        <v>2</v>
      </c>
      <c r="F973">
        <v>0</v>
      </c>
      <c r="G973">
        <v>14</v>
      </c>
      <c r="H973">
        <v>0</v>
      </c>
      <c r="I973">
        <v>0</v>
      </c>
      <c r="J973">
        <v>0</v>
      </c>
      <c r="K973">
        <v>0</v>
      </c>
      <c r="L973">
        <v>0</v>
      </c>
      <c r="M973">
        <f>region_summary__43[[#This Row],[REJECTED BY Admin Kabupaten]]+region_summary__43[[#This Row],[REJECTED BY Pengawas]]</f>
        <v>0</v>
      </c>
    </row>
    <row r="974" spans="1:13" x14ac:dyDescent="0.25">
      <c r="A974" s="5" t="s">
        <v>232</v>
      </c>
      <c r="B974">
        <v>7172022001000900</v>
      </c>
      <c r="C974">
        <v>64</v>
      </c>
      <c r="D974">
        <v>28</v>
      </c>
      <c r="E974">
        <v>2</v>
      </c>
      <c r="F974">
        <v>0</v>
      </c>
      <c r="G974">
        <v>34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region_summary__43[[#This Row],[REJECTED BY Admin Kabupaten]]+region_summary__43[[#This Row],[REJECTED BY Pengawas]]</f>
        <v>0</v>
      </c>
    </row>
    <row r="975" spans="1:13" x14ac:dyDescent="0.25">
      <c r="A975" s="5" t="s">
        <v>232</v>
      </c>
      <c r="B975">
        <v>7172022001000600</v>
      </c>
      <c r="C975">
        <v>62</v>
      </c>
      <c r="D975">
        <v>5</v>
      </c>
      <c r="E975">
        <v>0</v>
      </c>
      <c r="F975">
        <v>0</v>
      </c>
      <c r="G975">
        <v>57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region_summary__43[[#This Row],[REJECTED BY Admin Kabupaten]]+region_summary__43[[#This Row],[REJECTED BY Pengawas]]</f>
        <v>0</v>
      </c>
    </row>
    <row r="976" spans="1:13" x14ac:dyDescent="0.25">
      <c r="A976" s="5" t="s">
        <v>232</v>
      </c>
      <c r="B976">
        <v>7172022001001100</v>
      </c>
      <c r="C976">
        <v>62</v>
      </c>
      <c r="D976">
        <v>59</v>
      </c>
      <c r="E976">
        <v>1</v>
      </c>
      <c r="F976">
        <v>0</v>
      </c>
      <c r="G976">
        <v>2</v>
      </c>
      <c r="H976">
        <v>0</v>
      </c>
      <c r="I976">
        <v>0</v>
      </c>
      <c r="J976">
        <v>0</v>
      </c>
      <c r="K976">
        <v>0</v>
      </c>
      <c r="L976">
        <v>0</v>
      </c>
      <c r="M976">
        <f>region_summary__43[[#This Row],[REJECTED BY Admin Kabupaten]]+region_summary__43[[#This Row],[REJECTED BY Pengawas]]</f>
        <v>0</v>
      </c>
    </row>
    <row r="977" spans="1:13" x14ac:dyDescent="0.25">
      <c r="A977" s="5" t="s">
        <v>232</v>
      </c>
      <c r="B977">
        <v>7172022001000700</v>
      </c>
      <c r="C977">
        <v>59</v>
      </c>
      <c r="D977">
        <v>0</v>
      </c>
      <c r="E977">
        <v>0</v>
      </c>
      <c r="F977">
        <v>0</v>
      </c>
      <c r="G977">
        <v>59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region_summary__43[[#This Row],[REJECTED BY Admin Kabupaten]]+region_summary__43[[#This Row],[REJECTED BY Pengawas]]</f>
        <v>0</v>
      </c>
    </row>
    <row r="978" spans="1:13" x14ac:dyDescent="0.25">
      <c r="A978" s="5" t="s">
        <v>232</v>
      </c>
      <c r="B978">
        <v>7172022001001000</v>
      </c>
      <c r="C978">
        <v>53</v>
      </c>
      <c r="D978">
        <v>19</v>
      </c>
      <c r="E978">
        <v>6</v>
      </c>
      <c r="F978">
        <v>0</v>
      </c>
      <c r="G978">
        <v>28</v>
      </c>
      <c r="H978">
        <v>0</v>
      </c>
      <c r="I978">
        <v>0</v>
      </c>
      <c r="J978">
        <v>0</v>
      </c>
      <c r="K978">
        <v>0</v>
      </c>
      <c r="L978">
        <v>0</v>
      </c>
      <c r="M978">
        <f>region_summary__43[[#This Row],[REJECTED BY Admin Kabupaten]]+region_summary__43[[#This Row],[REJECTED BY Pengawas]]</f>
        <v>0</v>
      </c>
    </row>
    <row r="979" spans="1:13" x14ac:dyDescent="0.25">
      <c r="A979" s="5" t="s">
        <v>232</v>
      </c>
      <c r="B979">
        <v>7172022001001200</v>
      </c>
      <c r="C979">
        <v>48</v>
      </c>
      <c r="D979">
        <v>1</v>
      </c>
      <c r="E979">
        <v>0</v>
      </c>
      <c r="F979">
        <v>0</v>
      </c>
      <c r="G979">
        <v>47</v>
      </c>
      <c r="H979">
        <v>0</v>
      </c>
      <c r="I979">
        <v>0</v>
      </c>
      <c r="J979">
        <v>0</v>
      </c>
      <c r="K979">
        <v>0</v>
      </c>
      <c r="L979">
        <v>0</v>
      </c>
      <c r="M979">
        <f>region_summary__43[[#This Row],[REJECTED BY Admin Kabupaten]]+region_summary__43[[#This Row],[REJECTED BY Pengawas]]</f>
        <v>0</v>
      </c>
    </row>
    <row r="980" spans="1:13" x14ac:dyDescent="0.25">
      <c r="A980" s="5" t="s">
        <v>85</v>
      </c>
      <c r="B980">
        <v>7172022003000200</v>
      </c>
      <c r="C980">
        <v>113</v>
      </c>
      <c r="D980">
        <v>109</v>
      </c>
      <c r="E980">
        <v>0</v>
      </c>
      <c r="F980">
        <v>0</v>
      </c>
      <c r="G980">
        <v>4</v>
      </c>
      <c r="H980">
        <v>0</v>
      </c>
      <c r="I980">
        <v>0</v>
      </c>
      <c r="J980">
        <v>0</v>
      </c>
      <c r="K980">
        <v>0</v>
      </c>
      <c r="L980">
        <v>0</v>
      </c>
      <c r="M980">
        <f>region_summary__43[[#This Row],[REJECTED BY Admin Kabupaten]]+region_summary__43[[#This Row],[REJECTED BY Pengawas]]</f>
        <v>0</v>
      </c>
    </row>
    <row r="981" spans="1:13" x14ac:dyDescent="0.25">
      <c r="A981" s="5" t="s">
        <v>85</v>
      </c>
      <c r="B981">
        <v>7172022003000400</v>
      </c>
      <c r="C981">
        <v>68</v>
      </c>
      <c r="D981">
        <v>23</v>
      </c>
      <c r="E981">
        <v>2</v>
      </c>
      <c r="F981">
        <v>1</v>
      </c>
      <c r="G981">
        <v>35</v>
      </c>
      <c r="H981">
        <v>0</v>
      </c>
      <c r="I981">
        <v>1</v>
      </c>
      <c r="J981">
        <v>0</v>
      </c>
      <c r="K981">
        <v>6</v>
      </c>
      <c r="L981">
        <v>0</v>
      </c>
      <c r="M981">
        <f>region_summary__43[[#This Row],[REJECTED BY Admin Kabupaten]]+region_summary__43[[#This Row],[REJECTED BY Pengawas]]</f>
        <v>1</v>
      </c>
    </row>
    <row r="982" spans="1:13" x14ac:dyDescent="0.25">
      <c r="A982" s="5" t="s">
        <v>85</v>
      </c>
      <c r="B982">
        <v>7172022003000300</v>
      </c>
      <c r="C982">
        <v>58</v>
      </c>
      <c r="D982">
        <v>55</v>
      </c>
      <c r="E982">
        <v>0</v>
      </c>
      <c r="F982">
        <v>0</v>
      </c>
      <c r="G982">
        <v>1</v>
      </c>
      <c r="H982">
        <v>0</v>
      </c>
      <c r="I982">
        <v>0</v>
      </c>
      <c r="J982">
        <v>0</v>
      </c>
      <c r="K982">
        <v>2</v>
      </c>
      <c r="L982">
        <v>0</v>
      </c>
      <c r="M982">
        <f>region_summary__43[[#This Row],[REJECTED BY Admin Kabupaten]]+region_summary__43[[#This Row],[REJECTED BY Pengawas]]</f>
        <v>0</v>
      </c>
    </row>
    <row r="983" spans="1:13" x14ac:dyDescent="0.25">
      <c r="A983" s="5" t="s">
        <v>85</v>
      </c>
      <c r="B983">
        <v>7172022002000400</v>
      </c>
      <c r="C983">
        <v>46</v>
      </c>
      <c r="D983">
        <v>0</v>
      </c>
      <c r="E983">
        <v>0</v>
      </c>
      <c r="F983">
        <v>0</v>
      </c>
      <c r="G983">
        <v>46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region_summary__43[[#This Row],[REJECTED BY Admin Kabupaten]]+region_summary__43[[#This Row],[REJECTED BY Pengawas]]</f>
        <v>0</v>
      </c>
    </row>
    <row r="984" spans="1:13" x14ac:dyDescent="0.25">
      <c r="A984" s="5" t="s">
        <v>85</v>
      </c>
      <c r="B984">
        <v>7172022002000700</v>
      </c>
      <c r="C984">
        <v>46</v>
      </c>
      <c r="D984">
        <v>0</v>
      </c>
      <c r="E984">
        <v>0</v>
      </c>
      <c r="F984">
        <v>0</v>
      </c>
      <c r="G984">
        <v>46</v>
      </c>
      <c r="H984">
        <v>0</v>
      </c>
      <c r="I984">
        <v>0</v>
      </c>
      <c r="J984">
        <v>0</v>
      </c>
      <c r="K984">
        <v>0</v>
      </c>
      <c r="L984">
        <v>0</v>
      </c>
      <c r="M984">
        <f>region_summary__43[[#This Row],[REJECTED BY Admin Kabupaten]]+region_summary__43[[#This Row],[REJECTED BY Pengawas]]</f>
        <v>0</v>
      </c>
    </row>
    <row r="985" spans="1:13" x14ac:dyDescent="0.25">
      <c r="A985" s="5" t="s">
        <v>85</v>
      </c>
      <c r="B985">
        <v>7172022002000500</v>
      </c>
      <c r="C985">
        <v>43</v>
      </c>
      <c r="D985">
        <v>0</v>
      </c>
      <c r="E985">
        <v>0</v>
      </c>
      <c r="F985">
        <v>0</v>
      </c>
      <c r="G985">
        <v>43</v>
      </c>
      <c r="H985">
        <v>0</v>
      </c>
      <c r="I985">
        <v>0</v>
      </c>
      <c r="J985">
        <v>0</v>
      </c>
      <c r="K985">
        <v>0</v>
      </c>
      <c r="L985">
        <v>0</v>
      </c>
      <c r="M985">
        <f>region_summary__43[[#This Row],[REJECTED BY Admin Kabupaten]]+region_summary__43[[#This Row],[REJECTED BY Pengawas]]</f>
        <v>0</v>
      </c>
    </row>
    <row r="986" spans="1:13" x14ac:dyDescent="0.25">
      <c r="A986" s="5" t="s">
        <v>85</v>
      </c>
      <c r="B986">
        <v>7172022002000600</v>
      </c>
      <c r="C986">
        <v>40</v>
      </c>
      <c r="D986">
        <v>0</v>
      </c>
      <c r="E986">
        <v>0</v>
      </c>
      <c r="F986">
        <v>0</v>
      </c>
      <c r="G986">
        <v>40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region_summary__43[[#This Row],[REJECTED BY Admin Kabupaten]]+region_summary__43[[#This Row],[REJECTED BY Pengawas]]</f>
        <v>0</v>
      </c>
    </row>
    <row r="987" spans="1:13" x14ac:dyDescent="0.25">
      <c r="A987" s="5" t="s">
        <v>85</v>
      </c>
      <c r="B987">
        <v>7172022002000800</v>
      </c>
      <c r="C987">
        <v>30</v>
      </c>
      <c r="D987">
        <v>0</v>
      </c>
      <c r="E987">
        <v>0</v>
      </c>
      <c r="F987">
        <v>0</v>
      </c>
      <c r="G987">
        <v>30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region_summary__43[[#This Row],[REJECTED BY Admin Kabupaten]]+region_summary__43[[#This Row],[REJECTED BY Pengawas]]</f>
        <v>0</v>
      </c>
    </row>
    <row r="988" spans="1:13" x14ac:dyDescent="0.25">
      <c r="A988" s="5" t="s">
        <v>89</v>
      </c>
      <c r="B988">
        <v>7172022009000100</v>
      </c>
      <c r="C988">
        <v>107</v>
      </c>
      <c r="D988">
        <v>6</v>
      </c>
      <c r="E988">
        <v>0</v>
      </c>
      <c r="F988">
        <v>0</v>
      </c>
      <c r="G988">
        <v>99</v>
      </c>
      <c r="H988">
        <v>0</v>
      </c>
      <c r="I988">
        <v>0</v>
      </c>
      <c r="J988">
        <v>0</v>
      </c>
      <c r="K988">
        <v>2</v>
      </c>
      <c r="L988">
        <v>0</v>
      </c>
      <c r="M988">
        <f>region_summary__43[[#This Row],[REJECTED BY Admin Kabupaten]]+region_summary__43[[#This Row],[REJECTED BY Pengawas]]</f>
        <v>0</v>
      </c>
    </row>
    <row r="989" spans="1:13" x14ac:dyDescent="0.25">
      <c r="A989" s="5" t="s">
        <v>89</v>
      </c>
      <c r="B989">
        <v>7172022008000400</v>
      </c>
      <c r="C989">
        <v>98</v>
      </c>
      <c r="D989">
        <v>89</v>
      </c>
      <c r="E989">
        <v>0</v>
      </c>
      <c r="F989">
        <v>0</v>
      </c>
      <c r="G989">
        <v>2</v>
      </c>
      <c r="H989">
        <v>0</v>
      </c>
      <c r="I989">
        <v>0</v>
      </c>
      <c r="J989">
        <v>0</v>
      </c>
      <c r="K989">
        <v>7</v>
      </c>
      <c r="L989">
        <v>0</v>
      </c>
      <c r="M989">
        <f>region_summary__43[[#This Row],[REJECTED BY Admin Kabupaten]]+region_summary__43[[#This Row],[REJECTED BY Pengawas]]</f>
        <v>0</v>
      </c>
    </row>
    <row r="990" spans="1:13" x14ac:dyDescent="0.25">
      <c r="A990" s="5" t="s">
        <v>89</v>
      </c>
      <c r="B990">
        <v>7172022009000200</v>
      </c>
      <c r="C990">
        <v>74</v>
      </c>
      <c r="D990">
        <v>0</v>
      </c>
      <c r="E990">
        <v>0</v>
      </c>
      <c r="F990">
        <v>0</v>
      </c>
      <c r="G990">
        <v>74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region_summary__43[[#This Row],[REJECTED BY Admin Kabupaten]]+region_summary__43[[#This Row],[REJECTED BY Pengawas]]</f>
        <v>0</v>
      </c>
    </row>
    <row r="991" spans="1:13" x14ac:dyDescent="0.25">
      <c r="A991" s="5" t="s">
        <v>89</v>
      </c>
      <c r="B991">
        <v>7172022009000400</v>
      </c>
      <c r="C991">
        <v>61</v>
      </c>
      <c r="D991">
        <v>43</v>
      </c>
      <c r="E991">
        <v>2</v>
      </c>
      <c r="F991">
        <v>0</v>
      </c>
      <c r="G991">
        <v>15</v>
      </c>
      <c r="H991">
        <v>0</v>
      </c>
      <c r="I991">
        <v>0</v>
      </c>
      <c r="J991">
        <v>0</v>
      </c>
      <c r="K991">
        <v>1</v>
      </c>
      <c r="L991">
        <v>0</v>
      </c>
      <c r="M991">
        <f>region_summary__43[[#This Row],[REJECTED BY Admin Kabupaten]]+region_summary__43[[#This Row],[REJECTED BY Pengawas]]</f>
        <v>0</v>
      </c>
    </row>
    <row r="992" spans="1:13" x14ac:dyDescent="0.25">
      <c r="A992" s="5" t="s">
        <v>89</v>
      </c>
      <c r="B992">
        <v>7172022009000300</v>
      </c>
      <c r="C992">
        <v>47</v>
      </c>
      <c r="D992">
        <v>40</v>
      </c>
      <c r="E992">
        <v>3</v>
      </c>
      <c r="F992">
        <v>1</v>
      </c>
      <c r="G992">
        <v>3</v>
      </c>
      <c r="H992">
        <v>0</v>
      </c>
      <c r="I992">
        <v>0</v>
      </c>
      <c r="J992">
        <v>0</v>
      </c>
      <c r="K992">
        <v>0</v>
      </c>
      <c r="L992">
        <v>0</v>
      </c>
      <c r="M992">
        <f>region_summary__43[[#This Row],[REJECTED BY Admin Kabupaten]]+region_summary__43[[#This Row],[REJECTED BY Pengawas]]</f>
        <v>0</v>
      </c>
    </row>
    <row r="993" spans="1:13" x14ac:dyDescent="0.25">
      <c r="A993" s="5" t="s">
        <v>89</v>
      </c>
      <c r="B993">
        <v>7172022008000500</v>
      </c>
      <c r="C993">
        <v>44</v>
      </c>
      <c r="D993">
        <v>11</v>
      </c>
      <c r="E993">
        <v>2</v>
      </c>
      <c r="F993">
        <v>0</v>
      </c>
      <c r="G993">
        <v>31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region_summary__43[[#This Row],[REJECTED BY Admin Kabupaten]]+region_summary__43[[#This Row],[REJECTED BY Pengawas]]</f>
        <v>0</v>
      </c>
    </row>
    <row r="994" spans="1:13" x14ac:dyDescent="0.25">
      <c r="A994" s="5" t="s">
        <v>90</v>
      </c>
      <c r="B994">
        <v>7172030006000100</v>
      </c>
      <c r="C994">
        <v>110</v>
      </c>
      <c r="D994">
        <v>0</v>
      </c>
      <c r="E994">
        <v>0</v>
      </c>
      <c r="F994">
        <v>0</v>
      </c>
      <c r="G994">
        <v>110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region_summary__43[[#This Row],[REJECTED BY Admin Kabupaten]]+region_summary__43[[#This Row],[REJECTED BY Pengawas]]</f>
        <v>0</v>
      </c>
    </row>
    <row r="995" spans="1:13" x14ac:dyDescent="0.25">
      <c r="A995" s="5" t="s">
        <v>90</v>
      </c>
      <c r="B995">
        <v>7172030006000600</v>
      </c>
      <c r="C995">
        <v>98</v>
      </c>
      <c r="D995">
        <v>34</v>
      </c>
      <c r="E995">
        <v>0</v>
      </c>
      <c r="F995">
        <v>0</v>
      </c>
      <c r="G995">
        <v>64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region_summary__43[[#This Row],[REJECTED BY Admin Kabupaten]]+region_summary__43[[#This Row],[REJECTED BY Pengawas]]</f>
        <v>0</v>
      </c>
    </row>
    <row r="996" spans="1:13" x14ac:dyDescent="0.25">
      <c r="A996" s="5" t="s">
        <v>90</v>
      </c>
      <c r="B996">
        <v>7172030006000900</v>
      </c>
      <c r="C996">
        <v>90</v>
      </c>
      <c r="D996">
        <v>40</v>
      </c>
      <c r="E996">
        <v>0</v>
      </c>
      <c r="F996">
        <v>0</v>
      </c>
      <c r="G996">
        <v>47</v>
      </c>
      <c r="H996">
        <v>0</v>
      </c>
      <c r="I996">
        <v>0</v>
      </c>
      <c r="J996">
        <v>0</v>
      </c>
      <c r="K996">
        <v>3</v>
      </c>
      <c r="L996">
        <v>0</v>
      </c>
      <c r="M996">
        <f>region_summary__43[[#This Row],[REJECTED BY Admin Kabupaten]]+region_summary__43[[#This Row],[REJECTED BY Pengawas]]</f>
        <v>0</v>
      </c>
    </row>
    <row r="997" spans="1:13" x14ac:dyDescent="0.25">
      <c r="A997" s="5" t="s">
        <v>90</v>
      </c>
      <c r="B997">
        <v>7172030006000800</v>
      </c>
      <c r="C997">
        <v>86</v>
      </c>
      <c r="D997">
        <v>62</v>
      </c>
      <c r="E997">
        <v>0</v>
      </c>
      <c r="F997">
        <v>0</v>
      </c>
      <c r="G997">
        <v>24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region_summary__43[[#This Row],[REJECTED BY Admin Kabupaten]]+region_summary__43[[#This Row],[REJECTED BY Pengawas]]</f>
        <v>0</v>
      </c>
    </row>
    <row r="998" spans="1:13" x14ac:dyDescent="0.25">
      <c r="A998" s="5" t="s">
        <v>90</v>
      </c>
      <c r="B998">
        <v>7172030006000700</v>
      </c>
      <c r="C998">
        <v>72</v>
      </c>
      <c r="D998">
        <v>25</v>
      </c>
      <c r="E998">
        <v>0</v>
      </c>
      <c r="F998">
        <v>0</v>
      </c>
      <c r="G998">
        <v>46</v>
      </c>
      <c r="H998">
        <v>0</v>
      </c>
      <c r="I998">
        <v>0</v>
      </c>
      <c r="J998">
        <v>0</v>
      </c>
      <c r="K998">
        <v>1</v>
      </c>
      <c r="L998">
        <v>0</v>
      </c>
      <c r="M998">
        <f>region_summary__43[[#This Row],[REJECTED BY Admin Kabupaten]]+region_summary__43[[#This Row],[REJECTED BY Pengawas]]</f>
        <v>0</v>
      </c>
    </row>
    <row r="999" spans="1:13" x14ac:dyDescent="0.25">
      <c r="A999" s="5" t="s">
        <v>90</v>
      </c>
      <c r="B999">
        <v>7172030006000300</v>
      </c>
      <c r="C999">
        <v>70</v>
      </c>
      <c r="D999">
        <v>44</v>
      </c>
      <c r="E999">
        <v>0</v>
      </c>
      <c r="F999">
        <v>0</v>
      </c>
      <c r="G999">
        <v>25</v>
      </c>
      <c r="H999">
        <v>0</v>
      </c>
      <c r="I999">
        <v>0</v>
      </c>
      <c r="J999">
        <v>1</v>
      </c>
      <c r="K999">
        <v>0</v>
      </c>
      <c r="L999">
        <v>0</v>
      </c>
      <c r="M999">
        <f>region_summary__43[[#This Row],[REJECTED BY Admin Kabupaten]]+region_summary__43[[#This Row],[REJECTED BY Pengawas]]</f>
        <v>0</v>
      </c>
    </row>
    <row r="1000" spans="1:13" x14ac:dyDescent="0.25">
      <c r="A1000" s="5" t="s">
        <v>90</v>
      </c>
      <c r="B1000">
        <v>7172030006000200</v>
      </c>
      <c r="C1000">
        <v>69</v>
      </c>
      <c r="D1000">
        <v>0</v>
      </c>
      <c r="E1000">
        <v>0</v>
      </c>
      <c r="F1000">
        <v>0</v>
      </c>
      <c r="G1000">
        <v>63</v>
      </c>
      <c r="H1000">
        <v>0</v>
      </c>
      <c r="I1000">
        <v>0</v>
      </c>
      <c r="J1000">
        <v>0</v>
      </c>
      <c r="K1000">
        <v>6</v>
      </c>
      <c r="L1000">
        <v>0</v>
      </c>
      <c r="M1000">
        <f>region_summary__43[[#This Row],[REJECTED BY Admin Kabupaten]]+region_summary__43[[#This Row],[REJECTED BY Pengawas]]</f>
        <v>0</v>
      </c>
    </row>
    <row r="1001" spans="1:13" x14ac:dyDescent="0.25">
      <c r="A1001" s="5" t="s">
        <v>90</v>
      </c>
      <c r="B1001">
        <v>7172030006000400</v>
      </c>
      <c r="C1001">
        <v>64</v>
      </c>
      <c r="D1001">
        <v>63</v>
      </c>
      <c r="E1001">
        <v>0</v>
      </c>
      <c r="F1001">
        <v>1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region_summary__43[[#This Row],[REJECTED BY Admin Kabupaten]]+region_summary__43[[#This Row],[REJECTED BY Pengawas]]</f>
        <v>0</v>
      </c>
    </row>
    <row r="1002" spans="1:13" x14ac:dyDescent="0.25">
      <c r="A1002" s="5" t="s">
        <v>90</v>
      </c>
      <c r="B1002">
        <v>7172030006000500</v>
      </c>
      <c r="C1002">
        <v>51</v>
      </c>
      <c r="D1002">
        <v>31</v>
      </c>
      <c r="E1002">
        <v>0</v>
      </c>
      <c r="F1002">
        <v>0</v>
      </c>
      <c r="G1002">
        <v>20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region_summary__43[[#This Row],[REJECTED BY Admin Kabupaten]]+region_summary__43[[#This Row],[REJECTED BY Pengawas]]</f>
        <v>0</v>
      </c>
    </row>
    <row r="1003" spans="1:13" x14ac:dyDescent="0.25">
      <c r="A1003" s="5" t="s">
        <v>91</v>
      </c>
      <c r="B1003">
        <v>7172030006001100</v>
      </c>
      <c r="C1003">
        <v>105</v>
      </c>
      <c r="D1003">
        <v>19</v>
      </c>
      <c r="E1003">
        <v>1</v>
      </c>
      <c r="F1003">
        <v>0</v>
      </c>
      <c r="G1003">
        <v>81</v>
      </c>
      <c r="H1003">
        <v>0</v>
      </c>
      <c r="I1003">
        <v>0</v>
      </c>
      <c r="J1003">
        <v>0</v>
      </c>
      <c r="K1003">
        <v>4</v>
      </c>
      <c r="L1003">
        <v>0</v>
      </c>
      <c r="M1003">
        <f>region_summary__43[[#This Row],[REJECTED BY Admin Kabupaten]]+region_summary__43[[#This Row],[REJECTED BY Pengawas]]</f>
        <v>0</v>
      </c>
    </row>
    <row r="1004" spans="1:13" x14ac:dyDescent="0.25">
      <c r="A1004" s="5" t="s">
        <v>91</v>
      </c>
      <c r="B1004">
        <v>7172030006001200</v>
      </c>
      <c r="C1004">
        <v>101</v>
      </c>
      <c r="D1004">
        <v>0</v>
      </c>
      <c r="E1004">
        <v>0</v>
      </c>
      <c r="F1004">
        <v>0</v>
      </c>
      <c r="G1004">
        <v>101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region_summary__43[[#This Row],[REJECTED BY Admin Kabupaten]]+region_summary__43[[#This Row],[REJECTED BY Pengawas]]</f>
        <v>0</v>
      </c>
    </row>
    <row r="1005" spans="1:13" x14ac:dyDescent="0.25">
      <c r="A1005" s="5" t="s">
        <v>91</v>
      </c>
      <c r="B1005">
        <v>7172030006001000</v>
      </c>
      <c r="C1005">
        <v>73</v>
      </c>
      <c r="D1005">
        <v>2</v>
      </c>
      <c r="E1005">
        <v>0</v>
      </c>
      <c r="F1005">
        <v>0</v>
      </c>
      <c r="G1005">
        <v>71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region_summary__43[[#This Row],[REJECTED BY Admin Kabupaten]]+region_summary__43[[#This Row],[REJECTED BY Pengawas]]</f>
        <v>0</v>
      </c>
    </row>
    <row r="1006" spans="1:13" x14ac:dyDescent="0.25">
      <c r="A1006" s="5" t="s">
        <v>91</v>
      </c>
      <c r="B1006">
        <v>7172030006001600</v>
      </c>
      <c r="C1006">
        <v>68</v>
      </c>
      <c r="D1006">
        <v>56</v>
      </c>
      <c r="E1006">
        <v>0</v>
      </c>
      <c r="F1006">
        <v>0</v>
      </c>
      <c r="G1006">
        <v>11</v>
      </c>
      <c r="H1006">
        <v>0</v>
      </c>
      <c r="I1006">
        <v>0</v>
      </c>
      <c r="J1006">
        <v>0</v>
      </c>
      <c r="K1006">
        <v>1</v>
      </c>
      <c r="L1006">
        <v>0</v>
      </c>
      <c r="M1006">
        <f>region_summary__43[[#This Row],[REJECTED BY Admin Kabupaten]]+region_summary__43[[#This Row],[REJECTED BY Pengawas]]</f>
        <v>0</v>
      </c>
    </row>
    <row r="1007" spans="1:13" x14ac:dyDescent="0.25">
      <c r="A1007" s="5" t="s">
        <v>91</v>
      </c>
      <c r="B1007">
        <v>7172030006001300</v>
      </c>
      <c r="C1007">
        <v>57</v>
      </c>
      <c r="D1007">
        <v>14</v>
      </c>
      <c r="E1007">
        <v>0</v>
      </c>
      <c r="F1007">
        <v>0</v>
      </c>
      <c r="G1007">
        <v>43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region_summary__43[[#This Row],[REJECTED BY Admin Kabupaten]]+region_summary__43[[#This Row],[REJECTED BY Pengawas]]</f>
        <v>0</v>
      </c>
    </row>
    <row r="1008" spans="1:13" x14ac:dyDescent="0.25">
      <c r="A1008" s="5" t="s">
        <v>91</v>
      </c>
      <c r="B1008">
        <v>7172030006001700</v>
      </c>
      <c r="C1008">
        <v>57</v>
      </c>
      <c r="D1008">
        <v>48</v>
      </c>
      <c r="E1008">
        <v>0</v>
      </c>
      <c r="F1008">
        <v>0</v>
      </c>
      <c r="G1008">
        <v>8</v>
      </c>
      <c r="H1008">
        <v>0</v>
      </c>
      <c r="I1008">
        <v>0</v>
      </c>
      <c r="J1008">
        <v>0</v>
      </c>
      <c r="K1008">
        <v>1</v>
      </c>
      <c r="L1008">
        <v>0</v>
      </c>
      <c r="M1008">
        <f>region_summary__43[[#This Row],[REJECTED BY Admin Kabupaten]]+region_summary__43[[#This Row],[REJECTED BY Pengawas]]</f>
        <v>0</v>
      </c>
    </row>
    <row r="1009" spans="1:13" x14ac:dyDescent="0.25">
      <c r="A1009" s="5" t="s">
        <v>91</v>
      </c>
      <c r="B1009">
        <v>7172030006001800</v>
      </c>
      <c r="C1009">
        <v>52</v>
      </c>
      <c r="D1009">
        <v>46</v>
      </c>
      <c r="E1009">
        <v>0</v>
      </c>
      <c r="F1009">
        <v>0</v>
      </c>
      <c r="G1009">
        <v>6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region_summary__43[[#This Row],[REJECTED BY Admin Kabupaten]]+region_summary__43[[#This Row],[REJECTED BY Pengawas]]</f>
        <v>0</v>
      </c>
    </row>
    <row r="1010" spans="1:13" x14ac:dyDescent="0.25">
      <c r="A1010" s="5" t="s">
        <v>91</v>
      </c>
      <c r="B1010">
        <v>7172030006001500</v>
      </c>
      <c r="C1010">
        <v>49</v>
      </c>
      <c r="D1010">
        <v>38</v>
      </c>
      <c r="E1010">
        <v>1</v>
      </c>
      <c r="F1010">
        <v>0</v>
      </c>
      <c r="G1010">
        <v>6</v>
      </c>
      <c r="H1010">
        <v>0</v>
      </c>
      <c r="I1010">
        <v>0</v>
      </c>
      <c r="J1010">
        <v>0</v>
      </c>
      <c r="K1010">
        <v>4</v>
      </c>
      <c r="L1010">
        <v>0</v>
      </c>
      <c r="M1010">
        <f>region_summary__43[[#This Row],[REJECTED BY Admin Kabupaten]]+region_summary__43[[#This Row],[REJECTED BY Pengawas]]</f>
        <v>0</v>
      </c>
    </row>
    <row r="1011" spans="1:13" x14ac:dyDescent="0.25">
      <c r="A1011" s="5" t="s">
        <v>91</v>
      </c>
      <c r="B1011">
        <v>7172030006001400</v>
      </c>
      <c r="C1011">
        <v>47</v>
      </c>
      <c r="D1011">
        <v>16</v>
      </c>
      <c r="E1011">
        <v>0</v>
      </c>
      <c r="F1011">
        <v>0</v>
      </c>
      <c r="G1011">
        <v>26</v>
      </c>
      <c r="H1011">
        <v>0</v>
      </c>
      <c r="I1011">
        <v>2</v>
      </c>
      <c r="J1011">
        <v>0</v>
      </c>
      <c r="K1011">
        <v>3</v>
      </c>
      <c r="L1011">
        <v>0</v>
      </c>
      <c r="M1011">
        <f>region_summary__43[[#This Row],[REJECTED BY Admin Kabupaten]]+region_summary__43[[#This Row],[REJECTED BY Pengawas]]</f>
        <v>2</v>
      </c>
    </row>
    <row r="1012" spans="1:13" x14ac:dyDescent="0.25">
      <c r="A1012" s="5" t="s">
        <v>91</v>
      </c>
      <c r="B1012">
        <v>7172030006001900</v>
      </c>
      <c r="C1012">
        <v>47</v>
      </c>
      <c r="D1012">
        <v>41</v>
      </c>
      <c r="E1012">
        <v>1</v>
      </c>
      <c r="F1012">
        <v>0</v>
      </c>
      <c r="G1012">
        <v>4</v>
      </c>
      <c r="H1012">
        <v>0</v>
      </c>
      <c r="I1012">
        <v>0</v>
      </c>
      <c r="J1012">
        <v>0</v>
      </c>
      <c r="K1012">
        <v>1</v>
      </c>
      <c r="L1012">
        <v>0</v>
      </c>
      <c r="M1012">
        <f>region_summary__43[[#This Row],[REJECTED BY Admin Kabupaten]]+region_summary__43[[#This Row],[REJECTED BY Pengawas]]</f>
        <v>0</v>
      </c>
    </row>
    <row r="1013" spans="1:13" x14ac:dyDescent="0.25">
      <c r="A1013" s="5" t="s">
        <v>233</v>
      </c>
      <c r="B1013">
        <v>7172030007000400</v>
      </c>
      <c r="C1013">
        <v>159</v>
      </c>
      <c r="D1013">
        <v>0</v>
      </c>
      <c r="E1013">
        <v>0</v>
      </c>
      <c r="F1013">
        <v>0</v>
      </c>
      <c r="G1013">
        <v>159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region_summary__43[[#This Row],[REJECTED BY Admin Kabupaten]]+region_summary__43[[#This Row],[REJECTED BY Pengawas]]</f>
        <v>0</v>
      </c>
    </row>
    <row r="1014" spans="1:13" x14ac:dyDescent="0.25">
      <c r="A1014" s="5" t="s">
        <v>233</v>
      </c>
      <c r="B1014">
        <v>7172030007001000</v>
      </c>
      <c r="C1014">
        <v>155</v>
      </c>
      <c r="D1014">
        <v>150</v>
      </c>
      <c r="E1014">
        <v>2</v>
      </c>
      <c r="F1014">
        <v>0</v>
      </c>
      <c r="G1014">
        <v>3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region_summary__43[[#This Row],[REJECTED BY Admin Kabupaten]]+region_summary__43[[#This Row],[REJECTED BY Pengawas]]</f>
        <v>0</v>
      </c>
    </row>
    <row r="1015" spans="1:13" x14ac:dyDescent="0.25">
      <c r="A1015" s="5" t="s">
        <v>233</v>
      </c>
      <c r="B1015">
        <v>7172030007000900</v>
      </c>
      <c r="C1015">
        <v>90</v>
      </c>
      <c r="D1015">
        <v>81</v>
      </c>
      <c r="E1015">
        <v>5</v>
      </c>
      <c r="F1015">
        <v>0</v>
      </c>
      <c r="G1015">
        <v>2</v>
      </c>
      <c r="H1015">
        <v>0</v>
      </c>
      <c r="I1015">
        <v>0</v>
      </c>
      <c r="J1015">
        <v>0</v>
      </c>
      <c r="K1015">
        <v>2</v>
      </c>
      <c r="L1015">
        <v>0</v>
      </c>
      <c r="M1015">
        <f>region_summary__43[[#This Row],[REJECTED BY Admin Kabupaten]]+region_summary__43[[#This Row],[REJECTED BY Pengawas]]</f>
        <v>0</v>
      </c>
    </row>
    <row r="1016" spans="1:13" x14ac:dyDescent="0.25">
      <c r="A1016" s="5" t="s">
        <v>233</v>
      </c>
      <c r="B1016">
        <v>7172030007000800</v>
      </c>
      <c r="C1016">
        <v>87</v>
      </c>
      <c r="D1016">
        <v>19</v>
      </c>
      <c r="E1016">
        <v>16</v>
      </c>
      <c r="F1016">
        <v>0</v>
      </c>
      <c r="G1016">
        <v>43</v>
      </c>
      <c r="H1016">
        <v>0</v>
      </c>
      <c r="I1016">
        <v>0</v>
      </c>
      <c r="J1016">
        <v>0</v>
      </c>
      <c r="K1016">
        <v>9</v>
      </c>
      <c r="L1016">
        <v>0</v>
      </c>
      <c r="M1016">
        <f>region_summary__43[[#This Row],[REJECTED BY Admin Kabupaten]]+region_summary__43[[#This Row],[REJECTED BY Pengawas]]</f>
        <v>0</v>
      </c>
    </row>
    <row r="1017" spans="1:13" x14ac:dyDescent="0.25">
      <c r="A1017" s="5" t="s">
        <v>233</v>
      </c>
      <c r="B1017">
        <v>7172030007000500</v>
      </c>
      <c r="C1017">
        <v>79</v>
      </c>
      <c r="D1017">
        <v>0</v>
      </c>
      <c r="E1017">
        <v>0</v>
      </c>
      <c r="F1017">
        <v>0</v>
      </c>
      <c r="G1017">
        <v>79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region_summary__43[[#This Row],[REJECTED BY Admin Kabupaten]]+region_summary__43[[#This Row],[REJECTED BY Pengawas]]</f>
        <v>0</v>
      </c>
    </row>
    <row r="1018" spans="1:13" x14ac:dyDescent="0.25">
      <c r="A1018" s="5" t="s">
        <v>233</v>
      </c>
      <c r="B1018">
        <v>7172030007000700</v>
      </c>
      <c r="C1018">
        <v>57</v>
      </c>
      <c r="D1018">
        <v>0</v>
      </c>
      <c r="E1018">
        <v>0</v>
      </c>
      <c r="F1018">
        <v>0</v>
      </c>
      <c r="G1018">
        <v>52</v>
      </c>
      <c r="H1018">
        <v>0</v>
      </c>
      <c r="I1018">
        <v>0</v>
      </c>
      <c r="J1018">
        <v>0</v>
      </c>
      <c r="K1018">
        <v>5</v>
      </c>
      <c r="L1018">
        <v>0</v>
      </c>
      <c r="M1018">
        <f>region_summary__43[[#This Row],[REJECTED BY Admin Kabupaten]]+region_summary__43[[#This Row],[REJECTED BY Pengawas]]</f>
        <v>0</v>
      </c>
    </row>
    <row r="1019" spans="1:13" x14ac:dyDescent="0.25">
      <c r="A1019" s="5" t="s">
        <v>234</v>
      </c>
      <c r="B1019">
        <v>7172030008000902</v>
      </c>
      <c r="C1019">
        <v>148</v>
      </c>
      <c r="D1019">
        <v>137</v>
      </c>
      <c r="E1019">
        <v>1</v>
      </c>
      <c r="F1019">
        <v>0</v>
      </c>
      <c r="G1019">
        <v>7</v>
      </c>
      <c r="H1019">
        <v>0</v>
      </c>
      <c r="I1019">
        <v>0</v>
      </c>
      <c r="J1019">
        <v>1</v>
      </c>
      <c r="K1019">
        <v>2</v>
      </c>
      <c r="L1019">
        <v>0</v>
      </c>
      <c r="M1019">
        <f>region_summary__43[[#This Row],[REJECTED BY Admin Kabupaten]]+region_summary__43[[#This Row],[REJECTED BY Pengawas]]</f>
        <v>0</v>
      </c>
    </row>
    <row r="1020" spans="1:13" x14ac:dyDescent="0.25">
      <c r="A1020" s="5" t="s">
        <v>234</v>
      </c>
      <c r="B1020">
        <v>7172030008000100</v>
      </c>
      <c r="C1020">
        <v>66</v>
      </c>
      <c r="D1020">
        <v>2</v>
      </c>
      <c r="E1020">
        <v>0</v>
      </c>
      <c r="F1020">
        <v>0</v>
      </c>
      <c r="G1020">
        <v>64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region_summary__43[[#This Row],[REJECTED BY Admin Kabupaten]]+region_summary__43[[#This Row],[REJECTED BY Pengawas]]</f>
        <v>0</v>
      </c>
    </row>
    <row r="1021" spans="1:13" x14ac:dyDescent="0.25">
      <c r="A1021" s="5" t="s">
        <v>234</v>
      </c>
      <c r="B1021">
        <v>7172030008000500</v>
      </c>
      <c r="C1021">
        <v>61</v>
      </c>
      <c r="D1021">
        <v>6</v>
      </c>
      <c r="E1021">
        <v>0</v>
      </c>
      <c r="F1021">
        <v>0</v>
      </c>
      <c r="G1021">
        <v>55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region_summary__43[[#This Row],[REJECTED BY Admin Kabupaten]]+region_summary__43[[#This Row],[REJECTED BY Pengawas]]</f>
        <v>0</v>
      </c>
    </row>
    <row r="1022" spans="1:13" x14ac:dyDescent="0.25">
      <c r="A1022" s="5" t="s">
        <v>234</v>
      </c>
      <c r="B1022">
        <v>7172030008000400</v>
      </c>
      <c r="C1022">
        <v>60</v>
      </c>
      <c r="D1022">
        <v>17</v>
      </c>
      <c r="E1022">
        <v>0</v>
      </c>
      <c r="F1022">
        <v>0</v>
      </c>
      <c r="G1022">
        <v>43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region_summary__43[[#This Row],[REJECTED BY Admin Kabupaten]]+region_summary__43[[#This Row],[REJECTED BY Pengawas]]</f>
        <v>0</v>
      </c>
    </row>
    <row r="1023" spans="1:13" x14ac:dyDescent="0.25">
      <c r="A1023" s="5" t="s">
        <v>234</v>
      </c>
      <c r="B1023">
        <v>7172030008000200</v>
      </c>
      <c r="C1023">
        <v>57</v>
      </c>
      <c r="D1023">
        <v>1</v>
      </c>
      <c r="E1023">
        <v>0</v>
      </c>
      <c r="F1023">
        <v>0</v>
      </c>
      <c r="G1023">
        <v>56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region_summary__43[[#This Row],[REJECTED BY Admin Kabupaten]]+region_summary__43[[#This Row],[REJECTED BY Pengawas]]</f>
        <v>0</v>
      </c>
    </row>
    <row r="1024" spans="1:13" x14ac:dyDescent="0.25">
      <c r="A1024" s="5" t="s">
        <v>234</v>
      </c>
      <c r="B1024">
        <v>7172030008000600</v>
      </c>
      <c r="C1024">
        <v>57</v>
      </c>
      <c r="D1024">
        <v>51</v>
      </c>
      <c r="E1024">
        <v>0</v>
      </c>
      <c r="F1024">
        <v>2</v>
      </c>
      <c r="G1024">
        <v>0</v>
      </c>
      <c r="H1024">
        <v>0</v>
      </c>
      <c r="I1024">
        <v>1</v>
      </c>
      <c r="J1024">
        <v>0</v>
      </c>
      <c r="K1024">
        <v>3</v>
      </c>
      <c r="L1024">
        <v>0</v>
      </c>
      <c r="M1024">
        <f>region_summary__43[[#This Row],[REJECTED BY Admin Kabupaten]]+region_summary__43[[#This Row],[REJECTED BY Pengawas]]</f>
        <v>1</v>
      </c>
    </row>
    <row r="1025" spans="1:13" x14ac:dyDescent="0.25">
      <c r="A1025" s="5" t="s">
        <v>234</v>
      </c>
      <c r="B1025">
        <v>7172030008000901</v>
      </c>
      <c r="C1025">
        <v>52</v>
      </c>
      <c r="D1025">
        <v>48</v>
      </c>
      <c r="E1025">
        <v>0</v>
      </c>
      <c r="F1025">
        <v>0</v>
      </c>
      <c r="G1025">
        <v>3</v>
      </c>
      <c r="H1025">
        <v>0</v>
      </c>
      <c r="I1025">
        <v>0</v>
      </c>
      <c r="J1025">
        <v>0</v>
      </c>
      <c r="K1025">
        <v>1</v>
      </c>
      <c r="L1025">
        <v>0</v>
      </c>
      <c r="M1025">
        <f>region_summary__43[[#This Row],[REJECTED BY Admin Kabupaten]]+region_summary__43[[#This Row],[REJECTED BY Pengawas]]</f>
        <v>0</v>
      </c>
    </row>
    <row r="1026" spans="1:13" x14ac:dyDescent="0.25">
      <c r="A1026" s="5" t="s">
        <v>234</v>
      </c>
      <c r="B1026">
        <v>7172030008000700</v>
      </c>
      <c r="C1026">
        <v>50</v>
      </c>
      <c r="D1026">
        <v>32</v>
      </c>
      <c r="E1026">
        <v>0</v>
      </c>
      <c r="F1026">
        <v>0</v>
      </c>
      <c r="G1026">
        <v>5</v>
      </c>
      <c r="H1026">
        <v>0</v>
      </c>
      <c r="I1026">
        <v>1</v>
      </c>
      <c r="J1026">
        <v>0</v>
      </c>
      <c r="K1026">
        <v>12</v>
      </c>
      <c r="L1026">
        <v>0</v>
      </c>
      <c r="M1026">
        <f>region_summary__43[[#This Row],[REJECTED BY Admin Kabupaten]]+region_summary__43[[#This Row],[REJECTED BY Pengawas]]</f>
        <v>1</v>
      </c>
    </row>
    <row r="1027" spans="1:13" x14ac:dyDescent="0.25">
      <c r="A1027" s="5" t="s">
        <v>234</v>
      </c>
      <c r="B1027">
        <v>7172030008000800</v>
      </c>
      <c r="C1027">
        <v>41</v>
      </c>
      <c r="D1027">
        <v>4</v>
      </c>
      <c r="E1027">
        <v>0</v>
      </c>
      <c r="F1027">
        <v>0</v>
      </c>
      <c r="G1027">
        <v>30</v>
      </c>
      <c r="H1027">
        <v>0</v>
      </c>
      <c r="I1027">
        <v>0</v>
      </c>
      <c r="J1027">
        <v>0</v>
      </c>
      <c r="K1027">
        <v>7</v>
      </c>
      <c r="L1027">
        <v>0</v>
      </c>
      <c r="M1027">
        <f>region_summary__43[[#This Row],[REJECTED BY Admin Kabupaten]]+region_summary__43[[#This Row],[REJECTED BY Pengawas]]</f>
        <v>0</v>
      </c>
    </row>
    <row r="1028" spans="1:13" x14ac:dyDescent="0.25">
      <c r="A1028" s="5" t="s">
        <v>234</v>
      </c>
      <c r="B1028">
        <v>7172030008000300</v>
      </c>
      <c r="C1028">
        <v>35</v>
      </c>
      <c r="D1028">
        <v>8</v>
      </c>
      <c r="E1028">
        <v>2</v>
      </c>
      <c r="F1028">
        <v>0</v>
      </c>
      <c r="G1028">
        <v>25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region_summary__43[[#This Row],[REJECTED BY Admin Kabupaten]]+region_summary__43[[#This Row],[REJECTED BY Pengawas]]</f>
        <v>0</v>
      </c>
    </row>
    <row r="1029" spans="1:13" x14ac:dyDescent="0.25">
      <c r="A1029" s="5" t="s">
        <v>234</v>
      </c>
      <c r="B1029">
        <v>7172030008200100</v>
      </c>
      <c r="C1029">
        <v>2</v>
      </c>
      <c r="D1029">
        <v>0</v>
      </c>
      <c r="E1029">
        <v>0</v>
      </c>
      <c r="F1029">
        <v>0</v>
      </c>
      <c r="G1029">
        <v>2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region_summary__43[[#This Row],[REJECTED BY Admin Kabupaten]]+region_summary__43[[#This Row],[REJECTED BY Pengawas]]</f>
        <v>0</v>
      </c>
    </row>
    <row r="1030" spans="1:13" x14ac:dyDescent="0.25">
      <c r="A1030" s="5" t="s">
        <v>92</v>
      </c>
      <c r="B1030">
        <v>7172030007000200</v>
      </c>
      <c r="C1030">
        <v>143</v>
      </c>
      <c r="D1030">
        <v>76</v>
      </c>
      <c r="E1030">
        <v>8</v>
      </c>
      <c r="F1030">
        <v>13</v>
      </c>
      <c r="G1030">
        <v>46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region_summary__43[[#This Row],[REJECTED BY Admin Kabupaten]]+region_summary__43[[#This Row],[REJECTED BY Pengawas]]</f>
        <v>0</v>
      </c>
    </row>
    <row r="1031" spans="1:13" x14ac:dyDescent="0.25">
      <c r="A1031" s="5" t="s">
        <v>92</v>
      </c>
      <c r="B1031">
        <v>7172030012000700</v>
      </c>
      <c r="C1031">
        <v>118</v>
      </c>
      <c r="D1031">
        <v>107</v>
      </c>
      <c r="E1031">
        <v>4</v>
      </c>
      <c r="F1031">
        <v>4</v>
      </c>
      <c r="G1031">
        <v>3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region_summary__43[[#This Row],[REJECTED BY Admin Kabupaten]]+region_summary__43[[#This Row],[REJECTED BY Pengawas]]</f>
        <v>0</v>
      </c>
    </row>
    <row r="1032" spans="1:13" x14ac:dyDescent="0.25">
      <c r="A1032" s="5" t="s">
        <v>92</v>
      </c>
      <c r="B1032">
        <v>7172030012000500</v>
      </c>
      <c r="C1032">
        <v>97</v>
      </c>
      <c r="D1032">
        <v>0</v>
      </c>
      <c r="E1032">
        <v>9</v>
      </c>
      <c r="F1032">
        <v>0</v>
      </c>
      <c r="G1032">
        <v>88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f>region_summary__43[[#This Row],[REJECTED BY Admin Kabupaten]]+region_summary__43[[#This Row],[REJECTED BY Pengawas]]</f>
        <v>0</v>
      </c>
    </row>
    <row r="1033" spans="1:13" x14ac:dyDescent="0.25">
      <c r="A1033" s="5" t="s">
        <v>92</v>
      </c>
      <c r="B1033">
        <v>7172030012000200</v>
      </c>
      <c r="C1033">
        <v>89</v>
      </c>
      <c r="D1033">
        <v>0</v>
      </c>
      <c r="E1033">
        <v>0</v>
      </c>
      <c r="F1033">
        <v>0</v>
      </c>
      <c r="G1033">
        <v>89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region_summary__43[[#This Row],[REJECTED BY Admin Kabupaten]]+region_summary__43[[#This Row],[REJECTED BY Pengawas]]</f>
        <v>0</v>
      </c>
    </row>
    <row r="1034" spans="1:13" x14ac:dyDescent="0.25">
      <c r="A1034" s="5" t="s">
        <v>92</v>
      </c>
      <c r="B1034">
        <v>7172030007000100</v>
      </c>
      <c r="C1034">
        <v>61</v>
      </c>
      <c r="D1034">
        <v>56</v>
      </c>
      <c r="E1034">
        <v>0</v>
      </c>
      <c r="F1034">
        <v>5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region_summary__43[[#This Row],[REJECTED BY Admin Kabupaten]]+region_summary__43[[#This Row],[REJECTED BY Pengawas]]</f>
        <v>0</v>
      </c>
    </row>
    <row r="1035" spans="1:13" x14ac:dyDescent="0.25">
      <c r="A1035" s="5" t="s">
        <v>92</v>
      </c>
      <c r="B1035">
        <v>7172030007000300</v>
      </c>
      <c r="C1035">
        <v>44</v>
      </c>
      <c r="D1035">
        <v>0</v>
      </c>
      <c r="E1035">
        <v>0</v>
      </c>
      <c r="F1035">
        <v>0</v>
      </c>
      <c r="G1035">
        <v>44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region_summary__43[[#This Row],[REJECTED BY Admin Kabupaten]]+region_summary__43[[#This Row],[REJECTED BY Pengawas]]</f>
        <v>0</v>
      </c>
    </row>
    <row r="1036" spans="1:13" x14ac:dyDescent="0.25">
      <c r="A1036" s="5" t="s">
        <v>92</v>
      </c>
      <c r="B1036">
        <v>7172030012000400</v>
      </c>
      <c r="C1036">
        <v>44</v>
      </c>
      <c r="D1036">
        <v>3</v>
      </c>
      <c r="E1036">
        <v>15</v>
      </c>
      <c r="F1036">
        <v>0</v>
      </c>
      <c r="G1036">
        <v>18</v>
      </c>
      <c r="H1036">
        <v>0</v>
      </c>
      <c r="I1036">
        <v>0</v>
      </c>
      <c r="J1036">
        <v>0</v>
      </c>
      <c r="K1036">
        <v>8</v>
      </c>
      <c r="L1036">
        <v>0</v>
      </c>
      <c r="M1036">
        <f>region_summary__43[[#This Row],[REJECTED BY Admin Kabupaten]]+region_summary__43[[#This Row],[REJECTED BY Pengawas]]</f>
        <v>0</v>
      </c>
    </row>
    <row r="1037" spans="1:13" x14ac:dyDescent="0.25">
      <c r="A1037" s="5" t="s">
        <v>92</v>
      </c>
      <c r="B1037">
        <v>7172030007000600</v>
      </c>
      <c r="C1037">
        <v>34</v>
      </c>
      <c r="D1037">
        <v>0</v>
      </c>
      <c r="E1037">
        <v>0</v>
      </c>
      <c r="F1037">
        <v>0</v>
      </c>
      <c r="G1037">
        <v>34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region_summary__43[[#This Row],[REJECTED BY Admin Kabupaten]]+region_summary__43[[#This Row],[REJECTED BY Pengawas]]</f>
        <v>0</v>
      </c>
    </row>
    <row r="1038" spans="1:13" x14ac:dyDescent="0.25">
      <c r="A1038" s="5" t="s">
        <v>99</v>
      </c>
      <c r="B1038">
        <v>7172030013000100</v>
      </c>
      <c r="C1038">
        <v>173</v>
      </c>
      <c r="D1038">
        <v>26</v>
      </c>
      <c r="E1038">
        <v>4</v>
      </c>
      <c r="F1038">
        <v>2</v>
      </c>
      <c r="G1038">
        <v>140</v>
      </c>
      <c r="H1038">
        <v>0</v>
      </c>
      <c r="I1038">
        <v>0</v>
      </c>
      <c r="J1038">
        <v>0</v>
      </c>
      <c r="K1038">
        <v>1</v>
      </c>
      <c r="L1038">
        <v>0</v>
      </c>
      <c r="M1038">
        <f>region_summary__43[[#This Row],[REJECTED BY Admin Kabupaten]]+region_summary__43[[#This Row],[REJECTED BY Pengawas]]</f>
        <v>0</v>
      </c>
    </row>
    <row r="1039" spans="1:13" x14ac:dyDescent="0.25">
      <c r="A1039" s="5" t="s">
        <v>99</v>
      </c>
      <c r="B1039">
        <v>7172030012001200</v>
      </c>
      <c r="C1039">
        <v>79</v>
      </c>
      <c r="D1039">
        <v>40</v>
      </c>
      <c r="E1039">
        <v>5</v>
      </c>
      <c r="F1039">
        <v>1</v>
      </c>
      <c r="G1039">
        <v>28</v>
      </c>
      <c r="H1039">
        <v>1</v>
      </c>
      <c r="I1039">
        <v>1</v>
      </c>
      <c r="J1039">
        <v>1</v>
      </c>
      <c r="K1039">
        <v>2</v>
      </c>
      <c r="L1039">
        <v>0</v>
      </c>
      <c r="M1039">
        <f>region_summary__43[[#This Row],[REJECTED BY Admin Kabupaten]]+region_summary__43[[#This Row],[REJECTED BY Pengawas]]</f>
        <v>2</v>
      </c>
    </row>
    <row r="1040" spans="1:13" x14ac:dyDescent="0.25">
      <c r="A1040" s="5" t="s">
        <v>99</v>
      </c>
      <c r="B1040">
        <v>7172030012001700</v>
      </c>
      <c r="C1040">
        <v>78</v>
      </c>
      <c r="D1040">
        <v>63</v>
      </c>
      <c r="E1040">
        <v>0</v>
      </c>
      <c r="F1040">
        <v>0</v>
      </c>
      <c r="G1040">
        <v>10</v>
      </c>
      <c r="H1040">
        <v>0</v>
      </c>
      <c r="I1040">
        <v>0</v>
      </c>
      <c r="J1040">
        <v>0</v>
      </c>
      <c r="K1040">
        <v>5</v>
      </c>
      <c r="L1040">
        <v>0</v>
      </c>
      <c r="M1040">
        <f>region_summary__43[[#This Row],[REJECTED BY Admin Kabupaten]]+region_summary__43[[#This Row],[REJECTED BY Pengawas]]</f>
        <v>0</v>
      </c>
    </row>
    <row r="1041" spans="1:13" x14ac:dyDescent="0.25">
      <c r="A1041" s="5" t="s">
        <v>99</v>
      </c>
      <c r="B1041">
        <v>7172030012001900</v>
      </c>
      <c r="C1041">
        <v>76</v>
      </c>
      <c r="D1041">
        <v>35</v>
      </c>
      <c r="E1041">
        <v>9</v>
      </c>
      <c r="F1041">
        <v>0</v>
      </c>
      <c r="G1041">
        <v>25</v>
      </c>
      <c r="H1041">
        <v>0</v>
      </c>
      <c r="I1041">
        <v>0</v>
      </c>
      <c r="J1041">
        <v>0</v>
      </c>
      <c r="K1041">
        <v>7</v>
      </c>
      <c r="L1041">
        <v>0</v>
      </c>
      <c r="M1041">
        <f>region_summary__43[[#This Row],[REJECTED BY Admin Kabupaten]]+region_summary__43[[#This Row],[REJECTED BY Pengawas]]</f>
        <v>0</v>
      </c>
    </row>
    <row r="1042" spans="1:13" x14ac:dyDescent="0.25">
      <c r="A1042" s="5" t="s">
        <v>99</v>
      </c>
      <c r="B1042">
        <v>7172030012001800</v>
      </c>
      <c r="C1042">
        <v>73</v>
      </c>
      <c r="D1042">
        <v>38</v>
      </c>
      <c r="E1042">
        <v>0</v>
      </c>
      <c r="F1042">
        <v>0</v>
      </c>
      <c r="G1042">
        <v>34</v>
      </c>
      <c r="H1042">
        <v>0</v>
      </c>
      <c r="I1042">
        <v>0</v>
      </c>
      <c r="J1042">
        <v>0</v>
      </c>
      <c r="K1042">
        <v>1</v>
      </c>
      <c r="L1042">
        <v>0</v>
      </c>
      <c r="M1042">
        <f>region_summary__43[[#This Row],[REJECTED BY Admin Kabupaten]]+region_summary__43[[#This Row],[REJECTED BY Pengawas]]</f>
        <v>0</v>
      </c>
    </row>
    <row r="1043" spans="1:13" x14ac:dyDescent="0.25">
      <c r="A1043" s="5" t="s">
        <v>99</v>
      </c>
      <c r="B1043">
        <v>7172030012001600</v>
      </c>
      <c r="C1043">
        <v>60</v>
      </c>
      <c r="D1043">
        <v>36</v>
      </c>
      <c r="E1043">
        <v>0</v>
      </c>
      <c r="F1043">
        <v>0</v>
      </c>
      <c r="G1043">
        <v>24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region_summary__43[[#This Row],[REJECTED BY Admin Kabupaten]]+region_summary__43[[#This Row],[REJECTED BY Pengawas]]</f>
        <v>0</v>
      </c>
    </row>
    <row r="1044" spans="1:13" x14ac:dyDescent="0.25">
      <c r="A1044" s="5" t="s">
        <v>99</v>
      </c>
      <c r="B1044">
        <v>7172030013000300</v>
      </c>
      <c r="C1044">
        <v>51</v>
      </c>
      <c r="D1044">
        <v>22</v>
      </c>
      <c r="E1044">
        <v>6</v>
      </c>
      <c r="F1044">
        <v>0</v>
      </c>
      <c r="G1044">
        <v>19</v>
      </c>
      <c r="H1044">
        <v>0</v>
      </c>
      <c r="I1044">
        <v>0</v>
      </c>
      <c r="J1044">
        <v>0</v>
      </c>
      <c r="K1044">
        <v>4</v>
      </c>
      <c r="L1044">
        <v>0</v>
      </c>
      <c r="M1044">
        <f>region_summary__43[[#This Row],[REJECTED BY Admin Kabupaten]]+region_summary__43[[#This Row],[REJECTED BY Pengawas]]</f>
        <v>0</v>
      </c>
    </row>
    <row r="1045" spans="1:13" x14ac:dyDescent="0.25">
      <c r="A1045" s="5" t="s">
        <v>99</v>
      </c>
      <c r="B1045">
        <v>7172030012002000</v>
      </c>
      <c r="C1045">
        <v>50</v>
      </c>
      <c r="D1045">
        <v>16</v>
      </c>
      <c r="E1045">
        <v>2</v>
      </c>
      <c r="F1045">
        <v>5</v>
      </c>
      <c r="G1045">
        <v>23</v>
      </c>
      <c r="H1045">
        <v>0</v>
      </c>
      <c r="I1045">
        <v>0</v>
      </c>
      <c r="J1045">
        <v>0</v>
      </c>
      <c r="K1045">
        <v>4</v>
      </c>
      <c r="L1045">
        <v>0</v>
      </c>
      <c r="M1045">
        <f>region_summary__43[[#This Row],[REJECTED BY Admin Kabupaten]]+region_summary__43[[#This Row],[REJECTED BY Pengawas]]</f>
        <v>0</v>
      </c>
    </row>
    <row r="1046" spans="1:13" x14ac:dyDescent="0.25">
      <c r="A1046" s="5" t="s">
        <v>118</v>
      </c>
      <c r="B1046">
        <v>7172031004001700</v>
      </c>
      <c r="C1046">
        <v>141</v>
      </c>
      <c r="D1046">
        <v>4</v>
      </c>
      <c r="E1046">
        <v>0</v>
      </c>
      <c r="F1046">
        <v>0</v>
      </c>
      <c r="G1046">
        <v>137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region_summary__43[[#This Row],[REJECTED BY Admin Kabupaten]]+region_summary__43[[#This Row],[REJECTED BY Pengawas]]</f>
        <v>0</v>
      </c>
    </row>
    <row r="1047" spans="1:13" x14ac:dyDescent="0.25">
      <c r="A1047" s="5" t="s">
        <v>118</v>
      </c>
      <c r="B1047">
        <v>7172031004001400</v>
      </c>
      <c r="C1047">
        <v>129</v>
      </c>
      <c r="D1047">
        <v>64</v>
      </c>
      <c r="E1047">
        <v>4</v>
      </c>
      <c r="F1047">
        <v>6</v>
      </c>
      <c r="G1047">
        <v>55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region_summary__43[[#This Row],[REJECTED BY Admin Kabupaten]]+region_summary__43[[#This Row],[REJECTED BY Pengawas]]</f>
        <v>0</v>
      </c>
    </row>
    <row r="1048" spans="1:13" x14ac:dyDescent="0.25">
      <c r="A1048" s="5" t="s">
        <v>118</v>
      </c>
      <c r="B1048">
        <v>7172031004001800</v>
      </c>
      <c r="C1048">
        <v>91</v>
      </c>
      <c r="D1048">
        <v>25</v>
      </c>
      <c r="E1048">
        <v>0</v>
      </c>
      <c r="F1048">
        <v>0</v>
      </c>
      <c r="G1048">
        <v>66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f>region_summary__43[[#This Row],[REJECTED BY Admin Kabupaten]]+region_summary__43[[#This Row],[REJECTED BY Pengawas]]</f>
        <v>0</v>
      </c>
    </row>
    <row r="1049" spans="1:13" x14ac:dyDescent="0.25">
      <c r="A1049" s="5" t="s">
        <v>118</v>
      </c>
      <c r="B1049">
        <v>7172031004001300</v>
      </c>
      <c r="C1049">
        <v>66</v>
      </c>
      <c r="D1049">
        <v>32</v>
      </c>
      <c r="E1049">
        <v>4</v>
      </c>
      <c r="F1049">
        <v>6</v>
      </c>
      <c r="G1049">
        <v>17</v>
      </c>
      <c r="H1049">
        <v>0</v>
      </c>
      <c r="I1049">
        <v>0</v>
      </c>
      <c r="J1049">
        <v>0</v>
      </c>
      <c r="K1049">
        <v>7</v>
      </c>
      <c r="L1049">
        <v>0</v>
      </c>
      <c r="M1049">
        <f>region_summary__43[[#This Row],[REJECTED BY Admin Kabupaten]]+region_summary__43[[#This Row],[REJECTED BY Pengawas]]</f>
        <v>0</v>
      </c>
    </row>
    <row r="1050" spans="1:13" x14ac:dyDescent="0.25">
      <c r="A1050" s="5" t="s">
        <v>118</v>
      </c>
      <c r="B1050">
        <v>7172031004001200</v>
      </c>
      <c r="C1050">
        <v>58</v>
      </c>
      <c r="D1050">
        <v>41</v>
      </c>
      <c r="E1050">
        <v>0</v>
      </c>
      <c r="F1050">
        <v>17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region_summary__43[[#This Row],[REJECTED BY Admin Kabupaten]]+region_summary__43[[#This Row],[REJECTED BY Pengawas]]</f>
        <v>0</v>
      </c>
    </row>
    <row r="1051" spans="1:13" x14ac:dyDescent="0.25">
      <c r="A1051" s="5" t="s">
        <v>118</v>
      </c>
      <c r="B1051">
        <v>7172031004001600</v>
      </c>
      <c r="C1051">
        <v>48</v>
      </c>
      <c r="D1051">
        <v>27</v>
      </c>
      <c r="E1051">
        <v>0</v>
      </c>
      <c r="F1051">
        <v>0</v>
      </c>
      <c r="G1051">
        <v>21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region_summary__43[[#This Row],[REJECTED BY Admin Kabupaten]]+region_summary__43[[#This Row],[REJECTED BY Pengawas]]</f>
        <v>0</v>
      </c>
    </row>
    <row r="1052" spans="1:13" x14ac:dyDescent="0.25">
      <c r="A1052" s="5" t="s">
        <v>118</v>
      </c>
      <c r="B1052">
        <v>7172031004001500</v>
      </c>
      <c r="C1052">
        <v>41</v>
      </c>
      <c r="D1052">
        <v>36</v>
      </c>
      <c r="E1052">
        <v>0</v>
      </c>
      <c r="F1052">
        <v>0</v>
      </c>
      <c r="G1052">
        <v>5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region_summary__43[[#This Row],[REJECTED BY Admin Kabupaten]]+region_summary__43[[#This Row],[REJECTED BY Pengawas]]</f>
        <v>0</v>
      </c>
    </row>
    <row r="1053" spans="1:13" x14ac:dyDescent="0.25">
      <c r="A1053" s="5" t="s">
        <v>118</v>
      </c>
      <c r="B1053">
        <v>7172031004100200</v>
      </c>
      <c r="C1053">
        <v>2</v>
      </c>
      <c r="D1053">
        <v>0</v>
      </c>
      <c r="E1053">
        <v>0</v>
      </c>
      <c r="F1053">
        <v>0</v>
      </c>
      <c r="G1053">
        <v>2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region_summary__43[[#This Row],[REJECTED BY Admin Kabupaten]]+region_summary__43[[#This Row],[REJECTED BY Pengawas]]</f>
        <v>0</v>
      </c>
    </row>
    <row r="1054" spans="1:13" x14ac:dyDescent="0.25">
      <c r="A1054" s="5" t="s">
        <v>60</v>
      </c>
      <c r="B1054">
        <v>7172012004001900</v>
      </c>
      <c r="C1054">
        <v>180</v>
      </c>
      <c r="D1054">
        <v>174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2</v>
      </c>
      <c r="L1054">
        <v>0</v>
      </c>
      <c r="M1054">
        <f>region_summary__43[[#This Row],[REJECTED BY Admin Kabupaten]]+region_summary__43[[#This Row],[REJECTED BY Pengawas]]</f>
        <v>0</v>
      </c>
    </row>
    <row r="1055" spans="1:13" x14ac:dyDescent="0.25">
      <c r="A1055" s="5" t="s">
        <v>60</v>
      </c>
      <c r="B1055">
        <v>7172012004000900</v>
      </c>
      <c r="C1055">
        <v>136</v>
      </c>
      <c r="D1055">
        <v>1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1</v>
      </c>
      <c r="L1055">
        <v>0</v>
      </c>
      <c r="M1055">
        <f>region_summary__43[[#This Row],[REJECTED BY Admin Kabupaten]]+region_summary__43[[#This Row],[REJECTED BY Pengawas]]</f>
        <v>0</v>
      </c>
    </row>
    <row r="1056" spans="1:13" x14ac:dyDescent="0.25">
      <c r="A1056" s="5" t="s">
        <v>60</v>
      </c>
      <c r="B1056">
        <v>7172012004001802</v>
      </c>
      <c r="C1056">
        <v>107</v>
      </c>
      <c r="D1056">
        <v>8</v>
      </c>
      <c r="E1056">
        <v>0</v>
      </c>
      <c r="F1056">
        <v>0</v>
      </c>
      <c r="G1056">
        <v>99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region_summary__43[[#This Row],[REJECTED BY Admin Kabupaten]]+region_summary__43[[#This Row],[REJECTED BY Pengawas]]</f>
        <v>0</v>
      </c>
    </row>
    <row r="1057" spans="1:13" x14ac:dyDescent="0.25">
      <c r="A1057" s="5" t="s">
        <v>60</v>
      </c>
      <c r="B1057">
        <v>7172012004002101</v>
      </c>
      <c r="C1057">
        <v>104</v>
      </c>
      <c r="D1057">
        <v>13</v>
      </c>
      <c r="E1057">
        <v>0</v>
      </c>
      <c r="F1057">
        <v>0</v>
      </c>
      <c r="G1057">
        <v>90</v>
      </c>
      <c r="H1057">
        <v>0</v>
      </c>
      <c r="I1057">
        <v>0</v>
      </c>
      <c r="J1057">
        <v>0</v>
      </c>
      <c r="K1057">
        <v>1</v>
      </c>
      <c r="L1057">
        <v>0</v>
      </c>
      <c r="M1057">
        <f>region_summary__43[[#This Row],[REJECTED BY Admin Kabupaten]]+region_summary__43[[#This Row],[REJECTED BY Pengawas]]</f>
        <v>0</v>
      </c>
    </row>
    <row r="1058" spans="1:13" x14ac:dyDescent="0.25">
      <c r="A1058" s="5" t="s">
        <v>60</v>
      </c>
      <c r="B1058">
        <v>7172012004001400</v>
      </c>
      <c r="C1058">
        <v>88</v>
      </c>
      <c r="D1058">
        <v>51</v>
      </c>
      <c r="E1058">
        <v>9</v>
      </c>
      <c r="F1058">
        <v>0</v>
      </c>
      <c r="G1058">
        <v>21</v>
      </c>
      <c r="H1058">
        <v>0</v>
      </c>
      <c r="I1058">
        <v>0</v>
      </c>
      <c r="J1058">
        <v>0</v>
      </c>
      <c r="K1058">
        <v>7</v>
      </c>
      <c r="L1058">
        <v>0</v>
      </c>
      <c r="M1058">
        <f>region_summary__43[[#This Row],[REJECTED BY Admin Kabupaten]]+region_summary__43[[#This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opLeftCell="A91" workbookViewId="0">
      <selection activeCell="H141" sqref="H141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383</v>
      </c>
      <c r="B1" t="s">
        <v>245</v>
      </c>
      <c r="C1" t="s">
        <v>246</v>
      </c>
      <c r="D1" t="s">
        <v>384</v>
      </c>
      <c r="E1" t="s">
        <v>395</v>
      </c>
      <c r="F1" t="s">
        <v>385</v>
      </c>
      <c r="G1" t="s">
        <v>386</v>
      </c>
      <c r="H1" t="s">
        <v>382</v>
      </c>
      <c r="I1" s="2" t="s">
        <v>396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296</v>
      </c>
      <c r="F2">
        <v>297</v>
      </c>
      <c r="G2">
        <f>VLOOKUP(A2,PPL!B:M,12,0)</f>
        <v>297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304</v>
      </c>
      <c r="F3">
        <v>309</v>
      </c>
      <c r="G3">
        <f>VLOOKUP(A3,PPL!B:M,12,0)</f>
        <v>310</v>
      </c>
      <c r="H3">
        <f t="shared" ref="H3:H65" si="0">G3-F3</f>
        <v>1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430</v>
      </c>
      <c r="F4">
        <v>436</v>
      </c>
      <c r="G4">
        <f>VLOOKUP(A4,PPL!B:M,12,0)</f>
        <v>443</v>
      </c>
      <c r="H4">
        <f t="shared" si="0"/>
        <v>7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296</v>
      </c>
      <c r="F5">
        <v>309</v>
      </c>
      <c r="G5">
        <f>VLOOKUP(A5,PPL!B:M,12,0)</f>
        <v>334</v>
      </c>
      <c r="H5">
        <f t="shared" si="0"/>
        <v>25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309</v>
      </c>
      <c r="F6">
        <v>316</v>
      </c>
      <c r="G6">
        <f>VLOOKUP(A6,PPL!B:M,12,0)</f>
        <v>320</v>
      </c>
      <c r="H6">
        <f t="shared" si="0"/>
        <v>4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305</v>
      </c>
      <c r="F7">
        <v>319</v>
      </c>
      <c r="G7">
        <f>VLOOKUP(A7,PPL!B:M,12,0)</f>
        <v>326</v>
      </c>
      <c r="H7">
        <f t="shared" si="0"/>
        <v>7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379</v>
      </c>
      <c r="F8">
        <v>408</v>
      </c>
      <c r="G8">
        <f>VLOOKUP(A8,PPL!B:M,12,0)</f>
        <v>428</v>
      </c>
      <c r="H8">
        <f t="shared" si="0"/>
        <v>20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266</v>
      </c>
      <c r="F9">
        <v>276</v>
      </c>
      <c r="G9">
        <f>VLOOKUP(A9,PPL!B:M,12,0)</f>
        <v>276</v>
      </c>
      <c r="H9">
        <f t="shared" si="0"/>
        <v>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309</v>
      </c>
      <c r="F10">
        <v>323</v>
      </c>
      <c r="G10">
        <f>VLOOKUP(A10,PPL!B:M,12,0)</f>
        <v>336</v>
      </c>
      <c r="H10">
        <f t="shared" si="0"/>
        <v>13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309</v>
      </c>
      <c r="F11">
        <v>310</v>
      </c>
      <c r="G11">
        <f>VLOOKUP(A11,PPL!B:M,12,0)</f>
        <v>310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489</v>
      </c>
      <c r="F12">
        <v>510</v>
      </c>
      <c r="G12">
        <f>VLOOKUP(A12,PPL!B:M,12,0)</f>
        <v>519</v>
      </c>
      <c r="H12">
        <f t="shared" si="0"/>
        <v>9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314</v>
      </c>
      <c r="F13">
        <v>314</v>
      </c>
      <c r="G13">
        <f>VLOOKUP(A13,PPL!B:M,12,0)</f>
        <v>314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295</v>
      </c>
      <c r="F14">
        <v>298</v>
      </c>
      <c r="G14">
        <f>VLOOKUP(A14,PPL!B:M,12,0)</f>
        <v>299</v>
      </c>
      <c r="H14">
        <f t="shared" si="0"/>
        <v>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337</v>
      </c>
      <c r="F15">
        <v>344</v>
      </c>
      <c r="G15">
        <f>VLOOKUP(A15,PPL!B:M,12,0)</f>
        <v>361</v>
      </c>
      <c r="H15">
        <f t="shared" si="0"/>
        <v>17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300</v>
      </c>
      <c r="F16">
        <v>300</v>
      </c>
      <c r="G16">
        <f>VLOOKUP(A16,PPL!B:M,12,0)</f>
        <v>300</v>
      </c>
      <c r="H16">
        <f t="shared" si="0"/>
        <v>0</v>
      </c>
      <c r="I16" t="b">
        <f t="shared" si="1"/>
        <v>1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291</v>
      </c>
      <c r="F17">
        <v>291</v>
      </c>
      <c r="G17">
        <f>VLOOKUP(A17,PPL!B:M,12,0)</f>
        <v>291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318</v>
      </c>
      <c r="F18">
        <v>328</v>
      </c>
      <c r="G18">
        <f>VLOOKUP(A18,PPL!B:M,12,0)</f>
        <v>331</v>
      </c>
      <c r="H18">
        <f t="shared" si="0"/>
        <v>3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335</v>
      </c>
      <c r="F19">
        <v>351</v>
      </c>
      <c r="G19">
        <f>VLOOKUP(A19,PPL!B:M,12,0)</f>
        <v>354</v>
      </c>
      <c r="H19">
        <f t="shared" si="0"/>
        <v>3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322</v>
      </c>
      <c r="F20">
        <v>337</v>
      </c>
      <c r="G20">
        <f>VLOOKUP(A20,PPL!B:M,12,0)</f>
        <v>338</v>
      </c>
      <c r="H20">
        <f t="shared" si="0"/>
        <v>1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276</v>
      </c>
      <c r="F21">
        <v>314</v>
      </c>
      <c r="G21">
        <f>VLOOKUP(A21,PPL!B:M,12,0)</f>
        <v>323</v>
      </c>
      <c r="H21">
        <f t="shared" si="0"/>
        <v>9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288</v>
      </c>
      <c r="F22">
        <v>288</v>
      </c>
      <c r="G22">
        <f>VLOOKUP(A22,PPL!B:M,12,0)</f>
        <v>288</v>
      </c>
      <c r="H22">
        <f t="shared" si="0"/>
        <v>0</v>
      </c>
      <c r="I22" t="b">
        <f t="shared" si="1"/>
        <v>1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304</v>
      </c>
      <c r="F23">
        <v>325</v>
      </c>
      <c r="G23">
        <f>VLOOKUP(A23,PPL!B:M,12,0)</f>
        <v>326</v>
      </c>
      <c r="H23">
        <f t="shared" si="0"/>
        <v>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351</v>
      </c>
      <c r="F24">
        <v>374</v>
      </c>
      <c r="G24">
        <f>VLOOKUP(A24,PPL!B:M,12,0)</f>
        <v>382</v>
      </c>
      <c r="H24">
        <f t="shared" si="0"/>
        <v>8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304</v>
      </c>
      <c r="F25">
        <v>317</v>
      </c>
      <c r="G25">
        <f>VLOOKUP(A25,PPL!B:M,12,0)</f>
        <v>323</v>
      </c>
      <c r="H25">
        <f t="shared" si="0"/>
        <v>6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339</v>
      </c>
      <c r="F26">
        <v>370</v>
      </c>
      <c r="G26">
        <f>VLOOKUP(A26,PPL!B:M,12,0)</f>
        <v>394</v>
      </c>
      <c r="H26">
        <f t="shared" si="0"/>
        <v>24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293</v>
      </c>
      <c r="F27">
        <v>317</v>
      </c>
      <c r="G27">
        <f>VLOOKUP(A27,PPL!B:M,12,0)</f>
        <v>322</v>
      </c>
      <c r="H27">
        <f t="shared" si="0"/>
        <v>5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352</v>
      </c>
      <c r="F28">
        <v>352</v>
      </c>
      <c r="G28">
        <f>VLOOKUP(A28,PPL!B:M,12,0)</f>
        <v>358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266</v>
      </c>
      <c r="F29">
        <v>276</v>
      </c>
      <c r="G29">
        <f>VLOOKUP(A29,PPL!B:M,12,0)</f>
        <v>278</v>
      </c>
      <c r="H29">
        <f t="shared" si="0"/>
        <v>2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294</v>
      </c>
      <c r="F30">
        <v>294</v>
      </c>
      <c r="G30">
        <f>VLOOKUP(A30,PPL!B:M,12,0)</f>
        <v>294</v>
      </c>
      <c r="H30">
        <f t="shared" si="0"/>
        <v>0</v>
      </c>
      <c r="I30" t="b">
        <f t="shared" si="1"/>
        <v>1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310</v>
      </c>
      <c r="F31">
        <v>314</v>
      </c>
      <c r="G31">
        <f>VLOOKUP(A31,PPL!B:M,12,0)</f>
        <v>322</v>
      </c>
      <c r="H31">
        <f t="shared" si="0"/>
        <v>8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262</v>
      </c>
      <c r="F32">
        <v>263</v>
      </c>
      <c r="G32">
        <f>VLOOKUP(A32,PPL!B:M,12,0)</f>
        <v>264</v>
      </c>
      <c r="H32">
        <f t="shared" si="0"/>
        <v>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359</v>
      </c>
      <c r="F33">
        <v>374</v>
      </c>
      <c r="G33">
        <f>VLOOKUP(A33,PPL!B:M,12,0)</f>
        <v>383</v>
      </c>
      <c r="H33">
        <f t="shared" si="0"/>
        <v>9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324</v>
      </c>
      <c r="F34">
        <v>349</v>
      </c>
      <c r="G34">
        <f>VLOOKUP(A34,PPL!B:M,12,0)</f>
        <v>353</v>
      </c>
      <c r="H34">
        <f t="shared" si="0"/>
        <v>4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325</v>
      </c>
      <c r="F35">
        <v>336</v>
      </c>
      <c r="G35">
        <f>VLOOKUP(A35,PPL!B:M,12,0)</f>
        <v>347</v>
      </c>
      <c r="H35">
        <f t="shared" si="0"/>
        <v>11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221</v>
      </c>
      <c r="F36">
        <v>289</v>
      </c>
      <c r="G36">
        <f>VLOOKUP(A36,PPL!B:M,12,0)</f>
        <v>299</v>
      </c>
      <c r="H36">
        <f t="shared" si="0"/>
        <v>10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261</v>
      </c>
      <c r="F37">
        <v>261</v>
      </c>
      <c r="G37">
        <f>VLOOKUP(A37,PPL!B:M,12,0)</f>
        <v>261</v>
      </c>
      <c r="H37">
        <f t="shared" si="0"/>
        <v>0</v>
      </c>
      <c r="I37" t="b">
        <f t="shared" si="1"/>
        <v>1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444</v>
      </c>
      <c r="F38">
        <v>497</v>
      </c>
      <c r="G38">
        <f>VLOOKUP(A38,PPL!B:M,12,0)</f>
        <v>516</v>
      </c>
      <c r="H38">
        <f t="shared" si="0"/>
        <v>19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273</v>
      </c>
      <c r="F39">
        <v>275</v>
      </c>
      <c r="G39">
        <f>VLOOKUP(A39,PPL!B:M,12,0)</f>
        <v>277</v>
      </c>
      <c r="H39">
        <f t="shared" si="0"/>
        <v>2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319</v>
      </c>
      <c r="F40">
        <v>332</v>
      </c>
      <c r="G40">
        <f>VLOOKUP(A40,PPL!B:M,12,0)</f>
        <v>333</v>
      </c>
      <c r="H40">
        <f t="shared" si="0"/>
        <v>1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286</v>
      </c>
      <c r="F41">
        <v>294</v>
      </c>
      <c r="G41">
        <f>VLOOKUP(A41,PPL!B:M,12,0)</f>
        <v>294</v>
      </c>
      <c r="H41">
        <f t="shared" si="0"/>
        <v>0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279</v>
      </c>
      <c r="F42">
        <v>284</v>
      </c>
      <c r="G42">
        <f>VLOOKUP(A42,PPL!B:M,12,0)</f>
        <v>284</v>
      </c>
      <c r="H42">
        <f t="shared" si="0"/>
        <v>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149</v>
      </c>
      <c r="F43">
        <v>152</v>
      </c>
      <c r="G43">
        <f>VLOOKUP(A43,PPL!B:M,12,0)</f>
        <v>164</v>
      </c>
      <c r="H43">
        <f t="shared" si="0"/>
        <v>12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325</v>
      </c>
      <c r="F44">
        <v>325</v>
      </c>
      <c r="G44">
        <f>VLOOKUP(A44,PPL!B:M,12,0)</f>
        <v>325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334</v>
      </c>
      <c r="F45">
        <v>384</v>
      </c>
      <c r="G45">
        <f>VLOOKUP(A45,PPL!B:M,12,0)</f>
        <v>399</v>
      </c>
      <c r="H45">
        <f t="shared" si="0"/>
        <v>15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283</v>
      </c>
      <c r="F46">
        <v>283</v>
      </c>
      <c r="G46">
        <f>VLOOKUP(A46,PPL!B:M,12,0)</f>
        <v>283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282</v>
      </c>
      <c r="F47">
        <v>290</v>
      </c>
      <c r="G47">
        <f>VLOOKUP(A47,PPL!B:M,12,0)</f>
        <v>298</v>
      </c>
      <c r="H47">
        <f t="shared" si="0"/>
        <v>8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267</v>
      </c>
      <c r="F48">
        <v>270</v>
      </c>
      <c r="G48">
        <f>VLOOKUP(A48,PPL!B:M,12,0)</f>
        <v>271</v>
      </c>
      <c r="H48">
        <f t="shared" si="0"/>
        <v>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280</v>
      </c>
      <c r="F49">
        <v>300</v>
      </c>
      <c r="G49">
        <f>VLOOKUP(A49,PPL!B:M,12,0)</f>
        <v>305</v>
      </c>
      <c r="H49">
        <f t="shared" si="0"/>
        <v>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270</v>
      </c>
      <c r="F50">
        <v>270</v>
      </c>
      <c r="G50">
        <f>VLOOKUP(A50,PPL!B:M,12,0)</f>
        <v>296</v>
      </c>
      <c r="H50">
        <f t="shared" si="0"/>
        <v>26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269</v>
      </c>
      <c r="F51">
        <v>275</v>
      </c>
      <c r="G51">
        <f>VLOOKUP(A51,PPL!B:M,12,0)</f>
        <v>276</v>
      </c>
      <c r="H51">
        <f t="shared" si="0"/>
        <v>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263</v>
      </c>
      <c r="F52">
        <v>267</v>
      </c>
      <c r="G52">
        <f>VLOOKUP(A52,PPL!B:M,12,0)</f>
        <v>275</v>
      </c>
      <c r="H52">
        <f t="shared" si="0"/>
        <v>8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274</v>
      </c>
      <c r="F53">
        <v>276</v>
      </c>
      <c r="G53">
        <f>VLOOKUP(A53,PPL!B:M,12,0)</f>
        <v>279</v>
      </c>
      <c r="H53">
        <f t="shared" si="0"/>
        <v>3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300</v>
      </c>
      <c r="F54">
        <v>325</v>
      </c>
      <c r="G54">
        <f>VLOOKUP(A54,PPL!B:M,12,0)</f>
        <v>345</v>
      </c>
      <c r="H54">
        <f t="shared" si="0"/>
        <v>20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260</v>
      </c>
      <c r="F55">
        <v>266</v>
      </c>
      <c r="G55">
        <f>VLOOKUP(A55,PPL!B:M,12,0)</f>
        <v>276</v>
      </c>
      <c r="H55">
        <f t="shared" si="0"/>
        <v>10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376</v>
      </c>
      <c r="F56">
        <v>393</v>
      </c>
      <c r="G56">
        <f>VLOOKUP(A56,PPL!B:M,12,0)</f>
        <v>409</v>
      </c>
      <c r="H56">
        <f t="shared" si="0"/>
        <v>16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253</v>
      </c>
      <c r="F57">
        <v>256</v>
      </c>
      <c r="G57">
        <f>VLOOKUP(A57,PPL!B:M,12,0)</f>
        <v>258</v>
      </c>
      <c r="H57">
        <f t="shared" si="0"/>
        <v>2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285</v>
      </c>
      <c r="F58">
        <v>302</v>
      </c>
      <c r="G58">
        <f>VLOOKUP(A58,PPL!B:M,12,0)</f>
        <v>306</v>
      </c>
      <c r="H58">
        <f t="shared" si="0"/>
        <v>4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256</v>
      </c>
      <c r="F59">
        <v>271</v>
      </c>
      <c r="G59">
        <f>VLOOKUP(A59,PPL!B:M,12,0)</f>
        <v>273</v>
      </c>
      <c r="H59">
        <f t="shared" si="0"/>
        <v>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332</v>
      </c>
      <c r="F60">
        <v>351</v>
      </c>
      <c r="G60">
        <f>VLOOKUP(A60,PPL!B:M,12,0)</f>
        <v>384</v>
      </c>
      <c r="H60">
        <f t="shared" si="0"/>
        <v>33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265</v>
      </c>
      <c r="F61">
        <v>284</v>
      </c>
      <c r="G61">
        <f>VLOOKUP(A61,PPL!B:M,12,0)</f>
        <v>296</v>
      </c>
      <c r="H61">
        <f t="shared" si="0"/>
        <v>12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277</v>
      </c>
      <c r="F62">
        <v>292</v>
      </c>
      <c r="G62">
        <f>VLOOKUP(A62,PPL!B:M,12,0)</f>
        <v>293</v>
      </c>
      <c r="H62">
        <f t="shared" si="0"/>
        <v>1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291</v>
      </c>
      <c r="F63">
        <v>312</v>
      </c>
      <c r="G63">
        <f>VLOOKUP(A63,PPL!B:M,12,0)</f>
        <v>329</v>
      </c>
      <c r="H63">
        <f t="shared" si="0"/>
        <v>17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291</v>
      </c>
      <c r="F64">
        <v>300</v>
      </c>
      <c r="G64">
        <f>VLOOKUP(A64,PPL!B:M,12,0)</f>
        <v>307</v>
      </c>
      <c r="H64">
        <f t="shared" si="0"/>
        <v>7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292</v>
      </c>
      <c r="F65">
        <v>293</v>
      </c>
      <c r="G65">
        <f>VLOOKUP(A65,PPL!B:M,12,0)</f>
        <v>302</v>
      </c>
      <c r="H65">
        <f t="shared" si="0"/>
        <v>9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232</v>
      </c>
      <c r="F66">
        <v>291</v>
      </c>
      <c r="G66">
        <f>VLOOKUP(A66,PPL!B:M,12,0)</f>
        <v>306</v>
      </c>
      <c r="H66">
        <f t="shared" ref="H66:H129" si="2">G66-F66</f>
        <v>15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292</v>
      </c>
      <c r="F67">
        <v>305</v>
      </c>
      <c r="G67">
        <f>VLOOKUP(A67,PPL!B:M,12,0)</f>
        <v>314</v>
      </c>
      <c r="H67">
        <f t="shared" si="2"/>
        <v>9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266</v>
      </c>
      <c r="F68">
        <v>278</v>
      </c>
      <c r="G68">
        <f>VLOOKUP(A68,PPL!B:M,12,0)</f>
        <v>282</v>
      </c>
      <c r="H68">
        <f t="shared" si="2"/>
        <v>4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263</v>
      </c>
      <c r="F69">
        <v>263</v>
      </c>
      <c r="G69">
        <f>VLOOKUP(A69,PPL!B:M,12,0)</f>
        <v>271</v>
      </c>
      <c r="H69">
        <f t="shared" si="2"/>
        <v>8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200</v>
      </c>
      <c r="F70">
        <v>214</v>
      </c>
      <c r="G70">
        <f>VLOOKUP(A70,PPL!B:M,12,0)</f>
        <v>228</v>
      </c>
      <c r="H70">
        <f t="shared" si="2"/>
        <v>14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192</v>
      </c>
      <c r="F71">
        <v>194</v>
      </c>
      <c r="G71">
        <f>VLOOKUP(A71,PPL!B:M,12,0)</f>
        <v>195</v>
      </c>
      <c r="H71">
        <f t="shared" si="2"/>
        <v>1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202</v>
      </c>
      <c r="F72">
        <v>207</v>
      </c>
      <c r="G72">
        <f>VLOOKUP(A72,PPL!B:M,12,0)</f>
        <v>217</v>
      </c>
      <c r="H72">
        <f t="shared" si="2"/>
        <v>10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189</v>
      </c>
      <c r="F73">
        <v>191</v>
      </c>
      <c r="G73">
        <f>VLOOKUP(A73,PPL!B:M,12,0)</f>
        <v>201</v>
      </c>
      <c r="H73">
        <f t="shared" si="2"/>
        <v>10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238</v>
      </c>
      <c r="F74">
        <v>248</v>
      </c>
      <c r="G74">
        <f>VLOOKUP(A74,PPL!B:M,12,0)</f>
        <v>259</v>
      </c>
      <c r="H74">
        <f t="shared" si="2"/>
        <v>11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209</v>
      </c>
      <c r="F75">
        <v>220</v>
      </c>
      <c r="G75">
        <f>VLOOKUP(A75,PPL!B:M,12,0)</f>
        <v>220</v>
      </c>
      <c r="H75">
        <f t="shared" si="2"/>
        <v>0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204</v>
      </c>
      <c r="F76">
        <v>227</v>
      </c>
      <c r="G76">
        <f>VLOOKUP(A76,PPL!B:M,12,0)</f>
        <v>227</v>
      </c>
      <c r="H76">
        <f t="shared" si="2"/>
        <v>0</v>
      </c>
      <c r="I76" t="b">
        <f t="shared" si="3"/>
        <v>0</v>
      </c>
    </row>
    <row r="77" spans="1:9" x14ac:dyDescent="0.25">
      <c r="A77" t="s">
        <v>402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221</v>
      </c>
      <c r="F77">
        <v>241</v>
      </c>
      <c r="G77">
        <f>VLOOKUP(A77,PPL!B:M,12,0)</f>
        <v>247</v>
      </c>
      <c r="H77">
        <f t="shared" si="2"/>
        <v>6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207</v>
      </c>
      <c r="F78">
        <v>214</v>
      </c>
      <c r="G78">
        <f>VLOOKUP(A78,PPL!B:M,12,0)</f>
        <v>227</v>
      </c>
      <c r="H78">
        <f t="shared" si="2"/>
        <v>13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96</v>
      </c>
      <c r="F79">
        <v>171</v>
      </c>
      <c r="G79">
        <f>VLOOKUP(A79,PPL!B:M,12,0)</f>
        <v>171</v>
      </c>
      <c r="H79">
        <f t="shared" si="2"/>
        <v>0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132</v>
      </c>
      <c r="F80">
        <v>198</v>
      </c>
      <c r="G80">
        <f>VLOOKUP(A80,PPL!B:M,12,0)</f>
        <v>198</v>
      </c>
      <c r="H80">
        <f t="shared" si="2"/>
        <v>0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189</v>
      </c>
      <c r="F81">
        <v>189</v>
      </c>
      <c r="G81">
        <f>VLOOKUP(A81,PPL!B:M,12,0)</f>
        <v>197</v>
      </c>
      <c r="H81">
        <f t="shared" si="2"/>
        <v>8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187</v>
      </c>
      <c r="F82">
        <v>190</v>
      </c>
      <c r="G82">
        <f>VLOOKUP(A82,PPL!B:M,12,0)</f>
        <v>196</v>
      </c>
      <c r="H82">
        <f t="shared" si="2"/>
        <v>6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176</v>
      </c>
      <c r="F83">
        <v>187</v>
      </c>
      <c r="G83">
        <f>VLOOKUP(A83,PPL!B:M,12,0)</f>
        <v>199</v>
      </c>
      <c r="H83">
        <f t="shared" si="2"/>
        <v>12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186</v>
      </c>
      <c r="F84">
        <v>186</v>
      </c>
      <c r="G84">
        <f>VLOOKUP(A84,PPL!B:M,12,0)</f>
        <v>187</v>
      </c>
      <c r="H84">
        <f t="shared" si="2"/>
        <v>1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190</v>
      </c>
      <c r="F85">
        <v>190</v>
      </c>
      <c r="G85">
        <f>VLOOKUP(A85,PPL!B:M,12,0)</f>
        <v>200</v>
      </c>
      <c r="H85">
        <f t="shared" si="2"/>
        <v>10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283</v>
      </c>
      <c r="F86">
        <v>304</v>
      </c>
      <c r="G86">
        <f>VLOOKUP(A86,PPL!B:M,12,0)</f>
        <v>311</v>
      </c>
      <c r="H86">
        <f t="shared" si="2"/>
        <v>7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284</v>
      </c>
      <c r="F87">
        <v>284</v>
      </c>
      <c r="G87">
        <f>VLOOKUP(A87,PPL!B:M,12,0)</f>
        <v>296</v>
      </c>
      <c r="H87">
        <f t="shared" si="2"/>
        <v>12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272</v>
      </c>
      <c r="F88">
        <v>272</v>
      </c>
      <c r="G88">
        <f>VLOOKUP(A88,PPL!B:M,12,0)</f>
        <v>272</v>
      </c>
      <c r="H88">
        <f t="shared" si="2"/>
        <v>0</v>
      </c>
      <c r="I88" t="b">
        <f t="shared" si="3"/>
        <v>1</v>
      </c>
    </row>
    <row r="89" spans="1:9" x14ac:dyDescent="0.25">
      <c r="A89" t="s">
        <v>333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251</v>
      </c>
      <c r="F89">
        <v>262</v>
      </c>
      <c r="G89">
        <f>VLOOKUP(A89,PPL!B:M,12,0)</f>
        <v>266</v>
      </c>
      <c r="H89">
        <f t="shared" si="2"/>
        <v>4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244</v>
      </c>
      <c r="F90">
        <v>244</v>
      </c>
      <c r="G90">
        <f>VLOOKUP(A90,PPL!B:M,12,0)</f>
        <v>246</v>
      </c>
      <c r="H90">
        <f t="shared" si="2"/>
        <v>2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310</v>
      </c>
      <c r="F91">
        <v>327</v>
      </c>
      <c r="G91">
        <f>VLOOKUP(A91,PPL!B:M,12,0)</f>
        <v>336</v>
      </c>
      <c r="H91">
        <f t="shared" si="2"/>
        <v>9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287</v>
      </c>
      <c r="F92">
        <v>287</v>
      </c>
      <c r="G92">
        <f>VLOOKUP(A92,PPL!B:M,12,0)</f>
        <v>287</v>
      </c>
      <c r="H92">
        <f t="shared" si="2"/>
        <v>0</v>
      </c>
      <c r="I92" t="b">
        <f t="shared" si="3"/>
        <v>1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279</v>
      </c>
      <c r="F93">
        <v>280</v>
      </c>
      <c r="G93">
        <f>VLOOKUP(A93,PPL!B:M,12,0)</f>
        <v>284</v>
      </c>
      <c r="H93">
        <f t="shared" si="2"/>
        <v>4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315</v>
      </c>
      <c r="F94">
        <v>321</v>
      </c>
      <c r="G94">
        <f>VLOOKUP(A94,PPL!B:M,12,0)</f>
        <v>320</v>
      </c>
      <c r="H94">
        <f t="shared" si="2"/>
        <v>-1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307</v>
      </c>
      <c r="F95">
        <v>309</v>
      </c>
      <c r="G95">
        <f>VLOOKUP(A95,PPL!B:M,12,0)</f>
        <v>311</v>
      </c>
      <c r="H95">
        <f t="shared" si="2"/>
        <v>2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270</v>
      </c>
      <c r="F96">
        <v>271</v>
      </c>
      <c r="G96">
        <f>VLOOKUP(A96,PPL!B:M,12,0)</f>
        <v>271</v>
      </c>
      <c r="H96">
        <f t="shared" si="2"/>
        <v>0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264</v>
      </c>
      <c r="F97">
        <v>264</v>
      </c>
      <c r="G97">
        <f>VLOOKUP(A97,PPL!B:M,12,0)</f>
        <v>264</v>
      </c>
      <c r="H97">
        <f t="shared" si="2"/>
        <v>0</v>
      </c>
      <c r="I97" t="b">
        <f t="shared" si="3"/>
        <v>1</v>
      </c>
    </row>
    <row r="98" spans="1:9" x14ac:dyDescent="0.25">
      <c r="A98" t="s">
        <v>342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260</v>
      </c>
      <c r="F98">
        <v>263</v>
      </c>
      <c r="G98">
        <f>VLOOKUP(A98,PPL!B:M,12,0)</f>
        <v>263</v>
      </c>
      <c r="H98">
        <f t="shared" si="2"/>
        <v>0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365</v>
      </c>
      <c r="F99">
        <v>390</v>
      </c>
      <c r="G99">
        <f>VLOOKUP(A99,PPL!B:M,12,0)</f>
        <v>391</v>
      </c>
      <c r="H99">
        <f t="shared" si="2"/>
        <v>1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306</v>
      </c>
      <c r="F100">
        <v>317</v>
      </c>
      <c r="G100">
        <f>VLOOKUP(A100,PPL!B:M,12,0)</f>
        <v>334</v>
      </c>
      <c r="H100">
        <f t="shared" si="2"/>
        <v>17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229</v>
      </c>
      <c r="F101">
        <v>241</v>
      </c>
      <c r="G101">
        <f>VLOOKUP(A101,PPL!B:M,12,0)</f>
        <v>238</v>
      </c>
      <c r="H101">
        <f t="shared" si="2"/>
        <v>-3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285</v>
      </c>
      <c r="F102">
        <v>289</v>
      </c>
      <c r="G102">
        <f>VLOOKUP(A102,PPL!B:M,12,0)</f>
        <v>293</v>
      </c>
      <c r="H102">
        <f t="shared" si="2"/>
        <v>4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258</v>
      </c>
      <c r="F103">
        <v>266</v>
      </c>
      <c r="G103">
        <f>VLOOKUP(A103,PPL!B:M,12,0)</f>
        <v>266</v>
      </c>
      <c r="H103">
        <f t="shared" si="2"/>
        <v>0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299</v>
      </c>
      <c r="F104">
        <v>310</v>
      </c>
      <c r="G104">
        <f>VLOOKUP(A104,PPL!B:M,12,0)</f>
        <v>308</v>
      </c>
      <c r="H104">
        <f t="shared" si="2"/>
        <v>-2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288</v>
      </c>
      <c r="F105">
        <v>317</v>
      </c>
      <c r="G105">
        <f>VLOOKUP(A105,PPL!B:M,12,0)</f>
        <v>330</v>
      </c>
      <c r="H105">
        <f t="shared" si="2"/>
        <v>13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518</v>
      </c>
      <c r="F106">
        <v>525</v>
      </c>
      <c r="G106">
        <f>VLOOKUP(A106,PPL!B:M,12,0)</f>
        <v>540</v>
      </c>
      <c r="H106">
        <f t="shared" si="2"/>
        <v>15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261</v>
      </c>
      <c r="F107">
        <v>261</v>
      </c>
      <c r="G107">
        <f>VLOOKUP(A107,PPL!B:M,12,0)</f>
        <v>268</v>
      </c>
      <c r="H107">
        <f t="shared" si="2"/>
        <v>7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318</v>
      </c>
      <c r="F108">
        <v>339</v>
      </c>
      <c r="G108">
        <f>VLOOKUP(A108,PPL!B:M,12,0)</f>
        <v>355</v>
      </c>
      <c r="H108">
        <f t="shared" si="2"/>
        <v>16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288</v>
      </c>
      <c r="F109">
        <v>303</v>
      </c>
      <c r="G109">
        <f>VLOOKUP(A109,PPL!B:M,12,0)</f>
        <v>313</v>
      </c>
      <c r="H109">
        <f t="shared" si="2"/>
        <v>10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304</v>
      </c>
      <c r="F110">
        <v>321</v>
      </c>
      <c r="G110">
        <f>VLOOKUP(A110,PPL!B:M,12,0)</f>
        <v>334</v>
      </c>
      <c r="H110">
        <f t="shared" si="2"/>
        <v>13</v>
      </c>
      <c r="I110" t="b">
        <f t="shared" si="3"/>
        <v>0</v>
      </c>
    </row>
    <row r="111" spans="1:9" x14ac:dyDescent="0.25">
      <c r="A111" t="s">
        <v>355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299</v>
      </c>
      <c r="F111">
        <v>302</v>
      </c>
      <c r="G111">
        <f>VLOOKUP(A111,PPL!B:M,12,0)</f>
        <v>312</v>
      </c>
      <c r="H111">
        <f t="shared" si="2"/>
        <v>10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332</v>
      </c>
      <c r="F112">
        <v>345</v>
      </c>
      <c r="G112">
        <f>VLOOKUP(A112,PPL!B:M,12,0)</f>
        <v>367</v>
      </c>
      <c r="H112">
        <f t="shared" si="2"/>
        <v>22</v>
      </c>
      <c r="I112" t="b">
        <f t="shared" si="3"/>
        <v>0</v>
      </c>
    </row>
    <row r="113" spans="1:9" x14ac:dyDescent="0.25">
      <c r="A113" t="s">
        <v>357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270</v>
      </c>
      <c r="F113">
        <v>274</v>
      </c>
      <c r="G113">
        <f>VLOOKUP(A113,PPL!B:M,12,0)</f>
        <v>274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254</v>
      </c>
      <c r="F114">
        <v>258</v>
      </c>
      <c r="G114">
        <f>VLOOKUP(A114,PPL!B:M,12,0)</f>
        <v>265</v>
      </c>
      <c r="H114">
        <f t="shared" si="2"/>
        <v>7</v>
      </c>
      <c r="I114" t="b">
        <f t="shared" si="3"/>
        <v>0</v>
      </c>
    </row>
    <row r="115" spans="1:9" x14ac:dyDescent="0.25">
      <c r="A115" t="s">
        <v>359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274</v>
      </c>
      <c r="F115">
        <v>286</v>
      </c>
      <c r="G115">
        <f>VLOOKUP(A115,PPL!B:M,12,0)</f>
        <v>312</v>
      </c>
      <c r="H115">
        <f t="shared" si="2"/>
        <v>26</v>
      </c>
      <c r="I115" t="b">
        <f t="shared" si="3"/>
        <v>0</v>
      </c>
    </row>
    <row r="116" spans="1:9" x14ac:dyDescent="0.25">
      <c r="A116" t="s">
        <v>360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304</v>
      </c>
      <c r="F116">
        <v>310</v>
      </c>
      <c r="G116">
        <f>VLOOKUP(A116,PPL!B:M,12,0)</f>
        <v>311</v>
      </c>
      <c r="H116">
        <f t="shared" si="2"/>
        <v>1</v>
      </c>
      <c r="I116" t="b">
        <f t="shared" si="3"/>
        <v>0</v>
      </c>
    </row>
    <row r="117" spans="1:9" x14ac:dyDescent="0.25">
      <c r="A117" t="s">
        <v>361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306</v>
      </c>
      <c r="F117">
        <v>315</v>
      </c>
      <c r="G117">
        <f>VLOOKUP(A117,PPL!B:M,12,0)</f>
        <v>328</v>
      </c>
      <c r="H117">
        <f t="shared" si="2"/>
        <v>13</v>
      </c>
      <c r="I117" t="b">
        <f t="shared" si="3"/>
        <v>0</v>
      </c>
    </row>
    <row r="118" spans="1:9" x14ac:dyDescent="0.25">
      <c r="A118" t="s">
        <v>362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265</v>
      </c>
      <c r="F118">
        <v>265</v>
      </c>
      <c r="G118">
        <f>VLOOKUP(A118,PPL!B:M,12,0)</f>
        <v>265</v>
      </c>
      <c r="H118">
        <f t="shared" si="2"/>
        <v>0</v>
      </c>
      <c r="I118" t="b">
        <f t="shared" si="3"/>
        <v>1</v>
      </c>
    </row>
    <row r="119" spans="1:9" x14ac:dyDescent="0.25">
      <c r="A119" t="s">
        <v>363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282</v>
      </c>
      <c r="F119">
        <v>299</v>
      </c>
      <c r="G119">
        <f>VLOOKUP(A119,PPL!B:M,12,0)</f>
        <v>299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364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410</v>
      </c>
      <c r="F120">
        <v>411</v>
      </c>
      <c r="G120">
        <f>VLOOKUP(A120,PPL!B:M,12,0)</f>
        <v>411</v>
      </c>
      <c r="H120">
        <f t="shared" si="2"/>
        <v>0</v>
      </c>
      <c r="I120" t="b">
        <f t="shared" si="3"/>
        <v>0</v>
      </c>
    </row>
    <row r="121" spans="1:9" x14ac:dyDescent="0.25">
      <c r="A121" t="s">
        <v>365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357</v>
      </c>
      <c r="F121">
        <v>379</v>
      </c>
      <c r="G121">
        <f>VLOOKUP(A121,PPL!B:M,12,0)</f>
        <v>380</v>
      </c>
      <c r="H121">
        <f t="shared" si="2"/>
        <v>1</v>
      </c>
      <c r="I121" t="b">
        <f t="shared" si="3"/>
        <v>0</v>
      </c>
    </row>
    <row r="122" spans="1:9" x14ac:dyDescent="0.25">
      <c r="A122" t="s">
        <v>366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280</v>
      </c>
      <c r="F122">
        <v>283</v>
      </c>
      <c r="G122">
        <f>VLOOKUP(A122,PPL!B:M,12,0)</f>
        <v>283</v>
      </c>
      <c r="H122">
        <f t="shared" si="2"/>
        <v>0</v>
      </c>
      <c r="I122" t="b">
        <f t="shared" si="3"/>
        <v>0</v>
      </c>
    </row>
    <row r="123" spans="1:9" x14ac:dyDescent="0.25">
      <c r="A123" t="s">
        <v>367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303</v>
      </c>
      <c r="F123">
        <v>323</v>
      </c>
      <c r="G123">
        <f>VLOOKUP(A123,PPL!B:M,12,0)</f>
        <v>325</v>
      </c>
      <c r="H123">
        <f t="shared" si="2"/>
        <v>2</v>
      </c>
      <c r="I123" t="b">
        <f t="shared" si="3"/>
        <v>0</v>
      </c>
    </row>
    <row r="124" spans="1:9" x14ac:dyDescent="0.25">
      <c r="A124" t="s">
        <v>368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302</v>
      </c>
      <c r="F124">
        <v>332</v>
      </c>
      <c r="G124">
        <f>VLOOKUP(A124,PPL!B:M,12,0)</f>
        <v>338</v>
      </c>
      <c r="H124">
        <f t="shared" si="2"/>
        <v>6</v>
      </c>
      <c r="I124" t="b">
        <f t="shared" si="3"/>
        <v>0</v>
      </c>
    </row>
    <row r="125" spans="1:9" x14ac:dyDescent="0.25">
      <c r="A125" t="s">
        <v>369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260</v>
      </c>
      <c r="F125">
        <v>260</v>
      </c>
      <c r="G125">
        <f>VLOOKUP(A125,PPL!B:M,12,0)</f>
        <v>260</v>
      </c>
      <c r="H125">
        <f t="shared" si="2"/>
        <v>0</v>
      </c>
      <c r="I125" t="b">
        <f t="shared" si="3"/>
        <v>1</v>
      </c>
    </row>
    <row r="126" spans="1:9" x14ac:dyDescent="0.25">
      <c r="A126" t="s">
        <v>370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192</v>
      </c>
      <c r="F126">
        <v>260</v>
      </c>
      <c r="G126">
        <f>VLOOKUP(A126,PPL!B:M,12,0)</f>
        <v>260</v>
      </c>
      <c r="H126">
        <f t="shared" si="2"/>
        <v>0</v>
      </c>
      <c r="I126" t="b">
        <f t="shared" si="3"/>
        <v>0</v>
      </c>
    </row>
    <row r="127" spans="1:9" x14ac:dyDescent="0.25">
      <c r="A127" t="s">
        <v>371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273</v>
      </c>
      <c r="F127">
        <v>280</v>
      </c>
      <c r="G127">
        <f>VLOOKUP(A127,PPL!B:M,12,0)</f>
        <v>280</v>
      </c>
      <c r="H127">
        <f t="shared" si="2"/>
        <v>0</v>
      </c>
      <c r="I127" t="b">
        <f t="shared" si="3"/>
        <v>0</v>
      </c>
    </row>
    <row r="128" spans="1:9" x14ac:dyDescent="0.25">
      <c r="A128" t="s">
        <v>372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252</v>
      </c>
      <c r="F128">
        <v>262</v>
      </c>
      <c r="G128">
        <f>VLOOKUP(A128,PPL!B:M,12,0)</f>
        <v>262</v>
      </c>
      <c r="H128">
        <f t="shared" si="2"/>
        <v>0</v>
      </c>
      <c r="I128" t="b">
        <f t="shared" si="3"/>
        <v>0</v>
      </c>
    </row>
    <row r="129" spans="1:9" x14ac:dyDescent="0.25">
      <c r="A129" t="s">
        <v>373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264</v>
      </c>
      <c r="F129">
        <v>265</v>
      </c>
      <c r="G129">
        <f>VLOOKUP(A129,PPL!B:M,12,0)</f>
        <v>276</v>
      </c>
      <c r="H129">
        <f t="shared" si="2"/>
        <v>11</v>
      </c>
      <c r="I129" t="b">
        <f t="shared" si="3"/>
        <v>0</v>
      </c>
    </row>
    <row r="130" spans="1:9" x14ac:dyDescent="0.25">
      <c r="A130" t="s">
        <v>374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267</v>
      </c>
      <c r="F130">
        <v>267</v>
      </c>
      <c r="G130">
        <f>VLOOKUP(A130,PPL!B:M,12,0)</f>
        <v>267</v>
      </c>
      <c r="H130">
        <f t="shared" ref="H130:H158" si="4">G130-F130</f>
        <v>0</v>
      </c>
      <c r="I130" t="b">
        <f t="shared" si="3"/>
        <v>1</v>
      </c>
    </row>
    <row r="131" spans="1:9" x14ac:dyDescent="0.25">
      <c r="A131" t="s">
        <v>375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262</v>
      </c>
      <c r="F131">
        <v>264</v>
      </c>
      <c r="G131">
        <f>VLOOKUP(A131,PPL!B:M,12,0)</f>
        <v>264</v>
      </c>
      <c r="H131">
        <f t="shared" si="4"/>
        <v>0</v>
      </c>
      <c r="I131" t="b">
        <f t="shared" ref="I131:I158" si="5">E131=G131</f>
        <v>0</v>
      </c>
    </row>
    <row r="132" spans="1:9" x14ac:dyDescent="0.25">
      <c r="A132" t="s">
        <v>376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288</v>
      </c>
      <c r="F132">
        <v>295</v>
      </c>
      <c r="G132">
        <f>VLOOKUP(A132,PPL!B:M,12,0)</f>
        <v>302</v>
      </c>
      <c r="H132">
        <f t="shared" si="4"/>
        <v>7</v>
      </c>
      <c r="I132" t="b">
        <f t="shared" si="5"/>
        <v>0</v>
      </c>
    </row>
    <row r="133" spans="1:9" x14ac:dyDescent="0.25">
      <c r="A133" t="s">
        <v>377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256</v>
      </c>
      <c r="F133">
        <v>257</v>
      </c>
      <c r="G133">
        <f>VLOOKUP(A133,PPL!B:M,12,0)</f>
        <v>257</v>
      </c>
      <c r="H133">
        <f t="shared" si="4"/>
        <v>0</v>
      </c>
      <c r="I133" t="b">
        <f t="shared" si="5"/>
        <v>0</v>
      </c>
    </row>
    <row r="134" spans="1:9" x14ac:dyDescent="0.25">
      <c r="A134" t="s">
        <v>378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186</v>
      </c>
      <c r="F134">
        <v>225</v>
      </c>
      <c r="G134">
        <f>VLOOKUP(A134,PPL!B:M,12,0)</f>
        <v>235</v>
      </c>
      <c r="H134">
        <f t="shared" si="4"/>
        <v>10</v>
      </c>
      <c r="I134" t="b">
        <f t="shared" si="5"/>
        <v>0</v>
      </c>
    </row>
    <row r="135" spans="1:9" x14ac:dyDescent="0.25">
      <c r="A135" t="s">
        <v>379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328</v>
      </c>
      <c r="F135">
        <v>337</v>
      </c>
      <c r="G135">
        <f>VLOOKUP(A135,PPL!B:M,12,0)</f>
        <v>346</v>
      </c>
      <c r="H135">
        <f t="shared" si="4"/>
        <v>9</v>
      </c>
      <c r="I135" t="b">
        <f t="shared" si="5"/>
        <v>0</v>
      </c>
    </row>
    <row r="136" spans="1:9" x14ac:dyDescent="0.25">
      <c r="A136" t="s">
        <v>380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312</v>
      </c>
      <c r="F136">
        <v>329</v>
      </c>
      <c r="G136">
        <f>VLOOKUP(A136,PPL!B:M,12,0)</f>
        <v>334</v>
      </c>
      <c r="H136">
        <f t="shared" si="4"/>
        <v>5</v>
      </c>
      <c r="I136" t="b">
        <f t="shared" si="5"/>
        <v>0</v>
      </c>
    </row>
    <row r="137" spans="1:9" x14ac:dyDescent="0.25">
      <c r="A137" t="s">
        <v>381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313</v>
      </c>
      <c r="F137">
        <v>321</v>
      </c>
      <c r="G137">
        <f>VLOOKUP(A137,PPL!B:M,12,0)</f>
        <v>322</v>
      </c>
      <c r="H137">
        <f t="shared" si="4"/>
        <v>1</v>
      </c>
      <c r="I137" t="b">
        <f t="shared" si="5"/>
        <v>0</v>
      </c>
    </row>
    <row r="138" spans="1:9" x14ac:dyDescent="0.25">
      <c r="A138" t="s">
        <v>391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254</v>
      </c>
      <c r="F138">
        <v>299</v>
      </c>
      <c r="G138">
        <f>VLOOKUP(A138,PPL!B:M,12,0)</f>
        <v>315</v>
      </c>
      <c r="H138">
        <f t="shared" si="4"/>
        <v>16</v>
      </c>
      <c r="I138" t="b">
        <f t="shared" si="5"/>
        <v>0</v>
      </c>
    </row>
    <row r="139" spans="1:9" x14ac:dyDescent="0.25">
      <c r="A139" t="s">
        <v>390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365</v>
      </c>
      <c r="F139">
        <v>379</v>
      </c>
      <c r="G139">
        <f>VLOOKUP(A139,PPL!B:M,12,0)</f>
        <v>394</v>
      </c>
      <c r="H139">
        <f t="shared" si="4"/>
        <v>15</v>
      </c>
      <c r="I139" t="b">
        <f t="shared" si="5"/>
        <v>0</v>
      </c>
    </row>
    <row r="140" spans="1:9" x14ac:dyDescent="0.25">
      <c r="A140" t="s">
        <v>162</v>
      </c>
      <c r="B140" t="s">
        <v>387</v>
      </c>
      <c r="C140" t="str">
        <f>VLOOKUP(A140,PML!A:B,2,0)</f>
        <v>Meidy</v>
      </c>
      <c r="D140" t="s">
        <v>245</v>
      </c>
      <c r="E140">
        <v>2055</v>
      </c>
      <c r="F140">
        <v>2035</v>
      </c>
      <c r="G140">
        <f>VLOOKUP(A140,PML!A:K,11,0)</f>
        <v>2035</v>
      </c>
      <c r="H140">
        <f t="shared" si="4"/>
        <v>0</v>
      </c>
      <c r="I140" t="b">
        <f t="shared" si="5"/>
        <v>0</v>
      </c>
    </row>
    <row r="141" spans="1:9" x14ac:dyDescent="0.25">
      <c r="A141" t="s">
        <v>163</v>
      </c>
      <c r="B141" t="s">
        <v>387</v>
      </c>
      <c r="C141" t="str">
        <f>VLOOKUP(A141,PML!A:B,2,0)</f>
        <v>Lasimran</v>
      </c>
      <c r="D141" t="s">
        <v>245</v>
      </c>
      <c r="E141">
        <v>2282</v>
      </c>
      <c r="F141">
        <v>2273</v>
      </c>
      <c r="G141">
        <f>VLOOKUP(A141,PML!A:K,11,0)</f>
        <v>2272</v>
      </c>
      <c r="H141">
        <f t="shared" si="4"/>
        <v>-1</v>
      </c>
      <c r="I141" t="b">
        <f t="shared" si="5"/>
        <v>0</v>
      </c>
    </row>
    <row r="142" spans="1:9" x14ac:dyDescent="0.25">
      <c r="A142" t="s">
        <v>164</v>
      </c>
      <c r="B142" t="s">
        <v>387</v>
      </c>
      <c r="C142" t="str">
        <f>VLOOKUP(A142,PML!A:B,2,0)</f>
        <v>Oliv</v>
      </c>
      <c r="D142" t="s">
        <v>245</v>
      </c>
      <c r="E142">
        <v>2135</v>
      </c>
      <c r="F142">
        <v>2114</v>
      </c>
      <c r="G142">
        <f>VLOOKUP(A142,PML!A:K,11,0)</f>
        <v>2114</v>
      </c>
      <c r="H142">
        <f t="shared" si="4"/>
        <v>0</v>
      </c>
      <c r="I142" t="b">
        <f t="shared" si="5"/>
        <v>0</v>
      </c>
    </row>
    <row r="143" spans="1:9" x14ac:dyDescent="0.25">
      <c r="A143" t="s">
        <v>165</v>
      </c>
      <c r="B143" t="s">
        <v>387</v>
      </c>
      <c r="C143" t="str">
        <f>VLOOKUP(A143,PML!A:B,2,0)</f>
        <v>Vera</v>
      </c>
      <c r="D143" t="s">
        <v>245</v>
      </c>
      <c r="E143">
        <v>1881</v>
      </c>
      <c r="F143">
        <v>2324</v>
      </c>
      <c r="G143">
        <f>VLOOKUP(A143,PML!A:K,11,0)</f>
        <v>2383</v>
      </c>
      <c r="H143">
        <f t="shared" si="4"/>
        <v>59</v>
      </c>
      <c r="I143" t="b">
        <f t="shared" si="5"/>
        <v>0</v>
      </c>
    </row>
    <row r="144" spans="1:9" x14ac:dyDescent="0.25">
      <c r="A144" t="s">
        <v>166</v>
      </c>
      <c r="B144" t="s">
        <v>387</v>
      </c>
      <c r="C144" t="str">
        <f>VLOOKUP(A144,PML!A:B,2,0)</f>
        <v>NurAlamsyah</v>
      </c>
      <c r="D144" t="s">
        <v>245</v>
      </c>
      <c r="E144">
        <v>2125</v>
      </c>
      <c r="F144">
        <v>2236</v>
      </c>
      <c r="G144">
        <f>VLOOKUP(A144,PML!A:K,11,0)</f>
        <v>2271</v>
      </c>
      <c r="H144">
        <f t="shared" si="4"/>
        <v>35</v>
      </c>
      <c r="I144" t="b">
        <f t="shared" si="5"/>
        <v>0</v>
      </c>
    </row>
    <row r="145" spans="1:9" x14ac:dyDescent="0.25">
      <c r="A145" t="s">
        <v>167</v>
      </c>
      <c r="B145" t="s">
        <v>387</v>
      </c>
      <c r="C145" t="str">
        <f>VLOOKUP(A145,PML!A:B,2,0)</f>
        <v>Firly</v>
      </c>
      <c r="D145" t="s">
        <v>245</v>
      </c>
      <c r="E145">
        <v>2025</v>
      </c>
      <c r="F145">
        <v>2030</v>
      </c>
      <c r="G145">
        <f>VLOOKUP(A145,PML!A:K,11,0)</f>
        <v>2024</v>
      </c>
      <c r="H145">
        <f t="shared" si="4"/>
        <v>-6</v>
      </c>
      <c r="I145" t="b">
        <f t="shared" si="5"/>
        <v>0</v>
      </c>
    </row>
    <row r="146" spans="1:9" x14ac:dyDescent="0.25">
      <c r="A146" t="s">
        <v>168</v>
      </c>
      <c r="B146" t="s">
        <v>387</v>
      </c>
      <c r="C146" t="str">
        <f>VLOOKUP(A146,PML!A:B,2,0)</f>
        <v>Handoko</v>
      </c>
      <c r="D146" t="s">
        <v>245</v>
      </c>
      <c r="E146">
        <v>2084</v>
      </c>
      <c r="F146">
        <v>2083</v>
      </c>
      <c r="G146">
        <f>VLOOKUP(A146,PML!A:K,11,0)</f>
        <v>2054</v>
      </c>
      <c r="H146">
        <f t="shared" si="4"/>
        <v>-29</v>
      </c>
      <c r="I146" t="b">
        <f t="shared" si="5"/>
        <v>0</v>
      </c>
    </row>
    <row r="147" spans="1:9" x14ac:dyDescent="0.25">
      <c r="A147" t="s">
        <v>169</v>
      </c>
      <c r="B147" t="s">
        <v>387</v>
      </c>
      <c r="C147" t="str">
        <f>VLOOKUP(A147,PML!A:B,2,0)</f>
        <v>Rudy</v>
      </c>
      <c r="D147" t="s">
        <v>245</v>
      </c>
      <c r="E147">
        <v>2040</v>
      </c>
      <c r="F147">
        <v>2127</v>
      </c>
      <c r="G147">
        <f>VLOOKUP(A147,PML!A:K,11,0)</f>
        <v>2148</v>
      </c>
      <c r="H147">
        <f t="shared" si="4"/>
        <v>21</v>
      </c>
      <c r="I147" t="b">
        <f t="shared" si="5"/>
        <v>0</v>
      </c>
    </row>
    <row r="148" spans="1:9" x14ac:dyDescent="0.25">
      <c r="A148" t="s">
        <v>170</v>
      </c>
      <c r="B148" t="s">
        <v>387</v>
      </c>
      <c r="C148" t="str">
        <f>VLOOKUP(A148,PML!A:B,2,0)</f>
        <v>Iska</v>
      </c>
      <c r="D148" t="s">
        <v>245</v>
      </c>
      <c r="E148">
        <v>2088</v>
      </c>
      <c r="F148">
        <v>1978</v>
      </c>
      <c r="G148">
        <f>VLOOKUP(A148,PML!A:K,11,0)</f>
        <v>1999</v>
      </c>
      <c r="H148">
        <f t="shared" si="4"/>
        <v>21</v>
      </c>
      <c r="I148" t="b">
        <f t="shared" si="5"/>
        <v>0</v>
      </c>
    </row>
    <row r="149" spans="1:9" x14ac:dyDescent="0.25">
      <c r="A149" t="s">
        <v>171</v>
      </c>
      <c r="B149" t="s">
        <v>387</v>
      </c>
      <c r="C149" t="str">
        <f>VLOOKUP(A149,PML!A:B,2,0)</f>
        <v>Puput</v>
      </c>
      <c r="D149" t="s">
        <v>245</v>
      </c>
      <c r="E149">
        <v>1617</v>
      </c>
      <c r="F149">
        <v>1683</v>
      </c>
      <c r="G149">
        <f>VLOOKUP(A149,PML!A:K,11,0)</f>
        <v>1664</v>
      </c>
      <c r="H149">
        <f t="shared" si="4"/>
        <v>-19</v>
      </c>
      <c r="I149" t="b">
        <f t="shared" si="5"/>
        <v>0</v>
      </c>
    </row>
    <row r="150" spans="1:9" x14ac:dyDescent="0.25">
      <c r="A150" t="s">
        <v>172</v>
      </c>
      <c r="B150" t="s">
        <v>387</v>
      </c>
      <c r="C150" t="str">
        <f>VLOOKUP(A150,PML!A:B,2,0)</f>
        <v>Ijan</v>
      </c>
      <c r="D150" t="s">
        <v>245</v>
      </c>
      <c r="E150">
        <v>1310</v>
      </c>
      <c r="F150">
        <v>1516</v>
      </c>
      <c r="G150">
        <f>VLOOKUP(A150,PML!A:K,11,0)</f>
        <v>1516</v>
      </c>
      <c r="H150">
        <f t="shared" si="4"/>
        <v>0</v>
      </c>
      <c r="I150" t="b">
        <f t="shared" si="5"/>
        <v>0</v>
      </c>
    </row>
    <row r="151" spans="1:9" x14ac:dyDescent="0.25">
      <c r="A151" t="s">
        <v>173</v>
      </c>
      <c r="B151" t="s">
        <v>387</v>
      </c>
      <c r="C151" t="str">
        <f>VLOOKUP(A151,PML!A:B,2,0)</f>
        <v>Uneth</v>
      </c>
      <c r="D151" t="s">
        <v>245</v>
      </c>
      <c r="E151">
        <v>1732</v>
      </c>
      <c r="F151">
        <v>1771</v>
      </c>
      <c r="G151">
        <f>VLOOKUP(A151,PML!A:K,11,0)</f>
        <v>1774</v>
      </c>
      <c r="H151">
        <f t="shared" si="4"/>
        <v>3</v>
      </c>
      <c r="I151" t="b">
        <f t="shared" si="5"/>
        <v>0</v>
      </c>
    </row>
    <row r="152" spans="1:9" x14ac:dyDescent="0.25">
      <c r="A152" t="s">
        <v>174</v>
      </c>
      <c r="B152" t="s">
        <v>387</v>
      </c>
      <c r="C152" t="str">
        <f>VLOOKUP(A152,PML!A:B,2,0)</f>
        <v>Aji</v>
      </c>
      <c r="D152" t="s">
        <v>245</v>
      </c>
      <c r="E152">
        <v>1684</v>
      </c>
      <c r="F152">
        <v>1644</v>
      </c>
      <c r="G152">
        <f>VLOOKUP(A152,PML!A:K,11,0)</f>
        <v>1655</v>
      </c>
      <c r="H152">
        <f t="shared" si="4"/>
        <v>11</v>
      </c>
      <c r="I152" t="b">
        <f t="shared" si="5"/>
        <v>0</v>
      </c>
    </row>
    <row r="153" spans="1:9" x14ac:dyDescent="0.25">
      <c r="A153" t="s">
        <v>175</v>
      </c>
      <c r="B153" t="s">
        <v>387</v>
      </c>
      <c r="C153" t="str">
        <f>VLOOKUP(A153,PML!A:B,2,0)</f>
        <v>Alan</v>
      </c>
      <c r="D153" t="s">
        <v>245</v>
      </c>
      <c r="E153">
        <v>1692</v>
      </c>
      <c r="F153">
        <v>1689</v>
      </c>
      <c r="G153">
        <f>VLOOKUP(A153,PML!A:K,11,0)</f>
        <v>1688</v>
      </c>
      <c r="H153">
        <f t="shared" si="4"/>
        <v>-1</v>
      </c>
      <c r="I153" t="b">
        <f t="shared" si="5"/>
        <v>0</v>
      </c>
    </row>
    <row r="154" spans="1:9" x14ac:dyDescent="0.25">
      <c r="A154" t="s">
        <v>176</v>
      </c>
      <c r="B154" t="s">
        <v>387</v>
      </c>
      <c r="C154" t="str">
        <f>VLOOKUP(A154,PML!A:B,2,0)</f>
        <v>Gabe</v>
      </c>
      <c r="D154" t="s">
        <v>245</v>
      </c>
      <c r="E154">
        <v>2151</v>
      </c>
      <c r="F154">
        <v>2258</v>
      </c>
      <c r="G154">
        <f>VLOOKUP(A154,PML!A:K,11,0)</f>
        <v>2312</v>
      </c>
      <c r="H154">
        <f t="shared" si="4"/>
        <v>54</v>
      </c>
      <c r="I154" t="b">
        <f t="shared" si="5"/>
        <v>0</v>
      </c>
    </row>
    <row r="155" spans="1:9" x14ac:dyDescent="0.25">
      <c r="A155" t="s">
        <v>177</v>
      </c>
      <c r="B155" t="s">
        <v>387</v>
      </c>
      <c r="C155" t="str">
        <f>VLOOKUP(A155,PML!A:B,2,0)</f>
        <v>Neivrid</v>
      </c>
      <c r="D155" t="s">
        <v>245</v>
      </c>
      <c r="E155">
        <v>2147</v>
      </c>
      <c r="F155">
        <v>2068</v>
      </c>
      <c r="G155">
        <f>VLOOKUP(A155,PML!A:K,11,0)</f>
        <v>2083</v>
      </c>
      <c r="H155">
        <f t="shared" si="4"/>
        <v>15</v>
      </c>
      <c r="I155" t="b">
        <f t="shared" si="5"/>
        <v>0</v>
      </c>
    </row>
    <row r="156" spans="1:9" x14ac:dyDescent="0.25">
      <c r="A156" t="s">
        <v>178</v>
      </c>
      <c r="B156" t="s">
        <v>387</v>
      </c>
      <c r="C156" t="str">
        <f>VLOOKUP(A156,PML!A:B,2,0)</f>
        <v>Rizky</v>
      </c>
      <c r="D156" t="s">
        <v>245</v>
      </c>
      <c r="E156">
        <v>2005</v>
      </c>
      <c r="F156">
        <v>2061</v>
      </c>
      <c r="G156">
        <f>VLOOKUP(A156,PML!A:K,11,0)</f>
        <v>2105</v>
      </c>
      <c r="H156">
        <f t="shared" si="4"/>
        <v>44</v>
      </c>
      <c r="I156" t="b">
        <f t="shared" si="5"/>
        <v>0</v>
      </c>
    </row>
    <row r="157" spans="1:9" x14ac:dyDescent="0.25">
      <c r="A157" t="s">
        <v>179</v>
      </c>
      <c r="B157" t="s">
        <v>387</v>
      </c>
      <c r="C157" t="str">
        <f>VLOOKUP(A157,PML!A:B,2,0)</f>
        <v>Saul</v>
      </c>
      <c r="D157" t="s">
        <v>245</v>
      </c>
      <c r="E157">
        <v>1448</v>
      </c>
      <c r="F157">
        <v>1517</v>
      </c>
      <c r="G157">
        <f>VLOOKUP(A157,PML!A:K,11,0)</f>
        <v>1566</v>
      </c>
      <c r="H157">
        <f t="shared" si="4"/>
        <v>49</v>
      </c>
      <c r="I157" t="b">
        <f t="shared" si="5"/>
        <v>0</v>
      </c>
    </row>
    <row r="158" spans="1:9" x14ac:dyDescent="0.25">
      <c r="A158" t="s">
        <v>180</v>
      </c>
      <c r="B158" t="s">
        <v>387</v>
      </c>
      <c r="C158" t="str">
        <f>VLOOKUP(A158,PML!A:B,2,0)</f>
        <v>Alfian</v>
      </c>
      <c r="D158" t="s">
        <v>245</v>
      </c>
      <c r="E158">
        <v>2142</v>
      </c>
      <c r="F158">
        <v>2143</v>
      </c>
      <c r="G158">
        <f>VLOOKUP(A158,PML!A:K,11,0)</f>
        <v>2165</v>
      </c>
      <c r="H158">
        <f t="shared" si="4"/>
        <v>22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403</v>
      </c>
      <c r="B1" t="s">
        <v>983</v>
      </c>
      <c r="C1" t="s">
        <v>396</v>
      </c>
    </row>
    <row r="2" spans="1:3" x14ac:dyDescent="0.25">
      <c r="A2" t="s">
        <v>856</v>
      </c>
      <c r="C2" t="e">
        <f>VLOOKUP(A2,'UB-DATA'!D:J,7,0)</f>
        <v>#N/A</v>
      </c>
    </row>
    <row r="3" spans="1:3" x14ac:dyDescent="0.25">
      <c r="A3" t="s">
        <v>407</v>
      </c>
      <c r="C3" t="str">
        <f>VLOOKUP(A3,'UB-DATA'!D:J,7,0)</f>
        <v>open</v>
      </c>
    </row>
    <row r="4" spans="1:3" x14ac:dyDescent="0.25">
      <c r="A4" t="s">
        <v>410</v>
      </c>
      <c r="B4" t="s">
        <v>406</v>
      </c>
      <c r="C4" t="e">
        <f>VLOOKUP(A4,'UB-DATA'!D:J,7,0)</f>
        <v>#N/A</v>
      </c>
    </row>
    <row r="5" spans="1:3" x14ac:dyDescent="0.25">
      <c r="A5" t="s">
        <v>413</v>
      </c>
      <c r="B5" t="s">
        <v>406</v>
      </c>
      <c r="C5" t="e">
        <f>VLOOKUP(A5,'UB-DATA'!D:J,7,0)</f>
        <v>#N/A</v>
      </c>
    </row>
    <row r="6" spans="1:3" x14ac:dyDescent="0.25">
      <c r="A6" t="s">
        <v>416</v>
      </c>
      <c r="B6" t="s">
        <v>406</v>
      </c>
      <c r="C6" t="str">
        <f>VLOOKUP(A6,'UB-DATA'!D:J,7,0)</f>
        <v>open</v>
      </c>
    </row>
    <row r="7" spans="1:3" x14ac:dyDescent="0.25">
      <c r="A7" t="s">
        <v>420</v>
      </c>
      <c r="B7" t="s">
        <v>406</v>
      </c>
      <c r="C7" t="e">
        <f>VLOOKUP(A7,'UB-DATA'!D:J,7,0)</f>
        <v>#N/A</v>
      </c>
    </row>
    <row r="8" spans="1:3" x14ac:dyDescent="0.25">
      <c r="A8" t="s">
        <v>422</v>
      </c>
      <c r="B8" t="s">
        <v>406</v>
      </c>
      <c r="C8" t="str">
        <f>VLOOKUP(A8,'UB-DATA'!D:J,7,0)</f>
        <v>open</v>
      </c>
    </row>
    <row r="9" spans="1:3" x14ac:dyDescent="0.25">
      <c r="A9" t="s">
        <v>425</v>
      </c>
      <c r="B9" t="s">
        <v>406</v>
      </c>
      <c r="C9" t="str">
        <f>VLOOKUP(A9,'UB-DATA'!D:J,7,0)</f>
        <v>open</v>
      </c>
    </row>
    <row r="10" spans="1:3" x14ac:dyDescent="0.25">
      <c r="A10" t="s">
        <v>428</v>
      </c>
      <c r="B10" t="s">
        <v>406</v>
      </c>
      <c r="C10" t="e">
        <f>VLOOKUP(A10,'UB-DATA'!D:J,7,0)</f>
        <v>#N/A</v>
      </c>
    </row>
    <row r="11" spans="1:3" x14ac:dyDescent="0.25">
      <c r="A11" t="s">
        <v>429</v>
      </c>
      <c r="B11" t="s">
        <v>406</v>
      </c>
      <c r="C11" t="str">
        <f>VLOOKUP(A11,'UB-DATA'!D:J,7,0)</f>
        <v>open</v>
      </c>
    </row>
    <row r="12" spans="1:3" x14ac:dyDescent="0.25">
      <c r="A12" t="s">
        <v>431</v>
      </c>
      <c r="B12" t="s">
        <v>406</v>
      </c>
      <c r="C12" t="e">
        <f>VLOOKUP(A12,'UB-DATA'!D:J,7,0)</f>
        <v>#N/A</v>
      </c>
    </row>
    <row r="13" spans="1:3" x14ac:dyDescent="0.25">
      <c r="A13" t="s">
        <v>844</v>
      </c>
      <c r="B13" t="s">
        <v>406</v>
      </c>
      <c r="C13" t="e">
        <f>VLOOKUP(A13,'UB-DATA'!D:J,7,0)</f>
        <v>#N/A</v>
      </c>
    </row>
    <row r="14" spans="1:3" x14ac:dyDescent="0.25">
      <c r="A14" t="s">
        <v>435</v>
      </c>
      <c r="B14" t="s">
        <v>406</v>
      </c>
      <c r="C14" t="str">
        <f>VLOOKUP(A14,'UB-DATA'!D:J,7,0)</f>
        <v>open</v>
      </c>
    </row>
    <row r="15" spans="1:3" x14ac:dyDescent="0.25">
      <c r="A15" t="s">
        <v>436</v>
      </c>
      <c r="B15" t="s">
        <v>406</v>
      </c>
      <c r="C15" t="str">
        <f>VLOOKUP(A15,'UB-DATA'!D:J,7,0)</f>
        <v>open</v>
      </c>
    </row>
    <row r="16" spans="1:3" x14ac:dyDescent="0.25">
      <c r="A16" t="s">
        <v>438</v>
      </c>
      <c r="B16" t="s">
        <v>406</v>
      </c>
      <c r="C16" t="str">
        <f>VLOOKUP(A16,'UB-DATA'!D:J,7,0)</f>
        <v>open</v>
      </c>
    </row>
    <row r="17" spans="1:3" x14ac:dyDescent="0.25">
      <c r="A17" t="s">
        <v>904</v>
      </c>
      <c r="B17" t="s">
        <v>406</v>
      </c>
      <c r="C17" t="e">
        <f>VLOOKUP(A17,'UB-DATA'!D:J,7,0)</f>
        <v>#N/A</v>
      </c>
    </row>
    <row r="18" spans="1:3" x14ac:dyDescent="0.25">
      <c r="A18" t="s">
        <v>440</v>
      </c>
      <c r="B18" t="s">
        <v>406</v>
      </c>
      <c r="C18" t="e">
        <f>VLOOKUP(A18,'UB-DATA'!D:J,7,0)</f>
        <v>#N/A</v>
      </c>
    </row>
    <row r="19" spans="1:3" x14ac:dyDescent="0.25">
      <c r="A19" t="s">
        <v>840</v>
      </c>
      <c r="B19" t="s">
        <v>406</v>
      </c>
      <c r="C19" t="str">
        <f>VLOOKUP(A19,'UB-DATA'!D:J,7,0)</f>
        <v>submitted respondent</v>
      </c>
    </row>
    <row r="20" spans="1:3" x14ac:dyDescent="0.25">
      <c r="A20" t="s">
        <v>443</v>
      </c>
      <c r="B20" t="s">
        <v>406</v>
      </c>
      <c r="C20" t="str">
        <f>VLOOKUP(A20,'UB-DATA'!D:J,7,0)</f>
        <v>open</v>
      </c>
    </row>
    <row r="21" spans="1:3" x14ac:dyDescent="0.25">
      <c r="A21" t="s">
        <v>913</v>
      </c>
      <c r="B21" t="s">
        <v>406</v>
      </c>
      <c r="C21" t="str">
        <f>VLOOKUP(A21,'UB-DATA'!D:J,7,0)</f>
        <v>submitted respondent</v>
      </c>
    </row>
    <row r="22" spans="1:3" x14ac:dyDescent="0.25">
      <c r="A22" t="s">
        <v>445</v>
      </c>
      <c r="B22" t="s">
        <v>406</v>
      </c>
      <c r="C22" t="str">
        <f>VLOOKUP(A22,'UB-DATA'!D:J,7,0)</f>
        <v>open</v>
      </c>
    </row>
    <row r="23" spans="1:3" x14ac:dyDescent="0.25">
      <c r="A23" t="s">
        <v>876</v>
      </c>
      <c r="B23" t="s">
        <v>406</v>
      </c>
      <c r="C23" t="e">
        <f>VLOOKUP(A23,'UB-DATA'!D:J,7,0)</f>
        <v>#N/A</v>
      </c>
    </row>
    <row r="24" spans="1:3" x14ac:dyDescent="0.25">
      <c r="A24" t="s">
        <v>899</v>
      </c>
      <c r="B24" t="s">
        <v>406</v>
      </c>
      <c r="C24" t="str">
        <f>VLOOKUP(A24,'UB-DATA'!D:J,7,0)</f>
        <v>submitted respondent</v>
      </c>
    </row>
    <row r="25" spans="1:3" x14ac:dyDescent="0.25">
      <c r="A25" t="s">
        <v>447</v>
      </c>
      <c r="B25" t="s">
        <v>406</v>
      </c>
      <c r="C25" t="str">
        <f>VLOOKUP(A25,'UB-DATA'!D:J,7,0)</f>
        <v>open</v>
      </c>
    </row>
    <row r="26" spans="1:3" x14ac:dyDescent="0.25">
      <c r="A26" t="s">
        <v>449</v>
      </c>
      <c r="B26" t="s">
        <v>406</v>
      </c>
      <c r="C26" t="e">
        <f>VLOOKUP(A26,'UB-DATA'!D:J,7,0)</f>
        <v>#N/A</v>
      </c>
    </row>
    <row r="27" spans="1:3" x14ac:dyDescent="0.25">
      <c r="A27" t="s">
        <v>449</v>
      </c>
      <c r="B27" t="s">
        <v>406</v>
      </c>
      <c r="C27" t="e">
        <f>VLOOKUP(A27,'UB-DATA'!D:J,7,0)</f>
        <v>#N/A</v>
      </c>
    </row>
    <row r="28" spans="1:3" x14ac:dyDescent="0.25">
      <c r="A28" t="s">
        <v>452</v>
      </c>
      <c r="B28" t="s">
        <v>406</v>
      </c>
      <c r="C28" t="e">
        <f>VLOOKUP(A28,'UB-DATA'!D:J,7,0)</f>
        <v>#N/A</v>
      </c>
    </row>
    <row r="29" spans="1:3" x14ac:dyDescent="0.25">
      <c r="A29" t="s">
        <v>455</v>
      </c>
      <c r="B29" t="s">
        <v>406</v>
      </c>
      <c r="C29" t="e">
        <f>VLOOKUP(A29,'UB-DATA'!D:J,7,0)</f>
        <v>#N/A</v>
      </c>
    </row>
    <row r="30" spans="1:3" x14ac:dyDescent="0.25">
      <c r="A30" t="s">
        <v>457</v>
      </c>
      <c r="B30" t="s">
        <v>406</v>
      </c>
      <c r="C30" t="str">
        <f>VLOOKUP(A30,'UB-DATA'!D:J,7,0)</f>
        <v>open</v>
      </c>
    </row>
    <row r="31" spans="1:3" x14ac:dyDescent="0.25">
      <c r="A31" t="s">
        <v>459</v>
      </c>
      <c r="B31" t="s">
        <v>406</v>
      </c>
      <c r="C31" t="str">
        <f>VLOOKUP(A31,'UB-DATA'!D:J,7,0)</f>
        <v>open</v>
      </c>
    </row>
    <row r="32" spans="1:3" x14ac:dyDescent="0.25">
      <c r="A32" t="s">
        <v>892</v>
      </c>
      <c r="B32" t="s">
        <v>406</v>
      </c>
      <c r="C32" t="e">
        <f>VLOOKUP(A32,'UB-DATA'!D:J,7,0)</f>
        <v>#N/A</v>
      </c>
    </row>
    <row r="33" spans="1:3" x14ac:dyDescent="0.25">
      <c r="A33" t="s">
        <v>462</v>
      </c>
      <c r="B33" t="s">
        <v>406</v>
      </c>
      <c r="C33" t="str">
        <f>VLOOKUP(A33,'UB-DATA'!D:J,7,0)</f>
        <v>open</v>
      </c>
    </row>
    <row r="34" spans="1:3" x14ac:dyDescent="0.25">
      <c r="A34" t="s">
        <v>464</v>
      </c>
      <c r="B34" t="s">
        <v>409</v>
      </c>
      <c r="C34" t="str">
        <f>VLOOKUP(A34,'UB-DATA'!D:J,7,0)</f>
        <v>draft</v>
      </c>
    </row>
    <row r="35" spans="1:3" x14ac:dyDescent="0.25">
      <c r="A35" t="s">
        <v>466</v>
      </c>
      <c r="B35" t="s">
        <v>409</v>
      </c>
      <c r="C35" t="str">
        <f>VLOOKUP(A35,'UB-DATA'!D:J,7,0)</f>
        <v>open</v>
      </c>
    </row>
    <row r="36" spans="1:3" x14ac:dyDescent="0.25">
      <c r="A36" t="s">
        <v>468</v>
      </c>
      <c r="B36" t="s">
        <v>409</v>
      </c>
      <c r="C36" t="str">
        <f>VLOOKUP(A36,'UB-DATA'!D:J,7,0)</f>
        <v>open</v>
      </c>
    </row>
    <row r="37" spans="1:3" x14ac:dyDescent="0.25">
      <c r="A37" t="s">
        <v>470</v>
      </c>
      <c r="B37" t="s">
        <v>409</v>
      </c>
      <c r="C37" t="e">
        <f>VLOOKUP(A37,'UB-DATA'!D:J,7,0)</f>
        <v>#N/A</v>
      </c>
    </row>
    <row r="38" spans="1:3" x14ac:dyDescent="0.25">
      <c r="A38" t="s">
        <v>472</v>
      </c>
      <c r="B38" t="s">
        <v>409</v>
      </c>
      <c r="C38" t="str">
        <f>VLOOKUP(A38,'UB-DATA'!D:J,7,0)</f>
        <v>open</v>
      </c>
    </row>
    <row r="39" spans="1:3" x14ac:dyDescent="0.25">
      <c r="A39" t="s">
        <v>474</v>
      </c>
      <c r="B39" t="s">
        <v>409</v>
      </c>
      <c r="C39" t="e">
        <f>VLOOKUP(A39,'UB-DATA'!D:J,7,0)</f>
        <v>#N/A</v>
      </c>
    </row>
    <row r="40" spans="1:3" x14ac:dyDescent="0.25">
      <c r="A40" t="s">
        <v>475</v>
      </c>
      <c r="B40" t="s">
        <v>409</v>
      </c>
      <c r="C40" t="str">
        <f>VLOOKUP(A40,'UB-DATA'!D:J,7,0)</f>
        <v>open</v>
      </c>
    </row>
    <row r="41" spans="1:3" x14ac:dyDescent="0.25">
      <c r="A41" t="s">
        <v>477</v>
      </c>
      <c r="B41" t="s">
        <v>409</v>
      </c>
      <c r="C41" t="str">
        <f>VLOOKUP(A41,'UB-DATA'!D:J,7,0)</f>
        <v>open</v>
      </c>
    </row>
    <row r="42" spans="1:3" x14ac:dyDescent="0.25">
      <c r="A42" t="s">
        <v>480</v>
      </c>
      <c r="B42" t="s">
        <v>409</v>
      </c>
      <c r="C42" t="str">
        <f>VLOOKUP(A42,'UB-DATA'!D:J,7,0)</f>
        <v>submitted respondent</v>
      </c>
    </row>
    <row r="43" spans="1:3" x14ac:dyDescent="0.25">
      <c r="A43" t="s">
        <v>481</v>
      </c>
      <c r="B43" t="s">
        <v>409</v>
      </c>
      <c r="C43" t="e">
        <f>VLOOKUP(A43,'UB-DATA'!D:J,7,0)</f>
        <v>#N/A</v>
      </c>
    </row>
    <row r="44" spans="1:3" x14ac:dyDescent="0.25">
      <c r="A44" t="s">
        <v>483</v>
      </c>
      <c r="B44" t="s">
        <v>409</v>
      </c>
      <c r="C44" t="str">
        <f>VLOOKUP(A44,'UB-DATA'!D:J,7,0)</f>
        <v>open</v>
      </c>
    </row>
    <row r="45" spans="1:3" x14ac:dyDescent="0.25">
      <c r="A45" t="s">
        <v>449</v>
      </c>
      <c r="B45" t="s">
        <v>409</v>
      </c>
      <c r="C45" t="e">
        <f>VLOOKUP(A45,'UB-DATA'!D:J,7,0)</f>
        <v>#N/A</v>
      </c>
    </row>
    <row r="46" spans="1:3" x14ac:dyDescent="0.25">
      <c r="A46" t="s">
        <v>486</v>
      </c>
      <c r="B46" t="s">
        <v>409</v>
      </c>
      <c r="C46" t="e">
        <f>VLOOKUP(A46,'UB-DATA'!D:J,7,0)</f>
        <v>#N/A</v>
      </c>
    </row>
    <row r="47" spans="1:3" x14ac:dyDescent="0.25">
      <c r="A47" t="s">
        <v>488</v>
      </c>
      <c r="B47" t="s">
        <v>409</v>
      </c>
      <c r="C47" t="e">
        <f>VLOOKUP(A47,'UB-DATA'!D:J,7,0)</f>
        <v>#N/A</v>
      </c>
    </row>
    <row r="48" spans="1:3" x14ac:dyDescent="0.25">
      <c r="A48" t="s">
        <v>489</v>
      </c>
      <c r="B48" t="s">
        <v>409</v>
      </c>
      <c r="C48" t="str">
        <f>VLOOKUP(A48,'UB-DATA'!D:J,7,0)</f>
        <v>submitted respondent</v>
      </c>
    </row>
    <row r="49" spans="1:3" x14ac:dyDescent="0.25">
      <c r="A49" t="s">
        <v>491</v>
      </c>
      <c r="B49" t="s">
        <v>409</v>
      </c>
      <c r="C49" t="str">
        <f>VLOOKUP(A49,'UB-DATA'!D:J,7,0)</f>
        <v>open</v>
      </c>
    </row>
    <row r="50" spans="1:3" x14ac:dyDescent="0.25">
      <c r="A50" t="s">
        <v>493</v>
      </c>
      <c r="B50" t="s">
        <v>409</v>
      </c>
      <c r="C50" t="str">
        <f>VLOOKUP(A50,'UB-DATA'!D:J,7,0)</f>
        <v>open</v>
      </c>
    </row>
    <row r="51" spans="1:3" x14ac:dyDescent="0.25">
      <c r="A51" t="s">
        <v>848</v>
      </c>
      <c r="B51" t="s">
        <v>409</v>
      </c>
      <c r="C51" t="str">
        <f>VLOOKUP(A51,'UB-DATA'!D:J,7,0)</f>
        <v>edited by admin kabupaten</v>
      </c>
    </row>
    <row r="52" spans="1:3" x14ac:dyDescent="0.25">
      <c r="A52" t="s">
        <v>497</v>
      </c>
      <c r="B52" t="s">
        <v>409</v>
      </c>
      <c r="C52" t="str">
        <f>VLOOKUP(A52,'UB-DATA'!D:J,7,0)</f>
        <v>draft</v>
      </c>
    </row>
    <row r="53" spans="1:3" x14ac:dyDescent="0.25">
      <c r="A53" t="s">
        <v>499</v>
      </c>
      <c r="B53" t="s">
        <v>409</v>
      </c>
      <c r="C53" t="str">
        <f>VLOOKUP(A53,'UB-DATA'!D:J,7,0)</f>
        <v>open</v>
      </c>
    </row>
    <row r="54" spans="1:3" x14ac:dyDescent="0.25">
      <c r="A54" t="s">
        <v>501</v>
      </c>
      <c r="B54" t="s">
        <v>409</v>
      </c>
      <c r="C54" t="e">
        <f>VLOOKUP(A54,'UB-DATA'!D:J,7,0)</f>
        <v>#N/A</v>
      </c>
    </row>
    <row r="55" spans="1:3" x14ac:dyDescent="0.25">
      <c r="A55" t="s">
        <v>699</v>
      </c>
      <c r="B55" t="s">
        <v>409</v>
      </c>
      <c r="C55" t="str">
        <f>VLOOKUP(A55,'UB-DATA'!D:J,7,0)</f>
        <v>draft</v>
      </c>
    </row>
    <row r="56" spans="1:3" x14ac:dyDescent="0.25">
      <c r="A56" t="s">
        <v>504</v>
      </c>
      <c r="B56" t="s">
        <v>409</v>
      </c>
      <c r="C56" t="e">
        <f>VLOOKUP(A56,'UB-DATA'!D:J,7,0)</f>
        <v>#N/A</v>
      </c>
    </row>
    <row r="57" spans="1:3" x14ac:dyDescent="0.25">
      <c r="A57" t="s">
        <v>870</v>
      </c>
      <c r="B57" t="s">
        <v>409</v>
      </c>
      <c r="C57" t="str">
        <f>VLOOKUP(A57,'UB-DATA'!D:J,7,0)</f>
        <v>submitted respondent</v>
      </c>
    </row>
    <row r="58" spans="1:3" x14ac:dyDescent="0.25">
      <c r="A58" t="s">
        <v>862</v>
      </c>
      <c r="B58" t="s">
        <v>409</v>
      </c>
      <c r="C58" t="e">
        <f>VLOOKUP(A58,'UB-DATA'!D:J,7,0)</f>
        <v>#N/A</v>
      </c>
    </row>
    <row r="59" spans="1:3" x14ac:dyDescent="0.25">
      <c r="A59" t="s">
        <v>505</v>
      </c>
      <c r="B59" t="s">
        <v>409</v>
      </c>
      <c r="C59" t="str">
        <f>VLOOKUP(A59,'UB-DATA'!D:J,7,0)</f>
        <v>open</v>
      </c>
    </row>
    <row r="60" spans="1:3" x14ac:dyDescent="0.25">
      <c r="A60" t="s">
        <v>873</v>
      </c>
      <c r="B60" t="s">
        <v>409</v>
      </c>
      <c r="C60" t="str">
        <f>VLOOKUP(A60,'UB-DATA'!D:J,7,0)</f>
        <v>submitted respondent</v>
      </c>
    </row>
    <row r="61" spans="1:3" x14ac:dyDescent="0.25">
      <c r="A61" t="s">
        <v>508</v>
      </c>
      <c r="B61" t="s">
        <v>409</v>
      </c>
      <c r="C61" t="str">
        <f>VLOOKUP(A61,'UB-DATA'!D:J,7,0)</f>
        <v>open</v>
      </c>
    </row>
    <row r="62" spans="1:3" x14ac:dyDescent="0.25">
      <c r="A62" t="s">
        <v>921</v>
      </c>
      <c r="B62" t="s">
        <v>409</v>
      </c>
      <c r="C62" t="str">
        <f>VLOOKUP(A62,'UB-DATA'!D:J,7,0)</f>
        <v>submitted respondent</v>
      </c>
    </row>
    <row r="63" spans="1:3" x14ac:dyDescent="0.25">
      <c r="A63" t="s">
        <v>509</v>
      </c>
      <c r="B63" t="s">
        <v>409</v>
      </c>
      <c r="C63" t="str">
        <f>VLOOKUP(A63,'UB-DATA'!D:J,7,0)</f>
        <v>open</v>
      </c>
    </row>
    <row r="64" spans="1:3" x14ac:dyDescent="0.25">
      <c r="A64" t="s">
        <v>511</v>
      </c>
      <c r="B64" t="s">
        <v>409</v>
      </c>
      <c r="C64" t="str">
        <f>VLOOKUP(A64,'UB-DATA'!D:J,7,0)</f>
        <v>open</v>
      </c>
    </row>
    <row r="65" spans="1:3" x14ac:dyDescent="0.25">
      <c r="A65" t="s">
        <v>513</v>
      </c>
      <c r="B65" t="s">
        <v>409</v>
      </c>
      <c r="C65" t="e">
        <f>VLOOKUP(A65,'UB-DATA'!D:J,7,0)</f>
        <v>#N/A</v>
      </c>
    </row>
    <row r="66" spans="1:3" x14ac:dyDescent="0.25">
      <c r="A66" t="s">
        <v>515</v>
      </c>
      <c r="B66" t="s">
        <v>409</v>
      </c>
      <c r="C66" t="str">
        <f>VLOOKUP(A66,'UB-DATA'!D:J,7,0)</f>
        <v>open</v>
      </c>
    </row>
    <row r="67" spans="1:3" x14ac:dyDescent="0.25">
      <c r="A67" t="s">
        <v>517</v>
      </c>
      <c r="B67" t="s">
        <v>409</v>
      </c>
      <c r="C67" t="e">
        <f>VLOOKUP(A67,'UB-DATA'!D:J,7,0)</f>
        <v>#N/A</v>
      </c>
    </row>
    <row r="68" spans="1:3" x14ac:dyDescent="0.25">
      <c r="A68" t="s">
        <v>519</v>
      </c>
      <c r="B68" t="s">
        <v>409</v>
      </c>
      <c r="C68" t="e">
        <f>VLOOKUP(A68,'UB-DATA'!D:J,7,0)</f>
        <v>#N/A</v>
      </c>
    </row>
    <row r="69" spans="1:3" x14ac:dyDescent="0.25">
      <c r="A69" t="s">
        <v>521</v>
      </c>
      <c r="B69" t="s">
        <v>412</v>
      </c>
      <c r="C69" t="e">
        <f>VLOOKUP(A69,'UB-DATA'!D:J,7,0)</f>
        <v>#N/A</v>
      </c>
    </row>
    <row r="70" spans="1:3" x14ac:dyDescent="0.25">
      <c r="A70" t="s">
        <v>523</v>
      </c>
      <c r="B70" t="s">
        <v>412</v>
      </c>
      <c r="C70" t="e">
        <f>VLOOKUP(A70,'UB-DATA'!D:J,7,0)</f>
        <v>#N/A</v>
      </c>
    </row>
    <row r="71" spans="1:3" x14ac:dyDescent="0.25">
      <c r="A71" t="s">
        <v>524</v>
      </c>
      <c r="B71" t="s">
        <v>412</v>
      </c>
      <c r="C71" t="e">
        <f>VLOOKUP(A71,'UB-DATA'!D:J,7,0)</f>
        <v>#N/A</v>
      </c>
    </row>
    <row r="72" spans="1:3" x14ac:dyDescent="0.25">
      <c r="A72" t="s">
        <v>525</v>
      </c>
      <c r="B72" t="s">
        <v>412</v>
      </c>
      <c r="C72" t="str">
        <f>VLOOKUP(A72,'UB-DATA'!D:J,7,0)</f>
        <v>open</v>
      </c>
    </row>
    <row r="73" spans="1:3" x14ac:dyDescent="0.25">
      <c r="A73" t="s">
        <v>527</v>
      </c>
      <c r="B73" t="s">
        <v>412</v>
      </c>
      <c r="C73" t="str">
        <f>VLOOKUP(A73,'UB-DATA'!D:J,7,0)</f>
        <v>open</v>
      </c>
    </row>
    <row r="74" spans="1:3" x14ac:dyDescent="0.25">
      <c r="A74" t="s">
        <v>529</v>
      </c>
      <c r="B74" t="s">
        <v>412</v>
      </c>
      <c r="C74" t="str">
        <f>VLOOKUP(A74,'UB-DATA'!D:J,7,0)</f>
        <v>open</v>
      </c>
    </row>
    <row r="75" spans="1:3" x14ac:dyDescent="0.25">
      <c r="A75" t="s">
        <v>531</v>
      </c>
      <c r="B75" t="s">
        <v>412</v>
      </c>
      <c r="C75" t="str">
        <f>VLOOKUP(A75,'UB-DATA'!D:J,7,0)</f>
        <v>open</v>
      </c>
    </row>
    <row r="76" spans="1:3" x14ac:dyDescent="0.25">
      <c r="A76" t="s">
        <v>533</v>
      </c>
      <c r="B76" t="s">
        <v>412</v>
      </c>
      <c r="C76" t="str">
        <f>VLOOKUP(A76,'UB-DATA'!D:J,7,0)</f>
        <v>open</v>
      </c>
    </row>
    <row r="77" spans="1:3" x14ac:dyDescent="0.25">
      <c r="A77" t="s">
        <v>535</v>
      </c>
      <c r="B77" t="s">
        <v>412</v>
      </c>
      <c r="C77" t="e">
        <f>VLOOKUP(A77,'UB-DATA'!D:J,7,0)</f>
        <v>#N/A</v>
      </c>
    </row>
    <row r="78" spans="1:3" x14ac:dyDescent="0.25">
      <c r="A78" t="s">
        <v>537</v>
      </c>
      <c r="B78" t="s">
        <v>412</v>
      </c>
      <c r="C78" t="str">
        <f>VLOOKUP(A78,'UB-DATA'!D:J,7,0)</f>
        <v>open</v>
      </c>
    </row>
    <row r="79" spans="1:3" x14ac:dyDescent="0.25">
      <c r="A79" t="s">
        <v>539</v>
      </c>
      <c r="B79" t="s">
        <v>412</v>
      </c>
      <c r="C79" t="str">
        <f>VLOOKUP(A79,'UB-DATA'!D:J,7,0)</f>
        <v>open</v>
      </c>
    </row>
    <row r="80" spans="1:3" x14ac:dyDescent="0.25">
      <c r="A80" t="s">
        <v>541</v>
      </c>
      <c r="B80" t="s">
        <v>412</v>
      </c>
      <c r="C80" t="str">
        <f>VLOOKUP(A80,'UB-DATA'!D:J,7,0)</f>
        <v>open</v>
      </c>
    </row>
    <row r="81" spans="1:3" x14ac:dyDescent="0.25">
      <c r="A81" t="s">
        <v>544</v>
      </c>
      <c r="B81" t="s">
        <v>412</v>
      </c>
      <c r="C81" t="str">
        <f>VLOOKUP(A81,'UB-DATA'!D:J,7,0)</f>
        <v>open</v>
      </c>
    </row>
    <row r="82" spans="1:3" x14ac:dyDescent="0.25">
      <c r="A82" t="s">
        <v>546</v>
      </c>
      <c r="B82" t="s">
        <v>412</v>
      </c>
      <c r="C82" t="str">
        <f>VLOOKUP(A82,'UB-DATA'!D:J,7,0)</f>
        <v>open</v>
      </c>
    </row>
    <row r="83" spans="1:3" x14ac:dyDescent="0.25">
      <c r="A83" t="s">
        <v>548</v>
      </c>
      <c r="B83" t="s">
        <v>412</v>
      </c>
      <c r="C83" t="e">
        <f>VLOOKUP(A83,'UB-DATA'!D:J,7,0)</f>
        <v>#N/A</v>
      </c>
    </row>
    <row r="84" spans="1:3" x14ac:dyDescent="0.25">
      <c r="A84" t="s">
        <v>549</v>
      </c>
      <c r="B84" t="s">
        <v>412</v>
      </c>
      <c r="C84" t="str">
        <f>VLOOKUP(A84,'UB-DATA'!D:J,7,0)</f>
        <v>open</v>
      </c>
    </row>
    <row r="85" spans="1:3" x14ac:dyDescent="0.25">
      <c r="A85" t="s">
        <v>551</v>
      </c>
      <c r="B85" t="s">
        <v>412</v>
      </c>
      <c r="C85" t="str">
        <f>VLOOKUP(A85,'UB-DATA'!D:J,7,0)</f>
        <v>open</v>
      </c>
    </row>
    <row r="86" spans="1:3" x14ac:dyDescent="0.25">
      <c r="A86" t="s">
        <v>553</v>
      </c>
      <c r="B86" t="s">
        <v>412</v>
      </c>
      <c r="C86" t="e">
        <f>VLOOKUP(A86,'UB-DATA'!D:J,7,0)</f>
        <v>#N/A</v>
      </c>
    </row>
    <row r="87" spans="1:3" x14ac:dyDescent="0.25">
      <c r="A87" t="s">
        <v>555</v>
      </c>
      <c r="B87" t="s">
        <v>412</v>
      </c>
      <c r="C87" t="e">
        <f>VLOOKUP(A87,'UB-DATA'!D:J,7,0)</f>
        <v>#N/A</v>
      </c>
    </row>
    <row r="88" spans="1:3" x14ac:dyDescent="0.25">
      <c r="A88" t="s">
        <v>556</v>
      </c>
      <c r="B88" t="s">
        <v>412</v>
      </c>
      <c r="C88" t="str">
        <f>VLOOKUP(A88,'UB-DATA'!D:J,7,0)</f>
        <v>open</v>
      </c>
    </row>
    <row r="89" spans="1:3" x14ac:dyDescent="0.25">
      <c r="A89" t="s">
        <v>449</v>
      </c>
      <c r="B89" t="s">
        <v>412</v>
      </c>
      <c r="C89" t="e">
        <f>VLOOKUP(A89,'UB-DATA'!D:J,7,0)</f>
        <v>#N/A</v>
      </c>
    </row>
    <row r="90" spans="1:3" x14ac:dyDescent="0.25">
      <c r="A90" t="s">
        <v>558</v>
      </c>
      <c r="B90" t="s">
        <v>412</v>
      </c>
      <c r="C90" t="str">
        <f>VLOOKUP(A90,'UB-DATA'!D:J,7,0)</f>
        <v>open</v>
      </c>
    </row>
    <row r="91" spans="1:3" x14ac:dyDescent="0.25">
      <c r="A91" t="s">
        <v>560</v>
      </c>
      <c r="B91" t="s">
        <v>412</v>
      </c>
      <c r="C91" t="str">
        <f>VLOOKUP(A91,'UB-DATA'!D:J,7,0)</f>
        <v>open</v>
      </c>
    </row>
    <row r="92" spans="1:3" x14ac:dyDescent="0.25">
      <c r="A92" t="s">
        <v>562</v>
      </c>
      <c r="B92" t="s">
        <v>412</v>
      </c>
      <c r="C92" t="e">
        <f>VLOOKUP(A92,'UB-DATA'!D:J,7,0)</f>
        <v>#N/A</v>
      </c>
    </row>
    <row r="93" spans="1:3" x14ac:dyDescent="0.25">
      <c r="A93" t="s">
        <v>564</v>
      </c>
      <c r="B93" t="s">
        <v>412</v>
      </c>
      <c r="C93" t="e">
        <f>VLOOKUP(A93,'UB-DATA'!D:J,7,0)</f>
        <v>#N/A</v>
      </c>
    </row>
    <row r="94" spans="1:3" x14ac:dyDescent="0.25">
      <c r="A94" t="s">
        <v>566</v>
      </c>
      <c r="B94" t="s">
        <v>412</v>
      </c>
      <c r="C94" t="str">
        <f>VLOOKUP(A94,'UB-DATA'!D:J,7,0)</f>
        <v>open</v>
      </c>
    </row>
    <row r="95" spans="1:3" x14ac:dyDescent="0.25">
      <c r="A95" t="s">
        <v>568</v>
      </c>
      <c r="B95" t="s">
        <v>412</v>
      </c>
      <c r="C95" t="str">
        <f>VLOOKUP(A95,'UB-DATA'!D:J,7,0)</f>
        <v>open</v>
      </c>
    </row>
    <row r="96" spans="1:3" x14ac:dyDescent="0.25">
      <c r="A96" t="s">
        <v>570</v>
      </c>
      <c r="B96" t="s">
        <v>412</v>
      </c>
      <c r="C96" t="str">
        <f>VLOOKUP(A96,'UB-DATA'!D:J,7,0)</f>
        <v>open</v>
      </c>
    </row>
    <row r="97" spans="1:3" x14ac:dyDescent="0.25">
      <c r="A97" t="s">
        <v>573</v>
      </c>
      <c r="B97" t="s">
        <v>412</v>
      </c>
      <c r="C97" t="str">
        <f>VLOOKUP(A97,'UB-DATA'!D:J,7,0)</f>
        <v>open</v>
      </c>
    </row>
    <row r="98" spans="1:3" x14ac:dyDescent="0.25">
      <c r="A98" t="s">
        <v>575</v>
      </c>
      <c r="B98" t="s">
        <v>412</v>
      </c>
      <c r="C98" t="str">
        <f>VLOOKUP(A98,'UB-DATA'!D:J,7,0)</f>
        <v>open</v>
      </c>
    </row>
    <row r="99" spans="1:3" x14ac:dyDescent="0.25">
      <c r="A99" t="s">
        <v>577</v>
      </c>
      <c r="B99" t="s">
        <v>412</v>
      </c>
      <c r="C99" t="str">
        <f>VLOOKUP(A99,'UB-DATA'!D:J,7,0)</f>
        <v>draft</v>
      </c>
    </row>
    <row r="100" spans="1:3" x14ac:dyDescent="0.25">
      <c r="A100" t="s">
        <v>579</v>
      </c>
      <c r="B100" t="s">
        <v>415</v>
      </c>
      <c r="C100" t="str">
        <f>VLOOKUP(A100,'UB-DATA'!D:J,7,0)</f>
        <v>open</v>
      </c>
    </row>
    <row r="101" spans="1:3" x14ac:dyDescent="0.25">
      <c r="A101" t="s">
        <v>581</v>
      </c>
      <c r="B101" t="s">
        <v>415</v>
      </c>
      <c r="C101" t="e">
        <f>VLOOKUP(A101,'UB-DATA'!D:J,7,0)</f>
        <v>#N/A</v>
      </c>
    </row>
    <row r="102" spans="1:3" x14ac:dyDescent="0.25">
      <c r="A102" t="s">
        <v>449</v>
      </c>
      <c r="B102" t="s">
        <v>415</v>
      </c>
      <c r="C102" t="e">
        <f>VLOOKUP(A102,'UB-DATA'!D:J,7,0)</f>
        <v>#N/A</v>
      </c>
    </row>
    <row r="103" spans="1:3" x14ac:dyDescent="0.25">
      <c r="A103" t="s">
        <v>584</v>
      </c>
      <c r="B103" t="s">
        <v>415</v>
      </c>
      <c r="C103" t="e">
        <f>VLOOKUP(A103,'UB-DATA'!D:J,7,0)</f>
        <v>#N/A</v>
      </c>
    </row>
    <row r="104" spans="1:3" x14ac:dyDescent="0.25">
      <c r="A104" t="s">
        <v>586</v>
      </c>
      <c r="B104" t="s">
        <v>415</v>
      </c>
      <c r="C104" t="e">
        <f>VLOOKUP(A104,'UB-DATA'!D:J,7,0)</f>
        <v>#N/A</v>
      </c>
    </row>
    <row r="105" spans="1:3" x14ac:dyDescent="0.25">
      <c r="A105" t="s">
        <v>910</v>
      </c>
      <c r="B105" t="s">
        <v>415</v>
      </c>
      <c r="C105" t="e">
        <f>VLOOKUP(A105,'UB-DATA'!D:J,7,0)</f>
        <v>#N/A</v>
      </c>
    </row>
    <row r="106" spans="1:3" x14ac:dyDescent="0.25">
      <c r="A106" t="s">
        <v>587</v>
      </c>
      <c r="B106" t="s">
        <v>415</v>
      </c>
      <c r="C106" t="str">
        <f>VLOOKUP(A106,'UB-DATA'!D:J,7,0)</f>
        <v>open</v>
      </c>
    </row>
    <row r="107" spans="1:3" x14ac:dyDescent="0.25">
      <c r="A107" t="s">
        <v>589</v>
      </c>
      <c r="B107" t="s">
        <v>415</v>
      </c>
      <c r="C107" t="e">
        <f>VLOOKUP(A107,'UB-DATA'!D:J,7,0)</f>
        <v>#N/A</v>
      </c>
    </row>
    <row r="108" spans="1:3" x14ac:dyDescent="0.25">
      <c r="A108" t="s">
        <v>592</v>
      </c>
      <c r="B108" t="s">
        <v>415</v>
      </c>
      <c r="C108" t="str">
        <f>VLOOKUP(A108,'UB-DATA'!D:J,7,0)</f>
        <v>submitted respondent</v>
      </c>
    </row>
    <row r="109" spans="1:3" x14ac:dyDescent="0.25">
      <c r="A109" t="s">
        <v>593</v>
      </c>
      <c r="B109" t="s">
        <v>415</v>
      </c>
      <c r="C109" t="e">
        <f>VLOOKUP(A109,'UB-DATA'!D:J,7,0)</f>
        <v>#N/A</v>
      </c>
    </row>
    <row r="110" spans="1:3" x14ac:dyDescent="0.25">
      <c r="A110" t="s">
        <v>594</v>
      </c>
      <c r="B110" t="s">
        <v>415</v>
      </c>
      <c r="C110" t="e">
        <f>VLOOKUP(A110,'UB-DATA'!D:J,7,0)</f>
        <v>#N/A</v>
      </c>
    </row>
    <row r="111" spans="1:3" x14ac:dyDescent="0.25">
      <c r="A111" t="s">
        <v>733</v>
      </c>
      <c r="B111" t="s">
        <v>415</v>
      </c>
      <c r="C111" t="e">
        <f>VLOOKUP(A111,'UB-DATA'!D:J,7,0)</f>
        <v>#N/A</v>
      </c>
    </row>
    <row r="112" spans="1:3" x14ac:dyDescent="0.25">
      <c r="A112" t="s">
        <v>852</v>
      </c>
      <c r="B112" t="s">
        <v>415</v>
      </c>
      <c r="C112" t="str">
        <f>VLOOKUP(A112,'UB-DATA'!D:J,7,0)</f>
        <v>submitted respondent</v>
      </c>
    </row>
    <row r="113" spans="1:3" x14ac:dyDescent="0.25">
      <c r="A113" t="s">
        <v>597</v>
      </c>
      <c r="B113" t="s">
        <v>415</v>
      </c>
      <c r="C113" t="str">
        <f>VLOOKUP(A113,'UB-DATA'!D:J,7,0)</f>
        <v>open</v>
      </c>
    </row>
    <row r="114" spans="1:3" x14ac:dyDescent="0.25">
      <c r="A114" t="s">
        <v>599</v>
      </c>
      <c r="B114" t="s">
        <v>415</v>
      </c>
      <c r="C114" t="e">
        <f>VLOOKUP(A114,'UB-DATA'!D:J,7,0)</f>
        <v>#N/A</v>
      </c>
    </row>
    <row r="115" spans="1:3" x14ac:dyDescent="0.25">
      <c r="A115" t="s">
        <v>601</v>
      </c>
      <c r="B115" t="s">
        <v>415</v>
      </c>
      <c r="C115" t="str">
        <f>VLOOKUP(A115,'UB-DATA'!D:J,7,0)</f>
        <v>open</v>
      </c>
    </row>
    <row r="116" spans="1:3" x14ac:dyDescent="0.25">
      <c r="A116" t="s">
        <v>602</v>
      </c>
      <c r="B116" t="s">
        <v>415</v>
      </c>
      <c r="C116" t="str">
        <f>VLOOKUP(A116,'UB-DATA'!D:J,7,0)</f>
        <v>open</v>
      </c>
    </row>
    <row r="117" spans="1:3" x14ac:dyDescent="0.25">
      <c r="A117" t="s">
        <v>604</v>
      </c>
      <c r="B117" t="s">
        <v>415</v>
      </c>
      <c r="C117" t="e">
        <f>VLOOKUP(A117,'UB-DATA'!D:J,7,0)</f>
        <v>#N/A</v>
      </c>
    </row>
    <row r="118" spans="1:3" x14ac:dyDescent="0.25">
      <c r="A118" t="s">
        <v>606</v>
      </c>
      <c r="B118" t="s">
        <v>415</v>
      </c>
      <c r="C118" t="str">
        <f>VLOOKUP(A118,'UB-DATA'!D:J,7,0)</f>
        <v>open</v>
      </c>
    </row>
    <row r="119" spans="1:3" x14ac:dyDescent="0.25">
      <c r="A119" t="s">
        <v>607</v>
      </c>
      <c r="B119" t="s">
        <v>415</v>
      </c>
      <c r="C119" t="e">
        <f>VLOOKUP(A119,'UB-DATA'!D:J,7,0)</f>
        <v>#N/A</v>
      </c>
    </row>
    <row r="120" spans="1:3" x14ac:dyDescent="0.25">
      <c r="A120" t="s">
        <v>609</v>
      </c>
      <c r="B120" t="s">
        <v>415</v>
      </c>
      <c r="C120" t="str">
        <f>VLOOKUP(A120,'UB-DATA'!D:J,7,0)</f>
        <v>open</v>
      </c>
    </row>
    <row r="121" spans="1:3" x14ac:dyDescent="0.25">
      <c r="A121" t="s">
        <v>611</v>
      </c>
      <c r="B121" t="s">
        <v>415</v>
      </c>
      <c r="C121" t="e">
        <f>VLOOKUP(A121,'UB-DATA'!D:J,7,0)</f>
        <v>#N/A</v>
      </c>
    </row>
    <row r="122" spans="1:3" x14ac:dyDescent="0.25">
      <c r="A122" t="s">
        <v>612</v>
      </c>
      <c r="B122" t="s">
        <v>415</v>
      </c>
      <c r="C122" t="str">
        <f>VLOOKUP(A122,'UB-DATA'!D:J,7,0)</f>
        <v>open</v>
      </c>
    </row>
    <row r="123" spans="1:3" x14ac:dyDescent="0.25">
      <c r="A123" t="s">
        <v>614</v>
      </c>
      <c r="B123" t="s">
        <v>415</v>
      </c>
      <c r="C123" t="str">
        <f>VLOOKUP(A123,'UB-DATA'!D:J,7,0)</f>
        <v>open</v>
      </c>
    </row>
    <row r="124" spans="1:3" x14ac:dyDescent="0.25">
      <c r="A124" t="s">
        <v>616</v>
      </c>
      <c r="B124" t="s">
        <v>415</v>
      </c>
      <c r="C124" t="e">
        <f>VLOOKUP(A124,'UB-DATA'!D:J,7,0)</f>
        <v>#N/A</v>
      </c>
    </row>
    <row r="125" spans="1:3" x14ac:dyDescent="0.25">
      <c r="A125" t="s">
        <v>617</v>
      </c>
      <c r="B125" t="s">
        <v>415</v>
      </c>
      <c r="C125" t="str">
        <f>VLOOKUP(A125,'UB-DATA'!D:J,7,0)</f>
        <v>open</v>
      </c>
    </row>
    <row r="126" spans="1:3" x14ac:dyDescent="0.25">
      <c r="A126" t="s">
        <v>619</v>
      </c>
      <c r="B126" t="s">
        <v>415</v>
      </c>
      <c r="C126" t="str">
        <f>VLOOKUP(A126,'UB-DATA'!D:J,7,0)</f>
        <v>submitted respondent</v>
      </c>
    </row>
    <row r="127" spans="1:3" x14ac:dyDescent="0.25">
      <c r="A127" t="s">
        <v>621</v>
      </c>
      <c r="C127" t="str">
        <f>VLOOKUP(A127,'UB-DATA'!D:J,7,0)</f>
        <v>submitted respondent</v>
      </c>
    </row>
    <row r="128" spans="1:3" x14ac:dyDescent="0.25">
      <c r="A128" t="s">
        <v>622</v>
      </c>
      <c r="C128" t="str">
        <f>VLOOKUP(A128,'UB-DATA'!D:J,7,0)</f>
        <v>submitted respondent</v>
      </c>
    </row>
    <row r="129" spans="1:3" x14ac:dyDescent="0.25">
      <c r="A129" t="s">
        <v>624</v>
      </c>
      <c r="C129" t="str">
        <f>VLOOKUP(A129,'UB-DATA'!D:J,7,0)</f>
        <v>submitted respondent</v>
      </c>
    </row>
    <row r="130" spans="1:3" x14ac:dyDescent="0.25">
      <c r="A130" t="s">
        <v>625</v>
      </c>
      <c r="C130" t="str">
        <f>VLOOKUP(A130,'UB-DATA'!D:J,7,0)</f>
        <v>submitted respondent</v>
      </c>
    </row>
    <row r="131" spans="1:3" x14ac:dyDescent="0.25">
      <c r="A131" t="s">
        <v>627</v>
      </c>
      <c r="C131" t="str">
        <f>VLOOKUP(A131,'UB-DATA'!D:J,7,0)</f>
        <v>submitted respondent</v>
      </c>
    </row>
    <row r="132" spans="1:3" x14ac:dyDescent="0.25">
      <c r="A132" t="s">
        <v>628</v>
      </c>
      <c r="C132" t="str">
        <f>VLOOKUP(A132,'UB-DATA'!D:J,7,0)</f>
        <v>open</v>
      </c>
    </row>
    <row r="133" spans="1:3" x14ac:dyDescent="0.25">
      <c r="A133" t="s">
        <v>629</v>
      </c>
      <c r="C133" t="str">
        <f>VLOOKUP(A133,'UB-DATA'!D:J,7,0)</f>
        <v>open</v>
      </c>
    </row>
    <row r="134" spans="1:3" x14ac:dyDescent="0.25">
      <c r="A134" t="s">
        <v>631</v>
      </c>
      <c r="C134" t="e">
        <f>VLOOKUP(A134,'UB-DATA'!D:J,7,0)</f>
        <v>#N/A</v>
      </c>
    </row>
    <row r="135" spans="1:3" x14ac:dyDescent="0.25">
      <c r="A135" t="s">
        <v>633</v>
      </c>
      <c r="C135" t="e">
        <f>VLOOKUP(A135,'UB-DATA'!D:J,7,0)</f>
        <v>#N/A</v>
      </c>
    </row>
    <row r="136" spans="1:3" x14ac:dyDescent="0.25">
      <c r="A136" t="s">
        <v>635</v>
      </c>
      <c r="C136" t="e">
        <f>VLOOKUP(A136,'UB-DATA'!D:J,7,0)</f>
        <v>#N/A</v>
      </c>
    </row>
    <row r="137" spans="1:3" x14ac:dyDescent="0.25">
      <c r="A137" t="s">
        <v>637</v>
      </c>
      <c r="C137" t="str">
        <f>VLOOKUP(A137,'UB-DATA'!D:J,7,0)</f>
        <v>submitted respondent</v>
      </c>
    </row>
    <row r="138" spans="1:3" x14ac:dyDescent="0.25">
      <c r="A138" t="s">
        <v>638</v>
      </c>
      <c r="C138" t="e">
        <f>VLOOKUP(A138,'UB-DATA'!D:J,7,0)</f>
        <v>#N/A</v>
      </c>
    </row>
  </sheetData>
  <conditionalFormatting sqref="A1:A1048576">
    <cfRule type="duplicateValues" dxfId="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639</v>
      </c>
    </row>
    <row r="2" spans="1:1" x14ac:dyDescent="0.25">
      <c r="A2" t="s">
        <v>640</v>
      </c>
    </row>
    <row r="3" spans="1:1" x14ac:dyDescent="0.25">
      <c r="A3" t="s">
        <v>641</v>
      </c>
    </row>
    <row r="4" spans="1:1" x14ac:dyDescent="0.25">
      <c r="A4" t="s">
        <v>642</v>
      </c>
    </row>
    <row r="5" spans="1:1" x14ac:dyDescent="0.25">
      <c r="A5" t="s">
        <v>643</v>
      </c>
    </row>
    <row r="6" spans="1:1" x14ac:dyDescent="0.25">
      <c r="A6" t="s">
        <v>644</v>
      </c>
    </row>
    <row r="7" spans="1:1" x14ac:dyDescent="0.25">
      <c r="A7" t="s">
        <v>645</v>
      </c>
    </row>
    <row r="8" spans="1:1" x14ac:dyDescent="0.25">
      <c r="A8" t="s">
        <v>646</v>
      </c>
    </row>
    <row r="9" spans="1:1" x14ac:dyDescent="0.25">
      <c r="A9" t="s">
        <v>647</v>
      </c>
    </row>
    <row r="10" spans="1:1" x14ac:dyDescent="0.25">
      <c r="A10" t="s">
        <v>648</v>
      </c>
    </row>
    <row r="11" spans="1:1" x14ac:dyDescent="0.25">
      <c r="A11" t="s">
        <v>649</v>
      </c>
    </row>
    <row r="12" spans="1:1" x14ac:dyDescent="0.25">
      <c r="A12" t="s">
        <v>650</v>
      </c>
    </row>
    <row r="13" spans="1:1" x14ac:dyDescent="0.25">
      <c r="A13" t="s">
        <v>643</v>
      </c>
    </row>
    <row r="14" spans="1:1" x14ac:dyDescent="0.25">
      <c r="A14" s="4">
        <v>46023</v>
      </c>
    </row>
    <row r="15" spans="1:1" x14ac:dyDescent="0.25">
      <c r="A15" t="s">
        <v>651</v>
      </c>
    </row>
    <row r="16" spans="1:1" x14ac:dyDescent="0.25">
      <c r="A16" t="s">
        <v>643</v>
      </c>
    </row>
    <row r="17" spans="1:1" x14ac:dyDescent="0.25">
      <c r="A17" t="s">
        <v>652</v>
      </c>
    </row>
    <row r="18" spans="1:1" x14ac:dyDescent="0.25">
      <c r="A18" t="s">
        <v>647</v>
      </c>
    </row>
    <row r="19" spans="1:1" x14ac:dyDescent="0.25">
      <c r="A19" t="s">
        <v>653</v>
      </c>
    </row>
    <row r="20" spans="1:1" x14ac:dyDescent="0.25">
      <c r="A20" t="s">
        <v>654</v>
      </c>
    </row>
    <row r="21" spans="1:1" x14ac:dyDescent="0.25">
      <c r="A21" t="s">
        <v>655</v>
      </c>
    </row>
    <row r="22" spans="1:1" x14ac:dyDescent="0.25">
      <c r="A22" t="s">
        <v>656</v>
      </c>
    </row>
    <row r="23" spans="1:1" x14ac:dyDescent="0.25">
      <c r="A23" t="s">
        <v>657</v>
      </c>
    </row>
    <row r="24" spans="1:1" x14ac:dyDescent="0.25">
      <c r="A24" t="s">
        <v>658</v>
      </c>
    </row>
    <row r="25" spans="1:1" x14ac:dyDescent="0.25">
      <c r="A25" t="s">
        <v>659</v>
      </c>
    </row>
    <row r="26" spans="1:1" x14ac:dyDescent="0.25">
      <c r="A26" t="s">
        <v>654</v>
      </c>
    </row>
    <row r="27" spans="1:1" x14ac:dyDescent="0.25">
      <c r="A27" t="s">
        <v>660</v>
      </c>
    </row>
    <row r="28" spans="1:1" x14ac:dyDescent="0.25">
      <c r="A28" t="s">
        <v>661</v>
      </c>
    </row>
    <row r="29" spans="1:1" x14ac:dyDescent="0.25">
      <c r="A29">
        <v>137</v>
      </c>
    </row>
    <row r="30" spans="1:1" x14ac:dyDescent="0.25">
      <c r="A30" t="s">
        <v>662</v>
      </c>
    </row>
    <row r="31" spans="1:1" x14ac:dyDescent="0.25">
      <c r="A31" t="s">
        <v>663</v>
      </c>
    </row>
    <row r="32" spans="1:1" x14ac:dyDescent="0.25">
      <c r="A32" t="s">
        <v>664</v>
      </c>
    </row>
    <row r="33" spans="1:14" x14ac:dyDescent="0.25">
      <c r="A33" t="s">
        <v>665</v>
      </c>
    </row>
    <row r="34" spans="1:14" x14ac:dyDescent="0.25">
      <c r="A34" t="s">
        <v>666</v>
      </c>
    </row>
    <row r="35" spans="1:14" x14ac:dyDescent="0.25">
      <c r="B35" t="s">
        <v>667</v>
      </c>
      <c r="C35" t="s">
        <v>668</v>
      </c>
      <c r="D35" t="s">
        <v>669</v>
      </c>
      <c r="E35" t="s">
        <v>670</v>
      </c>
      <c r="F35" t="s">
        <v>671</v>
      </c>
      <c r="G35" t="s">
        <v>672</v>
      </c>
      <c r="H35" t="s">
        <v>404</v>
      </c>
      <c r="I35" t="s">
        <v>673</v>
      </c>
      <c r="J35" t="s">
        <v>674</v>
      </c>
      <c r="K35" t="s">
        <v>675</v>
      </c>
      <c r="L35" t="s">
        <v>676</v>
      </c>
      <c r="M35" t="s">
        <v>677</v>
      </c>
    </row>
    <row r="36" spans="1:14" x14ac:dyDescent="0.25">
      <c r="B36" t="s">
        <v>678</v>
      </c>
      <c r="C36" t="s">
        <v>614</v>
      </c>
      <c r="D36" t="s">
        <v>614</v>
      </c>
      <c r="E36" t="s">
        <v>615</v>
      </c>
      <c r="F36">
        <v>97410902</v>
      </c>
      <c r="G36" t="s">
        <v>387</v>
      </c>
      <c r="H36" t="s">
        <v>387</v>
      </c>
      <c r="I36" t="s">
        <v>387</v>
      </c>
      <c r="J36" t="s">
        <v>680</v>
      </c>
      <c r="K36" t="s">
        <v>681</v>
      </c>
      <c r="L36" t="s">
        <v>682</v>
      </c>
      <c r="M36" t="s">
        <v>387</v>
      </c>
      <c r="N36" t="str">
        <f>VLOOKUP(C36,UB!A:A,1,0)</f>
        <v>BANK SULUT</v>
      </c>
    </row>
    <row r="37" spans="1:14" x14ac:dyDescent="0.25">
      <c r="B37" t="s">
        <v>679</v>
      </c>
      <c r="L37" t="s">
        <v>683</v>
      </c>
    </row>
    <row r="38" spans="1:14" x14ac:dyDescent="0.25">
      <c r="B38" t="s">
        <v>684</v>
      </c>
      <c r="C38" t="s">
        <v>611</v>
      </c>
      <c r="D38" t="s">
        <v>387</v>
      </c>
      <c r="E38" t="s">
        <v>387</v>
      </c>
      <c r="F38">
        <v>97410201</v>
      </c>
      <c r="G38" t="s">
        <v>387</v>
      </c>
      <c r="H38" t="s">
        <v>387</v>
      </c>
      <c r="I38" t="s">
        <v>685</v>
      </c>
      <c r="J38" t="s">
        <v>686</v>
      </c>
      <c r="K38" t="s">
        <v>687</v>
      </c>
      <c r="L38" t="s">
        <v>688</v>
      </c>
      <c r="M38" t="s">
        <v>387</v>
      </c>
      <c r="N38" t="str">
        <f>VLOOKUP(C38,UB!A:A,1,0)</f>
        <v>BANK BRI</v>
      </c>
    </row>
    <row r="39" spans="1:14" x14ac:dyDescent="0.25">
      <c r="L39" t="s">
        <v>689</v>
      </c>
    </row>
    <row r="40" spans="1:14" x14ac:dyDescent="0.25">
      <c r="B40" t="s">
        <v>690</v>
      </c>
      <c r="C40" t="s">
        <v>592</v>
      </c>
      <c r="D40" t="s">
        <v>387</v>
      </c>
      <c r="E40" t="s">
        <v>387</v>
      </c>
      <c r="F40">
        <v>97410590</v>
      </c>
      <c r="G40" t="s">
        <v>387</v>
      </c>
      <c r="H40" t="s">
        <v>387</v>
      </c>
      <c r="I40" t="s">
        <v>685</v>
      </c>
      <c r="J40" t="s">
        <v>686</v>
      </c>
      <c r="K40" t="s">
        <v>687</v>
      </c>
      <c r="L40" t="s">
        <v>688</v>
      </c>
      <c r="M40" t="s">
        <v>387</v>
      </c>
      <c r="N40" t="str">
        <f>VLOOKUP(C40,UB!A:A,1,0)</f>
        <v>BANK KUMAPAN</v>
      </c>
    </row>
    <row r="41" spans="1:14" x14ac:dyDescent="0.25">
      <c r="L41" t="s">
        <v>689</v>
      </c>
    </row>
    <row r="42" spans="1:14" x14ac:dyDescent="0.25">
      <c r="B42" t="s">
        <v>691</v>
      </c>
      <c r="C42" t="s">
        <v>544</v>
      </c>
      <c r="D42" t="s">
        <v>544</v>
      </c>
      <c r="E42" t="s">
        <v>545</v>
      </c>
      <c r="F42">
        <v>3014309</v>
      </c>
      <c r="G42" t="s">
        <v>387</v>
      </c>
      <c r="H42" t="s">
        <v>692</v>
      </c>
      <c r="I42" t="s">
        <v>387</v>
      </c>
      <c r="J42" t="s">
        <v>680</v>
      </c>
      <c r="K42" t="s">
        <v>681</v>
      </c>
      <c r="L42" t="s">
        <v>387</v>
      </c>
      <c r="M42" t="s">
        <v>387</v>
      </c>
      <c r="N42" t="str">
        <f>VLOOKUP(C42,UB!A:A,1,0)</f>
        <v>BANK OCBC N I S P TBK</v>
      </c>
    </row>
    <row r="43" spans="1:14" x14ac:dyDescent="0.25">
      <c r="B43" t="s">
        <v>693</v>
      </c>
      <c r="C43" t="s">
        <v>407</v>
      </c>
      <c r="D43" t="s">
        <v>407</v>
      </c>
      <c r="E43" t="s">
        <v>408</v>
      </c>
      <c r="F43">
        <v>61061726</v>
      </c>
      <c r="G43" t="s">
        <v>387</v>
      </c>
      <c r="H43" t="s">
        <v>387</v>
      </c>
      <c r="I43" t="s">
        <v>387</v>
      </c>
      <c r="J43" t="s">
        <v>680</v>
      </c>
      <c r="K43" t="s">
        <v>681</v>
      </c>
      <c r="L43" t="s">
        <v>387</v>
      </c>
      <c r="M43" t="s">
        <v>387</v>
      </c>
      <c r="N43" t="str">
        <f>VLOOKUP(C43,UB!A:A,1,0)</f>
        <v>MEMBANGUN SULUT MAJU PERSERODA DISINGKAT MESMA</v>
      </c>
    </row>
    <row r="44" spans="1:14" x14ac:dyDescent="0.25">
      <c r="B44" t="s">
        <v>694</v>
      </c>
      <c r="C44" t="s">
        <v>475</v>
      </c>
      <c r="D44" t="s">
        <v>475</v>
      </c>
      <c r="E44" t="s">
        <v>476</v>
      </c>
      <c r="F44">
        <v>4413258</v>
      </c>
      <c r="G44" t="s">
        <v>387</v>
      </c>
      <c r="H44" t="s">
        <v>695</v>
      </c>
      <c r="I44" t="s">
        <v>387</v>
      </c>
      <c r="J44" t="s">
        <v>680</v>
      </c>
      <c r="K44" t="s">
        <v>681</v>
      </c>
      <c r="L44" t="s">
        <v>387</v>
      </c>
      <c r="M44" t="s">
        <v>387</v>
      </c>
      <c r="N44" t="str">
        <f>VLOOKUP(C44,UB!A:A,1,0)</f>
        <v>ETMIECO MAKMUR ABADI</v>
      </c>
    </row>
    <row r="45" spans="1:14" x14ac:dyDescent="0.25">
      <c r="B45" t="s">
        <v>696</v>
      </c>
      <c r="C45" t="s">
        <v>551</v>
      </c>
      <c r="D45" t="s">
        <v>551</v>
      </c>
      <c r="E45" t="s">
        <v>552</v>
      </c>
      <c r="F45">
        <v>94421586</v>
      </c>
      <c r="G45" t="s">
        <v>387</v>
      </c>
      <c r="H45" t="s">
        <v>697</v>
      </c>
      <c r="I45" t="s">
        <v>387</v>
      </c>
      <c r="J45" t="s">
        <v>680</v>
      </c>
      <c r="K45" t="s">
        <v>681</v>
      </c>
      <c r="L45" t="s">
        <v>387</v>
      </c>
      <c r="M45" t="s">
        <v>387</v>
      </c>
      <c r="N45" t="str">
        <f>VLOOKUP(C45,UB!A:A,1,0)</f>
        <v>PT. Bank Tabungan Negara Persero Tbk. Kantor Cabang Pembantu Bitung</v>
      </c>
    </row>
    <row r="46" spans="1:14" x14ac:dyDescent="0.25">
      <c r="B46" t="s">
        <v>698</v>
      </c>
      <c r="C46" t="s">
        <v>699</v>
      </c>
      <c r="D46" t="s">
        <v>699</v>
      </c>
      <c r="E46" t="s">
        <v>502</v>
      </c>
      <c r="F46">
        <v>3014420</v>
      </c>
      <c r="G46" t="s">
        <v>700</v>
      </c>
      <c r="H46" t="s">
        <v>503</v>
      </c>
      <c r="I46" t="s">
        <v>685</v>
      </c>
      <c r="J46" t="s">
        <v>701</v>
      </c>
      <c r="K46" t="s">
        <v>681</v>
      </c>
      <c r="L46" t="s">
        <v>387</v>
      </c>
      <c r="M46" t="s">
        <v>387</v>
      </c>
      <c r="N46" t="str">
        <f>VLOOKUP(C46,UB!A:A,1,0)</f>
        <v>BANK MANDIRI (PERSERO) TBK</v>
      </c>
    </row>
    <row r="47" spans="1:14" x14ac:dyDescent="0.25">
      <c r="B47" t="s">
        <v>702</v>
      </c>
      <c r="C47" t="s">
        <v>440</v>
      </c>
      <c r="D47" t="s">
        <v>703</v>
      </c>
      <c r="E47" t="s">
        <v>441</v>
      </c>
      <c r="F47">
        <v>97714448</v>
      </c>
      <c r="G47" t="s">
        <v>387</v>
      </c>
      <c r="H47" t="s">
        <v>387</v>
      </c>
      <c r="I47" t="s">
        <v>387</v>
      </c>
      <c r="J47" t="s">
        <v>680</v>
      </c>
      <c r="K47" t="s">
        <v>681</v>
      </c>
      <c r="L47" t="s">
        <v>387</v>
      </c>
      <c r="M47" t="s">
        <v>387</v>
      </c>
      <c r="N47" t="str">
        <f>VLOOKUP(C47,UB!A:A,1,0)</f>
        <v>WARUNG SEMBAKO (OCHA)</v>
      </c>
    </row>
    <row r="48" spans="1:14" x14ac:dyDescent="0.25">
      <c r="B48" t="s">
        <v>704</v>
      </c>
      <c r="C48" t="s">
        <v>548</v>
      </c>
      <c r="D48" t="s">
        <v>705</v>
      </c>
      <c r="E48" t="s">
        <v>543</v>
      </c>
      <c r="F48">
        <v>94424384</v>
      </c>
      <c r="G48" t="s">
        <v>387</v>
      </c>
      <c r="H48" t="s">
        <v>387</v>
      </c>
      <c r="I48" t="s">
        <v>387</v>
      </c>
      <c r="J48" t="s">
        <v>680</v>
      </c>
      <c r="K48" t="s">
        <v>681</v>
      </c>
      <c r="L48" t="s">
        <v>387</v>
      </c>
      <c r="M48" t="s">
        <v>387</v>
      </c>
      <c r="N48" t="str">
        <f>VLOOKUP(C48,UB!A:A,1,0)</f>
        <v>GEMBIRA, UD</v>
      </c>
    </row>
    <row r="49" spans="2:14" x14ac:dyDescent="0.25">
      <c r="B49" t="s">
        <v>706</v>
      </c>
      <c r="C49" t="s">
        <v>594</v>
      </c>
      <c r="D49" t="s">
        <v>707</v>
      </c>
      <c r="E49" t="s">
        <v>595</v>
      </c>
      <c r="F49">
        <v>97715146</v>
      </c>
      <c r="G49">
        <v>9120217130442</v>
      </c>
      <c r="H49" t="s">
        <v>387</v>
      </c>
      <c r="I49" t="s">
        <v>708</v>
      </c>
      <c r="J49" t="s">
        <v>701</v>
      </c>
      <c r="K49" t="s">
        <v>681</v>
      </c>
      <c r="L49" t="s">
        <v>387</v>
      </c>
      <c r="M49" t="s">
        <v>387</v>
      </c>
      <c r="N49" t="str">
        <f>VLOOKUP(C49,UB!A:A,1,0)</f>
        <v>KEMBAR JAYA BITUNG, CV</v>
      </c>
    </row>
    <row r="50" spans="2:14" x14ac:dyDescent="0.25">
      <c r="B50" t="s">
        <v>709</v>
      </c>
      <c r="C50" t="s">
        <v>631</v>
      </c>
      <c r="D50" t="s">
        <v>710</v>
      </c>
      <c r="E50" t="s">
        <v>632</v>
      </c>
      <c r="F50">
        <v>7479284</v>
      </c>
      <c r="G50" t="s">
        <v>387</v>
      </c>
      <c r="H50" t="s">
        <v>387</v>
      </c>
      <c r="I50" t="s">
        <v>387</v>
      </c>
      <c r="J50" t="s">
        <v>680</v>
      </c>
      <c r="K50" t="s">
        <v>681</v>
      </c>
      <c r="L50" t="s">
        <v>387</v>
      </c>
      <c r="M50" t="s">
        <v>387</v>
      </c>
      <c r="N50" t="str">
        <f>VLOOKUP(C50,UB!A:A,1,0)</f>
        <v>PT. IKAN SAMUDRA INDONESIA</v>
      </c>
    </row>
    <row r="51" spans="2:14" x14ac:dyDescent="0.25">
      <c r="B51" t="s">
        <v>711</v>
      </c>
      <c r="C51" t="s">
        <v>466</v>
      </c>
      <c r="D51" t="s">
        <v>466</v>
      </c>
      <c r="E51" t="s">
        <v>467</v>
      </c>
      <c r="F51">
        <v>4223294</v>
      </c>
      <c r="G51" t="s">
        <v>387</v>
      </c>
      <c r="H51" t="s">
        <v>712</v>
      </c>
      <c r="I51" t="s">
        <v>387</v>
      </c>
      <c r="J51" t="s">
        <v>680</v>
      </c>
      <c r="K51" t="s">
        <v>681</v>
      </c>
      <c r="L51" t="s">
        <v>387</v>
      </c>
      <c r="M51" t="s">
        <v>387</v>
      </c>
      <c r="N51" t="str">
        <f>VLOOKUP(C51,UB!A:A,1,0)</f>
        <v>SAMUDERA PURANABILE ABADI</v>
      </c>
    </row>
    <row r="52" spans="2:14" x14ac:dyDescent="0.25">
      <c r="B52" t="s">
        <v>713</v>
      </c>
      <c r="C52" t="s">
        <v>555</v>
      </c>
      <c r="D52" t="s">
        <v>714</v>
      </c>
      <c r="E52" t="s">
        <v>411</v>
      </c>
      <c r="F52">
        <v>94424365</v>
      </c>
      <c r="G52" t="s">
        <v>387</v>
      </c>
      <c r="H52" t="s">
        <v>387</v>
      </c>
      <c r="I52" t="s">
        <v>387</v>
      </c>
      <c r="J52" t="s">
        <v>680</v>
      </c>
      <c r="K52" t="s">
        <v>681</v>
      </c>
      <c r="L52" t="s">
        <v>387</v>
      </c>
      <c r="M52" t="s">
        <v>387</v>
      </c>
      <c r="N52" t="str">
        <f>VLOOKUP(C52,UB!A:A,1,0)</f>
        <v>SINAR MAROS</v>
      </c>
    </row>
    <row r="53" spans="2:14" x14ac:dyDescent="0.25">
      <c r="B53" t="s">
        <v>715</v>
      </c>
      <c r="C53" t="s">
        <v>525</v>
      </c>
      <c r="D53" t="s">
        <v>525</v>
      </c>
      <c r="E53" t="s">
        <v>526</v>
      </c>
      <c r="F53">
        <v>97714862</v>
      </c>
      <c r="G53" t="s">
        <v>387</v>
      </c>
      <c r="H53" t="s">
        <v>387</v>
      </c>
      <c r="I53" t="s">
        <v>387</v>
      </c>
      <c r="J53" t="s">
        <v>680</v>
      </c>
      <c r="K53" t="s">
        <v>681</v>
      </c>
      <c r="L53" t="s">
        <v>387</v>
      </c>
      <c r="M53" t="s">
        <v>387</v>
      </c>
      <c r="N53" t="str">
        <f>VLOOKUP(C53,UB!A:A,1,0)</f>
        <v>TWO FISH DIVERS</v>
      </c>
    </row>
    <row r="54" spans="2:14" x14ac:dyDescent="0.25">
      <c r="B54" t="s">
        <v>716</v>
      </c>
      <c r="C54" t="s">
        <v>553</v>
      </c>
      <c r="D54" t="s">
        <v>717</v>
      </c>
      <c r="E54" t="s">
        <v>554</v>
      </c>
      <c r="F54">
        <v>97714884</v>
      </c>
      <c r="G54" t="s">
        <v>387</v>
      </c>
      <c r="H54" t="s">
        <v>387</v>
      </c>
      <c r="I54" t="s">
        <v>387</v>
      </c>
      <c r="J54" t="s">
        <v>680</v>
      </c>
      <c r="K54" t="s">
        <v>681</v>
      </c>
      <c r="L54" t="s">
        <v>387</v>
      </c>
      <c r="M54" t="s">
        <v>387</v>
      </c>
      <c r="N54" t="str">
        <f>VLOOKUP(C54,UB!A:A,1,0)</f>
        <v>PERDAGANGAN IKAN KERING &lt;HJ DARAKI&gt;</v>
      </c>
    </row>
    <row r="55" spans="2:14" x14ac:dyDescent="0.25">
      <c r="B55" t="s">
        <v>718</v>
      </c>
      <c r="C55" t="s">
        <v>597</v>
      </c>
      <c r="D55" t="s">
        <v>597</v>
      </c>
      <c r="E55" t="s">
        <v>598</v>
      </c>
      <c r="F55">
        <v>161335</v>
      </c>
      <c r="G55" t="s">
        <v>387</v>
      </c>
      <c r="H55" t="s">
        <v>387</v>
      </c>
      <c r="I55" t="s">
        <v>387</v>
      </c>
      <c r="J55" t="s">
        <v>680</v>
      </c>
      <c r="K55" t="s">
        <v>681</v>
      </c>
      <c r="L55" t="s">
        <v>387</v>
      </c>
      <c r="M55" t="s">
        <v>387</v>
      </c>
      <c r="N55" t="str">
        <f>VLOOKUP(C55,UB!A:A,1,0)</f>
        <v>DHARMABHAKTI EKAPERDANA, PT</v>
      </c>
    </row>
    <row r="56" spans="2:14" x14ac:dyDescent="0.25">
      <c r="B56" t="s">
        <v>719</v>
      </c>
      <c r="C56" t="s">
        <v>468</v>
      </c>
      <c r="D56" t="s">
        <v>468</v>
      </c>
      <c r="E56" t="s">
        <v>469</v>
      </c>
      <c r="F56">
        <v>4032983</v>
      </c>
      <c r="G56" t="s">
        <v>387</v>
      </c>
      <c r="H56" t="s">
        <v>720</v>
      </c>
      <c r="I56" t="s">
        <v>387</v>
      </c>
      <c r="J56" t="s">
        <v>680</v>
      </c>
      <c r="K56" t="s">
        <v>681</v>
      </c>
      <c r="L56" t="s">
        <v>387</v>
      </c>
      <c r="M56" t="s">
        <v>387</v>
      </c>
      <c r="N56" t="str">
        <f>VLOOKUP(C56,UB!A:A,1,0)</f>
        <v>SARI TUNA MAKMUR</v>
      </c>
    </row>
    <row r="57" spans="2:14" x14ac:dyDescent="0.25">
      <c r="B57" t="s">
        <v>721</v>
      </c>
      <c r="C57" t="s">
        <v>606</v>
      </c>
      <c r="D57" t="s">
        <v>606</v>
      </c>
      <c r="E57" t="s">
        <v>603</v>
      </c>
      <c r="F57">
        <v>97410211</v>
      </c>
      <c r="G57" t="s">
        <v>387</v>
      </c>
      <c r="H57" t="s">
        <v>387</v>
      </c>
      <c r="I57" t="s">
        <v>387</v>
      </c>
      <c r="J57" t="s">
        <v>680</v>
      </c>
      <c r="K57" t="s">
        <v>681</v>
      </c>
      <c r="L57" t="s">
        <v>387</v>
      </c>
      <c r="M57" t="s">
        <v>387</v>
      </c>
      <c r="N57" t="str">
        <f>VLOOKUP(C57,UB!A:A,1,0)</f>
        <v>BANK BRI (TERAS)</v>
      </c>
    </row>
    <row r="58" spans="2:14" x14ac:dyDescent="0.25">
      <c r="B58" t="s">
        <v>722</v>
      </c>
      <c r="C58" t="s">
        <v>511</v>
      </c>
      <c r="D58" t="s">
        <v>511</v>
      </c>
      <c r="E58" t="s">
        <v>512</v>
      </c>
      <c r="F58">
        <v>97409285</v>
      </c>
      <c r="G58" t="s">
        <v>387</v>
      </c>
      <c r="H58" t="s">
        <v>387</v>
      </c>
      <c r="I58" t="s">
        <v>387</v>
      </c>
      <c r="J58" t="s">
        <v>680</v>
      </c>
      <c r="K58" t="s">
        <v>681</v>
      </c>
      <c r="L58" t="s">
        <v>387</v>
      </c>
      <c r="M58" t="s">
        <v>387</v>
      </c>
      <c r="N58" t="str">
        <f>VLOOKUP(C58,UB!A:A,1,0)</f>
        <v>BANK BRI pt</v>
      </c>
    </row>
    <row r="59" spans="2:14" x14ac:dyDescent="0.25">
      <c r="B59" t="s">
        <v>723</v>
      </c>
      <c r="C59" t="s">
        <v>539</v>
      </c>
      <c r="D59" t="s">
        <v>539</v>
      </c>
      <c r="E59" t="s">
        <v>540</v>
      </c>
      <c r="F59">
        <v>3020077</v>
      </c>
      <c r="G59" t="s">
        <v>387</v>
      </c>
      <c r="H59" t="s">
        <v>724</v>
      </c>
      <c r="I59" t="s">
        <v>387</v>
      </c>
      <c r="J59" t="s">
        <v>680</v>
      </c>
      <c r="K59" t="s">
        <v>681</v>
      </c>
      <c r="L59" t="s">
        <v>387</v>
      </c>
      <c r="M59" t="s">
        <v>387</v>
      </c>
      <c r="N59" t="str">
        <f>VLOOKUP(C59,UB!A:A,1,0)</f>
        <v>BANK RAKYAT INDONESIA (PERSERO) TBK, PT</v>
      </c>
    </row>
    <row r="60" spans="2:14" x14ac:dyDescent="0.25">
      <c r="B60" t="s">
        <v>725</v>
      </c>
      <c r="C60" t="s">
        <v>581</v>
      </c>
      <c r="D60" t="s">
        <v>726</v>
      </c>
      <c r="E60" t="s">
        <v>582</v>
      </c>
      <c r="F60">
        <v>97714796</v>
      </c>
      <c r="G60" t="s">
        <v>387</v>
      </c>
      <c r="H60" t="s">
        <v>387</v>
      </c>
      <c r="I60" t="s">
        <v>387</v>
      </c>
      <c r="J60" t="s">
        <v>680</v>
      </c>
      <c r="K60" t="s">
        <v>681</v>
      </c>
      <c r="L60" t="s">
        <v>387</v>
      </c>
      <c r="M60" t="s">
        <v>387</v>
      </c>
      <c r="N60" t="str">
        <f>VLOOKUP(C60,UB!A:A,1,0)</f>
        <v>WARUNG SEMBAKO &lt;YOAN&gt;</v>
      </c>
    </row>
    <row r="61" spans="2:14" x14ac:dyDescent="0.25">
      <c r="B61" t="s">
        <v>727</v>
      </c>
      <c r="C61" t="s">
        <v>429</v>
      </c>
      <c r="D61" t="s">
        <v>429</v>
      </c>
      <c r="E61" t="s">
        <v>430</v>
      </c>
      <c r="F61">
        <v>94412742</v>
      </c>
      <c r="G61" t="s">
        <v>387</v>
      </c>
      <c r="H61" t="s">
        <v>387</v>
      </c>
      <c r="I61" t="s">
        <v>387</v>
      </c>
      <c r="J61" t="s">
        <v>680</v>
      </c>
      <c r="K61" t="s">
        <v>681</v>
      </c>
      <c r="L61" t="s">
        <v>387</v>
      </c>
      <c r="M61" t="s">
        <v>387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728</v>
      </c>
      <c r="C62" t="s">
        <v>523</v>
      </c>
      <c r="D62" t="s">
        <v>729</v>
      </c>
      <c r="E62" t="s">
        <v>454</v>
      </c>
      <c r="F62">
        <v>97714758</v>
      </c>
      <c r="G62" t="s">
        <v>387</v>
      </c>
      <c r="H62" t="s">
        <v>387</v>
      </c>
      <c r="I62" t="s">
        <v>387</v>
      </c>
      <c r="J62" t="s">
        <v>680</v>
      </c>
      <c r="K62" t="s">
        <v>681</v>
      </c>
      <c r="L62" t="s">
        <v>387</v>
      </c>
      <c r="M62" t="s">
        <v>387</v>
      </c>
      <c r="N62" t="str">
        <f>VLOOKUP(C62,UB!A:A,1,0)</f>
        <v>CAHAYA SIDRAP HJ AL</v>
      </c>
    </row>
    <row r="63" spans="2:14" x14ac:dyDescent="0.25">
      <c r="B63" t="s">
        <v>730</v>
      </c>
      <c r="C63" t="s">
        <v>601</v>
      </c>
      <c r="D63" t="s">
        <v>601</v>
      </c>
      <c r="E63" t="s">
        <v>582</v>
      </c>
      <c r="F63">
        <v>97714802</v>
      </c>
      <c r="G63" t="s">
        <v>387</v>
      </c>
      <c r="H63" t="s">
        <v>387</v>
      </c>
      <c r="I63" t="s">
        <v>387</v>
      </c>
      <c r="J63" t="s">
        <v>680</v>
      </c>
      <c r="K63" t="s">
        <v>681</v>
      </c>
      <c r="L63" t="s">
        <v>387</v>
      </c>
      <c r="M63" t="s">
        <v>387</v>
      </c>
      <c r="N63" t="str">
        <f>VLOOKUP(C63,UB!A:A,1,0)</f>
        <v>WARUNG SEMBAKO &lt;SALIM&gt;</v>
      </c>
    </row>
    <row r="64" spans="2:14" x14ac:dyDescent="0.25">
      <c r="B64" t="s">
        <v>731</v>
      </c>
      <c r="C64" t="s">
        <v>505</v>
      </c>
      <c r="D64" t="s">
        <v>505</v>
      </c>
      <c r="E64" t="s">
        <v>506</v>
      </c>
      <c r="F64">
        <v>98069273</v>
      </c>
      <c r="G64" t="s">
        <v>387</v>
      </c>
      <c r="H64" t="s">
        <v>387</v>
      </c>
      <c r="I64" t="s">
        <v>387</v>
      </c>
      <c r="J64" t="s">
        <v>680</v>
      </c>
      <c r="K64" t="s">
        <v>681</v>
      </c>
      <c r="L64" t="s">
        <v>387</v>
      </c>
      <c r="M64" t="s">
        <v>387</v>
      </c>
      <c r="N64" t="str">
        <f>VLOOKUP(C64,UB!A:A,1,0)</f>
        <v>SALIM IVOMAS PRATAMA, PT</v>
      </c>
    </row>
    <row r="65" spans="2:14" x14ac:dyDescent="0.25">
      <c r="B65" t="s">
        <v>732</v>
      </c>
      <c r="C65" t="s">
        <v>733</v>
      </c>
      <c r="D65" t="s">
        <v>734</v>
      </c>
      <c r="E65" t="s">
        <v>596</v>
      </c>
      <c r="F65">
        <v>97410253</v>
      </c>
      <c r="G65">
        <v>9120217170584</v>
      </c>
      <c r="H65" t="s">
        <v>735</v>
      </c>
      <c r="I65" t="s">
        <v>736</v>
      </c>
      <c r="J65" t="s">
        <v>701</v>
      </c>
      <c r="K65" t="s">
        <v>681</v>
      </c>
      <c r="L65" t="s">
        <v>387</v>
      </c>
      <c r="M65" t="s">
        <v>387</v>
      </c>
      <c r="N65" t="str">
        <f>VLOOKUP(C65,UB!A:A,1,0)</f>
        <v>BGR LOGISTIK INDONESIA, PT</v>
      </c>
    </row>
    <row r="66" spans="2:14" x14ac:dyDescent="0.25">
      <c r="B66" t="s">
        <v>737</v>
      </c>
      <c r="C66" t="s">
        <v>445</v>
      </c>
      <c r="D66" t="s">
        <v>445</v>
      </c>
      <c r="E66" t="s">
        <v>408</v>
      </c>
      <c r="F66">
        <v>61061729</v>
      </c>
      <c r="G66" t="s">
        <v>387</v>
      </c>
      <c r="H66" t="s">
        <v>387</v>
      </c>
      <c r="I66" t="s">
        <v>387</v>
      </c>
      <c r="J66" t="s">
        <v>680</v>
      </c>
      <c r="K66" t="s">
        <v>681</v>
      </c>
      <c r="L66" t="s">
        <v>387</v>
      </c>
      <c r="M66" t="s">
        <v>387</v>
      </c>
      <c r="N66" t="str">
        <f>VLOOKUP(C66,UB!A:A,1,0)</f>
        <v>TONG BITUNG JAYA</v>
      </c>
    </row>
    <row r="67" spans="2:14" x14ac:dyDescent="0.25">
      <c r="B67" t="s">
        <v>738</v>
      </c>
      <c r="C67" t="s">
        <v>410</v>
      </c>
      <c r="D67" t="s">
        <v>739</v>
      </c>
      <c r="E67" t="s">
        <v>411</v>
      </c>
      <c r="F67">
        <v>97714998</v>
      </c>
      <c r="G67" t="s">
        <v>387</v>
      </c>
      <c r="H67" t="s">
        <v>387</v>
      </c>
      <c r="I67" t="s">
        <v>387</v>
      </c>
      <c r="J67" t="s">
        <v>680</v>
      </c>
      <c r="K67" t="s">
        <v>681</v>
      </c>
      <c r="L67" t="s">
        <v>387</v>
      </c>
      <c r="M67" t="s">
        <v>387</v>
      </c>
      <c r="N67" t="str">
        <f>VLOOKUP(C67,UB!A:A,1,0)</f>
        <v>AGEN JUAL BERAS &lt;RAIS&gt;</v>
      </c>
    </row>
    <row r="68" spans="2:14" x14ac:dyDescent="0.25">
      <c r="B68" t="s">
        <v>740</v>
      </c>
      <c r="C68" t="s">
        <v>535</v>
      </c>
      <c r="D68" t="s">
        <v>741</v>
      </c>
      <c r="E68" t="s">
        <v>536</v>
      </c>
      <c r="F68">
        <v>97714944</v>
      </c>
      <c r="G68" t="s">
        <v>387</v>
      </c>
      <c r="H68" t="s">
        <v>387</v>
      </c>
      <c r="I68" t="s">
        <v>387</v>
      </c>
      <c r="J68" t="s">
        <v>680</v>
      </c>
      <c r="K68" t="s">
        <v>681</v>
      </c>
      <c r="L68" t="s">
        <v>387</v>
      </c>
      <c r="M68" t="s">
        <v>387</v>
      </c>
      <c r="N68" t="str">
        <f>VLOOKUP(C68,UB!A:A,1,0)</f>
        <v>TOKO ALVIN JAYA</v>
      </c>
    </row>
    <row r="69" spans="2:14" x14ac:dyDescent="0.25">
      <c r="B69" t="s">
        <v>742</v>
      </c>
      <c r="C69" t="s">
        <v>462</v>
      </c>
      <c r="D69" t="s">
        <v>462</v>
      </c>
      <c r="E69" t="s">
        <v>463</v>
      </c>
      <c r="F69">
        <v>2631074</v>
      </c>
      <c r="G69" t="s">
        <v>387</v>
      </c>
      <c r="H69" t="s">
        <v>743</v>
      </c>
      <c r="I69" t="s">
        <v>387</v>
      </c>
      <c r="J69" t="s">
        <v>680</v>
      </c>
      <c r="K69" t="s">
        <v>681</v>
      </c>
      <c r="L69" t="s">
        <v>387</v>
      </c>
      <c r="M69" t="s">
        <v>387</v>
      </c>
      <c r="N69" t="str">
        <f>VLOOKUP(C69,UB!A:A,1,0)</f>
        <v>ABADI NUSANTARA UTAMA</v>
      </c>
    </row>
    <row r="70" spans="2:14" x14ac:dyDescent="0.25">
      <c r="B70" t="s">
        <v>744</v>
      </c>
      <c r="C70" t="s">
        <v>617</v>
      </c>
      <c r="D70" t="s">
        <v>617</v>
      </c>
      <c r="E70" t="s">
        <v>618</v>
      </c>
      <c r="F70">
        <v>95333943</v>
      </c>
      <c r="G70" t="s">
        <v>387</v>
      </c>
      <c r="H70" t="s">
        <v>387</v>
      </c>
      <c r="I70" t="s">
        <v>387</v>
      </c>
      <c r="J70" t="s">
        <v>680</v>
      </c>
      <c r="K70" t="s">
        <v>681</v>
      </c>
      <c r="L70" t="s">
        <v>387</v>
      </c>
      <c r="M70" t="s">
        <v>387</v>
      </c>
      <c r="N70" t="str">
        <f>VLOOKUP(C70,UB!A:A,1,0)</f>
        <v>PT Sinar Mas Multifinance, Kantor Cabang Bitung</v>
      </c>
    </row>
    <row r="71" spans="2:14" x14ac:dyDescent="0.25">
      <c r="B71" t="s">
        <v>745</v>
      </c>
      <c r="C71" t="s">
        <v>629</v>
      </c>
      <c r="D71" t="s">
        <v>629</v>
      </c>
      <c r="E71" t="s">
        <v>630</v>
      </c>
      <c r="F71">
        <v>61061727</v>
      </c>
      <c r="G71" t="s">
        <v>387</v>
      </c>
      <c r="H71" t="s">
        <v>387</v>
      </c>
      <c r="I71" t="s">
        <v>387</v>
      </c>
      <c r="J71" t="s">
        <v>680</v>
      </c>
      <c r="K71" t="s">
        <v>681</v>
      </c>
      <c r="L71" t="s">
        <v>387</v>
      </c>
      <c r="M71" t="s">
        <v>387</v>
      </c>
      <c r="N71" t="str">
        <f>VLOOKUP(C71,UB!A:A,1,0)</f>
        <v>PT Multi Duta Cipta</v>
      </c>
    </row>
    <row r="72" spans="2:14" x14ac:dyDescent="0.25">
      <c r="B72" t="s">
        <v>746</v>
      </c>
      <c r="C72" t="s">
        <v>508</v>
      </c>
      <c r="D72" t="s">
        <v>508</v>
      </c>
      <c r="E72" t="s">
        <v>496</v>
      </c>
      <c r="F72">
        <v>97409748</v>
      </c>
      <c r="G72" t="s">
        <v>387</v>
      </c>
      <c r="H72" t="s">
        <v>747</v>
      </c>
      <c r="I72" t="s">
        <v>387</v>
      </c>
      <c r="J72" t="s">
        <v>680</v>
      </c>
      <c r="K72" t="s">
        <v>681</v>
      </c>
      <c r="L72" t="s">
        <v>387</v>
      </c>
      <c r="M72" t="s">
        <v>387</v>
      </c>
      <c r="N72" t="str">
        <f>VLOOKUP(C72,UB!A:A,1,0)</f>
        <v>TIGA BERLIAN ASIANA . PT</v>
      </c>
    </row>
    <row r="73" spans="2:14" x14ac:dyDescent="0.25">
      <c r="B73" t="s">
        <v>748</v>
      </c>
      <c r="C73" t="s">
        <v>436</v>
      </c>
      <c r="D73" t="s">
        <v>436</v>
      </c>
      <c r="E73" t="s">
        <v>437</v>
      </c>
      <c r="F73">
        <v>4127530</v>
      </c>
      <c r="G73" t="s">
        <v>387</v>
      </c>
      <c r="H73" t="s">
        <v>749</v>
      </c>
      <c r="I73" t="s">
        <v>387</v>
      </c>
      <c r="J73" t="s">
        <v>680</v>
      </c>
      <c r="K73" t="s">
        <v>681</v>
      </c>
      <c r="L73" t="s">
        <v>387</v>
      </c>
      <c r="M73" t="s">
        <v>387</v>
      </c>
      <c r="N73" t="str">
        <f>VLOOKUP(C73,UB!A:A,1,0)</f>
        <v>SINAR KARYA MEGA PERSADA</v>
      </c>
    </row>
    <row r="74" spans="2:14" x14ac:dyDescent="0.25">
      <c r="B74" t="s">
        <v>750</v>
      </c>
      <c r="C74" t="s">
        <v>541</v>
      </c>
      <c r="D74" t="s">
        <v>541</v>
      </c>
      <c r="E74" t="s">
        <v>542</v>
      </c>
      <c r="F74">
        <v>94418906</v>
      </c>
      <c r="G74" t="s">
        <v>387</v>
      </c>
      <c r="H74" t="s">
        <v>387</v>
      </c>
      <c r="I74" t="s">
        <v>387</v>
      </c>
      <c r="J74" t="s">
        <v>680</v>
      </c>
      <c r="K74" t="s">
        <v>681</v>
      </c>
      <c r="L74" t="s">
        <v>387</v>
      </c>
      <c r="M74" t="s">
        <v>387</v>
      </c>
      <c r="N74" t="str">
        <f>VLOOKUP(C74,UB!A:A,1,0)</f>
        <v>Bancaasurance BNI Life Sulawesi Utara VII</v>
      </c>
    </row>
    <row r="75" spans="2:14" x14ac:dyDescent="0.25">
      <c r="B75" t="s">
        <v>751</v>
      </c>
      <c r="C75" t="s">
        <v>425</v>
      </c>
      <c r="D75" t="s">
        <v>425</v>
      </c>
      <c r="E75" t="s">
        <v>426</v>
      </c>
      <c r="F75">
        <v>3245852</v>
      </c>
      <c r="G75" t="s">
        <v>387</v>
      </c>
      <c r="H75" t="s">
        <v>387</v>
      </c>
      <c r="I75" t="s">
        <v>387</v>
      </c>
      <c r="J75" t="s">
        <v>680</v>
      </c>
      <c r="K75" t="s">
        <v>681</v>
      </c>
      <c r="L75" t="s">
        <v>387</v>
      </c>
      <c r="M75" t="s">
        <v>387</v>
      </c>
      <c r="N75" t="str">
        <f>VLOOKUP(C75,UB!A:A,1,0)</f>
        <v>AWILTON NYIUR INTERNASIONAL</v>
      </c>
    </row>
    <row r="76" spans="2:14" x14ac:dyDescent="0.25">
      <c r="B76" t="s">
        <v>752</v>
      </c>
      <c r="C76" t="s">
        <v>474</v>
      </c>
      <c r="D76" t="s">
        <v>753</v>
      </c>
      <c r="E76" t="s">
        <v>471</v>
      </c>
      <c r="F76">
        <v>97411194</v>
      </c>
      <c r="G76" t="s">
        <v>387</v>
      </c>
      <c r="H76" t="s">
        <v>387</v>
      </c>
      <c r="I76" t="s">
        <v>387</v>
      </c>
      <c r="J76" t="s">
        <v>680</v>
      </c>
      <c r="K76" t="s">
        <v>681</v>
      </c>
      <c r="L76" t="s">
        <v>387</v>
      </c>
      <c r="M76" t="s">
        <v>387</v>
      </c>
      <c r="N76" t="str">
        <f>VLOOKUP(C76,UB!A:A,1,0)</f>
        <v>BRI UNIT PATETEN</v>
      </c>
    </row>
    <row r="77" spans="2:14" x14ac:dyDescent="0.25">
      <c r="B77" t="s">
        <v>754</v>
      </c>
      <c r="C77" t="s">
        <v>602</v>
      </c>
      <c r="D77" t="s">
        <v>602</v>
      </c>
      <c r="E77" t="s">
        <v>603</v>
      </c>
      <c r="F77">
        <v>97714783</v>
      </c>
      <c r="G77" t="s">
        <v>387</v>
      </c>
      <c r="H77" t="s">
        <v>387</v>
      </c>
      <c r="I77" t="s">
        <v>387</v>
      </c>
      <c r="J77" t="s">
        <v>680</v>
      </c>
      <c r="K77" t="s">
        <v>681</v>
      </c>
      <c r="L77" t="s">
        <v>387</v>
      </c>
      <c r="M77" t="s">
        <v>387</v>
      </c>
      <c r="N77" t="str">
        <f>VLOOKUP(C77,UB!A:A,1,0)</f>
        <v>DAUR ULANG BAN BEKAS</v>
      </c>
    </row>
    <row r="78" spans="2:14" x14ac:dyDescent="0.25">
      <c r="B78" t="s">
        <v>755</v>
      </c>
      <c r="C78" t="s">
        <v>517</v>
      </c>
      <c r="D78" t="s">
        <v>756</v>
      </c>
      <c r="E78" t="s">
        <v>518</v>
      </c>
      <c r="F78">
        <v>94437325</v>
      </c>
      <c r="G78" t="s">
        <v>387</v>
      </c>
      <c r="H78" t="s">
        <v>387</v>
      </c>
      <c r="I78" t="s">
        <v>387</v>
      </c>
      <c r="J78" t="s">
        <v>680</v>
      </c>
      <c r="K78" t="s">
        <v>681</v>
      </c>
      <c r="L78" t="s">
        <v>387</v>
      </c>
      <c r="M78" t="s">
        <v>387</v>
      </c>
      <c r="N78" t="str">
        <f>VLOOKUP(C78,UB!A:A,1,0)</f>
        <v>POS INDONESIA (PERSERO), PT</v>
      </c>
    </row>
    <row r="79" spans="2:14" x14ac:dyDescent="0.25">
      <c r="B79" t="s">
        <v>757</v>
      </c>
      <c r="C79" t="s">
        <v>609</v>
      </c>
      <c r="D79" t="s">
        <v>609</v>
      </c>
      <c r="E79" t="s">
        <v>610</v>
      </c>
      <c r="F79">
        <v>4352603</v>
      </c>
      <c r="G79" t="s">
        <v>387</v>
      </c>
      <c r="H79" t="s">
        <v>758</v>
      </c>
      <c r="I79" t="s">
        <v>387</v>
      </c>
      <c r="J79" t="s">
        <v>680</v>
      </c>
      <c r="K79" t="s">
        <v>681</v>
      </c>
      <c r="L79" t="s">
        <v>387</v>
      </c>
      <c r="M79" t="s">
        <v>387</v>
      </c>
      <c r="N79" t="str">
        <f>VLOOKUP(C79,UB!A:A,1,0)</f>
        <v>RIZKY KURNIA ABADI JAYA</v>
      </c>
    </row>
    <row r="80" spans="2:14" x14ac:dyDescent="0.25">
      <c r="B80" t="s">
        <v>759</v>
      </c>
      <c r="C80" t="s">
        <v>443</v>
      </c>
      <c r="D80" t="s">
        <v>443</v>
      </c>
      <c r="E80" t="s">
        <v>408</v>
      </c>
      <c r="F80">
        <v>61061730</v>
      </c>
      <c r="G80" t="s">
        <v>387</v>
      </c>
      <c r="H80" t="s">
        <v>387</v>
      </c>
      <c r="I80" t="s">
        <v>387</v>
      </c>
      <c r="J80" t="s">
        <v>680</v>
      </c>
      <c r="K80" t="s">
        <v>681</v>
      </c>
      <c r="L80" t="s">
        <v>387</v>
      </c>
      <c r="M80" t="s">
        <v>387</v>
      </c>
      <c r="N80" t="str">
        <f>VLOOKUP(C80,UB!A:A,1,0)</f>
        <v>ULAM LAUT NUSANTARA</v>
      </c>
    </row>
    <row r="81" spans="2:14" x14ac:dyDescent="0.25">
      <c r="B81" t="s">
        <v>760</v>
      </c>
      <c r="C81" t="s">
        <v>504</v>
      </c>
      <c r="D81" t="s">
        <v>761</v>
      </c>
      <c r="E81" t="s">
        <v>418</v>
      </c>
      <c r="F81">
        <v>4494201</v>
      </c>
      <c r="G81" t="s">
        <v>387</v>
      </c>
      <c r="H81" t="s">
        <v>762</v>
      </c>
      <c r="I81" t="s">
        <v>387</v>
      </c>
      <c r="J81" t="s">
        <v>680</v>
      </c>
      <c r="K81" t="s">
        <v>681</v>
      </c>
      <c r="L81" t="s">
        <v>387</v>
      </c>
      <c r="M81" t="s">
        <v>387</v>
      </c>
      <c r="N81" t="str">
        <f>VLOOKUP(C81,UB!A:A,1,0)</f>
        <v>CAHAYA KADOODAN</v>
      </c>
    </row>
    <row r="82" spans="2:14" x14ac:dyDescent="0.25">
      <c r="B82" t="s">
        <v>763</v>
      </c>
      <c r="C82" t="s">
        <v>593</v>
      </c>
      <c r="D82" t="s">
        <v>764</v>
      </c>
      <c r="E82" t="s">
        <v>591</v>
      </c>
      <c r="F82">
        <v>97714858</v>
      </c>
      <c r="G82" t="s">
        <v>387</v>
      </c>
      <c r="H82" t="s">
        <v>387</v>
      </c>
      <c r="I82" t="s">
        <v>387</v>
      </c>
      <c r="J82" t="s">
        <v>680</v>
      </c>
      <c r="K82" t="s">
        <v>681</v>
      </c>
      <c r="L82" t="s">
        <v>387</v>
      </c>
      <c r="M82" t="s">
        <v>387</v>
      </c>
      <c r="N82" t="str">
        <f>VLOOKUP(C82,UB!A:A,1,0)</f>
        <v>PABRIK TEMPE TAHU</v>
      </c>
    </row>
    <row r="83" spans="2:14" x14ac:dyDescent="0.25">
      <c r="B83" t="s">
        <v>765</v>
      </c>
      <c r="C83" t="s">
        <v>449</v>
      </c>
      <c r="D83" t="s">
        <v>766</v>
      </c>
      <c r="E83" t="s">
        <v>451</v>
      </c>
      <c r="F83">
        <v>94431373</v>
      </c>
      <c r="G83" t="s">
        <v>387</v>
      </c>
      <c r="H83" t="s">
        <v>387</v>
      </c>
      <c r="I83" t="s">
        <v>387</v>
      </c>
      <c r="J83" t="s">
        <v>680</v>
      </c>
      <c r="K83" t="s">
        <v>681</v>
      </c>
      <c r="L83" t="s">
        <v>387</v>
      </c>
      <c r="M83" t="s">
        <v>387</v>
      </c>
      <c r="N83" t="str">
        <f>VLOOKUP(C83,UB!A:A,1,0)</f>
        <v>PEGADAIAN, PT</v>
      </c>
    </row>
    <row r="84" spans="2:14" x14ac:dyDescent="0.25">
      <c r="B84" t="s">
        <v>767</v>
      </c>
      <c r="C84" t="s">
        <v>635</v>
      </c>
      <c r="D84" t="s">
        <v>768</v>
      </c>
      <c r="E84" t="s">
        <v>636</v>
      </c>
      <c r="F84">
        <v>7479285</v>
      </c>
      <c r="G84" t="s">
        <v>387</v>
      </c>
      <c r="H84" t="s">
        <v>769</v>
      </c>
      <c r="I84" t="s">
        <v>387</v>
      </c>
      <c r="J84" t="s">
        <v>680</v>
      </c>
      <c r="K84" t="s">
        <v>681</v>
      </c>
      <c r="L84" t="s">
        <v>387</v>
      </c>
      <c r="M84" t="s">
        <v>387</v>
      </c>
      <c r="N84" t="str">
        <f>VLOOKUP(C84,UB!A:A,1,0)</f>
        <v>PT. KABASARAN TRITIS INTERNASIONAL</v>
      </c>
    </row>
    <row r="85" spans="2:14" x14ac:dyDescent="0.25">
      <c r="B85" t="s">
        <v>770</v>
      </c>
      <c r="C85" t="s">
        <v>435</v>
      </c>
      <c r="D85" t="s">
        <v>435</v>
      </c>
      <c r="E85" t="s">
        <v>424</v>
      </c>
      <c r="F85">
        <v>97410041</v>
      </c>
      <c r="G85" t="s">
        <v>387</v>
      </c>
      <c r="H85" t="s">
        <v>387</v>
      </c>
      <c r="I85" t="s">
        <v>387</v>
      </c>
      <c r="J85" t="s">
        <v>680</v>
      </c>
      <c r="K85" t="s">
        <v>681</v>
      </c>
      <c r="L85" t="s">
        <v>387</v>
      </c>
      <c r="M85" t="s">
        <v>387</v>
      </c>
      <c r="N85" t="str">
        <f>VLOOKUP(C85,UB!A:A,1,0)</f>
        <v>pt. bANK rAKYAT iNDONESIA UNIT SAGERAT</v>
      </c>
    </row>
    <row r="86" spans="2:14" x14ac:dyDescent="0.25">
      <c r="B86" t="s">
        <v>771</v>
      </c>
      <c r="C86" t="s">
        <v>607</v>
      </c>
      <c r="D86" t="s">
        <v>772</v>
      </c>
      <c r="E86" t="s">
        <v>608</v>
      </c>
      <c r="F86">
        <v>97714810</v>
      </c>
      <c r="G86" t="s">
        <v>387</v>
      </c>
      <c r="H86" t="s">
        <v>387</v>
      </c>
      <c r="I86" t="s">
        <v>387</v>
      </c>
      <c r="J86" t="s">
        <v>680</v>
      </c>
      <c r="K86" t="s">
        <v>681</v>
      </c>
      <c r="L86" t="s">
        <v>387</v>
      </c>
      <c r="M86" t="s">
        <v>387</v>
      </c>
      <c r="N86" t="str">
        <f>VLOOKUP(C86,UB!A:A,1,0)</f>
        <v>JUAL AYAM &lt;SARTON&gt;</v>
      </c>
    </row>
    <row r="87" spans="2:14" x14ac:dyDescent="0.25">
      <c r="B87" t="s">
        <v>773</v>
      </c>
      <c r="C87" t="s">
        <v>519</v>
      </c>
      <c r="D87" t="s">
        <v>774</v>
      </c>
      <c r="E87" t="s">
        <v>520</v>
      </c>
      <c r="F87">
        <v>94440349</v>
      </c>
      <c r="G87" t="s">
        <v>387</v>
      </c>
      <c r="H87" t="s">
        <v>387</v>
      </c>
      <c r="I87" t="s">
        <v>387</v>
      </c>
      <c r="J87" t="s">
        <v>680</v>
      </c>
      <c r="K87" t="s">
        <v>681</v>
      </c>
      <c r="L87" t="s">
        <v>387</v>
      </c>
      <c r="M87" t="s">
        <v>387</v>
      </c>
      <c r="N87" t="str">
        <f>VLOOKUP(C87,UB!A:A,1,0)</f>
        <v>CATALIST INTEGRA PRIMA SUKSES, PT</v>
      </c>
    </row>
    <row r="88" spans="2:14" x14ac:dyDescent="0.25">
      <c r="B88" t="s">
        <v>775</v>
      </c>
      <c r="C88" t="s">
        <v>531</v>
      </c>
      <c r="D88" t="s">
        <v>531</v>
      </c>
      <c r="E88" t="s">
        <v>532</v>
      </c>
      <c r="F88">
        <v>3069234</v>
      </c>
      <c r="G88" t="s">
        <v>387</v>
      </c>
      <c r="H88" t="s">
        <v>776</v>
      </c>
      <c r="I88" t="s">
        <v>387</v>
      </c>
      <c r="J88" t="s">
        <v>680</v>
      </c>
      <c r="K88" t="s">
        <v>681</v>
      </c>
      <c r="L88" t="s">
        <v>387</v>
      </c>
      <c r="M88" t="s">
        <v>387</v>
      </c>
      <c r="N88" t="str">
        <f>VLOOKUP(C88,UB!A:A,1,0)</f>
        <v>BANK CENTRAL ASIA TBK.</v>
      </c>
    </row>
    <row r="89" spans="2:14" x14ac:dyDescent="0.25">
      <c r="B89" t="s">
        <v>777</v>
      </c>
      <c r="C89" t="s">
        <v>472</v>
      </c>
      <c r="D89" t="s">
        <v>472</v>
      </c>
      <c r="E89" t="s">
        <v>473</v>
      </c>
      <c r="F89">
        <v>2560949</v>
      </c>
      <c r="G89" t="s">
        <v>387</v>
      </c>
      <c r="H89" t="s">
        <v>778</v>
      </c>
      <c r="I89" t="s">
        <v>387</v>
      </c>
      <c r="J89" t="s">
        <v>680</v>
      </c>
      <c r="K89" t="s">
        <v>681</v>
      </c>
      <c r="L89" t="s">
        <v>387</v>
      </c>
      <c r="M89" t="s">
        <v>387</v>
      </c>
      <c r="N89" t="str">
        <f>VLOOKUP(C89,UB!A:A,1,0)</f>
        <v>BANK SYARIAH MEGA INDONESIA</v>
      </c>
    </row>
    <row r="90" spans="2:14" x14ac:dyDescent="0.25">
      <c r="B90" t="s">
        <v>779</v>
      </c>
      <c r="C90" t="s">
        <v>449</v>
      </c>
      <c r="D90" t="s">
        <v>780</v>
      </c>
      <c r="E90" t="s">
        <v>450</v>
      </c>
      <c r="F90">
        <v>94431546</v>
      </c>
      <c r="G90" t="s">
        <v>387</v>
      </c>
      <c r="H90" t="s">
        <v>781</v>
      </c>
      <c r="I90" t="s">
        <v>387</v>
      </c>
      <c r="J90" t="s">
        <v>680</v>
      </c>
      <c r="K90" t="s">
        <v>681</v>
      </c>
      <c r="L90" t="s">
        <v>387</v>
      </c>
      <c r="M90" t="s">
        <v>387</v>
      </c>
      <c r="N90" t="str">
        <f>VLOOKUP(C90,UB!A:A,1,0)</f>
        <v>PEGADAIAN, PT</v>
      </c>
    </row>
    <row r="91" spans="2:14" x14ac:dyDescent="0.25">
      <c r="B91" t="s">
        <v>782</v>
      </c>
      <c r="C91" t="s">
        <v>579</v>
      </c>
      <c r="D91" t="s">
        <v>579</v>
      </c>
      <c r="E91" t="s">
        <v>580</v>
      </c>
      <c r="F91">
        <v>2689579</v>
      </c>
      <c r="G91" t="s">
        <v>387</v>
      </c>
      <c r="H91" t="s">
        <v>783</v>
      </c>
      <c r="I91" t="s">
        <v>387</v>
      </c>
      <c r="J91" t="s">
        <v>680</v>
      </c>
      <c r="K91" t="s">
        <v>681</v>
      </c>
      <c r="L91" t="s">
        <v>387</v>
      </c>
      <c r="M91" t="s">
        <v>387</v>
      </c>
      <c r="N91" t="str">
        <f>VLOOKUP(C91,UB!A:A,1,0)</f>
        <v>CELEBES MINAPRATAMA</v>
      </c>
    </row>
    <row r="92" spans="2:14" x14ac:dyDescent="0.25">
      <c r="B92" t="s">
        <v>784</v>
      </c>
      <c r="C92" t="s">
        <v>428</v>
      </c>
      <c r="D92" t="s">
        <v>785</v>
      </c>
      <c r="E92" t="s">
        <v>427</v>
      </c>
      <c r="F92">
        <v>3863833</v>
      </c>
      <c r="G92" t="s">
        <v>387</v>
      </c>
      <c r="H92" t="s">
        <v>786</v>
      </c>
      <c r="I92" t="s">
        <v>387</v>
      </c>
      <c r="J92" t="s">
        <v>680</v>
      </c>
      <c r="K92" t="s">
        <v>681</v>
      </c>
      <c r="L92" t="s">
        <v>387</v>
      </c>
      <c r="M92" t="s">
        <v>387</v>
      </c>
      <c r="N92" t="str">
        <f>VLOOKUP(C92,UB!A:A,1,0)</f>
        <v>MAPALUS MAKAWANUA CHARCOAL -INDUSTRY, PT</v>
      </c>
    </row>
    <row r="93" spans="2:14" x14ac:dyDescent="0.25">
      <c r="B93" t="s">
        <v>787</v>
      </c>
      <c r="C93" t="s">
        <v>497</v>
      </c>
      <c r="D93" t="s">
        <v>497</v>
      </c>
      <c r="E93" t="s">
        <v>498</v>
      </c>
      <c r="F93">
        <v>97409593</v>
      </c>
      <c r="G93">
        <v>8120007850271</v>
      </c>
      <c r="H93" t="s">
        <v>788</v>
      </c>
      <c r="I93" t="s">
        <v>405</v>
      </c>
      <c r="J93" t="s">
        <v>701</v>
      </c>
      <c r="K93" t="s">
        <v>681</v>
      </c>
      <c r="L93" t="s">
        <v>387</v>
      </c>
      <c r="M93" t="s">
        <v>387</v>
      </c>
      <c r="N93" t="str">
        <f>VLOOKUP(C93,UB!A:A,1,0)</f>
        <v>KERISMAS WITIKCO MAKMUR, PT</v>
      </c>
    </row>
    <row r="94" spans="2:14" x14ac:dyDescent="0.25">
      <c r="B94" t="s">
        <v>789</v>
      </c>
      <c r="C94" t="s">
        <v>612</v>
      </c>
      <c r="D94" t="s">
        <v>612</v>
      </c>
      <c r="E94" t="s">
        <v>613</v>
      </c>
      <c r="F94">
        <v>4340692</v>
      </c>
      <c r="G94" t="s">
        <v>387</v>
      </c>
      <c r="H94" t="s">
        <v>790</v>
      </c>
      <c r="I94" t="s">
        <v>387</v>
      </c>
      <c r="J94" t="s">
        <v>680</v>
      </c>
      <c r="K94" t="s">
        <v>687</v>
      </c>
      <c r="L94" t="s">
        <v>387</v>
      </c>
      <c r="M94" t="s">
        <v>387</v>
      </c>
      <c r="N94" t="str">
        <f>VLOOKUP(C94,UB!A:A,1,0)</f>
        <v>BANK PERKREDITAN RAKYAT DANAKU MAPAN LESTARI</v>
      </c>
    </row>
    <row r="95" spans="2:14" x14ac:dyDescent="0.25">
      <c r="B95" t="s">
        <v>791</v>
      </c>
      <c r="C95" t="s">
        <v>537</v>
      </c>
      <c r="D95" t="s">
        <v>537</v>
      </c>
      <c r="E95" t="s">
        <v>538</v>
      </c>
      <c r="F95">
        <v>94412159</v>
      </c>
      <c r="G95" t="s">
        <v>387</v>
      </c>
      <c r="H95" t="s">
        <v>387</v>
      </c>
      <c r="I95" t="s">
        <v>387</v>
      </c>
      <c r="J95" t="s">
        <v>680</v>
      </c>
      <c r="K95" t="s">
        <v>681</v>
      </c>
      <c r="L95" t="s">
        <v>387</v>
      </c>
      <c r="M95" t="s">
        <v>387</v>
      </c>
      <c r="N95" t="str">
        <f>VLOOKUP(C95,UB!A:A,1,0)</f>
        <v>PT Bank Danamon Tbk., Kantor Cabang Bitung-Yos Sudarso</v>
      </c>
    </row>
    <row r="96" spans="2:14" x14ac:dyDescent="0.25">
      <c r="B96" t="s">
        <v>792</v>
      </c>
      <c r="C96" t="s">
        <v>549</v>
      </c>
      <c r="D96" t="s">
        <v>549</v>
      </c>
      <c r="E96" t="s">
        <v>550</v>
      </c>
      <c r="F96">
        <v>97411737</v>
      </c>
      <c r="G96" t="s">
        <v>387</v>
      </c>
      <c r="H96" t="s">
        <v>387</v>
      </c>
      <c r="I96" t="s">
        <v>387</v>
      </c>
      <c r="J96" t="s">
        <v>680</v>
      </c>
      <c r="K96" t="s">
        <v>681</v>
      </c>
      <c r="L96" t="s">
        <v>387</v>
      </c>
      <c r="M96" t="s">
        <v>387</v>
      </c>
      <c r="N96" t="str">
        <f>VLOOKUP(C96,UB!A:A,1,0)</f>
        <v>BANK BRI pt</v>
      </c>
    </row>
    <row r="97" spans="2:14" x14ac:dyDescent="0.25">
      <c r="B97" t="s">
        <v>793</v>
      </c>
      <c r="C97" t="s">
        <v>633</v>
      </c>
      <c r="D97" t="s">
        <v>794</v>
      </c>
      <c r="E97" t="s">
        <v>634</v>
      </c>
      <c r="F97">
        <v>7479287</v>
      </c>
      <c r="G97" t="s">
        <v>387</v>
      </c>
      <c r="H97" t="s">
        <v>795</v>
      </c>
      <c r="I97" t="s">
        <v>387</v>
      </c>
      <c r="J97" t="s">
        <v>680</v>
      </c>
      <c r="K97" t="s">
        <v>681</v>
      </c>
      <c r="L97" t="s">
        <v>387</v>
      </c>
      <c r="M97" t="s">
        <v>387</v>
      </c>
      <c r="N97" t="str">
        <f>VLOOKUP(C97,UB!A:A,1,0)</f>
        <v>PT. TONG BITUNG JAYA</v>
      </c>
    </row>
    <row r="98" spans="2:14" x14ac:dyDescent="0.25">
      <c r="B98" t="s">
        <v>796</v>
      </c>
      <c r="C98" t="s">
        <v>449</v>
      </c>
      <c r="D98" t="s">
        <v>797</v>
      </c>
      <c r="E98" t="s">
        <v>543</v>
      </c>
      <c r="F98">
        <v>94431555</v>
      </c>
      <c r="G98" t="s">
        <v>387</v>
      </c>
      <c r="H98" t="s">
        <v>387</v>
      </c>
      <c r="I98" t="s">
        <v>387</v>
      </c>
      <c r="J98" t="s">
        <v>680</v>
      </c>
      <c r="K98" t="s">
        <v>681</v>
      </c>
      <c r="L98" t="s">
        <v>387</v>
      </c>
      <c r="M98" t="s">
        <v>387</v>
      </c>
      <c r="N98" t="str">
        <f>VLOOKUP(C98,UB!A:A,1,0)</f>
        <v>PEGADAIAN, PT</v>
      </c>
    </row>
    <row r="99" spans="2:14" x14ac:dyDescent="0.25">
      <c r="B99" t="s">
        <v>798</v>
      </c>
      <c r="C99" t="s">
        <v>501</v>
      </c>
      <c r="D99" t="s">
        <v>799</v>
      </c>
      <c r="E99" t="s">
        <v>418</v>
      </c>
      <c r="F99">
        <v>97714183</v>
      </c>
      <c r="G99" t="s">
        <v>387</v>
      </c>
      <c r="H99" t="s">
        <v>387</v>
      </c>
      <c r="I99" t="s">
        <v>387</v>
      </c>
      <c r="J99" t="s">
        <v>680</v>
      </c>
      <c r="K99" t="s">
        <v>681</v>
      </c>
      <c r="L99" t="s">
        <v>387</v>
      </c>
      <c r="M99" t="s">
        <v>387</v>
      </c>
      <c r="N99" t="str">
        <f>VLOOKUP(C99,UB!A:A,1,0)</f>
        <v>TOKO SEMBAKO REGION</v>
      </c>
    </row>
    <row r="100" spans="2:14" x14ac:dyDescent="0.25">
      <c r="B100" t="s">
        <v>800</v>
      </c>
      <c r="C100" t="s">
        <v>470</v>
      </c>
      <c r="D100" t="s">
        <v>801</v>
      </c>
      <c r="E100" t="s">
        <v>471</v>
      </c>
      <c r="F100">
        <v>3085868</v>
      </c>
      <c r="G100" t="s">
        <v>387</v>
      </c>
      <c r="H100" t="s">
        <v>802</v>
      </c>
      <c r="I100" t="s">
        <v>387</v>
      </c>
      <c r="J100" t="s">
        <v>680</v>
      </c>
      <c r="K100" t="s">
        <v>681</v>
      </c>
      <c r="L100" t="s">
        <v>387</v>
      </c>
      <c r="M100" t="s">
        <v>387</v>
      </c>
      <c r="N100" t="str">
        <f>VLOOKUP(C100,UB!A:A,1,0)</f>
        <v>PEDAGANG REMPAH &lt;SULEMAN&gt;</v>
      </c>
    </row>
    <row r="101" spans="2:14" x14ac:dyDescent="0.25">
      <c r="B101" t="s">
        <v>803</v>
      </c>
      <c r="C101" t="s">
        <v>416</v>
      </c>
      <c r="D101" t="s">
        <v>416</v>
      </c>
      <c r="E101" t="s">
        <v>417</v>
      </c>
      <c r="F101">
        <v>97409783</v>
      </c>
      <c r="G101" t="s">
        <v>387</v>
      </c>
      <c r="H101" t="s">
        <v>804</v>
      </c>
      <c r="I101" t="s">
        <v>387</v>
      </c>
      <c r="J101" t="s">
        <v>680</v>
      </c>
      <c r="K101" t="s">
        <v>681</v>
      </c>
      <c r="L101" t="s">
        <v>387</v>
      </c>
      <c r="M101" t="s">
        <v>387</v>
      </c>
      <c r="N101" t="str">
        <f>VLOOKUP(C101,UB!A:A,1,0)</f>
        <v>SAMUDRA MANDIRI SENTOSA PT</v>
      </c>
    </row>
    <row r="102" spans="2:14" x14ac:dyDescent="0.25">
      <c r="B102" t="s">
        <v>805</v>
      </c>
      <c r="C102" t="s">
        <v>527</v>
      </c>
      <c r="D102" t="s">
        <v>527</v>
      </c>
      <c r="E102" t="s">
        <v>528</v>
      </c>
      <c r="F102">
        <v>6626887</v>
      </c>
      <c r="G102" t="s">
        <v>387</v>
      </c>
      <c r="H102" t="s">
        <v>387</v>
      </c>
      <c r="I102" t="s">
        <v>387</v>
      </c>
      <c r="J102" t="s">
        <v>680</v>
      </c>
      <c r="K102" t="s">
        <v>681</v>
      </c>
      <c r="L102" t="s">
        <v>387</v>
      </c>
      <c r="M102" t="s">
        <v>387</v>
      </c>
      <c r="N102" t="str">
        <f>VLOOKUP(C102,UB!A:A,1,0)</f>
        <v>PT. DAYAMITRA TELEKOMUNIKASI</v>
      </c>
    </row>
    <row r="103" spans="2:14" x14ac:dyDescent="0.25">
      <c r="B103" t="s">
        <v>806</v>
      </c>
      <c r="C103" t="s">
        <v>589</v>
      </c>
      <c r="D103" t="s">
        <v>807</v>
      </c>
      <c r="E103" t="s">
        <v>590</v>
      </c>
      <c r="F103">
        <v>97714854</v>
      </c>
      <c r="G103" t="s">
        <v>387</v>
      </c>
      <c r="H103" t="s">
        <v>387</v>
      </c>
      <c r="I103" t="s">
        <v>387</v>
      </c>
      <c r="J103" t="s">
        <v>680</v>
      </c>
      <c r="K103" t="s">
        <v>681</v>
      </c>
      <c r="L103" t="s">
        <v>387</v>
      </c>
      <c r="M103" t="s">
        <v>387</v>
      </c>
      <c r="N103" t="str">
        <f>VLOOKUP(C103,UB!A:A,1,0)</f>
        <v>WARUNG SEMBAKO &lt;HENI&gt;</v>
      </c>
    </row>
    <row r="104" spans="2:14" x14ac:dyDescent="0.25">
      <c r="B104" t="s">
        <v>808</v>
      </c>
      <c r="C104" t="s">
        <v>628</v>
      </c>
      <c r="D104" t="s">
        <v>628</v>
      </c>
      <c r="E104" t="s">
        <v>408</v>
      </c>
      <c r="F104">
        <v>61061723</v>
      </c>
      <c r="G104" t="s">
        <v>387</v>
      </c>
      <c r="H104" t="s">
        <v>387</v>
      </c>
      <c r="I104" t="s">
        <v>387</v>
      </c>
      <c r="J104" t="s">
        <v>680</v>
      </c>
      <c r="K104" t="s">
        <v>681</v>
      </c>
      <c r="L104" t="s">
        <v>387</v>
      </c>
      <c r="M104" t="s">
        <v>387</v>
      </c>
      <c r="N104" t="str">
        <f>VLOOKUP(C104,UB!A:A,1,0)</f>
        <v>CITRA SAMUDRA NUSANTARA</v>
      </c>
    </row>
    <row r="105" spans="2:14" x14ac:dyDescent="0.25">
      <c r="B105" t="s">
        <v>809</v>
      </c>
      <c r="C105" t="s">
        <v>556</v>
      </c>
      <c r="D105" t="s">
        <v>556</v>
      </c>
      <c r="E105" t="s">
        <v>557</v>
      </c>
      <c r="F105">
        <v>6475484</v>
      </c>
      <c r="G105" t="s">
        <v>387</v>
      </c>
      <c r="H105" t="s">
        <v>387</v>
      </c>
      <c r="I105" t="s">
        <v>387</v>
      </c>
      <c r="J105" t="s">
        <v>680</v>
      </c>
      <c r="K105" t="s">
        <v>681</v>
      </c>
      <c r="L105" t="s">
        <v>387</v>
      </c>
      <c r="M105" t="s">
        <v>387</v>
      </c>
      <c r="N105" t="str">
        <f>VLOOKUP(C105,UB!A:A,1,0)</f>
        <v>PT BANK NEGARA INDONESIA CABANG BITUNG</v>
      </c>
    </row>
    <row r="106" spans="2:14" x14ac:dyDescent="0.25">
      <c r="B106" t="s">
        <v>810</v>
      </c>
      <c r="C106" t="s">
        <v>449</v>
      </c>
      <c r="D106" t="s">
        <v>811</v>
      </c>
      <c r="E106" t="s">
        <v>583</v>
      </c>
      <c r="F106">
        <v>94431543</v>
      </c>
      <c r="G106" t="s">
        <v>387</v>
      </c>
      <c r="H106" t="s">
        <v>812</v>
      </c>
      <c r="I106" t="s">
        <v>387</v>
      </c>
      <c r="J106" t="s">
        <v>680</v>
      </c>
      <c r="K106" t="s">
        <v>681</v>
      </c>
      <c r="L106" t="s">
        <v>387</v>
      </c>
      <c r="M106" t="s">
        <v>387</v>
      </c>
      <c r="N106" t="str">
        <f>VLOOKUP(C106,UB!A:A,1,0)</f>
        <v>PEGADAIAN, PT</v>
      </c>
    </row>
    <row r="107" spans="2:14" x14ac:dyDescent="0.25">
      <c r="B107" t="s">
        <v>813</v>
      </c>
      <c r="C107" t="s">
        <v>509</v>
      </c>
      <c r="D107" t="s">
        <v>509</v>
      </c>
      <c r="E107" t="s">
        <v>510</v>
      </c>
      <c r="F107">
        <v>97409253</v>
      </c>
      <c r="G107" t="s">
        <v>387</v>
      </c>
      <c r="H107" t="s">
        <v>814</v>
      </c>
      <c r="I107" t="s">
        <v>387</v>
      </c>
      <c r="J107" t="s">
        <v>680</v>
      </c>
      <c r="K107" t="s">
        <v>681</v>
      </c>
      <c r="L107" t="s">
        <v>387</v>
      </c>
      <c r="M107" t="s">
        <v>387</v>
      </c>
      <c r="N107" t="str">
        <f>VLOOKUP(C107,UB!A:A,1,0)</f>
        <v>MULTI NABATI SULAWESI PT</v>
      </c>
    </row>
    <row r="108" spans="2:14" x14ac:dyDescent="0.25">
      <c r="B108" t="s">
        <v>815</v>
      </c>
      <c r="C108" t="s">
        <v>413</v>
      </c>
      <c r="D108" t="s">
        <v>816</v>
      </c>
      <c r="E108" t="s">
        <v>414</v>
      </c>
      <c r="F108">
        <v>97714740</v>
      </c>
      <c r="G108" t="s">
        <v>387</v>
      </c>
      <c r="H108" t="s">
        <v>387</v>
      </c>
      <c r="I108" t="s">
        <v>387</v>
      </c>
      <c r="J108" t="s">
        <v>680</v>
      </c>
      <c r="K108" t="s">
        <v>681</v>
      </c>
      <c r="L108" t="s">
        <v>387</v>
      </c>
      <c r="M108" t="s">
        <v>387</v>
      </c>
      <c r="N108" t="str">
        <f>VLOOKUP(C108,UB!A:A,1,0)</f>
        <v>TEMPAT JUAL PAKAN TERNAK</v>
      </c>
    </row>
    <row r="109" spans="2:14" x14ac:dyDescent="0.25">
      <c r="B109" t="s">
        <v>817</v>
      </c>
      <c r="C109" t="s">
        <v>638</v>
      </c>
      <c r="D109" t="s">
        <v>818</v>
      </c>
      <c r="E109" t="s">
        <v>623</v>
      </c>
      <c r="F109">
        <v>6085375</v>
      </c>
      <c r="G109" t="s">
        <v>387</v>
      </c>
      <c r="H109" t="s">
        <v>387</v>
      </c>
      <c r="I109" t="s">
        <v>387</v>
      </c>
      <c r="J109" t="s">
        <v>680</v>
      </c>
      <c r="K109" t="s">
        <v>681</v>
      </c>
      <c r="L109" t="s">
        <v>387</v>
      </c>
      <c r="M109" t="s">
        <v>387</v>
      </c>
      <c r="N109" t="str">
        <f>VLOOKUP(C109,UB!A:A,1,0)</f>
        <v>INDO JAYA FORTUNA, PT</v>
      </c>
    </row>
    <row r="110" spans="2:14" x14ac:dyDescent="0.25">
      <c r="B110" t="s">
        <v>819</v>
      </c>
      <c r="C110" t="s">
        <v>529</v>
      </c>
      <c r="D110" t="s">
        <v>529</v>
      </c>
      <c r="E110" t="s">
        <v>530</v>
      </c>
      <c r="F110">
        <v>97411640</v>
      </c>
      <c r="G110" t="s">
        <v>387</v>
      </c>
      <c r="H110" t="s">
        <v>387</v>
      </c>
      <c r="I110" t="s">
        <v>387</v>
      </c>
      <c r="J110" t="s">
        <v>680</v>
      </c>
      <c r="K110" t="s">
        <v>681</v>
      </c>
      <c r="L110" t="s">
        <v>387</v>
      </c>
      <c r="M110" t="s">
        <v>387</v>
      </c>
      <c r="N110" t="str">
        <f>VLOOKUP(C110,UB!A:A,1,0)</f>
        <v>PT BANK SYARIAH MANDIRI/BANK Syariah Indonesia</v>
      </c>
    </row>
    <row r="111" spans="2:14" x14ac:dyDescent="0.25">
      <c r="B111" t="s">
        <v>820</v>
      </c>
      <c r="C111" t="s">
        <v>438</v>
      </c>
      <c r="D111" t="s">
        <v>438</v>
      </c>
      <c r="E111" t="s">
        <v>439</v>
      </c>
      <c r="F111">
        <v>94431391</v>
      </c>
      <c r="G111" t="s">
        <v>387</v>
      </c>
      <c r="H111" t="s">
        <v>387</v>
      </c>
      <c r="I111" t="s">
        <v>387</v>
      </c>
      <c r="J111" t="s">
        <v>680</v>
      </c>
      <c r="K111" t="s">
        <v>681</v>
      </c>
      <c r="L111" t="s">
        <v>387</v>
      </c>
      <c r="M111" t="s">
        <v>387</v>
      </c>
      <c r="N111" t="str">
        <f>VLOOKUP(C111,UB!A:A,1,0)</f>
        <v>PT Pegadaian Persero UPC MANEMBO NEMBO</v>
      </c>
    </row>
    <row r="112" spans="2:14" x14ac:dyDescent="0.25">
      <c r="B112" t="s">
        <v>821</v>
      </c>
      <c r="C112" t="s">
        <v>546</v>
      </c>
      <c r="D112" t="s">
        <v>546</v>
      </c>
      <c r="E112" t="s">
        <v>547</v>
      </c>
      <c r="F112">
        <v>2525681</v>
      </c>
      <c r="G112" t="s">
        <v>387</v>
      </c>
      <c r="H112" t="s">
        <v>822</v>
      </c>
      <c r="I112" t="s">
        <v>387</v>
      </c>
      <c r="J112" t="s">
        <v>680</v>
      </c>
      <c r="K112" t="s">
        <v>681</v>
      </c>
      <c r="L112" t="s">
        <v>387</v>
      </c>
      <c r="M112" t="s">
        <v>387</v>
      </c>
      <c r="N112" t="str">
        <f>VLOOKUP(C112,UB!A:A,1,0)</f>
        <v>BANK NEGARA INDONESIA</v>
      </c>
    </row>
    <row r="113" spans="2:14" x14ac:dyDescent="0.25">
      <c r="B113" t="s">
        <v>823</v>
      </c>
      <c r="C113" t="s">
        <v>499</v>
      </c>
      <c r="D113" t="s">
        <v>499</v>
      </c>
      <c r="E113" t="s">
        <v>500</v>
      </c>
      <c r="F113">
        <v>6629953</v>
      </c>
      <c r="G113" t="s">
        <v>387</v>
      </c>
      <c r="H113" t="s">
        <v>387</v>
      </c>
      <c r="I113" t="s">
        <v>387</v>
      </c>
      <c r="J113" t="s">
        <v>680</v>
      </c>
      <c r="K113" t="s">
        <v>681</v>
      </c>
      <c r="L113" t="s">
        <v>387</v>
      </c>
      <c r="M113" t="s">
        <v>387</v>
      </c>
      <c r="N113" t="str">
        <f>VLOOKUP(C113,UB!A:A,1,0)</f>
        <v>TOWER BERSAMA, PT</v>
      </c>
    </row>
    <row r="114" spans="2:14" x14ac:dyDescent="0.25">
      <c r="B114" t="s">
        <v>824</v>
      </c>
      <c r="C114" t="s">
        <v>452</v>
      </c>
      <c r="D114" t="s">
        <v>825</v>
      </c>
      <c r="E114" t="s">
        <v>453</v>
      </c>
      <c r="F114">
        <v>97714960</v>
      </c>
      <c r="G114" t="s">
        <v>387</v>
      </c>
      <c r="H114" t="s">
        <v>387</v>
      </c>
      <c r="I114" t="s">
        <v>387</v>
      </c>
      <c r="J114" t="s">
        <v>680</v>
      </c>
      <c r="K114" t="s">
        <v>681</v>
      </c>
      <c r="L114" t="s">
        <v>387</v>
      </c>
      <c r="M114" t="s">
        <v>387</v>
      </c>
      <c r="N114" t="str">
        <f>VLOOKUP(C114,UB!A:A,1,0)</f>
        <v>JUAL DAGING SAPI &lt;HJ.RINTO&gt;</v>
      </c>
    </row>
    <row r="115" spans="2:14" x14ac:dyDescent="0.25">
      <c r="B115" t="s">
        <v>826</v>
      </c>
      <c r="C115" t="s">
        <v>524</v>
      </c>
      <c r="D115" t="s">
        <v>827</v>
      </c>
      <c r="E115" t="s">
        <v>453</v>
      </c>
      <c r="F115">
        <v>97714621</v>
      </c>
      <c r="G115" t="s">
        <v>387</v>
      </c>
      <c r="H115" t="s">
        <v>387</v>
      </c>
      <c r="I115" t="s">
        <v>387</v>
      </c>
      <c r="J115" t="s">
        <v>680</v>
      </c>
      <c r="K115" t="s">
        <v>681</v>
      </c>
      <c r="L115" t="s">
        <v>387</v>
      </c>
      <c r="M115" t="s">
        <v>387</v>
      </c>
      <c r="N115" t="str">
        <f>VLOOKUP(C115,UB!A:A,1,0)</f>
        <v>JUAL IKAN SEGAR (NURDIN)</v>
      </c>
    </row>
    <row r="116" spans="2:14" x14ac:dyDescent="0.25">
      <c r="B116" t="s">
        <v>828</v>
      </c>
      <c r="C116" t="s">
        <v>616</v>
      </c>
      <c r="D116" t="s">
        <v>829</v>
      </c>
      <c r="E116" t="s">
        <v>830</v>
      </c>
      <c r="F116">
        <v>5977304</v>
      </c>
      <c r="G116">
        <v>1263000710399</v>
      </c>
      <c r="H116" t="s">
        <v>831</v>
      </c>
      <c r="I116" t="s">
        <v>832</v>
      </c>
      <c r="J116" t="s">
        <v>701</v>
      </c>
      <c r="K116" t="s">
        <v>681</v>
      </c>
      <c r="L116" t="s">
        <v>387</v>
      </c>
      <c r="M116" t="s">
        <v>387</v>
      </c>
      <c r="N116" t="str">
        <f>VLOOKUP(C116,UB!A:A,1,0)</f>
        <v>K2 LEMBEH DIVE RESORT</v>
      </c>
    </row>
    <row r="117" spans="2:14" x14ac:dyDescent="0.25">
      <c r="B117" t="s">
        <v>833</v>
      </c>
      <c r="C117" t="s">
        <v>558</v>
      </c>
      <c r="D117" t="s">
        <v>558</v>
      </c>
      <c r="E117" t="s">
        <v>559</v>
      </c>
      <c r="F117">
        <v>94431816</v>
      </c>
      <c r="G117" t="s">
        <v>387</v>
      </c>
      <c r="H117" t="s">
        <v>387</v>
      </c>
      <c r="I117" t="s">
        <v>387</v>
      </c>
      <c r="J117" t="s">
        <v>680</v>
      </c>
      <c r="K117" t="s">
        <v>681</v>
      </c>
      <c r="L117" t="s">
        <v>387</v>
      </c>
      <c r="M117" t="s">
        <v>387</v>
      </c>
      <c r="N117" t="str">
        <f>VLOOKUP(C117,UB!A:A,1,0)</f>
        <v>PT Pegadaian (Persero), UPS Bitung</v>
      </c>
    </row>
    <row r="118" spans="2:14" x14ac:dyDescent="0.25">
      <c r="B118" t="s">
        <v>834</v>
      </c>
      <c r="C118" t="s">
        <v>533</v>
      </c>
      <c r="D118" t="s">
        <v>533</v>
      </c>
      <c r="E118" t="s">
        <v>534</v>
      </c>
      <c r="F118">
        <v>94413505</v>
      </c>
      <c r="G118" t="s">
        <v>387</v>
      </c>
      <c r="H118" t="s">
        <v>387</v>
      </c>
      <c r="I118" t="s">
        <v>387</v>
      </c>
      <c r="J118" t="s">
        <v>680</v>
      </c>
      <c r="K118" t="s">
        <v>681</v>
      </c>
      <c r="L118" t="s">
        <v>387</v>
      </c>
      <c r="M118" t="s">
        <v>387</v>
      </c>
      <c r="N118" t="str">
        <f>VLOOKUP(C118,UB!A:A,1,0)</f>
        <v>PT. Bank Mega Tbk, Kantor Cabang BITUNG</v>
      </c>
    </row>
    <row r="119" spans="2:14" x14ac:dyDescent="0.25">
      <c r="B119" t="s">
        <v>835</v>
      </c>
      <c r="C119" t="s">
        <v>431</v>
      </c>
      <c r="D119" t="s">
        <v>836</v>
      </c>
      <c r="E119" t="s">
        <v>432</v>
      </c>
      <c r="F119">
        <v>97410141</v>
      </c>
      <c r="G119" t="s">
        <v>387</v>
      </c>
      <c r="H119" t="s">
        <v>837</v>
      </c>
      <c r="I119" t="s">
        <v>387</v>
      </c>
      <c r="J119" t="s">
        <v>680</v>
      </c>
      <c r="K119" t="s">
        <v>681</v>
      </c>
      <c r="L119" t="s">
        <v>387</v>
      </c>
      <c r="M119" t="s">
        <v>387</v>
      </c>
      <c r="N119" t="str">
        <f>VLOOKUP(C119,UB!A:A,1,0)</f>
        <v>DWI MATRA SAKTI, PT</v>
      </c>
    </row>
    <row r="120" spans="2:14" x14ac:dyDescent="0.25">
      <c r="B120" t="s">
        <v>838</v>
      </c>
      <c r="C120" t="s">
        <v>464</v>
      </c>
      <c r="D120" t="s">
        <v>464</v>
      </c>
      <c r="E120" t="s">
        <v>465</v>
      </c>
      <c r="F120">
        <v>97411104</v>
      </c>
      <c r="G120" t="s">
        <v>387</v>
      </c>
      <c r="H120" t="s">
        <v>387</v>
      </c>
      <c r="I120" t="s">
        <v>736</v>
      </c>
      <c r="J120" t="s">
        <v>701</v>
      </c>
      <c r="K120" t="s">
        <v>681</v>
      </c>
      <c r="L120" t="s">
        <v>387</v>
      </c>
      <c r="M120" t="s">
        <v>387</v>
      </c>
      <c r="N120" t="str">
        <f>VLOOKUP(C120,UB!A:A,1,0)</f>
        <v>PT PELINDO 4 &lt;PERSERO&gt; TERMINAL PETIKEMAS BITUNG</v>
      </c>
    </row>
    <row r="121" spans="2:14" x14ac:dyDescent="0.25">
      <c r="B121" t="s">
        <v>839</v>
      </c>
      <c r="C121" t="s">
        <v>840</v>
      </c>
      <c r="D121" t="s">
        <v>840</v>
      </c>
      <c r="E121" t="s">
        <v>442</v>
      </c>
      <c r="F121">
        <v>2595306</v>
      </c>
      <c r="G121">
        <v>9120201871462</v>
      </c>
      <c r="H121" t="s">
        <v>841</v>
      </c>
      <c r="I121" t="s">
        <v>685</v>
      </c>
      <c r="J121" t="s">
        <v>842</v>
      </c>
      <c r="K121" t="s">
        <v>687</v>
      </c>
      <c r="L121" t="s">
        <v>387</v>
      </c>
      <c r="M121" t="s">
        <v>387</v>
      </c>
      <c r="N121" t="str">
        <f>VLOOKUP(C121,UB!A:A,1,0)</f>
        <v>BANK PEMBANGUNAN DAERAH SULAWESI UTARA GORONTALO PT</v>
      </c>
    </row>
    <row r="122" spans="2:14" x14ac:dyDescent="0.25">
      <c r="B122" t="s">
        <v>843</v>
      </c>
      <c r="C122" t="s">
        <v>844</v>
      </c>
      <c r="D122" t="s">
        <v>433</v>
      </c>
      <c r="E122" t="s">
        <v>434</v>
      </c>
      <c r="F122">
        <v>6616155</v>
      </c>
      <c r="G122">
        <v>8120105811555</v>
      </c>
      <c r="H122" t="s">
        <v>845</v>
      </c>
      <c r="I122" t="s">
        <v>846</v>
      </c>
      <c r="J122" t="s">
        <v>842</v>
      </c>
      <c r="K122" t="s">
        <v>687</v>
      </c>
      <c r="L122" t="s">
        <v>387</v>
      </c>
      <c r="M122" t="s">
        <v>387</v>
      </c>
      <c r="N122" t="str">
        <f>VLOOKUP(C122,UB!A:A,1,0)</f>
        <v>SARI USAHA MANDIRI, PT</v>
      </c>
    </row>
    <row r="123" spans="2:14" x14ac:dyDescent="0.25">
      <c r="B123" t="s">
        <v>847</v>
      </c>
      <c r="C123" t="s">
        <v>848</v>
      </c>
      <c r="D123" t="s">
        <v>848</v>
      </c>
      <c r="E123" t="s">
        <v>495</v>
      </c>
      <c r="F123">
        <v>4392735</v>
      </c>
      <c r="G123">
        <v>9120105762161</v>
      </c>
      <c r="H123" t="s">
        <v>849</v>
      </c>
      <c r="I123" t="s">
        <v>405</v>
      </c>
      <c r="J123" t="s">
        <v>850</v>
      </c>
      <c r="K123" t="s">
        <v>687</v>
      </c>
      <c r="L123" t="s">
        <v>387</v>
      </c>
      <c r="M123" t="s">
        <v>387</v>
      </c>
      <c r="N123" t="str">
        <f>VLOOKUP(C123,UB!A:A,1,0)</f>
        <v>YOEZHADASSAH, PT</v>
      </c>
    </row>
    <row r="124" spans="2:14" x14ac:dyDescent="0.25">
      <c r="B124" t="s">
        <v>851</v>
      </c>
      <c r="C124" t="s">
        <v>852</v>
      </c>
      <c r="D124" t="s">
        <v>852</v>
      </c>
      <c r="E124" t="s">
        <v>853</v>
      </c>
      <c r="F124">
        <v>97410604</v>
      </c>
      <c r="G124">
        <v>9120201871462</v>
      </c>
      <c r="H124" t="s">
        <v>854</v>
      </c>
      <c r="I124" t="s">
        <v>685</v>
      </c>
      <c r="J124" t="s">
        <v>842</v>
      </c>
      <c r="K124" t="s">
        <v>687</v>
      </c>
      <c r="L124" t="s">
        <v>387</v>
      </c>
      <c r="M124" t="s">
        <v>387</v>
      </c>
      <c r="N124" t="str">
        <f>VLOOKUP(C124,UB!A:A,1,0)</f>
        <v>BANK SULUTGO BITUNG</v>
      </c>
    </row>
    <row r="125" spans="2:14" x14ac:dyDescent="0.25">
      <c r="B125" t="s">
        <v>855</v>
      </c>
      <c r="C125" t="s">
        <v>856</v>
      </c>
      <c r="D125" t="s">
        <v>857</v>
      </c>
      <c r="E125" t="s">
        <v>858</v>
      </c>
      <c r="F125">
        <v>7479281</v>
      </c>
      <c r="G125">
        <v>2811230032403</v>
      </c>
      <c r="H125" t="s">
        <v>859</v>
      </c>
      <c r="I125" t="s">
        <v>860</v>
      </c>
      <c r="J125" t="s">
        <v>842</v>
      </c>
      <c r="K125" t="s">
        <v>687</v>
      </c>
      <c r="L125" t="s">
        <v>387</v>
      </c>
      <c r="M125" t="s">
        <v>387</v>
      </c>
      <c r="N125" t="str">
        <f>VLOOKUP(C125,UB!A:A,1,0)</f>
        <v>MEMBANGUN SULUT MAJU PERSERODA, PT</v>
      </c>
    </row>
    <row r="126" spans="2:14" x14ac:dyDescent="0.25">
      <c r="B126" t="s">
        <v>861</v>
      </c>
      <c r="C126" t="s">
        <v>862</v>
      </c>
      <c r="D126" t="s">
        <v>863</v>
      </c>
      <c r="E126" t="s">
        <v>864</v>
      </c>
      <c r="F126">
        <v>3198776</v>
      </c>
      <c r="G126">
        <v>9120101411917</v>
      </c>
      <c r="H126" t="s">
        <v>865</v>
      </c>
      <c r="I126" t="s">
        <v>685</v>
      </c>
      <c r="J126" t="s">
        <v>842</v>
      </c>
      <c r="K126" t="s">
        <v>687</v>
      </c>
      <c r="L126" t="s">
        <v>387</v>
      </c>
      <c r="M126" t="s">
        <v>387</v>
      </c>
      <c r="N126" t="str">
        <f>VLOOKUP(C126,UB!A:A,1,0)</f>
        <v>BANK SMBCI, PT TBK</v>
      </c>
    </row>
    <row r="127" spans="2:14" x14ac:dyDescent="0.25">
      <c r="B127" t="s">
        <v>866</v>
      </c>
      <c r="C127" t="s">
        <v>546</v>
      </c>
      <c r="D127" t="s">
        <v>867</v>
      </c>
      <c r="E127" t="s">
        <v>868</v>
      </c>
      <c r="F127">
        <v>97410502</v>
      </c>
      <c r="G127" t="s">
        <v>387</v>
      </c>
      <c r="H127" t="s">
        <v>387</v>
      </c>
      <c r="I127" t="s">
        <v>685</v>
      </c>
      <c r="J127" t="s">
        <v>701</v>
      </c>
      <c r="K127" t="s">
        <v>681</v>
      </c>
      <c r="L127" t="s">
        <v>387</v>
      </c>
      <c r="M127" t="s">
        <v>387</v>
      </c>
      <c r="N127" t="str">
        <f>VLOOKUP(C127,UB!A:A,1,0)</f>
        <v>BANK NEGARA INDONESIA</v>
      </c>
    </row>
    <row r="128" spans="2:14" x14ac:dyDescent="0.25">
      <c r="B128" t="s">
        <v>869</v>
      </c>
      <c r="C128" t="s">
        <v>870</v>
      </c>
      <c r="D128" t="s">
        <v>870</v>
      </c>
      <c r="E128" t="s">
        <v>479</v>
      </c>
      <c r="F128">
        <v>97409491</v>
      </c>
      <c r="G128">
        <v>8120003820135</v>
      </c>
      <c r="H128" t="s">
        <v>871</v>
      </c>
      <c r="I128" t="s">
        <v>387</v>
      </c>
      <c r="J128" t="s">
        <v>842</v>
      </c>
      <c r="K128" t="s">
        <v>687</v>
      </c>
      <c r="L128" t="s">
        <v>387</v>
      </c>
      <c r="M128" t="s">
        <v>387</v>
      </c>
      <c r="N128" t="str">
        <f>VLOOKUP(C128,UB!A:A,1,0)</f>
        <v>PLN ULP BITUNG, PT PERSERO</v>
      </c>
    </row>
    <row r="129" spans="1:14" x14ac:dyDescent="0.25">
      <c r="B129" t="s">
        <v>872</v>
      </c>
      <c r="C129" t="s">
        <v>873</v>
      </c>
      <c r="D129" t="s">
        <v>873</v>
      </c>
      <c r="E129" t="s">
        <v>507</v>
      </c>
      <c r="F129">
        <v>97409506</v>
      </c>
      <c r="G129">
        <v>9120006750189</v>
      </c>
      <c r="H129" t="s">
        <v>874</v>
      </c>
      <c r="I129" t="s">
        <v>387</v>
      </c>
      <c r="J129" t="s">
        <v>842</v>
      </c>
      <c r="K129" t="s">
        <v>687</v>
      </c>
      <c r="L129" t="s">
        <v>387</v>
      </c>
      <c r="M129" t="s">
        <v>387</v>
      </c>
      <c r="N129" t="str">
        <f>VLOOKUP(C129,UB!A:A,1,0)</f>
        <v>DUTA ADRI PERSADA PT</v>
      </c>
    </row>
    <row r="130" spans="1:14" x14ac:dyDescent="0.25">
      <c r="B130" t="s">
        <v>875</v>
      </c>
      <c r="C130" t="s">
        <v>876</v>
      </c>
      <c r="D130" t="s">
        <v>877</v>
      </c>
      <c r="E130" t="s">
        <v>446</v>
      </c>
      <c r="F130">
        <v>94424274</v>
      </c>
      <c r="G130">
        <v>208010021176</v>
      </c>
      <c r="H130" t="s">
        <v>387</v>
      </c>
      <c r="I130" t="s">
        <v>708</v>
      </c>
      <c r="J130" t="s">
        <v>701</v>
      </c>
      <c r="K130" t="s">
        <v>681</v>
      </c>
      <c r="L130" t="s">
        <v>387</v>
      </c>
      <c r="M130" t="s">
        <v>387</v>
      </c>
      <c r="N130" t="str">
        <f>VLOOKUP(C130,UB!A:A,1,0)</f>
        <v>TRIDJAYA GEMILANG SUKSES, CV</v>
      </c>
    </row>
    <row r="131" spans="1:14" x14ac:dyDescent="0.25">
      <c r="B131" t="s">
        <v>878</v>
      </c>
      <c r="C131" t="s">
        <v>599</v>
      </c>
      <c r="D131" t="s">
        <v>879</v>
      </c>
      <c r="E131" t="s">
        <v>600</v>
      </c>
      <c r="F131">
        <v>4443449</v>
      </c>
      <c r="G131">
        <v>8120109832577</v>
      </c>
      <c r="H131" t="s">
        <v>880</v>
      </c>
      <c r="I131" t="s">
        <v>405</v>
      </c>
      <c r="J131" t="s">
        <v>842</v>
      </c>
      <c r="K131" t="s">
        <v>687</v>
      </c>
      <c r="L131" t="s">
        <v>387</v>
      </c>
      <c r="M131" t="s">
        <v>387</v>
      </c>
      <c r="N131" t="str">
        <f>VLOOKUP(C131,UB!A:A,1,0)</f>
        <v>DELTA PASIFIC INDOTUNA, PT</v>
      </c>
    </row>
    <row r="132" spans="1:14" x14ac:dyDescent="0.25">
      <c r="B132" t="s">
        <v>881</v>
      </c>
      <c r="C132" t="s">
        <v>480</v>
      </c>
      <c r="D132" t="s">
        <v>480</v>
      </c>
      <c r="E132" t="s">
        <v>882</v>
      </c>
      <c r="F132">
        <v>44082</v>
      </c>
      <c r="G132">
        <v>220101770489</v>
      </c>
      <c r="H132" t="s">
        <v>883</v>
      </c>
      <c r="I132" t="s">
        <v>387</v>
      </c>
      <c r="J132" t="s">
        <v>842</v>
      </c>
      <c r="K132" t="s">
        <v>687</v>
      </c>
      <c r="L132" t="s">
        <v>387</v>
      </c>
      <c r="M132" t="s">
        <v>387</v>
      </c>
      <c r="N132" t="str">
        <f>VLOOKUP(C132,UB!A:A,1,0)</f>
        <v>Dharma Lautan Nusantara PT</v>
      </c>
    </row>
    <row r="133" spans="1:14" x14ac:dyDescent="0.25">
      <c r="B133" t="s">
        <v>884</v>
      </c>
      <c r="C133" t="s">
        <v>577</v>
      </c>
      <c r="D133" t="s">
        <v>577</v>
      </c>
      <c r="E133" t="s">
        <v>578</v>
      </c>
      <c r="F133">
        <v>61060894</v>
      </c>
      <c r="G133">
        <v>8120000681251</v>
      </c>
      <c r="H133" t="s">
        <v>387</v>
      </c>
      <c r="I133" t="s">
        <v>387</v>
      </c>
      <c r="J133" t="s">
        <v>701</v>
      </c>
      <c r="K133" t="s">
        <v>681</v>
      </c>
      <c r="L133" t="s">
        <v>387</v>
      </c>
      <c r="M133" t="s">
        <v>387</v>
      </c>
      <c r="N133" t="str">
        <f>VLOOKUP(C133,UB!A:A,1,0)</f>
        <v>PATHEMAANG RAYA, PT</v>
      </c>
    </row>
    <row r="134" spans="1:14" x14ac:dyDescent="0.25">
      <c r="B134" t="s">
        <v>885</v>
      </c>
      <c r="C134" t="s">
        <v>604</v>
      </c>
      <c r="D134" t="s">
        <v>886</v>
      </c>
      <c r="E134" t="s">
        <v>605</v>
      </c>
      <c r="F134">
        <v>3468600</v>
      </c>
      <c r="G134">
        <v>1253000301289</v>
      </c>
      <c r="H134" t="s">
        <v>887</v>
      </c>
      <c r="I134" t="s">
        <v>846</v>
      </c>
      <c r="J134" t="s">
        <v>842</v>
      </c>
      <c r="K134" t="s">
        <v>687</v>
      </c>
      <c r="L134" t="s">
        <v>387</v>
      </c>
      <c r="M134" t="s">
        <v>387</v>
      </c>
      <c r="N134" t="str">
        <f>VLOOKUP(C134,UB!A:A,1,0)</f>
        <v>LAUT BIRU SEAFOOD, PT</v>
      </c>
    </row>
    <row r="135" spans="1:14" x14ac:dyDescent="0.25">
      <c r="B135" t="s">
        <v>888</v>
      </c>
      <c r="C135" t="s">
        <v>489</v>
      </c>
      <c r="D135" t="s">
        <v>889</v>
      </c>
      <c r="E135" t="s">
        <v>490</v>
      </c>
      <c r="F135">
        <v>97409242</v>
      </c>
      <c r="G135">
        <v>8120003931926</v>
      </c>
      <c r="H135" t="s">
        <v>890</v>
      </c>
      <c r="I135" t="s">
        <v>387</v>
      </c>
      <c r="J135" t="s">
        <v>842</v>
      </c>
      <c r="K135" t="s">
        <v>687</v>
      </c>
      <c r="L135" t="s">
        <v>387</v>
      </c>
      <c r="M135" t="s">
        <v>387</v>
      </c>
      <c r="N135" t="str">
        <f>VLOOKUP(C135,UB!A:A,1,0)</f>
        <v>SINAR PURE FOODS INTERNATION,pt</v>
      </c>
    </row>
    <row r="136" spans="1:14" x14ac:dyDescent="0.25">
      <c r="B136" t="s">
        <v>891</v>
      </c>
      <c r="C136" t="s">
        <v>892</v>
      </c>
      <c r="D136" t="s">
        <v>893</v>
      </c>
      <c r="E136" t="s">
        <v>461</v>
      </c>
      <c r="F136">
        <v>97409613</v>
      </c>
      <c r="G136">
        <v>8120212072643</v>
      </c>
      <c r="H136" t="s">
        <v>894</v>
      </c>
      <c r="I136" t="s">
        <v>685</v>
      </c>
      <c r="J136" t="s">
        <v>842</v>
      </c>
      <c r="K136" t="s">
        <v>687</v>
      </c>
      <c r="L136" t="s">
        <v>387</v>
      </c>
      <c r="M136" t="s">
        <v>387</v>
      </c>
      <c r="N136" t="str">
        <f>VLOOKUP(C136,UB!A:A,1,0)</f>
        <v>BANK MANDIRI, PT TBK</v>
      </c>
    </row>
    <row r="137" spans="1:14" x14ac:dyDescent="0.25">
      <c r="B137" t="s">
        <v>895</v>
      </c>
      <c r="C137" t="s">
        <v>892</v>
      </c>
      <c r="D137" t="s">
        <v>896</v>
      </c>
      <c r="E137" t="s">
        <v>514</v>
      </c>
      <c r="F137">
        <v>2515399</v>
      </c>
      <c r="G137">
        <v>8120212072643</v>
      </c>
      <c r="H137" t="s">
        <v>897</v>
      </c>
      <c r="I137" t="s">
        <v>685</v>
      </c>
      <c r="J137" t="s">
        <v>842</v>
      </c>
      <c r="K137" t="s">
        <v>687</v>
      </c>
      <c r="L137" t="s">
        <v>387</v>
      </c>
      <c r="M137" t="s">
        <v>387</v>
      </c>
      <c r="N137" t="str">
        <f>VLOOKUP(C137,UB!A:A,1,0)</f>
        <v>BANK MANDIRI, PT TBK</v>
      </c>
    </row>
    <row r="138" spans="1:14" x14ac:dyDescent="0.25">
      <c r="B138" t="s">
        <v>898</v>
      </c>
      <c r="C138" t="s">
        <v>899</v>
      </c>
      <c r="D138" t="s">
        <v>899</v>
      </c>
      <c r="E138" t="s">
        <v>900</v>
      </c>
      <c r="F138">
        <v>97714537</v>
      </c>
      <c r="G138">
        <v>220100791739</v>
      </c>
      <c r="H138" t="s">
        <v>901</v>
      </c>
      <c r="I138" t="s">
        <v>846</v>
      </c>
      <c r="J138" t="s">
        <v>842</v>
      </c>
      <c r="K138" t="s">
        <v>687</v>
      </c>
      <c r="L138" t="s">
        <v>387</v>
      </c>
      <c r="M138" t="s">
        <v>387</v>
      </c>
      <c r="N138" t="str">
        <f>VLOOKUP(C138,UB!A:A,1,0)</f>
        <v>INDOMINA GRASIA, PT</v>
      </c>
    </row>
    <row r="139" spans="1:14" x14ac:dyDescent="0.25">
      <c r="A139" t="s">
        <v>639</v>
      </c>
      <c r="N139" t="e">
        <f>VLOOKUP(C139,UB!A:A,1,0)</f>
        <v>#N/A</v>
      </c>
    </row>
    <row r="140" spans="1:14" x14ac:dyDescent="0.25">
      <c r="A140" t="s">
        <v>640</v>
      </c>
      <c r="N140" t="e">
        <f>VLOOKUP(C140,UB!A:A,1,0)</f>
        <v>#N/A</v>
      </c>
    </row>
    <row r="141" spans="1:14" x14ac:dyDescent="0.25">
      <c r="A141" t="s">
        <v>641</v>
      </c>
      <c r="N141" t="e">
        <f>VLOOKUP(C141,UB!A:A,1,0)</f>
        <v>#N/A</v>
      </c>
    </row>
    <row r="142" spans="1:14" x14ac:dyDescent="0.25">
      <c r="A142" t="s">
        <v>642</v>
      </c>
      <c r="N142" t="e">
        <f>VLOOKUP(C142,UB!A:A,1,0)</f>
        <v>#N/A</v>
      </c>
    </row>
    <row r="143" spans="1:14" x14ac:dyDescent="0.25">
      <c r="A143" t="s">
        <v>643</v>
      </c>
      <c r="N143" t="e">
        <f>VLOOKUP(C143,UB!A:A,1,0)</f>
        <v>#N/A</v>
      </c>
    </row>
    <row r="144" spans="1:14" x14ac:dyDescent="0.25">
      <c r="A144" t="s">
        <v>644</v>
      </c>
      <c r="N144" t="e">
        <f>VLOOKUP(C144,UB!A:A,1,0)</f>
        <v>#N/A</v>
      </c>
    </row>
    <row r="145" spans="1:14" x14ac:dyDescent="0.25">
      <c r="A145" t="s">
        <v>645</v>
      </c>
      <c r="N145" t="e">
        <f>VLOOKUP(C145,UB!A:A,1,0)</f>
        <v>#N/A</v>
      </c>
    </row>
    <row r="146" spans="1:14" x14ac:dyDescent="0.25">
      <c r="A146" t="s">
        <v>646</v>
      </c>
      <c r="N146" t="e">
        <f>VLOOKUP(C146,UB!A:A,1,0)</f>
        <v>#N/A</v>
      </c>
    </row>
    <row r="147" spans="1:14" x14ac:dyDescent="0.25">
      <c r="A147" t="s">
        <v>647</v>
      </c>
      <c r="N147" t="e">
        <f>VLOOKUP(C147,UB!A:A,1,0)</f>
        <v>#N/A</v>
      </c>
    </row>
    <row r="148" spans="1:14" x14ac:dyDescent="0.25">
      <c r="A148" t="s">
        <v>648</v>
      </c>
      <c r="N148" t="e">
        <f>VLOOKUP(C148,UB!A:A,1,0)</f>
        <v>#N/A</v>
      </c>
    </row>
    <row r="149" spans="1:14" x14ac:dyDescent="0.25">
      <c r="A149" t="s">
        <v>649</v>
      </c>
      <c r="N149" t="e">
        <f>VLOOKUP(C149,UB!A:A,1,0)</f>
        <v>#N/A</v>
      </c>
    </row>
    <row r="150" spans="1:14" x14ac:dyDescent="0.25">
      <c r="A150" t="s">
        <v>650</v>
      </c>
      <c r="N150" t="e">
        <f>VLOOKUP(C150,UB!A:A,1,0)</f>
        <v>#N/A</v>
      </c>
    </row>
    <row r="151" spans="1:14" x14ac:dyDescent="0.25">
      <c r="A151" t="s">
        <v>643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651</v>
      </c>
      <c r="N153" t="e">
        <f>VLOOKUP(C153,UB!A:A,1,0)</f>
        <v>#N/A</v>
      </c>
    </row>
    <row r="154" spans="1:14" x14ac:dyDescent="0.25">
      <c r="A154" t="s">
        <v>643</v>
      </c>
      <c r="N154" t="e">
        <f>VLOOKUP(C154,UB!A:A,1,0)</f>
        <v>#N/A</v>
      </c>
    </row>
    <row r="155" spans="1:14" x14ac:dyDescent="0.25">
      <c r="A155" t="s">
        <v>652</v>
      </c>
      <c r="N155" t="e">
        <f>VLOOKUP(C155,UB!A:A,1,0)</f>
        <v>#N/A</v>
      </c>
    </row>
    <row r="156" spans="1:14" x14ac:dyDescent="0.25">
      <c r="A156" t="s">
        <v>647</v>
      </c>
      <c r="N156" t="e">
        <f>VLOOKUP(C156,UB!A:A,1,0)</f>
        <v>#N/A</v>
      </c>
    </row>
    <row r="157" spans="1:14" x14ac:dyDescent="0.25">
      <c r="A157" t="s">
        <v>653</v>
      </c>
      <c r="N157" t="e">
        <f>VLOOKUP(C157,UB!A:A,1,0)</f>
        <v>#N/A</v>
      </c>
    </row>
    <row r="158" spans="1:14" x14ac:dyDescent="0.25">
      <c r="A158" t="s">
        <v>654</v>
      </c>
      <c r="N158" t="e">
        <f>VLOOKUP(C158,UB!A:A,1,0)</f>
        <v>#N/A</v>
      </c>
    </row>
    <row r="159" spans="1:14" x14ac:dyDescent="0.25">
      <c r="A159" t="s">
        <v>655</v>
      </c>
      <c r="N159" t="e">
        <f>VLOOKUP(C159,UB!A:A,1,0)</f>
        <v>#N/A</v>
      </c>
    </row>
    <row r="160" spans="1:14" x14ac:dyDescent="0.25">
      <c r="A160" t="s">
        <v>656</v>
      </c>
      <c r="N160" t="e">
        <f>VLOOKUP(C160,UB!A:A,1,0)</f>
        <v>#N/A</v>
      </c>
    </row>
    <row r="161" spans="1:14" x14ac:dyDescent="0.25">
      <c r="A161" t="s">
        <v>657</v>
      </c>
      <c r="N161" t="e">
        <f>VLOOKUP(C161,UB!A:A,1,0)</f>
        <v>#N/A</v>
      </c>
    </row>
    <row r="162" spans="1:14" x14ac:dyDescent="0.25">
      <c r="A162" t="s">
        <v>658</v>
      </c>
      <c r="N162" t="e">
        <f>VLOOKUP(C162,UB!A:A,1,0)</f>
        <v>#N/A</v>
      </c>
    </row>
    <row r="163" spans="1:14" x14ac:dyDescent="0.25">
      <c r="A163" t="s">
        <v>659</v>
      </c>
      <c r="N163" t="e">
        <f>VLOOKUP(C163,UB!A:A,1,0)</f>
        <v>#N/A</v>
      </c>
    </row>
    <row r="164" spans="1:14" x14ac:dyDescent="0.25">
      <c r="A164" t="s">
        <v>654</v>
      </c>
      <c r="N164" t="e">
        <f>VLOOKUP(C164,UB!A:A,1,0)</f>
        <v>#N/A</v>
      </c>
    </row>
    <row r="165" spans="1:14" x14ac:dyDescent="0.25">
      <c r="A165" t="s">
        <v>660</v>
      </c>
      <c r="N165" t="e">
        <f>VLOOKUP(C165,UB!A:A,1,0)</f>
        <v>#N/A</v>
      </c>
    </row>
    <row r="166" spans="1:14" x14ac:dyDescent="0.25">
      <c r="A166" t="s">
        <v>661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662</v>
      </c>
      <c r="N168" t="e">
        <f>VLOOKUP(C168,UB!A:A,1,0)</f>
        <v>#N/A</v>
      </c>
    </row>
    <row r="169" spans="1:14" x14ac:dyDescent="0.25">
      <c r="A169" t="s">
        <v>663</v>
      </c>
      <c r="N169" t="e">
        <f>VLOOKUP(C169,UB!A:A,1,0)</f>
        <v>#N/A</v>
      </c>
    </row>
    <row r="170" spans="1:14" x14ac:dyDescent="0.25">
      <c r="A170" t="s">
        <v>664</v>
      </c>
      <c r="N170" t="e">
        <f>VLOOKUP(C170,UB!A:A,1,0)</f>
        <v>#N/A</v>
      </c>
    </row>
    <row r="171" spans="1:14" x14ac:dyDescent="0.25">
      <c r="A171" t="s">
        <v>665</v>
      </c>
      <c r="N171" t="e">
        <f>VLOOKUP(C171,UB!A:A,1,0)</f>
        <v>#N/A</v>
      </c>
    </row>
    <row r="172" spans="1:14" x14ac:dyDescent="0.25">
      <c r="A172" t="s">
        <v>666</v>
      </c>
      <c r="N172" t="e">
        <f>VLOOKUP(C172,UB!A:A,1,0)</f>
        <v>#N/A</v>
      </c>
    </row>
    <row r="173" spans="1:14" x14ac:dyDescent="0.25">
      <c r="B173" t="s">
        <v>667</v>
      </c>
      <c r="C173" t="s">
        <v>668</v>
      </c>
      <c r="D173" t="s">
        <v>669</v>
      </c>
      <c r="E173" t="s">
        <v>670</v>
      </c>
      <c r="F173" t="s">
        <v>671</v>
      </c>
      <c r="G173" t="s">
        <v>672</v>
      </c>
      <c r="H173" t="s">
        <v>404</v>
      </c>
      <c r="I173" t="s">
        <v>673</v>
      </c>
      <c r="J173" t="s">
        <v>674</v>
      </c>
      <c r="K173" t="s">
        <v>675</v>
      </c>
      <c r="L173" t="s">
        <v>676</v>
      </c>
      <c r="M173" t="s">
        <v>677</v>
      </c>
      <c r="N173" t="str">
        <f>VLOOKUP(C173,UB!A:A,1,0)</f>
        <v>NAMA PERUSAHAAN</v>
      </c>
    </row>
    <row r="174" spans="1:14" x14ac:dyDescent="0.25">
      <c r="B174" t="s">
        <v>903</v>
      </c>
      <c r="C174" t="s">
        <v>904</v>
      </c>
      <c r="D174" t="s">
        <v>905</v>
      </c>
      <c r="E174" t="s">
        <v>906</v>
      </c>
      <c r="F174">
        <v>97410164</v>
      </c>
      <c r="G174" t="s">
        <v>387</v>
      </c>
      <c r="H174" t="s">
        <v>907</v>
      </c>
      <c r="I174" t="s">
        <v>908</v>
      </c>
      <c r="J174" t="s">
        <v>842</v>
      </c>
      <c r="K174" t="s">
        <v>687</v>
      </c>
      <c r="L174" t="s">
        <v>387</v>
      </c>
      <c r="M174" t="s">
        <v>387</v>
      </c>
      <c r="N174" t="str">
        <f>VLOOKUP(C174,UB!A:A,1,0)</f>
        <v>UPTD RUMAH SAKIT MANEMBO-NEMBO TIPE C BITUNG</v>
      </c>
    </row>
    <row r="175" spans="1:14" x14ac:dyDescent="0.25">
      <c r="B175" t="s">
        <v>909</v>
      </c>
      <c r="C175" t="s">
        <v>910</v>
      </c>
      <c r="D175" t="s">
        <v>592</v>
      </c>
      <c r="E175" t="s">
        <v>911</v>
      </c>
      <c r="F175">
        <v>14155922</v>
      </c>
      <c r="G175">
        <v>9120106750359</v>
      </c>
      <c r="H175" t="s">
        <v>790</v>
      </c>
      <c r="I175" t="s">
        <v>685</v>
      </c>
      <c r="J175" t="s">
        <v>842</v>
      </c>
      <c r="K175" t="s">
        <v>687</v>
      </c>
      <c r="L175" t="s">
        <v>387</v>
      </c>
      <c r="M175" t="s">
        <v>387</v>
      </c>
      <c r="N175" t="str">
        <f>VLOOKUP(C175,UB!A:A,1,0)</f>
        <v>DANAKU MAPAN LESTARI, PT</v>
      </c>
    </row>
    <row r="176" spans="1:14" x14ac:dyDescent="0.25">
      <c r="B176" t="s">
        <v>912</v>
      </c>
      <c r="C176" t="s">
        <v>913</v>
      </c>
      <c r="D176" t="s">
        <v>913</v>
      </c>
      <c r="E176" t="s">
        <v>444</v>
      </c>
      <c r="F176">
        <v>7479282</v>
      </c>
      <c r="G176">
        <v>2301240073572</v>
      </c>
      <c r="H176" t="s">
        <v>914</v>
      </c>
      <c r="I176" t="s">
        <v>846</v>
      </c>
      <c r="J176" t="s">
        <v>842</v>
      </c>
      <c r="K176" t="s">
        <v>687</v>
      </c>
      <c r="L176" t="s">
        <v>387</v>
      </c>
      <c r="M176" t="s">
        <v>387</v>
      </c>
      <c r="N176" t="str">
        <f>VLOOKUP(C176,UB!A:A,1,0)</f>
        <v>ANUGRAH SEJATI BERSAMA, PT</v>
      </c>
    </row>
    <row r="177" spans="2:14" x14ac:dyDescent="0.25">
      <c r="B177" t="s">
        <v>915</v>
      </c>
      <c r="C177" t="s">
        <v>621</v>
      </c>
      <c r="D177" t="s">
        <v>621</v>
      </c>
      <c r="E177" t="s">
        <v>916</v>
      </c>
      <c r="F177">
        <v>97410037</v>
      </c>
      <c r="G177">
        <v>9120402382166</v>
      </c>
      <c r="H177" t="s">
        <v>917</v>
      </c>
      <c r="I177" t="s">
        <v>846</v>
      </c>
      <c r="J177" t="s">
        <v>842</v>
      </c>
      <c r="K177" t="s">
        <v>687</v>
      </c>
      <c r="L177" t="s">
        <v>387</v>
      </c>
      <c r="M177" t="s">
        <v>387</v>
      </c>
      <c r="N177" t="str">
        <f>VLOOKUP(C177,UB!A:A,1,0)</f>
        <v>INDO LAUTAN MAS, PT</v>
      </c>
    </row>
    <row r="178" spans="2:14" x14ac:dyDescent="0.25">
      <c r="B178" t="s">
        <v>918</v>
      </c>
      <c r="C178" t="s">
        <v>622</v>
      </c>
      <c r="D178" t="s">
        <v>622</v>
      </c>
      <c r="E178" t="s">
        <v>623</v>
      </c>
      <c r="F178">
        <v>97410036</v>
      </c>
      <c r="G178">
        <v>8120100950352</v>
      </c>
      <c r="H178" t="s">
        <v>919</v>
      </c>
      <c r="I178" t="s">
        <v>405</v>
      </c>
      <c r="J178" t="s">
        <v>842</v>
      </c>
      <c r="K178" t="s">
        <v>687</v>
      </c>
      <c r="L178" t="s">
        <v>387</v>
      </c>
      <c r="M178" t="s">
        <v>387</v>
      </c>
      <c r="N178" t="str">
        <f>VLOOKUP(C178,UB!A:A,1,0)</f>
        <v>MARINA NUSANTARA SELARAS, PT</v>
      </c>
    </row>
    <row r="179" spans="2:14" x14ac:dyDescent="0.25">
      <c r="B179" t="s">
        <v>920</v>
      </c>
      <c r="C179" t="s">
        <v>921</v>
      </c>
      <c r="D179" t="s">
        <v>921</v>
      </c>
      <c r="E179" t="s">
        <v>922</v>
      </c>
      <c r="F179">
        <v>97409796</v>
      </c>
      <c r="G179">
        <v>9120202792959</v>
      </c>
      <c r="H179" t="s">
        <v>387</v>
      </c>
      <c r="I179" t="s">
        <v>685</v>
      </c>
      <c r="J179" t="s">
        <v>842</v>
      </c>
      <c r="K179" t="s">
        <v>687</v>
      </c>
      <c r="L179" t="s">
        <v>387</v>
      </c>
      <c r="M179" t="s">
        <v>387</v>
      </c>
      <c r="N179" t="str">
        <f>VLOOKUP(C179,UB!A:A,1,0)</f>
        <v>BANK SINARMAS PT</v>
      </c>
    </row>
    <row r="180" spans="2:14" x14ac:dyDescent="0.25">
      <c r="B180" t="s">
        <v>923</v>
      </c>
      <c r="C180" t="s">
        <v>619</v>
      </c>
      <c r="D180" t="s">
        <v>619</v>
      </c>
      <c r="E180" t="s">
        <v>924</v>
      </c>
      <c r="F180">
        <v>61061724</v>
      </c>
      <c r="G180">
        <v>1208220027879</v>
      </c>
      <c r="H180" t="s">
        <v>925</v>
      </c>
      <c r="I180" t="s">
        <v>405</v>
      </c>
      <c r="J180" t="s">
        <v>842</v>
      </c>
      <c r="K180" t="s">
        <v>687</v>
      </c>
      <c r="L180" t="s">
        <v>387</v>
      </c>
      <c r="M180" t="s">
        <v>387</v>
      </c>
      <c r="N180" t="str">
        <f>VLOOKUP(C180,UB!A:A,1,0)</f>
        <v>IKAN SAMUDERA INDONESIA</v>
      </c>
    </row>
    <row r="181" spans="2:14" x14ac:dyDescent="0.25">
      <c r="B181" t="s">
        <v>926</v>
      </c>
      <c r="C181" t="s">
        <v>637</v>
      </c>
      <c r="D181" t="s">
        <v>637</v>
      </c>
      <c r="E181" t="s">
        <v>927</v>
      </c>
      <c r="F181">
        <v>61061728</v>
      </c>
      <c r="G181">
        <v>2403220017571</v>
      </c>
      <c r="H181" t="s">
        <v>928</v>
      </c>
      <c r="I181" t="s">
        <v>405</v>
      </c>
      <c r="J181" t="s">
        <v>842</v>
      </c>
      <c r="K181" t="s">
        <v>687</v>
      </c>
      <c r="L181" t="s">
        <v>387</v>
      </c>
      <c r="M181" t="s">
        <v>387</v>
      </c>
      <c r="N181" t="str">
        <f>VLOOKUP(C181,UB!A:A,1,0)</f>
        <v>SAMUDRA ULAM NUSANTARA</v>
      </c>
    </row>
    <row r="182" spans="2:14" x14ac:dyDescent="0.25">
      <c r="B182" t="s">
        <v>929</v>
      </c>
      <c r="C182" t="s">
        <v>625</v>
      </c>
      <c r="D182" t="s">
        <v>625</v>
      </c>
      <c r="E182" t="s">
        <v>626</v>
      </c>
      <c r="F182">
        <v>3045650</v>
      </c>
      <c r="G182">
        <v>220303391821</v>
      </c>
      <c r="H182" t="s">
        <v>930</v>
      </c>
      <c r="I182" t="s">
        <v>405</v>
      </c>
      <c r="J182" t="s">
        <v>842</v>
      </c>
      <c r="K182" t="s">
        <v>687</v>
      </c>
      <c r="L182" t="s">
        <v>387</v>
      </c>
      <c r="M182" t="s">
        <v>387</v>
      </c>
      <c r="N182" t="str">
        <f>VLOOKUP(C182,UB!A:A,1,0)</f>
        <v>PALMA MARINAIO NUSANTARA, pt</v>
      </c>
    </row>
    <row r="183" spans="2:14" x14ac:dyDescent="0.25">
      <c r="B183" t="s">
        <v>931</v>
      </c>
      <c r="C183" t="s">
        <v>624</v>
      </c>
      <c r="D183" t="s">
        <v>624</v>
      </c>
      <c r="E183" t="s">
        <v>932</v>
      </c>
      <c r="F183">
        <v>4336140</v>
      </c>
      <c r="G183">
        <v>9120108991539</v>
      </c>
      <c r="H183" t="s">
        <v>620</v>
      </c>
      <c r="I183" t="s">
        <v>405</v>
      </c>
      <c r="J183" t="s">
        <v>842</v>
      </c>
      <c r="K183" t="s">
        <v>687</v>
      </c>
      <c r="L183" t="s">
        <v>387</v>
      </c>
      <c r="M183" t="s">
        <v>387</v>
      </c>
      <c r="N183" t="str">
        <f>VLOOKUP(C183,UB!A:A,1,0)</f>
        <v>ANPING SEAFOOD INDONESIA</v>
      </c>
    </row>
    <row r="184" spans="2:14" x14ac:dyDescent="0.25">
      <c r="B184" t="s">
        <v>933</v>
      </c>
      <c r="C184" t="s">
        <v>627</v>
      </c>
      <c r="D184" t="s">
        <v>627</v>
      </c>
      <c r="E184" t="s">
        <v>934</v>
      </c>
      <c r="F184">
        <v>3260558</v>
      </c>
      <c r="G184">
        <v>8120102832083</v>
      </c>
      <c r="H184" t="s">
        <v>935</v>
      </c>
      <c r="I184" t="s">
        <v>846</v>
      </c>
      <c r="J184" t="s">
        <v>842</v>
      </c>
      <c r="K184" t="s">
        <v>687</v>
      </c>
      <c r="L184" t="s">
        <v>387</v>
      </c>
      <c r="M184" t="s">
        <v>387</v>
      </c>
      <c r="N184" t="str">
        <f>VLOOKUP(C184,UB!A:A,1,0)</f>
        <v>FUTAI SULAWESI UTARA PT</v>
      </c>
    </row>
    <row r="185" spans="2:14" x14ac:dyDescent="0.25">
      <c r="B185" t="s">
        <v>936</v>
      </c>
      <c r="C185" t="s">
        <v>566</v>
      </c>
      <c r="D185" t="s">
        <v>566</v>
      </c>
      <c r="E185" t="s">
        <v>567</v>
      </c>
      <c r="F185">
        <v>97411707</v>
      </c>
      <c r="G185" t="s">
        <v>387</v>
      </c>
      <c r="H185" t="s">
        <v>387</v>
      </c>
      <c r="I185" t="s">
        <v>387</v>
      </c>
      <c r="J185" t="s">
        <v>680</v>
      </c>
      <c r="K185" t="s">
        <v>681</v>
      </c>
      <c r="L185" t="s">
        <v>387</v>
      </c>
      <c r="M185" t="s">
        <v>387</v>
      </c>
      <c r="N185" t="str">
        <f>VLOOKUP(C185,UB!A:A,1,0)</f>
        <v>BANK ARTHA GRAHA INTERNASIONAL TBK PT</v>
      </c>
    </row>
    <row r="186" spans="2:14" x14ac:dyDescent="0.25">
      <c r="B186" t="s">
        <v>937</v>
      </c>
      <c r="C186" t="s">
        <v>573</v>
      </c>
      <c r="D186" t="s">
        <v>573</v>
      </c>
      <c r="E186" t="s">
        <v>574</v>
      </c>
      <c r="F186">
        <v>97411662</v>
      </c>
      <c r="G186" t="s">
        <v>387</v>
      </c>
      <c r="H186" t="s">
        <v>387</v>
      </c>
      <c r="I186" t="s">
        <v>387</v>
      </c>
      <c r="J186" t="s">
        <v>680</v>
      </c>
      <c r="K186" t="s">
        <v>681</v>
      </c>
      <c r="L186" t="s">
        <v>387</v>
      </c>
      <c r="M186" t="s">
        <v>387</v>
      </c>
      <c r="N186" t="str">
        <f>VLOOKUP(C186,UB!A:A,1,0)</f>
        <v>AGRO MAKMUR RAYA, PT</v>
      </c>
    </row>
    <row r="187" spans="2:14" x14ac:dyDescent="0.25">
      <c r="B187" t="s">
        <v>938</v>
      </c>
      <c r="C187" t="s">
        <v>562</v>
      </c>
      <c r="D187" t="s">
        <v>939</v>
      </c>
      <c r="E187" t="s">
        <v>563</v>
      </c>
      <c r="F187">
        <v>94725346</v>
      </c>
      <c r="G187" t="s">
        <v>387</v>
      </c>
      <c r="H187" t="s">
        <v>940</v>
      </c>
      <c r="I187" t="s">
        <v>387</v>
      </c>
      <c r="J187" t="s">
        <v>680</v>
      </c>
      <c r="K187" t="s">
        <v>681</v>
      </c>
      <c r="L187" t="s">
        <v>387</v>
      </c>
      <c r="M187" t="s">
        <v>387</v>
      </c>
      <c r="N187" t="str">
        <f>VLOOKUP(C187,UB!A:A,1,0)</f>
        <v>Sarana Bandar Nasional, Kantor Cabang Bitung</v>
      </c>
    </row>
    <row r="188" spans="2:14" x14ac:dyDescent="0.25">
      <c r="B188" t="s">
        <v>941</v>
      </c>
      <c r="C188" t="s">
        <v>568</v>
      </c>
      <c r="D188" t="s">
        <v>568</v>
      </c>
      <c r="E188" t="s">
        <v>569</v>
      </c>
      <c r="F188">
        <v>97411524</v>
      </c>
      <c r="G188" t="s">
        <v>387</v>
      </c>
      <c r="H188" t="s">
        <v>387</v>
      </c>
      <c r="I188" t="s">
        <v>387</v>
      </c>
      <c r="J188" t="s">
        <v>680</v>
      </c>
      <c r="K188" t="s">
        <v>681</v>
      </c>
      <c r="L188" t="s">
        <v>387</v>
      </c>
      <c r="M188" t="s">
        <v>387</v>
      </c>
      <c r="N188" t="str">
        <f>VLOOKUP(C188,UB!A:A,1,0)</f>
        <v>BANK SULUT GO PT</v>
      </c>
    </row>
    <row r="189" spans="2:14" x14ac:dyDescent="0.25">
      <c r="B189" t="s">
        <v>942</v>
      </c>
      <c r="C189" t="s">
        <v>560</v>
      </c>
      <c r="D189" t="s">
        <v>560</v>
      </c>
      <c r="E189" t="s">
        <v>561</v>
      </c>
      <c r="F189">
        <v>94417727</v>
      </c>
      <c r="G189" t="s">
        <v>387</v>
      </c>
      <c r="H189" t="s">
        <v>387</v>
      </c>
      <c r="I189" t="s">
        <v>387</v>
      </c>
      <c r="J189" t="s">
        <v>680</v>
      </c>
      <c r="K189" t="s">
        <v>681</v>
      </c>
      <c r="L189" t="s">
        <v>387</v>
      </c>
      <c r="M189" t="s">
        <v>387</v>
      </c>
      <c r="N189" t="str">
        <f>VLOOKUP(C189,UB!A:A,1,0)</f>
        <v>PT Panin Bank Tbk, cabang Bitung</v>
      </c>
    </row>
    <row r="190" spans="2:14" x14ac:dyDescent="0.25">
      <c r="B190" t="s">
        <v>943</v>
      </c>
      <c r="C190" t="s">
        <v>570</v>
      </c>
      <c r="D190" t="s">
        <v>570</v>
      </c>
      <c r="E190" t="s">
        <v>571</v>
      </c>
      <c r="F190">
        <v>97411536</v>
      </c>
      <c r="G190" t="s">
        <v>387</v>
      </c>
      <c r="H190" t="s">
        <v>572</v>
      </c>
      <c r="I190" t="s">
        <v>387</v>
      </c>
      <c r="J190" t="s">
        <v>680</v>
      </c>
      <c r="K190" t="s">
        <v>681</v>
      </c>
      <c r="L190" t="s">
        <v>387</v>
      </c>
      <c r="M190" t="s">
        <v>387</v>
      </c>
      <c r="N190" t="str">
        <f>VLOOKUP(C190,UB!A:A,1,0)</f>
        <v>DOK KELAPA DUA PERMAI, PT</v>
      </c>
    </row>
    <row r="191" spans="2:14" x14ac:dyDescent="0.25">
      <c r="B191" t="s">
        <v>944</v>
      </c>
      <c r="C191" t="s">
        <v>575</v>
      </c>
      <c r="D191" t="s">
        <v>575</v>
      </c>
      <c r="E191" t="s">
        <v>576</v>
      </c>
      <c r="F191">
        <v>2990029</v>
      </c>
      <c r="G191" t="s">
        <v>387</v>
      </c>
      <c r="H191" t="s">
        <v>945</v>
      </c>
      <c r="I191" t="s">
        <v>387</v>
      </c>
      <c r="J191" t="s">
        <v>680</v>
      </c>
      <c r="K191" t="s">
        <v>681</v>
      </c>
      <c r="L191" t="s">
        <v>387</v>
      </c>
      <c r="M191" t="s">
        <v>387</v>
      </c>
      <c r="N191" t="str">
        <f>VLOOKUP(C191,UB!A:A,1,0)</f>
        <v>BANK TABUNGAN NEGARA KCP BITUNG</v>
      </c>
    </row>
    <row r="192" spans="2:14" x14ac:dyDescent="0.25">
      <c r="B192" t="s">
        <v>946</v>
      </c>
      <c r="C192" t="s">
        <v>457</v>
      </c>
      <c r="D192" t="s">
        <v>457</v>
      </c>
      <c r="E192" t="s">
        <v>458</v>
      </c>
      <c r="F192">
        <v>97411321</v>
      </c>
      <c r="G192" t="s">
        <v>387</v>
      </c>
      <c r="H192" t="s">
        <v>387</v>
      </c>
      <c r="I192" t="s">
        <v>387</v>
      </c>
      <c r="J192" t="s">
        <v>680</v>
      </c>
      <c r="K192" t="s">
        <v>681</v>
      </c>
      <c r="L192" t="s">
        <v>387</v>
      </c>
      <c r="M192" t="s">
        <v>387</v>
      </c>
      <c r="N192" t="str">
        <f>VLOOKUP(C192,UB!A:A,1,0)</f>
        <v>BINTANG MANDIRI BERSAUDARA, PT</v>
      </c>
    </row>
    <row r="193" spans="2:14" x14ac:dyDescent="0.25">
      <c r="B193" t="s">
        <v>947</v>
      </c>
      <c r="C193" t="s">
        <v>455</v>
      </c>
      <c r="D193" t="s">
        <v>948</v>
      </c>
      <c r="E193" t="s">
        <v>456</v>
      </c>
      <c r="F193">
        <v>97411063</v>
      </c>
      <c r="G193">
        <v>206000902635</v>
      </c>
      <c r="H193" t="s">
        <v>387</v>
      </c>
      <c r="I193">
        <v>206000902635</v>
      </c>
      <c r="J193" t="s">
        <v>680</v>
      </c>
      <c r="K193" t="s">
        <v>681</v>
      </c>
      <c r="L193" t="s">
        <v>387</v>
      </c>
      <c r="M193" t="s">
        <v>387</v>
      </c>
      <c r="N193" t="str">
        <f>VLOOKUP(C193,UB!A:A,1,0)</f>
        <v>CARVINNA TRIJAYA MAKMUR, PT</v>
      </c>
    </row>
    <row r="194" spans="2:14" x14ac:dyDescent="0.25">
      <c r="B194" t="s">
        <v>949</v>
      </c>
      <c r="C194" t="s">
        <v>564</v>
      </c>
      <c r="D194" t="s">
        <v>950</v>
      </c>
      <c r="E194" t="s">
        <v>565</v>
      </c>
      <c r="F194">
        <v>95332747</v>
      </c>
      <c r="G194" t="s">
        <v>387</v>
      </c>
      <c r="H194" t="s">
        <v>387</v>
      </c>
      <c r="I194">
        <v>9999999999999</v>
      </c>
      <c r="J194" t="s">
        <v>680</v>
      </c>
      <c r="K194" t="s">
        <v>681</v>
      </c>
      <c r="L194" t="s">
        <v>387</v>
      </c>
      <c r="M194" t="s">
        <v>387</v>
      </c>
      <c r="N194" t="str">
        <f>VLOOKUP(C194,UB!A:A,1,0)</f>
        <v>PERTAMINA TRANS KONTINENTAL, SUBCABANG MAKASSAR (BITUNG)</v>
      </c>
    </row>
    <row r="195" spans="2:14" x14ac:dyDescent="0.25">
      <c r="B195" t="s">
        <v>951</v>
      </c>
      <c r="C195" t="s">
        <v>521</v>
      </c>
      <c r="D195" t="s">
        <v>952</v>
      </c>
      <c r="E195" t="s">
        <v>522</v>
      </c>
      <c r="F195">
        <v>97714923</v>
      </c>
      <c r="G195" t="s">
        <v>387</v>
      </c>
      <c r="H195" t="s">
        <v>387</v>
      </c>
      <c r="I195" t="s">
        <v>387</v>
      </c>
      <c r="J195" t="s">
        <v>680</v>
      </c>
      <c r="K195" t="s">
        <v>681</v>
      </c>
      <c r="L195" t="s">
        <v>387</v>
      </c>
      <c r="M195" t="s">
        <v>387</v>
      </c>
      <c r="N195" t="str">
        <f>VLOOKUP(C195,UB!A:A,1,0)</f>
        <v>KIOS SEMBAKO &lt;NOVAL&gt;</v>
      </c>
    </row>
    <row r="196" spans="2:14" x14ac:dyDescent="0.25">
      <c r="B196" t="s">
        <v>953</v>
      </c>
      <c r="C196" t="s">
        <v>459</v>
      </c>
      <c r="D196" t="s">
        <v>459</v>
      </c>
      <c r="E196" t="s">
        <v>460</v>
      </c>
      <c r="F196">
        <v>4613438</v>
      </c>
      <c r="G196" t="s">
        <v>387</v>
      </c>
      <c r="H196" t="s">
        <v>954</v>
      </c>
      <c r="I196" t="s">
        <v>387</v>
      </c>
      <c r="J196" t="s">
        <v>680</v>
      </c>
      <c r="K196" t="s">
        <v>681</v>
      </c>
      <c r="L196" t="s">
        <v>387</v>
      </c>
      <c r="M196" t="s">
        <v>387</v>
      </c>
      <c r="N196" t="str">
        <f>VLOOKUP(C196,UB!A:A,1,0)</f>
        <v>BUDI SENTOSA ABADI, PT</v>
      </c>
    </row>
    <row r="197" spans="2:14" x14ac:dyDescent="0.25">
      <c r="B197" t="s">
        <v>955</v>
      </c>
      <c r="C197" t="s">
        <v>420</v>
      </c>
      <c r="D197" t="s">
        <v>956</v>
      </c>
      <c r="E197" t="s">
        <v>421</v>
      </c>
      <c r="F197">
        <v>97714250</v>
      </c>
      <c r="G197" t="s">
        <v>387</v>
      </c>
      <c r="H197" t="s">
        <v>387</v>
      </c>
      <c r="I197" t="s">
        <v>387</v>
      </c>
      <c r="J197" t="s">
        <v>680</v>
      </c>
      <c r="K197" t="s">
        <v>681</v>
      </c>
      <c r="L197" t="s">
        <v>387</v>
      </c>
      <c r="M197" t="s">
        <v>387</v>
      </c>
      <c r="N197" t="str">
        <f>VLOOKUP(C197,UB!A:A,1,0)</f>
        <v>JASA ANGKUTAN</v>
      </c>
    </row>
    <row r="198" spans="2:14" x14ac:dyDescent="0.25">
      <c r="B198" t="s">
        <v>957</v>
      </c>
      <c r="C198" t="s">
        <v>515</v>
      </c>
      <c r="D198" t="s">
        <v>515</v>
      </c>
      <c r="E198" t="s">
        <v>516</v>
      </c>
      <c r="F198">
        <v>16023464</v>
      </c>
      <c r="G198" t="s">
        <v>387</v>
      </c>
      <c r="H198" t="s">
        <v>387</v>
      </c>
      <c r="I198">
        <v>9999999999999</v>
      </c>
      <c r="J198" t="s">
        <v>680</v>
      </c>
      <c r="K198" t="s">
        <v>681</v>
      </c>
      <c r="L198" t="s">
        <v>387</v>
      </c>
      <c r="M198" t="s">
        <v>387</v>
      </c>
      <c r="N198" t="str">
        <f>VLOOKUP(C198,UB!A:A,1,0)</f>
        <v>PT BANK MANDIRI &lt;SEPTIAN BAGUS&gt;</v>
      </c>
    </row>
    <row r="199" spans="2:14" x14ac:dyDescent="0.25">
      <c r="B199" t="s">
        <v>958</v>
      </c>
      <c r="C199" t="s">
        <v>587</v>
      </c>
      <c r="D199" t="s">
        <v>587</v>
      </c>
      <c r="E199" t="s">
        <v>588</v>
      </c>
      <c r="F199">
        <v>16055876</v>
      </c>
      <c r="G199" t="s">
        <v>387</v>
      </c>
      <c r="H199" t="s">
        <v>959</v>
      </c>
      <c r="I199">
        <v>9999999999999</v>
      </c>
      <c r="J199" t="s">
        <v>680</v>
      </c>
      <c r="K199" t="s">
        <v>681</v>
      </c>
      <c r="L199" t="s">
        <v>387</v>
      </c>
      <c r="M199" t="s">
        <v>387</v>
      </c>
      <c r="N199" t="str">
        <f>VLOOKUP(C199,UB!A:A,1,0)</f>
        <v>PT. BANK BTPN &lt;SADRAK AMTOR&gt;</v>
      </c>
    </row>
    <row r="200" spans="2:14" x14ac:dyDescent="0.25">
      <c r="B200" t="s">
        <v>960</v>
      </c>
      <c r="C200" t="s">
        <v>422</v>
      </c>
      <c r="D200" t="s">
        <v>422</v>
      </c>
      <c r="E200" t="s">
        <v>423</v>
      </c>
      <c r="F200">
        <v>2506178</v>
      </c>
      <c r="G200" t="s">
        <v>387</v>
      </c>
      <c r="H200" t="s">
        <v>961</v>
      </c>
      <c r="I200" t="s">
        <v>387</v>
      </c>
      <c r="J200" t="s">
        <v>680</v>
      </c>
      <c r="K200" t="s">
        <v>681</v>
      </c>
      <c r="L200" t="s">
        <v>387</v>
      </c>
      <c r="M200" t="s">
        <v>387</v>
      </c>
      <c r="N200" t="str">
        <f>VLOOKUP(C200,UB!A:A,1,0)</f>
        <v>BANK MANDIRI TASPEN</v>
      </c>
    </row>
    <row r="201" spans="2:14" x14ac:dyDescent="0.25">
      <c r="B201" t="s">
        <v>962</v>
      </c>
      <c r="C201" t="s">
        <v>488</v>
      </c>
      <c r="D201" t="s">
        <v>963</v>
      </c>
      <c r="E201" t="s">
        <v>419</v>
      </c>
      <c r="F201">
        <v>97409779</v>
      </c>
      <c r="G201" t="s">
        <v>387</v>
      </c>
      <c r="H201" t="s">
        <v>387</v>
      </c>
      <c r="I201" t="s">
        <v>387</v>
      </c>
      <c r="J201" t="s">
        <v>680</v>
      </c>
      <c r="K201" t="s">
        <v>681</v>
      </c>
      <c r="L201" t="s">
        <v>387</v>
      </c>
      <c r="M201" t="s">
        <v>387</v>
      </c>
      <c r="N201" t="str">
        <f>VLOOKUP(C201,UB!A:A,1,0)</f>
        <v>MANADO MINA CITRA TARUNA PT</v>
      </c>
    </row>
    <row r="202" spans="2:14" x14ac:dyDescent="0.25">
      <c r="B202" t="s">
        <v>964</v>
      </c>
      <c r="C202" t="s">
        <v>447</v>
      </c>
      <c r="D202" t="s">
        <v>447</v>
      </c>
      <c r="E202" t="s">
        <v>448</v>
      </c>
      <c r="F202">
        <v>97409899</v>
      </c>
      <c r="G202" t="s">
        <v>387</v>
      </c>
      <c r="H202" t="s">
        <v>965</v>
      </c>
      <c r="I202" t="s">
        <v>387</v>
      </c>
      <c r="J202" t="s">
        <v>680</v>
      </c>
      <c r="K202" t="s">
        <v>681</v>
      </c>
      <c r="L202" t="s">
        <v>387</v>
      </c>
      <c r="M202" t="s">
        <v>387</v>
      </c>
      <c r="N202" t="str">
        <f>VLOOKUP(C202,UB!A:A,1,0)</f>
        <v>NUTRINDO FRESHFOOD, PT</v>
      </c>
    </row>
    <row r="203" spans="2:14" x14ac:dyDescent="0.25">
      <c r="B203" t="s">
        <v>966</v>
      </c>
      <c r="C203" t="s">
        <v>584</v>
      </c>
      <c r="D203" t="s">
        <v>967</v>
      </c>
      <c r="E203" t="s">
        <v>585</v>
      </c>
      <c r="F203">
        <v>97715138</v>
      </c>
      <c r="G203">
        <v>8120216033701</v>
      </c>
      <c r="H203" t="s">
        <v>968</v>
      </c>
      <c r="I203">
        <v>8120216033701</v>
      </c>
      <c r="J203" t="s">
        <v>680</v>
      </c>
      <c r="K203" t="s">
        <v>681</v>
      </c>
      <c r="L203" t="s">
        <v>387</v>
      </c>
      <c r="M203" t="s">
        <v>387</v>
      </c>
      <c r="N203" t="str">
        <f>VLOOKUP(C203,UB!A:A,1,0)</f>
        <v>FAST FOOD INDONESIA, PT</v>
      </c>
    </row>
    <row r="204" spans="2:14" x14ac:dyDescent="0.25">
      <c r="B204" t="s">
        <v>969</v>
      </c>
      <c r="C204" t="s">
        <v>483</v>
      </c>
      <c r="D204" t="s">
        <v>483</v>
      </c>
      <c r="E204" t="s">
        <v>484</v>
      </c>
      <c r="F204">
        <v>94440255</v>
      </c>
      <c r="G204" t="s">
        <v>387</v>
      </c>
      <c r="H204" t="s">
        <v>387</v>
      </c>
      <c r="I204" t="s">
        <v>387</v>
      </c>
      <c r="J204" t="s">
        <v>680</v>
      </c>
      <c r="K204" t="s">
        <v>681</v>
      </c>
      <c r="L204" t="s">
        <v>387</v>
      </c>
      <c r="M204" t="s">
        <v>387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970</v>
      </c>
      <c r="C205" t="s">
        <v>477</v>
      </c>
      <c r="D205" t="s">
        <v>477</v>
      </c>
      <c r="E205" t="s">
        <v>478</v>
      </c>
      <c r="F205">
        <v>37898</v>
      </c>
      <c r="G205" t="s">
        <v>387</v>
      </c>
      <c r="H205" t="s">
        <v>387</v>
      </c>
      <c r="I205" t="s">
        <v>387</v>
      </c>
      <c r="J205" t="s">
        <v>680</v>
      </c>
      <c r="K205" t="s">
        <v>681</v>
      </c>
      <c r="L205" t="s">
        <v>387</v>
      </c>
      <c r="M205" t="s">
        <v>387</v>
      </c>
      <c r="N205" t="str">
        <f>VLOOKUP(C205,UB!A:A,1,0)</f>
        <v>Djakarta Lloyd PT Persero</v>
      </c>
    </row>
    <row r="206" spans="2:14" x14ac:dyDescent="0.25">
      <c r="B206" t="s">
        <v>971</v>
      </c>
      <c r="C206" t="s">
        <v>486</v>
      </c>
      <c r="D206" t="s">
        <v>972</v>
      </c>
      <c r="E206" t="s">
        <v>487</v>
      </c>
      <c r="F206">
        <v>97409592</v>
      </c>
      <c r="G206" t="s">
        <v>387</v>
      </c>
      <c r="H206" t="s">
        <v>387</v>
      </c>
      <c r="I206" t="s">
        <v>387</v>
      </c>
      <c r="J206" t="s">
        <v>680</v>
      </c>
      <c r="K206" t="s">
        <v>681</v>
      </c>
      <c r="L206" t="s">
        <v>387</v>
      </c>
      <c r="M206" t="s">
        <v>387</v>
      </c>
      <c r="N206" t="str">
        <f>VLOOKUP(C206,UB!A:A,1,0)</f>
        <v>INDOFOOD CBP SUKSES MAKMUR, PT</v>
      </c>
    </row>
    <row r="207" spans="2:14" x14ac:dyDescent="0.25">
      <c r="B207" t="s">
        <v>973</v>
      </c>
      <c r="C207" t="s">
        <v>491</v>
      </c>
      <c r="D207" t="s">
        <v>491</v>
      </c>
      <c r="E207" t="s">
        <v>492</v>
      </c>
      <c r="F207">
        <v>97409240</v>
      </c>
      <c r="G207" t="s">
        <v>387</v>
      </c>
      <c r="H207" t="s">
        <v>974</v>
      </c>
      <c r="I207" t="s">
        <v>387</v>
      </c>
      <c r="J207" t="s">
        <v>680</v>
      </c>
      <c r="K207" t="s">
        <v>681</v>
      </c>
      <c r="L207" t="s">
        <v>387</v>
      </c>
      <c r="M207" t="s">
        <v>387</v>
      </c>
      <c r="N207" t="str">
        <f>VLOOKUP(C207,UB!A:A,1,0)</f>
        <v>DEHO CANNING COMPANY, PT</v>
      </c>
    </row>
    <row r="208" spans="2:14" x14ac:dyDescent="0.25">
      <c r="B208" t="s">
        <v>975</v>
      </c>
      <c r="C208" t="s">
        <v>449</v>
      </c>
      <c r="D208" t="s">
        <v>976</v>
      </c>
      <c r="E208" t="s">
        <v>485</v>
      </c>
      <c r="F208">
        <v>94431370</v>
      </c>
      <c r="G208" t="s">
        <v>387</v>
      </c>
      <c r="H208" t="s">
        <v>387</v>
      </c>
      <c r="I208">
        <v>9999999999999</v>
      </c>
      <c r="J208" t="s">
        <v>680</v>
      </c>
      <c r="K208" t="s">
        <v>681</v>
      </c>
      <c r="L208" t="s">
        <v>387</v>
      </c>
      <c r="M208" t="s">
        <v>387</v>
      </c>
      <c r="N208" t="str">
        <f>VLOOKUP(C208,UB!A:A,1,0)</f>
        <v>PEGADAIAN, PT</v>
      </c>
    </row>
    <row r="209" spans="1:14" x14ac:dyDescent="0.25">
      <c r="B209" t="s">
        <v>977</v>
      </c>
      <c r="C209" t="s">
        <v>481</v>
      </c>
      <c r="D209" t="s">
        <v>978</v>
      </c>
      <c r="E209" t="s">
        <v>482</v>
      </c>
      <c r="F209">
        <v>94417036</v>
      </c>
      <c r="G209" t="s">
        <v>387</v>
      </c>
      <c r="H209" t="s">
        <v>387</v>
      </c>
      <c r="I209" t="s">
        <v>387</v>
      </c>
      <c r="J209" t="s">
        <v>680</v>
      </c>
      <c r="K209" t="s">
        <v>681</v>
      </c>
      <c r="L209" t="s">
        <v>387</v>
      </c>
      <c r="M209" t="s">
        <v>387</v>
      </c>
      <c r="N209" t="str">
        <f>VLOOKUP(C209,UB!A:A,1,0)</f>
        <v>Grapari Bitung, TELEKOMUNIKASI INDONESIA SELULER, PT</v>
      </c>
    </row>
    <row r="210" spans="1:14" x14ac:dyDescent="0.25">
      <c r="B210" t="s">
        <v>979</v>
      </c>
      <c r="C210" t="s">
        <v>493</v>
      </c>
      <c r="D210" t="s">
        <v>493</v>
      </c>
      <c r="E210" t="s">
        <v>494</v>
      </c>
      <c r="F210">
        <v>97409239</v>
      </c>
      <c r="G210" t="s">
        <v>387</v>
      </c>
      <c r="H210" t="s">
        <v>387</v>
      </c>
      <c r="I210" t="s">
        <v>387</v>
      </c>
      <c r="J210" t="s">
        <v>680</v>
      </c>
      <c r="K210" t="s">
        <v>681</v>
      </c>
      <c r="L210" t="s">
        <v>387</v>
      </c>
      <c r="M210" t="s">
        <v>387</v>
      </c>
      <c r="N210" t="str">
        <f>VLOOKUP(C210,UB!A:A,1,0)</f>
        <v>RD PACIFIK INTERNATIONAL, PT</v>
      </c>
    </row>
    <row r="211" spans="1:14" x14ac:dyDescent="0.25">
      <c r="E211" t="s">
        <v>980</v>
      </c>
      <c r="N211" t="e">
        <f>VLOOKUP(C211,UB!A:A,1,0)</f>
        <v>#N/A</v>
      </c>
    </row>
    <row r="212" spans="1:14" x14ac:dyDescent="0.25">
      <c r="A212" t="s">
        <v>981</v>
      </c>
      <c r="N212" t="e">
        <f>VLOOKUP(C212,UB!A:A,1,0)</f>
        <v>#N/A</v>
      </c>
    </row>
    <row r="213" spans="1:14" x14ac:dyDescent="0.25">
      <c r="A213" t="s">
        <v>902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982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A61" workbookViewId="0">
      <selection activeCell="B78" sqref="B78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382</v>
      </c>
      <c r="N1" t="s">
        <v>397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634</v>
      </c>
      <c r="F2">
        <f>SUMIF(DATA!$A:$A,PPL!$A2,DATA!D:D)</f>
        <v>289</v>
      </c>
      <c r="G2">
        <f>SUMIF(DATA!$A:$A,PPL!$A2,DATA!E:E)</f>
        <v>6</v>
      </c>
      <c r="H2">
        <f>SUMIF(DATA!$A:$A,PPL!$A2,DATA!F:F)</f>
        <v>331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8</v>
      </c>
      <c r="L2">
        <f>SUMIF(DATA!$A:$A,PPL!$A2,DATA!J:J)</f>
        <v>0</v>
      </c>
      <c r="M2">
        <f>F2+I2+J2+K2+L2</f>
        <v>297</v>
      </c>
      <c r="N2" s="3">
        <f>(M2/E2)*100</f>
        <v>46.845425867507885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615</v>
      </c>
      <c r="F3">
        <f>SUMIF(DATA!$A:$A,PPL!$A3,DATA!D:D)</f>
        <v>298</v>
      </c>
      <c r="G3">
        <f>SUMIF(DATA!$A:$A,PPL!$A3,DATA!E:E)</f>
        <v>13</v>
      </c>
      <c r="H3">
        <f>SUMIF(DATA!$A:$A,PPL!$A3,DATA!F:F)</f>
        <v>292</v>
      </c>
      <c r="I3">
        <f>SUMIF(DATA!$A:$A,PPL!$A3,DATA!G:G)</f>
        <v>3</v>
      </c>
      <c r="J3">
        <f>SUMIF(DATA!$A:$A,PPL!$A3,DATA!H:H)</f>
        <v>0</v>
      </c>
      <c r="K3">
        <f>SUMIF(DATA!$A:$A,PPL!$A3,DATA!I:I)</f>
        <v>9</v>
      </c>
      <c r="L3">
        <f>SUMIF(DATA!$A:$A,PPL!$A3,DATA!J:J)</f>
        <v>0</v>
      </c>
      <c r="M3">
        <f t="shared" ref="M3:M66" si="0">F3+I3+J3+K3+L3</f>
        <v>310</v>
      </c>
      <c r="N3" s="3">
        <f t="shared" ref="N3:N66" si="1">(M3/E3)*100</f>
        <v>50.40650406504065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683</v>
      </c>
      <c r="F4">
        <f>SUMIF(DATA!$A:$A,PPL!$A4,DATA!D:D)</f>
        <v>381</v>
      </c>
      <c r="G4">
        <f>SUMIF(DATA!$A:$A,PPL!$A4,DATA!E:E)</f>
        <v>8</v>
      </c>
      <c r="H4">
        <f>SUMIF(DATA!$A:$A,PPL!$A4,DATA!F:F)</f>
        <v>232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62</v>
      </c>
      <c r="L4">
        <f>SUMIF(DATA!$A:$A,PPL!$A4,DATA!J:J)</f>
        <v>0</v>
      </c>
      <c r="M4">
        <f t="shared" si="0"/>
        <v>443</v>
      </c>
      <c r="N4" s="3">
        <f t="shared" si="1"/>
        <v>64.860907759882863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638</v>
      </c>
      <c r="F5">
        <f>SUMIF(DATA!$A:$A,PPL!$A5,DATA!D:D)</f>
        <v>262</v>
      </c>
      <c r="G5">
        <f>SUMIF(DATA!$A:$A,PPL!$A5,DATA!E:E)</f>
        <v>7</v>
      </c>
      <c r="H5">
        <f>SUMIF(DATA!$A:$A,PPL!$A5,DATA!F:F)</f>
        <v>297</v>
      </c>
      <c r="I5">
        <f>SUMIF(DATA!$A:$A,PPL!$A5,DATA!G:G)</f>
        <v>4</v>
      </c>
      <c r="J5">
        <f>SUMIF(DATA!$A:$A,PPL!$A5,DATA!H:H)</f>
        <v>0</v>
      </c>
      <c r="K5">
        <f>SUMIF(DATA!$A:$A,PPL!$A5,DATA!I:I)</f>
        <v>68</v>
      </c>
      <c r="L5">
        <f>SUMIF(DATA!$A:$A,PPL!$A5,DATA!J:J)</f>
        <v>0</v>
      </c>
      <c r="M5">
        <f t="shared" si="0"/>
        <v>334</v>
      </c>
      <c r="N5" s="3">
        <f t="shared" si="1"/>
        <v>52.351097178683382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667</v>
      </c>
      <c r="F6">
        <f>SUMIF(DATA!$A:$A,PPL!$A6,DATA!D:D)</f>
        <v>276</v>
      </c>
      <c r="G6">
        <f>SUMIF(DATA!$A:$A,PPL!$A6,DATA!E:E)</f>
        <v>7</v>
      </c>
      <c r="H6">
        <f>SUMIF(DATA!$A:$A,PPL!$A6,DATA!F:F)</f>
        <v>340</v>
      </c>
      <c r="I6">
        <f>SUMIF(DATA!$A:$A,PPL!$A6,DATA!G:G)</f>
        <v>3</v>
      </c>
      <c r="J6">
        <f>SUMIF(DATA!$A:$A,PPL!$A6,DATA!H:H)</f>
        <v>0</v>
      </c>
      <c r="K6">
        <f>SUMIF(DATA!$A:$A,PPL!$A6,DATA!I:I)</f>
        <v>41</v>
      </c>
      <c r="L6">
        <f>SUMIF(DATA!$A:$A,PPL!$A6,DATA!J:J)</f>
        <v>0</v>
      </c>
      <c r="M6">
        <f t="shared" si="0"/>
        <v>320</v>
      </c>
      <c r="N6" s="3">
        <f t="shared" si="1"/>
        <v>47.976011994002995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610</v>
      </c>
      <c r="F7">
        <f>SUMIF(DATA!$A:$A,PPL!$A7,DATA!D:D)</f>
        <v>284</v>
      </c>
      <c r="G7">
        <f>SUMIF(DATA!$A:$A,PPL!$A7,DATA!E:E)</f>
        <v>5</v>
      </c>
      <c r="H7">
        <f>SUMIF(DATA!$A:$A,PPL!$A7,DATA!F:F)</f>
        <v>279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41</v>
      </c>
      <c r="L7">
        <f>SUMIF(DATA!$A:$A,PPL!$A7,DATA!J:J)</f>
        <v>0</v>
      </c>
      <c r="M7">
        <f t="shared" si="0"/>
        <v>326</v>
      </c>
      <c r="N7" s="3">
        <f t="shared" si="1"/>
        <v>53.442622950819676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661</v>
      </c>
      <c r="F8">
        <f>SUMIF(DATA!$A:$A,PPL!$A8,DATA!D:D)</f>
        <v>362</v>
      </c>
      <c r="G8">
        <f>SUMIF(DATA!$A:$A,PPL!$A8,DATA!E:E)</f>
        <v>5</v>
      </c>
      <c r="H8">
        <f>SUMIF(DATA!$A:$A,PPL!$A8,DATA!F:F)</f>
        <v>228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66</v>
      </c>
      <c r="L8">
        <f>SUMIF(DATA!$A:$A,PPL!$A8,DATA!J:J)</f>
        <v>0</v>
      </c>
      <c r="M8">
        <f t="shared" si="0"/>
        <v>428</v>
      </c>
      <c r="N8" s="3">
        <f t="shared" si="1"/>
        <v>64.750378214826014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264</v>
      </c>
      <c r="G9">
        <f>SUMIF(DATA!$A:$A,PPL!$A9,DATA!E:E)</f>
        <v>10</v>
      </c>
      <c r="H9">
        <f>SUMIF(DATA!$A:$A,PPL!$A9,DATA!F:F)</f>
        <v>283</v>
      </c>
      <c r="I9">
        <f>SUMIF(DATA!$A:$A,PPL!$A9,DATA!G:G)</f>
        <v>1</v>
      </c>
      <c r="J9">
        <f>SUMIF(DATA!$A:$A,PPL!$A9,DATA!H:H)</f>
        <v>1</v>
      </c>
      <c r="K9">
        <f>SUMIF(DATA!$A:$A,PPL!$A9,DATA!I:I)</f>
        <v>10</v>
      </c>
      <c r="L9">
        <f>SUMIF(DATA!$A:$A,PPL!$A9,DATA!J:J)</f>
        <v>0</v>
      </c>
      <c r="M9">
        <f t="shared" si="0"/>
        <v>276</v>
      </c>
      <c r="N9" s="3">
        <f t="shared" si="1"/>
        <v>48.506151142355009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662</v>
      </c>
      <c r="F10">
        <f>SUMIF(DATA!$A:$A,PPL!$A10,DATA!D:D)</f>
        <v>290</v>
      </c>
      <c r="G10">
        <f>SUMIF(DATA!$A:$A,PPL!$A10,DATA!E:E)</f>
        <v>1</v>
      </c>
      <c r="H10">
        <f>SUMIF(DATA!$A:$A,PPL!$A10,DATA!F:F)</f>
        <v>325</v>
      </c>
      <c r="I10">
        <f>SUMIF(DATA!$A:$A,PPL!$A10,DATA!G:G)</f>
        <v>1</v>
      </c>
      <c r="J10">
        <f>SUMIF(DATA!$A:$A,PPL!$A10,DATA!H:H)</f>
        <v>0</v>
      </c>
      <c r="K10">
        <f>SUMIF(DATA!$A:$A,PPL!$A10,DATA!I:I)</f>
        <v>45</v>
      </c>
      <c r="L10">
        <f>SUMIF(DATA!$A:$A,PPL!$A10,DATA!J:J)</f>
        <v>0</v>
      </c>
      <c r="M10">
        <f t="shared" si="0"/>
        <v>336</v>
      </c>
      <c r="N10" s="3">
        <f t="shared" si="1"/>
        <v>50.755287009063444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648</v>
      </c>
      <c r="F11">
        <f>SUMIF(DATA!$A:$A,PPL!$A11,DATA!D:D)</f>
        <v>300</v>
      </c>
      <c r="G11">
        <f>SUMIF(DATA!$A:$A,PPL!$A11,DATA!E:E)</f>
        <v>2</v>
      </c>
      <c r="H11">
        <f>SUMIF(DATA!$A:$A,PPL!$A11,DATA!F:F)</f>
        <v>336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10</v>
      </c>
      <c r="L11">
        <f>SUMIF(DATA!$A:$A,PPL!$A11,DATA!J:J)</f>
        <v>0</v>
      </c>
      <c r="M11">
        <f t="shared" si="0"/>
        <v>310</v>
      </c>
      <c r="N11" s="3">
        <f t="shared" si="1"/>
        <v>47.839506172839506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726</v>
      </c>
      <c r="F12">
        <f>SUMIF(DATA!$A:$A,PPL!$A12,DATA!D:D)</f>
        <v>481</v>
      </c>
      <c r="G12">
        <f>SUMIF(DATA!$A:$A,PPL!$A12,DATA!E:E)</f>
        <v>1</v>
      </c>
      <c r="H12">
        <f>SUMIF(DATA!$A:$A,PPL!$A12,DATA!F:F)</f>
        <v>206</v>
      </c>
      <c r="I12">
        <f>SUMIF(DATA!$A:$A,PPL!$A12,DATA!G:G)</f>
        <v>3</v>
      </c>
      <c r="J12">
        <f>SUMIF(DATA!$A:$A,PPL!$A12,DATA!H:H)</f>
        <v>0</v>
      </c>
      <c r="K12">
        <f>SUMIF(DATA!$A:$A,PPL!$A12,DATA!I:I)</f>
        <v>35</v>
      </c>
      <c r="L12">
        <f>SUMIF(DATA!$A:$A,PPL!$A12,DATA!J:J)</f>
        <v>0</v>
      </c>
      <c r="M12">
        <f t="shared" si="0"/>
        <v>519</v>
      </c>
      <c r="N12" s="3">
        <f t="shared" si="1"/>
        <v>71.487603305785115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681</v>
      </c>
      <c r="F13">
        <f>SUMIF(DATA!$A:$A,PPL!$A13,DATA!D:D)</f>
        <v>291</v>
      </c>
      <c r="G13">
        <f>SUMIF(DATA!$A:$A,PPL!$A13,DATA!E:E)</f>
        <v>5</v>
      </c>
      <c r="H13">
        <f>SUMIF(DATA!$A:$A,PPL!$A13,DATA!F:F)</f>
        <v>362</v>
      </c>
      <c r="I13">
        <f>SUMIF(DATA!$A:$A,PPL!$A13,DATA!G:G)</f>
        <v>2</v>
      </c>
      <c r="J13">
        <f>SUMIF(DATA!$A:$A,PPL!$A13,DATA!H:H)</f>
        <v>0</v>
      </c>
      <c r="K13">
        <f>SUMIF(DATA!$A:$A,PPL!$A13,DATA!I:I)</f>
        <v>21</v>
      </c>
      <c r="L13">
        <f>SUMIF(DATA!$A:$A,PPL!$A13,DATA!J:J)</f>
        <v>0</v>
      </c>
      <c r="M13">
        <f t="shared" si="0"/>
        <v>314</v>
      </c>
      <c r="N13" s="3">
        <f t="shared" si="1"/>
        <v>46.108663729809102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693</v>
      </c>
      <c r="F14">
        <f>SUMIF(DATA!$A:$A,PPL!$A14,DATA!D:D)</f>
        <v>283</v>
      </c>
      <c r="G14">
        <f>SUMIF(DATA!$A:$A,PPL!$A14,DATA!E:E)</f>
        <v>28</v>
      </c>
      <c r="H14">
        <f>SUMIF(DATA!$A:$A,PPL!$A14,DATA!F:F)</f>
        <v>366</v>
      </c>
      <c r="I14">
        <f>SUMIF(DATA!$A:$A,PPL!$A14,DATA!G:G)</f>
        <v>5</v>
      </c>
      <c r="J14">
        <f>SUMIF(DATA!$A:$A,PPL!$A14,DATA!H:H)</f>
        <v>0</v>
      </c>
      <c r="K14">
        <f>SUMIF(DATA!$A:$A,PPL!$A14,DATA!I:I)</f>
        <v>11</v>
      </c>
      <c r="L14">
        <f>SUMIF(DATA!$A:$A,PPL!$A14,DATA!J:J)</f>
        <v>0</v>
      </c>
      <c r="M14">
        <f t="shared" si="0"/>
        <v>299</v>
      </c>
      <c r="N14" s="3">
        <f t="shared" si="1"/>
        <v>43.145743145743147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688</v>
      </c>
      <c r="F15">
        <f>SUMIF(DATA!$A:$A,PPL!$A15,DATA!D:D)</f>
        <v>317</v>
      </c>
      <c r="G15">
        <f>SUMIF(DATA!$A:$A,PPL!$A15,DATA!E:E)</f>
        <v>20</v>
      </c>
      <c r="H15">
        <f>SUMIF(DATA!$A:$A,PPL!$A15,DATA!F:F)</f>
        <v>307</v>
      </c>
      <c r="I15">
        <f>SUMIF(DATA!$A:$A,PPL!$A15,DATA!G:G)</f>
        <v>14</v>
      </c>
      <c r="J15">
        <f>SUMIF(DATA!$A:$A,PPL!$A15,DATA!H:H)</f>
        <v>0</v>
      </c>
      <c r="K15">
        <f>SUMIF(DATA!$A:$A,PPL!$A15,DATA!I:I)</f>
        <v>30</v>
      </c>
      <c r="L15">
        <f>SUMIF(DATA!$A:$A,PPL!$A15,DATA!J:J)</f>
        <v>0</v>
      </c>
      <c r="M15">
        <f t="shared" si="0"/>
        <v>361</v>
      </c>
      <c r="N15" s="3">
        <f t="shared" si="1"/>
        <v>52.470930232558146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675</v>
      </c>
      <c r="F16">
        <f>SUMIF(DATA!$A:$A,PPL!$A16,DATA!D:D)</f>
        <v>289</v>
      </c>
      <c r="G16">
        <f>SUMIF(DATA!$A:$A,PPL!$A16,DATA!E:E)</f>
        <v>0</v>
      </c>
      <c r="H16">
        <f>SUMIF(DATA!$A:$A,PPL!$A16,DATA!F:F)</f>
        <v>375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9</v>
      </c>
      <c r="L16">
        <f>SUMIF(DATA!$A:$A,PPL!$A16,DATA!J:J)</f>
        <v>1</v>
      </c>
      <c r="M16">
        <f t="shared" si="0"/>
        <v>300</v>
      </c>
      <c r="N16" s="3">
        <f t="shared" si="1"/>
        <v>44.444444444444443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665</v>
      </c>
      <c r="F17">
        <f>SUMIF(DATA!$A:$A,PPL!$A17,DATA!D:D)</f>
        <v>253</v>
      </c>
      <c r="G17">
        <f>SUMIF(DATA!$A:$A,PPL!$A17,DATA!E:E)</f>
        <v>5</v>
      </c>
      <c r="H17">
        <f>SUMIF(DATA!$A:$A,PPL!$A17,DATA!F:F)</f>
        <v>369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38</v>
      </c>
      <c r="L17">
        <f>SUMIF(DATA!$A:$A,PPL!$A17,DATA!J:J)</f>
        <v>0</v>
      </c>
      <c r="M17">
        <f t="shared" si="0"/>
        <v>291</v>
      </c>
      <c r="N17" s="3">
        <f t="shared" si="1"/>
        <v>43.759398496240607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664</v>
      </c>
      <c r="F18">
        <f>SUMIF(DATA!$A:$A,PPL!$A18,DATA!D:D)</f>
        <v>314</v>
      </c>
      <c r="G18">
        <f>SUMIF(DATA!$A:$A,PPL!$A18,DATA!E:E)</f>
        <v>1</v>
      </c>
      <c r="H18">
        <f>SUMIF(DATA!$A:$A,PPL!$A18,DATA!F:F)</f>
        <v>332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16</v>
      </c>
      <c r="L18">
        <f>SUMIF(DATA!$A:$A,PPL!$A18,DATA!J:J)</f>
        <v>0</v>
      </c>
      <c r="M18">
        <f t="shared" si="0"/>
        <v>331</v>
      </c>
      <c r="N18" s="3">
        <f t="shared" si="1"/>
        <v>49.849397590361441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695</v>
      </c>
      <c r="F19">
        <f>SUMIF(DATA!$A:$A,PPL!$A19,DATA!D:D)</f>
        <v>325</v>
      </c>
      <c r="G19">
        <f>SUMIF(DATA!$A:$A,PPL!$A19,DATA!E:E)</f>
        <v>15</v>
      </c>
      <c r="H19">
        <f>SUMIF(DATA!$A:$A,PPL!$A19,DATA!F:F)</f>
        <v>326</v>
      </c>
      <c r="I19">
        <f>SUMIF(DATA!$A:$A,PPL!$A19,DATA!G:G)</f>
        <v>4</v>
      </c>
      <c r="J19">
        <f>SUMIF(DATA!$A:$A,PPL!$A19,DATA!H:H)</f>
        <v>0</v>
      </c>
      <c r="K19">
        <f>SUMIF(DATA!$A:$A,PPL!$A19,DATA!I:I)</f>
        <v>25</v>
      </c>
      <c r="L19">
        <f>SUMIF(DATA!$A:$A,PPL!$A19,DATA!J:J)</f>
        <v>0</v>
      </c>
      <c r="M19">
        <f t="shared" si="0"/>
        <v>354</v>
      </c>
      <c r="N19" s="3">
        <f t="shared" si="1"/>
        <v>50.935251798561154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682</v>
      </c>
      <c r="F20">
        <f>SUMIF(DATA!$A:$A,PPL!$A20,DATA!D:D)</f>
        <v>315</v>
      </c>
      <c r="G20">
        <f>SUMIF(DATA!$A:$A,PPL!$A20,DATA!E:E)</f>
        <v>38</v>
      </c>
      <c r="H20">
        <f>SUMIF(DATA!$A:$A,PPL!$A20,DATA!F:F)</f>
        <v>306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21</v>
      </c>
      <c r="L20">
        <f>SUMIF(DATA!$A:$A,PPL!$A20,DATA!J:J)</f>
        <v>0</v>
      </c>
      <c r="M20">
        <f t="shared" si="0"/>
        <v>338</v>
      </c>
      <c r="N20" s="3">
        <f t="shared" si="1"/>
        <v>49.560117302052788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664</v>
      </c>
      <c r="F21">
        <f>SUMIF(DATA!$A:$A,PPL!$A21,DATA!D:D)</f>
        <v>276</v>
      </c>
      <c r="G21">
        <f>SUMIF(DATA!$A:$A,PPL!$A21,DATA!E:E)</f>
        <v>7</v>
      </c>
      <c r="H21">
        <f>SUMIF(DATA!$A:$A,PPL!$A21,DATA!F:F)</f>
        <v>334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47</v>
      </c>
      <c r="L21">
        <f>SUMIF(DATA!$A:$A,PPL!$A21,DATA!J:J)</f>
        <v>0</v>
      </c>
      <c r="M21">
        <f t="shared" si="0"/>
        <v>323</v>
      </c>
      <c r="N21" s="3">
        <f t="shared" si="1"/>
        <v>48.644578313253014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650</v>
      </c>
      <c r="F22">
        <f>SUMIF(DATA!$A:$A,PPL!$A22,DATA!D:D)</f>
        <v>271</v>
      </c>
      <c r="G22">
        <f>SUMIF(DATA!$A:$A,PPL!$A22,DATA!E:E)</f>
        <v>28</v>
      </c>
      <c r="H22">
        <f>SUMIF(DATA!$A:$A,PPL!$A22,DATA!F:F)</f>
        <v>334</v>
      </c>
      <c r="I22">
        <f>SUMIF(DATA!$A:$A,PPL!$A22,DATA!G:G)</f>
        <v>6</v>
      </c>
      <c r="J22">
        <f>SUMIF(DATA!$A:$A,PPL!$A22,DATA!H:H)</f>
        <v>0</v>
      </c>
      <c r="K22">
        <f>SUMIF(DATA!$A:$A,PPL!$A22,DATA!I:I)</f>
        <v>11</v>
      </c>
      <c r="L22">
        <f>SUMIF(DATA!$A:$A,PPL!$A22,DATA!J:J)</f>
        <v>0</v>
      </c>
      <c r="M22">
        <f t="shared" si="0"/>
        <v>288</v>
      </c>
      <c r="N22" s="3">
        <f t="shared" si="1"/>
        <v>44.307692307692307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718</v>
      </c>
      <c r="F23">
        <f>SUMIF(DATA!$A:$A,PPL!$A23,DATA!D:D)</f>
        <v>320</v>
      </c>
      <c r="G23">
        <f>SUMIF(DATA!$A:$A,PPL!$A23,DATA!E:E)</f>
        <v>80</v>
      </c>
      <c r="H23">
        <f>SUMIF(DATA!$A:$A,PPL!$A23,DATA!F:F)</f>
        <v>312</v>
      </c>
      <c r="I23">
        <f>SUMIF(DATA!$A:$A,PPL!$A23,DATA!G:G)</f>
        <v>1</v>
      </c>
      <c r="J23">
        <f>SUMIF(DATA!$A:$A,PPL!$A23,DATA!H:H)</f>
        <v>0</v>
      </c>
      <c r="K23">
        <f>SUMIF(DATA!$A:$A,PPL!$A23,DATA!I:I)</f>
        <v>5</v>
      </c>
      <c r="L23">
        <f>SUMIF(DATA!$A:$A,PPL!$A23,DATA!J:J)</f>
        <v>0</v>
      </c>
      <c r="M23">
        <f t="shared" si="0"/>
        <v>326</v>
      </c>
      <c r="N23" s="3">
        <f t="shared" si="1"/>
        <v>45.403899721448468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739</v>
      </c>
      <c r="F24">
        <f>SUMIF(DATA!$A:$A,PPL!$A24,DATA!D:D)</f>
        <v>373</v>
      </c>
      <c r="G24">
        <f>SUMIF(DATA!$A:$A,PPL!$A24,DATA!E:E)</f>
        <v>13</v>
      </c>
      <c r="H24">
        <f>SUMIF(DATA!$A:$A,PPL!$A24,DATA!F:F)</f>
        <v>344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8</v>
      </c>
      <c r="L24">
        <f>SUMIF(DATA!$A:$A,PPL!$A24,DATA!J:J)</f>
        <v>0</v>
      </c>
      <c r="M24">
        <f t="shared" si="0"/>
        <v>382</v>
      </c>
      <c r="N24" s="3">
        <f t="shared" si="1"/>
        <v>51.691474966170503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700</v>
      </c>
      <c r="F25">
        <f>SUMIF(DATA!$A:$A,PPL!$A25,DATA!D:D)</f>
        <v>321</v>
      </c>
      <c r="G25">
        <f>SUMIF(DATA!$A:$A,PPL!$A25,DATA!E:E)</f>
        <v>18</v>
      </c>
      <c r="H25">
        <f>SUMIF(DATA!$A:$A,PPL!$A25,DATA!F:F)</f>
        <v>359</v>
      </c>
      <c r="I25">
        <f>SUMIF(DATA!$A:$A,PPL!$A25,DATA!G:G)</f>
        <v>2</v>
      </c>
      <c r="J25">
        <f>SUMIF(DATA!$A:$A,PPL!$A25,DATA!H:H)</f>
        <v>0</v>
      </c>
      <c r="K25">
        <f>SUMIF(DATA!$A:$A,PPL!$A25,DATA!I:I)</f>
        <v>0</v>
      </c>
      <c r="L25">
        <f>SUMIF(DATA!$A:$A,PPL!$A25,DATA!J:J)</f>
        <v>0</v>
      </c>
      <c r="M25">
        <f t="shared" si="0"/>
        <v>323</v>
      </c>
      <c r="N25" s="3">
        <f t="shared" si="1"/>
        <v>46.142857142857139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784</v>
      </c>
      <c r="F26">
        <f>SUMIF(DATA!$A:$A,PPL!$A26,DATA!D:D)</f>
        <v>370</v>
      </c>
      <c r="G26">
        <f>SUMIF(DATA!$A:$A,PPL!$A26,DATA!E:E)</f>
        <v>27</v>
      </c>
      <c r="H26">
        <f>SUMIF(DATA!$A:$A,PPL!$A26,DATA!F:F)</f>
        <v>363</v>
      </c>
      <c r="I26">
        <f>SUMIF(DATA!$A:$A,PPL!$A26,DATA!G:G)</f>
        <v>12</v>
      </c>
      <c r="J26">
        <f>SUMIF(DATA!$A:$A,PPL!$A26,DATA!H:H)</f>
        <v>0</v>
      </c>
      <c r="K26">
        <f>SUMIF(DATA!$A:$A,PPL!$A26,DATA!I:I)</f>
        <v>12</v>
      </c>
      <c r="L26">
        <f>SUMIF(DATA!$A:$A,PPL!$A26,DATA!J:J)</f>
        <v>0</v>
      </c>
      <c r="M26">
        <f t="shared" si="0"/>
        <v>394</v>
      </c>
      <c r="N26" s="3">
        <f t="shared" si="1"/>
        <v>50.255102040816325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669</v>
      </c>
      <c r="F27">
        <f>SUMIF(DATA!$A:$A,PPL!$A27,DATA!D:D)</f>
        <v>266</v>
      </c>
      <c r="G27">
        <f>SUMIF(DATA!$A:$A,PPL!$A27,DATA!E:E)</f>
        <v>7</v>
      </c>
      <c r="H27">
        <f>SUMIF(DATA!$A:$A,PPL!$A27,DATA!F:F)</f>
        <v>340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56</v>
      </c>
      <c r="L27">
        <f>SUMIF(DATA!$A:$A,PPL!$A27,DATA!J:J)</f>
        <v>0</v>
      </c>
      <c r="M27">
        <f t="shared" si="0"/>
        <v>322</v>
      </c>
      <c r="N27" s="3">
        <f t="shared" si="1"/>
        <v>48.131539611360239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679</v>
      </c>
      <c r="F28">
        <f>SUMIF(DATA!$A:$A,PPL!$A28,DATA!D:D)</f>
        <v>286</v>
      </c>
      <c r="G28">
        <f>SUMIF(DATA!$A:$A,PPL!$A28,DATA!E:E)</f>
        <v>7</v>
      </c>
      <c r="H28">
        <f>SUMIF(DATA!$A:$A,PPL!$A28,DATA!F:F)</f>
        <v>314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72</v>
      </c>
      <c r="L28">
        <f>SUMIF(DATA!$A:$A,PPL!$A28,DATA!J:J)</f>
        <v>0</v>
      </c>
      <c r="M28">
        <f t="shared" si="0"/>
        <v>358</v>
      </c>
      <c r="N28" s="3">
        <f t="shared" si="1"/>
        <v>52.724594992636234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647</v>
      </c>
      <c r="F29">
        <f>SUMIF(DATA!$A:$A,PPL!$A29,DATA!D:D)</f>
        <v>263</v>
      </c>
      <c r="G29">
        <f>SUMIF(DATA!$A:$A,PPL!$A29,DATA!E:E)</f>
        <v>1</v>
      </c>
      <c r="H29">
        <f>SUMIF(DATA!$A:$A,PPL!$A29,DATA!F:F)</f>
        <v>368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15</v>
      </c>
      <c r="L29">
        <f>SUMIF(DATA!$A:$A,PPL!$A29,DATA!J:J)</f>
        <v>0</v>
      </c>
      <c r="M29">
        <f t="shared" si="0"/>
        <v>278</v>
      </c>
      <c r="N29" s="3">
        <f t="shared" si="1"/>
        <v>42.967542503863989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710</v>
      </c>
      <c r="F30">
        <f>SUMIF(DATA!$A:$A,PPL!$A30,DATA!D:D)</f>
        <v>290</v>
      </c>
      <c r="G30">
        <f>SUMIF(DATA!$A:$A,PPL!$A30,DATA!E:E)</f>
        <v>23</v>
      </c>
      <c r="H30">
        <f>SUMIF(DATA!$A:$A,PPL!$A30,DATA!F:F)</f>
        <v>393</v>
      </c>
      <c r="I30">
        <f>SUMIF(DATA!$A:$A,PPL!$A30,DATA!G:G)</f>
        <v>3</v>
      </c>
      <c r="J30">
        <f>SUMIF(DATA!$A:$A,PPL!$A30,DATA!H:H)</f>
        <v>1</v>
      </c>
      <c r="K30">
        <f>SUMIF(DATA!$A:$A,PPL!$A30,DATA!I:I)</f>
        <v>0</v>
      </c>
      <c r="L30">
        <f>SUMIF(DATA!$A:$A,PPL!$A30,DATA!J:J)</f>
        <v>0</v>
      </c>
      <c r="M30">
        <f t="shared" si="0"/>
        <v>294</v>
      </c>
      <c r="N30" s="3">
        <f t="shared" si="1"/>
        <v>41.408450704225352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688</v>
      </c>
      <c r="F31">
        <f>SUMIF(DATA!$A:$A,PPL!$A31,DATA!D:D)</f>
        <v>311</v>
      </c>
      <c r="G31">
        <f>SUMIF(DATA!$A:$A,PPL!$A31,DATA!E:E)</f>
        <v>24</v>
      </c>
      <c r="H31">
        <f>SUMIF(DATA!$A:$A,PPL!$A31,DATA!F:F)</f>
        <v>342</v>
      </c>
      <c r="I31">
        <f>SUMIF(DATA!$A:$A,PPL!$A31,DATA!G:G)</f>
        <v>2</v>
      </c>
      <c r="J31">
        <f>SUMIF(DATA!$A:$A,PPL!$A31,DATA!H:H)</f>
        <v>1</v>
      </c>
      <c r="K31">
        <f>SUMIF(DATA!$A:$A,PPL!$A31,DATA!I:I)</f>
        <v>8</v>
      </c>
      <c r="L31">
        <f>SUMIF(DATA!$A:$A,PPL!$A31,DATA!J:J)</f>
        <v>0</v>
      </c>
      <c r="M31">
        <f t="shared" si="0"/>
        <v>322</v>
      </c>
      <c r="N31" s="3">
        <f t="shared" si="1"/>
        <v>46.802325581395351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637</v>
      </c>
      <c r="F32">
        <f>SUMIF(DATA!$A:$A,PPL!$A32,DATA!D:D)</f>
        <v>216</v>
      </c>
      <c r="G32">
        <f>SUMIF(DATA!$A:$A,PPL!$A32,DATA!E:E)</f>
        <v>30</v>
      </c>
      <c r="H32">
        <f>SUMIF(DATA!$A:$A,PPL!$A32,DATA!F:F)</f>
        <v>343</v>
      </c>
      <c r="I32">
        <f>SUMIF(DATA!$A:$A,PPL!$A32,DATA!G:G)</f>
        <v>4</v>
      </c>
      <c r="J32">
        <f>SUMIF(DATA!$A:$A,PPL!$A32,DATA!H:H)</f>
        <v>3</v>
      </c>
      <c r="K32">
        <f>SUMIF(DATA!$A:$A,PPL!$A32,DATA!I:I)</f>
        <v>41</v>
      </c>
      <c r="L32">
        <f>SUMIF(DATA!$A:$A,PPL!$A32,DATA!J:J)</f>
        <v>0</v>
      </c>
      <c r="M32">
        <f t="shared" si="0"/>
        <v>264</v>
      </c>
      <c r="N32" s="3">
        <f t="shared" si="1"/>
        <v>41.444270015698585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729</v>
      </c>
      <c r="F33">
        <f>SUMIF(DATA!$A:$A,PPL!$A33,DATA!D:D)</f>
        <v>256</v>
      </c>
      <c r="G33">
        <f>SUMIF(DATA!$A:$A,PPL!$A33,DATA!E:E)</f>
        <v>72</v>
      </c>
      <c r="H33">
        <f>SUMIF(DATA!$A:$A,PPL!$A33,DATA!F:F)</f>
        <v>274</v>
      </c>
      <c r="I33">
        <f>SUMIF(DATA!$A:$A,PPL!$A33,DATA!G:G)</f>
        <v>3</v>
      </c>
      <c r="J33">
        <f>SUMIF(DATA!$A:$A,PPL!$A33,DATA!H:H)</f>
        <v>0</v>
      </c>
      <c r="K33">
        <f>SUMIF(DATA!$A:$A,PPL!$A33,DATA!I:I)</f>
        <v>124</v>
      </c>
      <c r="L33">
        <f>SUMIF(DATA!$A:$A,PPL!$A33,DATA!J:J)</f>
        <v>0</v>
      </c>
      <c r="M33">
        <f t="shared" si="0"/>
        <v>383</v>
      </c>
      <c r="N33" s="3">
        <f t="shared" si="1"/>
        <v>52.537722908093279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721</v>
      </c>
      <c r="F34">
        <f>SUMIF(DATA!$A:$A,PPL!$A34,DATA!D:D)</f>
        <v>244</v>
      </c>
      <c r="G34">
        <f>SUMIF(DATA!$A:$A,PPL!$A34,DATA!E:E)</f>
        <v>12</v>
      </c>
      <c r="H34">
        <f>SUMIF(DATA!$A:$A,PPL!$A34,DATA!F:F)</f>
        <v>356</v>
      </c>
      <c r="I34">
        <f>SUMIF(DATA!$A:$A,PPL!$A34,DATA!G:G)</f>
        <v>8</v>
      </c>
      <c r="J34">
        <f>SUMIF(DATA!$A:$A,PPL!$A34,DATA!H:H)</f>
        <v>1</v>
      </c>
      <c r="K34">
        <f>SUMIF(DATA!$A:$A,PPL!$A34,DATA!I:I)</f>
        <v>100</v>
      </c>
      <c r="L34">
        <f>SUMIF(DATA!$A:$A,PPL!$A34,DATA!J:J)</f>
        <v>0</v>
      </c>
      <c r="M34">
        <f t="shared" si="0"/>
        <v>353</v>
      </c>
      <c r="N34" s="3">
        <f t="shared" si="1"/>
        <v>48.95977808599168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709</v>
      </c>
      <c r="F35">
        <f>SUMIF(DATA!$A:$A,PPL!$A35,DATA!D:D)</f>
        <v>244</v>
      </c>
      <c r="G35">
        <f>SUMIF(DATA!$A:$A,PPL!$A35,DATA!E:E)</f>
        <v>27</v>
      </c>
      <c r="H35">
        <f>SUMIF(DATA!$A:$A,PPL!$A35,DATA!F:F)</f>
        <v>335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103</v>
      </c>
      <c r="L35">
        <f>SUMIF(DATA!$A:$A,PPL!$A35,DATA!J:J)</f>
        <v>0</v>
      </c>
      <c r="M35">
        <f t="shared" si="0"/>
        <v>347</v>
      </c>
      <c r="N35" s="3">
        <f t="shared" si="1"/>
        <v>48.942172073342739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665</v>
      </c>
      <c r="F36">
        <f>SUMIF(DATA!$A:$A,PPL!$A36,DATA!D:D)</f>
        <v>293</v>
      </c>
      <c r="G36">
        <f>SUMIF(DATA!$A:$A,PPL!$A36,DATA!E:E)</f>
        <v>56</v>
      </c>
      <c r="H36">
        <f>SUMIF(DATA!$A:$A,PPL!$A36,DATA!F:F)</f>
        <v>310</v>
      </c>
      <c r="I36">
        <f>SUMIF(DATA!$A:$A,PPL!$A36,DATA!G:G)</f>
        <v>1</v>
      </c>
      <c r="J36">
        <f>SUMIF(DATA!$A:$A,PPL!$A36,DATA!H:H)</f>
        <v>0</v>
      </c>
      <c r="K36">
        <f>SUMIF(DATA!$A:$A,PPL!$A36,DATA!I:I)</f>
        <v>5</v>
      </c>
      <c r="L36">
        <f>SUMIF(DATA!$A:$A,PPL!$A36,DATA!J:J)</f>
        <v>0</v>
      </c>
      <c r="M36">
        <f t="shared" si="0"/>
        <v>299</v>
      </c>
      <c r="N36" s="3">
        <f t="shared" si="1"/>
        <v>44.962406015037594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626</v>
      </c>
      <c r="F37">
        <f>SUMIF(DATA!$A:$A,PPL!$A37,DATA!D:D)</f>
        <v>259</v>
      </c>
      <c r="G37">
        <f>SUMIF(DATA!$A:$A,PPL!$A37,DATA!E:E)</f>
        <v>57</v>
      </c>
      <c r="H37">
        <f>SUMIF(DATA!$A:$A,PPL!$A37,DATA!F:F)</f>
        <v>308</v>
      </c>
      <c r="I37">
        <f>SUMIF(DATA!$A:$A,PPL!$A37,DATA!G:G)</f>
        <v>0</v>
      </c>
      <c r="J37">
        <f>SUMIF(DATA!$A:$A,PPL!$A37,DATA!H:H)</f>
        <v>1</v>
      </c>
      <c r="K37">
        <f>SUMIF(DATA!$A:$A,PPL!$A37,DATA!I:I)</f>
        <v>1</v>
      </c>
      <c r="L37">
        <f>SUMIF(DATA!$A:$A,PPL!$A37,DATA!J:J)</f>
        <v>0</v>
      </c>
      <c r="M37">
        <f t="shared" si="0"/>
        <v>261</v>
      </c>
      <c r="N37" s="3">
        <f t="shared" si="1"/>
        <v>41.693290734824281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852</v>
      </c>
      <c r="F38">
        <f>SUMIF(DATA!$A:$A,PPL!$A38,DATA!D:D)</f>
        <v>493</v>
      </c>
      <c r="G38">
        <f>SUMIF(DATA!$A:$A,PPL!$A38,DATA!E:E)</f>
        <v>37</v>
      </c>
      <c r="H38">
        <f>SUMIF(DATA!$A:$A,PPL!$A38,DATA!F:F)</f>
        <v>299</v>
      </c>
      <c r="I38">
        <f>SUMIF(DATA!$A:$A,PPL!$A38,DATA!G:G)</f>
        <v>0</v>
      </c>
      <c r="J38">
        <f>SUMIF(DATA!$A:$A,PPL!$A38,DATA!H:H)</f>
        <v>2</v>
      </c>
      <c r="K38">
        <f>SUMIF(DATA!$A:$A,PPL!$A38,DATA!I:I)</f>
        <v>21</v>
      </c>
      <c r="L38">
        <f>SUMIF(DATA!$A:$A,PPL!$A38,DATA!J:J)</f>
        <v>0</v>
      </c>
      <c r="M38">
        <f t="shared" si="0"/>
        <v>516</v>
      </c>
      <c r="N38" s="3">
        <f t="shared" si="1"/>
        <v>60.563380281690137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663</v>
      </c>
      <c r="F39">
        <f>SUMIF(DATA!$A:$A,PPL!$A39,DATA!D:D)</f>
        <v>273</v>
      </c>
      <c r="G39">
        <f>SUMIF(DATA!$A:$A,PPL!$A39,DATA!E:E)</f>
        <v>64</v>
      </c>
      <c r="H39">
        <f>SUMIF(DATA!$A:$A,PPL!$A39,DATA!F:F)</f>
        <v>322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3</v>
      </c>
      <c r="L39">
        <f>SUMIF(DATA!$A:$A,PPL!$A39,DATA!J:J)</f>
        <v>0</v>
      </c>
      <c r="M39">
        <f t="shared" si="0"/>
        <v>277</v>
      </c>
      <c r="N39" s="3">
        <f t="shared" si="1"/>
        <v>41.779788838612369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776</v>
      </c>
      <c r="F40">
        <f>SUMIF(DATA!$A:$A,PPL!$A40,DATA!D:D)</f>
        <v>332</v>
      </c>
      <c r="G40">
        <f>SUMIF(DATA!$A:$A,PPL!$A40,DATA!E:E)</f>
        <v>32</v>
      </c>
      <c r="H40">
        <f>SUMIF(DATA!$A:$A,PPL!$A40,DATA!F:F)</f>
        <v>411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0</v>
      </c>
      <c r="L40">
        <f>SUMIF(DATA!$A:$A,PPL!$A40,DATA!J:J)</f>
        <v>0</v>
      </c>
      <c r="M40">
        <f t="shared" si="0"/>
        <v>333</v>
      </c>
      <c r="N40" s="3">
        <f t="shared" si="1"/>
        <v>42.912371134020617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707</v>
      </c>
      <c r="F41">
        <f>SUMIF(DATA!$A:$A,PPL!$A41,DATA!D:D)</f>
        <v>284</v>
      </c>
      <c r="G41">
        <f>SUMIF(DATA!$A:$A,PPL!$A41,DATA!E:E)</f>
        <v>17</v>
      </c>
      <c r="H41">
        <f>SUMIF(DATA!$A:$A,PPL!$A41,DATA!F:F)</f>
        <v>396</v>
      </c>
      <c r="I41">
        <f>SUMIF(DATA!$A:$A,PPL!$A41,DATA!G:G)</f>
        <v>6</v>
      </c>
      <c r="J41">
        <f>SUMIF(DATA!$A:$A,PPL!$A41,DATA!H:H)</f>
        <v>0</v>
      </c>
      <c r="K41">
        <f>SUMIF(DATA!$A:$A,PPL!$A41,DATA!I:I)</f>
        <v>4</v>
      </c>
      <c r="L41">
        <f>SUMIF(DATA!$A:$A,PPL!$A41,DATA!J:J)</f>
        <v>0</v>
      </c>
      <c r="M41">
        <f t="shared" si="0"/>
        <v>294</v>
      </c>
      <c r="N41" s="3">
        <f t="shared" si="1"/>
        <v>41.584158415841586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674</v>
      </c>
      <c r="F42">
        <f>SUMIF(DATA!$A:$A,PPL!$A42,DATA!D:D)</f>
        <v>280</v>
      </c>
      <c r="G42">
        <f>SUMIF(DATA!$A:$A,PPL!$A42,DATA!E:E)</f>
        <v>17</v>
      </c>
      <c r="H42">
        <f>SUMIF(DATA!$A:$A,PPL!$A42,DATA!F:F)</f>
        <v>373</v>
      </c>
      <c r="I42">
        <f>SUMIF(DATA!$A:$A,PPL!$A42,DATA!G:G)</f>
        <v>4</v>
      </c>
      <c r="J42">
        <f>SUMIF(DATA!$A:$A,PPL!$A42,DATA!H:H)</f>
        <v>0</v>
      </c>
      <c r="K42">
        <f>SUMIF(DATA!$A:$A,PPL!$A42,DATA!I:I)</f>
        <v>0</v>
      </c>
      <c r="L42">
        <f>SUMIF(DATA!$A:$A,PPL!$A42,DATA!J:J)</f>
        <v>0</v>
      </c>
      <c r="M42">
        <f t="shared" si="0"/>
        <v>284</v>
      </c>
      <c r="N42" s="3">
        <f t="shared" si="1"/>
        <v>42.136498516320472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625</v>
      </c>
      <c r="F43">
        <f>SUMIF(DATA!$A:$A,PPL!$A43,DATA!D:D)</f>
        <v>81</v>
      </c>
      <c r="G43">
        <f>SUMIF(DATA!$A:$A,PPL!$A43,DATA!E:E)</f>
        <v>29</v>
      </c>
      <c r="H43">
        <f>SUMIF(DATA!$A:$A,PPL!$A43,DATA!F:F)</f>
        <v>432</v>
      </c>
      <c r="I43">
        <f>SUMIF(DATA!$A:$A,PPL!$A43,DATA!G:G)</f>
        <v>50</v>
      </c>
      <c r="J43">
        <f>SUMIF(DATA!$A:$A,PPL!$A43,DATA!H:H)</f>
        <v>0</v>
      </c>
      <c r="K43">
        <f>SUMIF(DATA!$A:$A,PPL!$A43,DATA!I:I)</f>
        <v>33</v>
      </c>
      <c r="L43">
        <f>SUMIF(DATA!$A:$A,PPL!$A43,DATA!J:J)</f>
        <v>0</v>
      </c>
      <c r="M43">
        <f t="shared" si="0"/>
        <v>164</v>
      </c>
      <c r="N43" s="3">
        <f t="shared" si="1"/>
        <v>26.240000000000002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691</v>
      </c>
      <c r="F44">
        <f>SUMIF(DATA!$A:$A,PPL!$A44,DATA!D:D)</f>
        <v>249</v>
      </c>
      <c r="G44">
        <f>SUMIF(DATA!$A:$A,PPL!$A44,DATA!E:E)</f>
        <v>5</v>
      </c>
      <c r="H44">
        <f>SUMIF(DATA!$A:$A,PPL!$A44,DATA!F:F)</f>
        <v>361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59</v>
      </c>
      <c r="L44">
        <f>SUMIF(DATA!$A:$A,PPL!$A44,DATA!J:J)</f>
        <v>1</v>
      </c>
      <c r="M44">
        <f t="shared" si="0"/>
        <v>325</v>
      </c>
      <c r="N44" s="3">
        <f t="shared" si="1"/>
        <v>47.033285094066571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788</v>
      </c>
      <c r="F45">
        <f>SUMIF(DATA!$A:$A,PPL!$A45,DATA!D:D)</f>
        <v>374</v>
      </c>
      <c r="G45">
        <f>SUMIF(DATA!$A:$A,PPL!$A45,DATA!E:E)</f>
        <v>30</v>
      </c>
      <c r="H45">
        <f>SUMIF(DATA!$A:$A,PPL!$A45,DATA!F:F)</f>
        <v>359</v>
      </c>
      <c r="I45">
        <f>SUMIF(DATA!$A:$A,PPL!$A45,DATA!G:G)</f>
        <v>3</v>
      </c>
      <c r="J45">
        <f>SUMIF(DATA!$A:$A,PPL!$A45,DATA!H:H)</f>
        <v>3</v>
      </c>
      <c r="K45">
        <f>SUMIF(DATA!$A:$A,PPL!$A45,DATA!I:I)</f>
        <v>19</v>
      </c>
      <c r="L45">
        <f>SUMIF(DATA!$A:$A,PPL!$A45,DATA!J:J)</f>
        <v>0</v>
      </c>
      <c r="M45">
        <f t="shared" si="0"/>
        <v>399</v>
      </c>
      <c r="N45" s="3">
        <f t="shared" si="1"/>
        <v>50.634517766497467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665</v>
      </c>
      <c r="F46">
        <f>SUMIF(DATA!$A:$A,PPL!$A46,DATA!D:D)</f>
        <v>215</v>
      </c>
      <c r="G46">
        <f>SUMIF(DATA!$A:$A,PPL!$A46,DATA!E:E)</f>
        <v>10</v>
      </c>
      <c r="H46">
        <f>SUMIF(DATA!$A:$A,PPL!$A46,DATA!F:F)</f>
        <v>372</v>
      </c>
      <c r="I46">
        <f>SUMIF(DATA!$A:$A,PPL!$A46,DATA!G:G)</f>
        <v>14</v>
      </c>
      <c r="J46">
        <f>SUMIF(DATA!$A:$A,PPL!$A46,DATA!H:H)</f>
        <v>0</v>
      </c>
      <c r="K46">
        <f>SUMIF(DATA!$A:$A,PPL!$A46,DATA!I:I)</f>
        <v>54</v>
      </c>
      <c r="L46">
        <f>SUMIF(DATA!$A:$A,PPL!$A46,DATA!J:J)</f>
        <v>0</v>
      </c>
      <c r="M46">
        <f t="shared" si="0"/>
        <v>283</v>
      </c>
      <c r="N46" s="3">
        <f t="shared" si="1"/>
        <v>42.556390977443606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684</v>
      </c>
      <c r="F47">
        <f>SUMIF(DATA!$A:$A,PPL!$A47,DATA!D:D)</f>
        <v>196</v>
      </c>
      <c r="G47">
        <f>SUMIF(DATA!$A:$A,PPL!$A47,DATA!E:E)</f>
        <v>22</v>
      </c>
      <c r="H47">
        <f>SUMIF(DATA!$A:$A,PPL!$A47,DATA!F:F)</f>
        <v>364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102</v>
      </c>
      <c r="L47">
        <f>SUMIF(DATA!$A:$A,PPL!$A47,DATA!J:J)</f>
        <v>0</v>
      </c>
      <c r="M47">
        <f t="shared" si="0"/>
        <v>298</v>
      </c>
      <c r="N47" s="3">
        <f t="shared" si="1"/>
        <v>43.567251461988306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493</v>
      </c>
      <c r="F48">
        <f>SUMIF(DATA!$A:$A,PPL!$A48,DATA!D:D)</f>
        <v>194</v>
      </c>
      <c r="G48">
        <f>SUMIF(DATA!$A:$A,PPL!$A48,DATA!E:E)</f>
        <v>2</v>
      </c>
      <c r="H48">
        <f>SUMIF(DATA!$A:$A,PPL!$A48,DATA!F:F)</f>
        <v>220</v>
      </c>
      <c r="I48">
        <f>SUMIF(DATA!$A:$A,PPL!$A48,DATA!G:G)</f>
        <v>11</v>
      </c>
      <c r="J48">
        <f>SUMIF(DATA!$A:$A,PPL!$A48,DATA!H:H)</f>
        <v>1</v>
      </c>
      <c r="K48">
        <f>SUMIF(DATA!$A:$A,PPL!$A48,DATA!I:I)</f>
        <v>65</v>
      </c>
      <c r="L48">
        <f>SUMIF(DATA!$A:$A,PPL!$A48,DATA!J:J)</f>
        <v>0</v>
      </c>
      <c r="M48">
        <f t="shared" si="0"/>
        <v>271</v>
      </c>
      <c r="N48" s="3">
        <f t="shared" si="1"/>
        <v>54.969574036511162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541</v>
      </c>
      <c r="F49">
        <f>SUMIF(DATA!$A:$A,PPL!$A49,DATA!D:D)</f>
        <v>282</v>
      </c>
      <c r="G49">
        <f>SUMIF(DATA!$A:$A,PPL!$A49,DATA!E:E)</f>
        <v>8</v>
      </c>
      <c r="H49">
        <f>SUMIF(DATA!$A:$A,PPL!$A49,DATA!F:F)</f>
        <v>228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21</v>
      </c>
      <c r="L49">
        <f>SUMIF(DATA!$A:$A,PPL!$A49,DATA!J:J)</f>
        <v>0</v>
      </c>
      <c r="M49">
        <f t="shared" si="0"/>
        <v>305</v>
      </c>
      <c r="N49" s="3">
        <f t="shared" si="1"/>
        <v>56.377079482439932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623</v>
      </c>
      <c r="F50">
        <f>SUMIF(DATA!$A:$A,PPL!$A50,DATA!D:D)</f>
        <v>268</v>
      </c>
      <c r="G50">
        <f>SUMIF(DATA!$A:$A,PPL!$A50,DATA!E:E)</f>
        <v>18</v>
      </c>
      <c r="H50">
        <f>SUMIF(DATA!$A:$A,PPL!$A50,DATA!F:F)</f>
        <v>309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26</v>
      </c>
      <c r="L50">
        <f>SUMIF(DATA!$A:$A,PPL!$A50,DATA!J:J)</f>
        <v>0</v>
      </c>
      <c r="M50">
        <f t="shared" si="0"/>
        <v>296</v>
      </c>
      <c r="N50" s="3">
        <f t="shared" si="1"/>
        <v>47.512038523274484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644</v>
      </c>
      <c r="F51">
        <f>SUMIF(DATA!$A:$A,PPL!$A51,DATA!D:D)</f>
        <v>257</v>
      </c>
      <c r="G51">
        <f>SUMIF(DATA!$A:$A,PPL!$A51,DATA!E:E)</f>
        <v>28</v>
      </c>
      <c r="H51">
        <f>SUMIF(DATA!$A:$A,PPL!$A51,DATA!F:F)</f>
        <v>340</v>
      </c>
      <c r="I51">
        <f>SUMIF(DATA!$A:$A,PPL!$A51,DATA!G:G)</f>
        <v>7</v>
      </c>
      <c r="J51">
        <f>SUMIF(DATA!$A:$A,PPL!$A51,DATA!H:H)</f>
        <v>0</v>
      </c>
      <c r="K51">
        <f>SUMIF(DATA!$A:$A,PPL!$A51,DATA!I:I)</f>
        <v>12</v>
      </c>
      <c r="L51">
        <f>SUMIF(DATA!$A:$A,PPL!$A51,DATA!J:J)</f>
        <v>0</v>
      </c>
      <c r="M51">
        <f t="shared" si="0"/>
        <v>276</v>
      </c>
      <c r="N51" s="3">
        <f t="shared" si="1"/>
        <v>42.857142857142854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602</v>
      </c>
      <c r="F52">
        <f>SUMIF(DATA!$A:$A,PPL!$A52,DATA!D:D)</f>
        <v>257</v>
      </c>
      <c r="G52">
        <f>SUMIF(DATA!$A:$A,PPL!$A52,DATA!E:E)</f>
        <v>8</v>
      </c>
      <c r="H52">
        <f>SUMIF(DATA!$A:$A,PPL!$A52,DATA!F:F)</f>
        <v>319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18</v>
      </c>
      <c r="L52">
        <f>SUMIF(DATA!$A:$A,PPL!$A52,DATA!J:J)</f>
        <v>0</v>
      </c>
      <c r="M52">
        <f t="shared" si="0"/>
        <v>275</v>
      </c>
      <c r="N52" s="3">
        <f t="shared" si="1"/>
        <v>45.68106312292359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682</v>
      </c>
      <c r="F53">
        <f>SUMIF(DATA!$A:$A,PPL!$A53,DATA!D:D)</f>
        <v>259</v>
      </c>
      <c r="G53">
        <f>SUMIF(DATA!$A:$A,PPL!$A53,DATA!E:E)</f>
        <v>18</v>
      </c>
      <c r="H53">
        <f>SUMIF(DATA!$A:$A,PPL!$A53,DATA!F:F)</f>
        <v>385</v>
      </c>
      <c r="I53">
        <f>SUMIF(DATA!$A:$A,PPL!$A53,DATA!G:G)</f>
        <v>12</v>
      </c>
      <c r="J53">
        <f>SUMIF(DATA!$A:$A,PPL!$A53,DATA!H:H)</f>
        <v>0</v>
      </c>
      <c r="K53">
        <f>SUMIF(DATA!$A:$A,PPL!$A53,DATA!I:I)</f>
        <v>8</v>
      </c>
      <c r="L53">
        <f>SUMIF(DATA!$A:$A,PPL!$A53,DATA!J:J)</f>
        <v>0</v>
      </c>
      <c r="M53">
        <f t="shared" si="0"/>
        <v>279</v>
      </c>
      <c r="N53" s="3">
        <f t="shared" si="1"/>
        <v>40.909090909090914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692</v>
      </c>
      <c r="F54">
        <f>SUMIF(DATA!$A:$A,PPL!$A54,DATA!D:D)</f>
        <v>272</v>
      </c>
      <c r="G54">
        <f>SUMIF(DATA!$A:$A,PPL!$A54,DATA!E:E)</f>
        <v>17</v>
      </c>
      <c r="H54">
        <f>SUMIF(DATA!$A:$A,PPL!$A54,DATA!F:F)</f>
        <v>330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73</v>
      </c>
      <c r="L54">
        <f>SUMIF(DATA!$A:$A,PPL!$A54,DATA!J:J)</f>
        <v>0</v>
      </c>
      <c r="M54">
        <f t="shared" si="0"/>
        <v>345</v>
      </c>
      <c r="N54" s="3">
        <f t="shared" si="1"/>
        <v>49.855491329479769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628</v>
      </c>
      <c r="F55">
        <f>SUMIF(DATA!$A:$A,PPL!$A55,DATA!D:D)</f>
        <v>249</v>
      </c>
      <c r="G55">
        <f>SUMIF(DATA!$A:$A,PPL!$A55,DATA!E:E)</f>
        <v>13</v>
      </c>
      <c r="H55">
        <f>SUMIF(DATA!$A:$A,PPL!$A55,DATA!F:F)</f>
        <v>339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27</v>
      </c>
      <c r="L55">
        <f>SUMIF(DATA!$A:$A,PPL!$A55,DATA!J:J)</f>
        <v>0</v>
      </c>
      <c r="M55">
        <f t="shared" si="0"/>
        <v>276</v>
      </c>
      <c r="N55" s="3">
        <f t="shared" si="1"/>
        <v>43.949044585987259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690</v>
      </c>
      <c r="F56">
        <f>SUMIF(DATA!$A:$A,PPL!$A56,DATA!D:D)</f>
        <v>260</v>
      </c>
      <c r="G56">
        <f>SUMIF(DATA!$A:$A,PPL!$A56,DATA!E:E)</f>
        <v>12</v>
      </c>
      <c r="H56">
        <f>SUMIF(DATA!$A:$A,PPL!$A56,DATA!F:F)</f>
        <v>269</v>
      </c>
      <c r="I56">
        <f>SUMIF(DATA!$A:$A,PPL!$A56,DATA!G:G)</f>
        <v>1</v>
      </c>
      <c r="J56">
        <f>SUMIF(DATA!$A:$A,PPL!$A56,DATA!H:H)</f>
        <v>0</v>
      </c>
      <c r="K56">
        <f>SUMIF(DATA!$A:$A,PPL!$A56,DATA!I:I)</f>
        <v>148</v>
      </c>
      <c r="L56">
        <f>SUMIF(DATA!$A:$A,PPL!$A56,DATA!J:J)</f>
        <v>0</v>
      </c>
      <c r="M56">
        <f t="shared" si="0"/>
        <v>409</v>
      </c>
      <c r="N56" s="3">
        <f t="shared" si="1"/>
        <v>59.275362318840571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247</v>
      </c>
      <c r="G57">
        <f>SUMIF(DATA!$A:$A,PPL!$A57,DATA!E:E)</f>
        <v>13</v>
      </c>
      <c r="H57">
        <f>SUMIF(DATA!$A:$A,PPL!$A57,DATA!F:F)</f>
        <v>344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11</v>
      </c>
      <c r="L57">
        <f>SUMIF(DATA!$A:$A,PPL!$A57,DATA!J:J)</f>
        <v>0</v>
      </c>
      <c r="M57">
        <f t="shared" si="0"/>
        <v>258</v>
      </c>
      <c r="N57" s="3">
        <f t="shared" si="1"/>
        <v>41.951219512195124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713</v>
      </c>
      <c r="F58">
        <f>SUMIF(DATA!$A:$A,PPL!$A58,DATA!D:D)</f>
        <v>285</v>
      </c>
      <c r="G58">
        <f>SUMIF(DATA!$A:$A,PPL!$A58,DATA!E:E)</f>
        <v>9</v>
      </c>
      <c r="H58">
        <f>SUMIF(DATA!$A:$A,PPL!$A58,DATA!F:F)</f>
        <v>398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21</v>
      </c>
      <c r="L58">
        <f>SUMIF(DATA!$A:$A,PPL!$A58,DATA!J:J)</f>
        <v>0</v>
      </c>
      <c r="M58">
        <f t="shared" si="0"/>
        <v>306</v>
      </c>
      <c r="N58" s="3">
        <f t="shared" si="1"/>
        <v>42.917251051893409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634</v>
      </c>
      <c r="F59">
        <f>SUMIF(DATA!$A:$A,PPL!$A59,DATA!D:D)</f>
        <v>253</v>
      </c>
      <c r="G59">
        <f>SUMIF(DATA!$A:$A,PPL!$A59,DATA!E:E)</f>
        <v>35</v>
      </c>
      <c r="H59">
        <f>SUMIF(DATA!$A:$A,PPL!$A59,DATA!F:F)</f>
        <v>326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20</v>
      </c>
      <c r="L59">
        <f>SUMIF(DATA!$A:$A,PPL!$A59,DATA!J:J)</f>
        <v>0</v>
      </c>
      <c r="M59">
        <f t="shared" si="0"/>
        <v>273</v>
      </c>
      <c r="N59" s="3">
        <f t="shared" si="1"/>
        <v>43.059936908517351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654</v>
      </c>
      <c r="F60">
        <f>SUMIF(DATA!$A:$A,PPL!$A60,DATA!D:D)</f>
        <v>246</v>
      </c>
      <c r="G60">
        <f>SUMIF(DATA!$A:$A,PPL!$A60,DATA!E:E)</f>
        <v>12</v>
      </c>
      <c r="H60">
        <f>SUMIF(DATA!$A:$A,PPL!$A60,DATA!F:F)</f>
        <v>258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135</v>
      </c>
      <c r="L60">
        <f>SUMIF(DATA!$A:$A,PPL!$A60,DATA!J:J)</f>
        <v>0</v>
      </c>
      <c r="M60">
        <f t="shared" si="0"/>
        <v>384</v>
      </c>
      <c r="N60" s="3">
        <f t="shared" si="1"/>
        <v>58.715596330275233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668</v>
      </c>
      <c r="F61">
        <f>SUMIF(DATA!$A:$A,PPL!$A61,DATA!D:D)</f>
        <v>212</v>
      </c>
      <c r="G61">
        <f>SUMIF(DATA!$A:$A,PPL!$A61,DATA!E:E)</f>
        <v>9</v>
      </c>
      <c r="H61">
        <f>SUMIF(DATA!$A:$A,PPL!$A61,DATA!F:F)</f>
        <v>363</v>
      </c>
      <c r="I61">
        <f>SUMIF(DATA!$A:$A,PPL!$A61,DATA!G:G)</f>
        <v>1</v>
      </c>
      <c r="J61">
        <f>SUMIF(DATA!$A:$A,PPL!$A61,DATA!H:H)</f>
        <v>0</v>
      </c>
      <c r="K61">
        <f>SUMIF(DATA!$A:$A,PPL!$A61,DATA!I:I)</f>
        <v>83</v>
      </c>
      <c r="L61">
        <f>SUMIF(DATA!$A:$A,PPL!$A61,DATA!J:J)</f>
        <v>0</v>
      </c>
      <c r="M61">
        <f t="shared" si="0"/>
        <v>296</v>
      </c>
      <c r="N61" s="3">
        <f t="shared" si="1"/>
        <v>44.311377245508979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654</v>
      </c>
      <c r="F62">
        <f>SUMIF(DATA!$A:$A,PPL!$A62,DATA!D:D)</f>
        <v>275</v>
      </c>
      <c r="G62">
        <f>SUMIF(DATA!$A:$A,PPL!$A62,DATA!E:E)</f>
        <v>22</v>
      </c>
      <c r="H62">
        <f>SUMIF(DATA!$A:$A,PPL!$A62,DATA!F:F)</f>
        <v>339</v>
      </c>
      <c r="I62">
        <f>SUMIF(DATA!$A:$A,PPL!$A62,DATA!G:G)</f>
        <v>0</v>
      </c>
      <c r="J62">
        <f>SUMIF(DATA!$A:$A,PPL!$A62,DATA!H:H)</f>
        <v>1</v>
      </c>
      <c r="K62">
        <f>SUMIF(DATA!$A:$A,PPL!$A62,DATA!I:I)</f>
        <v>17</v>
      </c>
      <c r="L62">
        <f>SUMIF(DATA!$A:$A,PPL!$A62,DATA!J:J)</f>
        <v>0</v>
      </c>
      <c r="M62">
        <f t="shared" si="0"/>
        <v>293</v>
      </c>
      <c r="N62" s="3">
        <f t="shared" si="1"/>
        <v>44.801223241590215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657</v>
      </c>
      <c r="F63">
        <f>SUMIF(DATA!$A:$A,PPL!$A63,DATA!D:D)</f>
        <v>302</v>
      </c>
      <c r="G63">
        <f>SUMIF(DATA!$A:$A,PPL!$A63,DATA!E:E)</f>
        <v>30</v>
      </c>
      <c r="H63">
        <f>SUMIF(DATA!$A:$A,PPL!$A63,DATA!F:F)</f>
        <v>298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26</v>
      </c>
      <c r="L63">
        <f>SUMIF(DATA!$A:$A,PPL!$A63,DATA!J:J)</f>
        <v>0</v>
      </c>
      <c r="M63">
        <f t="shared" si="0"/>
        <v>329</v>
      </c>
      <c r="N63" s="3">
        <f t="shared" si="1"/>
        <v>50.076103500761036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727</v>
      </c>
      <c r="F64">
        <f>SUMIF(DATA!$A:$A,PPL!$A64,DATA!D:D)</f>
        <v>298</v>
      </c>
      <c r="G64">
        <f>SUMIF(DATA!$A:$A,PPL!$A64,DATA!E:E)</f>
        <v>22</v>
      </c>
      <c r="H64">
        <f>SUMIF(DATA!$A:$A,PPL!$A64,DATA!F:F)</f>
        <v>398</v>
      </c>
      <c r="I64">
        <f>SUMIF(DATA!$A:$A,PPL!$A64,DATA!G:G)</f>
        <v>2</v>
      </c>
      <c r="J64">
        <f>SUMIF(DATA!$A:$A,PPL!$A64,DATA!H:H)</f>
        <v>0</v>
      </c>
      <c r="K64">
        <f>SUMIF(DATA!$A:$A,PPL!$A64,DATA!I:I)</f>
        <v>7</v>
      </c>
      <c r="L64">
        <f>SUMIF(DATA!$A:$A,PPL!$A64,DATA!J:J)</f>
        <v>0</v>
      </c>
      <c r="M64">
        <f t="shared" si="0"/>
        <v>307</v>
      </c>
      <c r="N64" s="3">
        <f t="shared" si="1"/>
        <v>42.2283356258597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715</v>
      </c>
      <c r="F65">
        <f>SUMIF(DATA!$A:$A,PPL!$A65,DATA!D:D)</f>
        <v>283</v>
      </c>
      <c r="G65">
        <f>SUMIF(DATA!$A:$A,PPL!$A65,DATA!E:E)</f>
        <v>30</v>
      </c>
      <c r="H65">
        <f>SUMIF(DATA!$A:$A,PPL!$A65,DATA!F:F)</f>
        <v>383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19</v>
      </c>
      <c r="L65">
        <f>SUMIF(DATA!$A:$A,PPL!$A65,DATA!J:J)</f>
        <v>0</v>
      </c>
      <c r="M65">
        <f t="shared" si="0"/>
        <v>302</v>
      </c>
      <c r="N65" s="3">
        <f t="shared" si="1"/>
        <v>42.23776223776224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704</v>
      </c>
      <c r="F66">
        <f>SUMIF(DATA!$A:$A,PPL!$A66,DATA!D:D)</f>
        <v>221</v>
      </c>
      <c r="G66">
        <f>SUMIF(DATA!$A:$A,PPL!$A66,DATA!E:E)</f>
        <v>32</v>
      </c>
      <c r="H66">
        <f>SUMIF(DATA!$A:$A,PPL!$A66,DATA!F:F)</f>
        <v>366</v>
      </c>
      <c r="I66">
        <f>SUMIF(DATA!$A:$A,PPL!$A66,DATA!G:G)</f>
        <v>1</v>
      </c>
      <c r="J66">
        <f>SUMIF(DATA!$A:$A,PPL!$A66,DATA!H:H)</f>
        <v>0</v>
      </c>
      <c r="K66">
        <f>SUMIF(DATA!$A:$A,PPL!$A66,DATA!I:I)</f>
        <v>84</v>
      </c>
      <c r="L66">
        <f>SUMIF(DATA!$A:$A,PPL!$A66,DATA!J:J)</f>
        <v>0</v>
      </c>
      <c r="M66">
        <f t="shared" si="0"/>
        <v>306</v>
      </c>
      <c r="N66" s="3">
        <f t="shared" si="1"/>
        <v>43.465909090909086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725</v>
      </c>
      <c r="F67">
        <f>SUMIF(DATA!$A:$A,PPL!$A67,DATA!D:D)</f>
        <v>300</v>
      </c>
      <c r="G67">
        <f>SUMIF(DATA!$A:$A,PPL!$A67,DATA!E:E)</f>
        <v>16</v>
      </c>
      <c r="H67">
        <f>SUMIF(DATA!$A:$A,PPL!$A67,DATA!F:F)</f>
        <v>395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14</v>
      </c>
      <c r="L67">
        <f>SUMIF(DATA!$A:$A,PPL!$A67,DATA!J:J)</f>
        <v>0</v>
      </c>
      <c r="M67">
        <f t="shared" ref="M67:M130" si="2">F67+I67+J67+K67+L67</f>
        <v>314</v>
      </c>
      <c r="N67" s="3">
        <f t="shared" ref="N67:N130" si="3">(M67/E67)*100</f>
        <v>43.310344827586206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642</v>
      </c>
      <c r="F68">
        <f>SUMIF(DATA!$A:$A,PPL!$A68,DATA!D:D)</f>
        <v>274</v>
      </c>
      <c r="G68">
        <f>SUMIF(DATA!$A:$A,PPL!$A68,DATA!E:E)</f>
        <v>38</v>
      </c>
      <c r="H68">
        <f>SUMIF(DATA!$A:$A,PPL!$A68,DATA!F:F)</f>
        <v>322</v>
      </c>
      <c r="I68">
        <f>SUMIF(DATA!$A:$A,PPL!$A68,DATA!G:G)</f>
        <v>1</v>
      </c>
      <c r="J68">
        <f>SUMIF(DATA!$A:$A,PPL!$A68,DATA!H:H)</f>
        <v>0</v>
      </c>
      <c r="K68">
        <f>SUMIF(DATA!$A:$A,PPL!$A68,DATA!I:I)</f>
        <v>7</v>
      </c>
      <c r="L68">
        <f>SUMIF(DATA!$A:$A,PPL!$A68,DATA!J:J)</f>
        <v>0</v>
      </c>
      <c r="M68">
        <f t="shared" si="2"/>
        <v>282</v>
      </c>
      <c r="N68" s="3">
        <f t="shared" si="3"/>
        <v>43.925233644859816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631</v>
      </c>
      <c r="F69">
        <f>SUMIF(DATA!$A:$A,PPL!$A69,DATA!D:D)</f>
        <v>262</v>
      </c>
      <c r="G69">
        <f>SUMIF(DATA!$A:$A,PPL!$A69,DATA!E:E)</f>
        <v>9</v>
      </c>
      <c r="H69">
        <f>SUMIF(DATA!$A:$A,PPL!$A69,DATA!F:F)</f>
        <v>351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9</v>
      </c>
      <c r="L69">
        <f>SUMIF(DATA!$A:$A,PPL!$A69,DATA!J:J)</f>
        <v>0</v>
      </c>
      <c r="M69">
        <f t="shared" si="2"/>
        <v>271</v>
      </c>
      <c r="N69" s="3">
        <f t="shared" si="3"/>
        <v>42.947702060221872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492</v>
      </c>
      <c r="F70">
        <f>SUMIF(DATA!$A:$A,PPL!$A70,DATA!D:D)</f>
        <v>197</v>
      </c>
      <c r="G70">
        <f>SUMIF(DATA!$A:$A,PPL!$A70,DATA!E:E)</f>
        <v>16</v>
      </c>
      <c r="H70">
        <f>SUMIF(DATA!$A:$A,PPL!$A70,DATA!F:F)</f>
        <v>248</v>
      </c>
      <c r="I70">
        <f>SUMIF(DATA!$A:$A,PPL!$A70,DATA!G:G)</f>
        <v>0</v>
      </c>
      <c r="J70">
        <f>SUMIF(DATA!$A:$A,PPL!$A70,DATA!H:H)</f>
        <v>3</v>
      </c>
      <c r="K70">
        <f>SUMIF(DATA!$A:$A,PPL!$A70,DATA!I:I)</f>
        <v>28</v>
      </c>
      <c r="L70">
        <f>SUMIF(DATA!$A:$A,PPL!$A70,DATA!J:J)</f>
        <v>0</v>
      </c>
      <c r="M70">
        <f t="shared" si="2"/>
        <v>228</v>
      </c>
      <c r="N70" s="3">
        <f t="shared" si="3"/>
        <v>46.341463414634148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469</v>
      </c>
      <c r="F71">
        <f>SUMIF(DATA!$A:$A,PPL!$A71,DATA!D:D)</f>
        <v>189</v>
      </c>
      <c r="G71">
        <f>SUMIF(DATA!$A:$A,PPL!$A71,DATA!E:E)</f>
        <v>23</v>
      </c>
      <c r="H71">
        <f>SUMIF(DATA!$A:$A,PPL!$A71,DATA!F:F)</f>
        <v>251</v>
      </c>
      <c r="I71">
        <f>SUMIF(DATA!$A:$A,PPL!$A71,DATA!G:G)</f>
        <v>0</v>
      </c>
      <c r="J71">
        <f>SUMIF(DATA!$A:$A,PPL!$A71,DATA!H:H)</f>
        <v>4</v>
      </c>
      <c r="K71">
        <f>SUMIF(DATA!$A:$A,PPL!$A71,DATA!I:I)</f>
        <v>2</v>
      </c>
      <c r="L71">
        <f>SUMIF(DATA!$A:$A,PPL!$A71,DATA!J:J)</f>
        <v>0</v>
      </c>
      <c r="M71">
        <f t="shared" si="2"/>
        <v>195</v>
      </c>
      <c r="N71" s="3">
        <f t="shared" si="3"/>
        <v>41.57782515991471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497</v>
      </c>
      <c r="F72">
        <f>SUMIF(DATA!$A:$A,PPL!$A72,DATA!D:D)</f>
        <v>203</v>
      </c>
      <c r="G72">
        <f>SUMIF(DATA!$A:$A,PPL!$A72,DATA!E:E)</f>
        <v>10</v>
      </c>
      <c r="H72">
        <f>SUMIF(DATA!$A:$A,PPL!$A72,DATA!F:F)</f>
        <v>270</v>
      </c>
      <c r="I72">
        <f>SUMIF(DATA!$A:$A,PPL!$A72,DATA!G:G)</f>
        <v>2</v>
      </c>
      <c r="J72">
        <f>SUMIF(DATA!$A:$A,PPL!$A72,DATA!H:H)</f>
        <v>0</v>
      </c>
      <c r="K72">
        <f>SUMIF(DATA!$A:$A,PPL!$A72,DATA!I:I)</f>
        <v>12</v>
      </c>
      <c r="L72">
        <f>SUMIF(DATA!$A:$A,PPL!$A72,DATA!J:J)</f>
        <v>0</v>
      </c>
      <c r="M72">
        <f t="shared" si="2"/>
        <v>217</v>
      </c>
      <c r="N72" s="3">
        <f t="shared" si="3"/>
        <v>43.661971830985912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449</v>
      </c>
      <c r="F73">
        <f>SUMIF(DATA!$A:$A,PPL!$A73,DATA!D:D)</f>
        <v>183</v>
      </c>
      <c r="G73">
        <f>SUMIF(DATA!$A:$A,PPL!$A73,DATA!E:E)</f>
        <v>2</v>
      </c>
      <c r="H73">
        <f>SUMIF(DATA!$A:$A,PPL!$A73,DATA!F:F)</f>
        <v>246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18</v>
      </c>
      <c r="L73">
        <f>SUMIF(DATA!$A:$A,PPL!$A73,DATA!J:J)</f>
        <v>0</v>
      </c>
      <c r="M73">
        <f t="shared" si="2"/>
        <v>201</v>
      </c>
      <c r="N73" s="3">
        <f t="shared" si="3"/>
        <v>44.766146993318486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556</v>
      </c>
      <c r="F74">
        <f>SUMIF(DATA!$A:$A,PPL!$A74,DATA!D:D)</f>
        <v>232</v>
      </c>
      <c r="G74">
        <f>SUMIF(DATA!$A:$A,PPL!$A74,DATA!E:E)</f>
        <v>6</v>
      </c>
      <c r="H74">
        <f>SUMIF(DATA!$A:$A,PPL!$A74,DATA!F:F)</f>
        <v>291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26</v>
      </c>
      <c r="L74">
        <f>SUMIF(DATA!$A:$A,PPL!$A74,DATA!J:J)</f>
        <v>0</v>
      </c>
      <c r="M74">
        <f t="shared" si="2"/>
        <v>259</v>
      </c>
      <c r="N74" s="3">
        <f t="shared" si="3"/>
        <v>46.582733812949641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498</v>
      </c>
      <c r="F75">
        <f>SUMIF(DATA!$A:$A,PPL!$A75,DATA!D:D)</f>
        <v>218</v>
      </c>
      <c r="G75">
        <f>SUMIF(DATA!$A:$A,PPL!$A75,DATA!E:E)</f>
        <v>19</v>
      </c>
      <c r="H75">
        <f>SUMIF(DATA!$A:$A,PPL!$A75,DATA!F:F)</f>
        <v>259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2</v>
      </c>
      <c r="L75">
        <f>SUMIF(DATA!$A:$A,PPL!$A75,DATA!J:J)</f>
        <v>0</v>
      </c>
      <c r="M75">
        <f t="shared" si="2"/>
        <v>220</v>
      </c>
      <c r="N75" s="3">
        <f t="shared" si="3"/>
        <v>44.176706827309239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496</v>
      </c>
      <c r="F76">
        <f>SUMIF(DATA!$A:$A,PPL!$A76,DATA!D:D)</f>
        <v>217</v>
      </c>
      <c r="G76">
        <f>SUMIF(DATA!$A:$A,PPL!$A76,DATA!E:E)</f>
        <v>4</v>
      </c>
      <c r="H76">
        <f>SUMIF(DATA!$A:$A,PPL!$A76,DATA!F:F)</f>
        <v>265</v>
      </c>
      <c r="I76">
        <f>SUMIF(DATA!$A:$A,PPL!$A76,DATA!G:G)</f>
        <v>4</v>
      </c>
      <c r="J76">
        <f>SUMIF(DATA!$A:$A,PPL!$A76,DATA!H:H)</f>
        <v>2</v>
      </c>
      <c r="K76">
        <f>SUMIF(DATA!$A:$A,PPL!$A76,DATA!I:I)</f>
        <v>4</v>
      </c>
      <c r="L76">
        <f>SUMIF(DATA!$A:$A,PPL!$A76,DATA!J:J)</f>
        <v>0</v>
      </c>
      <c r="M76">
        <f t="shared" si="2"/>
        <v>227</v>
      </c>
      <c r="N76" s="3">
        <f t="shared" si="3"/>
        <v>45.766129032258064</v>
      </c>
    </row>
    <row r="77" spans="1:14" x14ac:dyDescent="0.25">
      <c r="A77" t="s">
        <v>81</v>
      </c>
      <c r="B77" t="s">
        <v>402</v>
      </c>
      <c r="C77" t="s">
        <v>171</v>
      </c>
      <c r="D77" t="str">
        <f>VLOOKUP(C77,PML!A:B,2,0)</f>
        <v>Puput</v>
      </c>
      <c r="E77">
        <f>SUMIF(DATA!$A:$A,PPL!$A77,DATA!C:C)</f>
        <v>520</v>
      </c>
      <c r="F77">
        <f>SUMIF(DATA!$A:$A,PPL!$A77,DATA!D:D)</f>
        <v>225</v>
      </c>
      <c r="G77">
        <f>SUMIF(DATA!$A:$A,PPL!$A77,DATA!E:E)</f>
        <v>38</v>
      </c>
      <c r="H77">
        <f>SUMIF(DATA!$A:$A,PPL!$A77,DATA!F:F)</f>
        <v>235</v>
      </c>
      <c r="I77">
        <f>SUMIF(DATA!$A:$A,PPL!$A77,DATA!G:G)</f>
        <v>0</v>
      </c>
      <c r="J77">
        <f>SUMIF(DATA!$A:$A,PPL!$A77,DATA!H:H)</f>
        <v>1</v>
      </c>
      <c r="K77">
        <f>SUMIF(DATA!$A:$A,PPL!$A77,DATA!I:I)</f>
        <v>21</v>
      </c>
      <c r="L77">
        <f>SUMIF(DATA!$A:$A,PPL!$A77,DATA!J:J)</f>
        <v>0</v>
      </c>
      <c r="M77">
        <f t="shared" si="2"/>
        <v>247</v>
      </c>
      <c r="N77" s="3">
        <f t="shared" si="3"/>
        <v>47.5</v>
      </c>
    </row>
    <row r="78" spans="1:14" x14ac:dyDescent="0.25">
      <c r="A78" t="s">
        <v>82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463</v>
      </c>
      <c r="F78">
        <f>SUMIF(DATA!$A:$A,PPL!$A78,DATA!D:D)</f>
        <v>211</v>
      </c>
      <c r="G78">
        <f>SUMIF(DATA!$A:$A,PPL!$A78,DATA!E:E)</f>
        <v>21</v>
      </c>
      <c r="H78">
        <f>SUMIF(DATA!$A:$A,PPL!$A78,DATA!F:F)</f>
        <v>215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16</v>
      </c>
      <c r="L78">
        <f>SUMIF(DATA!$A:$A,PPL!$A78,DATA!J:J)</f>
        <v>0</v>
      </c>
      <c r="M78">
        <f t="shared" si="2"/>
        <v>227</v>
      </c>
      <c r="N78" s="3">
        <f t="shared" si="3"/>
        <v>49.028077753779698</v>
      </c>
    </row>
    <row r="79" spans="1:14" x14ac:dyDescent="0.25">
      <c r="A79" t="s">
        <v>83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423</v>
      </c>
      <c r="F79">
        <f>SUMIF(DATA!$A:$A,PPL!$A79,DATA!D:D)</f>
        <v>171</v>
      </c>
      <c r="G79">
        <f>SUMIF(DATA!$A:$A,PPL!$A79,DATA!E:E)</f>
        <v>11</v>
      </c>
      <c r="H79">
        <f>SUMIF(DATA!$A:$A,PPL!$A79,DATA!F:F)</f>
        <v>241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2"/>
        <v>171</v>
      </c>
      <c r="N79" s="3">
        <f t="shared" si="3"/>
        <v>40.425531914893611</v>
      </c>
    </row>
    <row r="80" spans="1:14" x14ac:dyDescent="0.25">
      <c r="A80" t="s">
        <v>84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483</v>
      </c>
      <c r="F80">
        <f>SUMIF(DATA!$A:$A,PPL!$A80,DATA!D:D)</f>
        <v>197</v>
      </c>
      <c r="G80">
        <f>SUMIF(DATA!$A:$A,PPL!$A80,DATA!E:E)</f>
        <v>11</v>
      </c>
      <c r="H80">
        <f>SUMIF(DATA!$A:$A,PPL!$A80,DATA!F:F)</f>
        <v>274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0</v>
      </c>
      <c r="L80">
        <f>SUMIF(DATA!$A:$A,PPL!$A80,DATA!J:J)</f>
        <v>0</v>
      </c>
      <c r="M80">
        <f t="shared" si="2"/>
        <v>198</v>
      </c>
      <c r="N80" s="3">
        <f t="shared" si="3"/>
        <v>40.993788819875775</v>
      </c>
    </row>
    <row r="81" spans="1:14" x14ac:dyDescent="0.25">
      <c r="A81" t="s">
        <v>85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444</v>
      </c>
      <c r="F81">
        <f>SUMIF(DATA!$A:$A,PPL!$A81,DATA!D:D)</f>
        <v>188</v>
      </c>
      <c r="G81">
        <f>SUMIF(DATA!$A:$A,PPL!$A81,DATA!E:E)</f>
        <v>2</v>
      </c>
      <c r="H81">
        <f>SUMIF(DATA!$A:$A,PPL!$A81,DATA!F:F)</f>
        <v>245</v>
      </c>
      <c r="I81">
        <f>SUMIF(DATA!$A:$A,PPL!$A81,DATA!G:G)</f>
        <v>1</v>
      </c>
      <c r="J81">
        <f>SUMIF(DATA!$A:$A,PPL!$A81,DATA!H:H)</f>
        <v>0</v>
      </c>
      <c r="K81">
        <f>SUMIF(DATA!$A:$A,PPL!$A81,DATA!I:I)</f>
        <v>8</v>
      </c>
      <c r="L81">
        <f>SUMIF(DATA!$A:$A,PPL!$A81,DATA!J:J)</f>
        <v>0</v>
      </c>
      <c r="M81">
        <f t="shared" si="2"/>
        <v>197</v>
      </c>
      <c r="N81" s="3">
        <f t="shared" si="3"/>
        <v>44.369369369369373</v>
      </c>
    </row>
    <row r="82" spans="1:14" x14ac:dyDescent="0.25">
      <c r="A82" t="s">
        <v>86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429</v>
      </c>
      <c r="F82">
        <f>SUMIF(DATA!$A:$A,PPL!$A82,DATA!D:D)</f>
        <v>187</v>
      </c>
      <c r="G82">
        <f>SUMIF(DATA!$A:$A,PPL!$A82,DATA!E:E)</f>
        <v>6</v>
      </c>
      <c r="H82">
        <f>SUMIF(DATA!$A:$A,PPL!$A82,DATA!F:F)</f>
        <v>227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9</v>
      </c>
      <c r="L82">
        <f>SUMIF(DATA!$A:$A,PPL!$A82,DATA!J:J)</f>
        <v>0</v>
      </c>
      <c r="M82">
        <f t="shared" si="2"/>
        <v>196</v>
      </c>
      <c r="N82" s="3">
        <f t="shared" si="3"/>
        <v>45.687645687645691</v>
      </c>
    </row>
    <row r="83" spans="1:14" x14ac:dyDescent="0.25">
      <c r="A83" t="s">
        <v>87</v>
      </c>
      <c r="B83" t="s">
        <v>327</v>
      </c>
      <c r="C83" t="s">
        <v>172</v>
      </c>
      <c r="D83" t="str">
        <f>VLOOKUP(C83,PML!A:B,2,0)</f>
        <v>Ijan</v>
      </c>
      <c r="E83">
        <f>SUMIF(DATA!$A:$A,PPL!$A83,DATA!C:C)</f>
        <v>416</v>
      </c>
      <c r="F83">
        <f>SUMIF(DATA!$A:$A,PPL!$A83,DATA!D:D)</f>
        <v>186</v>
      </c>
      <c r="G83">
        <f>SUMIF(DATA!$A:$A,PPL!$A83,DATA!E:E)</f>
        <v>13</v>
      </c>
      <c r="H83">
        <f>SUMIF(DATA!$A:$A,PPL!$A83,DATA!F:F)</f>
        <v>204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12</v>
      </c>
      <c r="L83">
        <f>SUMIF(DATA!$A:$A,PPL!$A83,DATA!J:J)</f>
        <v>0</v>
      </c>
      <c r="M83">
        <f t="shared" si="2"/>
        <v>199</v>
      </c>
      <c r="N83" s="3">
        <f t="shared" si="3"/>
        <v>47.836538461538467</v>
      </c>
    </row>
    <row r="84" spans="1:14" x14ac:dyDescent="0.25">
      <c r="A84" t="s">
        <v>88</v>
      </c>
      <c r="B84" t="s">
        <v>328</v>
      </c>
      <c r="C84" t="s">
        <v>172</v>
      </c>
      <c r="D84" t="str">
        <f>VLOOKUP(C84,PML!A:B,2,0)</f>
        <v>Ijan</v>
      </c>
      <c r="E84">
        <f>SUMIF(DATA!$A:$A,PPL!$A84,DATA!C:C)</f>
        <v>430</v>
      </c>
      <c r="F84">
        <f>SUMIF(DATA!$A:$A,PPL!$A84,DATA!D:D)</f>
        <v>186</v>
      </c>
      <c r="G84">
        <f>SUMIF(DATA!$A:$A,PPL!$A84,DATA!E:E)</f>
        <v>5</v>
      </c>
      <c r="H84">
        <f>SUMIF(DATA!$A:$A,PPL!$A84,DATA!F:F)</f>
        <v>238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1</v>
      </c>
      <c r="L84">
        <f>SUMIF(DATA!$A:$A,PPL!$A84,DATA!J:J)</f>
        <v>0</v>
      </c>
      <c r="M84">
        <f t="shared" si="2"/>
        <v>187</v>
      </c>
      <c r="N84" s="3">
        <f t="shared" si="3"/>
        <v>43.488372093023251</v>
      </c>
    </row>
    <row r="85" spans="1:14" x14ac:dyDescent="0.25">
      <c r="A85" t="s">
        <v>89</v>
      </c>
      <c r="B85" t="s">
        <v>329</v>
      </c>
      <c r="C85" t="s">
        <v>172</v>
      </c>
      <c r="D85" t="str">
        <f>VLOOKUP(C85,PML!A:B,2,0)</f>
        <v>Ijan</v>
      </c>
      <c r="E85">
        <f>SUMIF(DATA!$A:$A,PPL!$A85,DATA!C:C)</f>
        <v>431</v>
      </c>
      <c r="F85">
        <f>SUMIF(DATA!$A:$A,PPL!$A85,DATA!D:D)</f>
        <v>190</v>
      </c>
      <c r="G85">
        <f>SUMIF(DATA!$A:$A,PPL!$A85,DATA!E:E)</f>
        <v>7</v>
      </c>
      <c r="H85">
        <f>SUMIF(DATA!$A:$A,PPL!$A85,DATA!F:F)</f>
        <v>224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10</v>
      </c>
      <c r="L85">
        <f>SUMIF(DATA!$A:$A,PPL!$A85,DATA!J:J)</f>
        <v>0</v>
      </c>
      <c r="M85">
        <f t="shared" si="2"/>
        <v>200</v>
      </c>
      <c r="N85" s="3">
        <f t="shared" si="3"/>
        <v>46.403712296983755</v>
      </c>
    </row>
    <row r="86" spans="1:14" x14ac:dyDescent="0.25">
      <c r="A86" t="s">
        <v>90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710</v>
      </c>
      <c r="F86">
        <f>SUMIF(DATA!$A:$A,PPL!$A86,DATA!D:D)</f>
        <v>300</v>
      </c>
      <c r="G86">
        <f>SUMIF(DATA!$A:$A,PPL!$A86,DATA!E:E)</f>
        <v>0</v>
      </c>
      <c r="H86">
        <f>SUMIF(DATA!$A:$A,PPL!$A86,DATA!F:F)</f>
        <v>399</v>
      </c>
      <c r="I86">
        <f>SUMIF(DATA!$A:$A,PPL!$A86,DATA!G:G)</f>
        <v>0</v>
      </c>
      <c r="J86">
        <f>SUMIF(DATA!$A:$A,PPL!$A86,DATA!H:H)</f>
        <v>1</v>
      </c>
      <c r="K86">
        <f>SUMIF(DATA!$A:$A,PPL!$A86,DATA!I:I)</f>
        <v>10</v>
      </c>
      <c r="L86">
        <f>SUMIF(DATA!$A:$A,PPL!$A86,DATA!J:J)</f>
        <v>0</v>
      </c>
      <c r="M86">
        <f t="shared" si="2"/>
        <v>311</v>
      </c>
      <c r="N86" s="3">
        <f t="shared" si="3"/>
        <v>43.802816901408455</v>
      </c>
    </row>
    <row r="87" spans="1:14" x14ac:dyDescent="0.25">
      <c r="A87" t="s">
        <v>91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656</v>
      </c>
      <c r="F87">
        <f>SUMIF(DATA!$A:$A,PPL!$A87,DATA!D:D)</f>
        <v>280</v>
      </c>
      <c r="G87">
        <f>SUMIF(DATA!$A:$A,PPL!$A87,DATA!E:E)</f>
        <v>3</v>
      </c>
      <c r="H87">
        <f>SUMIF(DATA!$A:$A,PPL!$A87,DATA!F:F)</f>
        <v>357</v>
      </c>
      <c r="I87">
        <f>SUMIF(DATA!$A:$A,PPL!$A87,DATA!G:G)</f>
        <v>2</v>
      </c>
      <c r="J87">
        <f>SUMIF(DATA!$A:$A,PPL!$A87,DATA!H:H)</f>
        <v>0</v>
      </c>
      <c r="K87">
        <f>SUMIF(DATA!$A:$A,PPL!$A87,DATA!I:I)</f>
        <v>14</v>
      </c>
      <c r="L87">
        <f>SUMIF(DATA!$A:$A,PPL!$A87,DATA!J:J)</f>
        <v>0</v>
      </c>
      <c r="M87">
        <f t="shared" si="2"/>
        <v>296</v>
      </c>
      <c r="N87" s="3">
        <f t="shared" si="3"/>
        <v>45.121951219512198</v>
      </c>
    </row>
    <row r="88" spans="1:14" x14ac:dyDescent="0.25">
      <c r="A88" t="s">
        <v>92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630</v>
      </c>
      <c r="F88">
        <f>SUMIF(DATA!$A:$A,PPL!$A88,DATA!D:D)</f>
        <v>264</v>
      </c>
      <c r="G88">
        <f>SUMIF(DATA!$A:$A,PPL!$A88,DATA!E:E)</f>
        <v>36</v>
      </c>
      <c r="H88">
        <f>SUMIF(DATA!$A:$A,PPL!$A88,DATA!F:F)</f>
        <v>322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8</v>
      </c>
      <c r="L88">
        <f>SUMIF(DATA!$A:$A,PPL!$A88,DATA!J:J)</f>
        <v>0</v>
      </c>
      <c r="M88">
        <f t="shared" si="2"/>
        <v>272</v>
      </c>
      <c r="N88" s="3">
        <f t="shared" si="3"/>
        <v>43.174603174603178</v>
      </c>
    </row>
    <row r="89" spans="1:14" x14ac:dyDescent="0.25">
      <c r="A89" t="s">
        <v>93</v>
      </c>
      <c r="B89" t="s">
        <v>333</v>
      </c>
      <c r="C89" t="s">
        <v>173</v>
      </c>
      <c r="D89" t="str">
        <f>VLOOKUP(C89,PML!A:B,2,0)</f>
        <v>Uneth</v>
      </c>
      <c r="E89">
        <f>SUMIF(DATA!$A:$A,PPL!$A89,DATA!C:C)</f>
        <v>627</v>
      </c>
      <c r="F89">
        <f>SUMIF(DATA!$A:$A,PPL!$A89,DATA!D:D)</f>
        <v>250</v>
      </c>
      <c r="G89">
        <f>SUMIF(DATA!$A:$A,PPL!$A89,DATA!E:E)</f>
        <v>23</v>
      </c>
      <c r="H89">
        <f>SUMIF(DATA!$A:$A,PPL!$A89,DATA!F:F)</f>
        <v>338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16</v>
      </c>
      <c r="L89">
        <f>SUMIF(DATA!$A:$A,PPL!$A89,DATA!J:J)</f>
        <v>0</v>
      </c>
      <c r="M89">
        <f t="shared" si="2"/>
        <v>266</v>
      </c>
      <c r="N89" s="3">
        <f t="shared" si="3"/>
        <v>42.424242424242422</v>
      </c>
    </row>
    <row r="90" spans="1:14" x14ac:dyDescent="0.25">
      <c r="A90" t="s">
        <v>94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570</v>
      </c>
      <c r="F90">
        <f>SUMIF(DATA!$A:$A,PPL!$A90,DATA!D:D)</f>
        <v>244</v>
      </c>
      <c r="G90">
        <f>SUMIF(DATA!$A:$A,PPL!$A90,DATA!E:E)</f>
        <v>6</v>
      </c>
      <c r="H90">
        <f>SUMIF(DATA!$A:$A,PPL!$A90,DATA!F:F)</f>
        <v>318</v>
      </c>
      <c r="I90">
        <f>SUMIF(DATA!$A:$A,PPL!$A90,DATA!G:G)</f>
        <v>2</v>
      </c>
      <c r="J90">
        <f>SUMIF(DATA!$A:$A,PPL!$A90,DATA!H:H)</f>
        <v>0</v>
      </c>
      <c r="K90">
        <f>SUMIF(DATA!$A:$A,PPL!$A90,DATA!I:I)</f>
        <v>0</v>
      </c>
      <c r="L90">
        <f>SUMIF(DATA!$A:$A,PPL!$A90,DATA!J:J)</f>
        <v>0</v>
      </c>
      <c r="M90">
        <f t="shared" si="2"/>
        <v>246</v>
      </c>
      <c r="N90" s="3">
        <f t="shared" si="3"/>
        <v>43.15789473684211</v>
      </c>
    </row>
    <row r="91" spans="1:14" x14ac:dyDescent="0.25">
      <c r="A91" t="s">
        <v>95</v>
      </c>
      <c r="B91" t="s">
        <v>335</v>
      </c>
      <c r="C91" t="s">
        <v>173</v>
      </c>
      <c r="D91" t="str">
        <f>VLOOKUP(C91,PML!A:B,2,0)</f>
        <v>Uneth</v>
      </c>
      <c r="E91">
        <f>SUMIF(DATA!$A:$A,PPL!$A91,DATA!C:C)</f>
        <v>629</v>
      </c>
      <c r="F91">
        <f>SUMIF(DATA!$A:$A,PPL!$A91,DATA!D:D)</f>
        <v>308</v>
      </c>
      <c r="G91">
        <f>SUMIF(DATA!$A:$A,PPL!$A91,DATA!E:E)</f>
        <v>3</v>
      </c>
      <c r="H91">
        <f>SUMIF(DATA!$A:$A,PPL!$A91,DATA!F:F)</f>
        <v>290</v>
      </c>
      <c r="I91">
        <f>SUMIF(DATA!$A:$A,PPL!$A91,DATA!G:G)</f>
        <v>2</v>
      </c>
      <c r="J91">
        <f>SUMIF(DATA!$A:$A,PPL!$A91,DATA!H:H)</f>
        <v>1</v>
      </c>
      <c r="K91">
        <f>SUMIF(DATA!$A:$A,PPL!$A91,DATA!I:I)</f>
        <v>25</v>
      </c>
      <c r="L91">
        <f>SUMIF(DATA!$A:$A,PPL!$A91,DATA!J:J)</f>
        <v>0</v>
      </c>
      <c r="M91">
        <f t="shared" si="2"/>
        <v>336</v>
      </c>
      <c r="N91" s="3">
        <f t="shared" si="3"/>
        <v>53.418124006359299</v>
      </c>
    </row>
    <row r="92" spans="1:14" x14ac:dyDescent="0.25">
      <c r="A92" t="s">
        <v>96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628</v>
      </c>
      <c r="F92">
        <f>SUMIF(DATA!$A:$A,PPL!$A92,DATA!D:D)</f>
        <v>232</v>
      </c>
      <c r="G92">
        <f>SUMIF(DATA!$A:$A,PPL!$A92,DATA!E:E)</f>
        <v>69</v>
      </c>
      <c r="H92">
        <f>SUMIF(DATA!$A:$A,PPL!$A92,DATA!F:F)</f>
        <v>272</v>
      </c>
      <c r="I92">
        <f>SUMIF(DATA!$A:$A,PPL!$A92,DATA!G:G)</f>
        <v>8</v>
      </c>
      <c r="J92">
        <f>SUMIF(DATA!$A:$A,PPL!$A92,DATA!H:H)</f>
        <v>0</v>
      </c>
      <c r="K92">
        <f>SUMIF(DATA!$A:$A,PPL!$A92,DATA!I:I)</f>
        <v>47</v>
      </c>
      <c r="L92">
        <f>SUMIF(DATA!$A:$A,PPL!$A92,DATA!J:J)</f>
        <v>0</v>
      </c>
      <c r="M92">
        <f t="shared" si="2"/>
        <v>287</v>
      </c>
      <c r="N92" s="3">
        <f t="shared" si="3"/>
        <v>45.70063694267516</v>
      </c>
    </row>
    <row r="93" spans="1:14" x14ac:dyDescent="0.25">
      <c r="A93" t="s">
        <v>97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624</v>
      </c>
      <c r="F93">
        <f>SUMIF(DATA!$A:$A,PPL!$A93,DATA!D:D)</f>
        <v>225</v>
      </c>
      <c r="G93">
        <f>SUMIF(DATA!$A:$A,PPL!$A93,DATA!E:E)</f>
        <v>1</v>
      </c>
      <c r="H93">
        <f>SUMIF(DATA!$A:$A,PPL!$A93,DATA!F:F)</f>
        <v>339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57</v>
      </c>
      <c r="L93">
        <f>SUMIF(DATA!$A:$A,PPL!$A93,DATA!J:J)</f>
        <v>0</v>
      </c>
      <c r="M93">
        <f t="shared" si="2"/>
        <v>284</v>
      </c>
      <c r="N93" s="3">
        <f t="shared" si="3"/>
        <v>45.512820512820511</v>
      </c>
    </row>
    <row r="94" spans="1:14" x14ac:dyDescent="0.25">
      <c r="A94" t="s">
        <v>98</v>
      </c>
      <c r="B94" t="s">
        <v>338</v>
      </c>
      <c r="C94" t="s">
        <v>174</v>
      </c>
      <c r="D94" t="str">
        <f>VLOOKUP(C94,PML!A:B,2,0)</f>
        <v>Aji</v>
      </c>
      <c r="E94">
        <f>SUMIF(DATA!$A:$A,PPL!$A94,DATA!C:C)</f>
        <v>616</v>
      </c>
      <c r="F94">
        <f>SUMIF(DATA!$A:$A,PPL!$A94,DATA!D:D)</f>
        <v>310</v>
      </c>
      <c r="G94">
        <f>SUMIF(DATA!$A:$A,PPL!$A94,DATA!E:E)</f>
        <v>38</v>
      </c>
      <c r="H94">
        <f>SUMIF(DATA!$A:$A,PPL!$A94,DATA!F:F)</f>
        <v>258</v>
      </c>
      <c r="I94">
        <f>SUMIF(DATA!$A:$A,PPL!$A94,DATA!G:G)</f>
        <v>4</v>
      </c>
      <c r="J94">
        <f>SUMIF(DATA!$A:$A,PPL!$A94,DATA!H:H)</f>
        <v>1</v>
      </c>
      <c r="K94">
        <f>SUMIF(DATA!$A:$A,PPL!$A94,DATA!I:I)</f>
        <v>5</v>
      </c>
      <c r="L94">
        <f>SUMIF(DATA!$A:$A,PPL!$A94,DATA!J:J)</f>
        <v>0</v>
      </c>
      <c r="M94">
        <f t="shared" si="2"/>
        <v>320</v>
      </c>
      <c r="N94" s="3">
        <f t="shared" si="3"/>
        <v>51.94805194805194</v>
      </c>
    </row>
    <row r="95" spans="1:14" x14ac:dyDescent="0.25">
      <c r="A95" t="s">
        <v>99</v>
      </c>
      <c r="B95" t="s">
        <v>339</v>
      </c>
      <c r="C95" t="s">
        <v>174</v>
      </c>
      <c r="D95" t="str">
        <f>VLOOKUP(C95,PML!A:B,2,0)</f>
        <v>Aji</v>
      </c>
      <c r="E95">
        <f>SUMIF(DATA!$A:$A,PPL!$A95,DATA!C:C)</f>
        <v>640</v>
      </c>
      <c r="F95">
        <f>SUMIF(DATA!$A:$A,PPL!$A95,DATA!D:D)</f>
        <v>284</v>
      </c>
      <c r="G95">
        <f>SUMIF(DATA!$A:$A,PPL!$A95,DATA!E:E)</f>
        <v>26</v>
      </c>
      <c r="H95">
        <f>SUMIF(DATA!$A:$A,PPL!$A95,DATA!F:F)</f>
        <v>303</v>
      </c>
      <c r="I95">
        <f>SUMIF(DATA!$A:$A,PPL!$A95,DATA!G:G)</f>
        <v>2</v>
      </c>
      <c r="J95">
        <f>SUMIF(DATA!$A:$A,PPL!$A95,DATA!H:H)</f>
        <v>1</v>
      </c>
      <c r="K95">
        <f>SUMIF(DATA!$A:$A,PPL!$A95,DATA!I:I)</f>
        <v>24</v>
      </c>
      <c r="L95">
        <f>SUMIF(DATA!$A:$A,PPL!$A95,DATA!J:J)</f>
        <v>0</v>
      </c>
      <c r="M95">
        <f t="shared" si="2"/>
        <v>311</v>
      </c>
      <c r="N95" s="3">
        <f t="shared" si="3"/>
        <v>48.59375</v>
      </c>
    </row>
    <row r="96" spans="1:14" x14ac:dyDescent="0.25">
      <c r="A96" t="s">
        <v>100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577</v>
      </c>
      <c r="F96">
        <f>SUMIF(DATA!$A:$A,PPL!$A96,DATA!D:D)</f>
        <v>231</v>
      </c>
      <c r="G96">
        <f>SUMIF(DATA!$A:$A,PPL!$A96,DATA!E:E)</f>
        <v>14</v>
      </c>
      <c r="H96">
        <f>SUMIF(DATA!$A:$A,PPL!$A96,DATA!F:F)</f>
        <v>292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40</v>
      </c>
      <c r="L96">
        <f>SUMIF(DATA!$A:$A,PPL!$A96,DATA!J:J)</f>
        <v>0</v>
      </c>
      <c r="M96">
        <f t="shared" si="2"/>
        <v>271</v>
      </c>
      <c r="N96" s="3">
        <f t="shared" si="3"/>
        <v>46.967071057192371</v>
      </c>
    </row>
    <row r="97" spans="1:14" x14ac:dyDescent="0.25">
      <c r="A97" t="s">
        <v>101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618</v>
      </c>
      <c r="F97">
        <f>SUMIF(DATA!$A:$A,PPL!$A97,DATA!D:D)</f>
        <v>264</v>
      </c>
      <c r="G97">
        <f>SUMIF(DATA!$A:$A,PPL!$A97,DATA!E:E)</f>
        <v>0</v>
      </c>
      <c r="H97">
        <f>SUMIF(DATA!$A:$A,PPL!$A97,DATA!F:F)</f>
        <v>354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0</v>
      </c>
      <c r="L97">
        <f>SUMIF(DATA!$A:$A,PPL!$A97,DATA!J:J)</f>
        <v>0</v>
      </c>
      <c r="M97">
        <f t="shared" si="2"/>
        <v>264</v>
      </c>
      <c r="N97" s="3">
        <f t="shared" si="3"/>
        <v>42.718446601941743</v>
      </c>
    </row>
    <row r="98" spans="1:14" x14ac:dyDescent="0.25">
      <c r="A98" t="s">
        <v>102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642</v>
      </c>
      <c r="F98">
        <f>SUMIF(DATA!$A:$A,PPL!$A98,DATA!D:D)</f>
        <v>260</v>
      </c>
      <c r="G98">
        <f>SUMIF(DATA!$A:$A,PPL!$A98,DATA!E:E)</f>
        <v>33</v>
      </c>
      <c r="H98">
        <f>SUMIF(DATA!$A:$A,PPL!$A98,DATA!F:F)</f>
        <v>346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3</v>
      </c>
      <c r="L98">
        <f>SUMIF(DATA!$A:$A,PPL!$A98,DATA!J:J)</f>
        <v>0</v>
      </c>
      <c r="M98">
        <f t="shared" si="2"/>
        <v>263</v>
      </c>
      <c r="N98" s="3">
        <f t="shared" si="3"/>
        <v>40.965732087227416</v>
      </c>
    </row>
    <row r="99" spans="1:14" x14ac:dyDescent="0.25">
      <c r="A99" t="s">
        <v>103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647</v>
      </c>
      <c r="F99">
        <f>SUMIF(DATA!$A:$A,PPL!$A99,DATA!D:D)</f>
        <v>363</v>
      </c>
      <c r="G99">
        <f>SUMIF(DATA!$A:$A,PPL!$A99,DATA!E:E)</f>
        <v>6</v>
      </c>
      <c r="H99">
        <f>SUMIF(DATA!$A:$A,PPL!$A99,DATA!F:F)</f>
        <v>250</v>
      </c>
      <c r="I99">
        <f>SUMIF(DATA!$A:$A,PPL!$A99,DATA!G:G)</f>
        <v>1</v>
      </c>
      <c r="J99">
        <f>SUMIF(DATA!$A:$A,PPL!$A99,DATA!H:H)</f>
        <v>2</v>
      </c>
      <c r="K99">
        <f>SUMIF(DATA!$A:$A,PPL!$A99,DATA!I:I)</f>
        <v>25</v>
      </c>
      <c r="L99">
        <f>SUMIF(DATA!$A:$A,PPL!$A99,DATA!J:J)</f>
        <v>0</v>
      </c>
      <c r="M99">
        <f t="shared" si="2"/>
        <v>391</v>
      </c>
      <c r="N99" s="3">
        <f t="shared" si="3"/>
        <v>60.432766615146825</v>
      </c>
    </row>
    <row r="100" spans="1:14" x14ac:dyDescent="0.25">
      <c r="A100" t="s">
        <v>104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694</v>
      </c>
      <c r="F100">
        <f>SUMIF(DATA!$A:$A,PPL!$A100,DATA!D:D)</f>
        <v>297</v>
      </c>
      <c r="G100">
        <f>SUMIF(DATA!$A:$A,PPL!$A100,DATA!E:E)</f>
        <v>25</v>
      </c>
      <c r="H100">
        <f>SUMIF(DATA!$A:$A,PPL!$A100,DATA!F:F)</f>
        <v>335</v>
      </c>
      <c r="I100">
        <f>SUMIF(DATA!$A:$A,PPL!$A100,DATA!G:G)</f>
        <v>0</v>
      </c>
      <c r="J100">
        <f>SUMIF(DATA!$A:$A,PPL!$A100,DATA!H:H)</f>
        <v>1</v>
      </c>
      <c r="K100">
        <f>SUMIF(DATA!$A:$A,PPL!$A100,DATA!I:I)</f>
        <v>36</v>
      </c>
      <c r="L100">
        <f>SUMIF(DATA!$A:$A,PPL!$A100,DATA!J:J)</f>
        <v>0</v>
      </c>
      <c r="M100">
        <f t="shared" si="2"/>
        <v>334</v>
      </c>
      <c r="N100" s="3">
        <f t="shared" si="3"/>
        <v>48.126801152737755</v>
      </c>
    </row>
    <row r="101" spans="1:14" x14ac:dyDescent="0.25">
      <c r="A101" t="s">
        <v>105</v>
      </c>
      <c r="B101" t="s">
        <v>345</v>
      </c>
      <c r="C101" t="s">
        <v>175</v>
      </c>
      <c r="D101" t="str">
        <f>VLOOKUP(C101,PML!A:B,2,0)</f>
        <v>Alan</v>
      </c>
      <c r="E101">
        <f>SUMIF(DATA!$A:$A,PPL!$A101,DATA!C:C)</f>
        <v>462</v>
      </c>
      <c r="F101">
        <f>SUMIF(DATA!$A:$A,PPL!$A101,DATA!D:D)</f>
        <v>212</v>
      </c>
      <c r="G101">
        <f>SUMIF(DATA!$A:$A,PPL!$A101,DATA!E:E)</f>
        <v>36</v>
      </c>
      <c r="H101">
        <f>SUMIF(DATA!$A:$A,PPL!$A101,DATA!F:F)</f>
        <v>188</v>
      </c>
      <c r="I101">
        <f>SUMIF(DATA!$A:$A,PPL!$A101,DATA!G:G)</f>
        <v>1</v>
      </c>
      <c r="J101">
        <f>SUMIF(DATA!$A:$A,PPL!$A101,DATA!H:H)</f>
        <v>0</v>
      </c>
      <c r="K101">
        <f>SUMIF(DATA!$A:$A,PPL!$A101,DATA!I:I)</f>
        <v>25</v>
      </c>
      <c r="L101">
        <f>SUMIF(DATA!$A:$A,PPL!$A101,DATA!J:J)</f>
        <v>0</v>
      </c>
      <c r="M101">
        <f t="shared" si="2"/>
        <v>238</v>
      </c>
      <c r="N101" s="3">
        <f t="shared" si="3"/>
        <v>51.515151515151516</v>
      </c>
    </row>
    <row r="102" spans="1:14" x14ac:dyDescent="0.25">
      <c r="A102" t="s">
        <v>106</v>
      </c>
      <c r="B102" t="s">
        <v>346</v>
      </c>
      <c r="C102" t="s">
        <v>174</v>
      </c>
      <c r="D102" t="str">
        <f>VLOOKUP(C102,PML!A:B,2,0)</f>
        <v>Aji</v>
      </c>
      <c r="E102">
        <f>SUMIF(DATA!$A:$A,PPL!$A102,DATA!C:C)</f>
        <v>574</v>
      </c>
      <c r="F102">
        <f>SUMIF(DATA!$A:$A,PPL!$A102,DATA!D:D)</f>
        <v>277</v>
      </c>
      <c r="G102">
        <f>SUMIF(DATA!$A:$A,PPL!$A102,DATA!E:E)</f>
        <v>6</v>
      </c>
      <c r="H102">
        <f>SUMIF(DATA!$A:$A,PPL!$A102,DATA!F:F)</f>
        <v>275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16</v>
      </c>
      <c r="L102">
        <f>SUMIF(DATA!$A:$A,PPL!$A102,DATA!J:J)</f>
        <v>0</v>
      </c>
      <c r="M102">
        <f t="shared" si="2"/>
        <v>293</v>
      </c>
      <c r="N102" s="3">
        <f t="shared" si="3"/>
        <v>51.045296167247386</v>
      </c>
    </row>
    <row r="103" spans="1:14" x14ac:dyDescent="0.25">
      <c r="A103" t="s">
        <v>107</v>
      </c>
      <c r="B103" t="s">
        <v>347</v>
      </c>
      <c r="C103" t="s">
        <v>173</v>
      </c>
      <c r="D103" t="str">
        <f>VLOOKUP(C103,PML!A:B,2,0)</f>
        <v>Uneth</v>
      </c>
      <c r="E103">
        <f>SUMIF(DATA!$A:$A,PPL!$A103,DATA!C:C)</f>
        <v>639</v>
      </c>
      <c r="F103">
        <f>SUMIF(DATA!$A:$A,PPL!$A103,DATA!D:D)</f>
        <v>256</v>
      </c>
      <c r="G103">
        <f>SUMIF(DATA!$A:$A,PPL!$A103,DATA!E:E)</f>
        <v>24</v>
      </c>
      <c r="H103">
        <f>SUMIF(DATA!$A:$A,PPL!$A103,DATA!F:F)</f>
        <v>349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8</v>
      </c>
      <c r="L103">
        <f>SUMIF(DATA!$A:$A,PPL!$A103,DATA!J:J)</f>
        <v>0</v>
      </c>
      <c r="M103">
        <f t="shared" si="2"/>
        <v>266</v>
      </c>
      <c r="N103" s="3">
        <f t="shared" si="3"/>
        <v>41.627543035993739</v>
      </c>
    </row>
    <row r="104" spans="1:14" x14ac:dyDescent="0.25">
      <c r="A104" t="s">
        <v>108</v>
      </c>
      <c r="B104" t="s">
        <v>348</v>
      </c>
      <c r="C104" t="s">
        <v>174</v>
      </c>
      <c r="D104" t="str">
        <f>VLOOKUP(C104,PML!A:B,2,0)</f>
        <v>Aji</v>
      </c>
      <c r="E104">
        <f>SUMIF(DATA!$A:$A,PPL!$A104,DATA!C:C)</f>
        <v>697</v>
      </c>
      <c r="F104">
        <f>SUMIF(DATA!$A:$A,PPL!$A104,DATA!D:D)</f>
        <v>260</v>
      </c>
      <c r="G104">
        <f>SUMIF(DATA!$A:$A,PPL!$A104,DATA!E:E)</f>
        <v>47</v>
      </c>
      <c r="H104">
        <f>SUMIF(DATA!$A:$A,PPL!$A104,DATA!F:F)</f>
        <v>342</v>
      </c>
      <c r="I104">
        <f>SUMIF(DATA!$A:$A,PPL!$A104,DATA!G:G)</f>
        <v>2</v>
      </c>
      <c r="J104">
        <f>SUMIF(DATA!$A:$A,PPL!$A104,DATA!H:H)</f>
        <v>1</v>
      </c>
      <c r="K104">
        <f>SUMIF(DATA!$A:$A,PPL!$A104,DATA!I:I)</f>
        <v>45</v>
      </c>
      <c r="L104">
        <f>SUMIF(DATA!$A:$A,PPL!$A104,DATA!J:J)</f>
        <v>0</v>
      </c>
      <c r="M104">
        <f t="shared" si="2"/>
        <v>308</v>
      </c>
      <c r="N104" s="3">
        <f t="shared" si="3"/>
        <v>44.18938307030129</v>
      </c>
    </row>
    <row r="105" spans="1:14" x14ac:dyDescent="0.25">
      <c r="A105" t="s">
        <v>109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673</v>
      </c>
      <c r="F105">
        <f>SUMIF(DATA!$A:$A,PPL!$A105,DATA!D:D)</f>
        <v>322</v>
      </c>
      <c r="G105">
        <f>SUMIF(DATA!$A:$A,PPL!$A105,DATA!E:E)</f>
        <v>63</v>
      </c>
      <c r="H105">
        <f>SUMIF(DATA!$A:$A,PPL!$A105,DATA!F:F)</f>
        <v>280</v>
      </c>
      <c r="I105">
        <f>SUMIF(DATA!$A:$A,PPL!$A105,DATA!G:G)</f>
        <v>7</v>
      </c>
      <c r="J105">
        <f>SUMIF(DATA!$A:$A,PPL!$A105,DATA!H:H)</f>
        <v>0</v>
      </c>
      <c r="K105">
        <f>SUMIF(DATA!$A:$A,PPL!$A105,DATA!I:I)</f>
        <v>1</v>
      </c>
      <c r="L105">
        <f>SUMIF(DATA!$A:$A,PPL!$A105,DATA!J:J)</f>
        <v>0</v>
      </c>
      <c r="M105">
        <f t="shared" si="2"/>
        <v>330</v>
      </c>
      <c r="N105" s="3">
        <f t="shared" si="3"/>
        <v>49.034175334323919</v>
      </c>
    </row>
    <row r="106" spans="1:14" x14ac:dyDescent="0.25">
      <c r="A106" t="s">
        <v>110</v>
      </c>
      <c r="B106" t="s">
        <v>350</v>
      </c>
      <c r="C106" t="s">
        <v>176</v>
      </c>
      <c r="D106" t="str">
        <f>VLOOKUP(C106,PML!A:B,2,0)</f>
        <v>Gabe</v>
      </c>
      <c r="E106">
        <f>SUMIF(DATA!$A:$A,PPL!$A106,DATA!C:C)</f>
        <v>659</v>
      </c>
      <c r="F106">
        <f>SUMIF(DATA!$A:$A,PPL!$A106,DATA!D:D)</f>
        <v>507</v>
      </c>
      <c r="G106">
        <f>SUMIF(DATA!$A:$A,PPL!$A106,DATA!E:E)</f>
        <v>32</v>
      </c>
      <c r="H106">
        <f>SUMIF(DATA!$A:$A,PPL!$A106,DATA!F:F)</f>
        <v>87</v>
      </c>
      <c r="I106">
        <f>SUMIF(DATA!$A:$A,PPL!$A106,DATA!G:G)</f>
        <v>31</v>
      </c>
      <c r="J106">
        <f>SUMIF(DATA!$A:$A,PPL!$A106,DATA!H:H)</f>
        <v>0</v>
      </c>
      <c r="K106">
        <f>SUMIF(DATA!$A:$A,PPL!$A106,DATA!I:I)</f>
        <v>2</v>
      </c>
      <c r="L106">
        <f>SUMIF(DATA!$A:$A,PPL!$A106,DATA!J:J)</f>
        <v>0</v>
      </c>
      <c r="M106">
        <f t="shared" si="2"/>
        <v>540</v>
      </c>
      <c r="N106" s="3">
        <f t="shared" si="3"/>
        <v>81.942336874051591</v>
      </c>
    </row>
    <row r="107" spans="1:14" x14ac:dyDescent="0.25">
      <c r="A107" t="s">
        <v>111</v>
      </c>
      <c r="B107" t="s">
        <v>351</v>
      </c>
      <c r="C107" t="s">
        <v>176</v>
      </c>
      <c r="D107" t="str">
        <f>VLOOKUP(C107,PML!A:B,2,0)</f>
        <v>Gabe</v>
      </c>
      <c r="E107">
        <f>SUMIF(DATA!$A:$A,PPL!$A107,DATA!C:C)</f>
        <v>635</v>
      </c>
      <c r="F107">
        <f>SUMIF(DATA!$A:$A,PPL!$A107,DATA!D:D)</f>
        <v>263</v>
      </c>
      <c r="G107">
        <f>SUMIF(DATA!$A:$A,PPL!$A107,DATA!E:E)</f>
        <v>43</v>
      </c>
      <c r="H107">
        <f>SUMIF(DATA!$A:$A,PPL!$A107,DATA!F:F)</f>
        <v>324</v>
      </c>
      <c r="I107">
        <f>SUMIF(DATA!$A:$A,PPL!$A107,DATA!G:G)</f>
        <v>4</v>
      </c>
      <c r="J107">
        <f>SUMIF(DATA!$A:$A,PPL!$A107,DATA!H:H)</f>
        <v>0</v>
      </c>
      <c r="K107">
        <f>SUMIF(DATA!$A:$A,PPL!$A107,DATA!I:I)</f>
        <v>1</v>
      </c>
      <c r="L107">
        <f>SUMIF(DATA!$A:$A,PPL!$A107,DATA!J:J)</f>
        <v>0</v>
      </c>
      <c r="M107">
        <f t="shared" si="2"/>
        <v>268</v>
      </c>
      <c r="N107" s="3">
        <f t="shared" si="3"/>
        <v>42.204724409448815</v>
      </c>
    </row>
    <row r="108" spans="1:14" x14ac:dyDescent="0.25">
      <c r="A108" t="s">
        <v>112</v>
      </c>
      <c r="B108" t="s">
        <v>352</v>
      </c>
      <c r="C108" t="s">
        <v>176</v>
      </c>
      <c r="D108" t="str">
        <f>VLOOKUP(C108,PML!A:B,2,0)</f>
        <v>Gabe</v>
      </c>
      <c r="E108">
        <f>SUMIF(DATA!$A:$A,PPL!$A108,DATA!C:C)</f>
        <v>694</v>
      </c>
      <c r="F108">
        <f>SUMIF(DATA!$A:$A,PPL!$A108,DATA!D:D)</f>
        <v>347</v>
      </c>
      <c r="G108">
        <f>SUMIF(DATA!$A:$A,PPL!$A108,DATA!E:E)</f>
        <v>98</v>
      </c>
      <c r="H108">
        <f>SUMIF(DATA!$A:$A,PPL!$A108,DATA!F:F)</f>
        <v>241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7</v>
      </c>
      <c r="L108">
        <f>SUMIF(DATA!$A:$A,PPL!$A108,DATA!J:J)</f>
        <v>0</v>
      </c>
      <c r="M108">
        <f t="shared" si="2"/>
        <v>355</v>
      </c>
      <c r="N108" s="3">
        <f t="shared" si="3"/>
        <v>51.152737752161379</v>
      </c>
    </row>
    <row r="109" spans="1:14" x14ac:dyDescent="0.25">
      <c r="A109" t="s">
        <v>113</v>
      </c>
      <c r="B109" t="s">
        <v>353</v>
      </c>
      <c r="C109" t="s">
        <v>177</v>
      </c>
      <c r="D109" t="str">
        <f>VLOOKUP(C109,PML!A:B,2,0)</f>
        <v>Neivrid</v>
      </c>
      <c r="E109">
        <f>SUMIF(DATA!$A:$A,PPL!$A109,DATA!C:C)</f>
        <v>668</v>
      </c>
      <c r="F109">
        <f>SUMIF(DATA!$A:$A,PPL!$A109,DATA!D:D)</f>
        <v>293</v>
      </c>
      <c r="G109">
        <f>SUMIF(DATA!$A:$A,PPL!$A109,DATA!E:E)</f>
        <v>34</v>
      </c>
      <c r="H109">
        <f>SUMIF(DATA!$A:$A,PPL!$A109,DATA!F:F)</f>
        <v>321</v>
      </c>
      <c r="I109">
        <f>SUMIF(DATA!$A:$A,PPL!$A109,DATA!G:G)</f>
        <v>4</v>
      </c>
      <c r="J109">
        <f>SUMIF(DATA!$A:$A,PPL!$A109,DATA!H:H)</f>
        <v>1</v>
      </c>
      <c r="K109">
        <f>SUMIF(DATA!$A:$A,PPL!$A109,DATA!I:I)</f>
        <v>15</v>
      </c>
      <c r="L109">
        <f>SUMIF(DATA!$A:$A,PPL!$A109,DATA!J:J)</f>
        <v>0</v>
      </c>
      <c r="M109">
        <f t="shared" si="2"/>
        <v>313</v>
      </c>
      <c r="N109" s="3">
        <f t="shared" si="3"/>
        <v>46.856287425149702</v>
      </c>
    </row>
    <row r="110" spans="1:14" x14ac:dyDescent="0.25">
      <c r="A110" t="s">
        <v>114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681</v>
      </c>
      <c r="F110">
        <f>SUMIF(DATA!$A:$A,PPL!$A110,DATA!D:D)</f>
        <v>332</v>
      </c>
      <c r="G110">
        <f>SUMIF(DATA!$A:$A,PPL!$A110,DATA!E:E)</f>
        <v>6</v>
      </c>
      <c r="H110">
        <f>SUMIF(DATA!$A:$A,PPL!$A110,DATA!F:F)</f>
        <v>341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2"/>
        <v>334</v>
      </c>
      <c r="N110" s="3">
        <f t="shared" si="3"/>
        <v>49.045521292217323</v>
      </c>
    </row>
    <row r="111" spans="1:14" x14ac:dyDescent="0.25">
      <c r="A111" t="s">
        <v>115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595</v>
      </c>
      <c r="F111">
        <f>SUMIF(DATA!$A:$A,PPL!$A111,DATA!D:D)</f>
        <v>303</v>
      </c>
      <c r="G111">
        <f>SUMIF(DATA!$A:$A,PPL!$A111,DATA!E:E)</f>
        <v>10</v>
      </c>
      <c r="H111">
        <f>SUMIF(DATA!$A:$A,PPL!$A111,DATA!F:F)</f>
        <v>273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9</v>
      </c>
      <c r="L111">
        <f>SUMIF(DATA!$A:$A,PPL!$A111,DATA!J:J)</f>
        <v>0</v>
      </c>
      <c r="M111">
        <f t="shared" si="2"/>
        <v>312</v>
      </c>
      <c r="N111" s="3">
        <f t="shared" si="3"/>
        <v>52.436974789915972</v>
      </c>
    </row>
    <row r="112" spans="1:14" x14ac:dyDescent="0.25">
      <c r="A112" t="s">
        <v>116</v>
      </c>
      <c r="B112" t="s">
        <v>356</v>
      </c>
      <c r="C112" t="s">
        <v>178</v>
      </c>
      <c r="D112" t="str">
        <f>VLOOKUP(C112,PML!A:B,2,0)</f>
        <v>Rizky</v>
      </c>
      <c r="E112">
        <f>SUMIF(DATA!$A:$A,PPL!$A112,DATA!C:C)</f>
        <v>641</v>
      </c>
      <c r="F112">
        <f>SUMIF(DATA!$A:$A,PPL!$A112,DATA!D:D)</f>
        <v>366</v>
      </c>
      <c r="G112">
        <f>SUMIF(DATA!$A:$A,PPL!$A112,DATA!E:E)</f>
        <v>16</v>
      </c>
      <c r="H112">
        <f>SUMIF(DATA!$A:$A,PPL!$A112,DATA!F:F)</f>
        <v>258</v>
      </c>
      <c r="I112">
        <f>SUMIF(DATA!$A:$A,PPL!$A112,DATA!G:G)</f>
        <v>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367</v>
      </c>
      <c r="N112" s="3">
        <f t="shared" si="3"/>
        <v>57.254290171606868</v>
      </c>
    </row>
    <row r="113" spans="1:14" x14ac:dyDescent="0.25">
      <c r="A113" t="s">
        <v>117</v>
      </c>
      <c r="B113" t="s">
        <v>357</v>
      </c>
      <c r="C113" t="s">
        <v>178</v>
      </c>
      <c r="D113" t="str">
        <f>VLOOKUP(C113,PML!A:B,2,0)</f>
        <v>Rizky</v>
      </c>
      <c r="E113">
        <f>SUMIF(DATA!$A:$A,PPL!$A113,DATA!C:C)</f>
        <v>626</v>
      </c>
      <c r="F113">
        <f>SUMIF(DATA!$A:$A,PPL!$A113,DATA!D:D)</f>
        <v>271</v>
      </c>
      <c r="G113">
        <f>SUMIF(DATA!$A:$A,PPL!$A113,DATA!E:E)</f>
        <v>61</v>
      </c>
      <c r="H113">
        <f>SUMIF(DATA!$A:$A,PPL!$A113,DATA!F:F)</f>
        <v>291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0</v>
      </c>
      <c r="M113">
        <f t="shared" si="2"/>
        <v>274</v>
      </c>
      <c r="N113" s="3">
        <f t="shared" si="3"/>
        <v>43.769968051118212</v>
      </c>
    </row>
    <row r="114" spans="1:14" x14ac:dyDescent="0.25">
      <c r="A114" t="s">
        <v>118</v>
      </c>
      <c r="B114" t="s">
        <v>358</v>
      </c>
      <c r="C114" t="s">
        <v>178</v>
      </c>
      <c r="D114" t="str">
        <f>VLOOKUP(C114,PML!A:B,2,0)</f>
        <v>Rizky</v>
      </c>
      <c r="E114">
        <f>SUMIF(DATA!$A:$A,PPL!$A114,DATA!C:C)</f>
        <v>576</v>
      </c>
      <c r="F114">
        <f>SUMIF(DATA!$A:$A,PPL!$A114,DATA!D:D)</f>
        <v>258</v>
      </c>
      <c r="G114">
        <f>SUMIF(DATA!$A:$A,PPL!$A114,DATA!E:E)</f>
        <v>8</v>
      </c>
      <c r="H114">
        <f>SUMIF(DATA!$A:$A,PPL!$A114,DATA!F:F)</f>
        <v>303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7</v>
      </c>
      <c r="L114">
        <f>SUMIF(DATA!$A:$A,PPL!$A114,DATA!J:J)</f>
        <v>0</v>
      </c>
      <c r="M114">
        <f t="shared" si="2"/>
        <v>265</v>
      </c>
      <c r="N114" s="3">
        <f t="shared" si="3"/>
        <v>46.006944444444443</v>
      </c>
    </row>
    <row r="115" spans="1:14" x14ac:dyDescent="0.25">
      <c r="A115" t="s">
        <v>119</v>
      </c>
      <c r="B115" t="s">
        <v>359</v>
      </c>
      <c r="C115" t="s">
        <v>178</v>
      </c>
      <c r="D115" t="str">
        <f>VLOOKUP(C115,PML!A:B,2,0)</f>
        <v>Rizky</v>
      </c>
      <c r="E115">
        <f>SUMIF(DATA!$A:$A,PPL!$A115,DATA!C:C)</f>
        <v>649</v>
      </c>
      <c r="F115">
        <f>SUMIF(DATA!$A:$A,PPL!$A115,DATA!D:D)</f>
        <v>278</v>
      </c>
      <c r="G115">
        <f>SUMIF(DATA!$A:$A,PPL!$A115,DATA!E:E)</f>
        <v>9</v>
      </c>
      <c r="H115">
        <f>SUMIF(DATA!$A:$A,PPL!$A115,DATA!F:F)</f>
        <v>328</v>
      </c>
      <c r="I115">
        <f>SUMIF(DATA!$A:$A,PPL!$A115,DATA!G:G)</f>
        <v>32</v>
      </c>
      <c r="J115">
        <f>SUMIF(DATA!$A:$A,PPL!$A115,DATA!H:H)</f>
        <v>0</v>
      </c>
      <c r="K115">
        <f>SUMIF(DATA!$A:$A,PPL!$A115,DATA!I:I)</f>
        <v>2</v>
      </c>
      <c r="L115">
        <f>SUMIF(DATA!$A:$A,PPL!$A115,DATA!J:J)</f>
        <v>0</v>
      </c>
      <c r="M115">
        <f t="shared" si="2"/>
        <v>312</v>
      </c>
      <c r="N115" s="3">
        <f t="shared" si="3"/>
        <v>48.07395993836672</v>
      </c>
    </row>
    <row r="116" spans="1:14" x14ac:dyDescent="0.25">
      <c r="A116" t="s">
        <v>120</v>
      </c>
      <c r="B116" t="s">
        <v>360</v>
      </c>
      <c r="C116" t="s">
        <v>176</v>
      </c>
      <c r="D116" t="str">
        <f>VLOOKUP(C116,PML!A:B,2,0)</f>
        <v>Gabe</v>
      </c>
      <c r="E116">
        <f>SUMIF(DATA!$A:$A,PPL!$A116,DATA!C:C)</f>
        <v>697</v>
      </c>
      <c r="F116">
        <f>SUMIF(DATA!$A:$A,PPL!$A116,DATA!D:D)</f>
        <v>311</v>
      </c>
      <c r="G116">
        <f>SUMIF(DATA!$A:$A,PPL!$A116,DATA!E:E)</f>
        <v>19</v>
      </c>
      <c r="H116">
        <f>SUMIF(DATA!$A:$A,PPL!$A116,DATA!F:F)</f>
        <v>367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2"/>
        <v>311</v>
      </c>
      <c r="N116" s="3">
        <f t="shared" si="3"/>
        <v>44.619799139167867</v>
      </c>
    </row>
    <row r="117" spans="1:14" x14ac:dyDescent="0.25">
      <c r="A117" t="s">
        <v>121</v>
      </c>
      <c r="B117" t="s">
        <v>361</v>
      </c>
      <c r="C117" t="s">
        <v>176</v>
      </c>
      <c r="D117" t="str">
        <f>VLOOKUP(C117,PML!A:B,2,0)</f>
        <v>Gabe</v>
      </c>
      <c r="E117">
        <f>SUMIF(DATA!$A:$A,PPL!$A117,DATA!C:C)</f>
        <v>668</v>
      </c>
      <c r="F117">
        <f>SUMIF(DATA!$A:$A,PPL!$A117,DATA!D:D)</f>
        <v>302</v>
      </c>
      <c r="G117">
        <f>SUMIF(DATA!$A:$A,PPL!$A117,DATA!E:E)</f>
        <v>37</v>
      </c>
      <c r="H117">
        <f>SUMIF(DATA!$A:$A,PPL!$A117,DATA!F:F)</f>
        <v>303</v>
      </c>
      <c r="I117">
        <f>SUMIF(DATA!$A:$A,PPL!$A117,DATA!G:G)</f>
        <v>11</v>
      </c>
      <c r="J117">
        <f>SUMIF(DATA!$A:$A,PPL!$A117,DATA!H:H)</f>
        <v>0</v>
      </c>
      <c r="K117">
        <f>SUMIF(DATA!$A:$A,PPL!$A117,DATA!I:I)</f>
        <v>15</v>
      </c>
      <c r="L117">
        <f>SUMIF(DATA!$A:$A,PPL!$A117,DATA!J:J)</f>
        <v>0</v>
      </c>
      <c r="M117">
        <f t="shared" si="2"/>
        <v>328</v>
      </c>
      <c r="N117" s="3">
        <f t="shared" si="3"/>
        <v>49.101796407185624</v>
      </c>
    </row>
    <row r="118" spans="1:14" x14ac:dyDescent="0.25">
      <c r="A118" t="s">
        <v>122</v>
      </c>
      <c r="B118" t="s">
        <v>362</v>
      </c>
      <c r="C118" t="s">
        <v>176</v>
      </c>
      <c r="D118" t="str">
        <f>VLOOKUP(C118,PML!A:B,2,0)</f>
        <v>Gabe</v>
      </c>
      <c r="E118">
        <f>SUMIF(DATA!$A:$A,PPL!$A118,DATA!C:C)</f>
        <v>631</v>
      </c>
      <c r="F118">
        <f>SUMIF(DATA!$A:$A,PPL!$A118,DATA!D:D)</f>
        <v>260</v>
      </c>
      <c r="G118">
        <f>SUMIF(DATA!$A:$A,PPL!$A118,DATA!E:E)</f>
        <v>19</v>
      </c>
      <c r="H118">
        <f>SUMIF(DATA!$A:$A,PPL!$A118,DATA!F:F)</f>
        <v>347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3</v>
      </c>
      <c r="L118">
        <f>SUMIF(DATA!$A:$A,PPL!$A118,DATA!J:J)</f>
        <v>0</v>
      </c>
      <c r="M118">
        <f t="shared" si="2"/>
        <v>265</v>
      </c>
      <c r="N118" s="3">
        <f t="shared" si="3"/>
        <v>41.996830427892235</v>
      </c>
    </row>
    <row r="119" spans="1:14" x14ac:dyDescent="0.25">
      <c r="A119" t="s">
        <v>123</v>
      </c>
      <c r="B119" t="s">
        <v>363</v>
      </c>
      <c r="C119" t="s">
        <v>178</v>
      </c>
      <c r="D119" t="str">
        <f>VLOOKUP(C119,PML!A:B,2,0)</f>
        <v>Rizky</v>
      </c>
      <c r="E119">
        <f>SUMIF(DATA!$A:$A,PPL!$A119,DATA!C:C)</f>
        <v>638</v>
      </c>
      <c r="F119">
        <f>SUMIF(DATA!$A:$A,PPL!$A119,DATA!D:D)</f>
        <v>297</v>
      </c>
      <c r="G119">
        <f>SUMIF(DATA!$A:$A,PPL!$A119,DATA!E:E)</f>
        <v>8</v>
      </c>
      <c r="H119">
        <f>SUMIF(DATA!$A:$A,PPL!$A119,DATA!F:F)</f>
        <v>331</v>
      </c>
      <c r="I119">
        <f>SUMIF(DATA!$A:$A,PPL!$A119,DATA!G:G)</f>
        <v>2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299</v>
      </c>
      <c r="N119" s="3">
        <f t="shared" si="3"/>
        <v>46.865203761755488</v>
      </c>
    </row>
    <row r="120" spans="1:14" x14ac:dyDescent="0.25">
      <c r="A120" t="s">
        <v>124</v>
      </c>
      <c r="B120" t="s">
        <v>364</v>
      </c>
      <c r="C120" t="s">
        <v>177</v>
      </c>
      <c r="D120" t="str">
        <f>VLOOKUP(C120,PML!A:B,2,0)</f>
        <v>Neivrid</v>
      </c>
      <c r="E120">
        <f>SUMIF(DATA!$A:$A,PPL!$A120,DATA!C:C)</f>
        <v>651</v>
      </c>
      <c r="F120">
        <f>SUMIF(DATA!$A:$A,PPL!$A120,DATA!D:D)</f>
        <v>369</v>
      </c>
      <c r="G120">
        <f>SUMIF(DATA!$A:$A,PPL!$A120,DATA!E:E)</f>
        <v>52</v>
      </c>
      <c r="H120">
        <f>SUMIF(DATA!$A:$A,PPL!$A120,DATA!F:F)</f>
        <v>188</v>
      </c>
      <c r="I120">
        <f>SUMIF(DATA!$A:$A,PPL!$A120,DATA!G:G)</f>
        <v>41</v>
      </c>
      <c r="J120">
        <f>SUMIF(DATA!$A:$A,PPL!$A120,DATA!H:H)</f>
        <v>0</v>
      </c>
      <c r="K120">
        <f>SUMIF(DATA!$A:$A,PPL!$A120,DATA!I:I)</f>
        <v>1</v>
      </c>
      <c r="L120">
        <f>SUMIF(DATA!$A:$A,PPL!$A120,DATA!J:J)</f>
        <v>0</v>
      </c>
      <c r="M120">
        <f t="shared" si="2"/>
        <v>411</v>
      </c>
      <c r="N120" s="3">
        <f t="shared" si="3"/>
        <v>63.133640552995395</v>
      </c>
    </row>
    <row r="121" spans="1:14" x14ac:dyDescent="0.25">
      <c r="A121" t="s">
        <v>125</v>
      </c>
      <c r="B121" t="s">
        <v>365</v>
      </c>
      <c r="C121" t="s">
        <v>177</v>
      </c>
      <c r="D121" t="str">
        <f>VLOOKUP(C121,PML!A:B,2,0)</f>
        <v>Neivrid</v>
      </c>
      <c r="E121">
        <f>SUMIF(DATA!$A:$A,PPL!$A121,DATA!C:C)</f>
        <v>714</v>
      </c>
      <c r="F121">
        <f>SUMIF(DATA!$A:$A,PPL!$A121,DATA!D:D)</f>
        <v>330</v>
      </c>
      <c r="G121">
        <f>SUMIF(DATA!$A:$A,PPL!$A121,DATA!E:E)</f>
        <v>37</v>
      </c>
      <c r="H121">
        <f>SUMIF(DATA!$A:$A,PPL!$A121,DATA!F:F)</f>
        <v>297</v>
      </c>
      <c r="I121">
        <f>SUMIF(DATA!$A:$A,PPL!$A121,DATA!G:G)</f>
        <v>18</v>
      </c>
      <c r="J121">
        <f>SUMIF(DATA!$A:$A,PPL!$A121,DATA!H:H)</f>
        <v>0</v>
      </c>
      <c r="K121">
        <f>SUMIF(DATA!$A:$A,PPL!$A121,DATA!I:I)</f>
        <v>32</v>
      </c>
      <c r="L121">
        <f>SUMIF(DATA!$A:$A,PPL!$A121,DATA!J:J)</f>
        <v>0</v>
      </c>
      <c r="M121">
        <f t="shared" si="2"/>
        <v>380</v>
      </c>
      <c r="N121" s="3">
        <f t="shared" si="3"/>
        <v>53.221288515406165</v>
      </c>
    </row>
    <row r="122" spans="1:14" x14ac:dyDescent="0.25">
      <c r="A122" t="s">
        <v>126</v>
      </c>
      <c r="B122" t="s">
        <v>366</v>
      </c>
      <c r="C122" t="s">
        <v>177</v>
      </c>
      <c r="D122" t="str">
        <f>VLOOKUP(C122,PML!A:B,2,0)</f>
        <v>Neivrid</v>
      </c>
      <c r="E122">
        <f>SUMIF(DATA!$A:$A,PPL!$A122,DATA!C:C)</f>
        <v>667</v>
      </c>
      <c r="F122">
        <f>SUMIF(DATA!$A:$A,PPL!$A122,DATA!D:D)</f>
        <v>254</v>
      </c>
      <c r="G122">
        <f>SUMIF(DATA!$A:$A,PPL!$A122,DATA!E:E)</f>
        <v>24</v>
      </c>
      <c r="H122">
        <f>SUMIF(DATA!$A:$A,PPL!$A122,DATA!F:F)</f>
        <v>360</v>
      </c>
      <c r="I122">
        <f>SUMIF(DATA!$A:$A,PPL!$A122,DATA!G:G)</f>
        <v>21</v>
      </c>
      <c r="J122">
        <f>SUMIF(DATA!$A:$A,PPL!$A122,DATA!H:H)</f>
        <v>1</v>
      </c>
      <c r="K122">
        <f>SUMIF(DATA!$A:$A,PPL!$A122,DATA!I:I)</f>
        <v>7</v>
      </c>
      <c r="L122">
        <f>SUMIF(DATA!$A:$A,PPL!$A122,DATA!J:J)</f>
        <v>0</v>
      </c>
      <c r="M122">
        <f t="shared" si="2"/>
        <v>283</v>
      </c>
      <c r="N122" s="3">
        <f t="shared" si="3"/>
        <v>42.428785607196403</v>
      </c>
    </row>
    <row r="123" spans="1:14" x14ac:dyDescent="0.25">
      <c r="A123" t="s">
        <v>127</v>
      </c>
      <c r="B123" t="s">
        <v>367</v>
      </c>
      <c r="C123" t="s">
        <v>177</v>
      </c>
      <c r="D123" t="str">
        <f>VLOOKUP(C123,PML!A:B,2,0)</f>
        <v>Neivrid</v>
      </c>
      <c r="E123">
        <f>SUMIF(DATA!$A:$A,PPL!$A123,DATA!C:C)</f>
        <v>628</v>
      </c>
      <c r="F123">
        <f>SUMIF(DATA!$A:$A,PPL!$A123,DATA!D:D)</f>
        <v>285</v>
      </c>
      <c r="G123">
        <f>SUMIF(DATA!$A:$A,PPL!$A123,DATA!E:E)</f>
        <v>11</v>
      </c>
      <c r="H123">
        <f>SUMIF(DATA!$A:$A,PPL!$A123,DATA!F:F)</f>
        <v>292</v>
      </c>
      <c r="I123">
        <f>SUMIF(DATA!$A:$A,PPL!$A123,DATA!G:G)</f>
        <v>17</v>
      </c>
      <c r="J123">
        <f>SUMIF(DATA!$A:$A,PPL!$A123,DATA!H:H)</f>
        <v>2</v>
      </c>
      <c r="K123">
        <f>SUMIF(DATA!$A:$A,PPL!$A123,DATA!I:I)</f>
        <v>21</v>
      </c>
      <c r="L123">
        <f>SUMIF(DATA!$A:$A,PPL!$A123,DATA!J:J)</f>
        <v>0</v>
      </c>
      <c r="M123">
        <f t="shared" si="2"/>
        <v>325</v>
      </c>
      <c r="N123" s="3">
        <f t="shared" si="3"/>
        <v>51.751592356687901</v>
      </c>
    </row>
    <row r="124" spans="1:14" x14ac:dyDescent="0.25">
      <c r="A124" t="s">
        <v>128</v>
      </c>
      <c r="B124" t="s">
        <v>368</v>
      </c>
      <c r="C124" t="s">
        <v>177</v>
      </c>
      <c r="D124" t="str">
        <f>VLOOKUP(C124,PML!A:B,2,0)</f>
        <v>Neivrid</v>
      </c>
      <c r="E124">
        <f>SUMIF(DATA!$A:$A,PPL!$A124,DATA!C:C)</f>
        <v>633</v>
      </c>
      <c r="F124">
        <f>SUMIF(DATA!$A:$A,PPL!$A124,DATA!D:D)</f>
        <v>295</v>
      </c>
      <c r="G124">
        <f>SUMIF(DATA!$A:$A,PPL!$A124,DATA!E:E)</f>
        <v>43</v>
      </c>
      <c r="H124">
        <f>SUMIF(DATA!$A:$A,PPL!$A124,DATA!F:F)</f>
        <v>252</v>
      </c>
      <c r="I124">
        <f>SUMIF(DATA!$A:$A,PPL!$A124,DATA!G:G)</f>
        <v>0</v>
      </c>
      <c r="J124">
        <f>SUMIF(DATA!$A:$A,PPL!$A124,DATA!H:H)</f>
        <v>5</v>
      </c>
      <c r="K124">
        <f>SUMIF(DATA!$A:$A,PPL!$A124,DATA!I:I)</f>
        <v>38</v>
      </c>
      <c r="L124">
        <f>SUMIF(DATA!$A:$A,PPL!$A124,DATA!J:J)</f>
        <v>0</v>
      </c>
      <c r="M124">
        <f t="shared" si="2"/>
        <v>338</v>
      </c>
      <c r="N124" s="3">
        <f t="shared" si="3"/>
        <v>53.396524486571884</v>
      </c>
    </row>
    <row r="125" spans="1:14" x14ac:dyDescent="0.25">
      <c r="A125" t="s">
        <v>129</v>
      </c>
      <c r="B125" t="s">
        <v>369</v>
      </c>
      <c r="C125" t="s">
        <v>177</v>
      </c>
      <c r="D125" t="str">
        <f>VLOOKUP(C125,PML!A:B,2,0)</f>
        <v>Neivrid</v>
      </c>
      <c r="E125">
        <f>SUMIF(DATA!$A:$A,PPL!$A125,DATA!C:C)</f>
        <v>625</v>
      </c>
      <c r="F125">
        <f>SUMIF(DATA!$A:$A,PPL!$A125,DATA!D:D)</f>
        <v>257</v>
      </c>
      <c r="G125">
        <f>SUMIF(DATA!$A:$A,PPL!$A125,DATA!E:E)</f>
        <v>27</v>
      </c>
      <c r="H125">
        <f>SUMIF(DATA!$A:$A,PPL!$A125,DATA!F:F)</f>
        <v>338</v>
      </c>
      <c r="I125">
        <f>SUMIF(DATA!$A:$A,PPL!$A125,DATA!G:G)</f>
        <v>2</v>
      </c>
      <c r="J125">
        <f>SUMIF(DATA!$A:$A,PPL!$A125,DATA!H:H)</f>
        <v>1</v>
      </c>
      <c r="K125">
        <f>SUMIF(DATA!$A:$A,PPL!$A125,DATA!I:I)</f>
        <v>0</v>
      </c>
      <c r="L125">
        <f>SUMIF(DATA!$A:$A,PPL!$A125,DATA!J:J)</f>
        <v>0</v>
      </c>
      <c r="M125">
        <f t="shared" si="2"/>
        <v>260</v>
      </c>
      <c r="N125" s="3">
        <f t="shared" si="3"/>
        <v>41.6</v>
      </c>
    </row>
    <row r="126" spans="1:14" x14ac:dyDescent="0.25">
      <c r="A126" t="s">
        <v>130</v>
      </c>
      <c r="B126" t="s">
        <v>370</v>
      </c>
      <c r="C126" t="s">
        <v>179</v>
      </c>
      <c r="D126" t="str">
        <f>VLOOKUP(C126,PML!A:B,2,0)</f>
        <v>Saul</v>
      </c>
      <c r="E126">
        <f>SUMIF(DATA!$A:$A,PPL!$A126,DATA!C:C)</f>
        <v>631</v>
      </c>
      <c r="F126">
        <f>SUMIF(DATA!$A:$A,PPL!$A126,DATA!D:D)</f>
        <v>144</v>
      </c>
      <c r="G126">
        <f>SUMIF(DATA!$A:$A,PPL!$A126,DATA!E:E)</f>
        <v>27</v>
      </c>
      <c r="H126">
        <f>SUMIF(DATA!$A:$A,PPL!$A126,DATA!F:F)</f>
        <v>344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115</v>
      </c>
      <c r="L126">
        <f>SUMIF(DATA!$A:$A,PPL!$A126,DATA!J:J)</f>
        <v>0</v>
      </c>
      <c r="M126">
        <f t="shared" si="2"/>
        <v>260</v>
      </c>
      <c r="N126" s="3">
        <f t="shared" si="3"/>
        <v>41.204437400950873</v>
      </c>
    </row>
    <row r="127" spans="1:14" x14ac:dyDescent="0.25">
      <c r="A127" t="s">
        <v>131</v>
      </c>
      <c r="B127" t="s">
        <v>371</v>
      </c>
      <c r="C127" t="s">
        <v>180</v>
      </c>
      <c r="D127" t="str">
        <f>VLOOKUP(C127,PML!A:B,2,0)</f>
        <v>Alfian</v>
      </c>
      <c r="E127">
        <f>SUMIF(DATA!$A:$A,PPL!$A127,DATA!C:C)</f>
        <v>642</v>
      </c>
      <c r="F127">
        <f>SUMIF(DATA!$A:$A,PPL!$A127,DATA!D:D)</f>
        <v>279</v>
      </c>
      <c r="G127">
        <f>SUMIF(DATA!$A:$A,PPL!$A127,DATA!E:E)</f>
        <v>4</v>
      </c>
      <c r="H127">
        <f>SUMIF(DATA!$A:$A,PPL!$A127,DATA!F:F)</f>
        <v>358</v>
      </c>
      <c r="I127">
        <f>SUMIF(DATA!$A:$A,PPL!$A127,DATA!G:G)</f>
        <v>0</v>
      </c>
      <c r="J127">
        <f>SUMIF(DATA!$A:$A,PPL!$A127,DATA!H:H)</f>
        <v>1</v>
      </c>
      <c r="K127">
        <f>SUMIF(DATA!$A:$A,PPL!$A127,DATA!I:I)</f>
        <v>0</v>
      </c>
      <c r="L127">
        <f>SUMIF(DATA!$A:$A,PPL!$A127,DATA!J:J)</f>
        <v>0</v>
      </c>
      <c r="M127">
        <f t="shared" si="2"/>
        <v>280</v>
      </c>
      <c r="N127" s="3">
        <f t="shared" si="3"/>
        <v>43.613707165109034</v>
      </c>
    </row>
    <row r="128" spans="1:14" x14ac:dyDescent="0.25">
      <c r="A128" t="s">
        <v>132</v>
      </c>
      <c r="B128" t="s">
        <v>372</v>
      </c>
      <c r="C128" t="s">
        <v>180</v>
      </c>
      <c r="D128" t="str">
        <f>VLOOKUP(C128,PML!A:B,2,0)</f>
        <v>Alfian</v>
      </c>
      <c r="E128">
        <f>SUMIF(DATA!$A:$A,PPL!$A128,DATA!C:C)</f>
        <v>636</v>
      </c>
      <c r="F128">
        <f>SUMIF(DATA!$A:$A,PPL!$A128,DATA!D:D)</f>
        <v>256</v>
      </c>
      <c r="G128">
        <f>SUMIF(DATA!$A:$A,PPL!$A128,DATA!E:E)</f>
        <v>45</v>
      </c>
      <c r="H128">
        <f>SUMIF(DATA!$A:$A,PPL!$A128,DATA!F:F)</f>
        <v>329</v>
      </c>
      <c r="I128">
        <f>SUMIF(DATA!$A:$A,PPL!$A128,DATA!G:G)</f>
        <v>5</v>
      </c>
      <c r="J128">
        <f>SUMIF(DATA!$A:$A,PPL!$A128,DATA!H:H)</f>
        <v>0</v>
      </c>
      <c r="K128">
        <f>SUMIF(DATA!$A:$A,PPL!$A128,DATA!I:I)</f>
        <v>1</v>
      </c>
      <c r="L128">
        <f>SUMIF(DATA!$A:$A,PPL!$A128,DATA!J:J)</f>
        <v>0</v>
      </c>
      <c r="M128">
        <f t="shared" si="2"/>
        <v>262</v>
      </c>
      <c r="N128" s="3">
        <f t="shared" si="3"/>
        <v>41.19496855345912</v>
      </c>
    </row>
    <row r="129" spans="1:14" x14ac:dyDescent="0.25">
      <c r="A129" t="s">
        <v>133</v>
      </c>
      <c r="B129" t="s">
        <v>373</v>
      </c>
      <c r="C129" t="s">
        <v>180</v>
      </c>
      <c r="D129" t="str">
        <f>VLOOKUP(C129,PML!A:B,2,0)</f>
        <v>Alfian</v>
      </c>
      <c r="E129">
        <f>SUMIF(DATA!$A:$A,PPL!$A129,DATA!C:C)</f>
        <v>633</v>
      </c>
      <c r="F129">
        <f>SUMIF(DATA!$A:$A,PPL!$A129,DATA!D:D)</f>
        <v>271</v>
      </c>
      <c r="G129">
        <f>SUMIF(DATA!$A:$A,PPL!$A129,DATA!E:E)</f>
        <v>2</v>
      </c>
      <c r="H129">
        <f>SUMIF(DATA!$A:$A,PPL!$A129,DATA!F:F)</f>
        <v>355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2</v>
      </c>
      <c r="L129">
        <f>SUMIF(DATA!$A:$A,PPL!$A129,DATA!J:J)</f>
        <v>1</v>
      </c>
      <c r="M129">
        <f t="shared" si="2"/>
        <v>276</v>
      </c>
      <c r="N129" s="3">
        <f t="shared" si="3"/>
        <v>43.601895734597157</v>
      </c>
    </row>
    <row r="130" spans="1:14" x14ac:dyDescent="0.25">
      <c r="A130" t="s">
        <v>134</v>
      </c>
      <c r="B130" t="s">
        <v>374</v>
      </c>
      <c r="C130" t="s">
        <v>180</v>
      </c>
      <c r="D130" t="str">
        <f>VLOOKUP(C130,PML!A:B,2,0)</f>
        <v>Alfian</v>
      </c>
      <c r="E130">
        <f>SUMIF(DATA!$A:$A,PPL!$A130,DATA!C:C)</f>
        <v>648</v>
      </c>
      <c r="F130">
        <f>SUMIF(DATA!$A:$A,PPL!$A130,DATA!D:D)</f>
        <v>266</v>
      </c>
      <c r="G130">
        <f>SUMIF(DATA!$A:$A,PPL!$A130,DATA!E:E)</f>
        <v>4</v>
      </c>
      <c r="H130">
        <f>SUMIF(DATA!$A:$A,PPL!$A130,DATA!F:F)</f>
        <v>377</v>
      </c>
      <c r="I130">
        <f>SUMIF(DATA!$A:$A,PPL!$A130,DATA!G:G)</f>
        <v>1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si="2"/>
        <v>267</v>
      </c>
      <c r="N130" s="3">
        <f t="shared" si="3"/>
        <v>41.203703703703702</v>
      </c>
    </row>
    <row r="131" spans="1:14" x14ac:dyDescent="0.25">
      <c r="A131" t="s">
        <v>136</v>
      </c>
      <c r="B131" t="s">
        <v>375</v>
      </c>
      <c r="C131" t="s">
        <v>180</v>
      </c>
      <c r="D131" t="str">
        <f>VLOOKUP(C131,PML!A:B,2,0)</f>
        <v>Alfian</v>
      </c>
      <c r="E131">
        <f>SUMIF(DATA!$A:$A,PPL!$A131,DATA!C:C)</f>
        <v>624</v>
      </c>
      <c r="F131">
        <f>SUMIF(DATA!$A:$A,PPL!$A131,DATA!D:D)</f>
        <v>264</v>
      </c>
      <c r="G131">
        <f>SUMIF(DATA!$A:$A,PPL!$A131,DATA!E:E)</f>
        <v>19</v>
      </c>
      <c r="H131">
        <f>SUMIF(DATA!$A:$A,PPL!$A131,DATA!F:F)</f>
        <v>341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0</v>
      </c>
      <c r="L131">
        <f>SUMIF(DATA!$A:$A,PPL!$A131,DATA!J:J)</f>
        <v>0</v>
      </c>
      <c r="M131">
        <f t="shared" ref="M131:M139" si="4">F131+I131+J131+K131+L131</f>
        <v>264</v>
      </c>
      <c r="N131" s="3">
        <f t="shared" ref="N131:N139" si="5">(M131/E131)*100</f>
        <v>42.307692307692307</v>
      </c>
    </row>
    <row r="132" spans="1:14" x14ac:dyDescent="0.25">
      <c r="A132" t="s">
        <v>137</v>
      </c>
      <c r="B132" t="s">
        <v>376</v>
      </c>
      <c r="C132" t="s">
        <v>179</v>
      </c>
      <c r="D132" t="str">
        <f>VLOOKUP(C132,PML!A:B,2,0)</f>
        <v>Saul</v>
      </c>
      <c r="E132">
        <f>SUMIF(DATA!$A:$A,PPL!$A132,DATA!C:C)</f>
        <v>670</v>
      </c>
      <c r="F132">
        <f>SUMIF(DATA!$A:$A,PPL!$A132,DATA!D:D)</f>
        <v>298</v>
      </c>
      <c r="G132">
        <f>SUMIF(DATA!$A:$A,PPL!$A132,DATA!E:E)</f>
        <v>27</v>
      </c>
      <c r="H132">
        <f>SUMIF(DATA!$A:$A,PPL!$A132,DATA!F:F)</f>
        <v>341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2</v>
      </c>
      <c r="L132">
        <f>SUMIF(DATA!$A:$A,PPL!$A132,DATA!J:J)</f>
        <v>0</v>
      </c>
      <c r="M132">
        <f t="shared" si="4"/>
        <v>302</v>
      </c>
      <c r="N132" s="3">
        <f t="shared" si="5"/>
        <v>45.07462686567164</v>
      </c>
    </row>
    <row r="133" spans="1:14" x14ac:dyDescent="0.25">
      <c r="A133" t="s">
        <v>138</v>
      </c>
      <c r="B133" t="s">
        <v>377</v>
      </c>
      <c r="C133" t="s">
        <v>180</v>
      </c>
      <c r="D133" t="str">
        <f>VLOOKUP(C133,PML!A:B,2,0)</f>
        <v>Alfian</v>
      </c>
      <c r="E133">
        <f>SUMIF(DATA!$A:$A,PPL!$A133,DATA!C:C)</f>
        <v>635</v>
      </c>
      <c r="F133">
        <f>SUMIF(DATA!$A:$A,PPL!$A133,DATA!D:D)</f>
        <v>253</v>
      </c>
      <c r="G133">
        <f>SUMIF(DATA!$A:$A,PPL!$A133,DATA!E:E)</f>
        <v>9</v>
      </c>
      <c r="H133">
        <f>SUMIF(DATA!$A:$A,PPL!$A133,DATA!F:F)</f>
        <v>369</v>
      </c>
      <c r="I133">
        <f>SUMIF(DATA!$A:$A,PPL!$A133,DATA!G:G)</f>
        <v>0</v>
      </c>
      <c r="J133">
        <f>SUMIF(DATA!$A:$A,PPL!$A133,DATA!H:H)</f>
        <v>4</v>
      </c>
      <c r="K133">
        <f>SUMIF(DATA!$A:$A,PPL!$A133,DATA!I:I)</f>
        <v>0</v>
      </c>
      <c r="L133">
        <f>SUMIF(DATA!$A:$A,PPL!$A133,DATA!J:J)</f>
        <v>0</v>
      </c>
      <c r="M133">
        <f t="shared" si="4"/>
        <v>257</v>
      </c>
      <c r="N133" s="3">
        <f t="shared" si="5"/>
        <v>40.472440944881889</v>
      </c>
    </row>
    <row r="134" spans="1:14" x14ac:dyDescent="0.25">
      <c r="A134" t="s">
        <v>139</v>
      </c>
      <c r="B134" t="s">
        <v>378</v>
      </c>
      <c r="C134" t="s">
        <v>179</v>
      </c>
      <c r="D134" t="str">
        <f>VLOOKUP(C134,PML!A:B,2,0)</f>
        <v>Saul</v>
      </c>
      <c r="E134">
        <f>SUMIF(DATA!$A:$A,PPL!$A134,DATA!C:C)</f>
        <v>550</v>
      </c>
      <c r="F134">
        <f>SUMIF(DATA!$A:$A,PPL!$A134,DATA!D:D)</f>
        <v>215</v>
      </c>
      <c r="G134">
        <f>SUMIF(DATA!$A:$A,PPL!$A134,DATA!E:E)</f>
        <v>25</v>
      </c>
      <c r="H134">
        <f>SUMIF(DATA!$A:$A,PPL!$A134,DATA!F:F)</f>
        <v>290</v>
      </c>
      <c r="I134">
        <f>SUMIF(DATA!$A:$A,PPL!$A134,DATA!G:G)</f>
        <v>2</v>
      </c>
      <c r="J134">
        <f>SUMIF(DATA!$A:$A,PPL!$A134,DATA!H:H)</f>
        <v>0</v>
      </c>
      <c r="K134">
        <f>SUMIF(DATA!$A:$A,PPL!$A134,DATA!I:I)</f>
        <v>18</v>
      </c>
      <c r="L134">
        <f>SUMIF(DATA!$A:$A,PPL!$A134,DATA!J:J)</f>
        <v>0</v>
      </c>
      <c r="M134">
        <f t="shared" si="4"/>
        <v>235</v>
      </c>
      <c r="N134" s="3">
        <f t="shared" si="5"/>
        <v>42.727272727272727</v>
      </c>
    </row>
    <row r="135" spans="1:14" x14ac:dyDescent="0.25">
      <c r="A135" t="s">
        <v>140</v>
      </c>
      <c r="B135" t="s">
        <v>379</v>
      </c>
      <c r="C135" t="s">
        <v>179</v>
      </c>
      <c r="D135" t="str">
        <f>VLOOKUP(C135,PML!A:B,2,0)</f>
        <v>Saul</v>
      </c>
      <c r="E135">
        <f>SUMIF(DATA!$A:$A,PPL!$A135,DATA!C:C)</f>
        <v>648</v>
      </c>
      <c r="F135">
        <f>SUMIF(DATA!$A:$A,PPL!$A135,DATA!D:D)</f>
        <v>311</v>
      </c>
      <c r="G135">
        <f>SUMIF(DATA!$A:$A,PPL!$A135,DATA!E:E)</f>
        <v>5</v>
      </c>
      <c r="H135">
        <f>SUMIF(DATA!$A:$A,PPL!$A135,DATA!F:F)</f>
        <v>297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35</v>
      </c>
      <c r="L135">
        <f>SUMIF(DATA!$A:$A,PPL!$A135,DATA!J:J)</f>
        <v>0</v>
      </c>
      <c r="M135">
        <f t="shared" si="4"/>
        <v>346</v>
      </c>
      <c r="N135" s="3">
        <f t="shared" si="5"/>
        <v>53.395061728395063</v>
      </c>
    </row>
    <row r="136" spans="1:14" x14ac:dyDescent="0.25">
      <c r="A136" t="s">
        <v>141</v>
      </c>
      <c r="B136" t="s">
        <v>380</v>
      </c>
      <c r="C136" t="s">
        <v>179</v>
      </c>
      <c r="D136" t="str">
        <f>VLOOKUP(C136,PML!A:B,2,0)</f>
        <v>Saul</v>
      </c>
      <c r="E136">
        <f>SUMIF(DATA!$A:$A,PPL!$A136,DATA!C:C)</f>
        <v>625</v>
      </c>
      <c r="F136">
        <f>SUMIF(DATA!$A:$A,PPL!$A136,DATA!D:D)</f>
        <v>282</v>
      </c>
      <c r="G136">
        <f>SUMIF(DATA!$A:$A,PPL!$A136,DATA!E:E)</f>
        <v>55</v>
      </c>
      <c r="H136">
        <f>SUMIF(DATA!$A:$A,PPL!$A136,DATA!F:F)</f>
        <v>236</v>
      </c>
      <c r="I136">
        <f>SUMIF(DATA!$A:$A,PPL!$A136,DATA!G:G)</f>
        <v>17</v>
      </c>
      <c r="J136">
        <f>SUMIF(DATA!$A:$A,PPL!$A136,DATA!H:H)</f>
        <v>0</v>
      </c>
      <c r="K136">
        <f>SUMIF(DATA!$A:$A,PPL!$A136,DATA!I:I)</f>
        <v>35</v>
      </c>
      <c r="L136">
        <f>SUMIF(DATA!$A:$A,PPL!$A136,DATA!J:J)</f>
        <v>0</v>
      </c>
      <c r="M136">
        <f t="shared" si="4"/>
        <v>334</v>
      </c>
      <c r="N136" s="3">
        <f t="shared" si="5"/>
        <v>53.44</v>
      </c>
    </row>
    <row r="137" spans="1:14" x14ac:dyDescent="0.25">
      <c r="A137" t="s">
        <v>142</v>
      </c>
      <c r="B137" t="s">
        <v>381</v>
      </c>
      <c r="C137" t="s">
        <v>179</v>
      </c>
      <c r="D137" t="str">
        <f>VLOOKUP(C137,PML!A:B,2,0)</f>
        <v>Saul</v>
      </c>
      <c r="E137">
        <f>SUMIF(DATA!$A:$A,PPL!$A137,DATA!C:C)</f>
        <v>712</v>
      </c>
      <c r="F137">
        <f>SUMIF(DATA!$A:$A,PPL!$A137,DATA!D:D)</f>
        <v>316</v>
      </c>
      <c r="G137">
        <f>SUMIF(DATA!$A:$A,PPL!$A137,DATA!E:E)</f>
        <v>14</v>
      </c>
      <c r="H137">
        <f>SUMIF(DATA!$A:$A,PPL!$A137,DATA!F:F)</f>
        <v>376</v>
      </c>
      <c r="I137">
        <f>SUMIF(DATA!$A:$A,PPL!$A137,DATA!G:G)</f>
        <v>6</v>
      </c>
      <c r="J137">
        <f>SUMIF(DATA!$A:$A,PPL!$A137,DATA!H:H)</f>
        <v>0</v>
      </c>
      <c r="K137">
        <f>SUMIF(DATA!$A:$A,PPL!$A137,DATA!I:I)</f>
        <v>0</v>
      </c>
      <c r="L137">
        <f>SUMIF(DATA!$A:$A,PPL!$A137,DATA!J:J)</f>
        <v>0</v>
      </c>
      <c r="M137">
        <f t="shared" si="4"/>
        <v>322</v>
      </c>
      <c r="N137" s="3">
        <f t="shared" si="5"/>
        <v>45.224719101123597</v>
      </c>
    </row>
    <row r="138" spans="1:14" x14ac:dyDescent="0.25">
      <c r="A138" t="s">
        <v>388</v>
      </c>
      <c r="B138" t="s">
        <v>391</v>
      </c>
      <c r="C138" t="s">
        <v>170</v>
      </c>
      <c r="D138" t="str">
        <f>VLOOKUP(C138,PML!A:B,2,0)</f>
        <v>Iska</v>
      </c>
      <c r="E138">
        <f>SUMIF(DATA!$A:$A,PPL!$A138,DATA!C:C)</f>
        <v>764</v>
      </c>
      <c r="F138">
        <f>SUMIF(DATA!$A:$A,PPL!$A138,DATA!D:D)</f>
        <v>246</v>
      </c>
      <c r="G138">
        <f>SUMIF(DATA!$A:$A,PPL!$A138,DATA!E:E)</f>
        <v>21</v>
      </c>
      <c r="H138">
        <f>SUMIF(DATA!$A:$A,PPL!$A138,DATA!F:F)</f>
        <v>428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69</v>
      </c>
      <c r="L138">
        <f>SUMIF(DATA!$A:$A,PPL!$A138,DATA!J:J)</f>
        <v>0</v>
      </c>
      <c r="M138">
        <f t="shared" si="4"/>
        <v>315</v>
      </c>
      <c r="N138" s="3">
        <f t="shared" si="5"/>
        <v>41.230366492146601</v>
      </c>
    </row>
    <row r="139" spans="1:14" x14ac:dyDescent="0.25">
      <c r="A139" t="s">
        <v>389</v>
      </c>
      <c r="B139" t="s">
        <v>390</v>
      </c>
      <c r="C139" t="s">
        <v>180</v>
      </c>
      <c r="D139" t="str">
        <f>VLOOKUP(C139,PML!A:B,2,0)</f>
        <v>Alfian</v>
      </c>
      <c r="E139">
        <f>SUMIF(DATA!$A:$A,PPL!$A139,DATA!C:C)</f>
        <v>833</v>
      </c>
      <c r="F139">
        <f>SUMIF(DATA!$A:$A,PPL!$A139,DATA!D:D)</f>
        <v>364</v>
      </c>
      <c r="G139">
        <f>SUMIF(DATA!$A:$A,PPL!$A139,DATA!E:E)</f>
        <v>18</v>
      </c>
      <c r="H139">
        <f>SUMIF(DATA!$A:$A,PPL!$A139,DATA!F:F)</f>
        <v>421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30</v>
      </c>
      <c r="L139">
        <f>SUMIF(DATA!$A:$A,PPL!$A139,DATA!J:J)</f>
        <v>0</v>
      </c>
      <c r="M139">
        <f t="shared" si="4"/>
        <v>394</v>
      </c>
      <c r="N139" s="3">
        <f t="shared" si="5"/>
        <v>47.298919567827127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382</v>
      </c>
      <c r="L1" t="s">
        <v>397</v>
      </c>
    </row>
    <row r="2" spans="1:12" x14ac:dyDescent="0.25">
      <c r="A2" t="s">
        <v>162</v>
      </c>
      <c r="B2" t="s">
        <v>198</v>
      </c>
      <c r="C2">
        <f>SUMIF(PPL!$C:$C,PML!$A2,PPL!E:E)</f>
        <v>4559</v>
      </c>
      <c r="D2">
        <f>SUMIF(PPL!$C:$C,PML!$A2,PPL!F:F)</f>
        <v>2035</v>
      </c>
      <c r="E2">
        <f>SUMIF(PPL!$C:$C,PML!$A2,PPL!G:G)</f>
        <v>39</v>
      </c>
      <c r="F2">
        <f>SUMIF(PPL!$C:$C,PML!$A2,PPL!H:H)</f>
        <v>2173</v>
      </c>
      <c r="G2">
        <f>SUMIF(PPL!$C:$C,PML!$A2,PPL!I:I)</f>
        <v>9</v>
      </c>
      <c r="H2">
        <f>SUMIF(PPL!$C:$C,PML!$A2,PPL!J:J)</f>
        <v>0</v>
      </c>
      <c r="I2">
        <f>SUMIF(PPL!$C:$C,PML!$A2,PPL!K:K)</f>
        <v>303</v>
      </c>
      <c r="J2">
        <f>SUMIF(PPL!$C:$C,PML!$A2,PPL!L:L)</f>
        <v>0</v>
      </c>
      <c r="K2">
        <f>D2</f>
        <v>2035</v>
      </c>
      <c r="L2" s="3">
        <f>(SUM(D2)/C2)*100</f>
        <v>44.636981794253131</v>
      </c>
    </row>
    <row r="3" spans="1:12" x14ac:dyDescent="0.25">
      <c r="A3" t="s">
        <v>163</v>
      </c>
      <c r="B3" t="s">
        <v>187</v>
      </c>
      <c r="C3">
        <f>SUMIF(PPL!$C:$C,PML!$A3,PPL!E:E)</f>
        <v>4564</v>
      </c>
      <c r="D3">
        <f>SUMIF(PPL!$C:$C,PML!$A3,PPL!F:F)</f>
        <v>2272</v>
      </c>
      <c r="E3">
        <f>SUMIF(PPL!$C:$C,PML!$A3,PPL!G:G)</f>
        <v>43</v>
      </c>
      <c r="F3">
        <f>SUMIF(PPL!$C:$C,PML!$A3,PPL!H:H)</f>
        <v>2041</v>
      </c>
      <c r="G3">
        <f>SUMIF(PPL!$C:$C,PML!$A3,PPL!I:I)</f>
        <v>9</v>
      </c>
      <c r="H3">
        <f>SUMIF(PPL!$C:$C,PML!$A3,PPL!J:J)</f>
        <v>1</v>
      </c>
      <c r="I3">
        <f>SUMIF(PPL!$C:$C,PML!$A3,PPL!K:K)</f>
        <v>198</v>
      </c>
      <c r="J3">
        <f>SUMIF(PPL!$C:$C,PML!$A3,PPL!L:L)</f>
        <v>0</v>
      </c>
      <c r="K3">
        <f t="shared" ref="K3:K20" si="0">D3</f>
        <v>2272</v>
      </c>
      <c r="L3" s="3">
        <f t="shared" ref="L3:L20" si="1">(SUM(D3)/C3)*100</f>
        <v>49.780893952673097</v>
      </c>
    </row>
    <row r="4" spans="1:12" x14ac:dyDescent="0.25">
      <c r="A4" t="s">
        <v>164</v>
      </c>
      <c r="B4" t="s">
        <v>190</v>
      </c>
      <c r="C4">
        <f>SUMIF(PPL!$C:$C,PML!$A4,PPL!E:E)</f>
        <v>4747</v>
      </c>
      <c r="D4">
        <f>SUMIF(PPL!$C:$C,PML!$A4,PPL!F:F)</f>
        <v>2114</v>
      </c>
      <c r="E4">
        <f>SUMIF(PPL!$C:$C,PML!$A4,PPL!G:G)</f>
        <v>130</v>
      </c>
      <c r="F4">
        <f>SUMIF(PPL!$C:$C,PML!$A4,PPL!H:H)</f>
        <v>2346</v>
      </c>
      <c r="G4">
        <f>SUMIF(PPL!$C:$C,PML!$A4,PPL!I:I)</f>
        <v>33</v>
      </c>
      <c r="H4">
        <f>SUMIF(PPL!$C:$C,PML!$A4,PPL!J:J)</f>
        <v>0</v>
      </c>
      <c r="I4">
        <f>SUMIF(PPL!$C:$C,PML!$A4,PPL!K:K)</f>
        <v>123</v>
      </c>
      <c r="J4">
        <f>SUMIF(PPL!$C:$C,PML!$A4,PPL!L:L)</f>
        <v>1</v>
      </c>
      <c r="K4">
        <f t="shared" si="0"/>
        <v>2114</v>
      </c>
      <c r="L4" s="3">
        <f t="shared" si="1"/>
        <v>44.533389509163683</v>
      </c>
    </row>
    <row r="5" spans="1:12" x14ac:dyDescent="0.25">
      <c r="A5" t="s">
        <v>165</v>
      </c>
      <c r="B5" t="s">
        <v>181</v>
      </c>
      <c r="C5">
        <f>SUMIF(PPL!$C:$C,PML!$A5,PPL!E:E)</f>
        <v>5647</v>
      </c>
      <c r="D5">
        <f>SUMIF(PPL!$C:$C,PML!$A5,PPL!F:F)</f>
        <v>2383</v>
      </c>
      <c r="E5">
        <f>SUMIF(PPL!$C:$C,PML!$A5,PPL!G:G)</f>
        <v>376</v>
      </c>
      <c r="F5">
        <f>SUMIF(PPL!$C:$C,PML!$A5,PPL!H:H)</f>
        <v>2735</v>
      </c>
      <c r="G5">
        <f>SUMIF(PPL!$C:$C,PML!$A5,PPL!I:I)</f>
        <v>59</v>
      </c>
      <c r="H5">
        <f>SUMIF(PPL!$C:$C,PML!$A5,PPL!J:J)</f>
        <v>7</v>
      </c>
      <c r="I5">
        <f>SUMIF(PPL!$C:$C,PML!$A5,PPL!K:K)</f>
        <v>87</v>
      </c>
      <c r="J5">
        <f>SUMIF(PPL!$C:$C,PML!$A5,PPL!L:L)</f>
        <v>0</v>
      </c>
      <c r="K5">
        <f t="shared" si="0"/>
        <v>2383</v>
      </c>
      <c r="L5" s="3">
        <f t="shared" si="1"/>
        <v>42.1993979103949</v>
      </c>
    </row>
    <row r="6" spans="1:12" x14ac:dyDescent="0.25">
      <c r="A6" t="s">
        <v>166</v>
      </c>
      <c r="B6" t="s">
        <v>189</v>
      </c>
      <c r="C6">
        <f>SUMIF(PPL!$C:$C,PML!$A6,PPL!E:E)</f>
        <v>5068</v>
      </c>
      <c r="D6">
        <f>SUMIF(PPL!$C:$C,PML!$A6,PPL!F:F)</f>
        <v>2271</v>
      </c>
      <c r="E6">
        <f>SUMIF(PPL!$C:$C,PML!$A6,PPL!G:G)</f>
        <v>148</v>
      </c>
      <c r="F6">
        <f>SUMIF(PPL!$C:$C,PML!$A6,PPL!H:H)</f>
        <v>2588</v>
      </c>
      <c r="G6">
        <f>SUMIF(PPL!$C:$C,PML!$A6,PPL!I:I)</f>
        <v>27</v>
      </c>
      <c r="H6">
        <f>SUMIF(PPL!$C:$C,PML!$A6,PPL!J:J)</f>
        <v>2</v>
      </c>
      <c r="I6">
        <f>SUMIF(PPL!$C:$C,PML!$A6,PPL!K:K)</f>
        <v>32</v>
      </c>
      <c r="J6">
        <f>SUMIF(PPL!$C:$C,PML!$A6,PPL!L:L)</f>
        <v>0</v>
      </c>
      <c r="K6">
        <f t="shared" si="0"/>
        <v>2271</v>
      </c>
      <c r="L6" s="3">
        <f t="shared" si="1"/>
        <v>44.81057616416733</v>
      </c>
    </row>
    <row r="7" spans="1:12" x14ac:dyDescent="0.25">
      <c r="A7" t="s">
        <v>167</v>
      </c>
      <c r="B7" t="s">
        <v>182</v>
      </c>
      <c r="C7">
        <f>SUMIF(PPL!$C:$C,PML!$A7,PPL!E:E)</f>
        <v>5482</v>
      </c>
      <c r="D7">
        <f>SUMIF(PPL!$C:$C,PML!$A7,PPL!F:F)</f>
        <v>2024</v>
      </c>
      <c r="E7">
        <f>SUMIF(PPL!$C:$C,PML!$A7,PPL!G:G)</f>
        <v>161</v>
      </c>
      <c r="F7">
        <f>SUMIF(PPL!$C:$C,PML!$A7,PPL!H:H)</f>
        <v>2691</v>
      </c>
      <c r="G7">
        <f>SUMIF(PPL!$C:$C,PML!$A7,PPL!I:I)</f>
        <v>31</v>
      </c>
      <c r="H7">
        <f>SUMIF(PPL!$C:$C,PML!$A7,PPL!J:J)</f>
        <v>4</v>
      </c>
      <c r="I7">
        <f>SUMIF(PPL!$C:$C,PML!$A7,PPL!K:K)</f>
        <v>570</v>
      </c>
      <c r="J7">
        <f>SUMIF(PPL!$C:$C,PML!$A7,PPL!L:L)</f>
        <v>1</v>
      </c>
      <c r="K7">
        <f t="shared" si="0"/>
        <v>2024</v>
      </c>
      <c r="L7" s="3">
        <f t="shared" si="1"/>
        <v>36.92083181320686</v>
      </c>
    </row>
    <row r="8" spans="1:12" x14ac:dyDescent="0.25">
      <c r="A8" t="s">
        <v>168</v>
      </c>
      <c r="B8" t="s">
        <v>197</v>
      </c>
      <c r="C8">
        <f>SUMIF(PPL!$C:$C,PML!$A8,PPL!E:E)</f>
        <v>5196</v>
      </c>
      <c r="D8">
        <f>SUMIF(PPL!$C:$C,PML!$A8,PPL!F:F)</f>
        <v>2054</v>
      </c>
      <c r="E8">
        <f>SUMIF(PPL!$C:$C,PML!$A8,PPL!G:G)</f>
        <v>156</v>
      </c>
      <c r="F8">
        <f>SUMIF(PPL!$C:$C,PML!$A8,PPL!H:H)</f>
        <v>2785</v>
      </c>
      <c r="G8">
        <f>SUMIF(PPL!$C:$C,PML!$A8,PPL!I:I)</f>
        <v>35</v>
      </c>
      <c r="H8">
        <f>SUMIF(PPL!$C:$C,PML!$A8,PPL!J:J)</f>
        <v>0</v>
      </c>
      <c r="I8">
        <f>SUMIF(PPL!$C:$C,PML!$A8,PPL!K:K)</f>
        <v>166</v>
      </c>
      <c r="J8">
        <f>SUMIF(PPL!$C:$C,PML!$A8,PPL!L:L)</f>
        <v>0</v>
      </c>
      <c r="K8">
        <f t="shared" si="0"/>
        <v>2054</v>
      </c>
      <c r="L8" s="3">
        <f t="shared" si="1"/>
        <v>39.530408006158588</v>
      </c>
    </row>
    <row r="9" spans="1:12" x14ac:dyDescent="0.25">
      <c r="A9" t="s">
        <v>169</v>
      </c>
      <c r="B9" t="s">
        <v>199</v>
      </c>
      <c r="C9">
        <f>SUMIF(PPL!$C:$C,PML!$A9,PPL!E:E)</f>
        <v>5334</v>
      </c>
      <c r="D9">
        <f>SUMIF(PPL!$C:$C,PML!$A9,PPL!F:F)</f>
        <v>2148</v>
      </c>
      <c r="E9">
        <f>SUMIF(PPL!$C:$C,PML!$A9,PPL!G:G)</f>
        <v>190</v>
      </c>
      <c r="F9">
        <f>SUMIF(PPL!$C:$C,PML!$A9,PPL!H:H)</f>
        <v>2710</v>
      </c>
      <c r="G9">
        <f>SUMIF(PPL!$C:$C,PML!$A9,PPL!I:I)</f>
        <v>7</v>
      </c>
      <c r="H9">
        <f>SUMIF(PPL!$C:$C,PML!$A9,PPL!J:J)</f>
        <v>1</v>
      </c>
      <c r="I9">
        <f>SUMIF(PPL!$C:$C,PML!$A9,PPL!K:K)</f>
        <v>278</v>
      </c>
      <c r="J9">
        <f>SUMIF(PPL!$C:$C,PML!$A9,PPL!L:L)</f>
        <v>0</v>
      </c>
      <c r="K9">
        <f t="shared" si="0"/>
        <v>2148</v>
      </c>
      <c r="L9" s="3">
        <f t="shared" si="1"/>
        <v>40.269966254218218</v>
      </c>
    </row>
    <row r="10" spans="1:12" x14ac:dyDescent="0.25">
      <c r="A10" t="s">
        <v>170</v>
      </c>
      <c r="B10" t="s">
        <v>196</v>
      </c>
      <c r="C10">
        <f>SUMIF(PPL!$C:$C,PML!$A10,PPL!E:E)</f>
        <v>5249</v>
      </c>
      <c r="D10">
        <f>SUMIF(PPL!$C:$C,PML!$A10,PPL!F:F)</f>
        <v>1999</v>
      </c>
      <c r="E10">
        <f>SUMIF(PPL!$C:$C,PML!$A10,PPL!G:G)</f>
        <v>99</v>
      </c>
      <c r="F10">
        <f>SUMIF(PPL!$C:$C,PML!$A10,PPL!H:H)</f>
        <v>2586</v>
      </c>
      <c r="G10">
        <f>SUMIF(PPL!$C:$C,PML!$A10,PPL!I:I)</f>
        <v>15</v>
      </c>
      <c r="H10">
        <f>SUMIF(PPL!$C:$C,PML!$A10,PPL!J:J)</f>
        <v>1</v>
      </c>
      <c r="I10">
        <f>SUMIF(PPL!$C:$C,PML!$A10,PPL!K:K)</f>
        <v>549</v>
      </c>
      <c r="J10">
        <f>SUMIF(PPL!$C:$C,PML!$A10,PPL!L:L)</f>
        <v>0</v>
      </c>
      <c r="K10">
        <f t="shared" si="0"/>
        <v>1999</v>
      </c>
      <c r="L10" s="3">
        <f t="shared" si="1"/>
        <v>38.083444465612502</v>
      </c>
    </row>
    <row r="11" spans="1:12" x14ac:dyDescent="0.25">
      <c r="A11" t="s">
        <v>171</v>
      </c>
      <c r="B11" t="s">
        <v>195</v>
      </c>
      <c r="C11">
        <f>SUMIF(PPL!$C:$C,PML!$A11,PPL!E:E)</f>
        <v>3977</v>
      </c>
      <c r="D11">
        <f>SUMIF(PPL!$C:$C,PML!$A11,PPL!F:F)</f>
        <v>1664</v>
      </c>
      <c r="E11">
        <f>SUMIF(PPL!$C:$C,PML!$A11,PPL!G:G)</f>
        <v>118</v>
      </c>
      <c r="F11">
        <f>SUMIF(PPL!$C:$C,PML!$A11,PPL!H:H)</f>
        <v>2065</v>
      </c>
      <c r="G11">
        <f>SUMIF(PPL!$C:$C,PML!$A11,PPL!I:I)</f>
        <v>6</v>
      </c>
      <c r="H11">
        <f>SUMIF(PPL!$C:$C,PML!$A11,PPL!J:J)</f>
        <v>11</v>
      </c>
      <c r="I11">
        <f>SUMIF(PPL!$C:$C,PML!$A11,PPL!K:K)</f>
        <v>113</v>
      </c>
      <c r="J11">
        <f>SUMIF(PPL!$C:$C,PML!$A11,PPL!L:L)</f>
        <v>0</v>
      </c>
      <c r="K11">
        <f t="shared" si="0"/>
        <v>1664</v>
      </c>
      <c r="L11" s="3">
        <f t="shared" si="1"/>
        <v>41.840583354287155</v>
      </c>
    </row>
    <row r="12" spans="1:12" x14ac:dyDescent="0.25">
      <c r="A12" t="s">
        <v>172</v>
      </c>
      <c r="B12" t="s">
        <v>193</v>
      </c>
      <c r="C12">
        <f>SUMIF(PPL!$C:$C,PML!$A12,PPL!E:E)</f>
        <v>3519</v>
      </c>
      <c r="D12">
        <f>SUMIF(PPL!$C:$C,PML!$A12,PPL!F:F)</f>
        <v>1516</v>
      </c>
      <c r="E12">
        <f>SUMIF(PPL!$C:$C,PML!$A12,PPL!G:G)</f>
        <v>76</v>
      </c>
      <c r="F12">
        <f>SUMIF(PPL!$C:$C,PML!$A12,PPL!H:H)</f>
        <v>1868</v>
      </c>
      <c r="G12">
        <f>SUMIF(PPL!$C:$C,PML!$A12,PPL!I:I)</f>
        <v>2</v>
      </c>
      <c r="H12">
        <f>SUMIF(PPL!$C:$C,PML!$A12,PPL!J:J)</f>
        <v>1</v>
      </c>
      <c r="I12">
        <f>SUMIF(PPL!$C:$C,PML!$A12,PPL!K:K)</f>
        <v>56</v>
      </c>
      <c r="J12">
        <f>SUMIF(PPL!$C:$C,PML!$A12,PPL!L:L)</f>
        <v>0</v>
      </c>
      <c r="K12">
        <f t="shared" si="0"/>
        <v>1516</v>
      </c>
      <c r="L12" s="3">
        <f t="shared" si="1"/>
        <v>43.080420574026711</v>
      </c>
    </row>
    <row r="13" spans="1:12" x14ac:dyDescent="0.25">
      <c r="A13" t="s">
        <v>173</v>
      </c>
      <c r="B13" t="s">
        <v>186</v>
      </c>
      <c r="C13">
        <f>SUMIF(PPL!$C:$C,PML!$A13,PPL!E:E)</f>
        <v>3946</v>
      </c>
      <c r="D13">
        <f>SUMIF(PPL!$C:$C,PML!$A13,PPL!F:F)</f>
        <v>1774</v>
      </c>
      <c r="E13">
        <f>SUMIF(PPL!$C:$C,PML!$A13,PPL!G:G)</f>
        <v>81</v>
      </c>
      <c r="F13">
        <f>SUMIF(PPL!$C:$C,PML!$A13,PPL!H:H)</f>
        <v>1961</v>
      </c>
      <c r="G13">
        <f>SUMIF(PPL!$C:$C,PML!$A13,PPL!I:I)</f>
        <v>5</v>
      </c>
      <c r="H13">
        <f>SUMIF(PPL!$C:$C,PML!$A13,PPL!J:J)</f>
        <v>5</v>
      </c>
      <c r="I13">
        <f>SUMIF(PPL!$C:$C,PML!$A13,PPL!K:K)</f>
        <v>120</v>
      </c>
      <c r="J13">
        <f>SUMIF(PPL!$C:$C,PML!$A13,PPL!L:L)</f>
        <v>0</v>
      </c>
      <c r="K13">
        <f t="shared" si="0"/>
        <v>1774</v>
      </c>
      <c r="L13" s="3">
        <f t="shared" si="1"/>
        <v>44.956918398378107</v>
      </c>
    </row>
    <row r="14" spans="1:12" x14ac:dyDescent="0.25">
      <c r="A14" t="s">
        <v>174</v>
      </c>
      <c r="B14" t="s">
        <v>185</v>
      </c>
      <c r="C14">
        <f>SUMIF(PPL!$C:$C,PML!$A14,PPL!E:E)</f>
        <v>3753</v>
      </c>
      <c r="D14">
        <f>SUMIF(PPL!$C:$C,PML!$A14,PPL!F:F)</f>
        <v>1655</v>
      </c>
      <c r="E14">
        <f>SUMIF(PPL!$C:$C,PML!$A14,PPL!G:G)</f>
        <v>126</v>
      </c>
      <c r="F14">
        <f>SUMIF(PPL!$C:$C,PML!$A14,PPL!H:H)</f>
        <v>1853</v>
      </c>
      <c r="G14">
        <f>SUMIF(PPL!$C:$C,PML!$A14,PPL!I:I)</f>
        <v>12</v>
      </c>
      <c r="H14">
        <f>SUMIF(PPL!$C:$C,PML!$A14,PPL!J:J)</f>
        <v>3</v>
      </c>
      <c r="I14">
        <f>SUMIF(PPL!$C:$C,PML!$A14,PPL!K:K)</f>
        <v>104</v>
      </c>
      <c r="J14">
        <f>SUMIF(PPL!$C:$C,PML!$A14,PPL!L:L)</f>
        <v>0</v>
      </c>
      <c r="K14">
        <f t="shared" si="0"/>
        <v>1655</v>
      </c>
      <c r="L14" s="3">
        <f t="shared" si="1"/>
        <v>44.098054889421796</v>
      </c>
    </row>
    <row r="15" spans="1:12" x14ac:dyDescent="0.25">
      <c r="A15" t="s">
        <v>175</v>
      </c>
      <c r="B15" t="s">
        <v>188</v>
      </c>
      <c r="C15">
        <f>SUMIF(PPL!$C:$C,PML!$A15,PPL!E:E)</f>
        <v>4181</v>
      </c>
      <c r="D15">
        <f>SUMIF(PPL!$C:$C,PML!$A15,PPL!F:F)</f>
        <v>1688</v>
      </c>
      <c r="E15">
        <f>SUMIF(PPL!$C:$C,PML!$A15,PPL!G:G)</f>
        <v>189</v>
      </c>
      <c r="F15">
        <f>SUMIF(PPL!$C:$C,PML!$A15,PPL!H:H)</f>
        <v>2113</v>
      </c>
      <c r="G15">
        <f>SUMIF(PPL!$C:$C,PML!$A15,PPL!I:I)</f>
        <v>11</v>
      </c>
      <c r="H15">
        <f>SUMIF(PPL!$C:$C,PML!$A15,PPL!J:J)</f>
        <v>0</v>
      </c>
      <c r="I15">
        <f>SUMIF(PPL!$C:$C,PML!$A15,PPL!K:K)</f>
        <v>180</v>
      </c>
      <c r="J15">
        <f>SUMIF(PPL!$C:$C,PML!$A15,PPL!L:L)</f>
        <v>0</v>
      </c>
      <c r="K15">
        <f t="shared" si="0"/>
        <v>1688</v>
      </c>
      <c r="L15" s="3">
        <f t="shared" si="1"/>
        <v>40.373116479311172</v>
      </c>
    </row>
    <row r="16" spans="1:12" x14ac:dyDescent="0.25">
      <c r="A16" t="s">
        <v>176</v>
      </c>
      <c r="B16" t="s">
        <v>194</v>
      </c>
      <c r="C16">
        <f>SUMIF(PPL!$C:$C,PML!$A16,PPL!E:E)</f>
        <v>4657</v>
      </c>
      <c r="D16">
        <f>SUMIF(PPL!$C:$C,PML!$A16,PPL!F:F)</f>
        <v>2312</v>
      </c>
      <c r="E16">
        <f>SUMIF(PPL!$C:$C,PML!$A16,PPL!G:G)</f>
        <v>311</v>
      </c>
      <c r="F16">
        <f>SUMIF(PPL!$C:$C,PML!$A16,PPL!H:H)</f>
        <v>1949</v>
      </c>
      <c r="G16">
        <f>SUMIF(PPL!$C:$C,PML!$A16,PPL!I:I)</f>
        <v>56</v>
      </c>
      <c r="H16">
        <f>SUMIF(PPL!$C:$C,PML!$A16,PPL!J:J)</f>
        <v>0</v>
      </c>
      <c r="I16">
        <f>SUMIF(PPL!$C:$C,PML!$A16,PPL!K:K)</f>
        <v>29</v>
      </c>
      <c r="J16">
        <f>SUMIF(PPL!$C:$C,PML!$A16,PPL!L:L)</f>
        <v>0</v>
      </c>
      <c r="K16">
        <f t="shared" si="0"/>
        <v>2312</v>
      </c>
      <c r="L16" s="3">
        <f t="shared" si="1"/>
        <v>49.645694653210221</v>
      </c>
    </row>
    <row r="17" spans="1:12" x14ac:dyDescent="0.25">
      <c r="A17" t="s">
        <v>177</v>
      </c>
      <c r="B17" t="s">
        <v>192</v>
      </c>
      <c r="C17">
        <f>SUMIF(PPL!$C:$C,PML!$A17,PPL!E:E)</f>
        <v>4586</v>
      </c>
      <c r="D17">
        <f>SUMIF(PPL!$C:$C,PML!$A17,PPL!F:F)</f>
        <v>2083</v>
      </c>
      <c r="E17">
        <f>SUMIF(PPL!$C:$C,PML!$A17,PPL!G:G)</f>
        <v>228</v>
      </c>
      <c r="F17">
        <f>SUMIF(PPL!$C:$C,PML!$A17,PPL!H:H)</f>
        <v>2048</v>
      </c>
      <c r="G17">
        <f>SUMIF(PPL!$C:$C,PML!$A17,PPL!I:I)</f>
        <v>103</v>
      </c>
      <c r="H17">
        <f>SUMIF(PPL!$C:$C,PML!$A17,PPL!J:J)</f>
        <v>10</v>
      </c>
      <c r="I17">
        <f>SUMIF(PPL!$C:$C,PML!$A17,PPL!K:K)</f>
        <v>114</v>
      </c>
      <c r="J17">
        <f>SUMIF(PPL!$C:$C,PML!$A17,PPL!L:L)</f>
        <v>0</v>
      </c>
      <c r="K17">
        <f t="shared" si="0"/>
        <v>2083</v>
      </c>
      <c r="L17" s="3">
        <f t="shared" si="1"/>
        <v>45.420846053205409</v>
      </c>
    </row>
    <row r="18" spans="1:12" x14ac:dyDescent="0.25">
      <c r="A18" t="s">
        <v>178</v>
      </c>
      <c r="B18" t="s">
        <v>191</v>
      </c>
      <c r="C18">
        <f>SUMIF(PPL!$C:$C,PML!$A18,PPL!E:E)</f>
        <v>4406</v>
      </c>
      <c r="D18">
        <f>SUMIF(PPL!$C:$C,PML!$A18,PPL!F:F)</f>
        <v>2105</v>
      </c>
      <c r="E18">
        <f>SUMIF(PPL!$C:$C,PML!$A18,PPL!G:G)</f>
        <v>118</v>
      </c>
      <c r="F18">
        <f>SUMIF(PPL!$C:$C,PML!$A18,PPL!H:H)</f>
        <v>2125</v>
      </c>
      <c r="G18">
        <f>SUMIF(PPL!$C:$C,PML!$A18,PPL!I:I)</f>
        <v>35</v>
      </c>
      <c r="H18">
        <f>SUMIF(PPL!$C:$C,PML!$A18,PPL!J:J)</f>
        <v>2</v>
      </c>
      <c r="I18">
        <f>SUMIF(PPL!$C:$C,PML!$A18,PPL!K:K)</f>
        <v>21</v>
      </c>
      <c r="J18">
        <f>SUMIF(PPL!$C:$C,PML!$A18,PPL!L:L)</f>
        <v>0</v>
      </c>
      <c r="K18">
        <f t="shared" si="0"/>
        <v>2105</v>
      </c>
      <c r="L18" s="3">
        <f t="shared" si="1"/>
        <v>47.775760326827054</v>
      </c>
    </row>
    <row r="19" spans="1:12" x14ac:dyDescent="0.25">
      <c r="A19" t="s">
        <v>179</v>
      </c>
      <c r="B19" t="s">
        <v>184</v>
      </c>
      <c r="C19">
        <f>SUMIF(PPL!$C:$C,PML!$A19,PPL!E:E)</f>
        <v>3836</v>
      </c>
      <c r="D19">
        <f>SUMIF(PPL!$C:$C,PML!$A19,PPL!F:F)</f>
        <v>1566</v>
      </c>
      <c r="E19">
        <f>SUMIF(PPL!$C:$C,PML!$A19,PPL!G:G)</f>
        <v>153</v>
      </c>
      <c r="F19">
        <f>SUMIF(PPL!$C:$C,PML!$A19,PPL!H:H)</f>
        <v>1884</v>
      </c>
      <c r="G19">
        <f>SUMIF(PPL!$C:$C,PML!$A19,PPL!I:I)</f>
        <v>26</v>
      </c>
      <c r="H19">
        <f>SUMIF(PPL!$C:$C,PML!$A19,PPL!J:J)</f>
        <v>2</v>
      </c>
      <c r="I19">
        <f>SUMIF(PPL!$C:$C,PML!$A19,PPL!K:K)</f>
        <v>205</v>
      </c>
      <c r="J19">
        <f>SUMIF(PPL!$C:$C,PML!$A19,PPL!L:L)</f>
        <v>0</v>
      </c>
      <c r="K19">
        <f t="shared" si="0"/>
        <v>1566</v>
      </c>
      <c r="L19" s="3">
        <f t="shared" si="1"/>
        <v>40.823774765380605</v>
      </c>
    </row>
    <row r="20" spans="1:12" x14ac:dyDescent="0.25">
      <c r="A20" t="s">
        <v>180</v>
      </c>
      <c r="B20" t="s">
        <v>183</v>
      </c>
      <c r="C20">
        <f>SUMIF(PPL!$C:$C,PML!$A20,PPL!E:E)</f>
        <v>5319</v>
      </c>
      <c r="D20">
        <f>SUMIF(PPL!$C:$C,PML!$A20,PPL!F:F)</f>
        <v>2165</v>
      </c>
      <c r="E20">
        <f>SUMIF(PPL!$C:$C,PML!$A20,PPL!G:G)</f>
        <v>110</v>
      </c>
      <c r="F20">
        <f>SUMIF(PPL!$C:$C,PML!$A20,PPL!H:H)</f>
        <v>2913</v>
      </c>
      <c r="G20">
        <f>SUMIF(PPL!$C:$C,PML!$A20,PPL!I:I)</f>
        <v>7</v>
      </c>
      <c r="H20">
        <f>SUMIF(PPL!$C:$C,PML!$A20,PPL!J:J)</f>
        <v>7</v>
      </c>
      <c r="I20">
        <f>SUMIF(PPL!$C:$C,PML!$A20,PPL!K:K)</f>
        <v>116</v>
      </c>
      <c r="J20">
        <f>SUMIF(PPL!$C:$C,PML!$A20,PPL!L:L)</f>
        <v>1</v>
      </c>
      <c r="K20">
        <f t="shared" si="0"/>
        <v>2165</v>
      </c>
      <c r="L20" s="3">
        <f t="shared" si="1"/>
        <v>40.703139687911261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5" sqref="F5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393</v>
      </c>
      <c r="B1" t="s">
        <v>394</v>
      </c>
      <c r="C1" t="s">
        <v>392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A2" sqref="A2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401</v>
      </c>
    </row>
    <row r="2" spans="1:1" x14ac:dyDescent="0.25">
      <c r="A2" s="1">
        <f ca="1">TODAY()-1</f>
        <v>46223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DATA</vt:lpstr>
      <vt:lpstr>region_summary (43)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2026-07-20T23:55:11Z</dcterms:modified>
</cp:coreProperties>
</file>