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1CBED241-EDBF-4223-AEED-E934984B83CF}" xr6:coauthVersionLast="47" xr6:coauthVersionMax="47" xr10:uidLastSave="{00000000-0000-0000-0000-000000000000}"/>
  <bookViews>
    <workbookView xWindow="0" yWindow="720" windowWidth="28800" windowHeight="15480" activeTab="3" xr2:uid="{00000000-000D-0000-FFFF-FFFF00000000}"/>
  </bookViews>
  <sheets>
    <sheet name="Sheet1" sheetId="1" r:id="rId1"/>
    <sheet name="DATA" sheetId="2" r:id="rId2"/>
    <sheet name="region_summary (24)" sheetId="18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1" hidden="1">DATA!$A$1:$J$1058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2" hidden="1">'region_summary (24)'!$A$1:$K$1058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N32" i="4" s="1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N35" i="4" s="1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N38" i="4" s="1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N41" i="4" s="1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N44" i="4" s="1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N47" i="4" s="1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N50" i="4" s="1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N53" i="4" s="1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N56" i="4" s="1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N59" i="4" s="1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N62" i="4" s="1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N65" i="4" s="1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N68" i="4" s="1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N71" i="4" s="1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N74" i="4" s="1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N77" i="4" s="1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N80" i="4" s="1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N83" i="4" s="1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N86" i="4" s="1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N89" i="4" s="1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N92" i="4" s="1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N95" i="4" s="1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N98" i="4" s="1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N101" i="4" s="1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N139" i="4" l="1"/>
  <c r="N138" i="4"/>
  <c r="N120" i="4"/>
  <c r="N117" i="4"/>
  <c r="N114" i="4"/>
  <c r="N111" i="4"/>
  <c r="N108" i="4"/>
  <c r="N105" i="4"/>
  <c r="N102" i="4"/>
  <c r="N99" i="4"/>
  <c r="N96" i="4"/>
  <c r="N93" i="4"/>
  <c r="N90" i="4"/>
  <c r="N87" i="4"/>
  <c r="N84" i="4"/>
  <c r="N81" i="4"/>
  <c r="N78" i="4"/>
  <c r="N75" i="4"/>
  <c r="N72" i="4"/>
  <c r="N69" i="4"/>
  <c r="N66" i="4"/>
  <c r="N63" i="4"/>
  <c r="N60" i="4"/>
  <c r="N57" i="4"/>
  <c r="N54" i="4"/>
  <c r="N51" i="4"/>
  <c r="N48" i="4"/>
  <c r="N45" i="4"/>
  <c r="N42" i="4"/>
  <c r="N39" i="4"/>
  <c r="N36" i="4"/>
  <c r="N33" i="4"/>
  <c r="N30" i="4"/>
  <c r="N27" i="4"/>
  <c r="N24" i="4"/>
  <c r="N21" i="4"/>
  <c r="N18" i="4"/>
  <c r="N15" i="4"/>
  <c r="N12" i="4"/>
  <c r="N9" i="4"/>
  <c r="N6" i="4"/>
  <c r="N3" i="4"/>
  <c r="N132" i="4"/>
  <c r="N126" i="4"/>
  <c r="N130" i="4"/>
  <c r="N127" i="4"/>
  <c r="N121" i="4"/>
  <c r="N115" i="4"/>
  <c r="N109" i="4"/>
  <c r="N103" i="4"/>
  <c r="N97" i="4"/>
  <c r="N136" i="4"/>
  <c r="N133" i="4"/>
  <c r="N124" i="4"/>
  <c r="N118" i="4"/>
  <c r="N112" i="4"/>
  <c r="N106" i="4"/>
  <c r="N100" i="4"/>
  <c r="N94" i="4"/>
  <c r="N2" i="4"/>
  <c r="N135" i="4"/>
  <c r="N129" i="4"/>
  <c r="N123" i="4"/>
  <c r="N91" i="4"/>
  <c r="N88" i="4"/>
  <c r="N85" i="4"/>
  <c r="N82" i="4"/>
  <c r="N79" i="4"/>
  <c r="N76" i="4"/>
  <c r="N73" i="4"/>
  <c r="N70" i="4"/>
  <c r="N67" i="4"/>
  <c r="N64" i="4"/>
  <c r="N61" i="4"/>
  <c r="N58" i="4"/>
  <c r="N55" i="4"/>
  <c r="N52" i="4"/>
  <c r="N49" i="4"/>
  <c r="N46" i="4"/>
  <c r="N43" i="4"/>
  <c r="N40" i="4"/>
  <c r="N37" i="4"/>
  <c r="N34" i="4"/>
  <c r="N31" i="4"/>
  <c r="N28" i="4"/>
  <c r="N25" i="4"/>
  <c r="N22" i="4"/>
  <c r="N19" i="4"/>
  <c r="N16" i="4"/>
  <c r="N13" i="4"/>
  <c r="N10" i="4"/>
  <c r="N7" i="4"/>
  <c r="N4" i="4"/>
  <c r="N137" i="4"/>
  <c r="N134" i="4"/>
  <c r="N131" i="4"/>
  <c r="N128" i="4"/>
  <c r="N125" i="4"/>
  <c r="N122" i="4"/>
  <c r="N119" i="4"/>
  <c r="N116" i="4"/>
  <c r="N113" i="4"/>
  <c r="N110" i="4"/>
  <c r="N107" i="4"/>
  <c r="N104" i="4"/>
  <c r="N29" i="4"/>
  <c r="N26" i="4"/>
  <c r="N23" i="4"/>
  <c r="N20" i="4"/>
  <c r="N17" i="4"/>
  <c r="N14" i="4"/>
  <c r="N11" i="4"/>
  <c r="N8" i="4"/>
  <c r="N5" i="4"/>
  <c r="M2" i="4"/>
  <c r="I2" i="5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G2" i="9"/>
  <c r="D15" i="5"/>
  <c r="D12" i="5"/>
  <c r="L19" i="5" l="1"/>
  <c r="L20" i="5"/>
  <c r="L4" i="5"/>
  <c r="L7" i="5"/>
  <c r="L12" i="5"/>
  <c r="L11" i="5"/>
  <c r="L16" i="5"/>
  <c r="L15" i="5"/>
  <c r="L6" i="5"/>
  <c r="L13" i="5"/>
  <c r="L14" i="5"/>
  <c r="L3" i="5"/>
  <c r="L2" i="5"/>
  <c r="L5" i="5"/>
  <c r="L8" i="5"/>
  <c r="L17" i="5"/>
  <c r="L18" i="5"/>
  <c r="L9" i="5"/>
  <c r="L10" i="5"/>
  <c r="K2" i="5"/>
  <c r="H86" i="9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G140" i="9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0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11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12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<sst xmlns="http://schemas.openxmlformats.org/spreadsheetml/2006/main" count="3653" uniqueCount="400">
  <si>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</si>
  <si>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</si>
  <si>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</si>
  <si>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</si>
  <si>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</si>
  <si>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</si>
  <si>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</si>
  <si>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</si>
  <si>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</si>
  <si>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</si>
  <si>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</si>
  <si>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</si>
  <si>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</si>
  <si>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</si>
  <si>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</si>
  <si>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</si>
  <si>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</si>
  <si>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</si>
  <si>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</si>
  <si>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</si>
  <si>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</si>
  <si>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</si>
  <si>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</si>
  <si>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</si>
  <si>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</si>
  <si>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</si>
  <si>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</si>
  <si>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</si>
  <si>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</si>
  <si>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</si>
  <si>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</si>
  <si>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</si>
  <si>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</si>
  <si>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</si>
  <si>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</si>
  <si>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</si>
  <si>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</si>
  <si>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</si>
  <si>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</si>
  <si>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</si>
  <si>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</si>
  <si>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</si>
  <si>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</si>
  <si>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</si>
  <si>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</si>
  <si>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</si>
  <si>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</si>
  <si>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</si>
  <si>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</si>
  <si>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</si>
  <si>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</si>
  <si>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</si>
  <si>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</si>
  <si>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</si>
  <si>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</si>
  <si>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</si>
  <si>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</si>
  <si>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</si>
  <si>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</si>
  <si>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</si>
  <si>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</si>
  <si>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</si>
  <si>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</si>
  <si>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</si>
  <si>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</si>
  <si>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</si>
  <si>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</si>
  <si>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</si>
  <si>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</si>
  <si>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</si>
  <si>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</si>
  <si>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</si>
  <si>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</si>
  <si>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</si>
  <si>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</si>
  <si>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</si>
  <si>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</si>
  <si>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</si>
  <si>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</si>
  <si>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</si>
  <si>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</si>
  <si>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</si>
  <si>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</si>
  <si>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</si>
  <si>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</si>
  <si>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</si>
  <si>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</si>
  <si>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</si>
  <si>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</si>
  <si>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</si>
  <si>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</si>
  <si>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</si>
  <si>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</si>
  <si>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</si>
  <si>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</si>
  <si>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</si>
  <si>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</si>
  <si>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</si>
  <si>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</si>
  <si>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</si>
  <si>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</si>
  <si>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</si>
  <si>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</si>
  <si>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</si>
  <si>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</si>
  <si>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</si>
  <si>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</si>
  <si>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</si>
  <si>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</si>
  <si>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</si>
  <si>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</si>
  <si>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</si>
  <si>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</si>
  <si>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</si>
  <si>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</si>
  <si>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</si>
  <si>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</si>
  <si>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</si>
  <si>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</si>
  <si>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</si>
  <si>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</si>
  <si>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</si>
  <si>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</si>
  <si>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</si>
  <si>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</si>
  <si>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</si>
  <si>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</si>
  <si>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</si>
  <si>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</si>
  <si>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</si>
  <si>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</si>
  <si>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</si>
  <si>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</si>
  <si>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</si>
  <si>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</si>
  <si>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</si>
  <si>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</si>
  <si>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</si>
  <si>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</si>
  <si>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</si>
  <si>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</si>
  <si>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</si>
  <si>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</si>
  <si>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</si>
  <si>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</si>
  <si>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</si>
  <si>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</si>
  <si>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</si>
  <si>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</si>
  <si>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</si>
  <si>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</si>
  <si>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</si>
  <si>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</si>
  <si>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</si>
  <si>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</si>
  <si>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</si>
  <si>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</si>
  <si>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</si>
  <si>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</si>
  <si>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</si>
  <si>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</si>
  <si>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</si>
  <si>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</si>
  <si>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</si>
  <si>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</si>
  <si>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</si>
  <si>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</si>
  <si>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</si>
  <si>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</si>
  <si>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</si>
  <si>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</si>
  <si>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</si>
  <si>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</si>
  <si>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</si>
  <si>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</si>
  <si>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</si>
  <si>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</si>
  <si>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</si>
  <si>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</si>
  <si>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</si>
  <si>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</si>
  <si>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</si>
  <si>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</si>
  <si>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</si>
  <si>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</si>
  <si>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</si>
  <si>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</si>
  <si>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</si>
  <si>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</si>
  <si>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</si>
  <si>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</si>
  <si>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</si>
  <si>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</si>
  <si>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</si>
  <si>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</si>
  <si>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</si>
  <si>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</si>
  <si>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</si>
  <si>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</si>
  <si>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</si>
  <si>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</si>
  <si>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</si>
  <si>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</si>
  <si>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</si>
  <si>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</si>
  <si>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</si>
  <si>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</si>
  <si>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</si>
  <si>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</si>
  <si>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</si>
  <si>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</si>
  <si>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</si>
  <si>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</si>
  <si>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</si>
  <si>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</si>
  <si>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</si>
  <si>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</si>
  <si>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</si>
  <si>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</si>
  <si>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</si>
  <si>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</si>
  <si>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</si>
  <si>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</si>
  <si>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</si>
  <si>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</si>
  <si>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</si>
  <si>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</si>
  <si>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</si>
  <si>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</si>
  <si>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</si>
  <si>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</si>
  <si>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</si>
  <si>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</si>
  <si>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</si>
  <si>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</si>
  <si>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</si>
  <si>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</si>
  <si>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</si>
  <si>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</si>
  <si>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</si>
  <si>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</si>
  <si>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</si>
  <si>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</si>
  <si>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</si>
  <si>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</si>
  <si>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</si>
  <si>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</si>
  <si>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</si>
  <si>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</si>
  <si>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</si>
  <si>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</si>
  <si>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</si>
  <si>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</si>
  <si>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</si>
  <si>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</si>
  <si>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</si>
  <si>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</si>
  <si>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</si>
  <si>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</si>
  <si>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</si>
  <si>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</si>
  <si>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</si>
  <si>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</si>
  <si>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</si>
  <si>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</si>
  <si>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</si>
  <si>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</si>
  <si>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</si>
  <si>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</si>
  <si>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</si>
  <si>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</si>
  <si>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</si>
  <si>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</si>
  <si>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</si>
  <si>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</si>
  <si>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</si>
  <si>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</si>
  <si>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</si>
  <si>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</si>
  <si>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</si>
  <si>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</si>
  <si>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</si>
  <si>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</si>
  <si>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</si>
  <si>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</si>
  <si>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</si>
  <si>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</si>
  <si>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</si>
  <si>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</si>
  <si>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</si>
  <si>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</si>
  <si>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</si>
  <si>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</si>
  <si>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</si>
  <si>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</si>
  <si>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</si>
  <si>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</si>
  <si>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</si>
  <si>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</si>
  <si>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</si>
  <si>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</si>
  <si>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</si>
  <si>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</si>
  <si>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</si>
  <si>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</si>
  <si>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</si>
  <si>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</si>
  <si>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</si>
  <si>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</si>
  <si>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</si>
  <si>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</si>
  <si>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</si>
  <si>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</si>
  <si>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</si>
  <si>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</si>
  <si>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</si>
  <si>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</si>
  <si>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</si>
  <si>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</si>
  <si>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</si>
  <si>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</si>
  <si>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</si>
  <si>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</si>
  <si>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</si>
  <si>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</si>
  <si>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</si>
  <si>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</si>
  <si>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</si>
  <si>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</si>
  <si>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</si>
  <si>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</si>
  <si>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</si>
  <si>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</si>
  <si>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</si>
  <si>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</si>
  <si>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</si>
  <si>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</si>
  <si>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</si>
  <si>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</si>
  <si>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</si>
  <si>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</si>
  <si>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</si>
  <si>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</si>
  <si>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</si>
  <si>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</si>
  <si>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</si>
  <si>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</si>
  <si>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</si>
  <si>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</si>
  <si>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</si>
  <si>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</si>
  <si>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</si>
  <si>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</si>
  <si>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</si>
  <si>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</si>
  <si>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</si>
  <si>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</si>
  <si>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</si>
  <si>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</si>
  <si>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</si>
  <si>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</si>
  <si>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</si>
  <si>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</si>
  <si>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</si>
  <si>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</si>
  <si>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</si>
  <si>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</si>
  <si>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</si>
  <si>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</si>
  <si>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</si>
  <si>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</si>
  <si>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</si>
  <si>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</si>
  <si>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</si>
  <si>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</si>
  <si>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</si>
  <si>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</si>
  <si>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</si>
  <si>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</si>
  <si>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</si>
  <si>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</si>
  <si>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</si>
  <si>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</si>
  <si>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</si>
  <si>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</si>
  <si>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</si>
  <si>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</si>
  <si>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</si>
  <si>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</si>
  <si>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</si>
  <si>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</si>
  <si>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</si>
  <si>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</si>
  <si>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</si>
  <si>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</si>
  <si>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</si>
  <si>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</si>
  <si>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</si>
  <si>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</si>
  <si>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Pengawas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</si>
</sst>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A52050E-9FB5-4B3C-AD6A-B35B84AEF0F3}" autoFormatId="16" applyNumberFormats="0" applyBorderFormats="0" applyFontFormats="0" applyPatternFormats="0" applyAlignmentFormats="0" applyWidthHeightFormats="0">
  <queryTableRefresh nextId="12">
    <queryTableFields count="11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Pengawas" tableColumnId="6"/>
      <queryTableField id="7" name="OPEN" tableColumnId="7"/>
      <queryTableField id="8" name="REJECTED BY Pengawas" tableColumnId="8"/>
      <queryTableField id="9" name="REVOKED BY Pengawas" tableColumnId="9"/>
      <queryTableField id="10" name="SUBMITTED BY Pencacah" tableColumnId="10"/>
      <queryTableField id="11" name="SUBMITTED RESPONDENT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2BBA75-92A9-45BF-957B-8169822BE988}" name="region_summary__24" displayName="region_summary__24" ref="A1:K1058" tableType="queryTable" totalsRowShown="0">
  <autoFilter ref="A1:K1058" xr:uid="{672BBA75-92A9-45BF-957B-8169822BE988}"/>
  <tableColumns count="11">
    <tableColumn id="1" xr3:uid="{66029F82-7BEF-4548-8E26-8ACD85A8B0CF}" uniqueName="1" name="email" queryTableFieldId="1" dataDxfId="0"/>
    <tableColumn id="2" xr3:uid="{C371B848-18DA-4C99-A8BF-FBF668AC600A}" uniqueName="2" name="regionCode" queryTableFieldId="2"/>
    <tableColumn id="3" xr3:uid="{E71AA67E-5E84-43D2-BFAE-4C05FFD9CEBC}" uniqueName="3" name="total" queryTableFieldId="3"/>
    <tableColumn id="4" xr3:uid="{59C9F788-24E3-4DB3-A6E8-E9BF28FECC3E}" uniqueName="4" name="APPROVED BY Pengawas" queryTableFieldId="4"/>
    <tableColumn id="5" xr3:uid="{8E6BED60-F4B3-41EE-B7D1-BCBAD0101E69}" uniqueName="5" name="DRAFT" queryTableFieldId="5"/>
    <tableColumn id="6" xr3:uid="{0B8541A5-E5F2-4DC9-AA80-8687ED3672A1}" uniqueName="6" name="EDITED BY Pengawas" queryTableFieldId="6"/>
    <tableColumn id="7" xr3:uid="{D4610292-E522-450A-8DF3-169AD88DC87D}" uniqueName="7" name="OPEN" queryTableFieldId="7"/>
    <tableColumn id="8" xr3:uid="{01540046-C3E6-4210-A45C-65E9AFEAEA90}" uniqueName="8" name="REJECTED BY Pengawas" queryTableFieldId="8"/>
    <tableColumn id="9" xr3:uid="{B16E1DC0-8860-4B6D-BCFA-188F4242633C}" uniqueName="9" name="REVOKED BY Pengawas" queryTableFieldId="9"/>
    <tableColumn id="10" xr3:uid="{76A8128F-D960-49F1-BDA5-C69EF2DAD730}" uniqueName="10" name="SUBMITTED BY Pencacah" queryTableFieldId="10"/>
    <tableColumn id="11" xr3:uid="{FC76681D-F52C-4904-AFCE-8720DDF9A72B}" uniqueName="11" name="SUBMITTED RESPONDENT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8" workbookViewId="0">
      <selection activeCell="G1059" sqref="G1059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103</v>
      </c>
      <c r="D2">
        <v>22</v>
      </c>
      <c r="E2">
        <v>9</v>
      </c>
      <c r="F2">
        <v>11</v>
      </c>
      <c r="G2">
        <v>56</v>
      </c>
      <c r="H2">
        <v>0</v>
      </c>
      <c r="I2">
        <v>5</v>
      </c>
      <c r="J2">
        <v>0</v>
      </c>
    </row>
    <row r="3" spans="1:10" x14ac:dyDescent="0.25">
      <c r="A3" t="s">
        <v>10</v>
      </c>
      <c r="B3">
        <v>7172010009002700</v>
      </c>
      <c r="C3">
        <v>102</v>
      </c>
      <c r="D3">
        <v>0</v>
      </c>
      <c r="E3">
        <v>15</v>
      </c>
      <c r="F3">
        <v>34</v>
      </c>
      <c r="G3">
        <v>8</v>
      </c>
      <c r="H3">
        <v>0</v>
      </c>
      <c r="I3">
        <v>45</v>
      </c>
      <c r="J3">
        <v>0</v>
      </c>
    </row>
    <row r="4" spans="1:10" x14ac:dyDescent="0.25">
      <c r="A4" t="s">
        <v>10</v>
      </c>
      <c r="B4">
        <v>7172010009002600</v>
      </c>
      <c r="C4">
        <v>83</v>
      </c>
      <c r="D4">
        <v>0</v>
      </c>
      <c r="E4">
        <v>1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7172010008000200</v>
      </c>
      <c r="C12">
        <v>73</v>
      </c>
      <c r="D12">
        <v>26</v>
      </c>
      <c r="E12">
        <v>2</v>
      </c>
      <c r="F12">
        <v>0</v>
      </c>
      <c r="G12">
        <v>0</v>
      </c>
      <c r="H12">
        <v>0</v>
      </c>
      <c r="I12">
        <v>45</v>
      </c>
      <c r="J12">
        <v>0</v>
      </c>
    </row>
    <row r="13" spans="1:10" x14ac:dyDescent="0.25">
      <c r="A13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65</v>
      </c>
      <c r="D14">
        <v>1</v>
      </c>
      <c r="E14">
        <v>9</v>
      </c>
      <c r="F14">
        <v>45</v>
      </c>
      <c r="G14">
        <v>0</v>
      </c>
      <c r="H14">
        <v>0</v>
      </c>
      <c r="I14">
        <v>10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18</v>
      </c>
      <c r="E16">
        <v>0</v>
      </c>
      <c r="F16">
        <v>1</v>
      </c>
      <c r="G16">
        <v>0</v>
      </c>
      <c r="H16">
        <v>0</v>
      </c>
      <c r="I16">
        <v>24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27</v>
      </c>
      <c r="E17">
        <v>4</v>
      </c>
      <c r="F17">
        <v>5</v>
      </c>
      <c r="G17">
        <v>0</v>
      </c>
      <c r="H17">
        <v>0</v>
      </c>
      <c r="I17">
        <v>49</v>
      </c>
      <c r="J17">
        <v>0</v>
      </c>
    </row>
    <row r="18" spans="1:10" x14ac:dyDescent="0.25">
      <c r="A18" t="s">
        <v>13</v>
      </c>
      <c r="B18">
        <v>7172010010001600</v>
      </c>
      <c r="C18">
        <v>77</v>
      </c>
      <c r="D18">
        <v>0</v>
      </c>
      <c r="E18">
        <v>9</v>
      </c>
      <c r="F18">
        <v>29</v>
      </c>
      <c r="G18">
        <v>0</v>
      </c>
      <c r="H18">
        <v>0</v>
      </c>
      <c r="I18">
        <v>39</v>
      </c>
      <c r="J18">
        <v>0</v>
      </c>
    </row>
    <row r="19" spans="1:10" x14ac:dyDescent="0.25">
      <c r="A19" t="s">
        <v>13</v>
      </c>
      <c r="B19">
        <v>7172010010001800</v>
      </c>
      <c r="C19">
        <v>76</v>
      </c>
      <c r="D19">
        <v>3</v>
      </c>
      <c r="E19">
        <v>1</v>
      </c>
      <c r="F19">
        <v>26</v>
      </c>
      <c r="G19">
        <v>0</v>
      </c>
      <c r="H19">
        <v>0</v>
      </c>
      <c r="I19">
        <v>46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13</v>
      </c>
      <c r="E33">
        <v>6</v>
      </c>
      <c r="F33">
        <v>4</v>
      </c>
      <c r="G33">
        <v>0</v>
      </c>
      <c r="H33">
        <v>0</v>
      </c>
      <c r="I33">
        <v>30</v>
      </c>
      <c r="J33">
        <v>0</v>
      </c>
    </row>
    <row r="34" spans="1:10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40</v>
      </c>
      <c r="D38">
        <v>9</v>
      </c>
      <c r="E38">
        <v>2</v>
      </c>
      <c r="F38">
        <v>5</v>
      </c>
      <c r="G38">
        <v>0</v>
      </c>
      <c r="H38">
        <v>0</v>
      </c>
      <c r="I38">
        <v>24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7</v>
      </c>
      <c r="E39">
        <v>0</v>
      </c>
      <c r="F39">
        <v>0</v>
      </c>
      <c r="G39">
        <v>0</v>
      </c>
      <c r="H39">
        <v>0</v>
      </c>
      <c r="I39">
        <v>23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0</v>
      </c>
      <c r="H40">
        <v>0</v>
      </c>
      <c r="I40">
        <v>20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224</v>
      </c>
      <c r="D42">
        <v>22</v>
      </c>
      <c r="E42">
        <v>31</v>
      </c>
      <c r="F42">
        <v>40</v>
      </c>
      <c r="G42">
        <v>8</v>
      </c>
      <c r="H42">
        <v>0</v>
      </c>
      <c r="I42">
        <v>123</v>
      </c>
      <c r="J42">
        <v>0</v>
      </c>
    </row>
    <row r="43" spans="1:10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12</v>
      </c>
      <c r="E49">
        <v>1</v>
      </c>
      <c r="F49">
        <v>17</v>
      </c>
      <c r="G49">
        <v>0</v>
      </c>
      <c r="H49">
        <v>0</v>
      </c>
      <c r="I49">
        <v>71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81</v>
      </c>
      <c r="D51">
        <v>0</v>
      </c>
      <c r="E51">
        <v>7</v>
      </c>
      <c r="F51">
        <v>38</v>
      </c>
      <c r="G51">
        <v>0</v>
      </c>
      <c r="H51">
        <v>0</v>
      </c>
      <c r="I51">
        <v>36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10</v>
      </c>
      <c r="E53">
        <v>2</v>
      </c>
      <c r="F53">
        <v>16</v>
      </c>
      <c r="G53">
        <v>0</v>
      </c>
      <c r="H53">
        <v>0</v>
      </c>
      <c r="I53">
        <v>33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37</v>
      </c>
      <c r="D58">
        <v>0</v>
      </c>
      <c r="E58">
        <v>4</v>
      </c>
      <c r="F58">
        <v>32</v>
      </c>
      <c r="G58">
        <v>0</v>
      </c>
      <c r="H58">
        <v>0</v>
      </c>
      <c r="I58">
        <v>1</v>
      </c>
      <c r="J58">
        <v>0</v>
      </c>
    </row>
    <row r="59" spans="1:10" x14ac:dyDescent="0.25">
      <c r="A59" t="s">
        <v>18</v>
      </c>
      <c r="B59">
        <v>7172010017001300</v>
      </c>
      <c r="C59">
        <v>142</v>
      </c>
      <c r="D59">
        <v>41</v>
      </c>
      <c r="E59">
        <v>6</v>
      </c>
      <c r="F59">
        <v>5</v>
      </c>
      <c r="G59">
        <v>0</v>
      </c>
      <c r="H59">
        <v>0</v>
      </c>
      <c r="I59">
        <v>90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31</v>
      </c>
      <c r="E60">
        <v>11</v>
      </c>
      <c r="F60">
        <v>0</v>
      </c>
      <c r="G60">
        <v>0</v>
      </c>
      <c r="H60">
        <v>0</v>
      </c>
      <c r="I60">
        <v>60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0</v>
      </c>
      <c r="E61">
        <v>18</v>
      </c>
      <c r="F61">
        <v>57</v>
      </c>
      <c r="G61">
        <v>0</v>
      </c>
      <c r="H61">
        <v>0</v>
      </c>
      <c r="I61">
        <v>13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7172010017002000</v>
      </c>
      <c r="C63">
        <v>61</v>
      </c>
      <c r="D63">
        <v>0</v>
      </c>
      <c r="E63">
        <v>0</v>
      </c>
      <c r="F63">
        <v>61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36</v>
      </c>
      <c r="E68">
        <v>0</v>
      </c>
      <c r="F68">
        <v>46</v>
      </c>
      <c r="G68">
        <v>2</v>
      </c>
      <c r="H68">
        <v>0</v>
      </c>
      <c r="I68">
        <v>54</v>
      </c>
      <c r="J68">
        <v>0</v>
      </c>
    </row>
    <row r="69" spans="1:10" x14ac:dyDescent="0.25">
      <c r="A69" t="s">
        <v>22</v>
      </c>
      <c r="B69">
        <v>7172010015002500</v>
      </c>
      <c r="C69">
        <v>119</v>
      </c>
      <c r="D69">
        <v>18</v>
      </c>
      <c r="E69">
        <v>5</v>
      </c>
      <c r="F69">
        <v>27</v>
      </c>
      <c r="G69">
        <v>4</v>
      </c>
      <c r="H69">
        <v>0</v>
      </c>
      <c r="I69">
        <v>65</v>
      </c>
      <c r="J69">
        <v>0</v>
      </c>
    </row>
    <row r="70" spans="1:10" x14ac:dyDescent="0.25">
      <c r="A70" t="s">
        <v>22</v>
      </c>
      <c r="B70">
        <v>7172010015002100</v>
      </c>
      <c r="C70">
        <v>102</v>
      </c>
      <c r="D70">
        <v>0</v>
      </c>
      <c r="E70">
        <v>8</v>
      </c>
      <c r="F70">
        <v>86</v>
      </c>
      <c r="G70">
        <v>0</v>
      </c>
      <c r="H70">
        <v>0</v>
      </c>
      <c r="I70">
        <v>8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101</v>
      </c>
      <c r="D76">
        <v>12</v>
      </c>
      <c r="E76">
        <v>8</v>
      </c>
      <c r="F76">
        <v>3</v>
      </c>
      <c r="G76">
        <v>2</v>
      </c>
      <c r="H76">
        <v>0</v>
      </c>
      <c r="I76">
        <v>76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64</v>
      </c>
      <c r="D78">
        <v>8</v>
      </c>
      <c r="E78">
        <v>18</v>
      </c>
      <c r="F78">
        <v>23</v>
      </c>
      <c r="G78">
        <v>15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54</v>
      </c>
      <c r="D81">
        <v>0</v>
      </c>
      <c r="E81">
        <v>6</v>
      </c>
      <c r="F81">
        <v>47</v>
      </c>
      <c r="G81">
        <v>0</v>
      </c>
      <c r="H81">
        <v>0</v>
      </c>
      <c r="I81">
        <v>1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74</v>
      </c>
      <c r="E87">
        <v>53</v>
      </c>
      <c r="F87">
        <v>23</v>
      </c>
      <c r="G87">
        <v>1</v>
      </c>
      <c r="H87">
        <v>0</v>
      </c>
      <c r="I87">
        <v>3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7172011004002100</v>
      </c>
      <c r="C89">
        <v>76</v>
      </c>
      <c r="D89">
        <v>0</v>
      </c>
      <c r="E89">
        <v>5</v>
      </c>
      <c r="F89">
        <v>71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7172011001000300</v>
      </c>
      <c r="C90">
        <v>74</v>
      </c>
      <c r="D90">
        <v>0</v>
      </c>
      <c r="E90">
        <v>0</v>
      </c>
      <c r="F90">
        <v>74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7172011001000500</v>
      </c>
      <c r="C92">
        <v>70</v>
      </c>
      <c r="D92">
        <v>19</v>
      </c>
      <c r="E92">
        <v>19</v>
      </c>
      <c r="F92">
        <v>16</v>
      </c>
      <c r="G92">
        <v>13</v>
      </c>
      <c r="H92">
        <v>0</v>
      </c>
      <c r="I92">
        <v>3</v>
      </c>
      <c r="J92">
        <v>0</v>
      </c>
    </row>
    <row r="93" spans="1:10" x14ac:dyDescent="0.25">
      <c r="A93" t="s">
        <v>26</v>
      </c>
      <c r="B93">
        <v>7172011001000600</v>
      </c>
      <c r="C93">
        <v>63</v>
      </c>
      <c r="D93">
        <v>2</v>
      </c>
      <c r="E93">
        <v>18</v>
      </c>
      <c r="F93">
        <v>40</v>
      </c>
      <c r="G93">
        <v>0</v>
      </c>
      <c r="H93">
        <v>0</v>
      </c>
      <c r="I93">
        <v>3</v>
      </c>
      <c r="J93">
        <v>0</v>
      </c>
    </row>
    <row r="94" spans="1:10" x14ac:dyDescent="0.25">
      <c r="A94" t="s">
        <v>26</v>
      </c>
      <c r="B94">
        <v>7172011001000400</v>
      </c>
      <c r="C94">
        <v>52</v>
      </c>
      <c r="D94">
        <v>0</v>
      </c>
      <c r="E94">
        <v>1</v>
      </c>
      <c r="F94">
        <v>51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148</v>
      </c>
      <c r="D95">
        <v>0</v>
      </c>
      <c r="E95">
        <v>0</v>
      </c>
      <c r="F95">
        <v>143</v>
      </c>
      <c r="G95">
        <v>1</v>
      </c>
      <c r="H95">
        <v>0</v>
      </c>
      <c r="I95">
        <v>4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22</v>
      </c>
      <c r="E96">
        <v>0</v>
      </c>
      <c r="F96">
        <v>1</v>
      </c>
      <c r="G96">
        <v>6</v>
      </c>
      <c r="H96">
        <v>0</v>
      </c>
      <c r="I96">
        <v>77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53</v>
      </c>
      <c r="D99">
        <v>20</v>
      </c>
      <c r="E99">
        <v>0</v>
      </c>
      <c r="F99">
        <v>1</v>
      </c>
      <c r="G99">
        <v>0</v>
      </c>
      <c r="H99">
        <v>0</v>
      </c>
      <c r="I99">
        <v>32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45</v>
      </c>
      <c r="D101">
        <v>0</v>
      </c>
      <c r="E101">
        <v>0</v>
      </c>
      <c r="F101">
        <v>30</v>
      </c>
      <c r="G101">
        <v>0</v>
      </c>
      <c r="H101">
        <v>0</v>
      </c>
      <c r="I101">
        <v>15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16</v>
      </c>
      <c r="H104">
        <v>0</v>
      </c>
      <c r="I104">
        <v>2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15</v>
      </c>
      <c r="E105">
        <v>6</v>
      </c>
      <c r="F105">
        <v>49</v>
      </c>
      <c r="G105">
        <v>2</v>
      </c>
      <c r="H105">
        <v>0</v>
      </c>
      <c r="I105">
        <v>43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7172011002000500</v>
      </c>
      <c r="C108">
        <v>85</v>
      </c>
      <c r="D108">
        <v>19</v>
      </c>
      <c r="E108">
        <v>10</v>
      </c>
      <c r="F108">
        <v>41</v>
      </c>
      <c r="G108">
        <v>0</v>
      </c>
      <c r="H108">
        <v>0</v>
      </c>
      <c r="I108">
        <v>15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2</v>
      </c>
      <c r="E109">
        <v>7</v>
      </c>
      <c r="F109">
        <v>68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0</v>
      </c>
      <c r="E111">
        <v>12</v>
      </c>
      <c r="F111">
        <v>162</v>
      </c>
      <c r="G111">
        <v>0</v>
      </c>
      <c r="H111">
        <v>0</v>
      </c>
      <c r="I111">
        <v>1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48</v>
      </c>
      <c r="E112">
        <v>41</v>
      </c>
      <c r="F112">
        <v>0</v>
      </c>
      <c r="G112">
        <v>17</v>
      </c>
      <c r="H112">
        <v>0</v>
      </c>
      <c r="I112">
        <v>21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78</v>
      </c>
      <c r="D114">
        <v>3</v>
      </c>
      <c r="E114">
        <v>27</v>
      </c>
      <c r="F114">
        <v>48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122</v>
      </c>
      <c r="D119">
        <v>3</v>
      </c>
      <c r="E119">
        <v>2</v>
      </c>
      <c r="F119">
        <v>107</v>
      </c>
      <c r="G119">
        <v>0</v>
      </c>
      <c r="H119">
        <v>0</v>
      </c>
      <c r="I119">
        <v>10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77</v>
      </c>
      <c r="D121">
        <v>0</v>
      </c>
      <c r="E121">
        <v>2</v>
      </c>
      <c r="F121">
        <v>55</v>
      </c>
      <c r="G121">
        <v>0</v>
      </c>
      <c r="H121">
        <v>0</v>
      </c>
      <c r="I121">
        <v>20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18</v>
      </c>
      <c r="E122">
        <v>2</v>
      </c>
      <c r="F122">
        <v>7</v>
      </c>
      <c r="G122">
        <v>0</v>
      </c>
      <c r="H122">
        <v>0</v>
      </c>
      <c r="I122">
        <v>33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6</v>
      </c>
      <c r="E123">
        <v>0</v>
      </c>
      <c r="F123">
        <v>19</v>
      </c>
      <c r="G123">
        <v>0</v>
      </c>
      <c r="H123">
        <v>0</v>
      </c>
      <c r="I123">
        <v>34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127</v>
      </c>
      <c r="D126">
        <v>0</v>
      </c>
      <c r="E126">
        <v>51</v>
      </c>
      <c r="F126">
        <v>23</v>
      </c>
      <c r="G126">
        <v>3</v>
      </c>
      <c r="H126">
        <v>0</v>
      </c>
      <c r="I126">
        <v>50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59</v>
      </c>
      <c r="D129">
        <v>6</v>
      </c>
      <c r="E129">
        <v>4</v>
      </c>
      <c r="F129">
        <v>30</v>
      </c>
      <c r="G129">
        <v>0</v>
      </c>
      <c r="H129">
        <v>0</v>
      </c>
      <c r="I129">
        <v>19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217</v>
      </c>
      <c r="D131">
        <v>42</v>
      </c>
      <c r="E131">
        <v>51</v>
      </c>
      <c r="F131">
        <v>46</v>
      </c>
      <c r="G131">
        <v>7</v>
      </c>
      <c r="H131">
        <v>1</v>
      </c>
      <c r="I131">
        <v>70</v>
      </c>
      <c r="J131">
        <v>0</v>
      </c>
    </row>
    <row r="132" spans="1:10" x14ac:dyDescent="0.25">
      <c r="A132" t="s">
        <v>37</v>
      </c>
      <c r="B132">
        <v>7172011003002500</v>
      </c>
      <c r="C132">
        <v>145</v>
      </c>
      <c r="D132">
        <v>0</v>
      </c>
      <c r="E132">
        <v>5</v>
      </c>
      <c r="F132">
        <v>134</v>
      </c>
      <c r="G132">
        <v>0</v>
      </c>
      <c r="H132">
        <v>0</v>
      </c>
      <c r="I132">
        <v>6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7172011003003600</v>
      </c>
      <c r="C136">
        <v>249</v>
      </c>
      <c r="D136">
        <v>36</v>
      </c>
      <c r="E136">
        <v>4</v>
      </c>
      <c r="F136">
        <v>110</v>
      </c>
      <c r="G136">
        <v>0</v>
      </c>
      <c r="H136">
        <v>0</v>
      </c>
      <c r="I136">
        <v>99</v>
      </c>
      <c r="J136">
        <v>0</v>
      </c>
    </row>
    <row r="137" spans="1:10" x14ac:dyDescent="0.25">
      <c r="A137" t="s">
        <v>31</v>
      </c>
      <c r="B137">
        <v>7172011003001100</v>
      </c>
      <c r="C137">
        <v>235</v>
      </c>
      <c r="D137">
        <v>0</v>
      </c>
      <c r="E137">
        <v>0</v>
      </c>
      <c r="F137">
        <v>229</v>
      </c>
      <c r="G137">
        <v>0</v>
      </c>
      <c r="H137">
        <v>0</v>
      </c>
      <c r="I137">
        <v>6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265</v>
      </c>
      <c r="D140">
        <v>126</v>
      </c>
      <c r="E140">
        <v>25</v>
      </c>
      <c r="F140">
        <v>37</v>
      </c>
      <c r="G140">
        <v>3</v>
      </c>
      <c r="H140">
        <v>1</v>
      </c>
      <c r="I140">
        <v>73</v>
      </c>
      <c r="J140">
        <v>0</v>
      </c>
    </row>
    <row r="141" spans="1:10" x14ac:dyDescent="0.25">
      <c r="A141" t="s">
        <v>41</v>
      </c>
      <c r="B141">
        <v>7172011004001500</v>
      </c>
      <c r="C141">
        <v>146</v>
      </c>
      <c r="D141">
        <v>7</v>
      </c>
      <c r="E141">
        <v>25</v>
      </c>
      <c r="F141">
        <v>78</v>
      </c>
      <c r="G141">
        <v>0</v>
      </c>
      <c r="H141">
        <v>0</v>
      </c>
      <c r="I141">
        <v>36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1</v>
      </c>
      <c r="E147">
        <v>21</v>
      </c>
      <c r="F147">
        <v>42</v>
      </c>
      <c r="G147">
        <v>1</v>
      </c>
      <c r="H147">
        <v>0</v>
      </c>
      <c r="I147">
        <v>27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2</v>
      </c>
      <c r="E148">
        <v>10</v>
      </c>
      <c r="F148">
        <v>22</v>
      </c>
      <c r="G148">
        <v>8</v>
      </c>
      <c r="H148">
        <v>0</v>
      </c>
      <c r="I148">
        <v>39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143</v>
      </c>
      <c r="D161">
        <v>33</v>
      </c>
      <c r="E161">
        <v>52</v>
      </c>
      <c r="F161">
        <v>57</v>
      </c>
      <c r="G161">
        <v>1</v>
      </c>
      <c r="H161">
        <v>0</v>
      </c>
      <c r="I161">
        <v>0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58</v>
      </c>
      <c r="E164">
        <v>25</v>
      </c>
      <c r="F164">
        <v>1</v>
      </c>
      <c r="G164">
        <v>1</v>
      </c>
      <c r="H164">
        <v>0</v>
      </c>
      <c r="I164">
        <v>14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2</v>
      </c>
      <c r="H167">
        <v>0</v>
      </c>
      <c r="I167">
        <v>30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123</v>
      </c>
      <c r="D170">
        <v>8</v>
      </c>
      <c r="E170">
        <v>12</v>
      </c>
      <c r="F170">
        <v>22</v>
      </c>
      <c r="G170">
        <v>0</v>
      </c>
      <c r="H170">
        <v>0</v>
      </c>
      <c r="I170">
        <v>81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58</v>
      </c>
      <c r="G171">
        <v>0</v>
      </c>
      <c r="H171">
        <v>0</v>
      </c>
      <c r="I171">
        <v>30</v>
      </c>
      <c r="J171">
        <v>0</v>
      </c>
    </row>
    <row r="172" spans="1:10" x14ac:dyDescent="0.25">
      <c r="A172" t="s">
        <v>44</v>
      </c>
      <c r="B172">
        <v>7172011012000700</v>
      </c>
      <c r="C172">
        <v>160</v>
      </c>
      <c r="D172">
        <v>42</v>
      </c>
      <c r="E172">
        <v>9</v>
      </c>
      <c r="F172">
        <v>43</v>
      </c>
      <c r="G172">
        <v>0</v>
      </c>
      <c r="H172">
        <v>0</v>
      </c>
      <c r="I172">
        <v>66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117</v>
      </c>
      <c r="D182">
        <v>9</v>
      </c>
      <c r="E182">
        <v>18</v>
      </c>
      <c r="F182">
        <v>22</v>
      </c>
      <c r="G182">
        <v>0</v>
      </c>
      <c r="H182">
        <v>0</v>
      </c>
      <c r="I182">
        <v>68</v>
      </c>
      <c r="J182">
        <v>0</v>
      </c>
    </row>
    <row r="183" spans="1:10" x14ac:dyDescent="0.25">
      <c r="A183" t="s">
        <v>54</v>
      </c>
      <c r="B183">
        <v>7172012002000300</v>
      </c>
      <c r="C183">
        <v>106</v>
      </c>
      <c r="D183">
        <v>13</v>
      </c>
      <c r="E183">
        <v>24</v>
      </c>
      <c r="F183">
        <v>33</v>
      </c>
      <c r="G183">
        <v>1</v>
      </c>
      <c r="H183">
        <v>0</v>
      </c>
      <c r="I183">
        <v>35</v>
      </c>
      <c r="J183">
        <v>0</v>
      </c>
    </row>
    <row r="184" spans="1:10" x14ac:dyDescent="0.25">
      <c r="A184" t="s">
        <v>54</v>
      </c>
      <c r="B184">
        <v>7172012002000800</v>
      </c>
      <c r="C184">
        <v>97</v>
      </c>
      <c r="D184">
        <v>0</v>
      </c>
      <c r="E184">
        <v>0</v>
      </c>
      <c r="F184">
        <v>97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137</v>
      </c>
      <c r="D187">
        <v>13</v>
      </c>
      <c r="E187">
        <v>26</v>
      </c>
      <c r="F187">
        <v>89</v>
      </c>
      <c r="G187">
        <v>1</v>
      </c>
      <c r="H187">
        <v>0</v>
      </c>
      <c r="I187">
        <v>8</v>
      </c>
      <c r="J187">
        <v>0</v>
      </c>
    </row>
    <row r="188" spans="1:10" x14ac:dyDescent="0.25">
      <c r="A188" t="s">
        <v>229</v>
      </c>
      <c r="B188">
        <v>7172012002001302</v>
      </c>
      <c r="C188">
        <v>127</v>
      </c>
      <c r="D188">
        <v>6</v>
      </c>
      <c r="E188">
        <v>19</v>
      </c>
      <c r="F188">
        <v>34</v>
      </c>
      <c r="G188">
        <v>0</v>
      </c>
      <c r="H188">
        <v>0</v>
      </c>
      <c r="I188">
        <v>68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6</v>
      </c>
      <c r="E190">
        <v>0</v>
      </c>
      <c r="F190">
        <v>88</v>
      </c>
      <c r="G190">
        <v>0</v>
      </c>
      <c r="H190">
        <v>0</v>
      </c>
      <c r="I190">
        <v>1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205</v>
      </c>
      <c r="D193">
        <v>16</v>
      </c>
      <c r="E193">
        <v>14</v>
      </c>
      <c r="F193">
        <v>5</v>
      </c>
      <c r="G193">
        <v>0</v>
      </c>
      <c r="H193">
        <v>0</v>
      </c>
      <c r="I193">
        <v>170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88</v>
      </c>
      <c r="G195">
        <v>0</v>
      </c>
      <c r="H195">
        <v>0</v>
      </c>
      <c r="I195">
        <v>8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30</v>
      </c>
      <c r="E199">
        <v>46</v>
      </c>
      <c r="F199">
        <v>48</v>
      </c>
      <c r="G199">
        <v>0</v>
      </c>
      <c r="H199">
        <v>0</v>
      </c>
      <c r="I199">
        <v>56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1</v>
      </c>
      <c r="E203">
        <v>27</v>
      </c>
      <c r="F203">
        <v>59</v>
      </c>
      <c r="G203">
        <v>0</v>
      </c>
      <c r="H203">
        <v>0</v>
      </c>
      <c r="I203">
        <v>1</v>
      </c>
      <c r="J203">
        <v>0</v>
      </c>
    </row>
    <row r="204" spans="1:10" x14ac:dyDescent="0.25">
      <c r="A204" t="s">
        <v>63</v>
      </c>
      <c r="B204">
        <v>7172012004001701</v>
      </c>
      <c r="C204">
        <v>322</v>
      </c>
      <c r="D204">
        <v>1</v>
      </c>
      <c r="E204">
        <v>28</v>
      </c>
      <c r="F204">
        <v>222</v>
      </c>
      <c r="G204">
        <v>10</v>
      </c>
      <c r="H204">
        <v>0</v>
      </c>
      <c r="I204">
        <v>61</v>
      </c>
      <c r="J204">
        <v>0</v>
      </c>
    </row>
    <row r="205" spans="1:10" x14ac:dyDescent="0.25">
      <c r="A205" t="s">
        <v>63</v>
      </c>
      <c r="B205">
        <v>7172012004002000</v>
      </c>
      <c r="C205">
        <v>169</v>
      </c>
      <c r="D205">
        <v>0</v>
      </c>
      <c r="E205">
        <v>0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65</v>
      </c>
      <c r="E209">
        <v>3</v>
      </c>
      <c r="F209">
        <v>14</v>
      </c>
      <c r="G209">
        <v>7</v>
      </c>
      <c r="H209">
        <v>0</v>
      </c>
      <c r="I209">
        <v>82</v>
      </c>
      <c r="J209">
        <v>0</v>
      </c>
    </row>
    <row r="210" spans="1:10" x14ac:dyDescent="0.25">
      <c r="A210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7172012004002401</v>
      </c>
      <c r="C211">
        <v>119</v>
      </c>
      <c r="D211">
        <v>4</v>
      </c>
      <c r="E211">
        <v>24</v>
      </c>
      <c r="F211">
        <v>72</v>
      </c>
      <c r="G211">
        <v>0</v>
      </c>
      <c r="H211">
        <v>0</v>
      </c>
      <c r="I211">
        <v>19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124</v>
      </c>
      <c r="D213">
        <v>16</v>
      </c>
      <c r="E213">
        <v>4</v>
      </c>
      <c r="F213">
        <v>34</v>
      </c>
      <c r="G213">
        <v>19</v>
      </c>
      <c r="H213">
        <v>0</v>
      </c>
      <c r="I213">
        <v>51</v>
      </c>
      <c r="J213">
        <v>0</v>
      </c>
    </row>
    <row r="214" spans="1:10" x14ac:dyDescent="0.25">
      <c r="A214" t="s">
        <v>65</v>
      </c>
      <c r="B214">
        <v>7172012005000100</v>
      </c>
      <c r="C214">
        <v>88</v>
      </c>
      <c r="D214">
        <v>0</v>
      </c>
      <c r="E214">
        <v>0</v>
      </c>
      <c r="F214">
        <v>88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7172012004002403</v>
      </c>
      <c r="C215">
        <v>83</v>
      </c>
      <c r="D215">
        <v>1</v>
      </c>
      <c r="E215">
        <v>21</v>
      </c>
      <c r="F215">
        <v>20</v>
      </c>
      <c r="G215">
        <v>1</v>
      </c>
      <c r="H215">
        <v>0</v>
      </c>
      <c r="I215">
        <v>40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107</v>
      </c>
      <c r="D219">
        <v>2</v>
      </c>
      <c r="E219">
        <v>12</v>
      </c>
      <c r="F219">
        <v>35</v>
      </c>
      <c r="G219">
        <v>0</v>
      </c>
      <c r="H219">
        <v>0</v>
      </c>
      <c r="I219">
        <v>58</v>
      </c>
      <c r="J219">
        <v>0</v>
      </c>
    </row>
    <row r="220" spans="1:10" x14ac:dyDescent="0.25">
      <c r="A220" t="s">
        <v>70</v>
      </c>
      <c r="B220">
        <v>7172012006001500</v>
      </c>
      <c r="C220">
        <v>93</v>
      </c>
      <c r="D220">
        <v>0</v>
      </c>
      <c r="E220">
        <v>35</v>
      </c>
      <c r="F220">
        <v>54</v>
      </c>
      <c r="G220">
        <v>0</v>
      </c>
      <c r="H220">
        <v>0</v>
      </c>
      <c r="I220">
        <v>4</v>
      </c>
      <c r="J220">
        <v>0</v>
      </c>
    </row>
    <row r="221" spans="1:10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7172012006000902</v>
      </c>
      <c r="C222">
        <v>75</v>
      </c>
      <c r="D222">
        <v>0</v>
      </c>
      <c r="E222">
        <v>0</v>
      </c>
      <c r="F222">
        <v>75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7172012006001000</v>
      </c>
      <c r="C223">
        <v>71</v>
      </c>
      <c r="D223">
        <v>0</v>
      </c>
      <c r="E223">
        <v>0</v>
      </c>
      <c r="F223">
        <v>66</v>
      </c>
      <c r="G223">
        <v>0</v>
      </c>
      <c r="H223">
        <v>0</v>
      </c>
      <c r="I223">
        <v>5</v>
      </c>
      <c r="J223">
        <v>0</v>
      </c>
    </row>
    <row r="224" spans="1:10" x14ac:dyDescent="0.25">
      <c r="A224" t="s">
        <v>70</v>
      </c>
      <c r="B224">
        <v>7172012006001200</v>
      </c>
      <c r="C224">
        <v>70</v>
      </c>
      <c r="D224">
        <v>0</v>
      </c>
      <c r="E224">
        <v>1</v>
      </c>
      <c r="F224">
        <v>69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7172012006000903</v>
      </c>
      <c r="C225">
        <v>66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6</v>
      </c>
      <c r="E226">
        <v>0</v>
      </c>
      <c r="F226">
        <v>0</v>
      </c>
      <c r="G226">
        <v>2</v>
      </c>
      <c r="H226">
        <v>0</v>
      </c>
      <c r="I226">
        <v>42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85</v>
      </c>
      <c r="D229">
        <v>8</v>
      </c>
      <c r="E229">
        <v>3</v>
      </c>
      <c r="F229">
        <v>53</v>
      </c>
      <c r="G229">
        <v>1</v>
      </c>
      <c r="H229">
        <v>0</v>
      </c>
      <c r="I229">
        <v>20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1</v>
      </c>
      <c r="E230">
        <v>2</v>
      </c>
      <c r="F230">
        <v>45</v>
      </c>
      <c r="G230">
        <v>1</v>
      </c>
      <c r="H230">
        <v>0</v>
      </c>
      <c r="I230">
        <v>21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4</v>
      </c>
      <c r="E231">
        <v>2</v>
      </c>
      <c r="F231">
        <v>6</v>
      </c>
      <c r="G231">
        <v>6</v>
      </c>
      <c r="H231">
        <v>0</v>
      </c>
      <c r="I231">
        <v>40</v>
      </c>
      <c r="J231">
        <v>0</v>
      </c>
    </row>
    <row r="232" spans="1:10" x14ac:dyDescent="0.25">
      <c r="A232" t="s">
        <v>67</v>
      </c>
      <c r="B232">
        <v>7172012005001300</v>
      </c>
      <c r="C232">
        <v>54</v>
      </c>
      <c r="D232">
        <v>7</v>
      </c>
      <c r="E232">
        <v>4</v>
      </c>
      <c r="F232">
        <v>2</v>
      </c>
      <c r="G232">
        <v>2</v>
      </c>
      <c r="H232">
        <v>0</v>
      </c>
      <c r="I232">
        <v>39</v>
      </c>
      <c r="J232">
        <v>0</v>
      </c>
    </row>
    <row r="233" spans="1:10" x14ac:dyDescent="0.25">
      <c r="A233" t="s">
        <v>67</v>
      </c>
      <c r="B233">
        <v>7172012005001200</v>
      </c>
      <c r="C233">
        <v>52</v>
      </c>
      <c r="D233">
        <v>0</v>
      </c>
      <c r="E233">
        <v>10</v>
      </c>
      <c r="F233">
        <v>41</v>
      </c>
      <c r="G233">
        <v>0</v>
      </c>
      <c r="H233">
        <v>0</v>
      </c>
      <c r="I233">
        <v>1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18</v>
      </c>
      <c r="E235">
        <v>2</v>
      </c>
      <c r="F235">
        <v>1</v>
      </c>
      <c r="G235">
        <v>0</v>
      </c>
      <c r="H235">
        <v>0</v>
      </c>
      <c r="I235">
        <v>17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13</v>
      </c>
      <c r="E238">
        <v>14</v>
      </c>
      <c r="F238">
        <v>20</v>
      </c>
      <c r="G238">
        <v>0</v>
      </c>
      <c r="H238">
        <v>0</v>
      </c>
      <c r="I238">
        <v>87</v>
      </c>
      <c r="J238">
        <v>0</v>
      </c>
    </row>
    <row r="239" spans="1:10" x14ac:dyDescent="0.25">
      <c r="A239" t="s">
        <v>230</v>
      </c>
      <c r="B239">
        <v>7172012007000200</v>
      </c>
      <c r="C239">
        <v>108</v>
      </c>
      <c r="D239">
        <v>0</v>
      </c>
      <c r="E239">
        <v>29</v>
      </c>
      <c r="F239">
        <v>78</v>
      </c>
      <c r="G239">
        <v>0</v>
      </c>
      <c r="H239">
        <v>0</v>
      </c>
      <c r="I239">
        <v>1</v>
      </c>
      <c r="J239">
        <v>0</v>
      </c>
    </row>
    <row r="240" spans="1:10" x14ac:dyDescent="0.25">
      <c r="A240" t="s">
        <v>230</v>
      </c>
      <c r="B240">
        <v>7172012007000400</v>
      </c>
      <c r="C240">
        <v>89</v>
      </c>
      <c r="D240">
        <v>0</v>
      </c>
      <c r="E240">
        <v>0</v>
      </c>
      <c r="F240">
        <v>89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129</v>
      </c>
      <c r="D242">
        <v>0</v>
      </c>
      <c r="E242">
        <v>20</v>
      </c>
      <c r="F242">
        <v>107</v>
      </c>
      <c r="G242">
        <v>0</v>
      </c>
      <c r="H242">
        <v>0</v>
      </c>
      <c r="I242">
        <v>2</v>
      </c>
      <c r="J242">
        <v>0</v>
      </c>
    </row>
    <row r="243" spans="1:10" x14ac:dyDescent="0.25">
      <c r="A243" t="s">
        <v>72</v>
      </c>
      <c r="B243">
        <v>7172012007000900</v>
      </c>
      <c r="C243">
        <v>119</v>
      </c>
      <c r="D243">
        <v>9</v>
      </c>
      <c r="E243">
        <v>8</v>
      </c>
      <c r="F243">
        <v>2</v>
      </c>
      <c r="G243">
        <v>7</v>
      </c>
      <c r="H243">
        <v>0</v>
      </c>
      <c r="I243">
        <v>93</v>
      </c>
      <c r="J243">
        <v>0</v>
      </c>
    </row>
    <row r="244" spans="1:10" x14ac:dyDescent="0.25">
      <c r="A244" t="s">
        <v>72</v>
      </c>
      <c r="B244">
        <v>7172012007000500</v>
      </c>
      <c r="C244">
        <v>91</v>
      </c>
      <c r="D244">
        <v>0</v>
      </c>
      <c r="E244">
        <v>22</v>
      </c>
      <c r="F244">
        <v>57</v>
      </c>
      <c r="G244">
        <v>1</v>
      </c>
      <c r="H244">
        <v>0</v>
      </c>
      <c r="I244">
        <v>11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99</v>
      </c>
      <c r="D246">
        <v>14</v>
      </c>
      <c r="E246">
        <v>18</v>
      </c>
      <c r="F246">
        <v>62</v>
      </c>
      <c r="G246">
        <v>0</v>
      </c>
      <c r="H246">
        <v>0</v>
      </c>
      <c r="I246">
        <v>5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0</v>
      </c>
      <c r="E247">
        <v>0</v>
      </c>
      <c r="F247">
        <v>91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7</v>
      </c>
      <c r="E248">
        <v>0</v>
      </c>
      <c r="F248">
        <v>83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16</v>
      </c>
      <c r="E249">
        <v>22</v>
      </c>
      <c r="F249">
        <v>2</v>
      </c>
      <c r="G249">
        <v>0</v>
      </c>
      <c r="H249">
        <v>0</v>
      </c>
      <c r="I249">
        <v>22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3</v>
      </c>
      <c r="E250">
        <v>0</v>
      </c>
      <c r="F250">
        <v>54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102</v>
      </c>
      <c r="D253">
        <v>19</v>
      </c>
      <c r="E253">
        <v>7</v>
      </c>
      <c r="F253">
        <v>76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13</v>
      </c>
      <c r="E254">
        <v>6</v>
      </c>
      <c r="F254">
        <v>2</v>
      </c>
      <c r="G254">
        <v>0</v>
      </c>
      <c r="H254">
        <v>0</v>
      </c>
      <c r="I254">
        <v>49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7</v>
      </c>
      <c r="E257">
        <v>5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55</v>
      </c>
      <c r="D258">
        <v>16</v>
      </c>
      <c r="E258">
        <v>1</v>
      </c>
      <c r="F258">
        <v>30</v>
      </c>
      <c r="G258">
        <v>0</v>
      </c>
      <c r="H258">
        <v>0</v>
      </c>
      <c r="I258">
        <v>8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5</v>
      </c>
      <c r="E259">
        <v>0</v>
      </c>
      <c r="F259">
        <v>47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21</v>
      </c>
      <c r="E260">
        <v>12</v>
      </c>
      <c r="F260">
        <v>59</v>
      </c>
      <c r="G260">
        <v>0</v>
      </c>
      <c r="H260">
        <v>0</v>
      </c>
      <c r="I260">
        <v>8</v>
      </c>
      <c r="J260">
        <v>0</v>
      </c>
    </row>
    <row r="261" spans="1:10" x14ac:dyDescent="0.25">
      <c r="A261" t="s">
        <v>74</v>
      </c>
      <c r="B261">
        <v>7172021002000200</v>
      </c>
      <c r="C261">
        <v>78</v>
      </c>
      <c r="D261">
        <v>22</v>
      </c>
      <c r="E261">
        <v>14</v>
      </c>
      <c r="F261">
        <v>42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0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0</v>
      </c>
      <c r="E263">
        <v>0</v>
      </c>
      <c r="F263">
        <v>63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0</v>
      </c>
      <c r="E264">
        <v>0</v>
      </c>
      <c r="F264">
        <v>55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18</v>
      </c>
      <c r="E265">
        <v>8</v>
      </c>
      <c r="F265">
        <v>2</v>
      </c>
      <c r="G265">
        <v>0</v>
      </c>
      <c r="H265">
        <v>0</v>
      </c>
      <c r="I265">
        <v>13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0</v>
      </c>
      <c r="F266">
        <v>36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9</v>
      </c>
      <c r="E267">
        <v>10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97</v>
      </c>
      <c r="D268">
        <v>15</v>
      </c>
      <c r="E268">
        <v>8</v>
      </c>
      <c r="F268">
        <v>23</v>
      </c>
      <c r="G268">
        <v>0</v>
      </c>
      <c r="H268">
        <v>0</v>
      </c>
      <c r="I268">
        <v>51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1</v>
      </c>
      <c r="E269">
        <v>0</v>
      </c>
      <c r="F269">
        <v>95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7172021004000600</v>
      </c>
      <c r="C270">
        <v>77</v>
      </c>
      <c r="D270">
        <v>3</v>
      </c>
      <c r="E270">
        <v>0</v>
      </c>
      <c r="F270">
        <v>74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78</v>
      </c>
      <c r="B271">
        <v>7172021004000200</v>
      </c>
      <c r="C271">
        <v>74</v>
      </c>
      <c r="D271">
        <v>2</v>
      </c>
      <c r="E271">
        <v>0</v>
      </c>
      <c r="F271">
        <v>72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7</v>
      </c>
      <c r="E272">
        <v>0</v>
      </c>
      <c r="F272">
        <v>66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65</v>
      </c>
      <c r="D273">
        <v>2</v>
      </c>
      <c r="E273">
        <v>10</v>
      </c>
      <c r="F273">
        <v>28</v>
      </c>
      <c r="G273">
        <v>0</v>
      </c>
      <c r="H273">
        <v>0</v>
      </c>
      <c r="I273">
        <v>25</v>
      </c>
      <c r="J273">
        <v>0</v>
      </c>
    </row>
    <row r="274" spans="1:10" x14ac:dyDescent="0.25">
      <c r="A274" t="s">
        <v>78</v>
      </c>
      <c r="B274">
        <v>7172021004000300</v>
      </c>
      <c r="C274">
        <v>49</v>
      </c>
      <c r="D274">
        <v>7</v>
      </c>
      <c r="E274">
        <v>0</v>
      </c>
      <c r="F274">
        <v>41</v>
      </c>
      <c r="G274">
        <v>0</v>
      </c>
      <c r="H274">
        <v>0</v>
      </c>
      <c r="I274">
        <v>1</v>
      </c>
      <c r="J274">
        <v>0</v>
      </c>
    </row>
    <row r="275" spans="1:10" x14ac:dyDescent="0.25">
      <c r="A275" t="s">
        <v>79</v>
      </c>
      <c r="B275">
        <v>7172021006000200</v>
      </c>
      <c r="C275">
        <v>83</v>
      </c>
      <c r="D275">
        <v>28</v>
      </c>
      <c r="E275">
        <v>6</v>
      </c>
      <c r="F275">
        <v>25</v>
      </c>
      <c r="G275">
        <v>0</v>
      </c>
      <c r="H275">
        <v>0</v>
      </c>
      <c r="I275">
        <v>24</v>
      </c>
      <c r="J275">
        <v>0</v>
      </c>
    </row>
    <row r="276" spans="1:10" x14ac:dyDescent="0.25">
      <c r="A276" t="s">
        <v>79</v>
      </c>
      <c r="B276">
        <v>7172021006000300</v>
      </c>
      <c r="C276">
        <v>82</v>
      </c>
      <c r="D276">
        <v>13</v>
      </c>
      <c r="E276">
        <v>6</v>
      </c>
      <c r="F276">
        <v>62</v>
      </c>
      <c r="G276">
        <v>0</v>
      </c>
      <c r="H276">
        <v>0</v>
      </c>
      <c r="I276">
        <v>1</v>
      </c>
      <c r="J276">
        <v>0</v>
      </c>
    </row>
    <row r="277" spans="1:10" x14ac:dyDescent="0.25">
      <c r="A277" t="s">
        <v>79</v>
      </c>
      <c r="B277">
        <v>7172021005000200</v>
      </c>
      <c r="C277">
        <v>79</v>
      </c>
      <c r="D277">
        <v>6</v>
      </c>
      <c r="E277">
        <v>14</v>
      </c>
      <c r="F277">
        <v>56</v>
      </c>
      <c r="G277">
        <v>0</v>
      </c>
      <c r="H277">
        <v>0</v>
      </c>
      <c r="I277">
        <v>3</v>
      </c>
      <c r="J277">
        <v>0</v>
      </c>
    </row>
    <row r="278" spans="1:10" x14ac:dyDescent="0.25">
      <c r="A278" t="s">
        <v>79</v>
      </c>
      <c r="B278">
        <v>7172021006000400</v>
      </c>
      <c r="C278">
        <v>74</v>
      </c>
      <c r="D278">
        <v>20</v>
      </c>
      <c r="E278">
        <v>4</v>
      </c>
      <c r="F278">
        <v>38</v>
      </c>
      <c r="G278">
        <v>0</v>
      </c>
      <c r="H278">
        <v>0</v>
      </c>
      <c r="I278">
        <v>12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3</v>
      </c>
      <c r="E280">
        <v>0</v>
      </c>
      <c r="F280">
        <v>45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5</v>
      </c>
      <c r="E281">
        <v>0</v>
      </c>
      <c r="F281">
        <v>36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74</v>
      </c>
      <c r="D283">
        <v>2</v>
      </c>
      <c r="E283">
        <v>6</v>
      </c>
      <c r="F283">
        <v>62</v>
      </c>
      <c r="G283">
        <v>0</v>
      </c>
      <c r="H283">
        <v>0</v>
      </c>
      <c r="I283">
        <v>4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0</v>
      </c>
      <c r="F284">
        <v>64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9</v>
      </c>
      <c r="E286">
        <v>1</v>
      </c>
      <c r="F286">
        <v>2</v>
      </c>
      <c r="G286">
        <v>0</v>
      </c>
      <c r="H286">
        <v>0</v>
      </c>
      <c r="I286">
        <v>50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0</v>
      </c>
      <c r="E290">
        <v>2</v>
      </c>
      <c r="F290">
        <v>101</v>
      </c>
      <c r="G290">
        <v>3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96</v>
      </c>
      <c r="D291">
        <v>14</v>
      </c>
      <c r="E291">
        <v>15</v>
      </c>
      <c r="F291">
        <v>15</v>
      </c>
      <c r="G291">
        <v>12</v>
      </c>
      <c r="H291">
        <v>0</v>
      </c>
      <c r="I291">
        <v>40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57</v>
      </c>
      <c r="D293">
        <v>0</v>
      </c>
      <c r="E293">
        <v>6</v>
      </c>
      <c r="F293">
        <v>47</v>
      </c>
      <c r="G293">
        <v>2</v>
      </c>
      <c r="H293">
        <v>0</v>
      </c>
      <c r="I293">
        <v>2</v>
      </c>
      <c r="J293">
        <v>0</v>
      </c>
    </row>
    <row r="294" spans="1:10" x14ac:dyDescent="0.25">
      <c r="A294" t="s">
        <v>89</v>
      </c>
      <c r="B294">
        <v>7172022008000500</v>
      </c>
      <c r="C294">
        <v>44</v>
      </c>
      <c r="D294">
        <v>0</v>
      </c>
      <c r="E294">
        <v>4</v>
      </c>
      <c r="F294">
        <v>31</v>
      </c>
      <c r="G294">
        <v>0</v>
      </c>
      <c r="H294">
        <v>0</v>
      </c>
      <c r="I294">
        <v>9</v>
      </c>
      <c r="J294">
        <v>0</v>
      </c>
    </row>
    <row r="295" spans="1:10" x14ac:dyDescent="0.25">
      <c r="A295" t="s">
        <v>89</v>
      </c>
      <c r="B295">
        <v>7172022009000300</v>
      </c>
      <c r="C295">
        <v>39</v>
      </c>
      <c r="D295">
        <v>0</v>
      </c>
      <c r="E295">
        <v>4</v>
      </c>
      <c r="F295">
        <v>16</v>
      </c>
      <c r="G295">
        <v>0</v>
      </c>
      <c r="H295">
        <v>0</v>
      </c>
      <c r="I295">
        <v>19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86</v>
      </c>
      <c r="D297">
        <v>5</v>
      </c>
      <c r="E297">
        <v>9</v>
      </c>
      <c r="F297">
        <v>59</v>
      </c>
      <c r="G297">
        <v>0</v>
      </c>
      <c r="H297">
        <v>0</v>
      </c>
      <c r="I297">
        <v>13</v>
      </c>
      <c r="J297">
        <v>0</v>
      </c>
    </row>
    <row r="298" spans="1:10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90</v>
      </c>
      <c r="B299">
        <v>7172030006000800</v>
      </c>
      <c r="C299">
        <v>83</v>
      </c>
      <c r="D299">
        <v>20</v>
      </c>
      <c r="E299">
        <v>1</v>
      </c>
      <c r="F299">
        <v>29</v>
      </c>
      <c r="G299">
        <v>0</v>
      </c>
      <c r="H299">
        <v>0</v>
      </c>
      <c r="I299">
        <v>33</v>
      </c>
      <c r="J299">
        <v>0</v>
      </c>
    </row>
    <row r="300" spans="1:10" x14ac:dyDescent="0.25">
      <c r="A300" t="s">
        <v>90</v>
      </c>
      <c r="B300">
        <v>7172030006000300</v>
      </c>
      <c r="C300">
        <v>66</v>
      </c>
      <c r="D300">
        <v>4</v>
      </c>
      <c r="E300">
        <v>18</v>
      </c>
      <c r="F300">
        <v>42</v>
      </c>
      <c r="G300">
        <v>1</v>
      </c>
      <c r="H300">
        <v>0</v>
      </c>
      <c r="I300">
        <v>1</v>
      </c>
      <c r="J300">
        <v>0</v>
      </c>
    </row>
    <row r="301" spans="1:10" x14ac:dyDescent="0.25">
      <c r="A301" t="s">
        <v>90</v>
      </c>
      <c r="B301">
        <v>7172030006000700</v>
      </c>
      <c r="C301">
        <v>66</v>
      </c>
      <c r="D301">
        <v>1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61</v>
      </c>
      <c r="D303">
        <v>16</v>
      </c>
      <c r="E303">
        <v>6</v>
      </c>
      <c r="F303">
        <v>22</v>
      </c>
      <c r="G303">
        <v>0</v>
      </c>
      <c r="H303">
        <v>0</v>
      </c>
      <c r="I303">
        <v>17</v>
      </c>
      <c r="J303">
        <v>0</v>
      </c>
    </row>
    <row r="304" spans="1:10" x14ac:dyDescent="0.25">
      <c r="A304" t="s">
        <v>90</v>
      </c>
      <c r="B304">
        <v>7172030006000500</v>
      </c>
      <c r="C304">
        <v>49</v>
      </c>
      <c r="D304">
        <v>16</v>
      </c>
      <c r="E304">
        <v>4</v>
      </c>
      <c r="F304">
        <v>25</v>
      </c>
      <c r="G304">
        <v>0</v>
      </c>
      <c r="H304">
        <v>0</v>
      </c>
      <c r="I304">
        <v>4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18</v>
      </c>
      <c r="E305">
        <v>2</v>
      </c>
      <c r="F305">
        <v>4</v>
      </c>
      <c r="G305">
        <v>0</v>
      </c>
      <c r="H305">
        <v>0</v>
      </c>
      <c r="I305">
        <v>89</v>
      </c>
      <c r="J305">
        <v>0</v>
      </c>
    </row>
    <row r="306" spans="1:10" x14ac:dyDescent="0.25">
      <c r="A306" t="s">
        <v>85</v>
      </c>
      <c r="B306">
        <v>7172022003000400</v>
      </c>
      <c r="C306">
        <v>63</v>
      </c>
      <c r="D306">
        <v>0</v>
      </c>
      <c r="E306">
        <v>0</v>
      </c>
      <c r="F306">
        <v>63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52</v>
      </c>
      <c r="D307">
        <v>0</v>
      </c>
      <c r="E307">
        <v>2</v>
      </c>
      <c r="F307">
        <v>43</v>
      </c>
      <c r="G307">
        <v>0</v>
      </c>
      <c r="H307">
        <v>0</v>
      </c>
      <c r="I307">
        <v>7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142</v>
      </c>
      <c r="D313">
        <v>6</v>
      </c>
      <c r="E313">
        <v>36</v>
      </c>
      <c r="F313">
        <v>48</v>
      </c>
      <c r="G313">
        <v>0</v>
      </c>
      <c r="H313">
        <v>0</v>
      </c>
      <c r="I313">
        <v>51</v>
      </c>
      <c r="J313">
        <v>0</v>
      </c>
    </row>
    <row r="314" spans="1:10" x14ac:dyDescent="0.25">
      <c r="A314" t="s">
        <v>92</v>
      </c>
      <c r="B314">
        <v>7172030012000700</v>
      </c>
      <c r="C314">
        <v>97</v>
      </c>
      <c r="D314">
        <v>0</v>
      </c>
      <c r="E314">
        <v>0</v>
      </c>
      <c r="F314">
        <v>97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0</v>
      </c>
      <c r="H317">
        <v>0</v>
      </c>
      <c r="I317">
        <v>39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152</v>
      </c>
      <c r="D322">
        <v>31</v>
      </c>
      <c r="E322">
        <v>75</v>
      </c>
      <c r="F322">
        <v>5</v>
      </c>
      <c r="G322">
        <v>0</v>
      </c>
      <c r="H322">
        <v>0</v>
      </c>
      <c r="I322">
        <v>41</v>
      </c>
      <c r="J322">
        <v>0</v>
      </c>
    </row>
    <row r="323" spans="1:10" x14ac:dyDescent="0.25">
      <c r="A323" t="s">
        <v>233</v>
      </c>
      <c r="B323">
        <v>7172030007000500</v>
      </c>
      <c r="C323">
        <v>79</v>
      </c>
      <c r="D323">
        <v>0</v>
      </c>
      <c r="E323">
        <v>0</v>
      </c>
      <c r="F323">
        <v>79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233</v>
      </c>
      <c r="B324">
        <v>7172030007000900</v>
      </c>
      <c r="C324">
        <v>75</v>
      </c>
      <c r="D324">
        <v>0</v>
      </c>
      <c r="E324">
        <v>11</v>
      </c>
      <c r="F324">
        <v>64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7172030006001100</v>
      </c>
      <c r="C328">
        <v>91</v>
      </c>
      <c r="D328">
        <v>0</v>
      </c>
      <c r="E328">
        <v>0</v>
      </c>
      <c r="F328">
        <v>91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64</v>
      </c>
      <c r="D330">
        <v>16</v>
      </c>
      <c r="E330">
        <v>1</v>
      </c>
      <c r="F330">
        <v>27</v>
      </c>
      <c r="G330">
        <v>0</v>
      </c>
      <c r="H330">
        <v>0</v>
      </c>
      <c r="I330">
        <v>20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0</v>
      </c>
      <c r="E331">
        <v>0</v>
      </c>
      <c r="F331">
        <v>57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7172030006001800</v>
      </c>
      <c r="C332">
        <v>52</v>
      </c>
      <c r="D332">
        <v>15</v>
      </c>
      <c r="E332">
        <v>3</v>
      </c>
      <c r="F332">
        <v>8</v>
      </c>
      <c r="G332">
        <v>0</v>
      </c>
      <c r="H332">
        <v>0</v>
      </c>
      <c r="I332">
        <v>26</v>
      </c>
      <c r="J332">
        <v>0</v>
      </c>
    </row>
    <row r="333" spans="1:10" x14ac:dyDescent="0.25">
      <c r="A333" t="s">
        <v>91</v>
      </c>
      <c r="B333">
        <v>7172030006001700</v>
      </c>
      <c r="C333">
        <v>51</v>
      </c>
      <c r="D333">
        <v>12</v>
      </c>
      <c r="E333">
        <v>8</v>
      </c>
      <c r="F333">
        <v>27</v>
      </c>
      <c r="G333">
        <v>0</v>
      </c>
      <c r="H333">
        <v>0</v>
      </c>
      <c r="I333">
        <v>4</v>
      </c>
      <c r="J333">
        <v>0</v>
      </c>
    </row>
    <row r="334" spans="1:10" x14ac:dyDescent="0.25">
      <c r="A334" t="s">
        <v>91</v>
      </c>
      <c r="B334">
        <v>7172030006001900</v>
      </c>
      <c r="C334">
        <v>47</v>
      </c>
      <c r="D334">
        <v>11</v>
      </c>
      <c r="E334">
        <v>1</v>
      </c>
      <c r="F334">
        <v>4</v>
      </c>
      <c r="G334">
        <v>0</v>
      </c>
      <c r="H334">
        <v>0</v>
      </c>
      <c r="I334">
        <v>31</v>
      </c>
      <c r="J334">
        <v>0</v>
      </c>
    </row>
    <row r="335" spans="1:10" x14ac:dyDescent="0.25">
      <c r="A335" t="s">
        <v>91</v>
      </c>
      <c r="B335">
        <v>7172030006001400</v>
      </c>
      <c r="C335">
        <v>44</v>
      </c>
      <c r="D335">
        <v>0</v>
      </c>
      <c r="E335">
        <v>0</v>
      </c>
      <c r="F335">
        <v>44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7172030006001500</v>
      </c>
      <c r="C336">
        <v>42</v>
      </c>
      <c r="D336">
        <v>8</v>
      </c>
      <c r="E336">
        <v>2</v>
      </c>
      <c r="F336">
        <v>22</v>
      </c>
      <c r="G336">
        <v>0</v>
      </c>
      <c r="H336">
        <v>0</v>
      </c>
      <c r="I336">
        <v>10</v>
      </c>
      <c r="J336">
        <v>0</v>
      </c>
    </row>
    <row r="337" spans="1:10" x14ac:dyDescent="0.25">
      <c r="A337" t="s">
        <v>97</v>
      </c>
      <c r="B337">
        <v>7172030012000300</v>
      </c>
      <c r="C337">
        <v>88</v>
      </c>
      <c r="D337">
        <v>24</v>
      </c>
      <c r="E337">
        <v>2</v>
      </c>
      <c r="F337">
        <v>13</v>
      </c>
      <c r="G337">
        <v>2</v>
      </c>
      <c r="H337">
        <v>0</v>
      </c>
      <c r="I337">
        <v>47</v>
      </c>
      <c r="J337">
        <v>0</v>
      </c>
    </row>
    <row r="338" spans="1:10" x14ac:dyDescent="0.25">
      <c r="A338" t="s">
        <v>97</v>
      </c>
      <c r="B338">
        <v>7172030012000100</v>
      </c>
      <c r="C338">
        <v>63</v>
      </c>
      <c r="D338">
        <v>10</v>
      </c>
      <c r="E338">
        <v>1</v>
      </c>
      <c r="F338">
        <v>49</v>
      </c>
      <c r="G338">
        <v>0</v>
      </c>
      <c r="H338">
        <v>0</v>
      </c>
      <c r="I338">
        <v>3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164</v>
      </c>
      <c r="D348">
        <v>0</v>
      </c>
      <c r="E348">
        <v>0</v>
      </c>
      <c r="F348">
        <v>164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77</v>
      </c>
      <c r="D349">
        <v>0</v>
      </c>
      <c r="E349">
        <v>5</v>
      </c>
      <c r="F349">
        <v>56</v>
      </c>
      <c r="G349">
        <v>0</v>
      </c>
      <c r="H349">
        <v>0</v>
      </c>
      <c r="I349">
        <v>16</v>
      </c>
      <c r="J349">
        <v>0</v>
      </c>
    </row>
    <row r="350" spans="1:10" x14ac:dyDescent="0.25">
      <c r="A350" t="s">
        <v>99</v>
      </c>
      <c r="B350">
        <v>7172030012001700</v>
      </c>
      <c r="C350">
        <v>77</v>
      </c>
      <c r="D350">
        <v>0</v>
      </c>
      <c r="E350">
        <v>5</v>
      </c>
      <c r="F350">
        <v>33</v>
      </c>
      <c r="G350">
        <v>0</v>
      </c>
      <c r="H350">
        <v>0</v>
      </c>
      <c r="I350">
        <v>39</v>
      </c>
      <c r="J350">
        <v>0</v>
      </c>
    </row>
    <row r="351" spans="1:10" x14ac:dyDescent="0.25">
      <c r="A351" t="s">
        <v>99</v>
      </c>
      <c r="B351">
        <v>7172030012001800</v>
      </c>
      <c r="C351">
        <v>73</v>
      </c>
      <c r="D351">
        <v>0</v>
      </c>
      <c r="E351">
        <v>4</v>
      </c>
      <c r="F351">
        <v>55</v>
      </c>
      <c r="G351">
        <v>0</v>
      </c>
      <c r="H351">
        <v>0</v>
      </c>
      <c r="I351">
        <v>14</v>
      </c>
      <c r="J351">
        <v>0</v>
      </c>
    </row>
    <row r="352" spans="1:10" x14ac:dyDescent="0.25">
      <c r="A352" t="s">
        <v>99</v>
      </c>
      <c r="B352">
        <v>7172030012001900</v>
      </c>
      <c r="C352">
        <v>72</v>
      </c>
      <c r="D352">
        <v>3</v>
      </c>
      <c r="E352">
        <v>14</v>
      </c>
      <c r="F352">
        <v>48</v>
      </c>
      <c r="G352">
        <v>0</v>
      </c>
      <c r="H352">
        <v>0</v>
      </c>
      <c r="I352">
        <v>7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49</v>
      </c>
      <c r="D354">
        <v>0</v>
      </c>
      <c r="E354">
        <v>7</v>
      </c>
      <c r="F354">
        <v>23</v>
      </c>
      <c r="G354">
        <v>1</v>
      </c>
      <c r="H354">
        <v>0</v>
      </c>
      <c r="I354">
        <v>18</v>
      </c>
      <c r="J354">
        <v>0</v>
      </c>
    </row>
    <row r="355" spans="1:10" x14ac:dyDescent="0.25">
      <c r="A355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137</v>
      </c>
      <c r="D356">
        <v>27</v>
      </c>
      <c r="E356">
        <v>4</v>
      </c>
      <c r="F356">
        <v>20</v>
      </c>
      <c r="G356">
        <v>9</v>
      </c>
      <c r="H356">
        <v>0</v>
      </c>
      <c r="I356">
        <v>77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5</v>
      </c>
      <c r="E358">
        <v>0</v>
      </c>
      <c r="F358">
        <v>56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14</v>
      </c>
      <c r="E359">
        <v>0</v>
      </c>
      <c r="F359">
        <v>46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48</v>
      </c>
      <c r="D361">
        <v>4</v>
      </c>
      <c r="E361">
        <v>0</v>
      </c>
      <c r="F361">
        <v>44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7172030008000901</v>
      </c>
      <c r="C362">
        <v>48</v>
      </c>
      <c r="D362">
        <v>15</v>
      </c>
      <c r="E362">
        <v>1</v>
      </c>
      <c r="F362">
        <v>23</v>
      </c>
      <c r="G362">
        <v>0</v>
      </c>
      <c r="H362">
        <v>0</v>
      </c>
      <c r="I362">
        <v>9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2</v>
      </c>
      <c r="E364">
        <v>0</v>
      </c>
      <c r="F364">
        <v>38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7</v>
      </c>
      <c r="E365">
        <v>0</v>
      </c>
      <c r="F365">
        <v>28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108</v>
      </c>
      <c r="D368">
        <v>8</v>
      </c>
      <c r="E368">
        <v>8</v>
      </c>
      <c r="F368">
        <v>52</v>
      </c>
      <c r="G368">
        <v>0</v>
      </c>
      <c r="H368">
        <v>0</v>
      </c>
      <c r="I368">
        <v>40</v>
      </c>
      <c r="J368">
        <v>0</v>
      </c>
    </row>
    <row r="369" spans="1:10" x14ac:dyDescent="0.25">
      <c r="A369" t="s">
        <v>235</v>
      </c>
      <c r="B369">
        <v>7172030015001000</v>
      </c>
      <c r="C369">
        <v>80</v>
      </c>
      <c r="D369">
        <v>7</v>
      </c>
      <c r="E369">
        <v>13</v>
      </c>
      <c r="F369">
        <v>12</v>
      </c>
      <c r="G369">
        <v>0</v>
      </c>
      <c r="H369">
        <v>0</v>
      </c>
      <c r="I369">
        <v>48</v>
      </c>
      <c r="J369">
        <v>0</v>
      </c>
    </row>
    <row r="370" spans="1:10" x14ac:dyDescent="0.25">
      <c r="A370" t="s">
        <v>235</v>
      </c>
      <c r="B370">
        <v>7172030015000400</v>
      </c>
      <c r="C370">
        <v>69</v>
      </c>
      <c r="D370">
        <v>0</v>
      </c>
      <c r="E370">
        <v>14</v>
      </c>
      <c r="F370">
        <v>51</v>
      </c>
      <c r="G370">
        <v>0</v>
      </c>
      <c r="H370">
        <v>0</v>
      </c>
      <c r="I370">
        <v>4</v>
      </c>
      <c r="J370">
        <v>0</v>
      </c>
    </row>
    <row r="371" spans="1:10" x14ac:dyDescent="0.25">
      <c r="A371" t="s">
        <v>235</v>
      </c>
      <c r="B371">
        <v>7172030015001100</v>
      </c>
      <c r="C371">
        <v>60</v>
      </c>
      <c r="D371">
        <v>11</v>
      </c>
      <c r="E371">
        <v>2</v>
      </c>
      <c r="F371">
        <v>18</v>
      </c>
      <c r="G371">
        <v>2</v>
      </c>
      <c r="H371">
        <v>0</v>
      </c>
      <c r="I371">
        <v>27</v>
      </c>
      <c r="J371">
        <v>0</v>
      </c>
    </row>
    <row r="372" spans="1:10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244</v>
      </c>
      <c r="D376">
        <v>46</v>
      </c>
      <c r="E376">
        <v>3</v>
      </c>
      <c r="F376">
        <v>42</v>
      </c>
      <c r="G376">
        <v>1</v>
      </c>
      <c r="H376">
        <v>0</v>
      </c>
      <c r="I376">
        <v>152</v>
      </c>
      <c r="J376">
        <v>0</v>
      </c>
    </row>
    <row r="377" spans="1:10" x14ac:dyDescent="0.25">
      <c r="A377" t="s">
        <v>236</v>
      </c>
      <c r="B377">
        <v>7172030014001200</v>
      </c>
      <c r="C377">
        <v>117</v>
      </c>
      <c r="D377">
        <v>9</v>
      </c>
      <c r="E377">
        <v>0</v>
      </c>
      <c r="F377">
        <v>94</v>
      </c>
      <c r="G377">
        <v>1</v>
      </c>
      <c r="H377">
        <v>0</v>
      </c>
      <c r="I377">
        <v>13</v>
      </c>
      <c r="J377">
        <v>0</v>
      </c>
    </row>
    <row r="378" spans="1:10" x14ac:dyDescent="0.25">
      <c r="A378" t="s">
        <v>236</v>
      </c>
      <c r="B378">
        <v>7172030014001000</v>
      </c>
      <c r="C378">
        <v>112</v>
      </c>
      <c r="D378">
        <v>1</v>
      </c>
      <c r="E378">
        <v>0</v>
      </c>
      <c r="F378">
        <v>111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7172030015001300</v>
      </c>
      <c r="C382">
        <v>96</v>
      </c>
      <c r="D382">
        <v>6</v>
      </c>
      <c r="E382">
        <v>20</v>
      </c>
      <c r="F382">
        <v>12</v>
      </c>
      <c r="G382">
        <v>0</v>
      </c>
      <c r="H382">
        <v>0</v>
      </c>
      <c r="I382">
        <v>58</v>
      </c>
      <c r="J382">
        <v>0</v>
      </c>
    </row>
    <row r="383" spans="1:10" x14ac:dyDescent="0.25">
      <c r="A383" t="s">
        <v>105</v>
      </c>
      <c r="B383">
        <v>7172030015001701</v>
      </c>
      <c r="C383">
        <v>86</v>
      </c>
      <c r="D383">
        <v>0</v>
      </c>
      <c r="E383">
        <v>6</v>
      </c>
      <c r="F383">
        <v>80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19</v>
      </c>
      <c r="E384">
        <v>5</v>
      </c>
      <c r="F384">
        <v>1</v>
      </c>
      <c r="G384">
        <v>0</v>
      </c>
      <c r="H384">
        <v>0</v>
      </c>
      <c r="I384">
        <v>42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7172031001001400</v>
      </c>
      <c r="C388">
        <v>56</v>
      </c>
      <c r="D388">
        <v>20</v>
      </c>
      <c r="E388">
        <v>12</v>
      </c>
      <c r="F388">
        <v>2</v>
      </c>
      <c r="G388">
        <v>4</v>
      </c>
      <c r="H388">
        <v>0</v>
      </c>
      <c r="I388">
        <v>18</v>
      </c>
      <c r="J388">
        <v>0</v>
      </c>
    </row>
    <row r="389" spans="1:10" x14ac:dyDescent="0.25">
      <c r="A389" t="s">
        <v>109</v>
      </c>
      <c r="B389">
        <v>7172031001000800</v>
      </c>
      <c r="C389">
        <v>49</v>
      </c>
      <c r="D389">
        <v>9</v>
      </c>
      <c r="E389">
        <v>38</v>
      </c>
      <c r="F389">
        <v>2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28</v>
      </c>
      <c r="E391">
        <v>5</v>
      </c>
      <c r="F391">
        <v>1</v>
      </c>
      <c r="G391">
        <v>5</v>
      </c>
      <c r="H391">
        <v>0</v>
      </c>
      <c r="I391">
        <v>8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7172031001001000</v>
      </c>
      <c r="C395">
        <v>32</v>
      </c>
      <c r="D395">
        <v>0</v>
      </c>
      <c r="E395">
        <v>2</v>
      </c>
      <c r="F395">
        <v>30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7172031001000300</v>
      </c>
      <c r="C396">
        <v>31</v>
      </c>
      <c r="D396">
        <v>0</v>
      </c>
      <c r="E396">
        <v>0</v>
      </c>
      <c r="F396">
        <v>31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7172031001000900</v>
      </c>
      <c r="C397">
        <v>29</v>
      </c>
      <c r="D397">
        <v>0</v>
      </c>
      <c r="E397">
        <v>17</v>
      </c>
      <c r="F397">
        <v>12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46</v>
      </c>
      <c r="E402">
        <v>2</v>
      </c>
      <c r="F402">
        <v>0</v>
      </c>
      <c r="G402">
        <v>26</v>
      </c>
      <c r="H402">
        <v>0</v>
      </c>
      <c r="I402">
        <v>8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7172031005001400</v>
      </c>
      <c r="C405">
        <v>67</v>
      </c>
      <c r="D405">
        <v>26</v>
      </c>
      <c r="E405">
        <v>14</v>
      </c>
      <c r="F405">
        <v>2</v>
      </c>
      <c r="G405">
        <v>1</v>
      </c>
      <c r="H405">
        <v>0</v>
      </c>
      <c r="I405">
        <v>24</v>
      </c>
      <c r="J405">
        <v>0</v>
      </c>
    </row>
    <row r="406" spans="1:10" x14ac:dyDescent="0.25">
      <c r="A406" t="s">
        <v>113</v>
      </c>
      <c r="B406">
        <v>7172031005001600</v>
      </c>
      <c r="C406">
        <v>61</v>
      </c>
      <c r="D406">
        <v>0</v>
      </c>
      <c r="E406">
        <v>10</v>
      </c>
      <c r="F406">
        <v>49</v>
      </c>
      <c r="G406">
        <v>0</v>
      </c>
      <c r="H406">
        <v>0</v>
      </c>
      <c r="I406">
        <v>2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79</v>
      </c>
      <c r="E408">
        <v>6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7172031003000500</v>
      </c>
      <c r="C409">
        <v>67</v>
      </c>
      <c r="D409">
        <v>0</v>
      </c>
      <c r="E409">
        <v>0</v>
      </c>
      <c r="F409">
        <v>67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7172031003000800</v>
      </c>
      <c r="C411">
        <v>57</v>
      </c>
      <c r="D411">
        <v>15</v>
      </c>
      <c r="E411">
        <v>0</v>
      </c>
      <c r="F411">
        <v>42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54</v>
      </c>
      <c r="D412">
        <v>45</v>
      </c>
      <c r="E412">
        <v>8</v>
      </c>
      <c r="F412">
        <v>0</v>
      </c>
      <c r="G412">
        <v>1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7172031003001000</v>
      </c>
      <c r="C413">
        <v>50</v>
      </c>
      <c r="D413">
        <v>2</v>
      </c>
      <c r="E413">
        <v>0</v>
      </c>
      <c r="F413">
        <v>48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6</v>
      </c>
      <c r="E418">
        <v>3</v>
      </c>
      <c r="F418">
        <v>25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7172031005000500</v>
      </c>
      <c r="C421">
        <v>73</v>
      </c>
      <c r="D421">
        <v>1</v>
      </c>
      <c r="E421">
        <v>0</v>
      </c>
      <c r="F421">
        <v>72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7172031005001200</v>
      </c>
      <c r="C422">
        <v>73</v>
      </c>
      <c r="D422">
        <v>0</v>
      </c>
      <c r="E422">
        <v>0</v>
      </c>
      <c r="F422">
        <v>73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7172031005000400</v>
      </c>
      <c r="C423">
        <v>71</v>
      </c>
      <c r="D423">
        <v>0</v>
      </c>
      <c r="E423">
        <v>0</v>
      </c>
      <c r="F423">
        <v>71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39</v>
      </c>
      <c r="E425">
        <v>5</v>
      </c>
      <c r="F425">
        <v>8</v>
      </c>
      <c r="G425">
        <v>1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47</v>
      </c>
      <c r="D427">
        <v>11</v>
      </c>
      <c r="E427">
        <v>2</v>
      </c>
      <c r="F427">
        <v>33</v>
      </c>
      <c r="G427">
        <v>1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204</v>
      </c>
      <c r="D433">
        <v>71</v>
      </c>
      <c r="E433">
        <v>45</v>
      </c>
      <c r="F433">
        <v>9</v>
      </c>
      <c r="G433">
        <v>46</v>
      </c>
      <c r="H433">
        <v>0</v>
      </c>
      <c r="I433">
        <v>33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112</v>
      </c>
      <c r="D435">
        <v>0</v>
      </c>
      <c r="E435">
        <v>12</v>
      </c>
      <c r="F435">
        <v>90</v>
      </c>
      <c r="G435">
        <v>0</v>
      </c>
      <c r="H435">
        <v>0</v>
      </c>
      <c r="I435">
        <v>10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130</v>
      </c>
      <c r="D439">
        <v>18</v>
      </c>
      <c r="E439">
        <v>20</v>
      </c>
      <c r="F439">
        <v>29</v>
      </c>
      <c r="G439">
        <v>1</v>
      </c>
      <c r="H439">
        <v>1</v>
      </c>
      <c r="I439">
        <v>61</v>
      </c>
      <c r="J439">
        <v>0</v>
      </c>
    </row>
    <row r="440" spans="1:10" x14ac:dyDescent="0.25">
      <c r="A440" t="s">
        <v>125</v>
      </c>
      <c r="B440">
        <v>7172031007000200</v>
      </c>
      <c r="C440">
        <v>99</v>
      </c>
      <c r="D440">
        <v>0</v>
      </c>
      <c r="E440">
        <v>0</v>
      </c>
      <c r="F440">
        <v>99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7172031007000500</v>
      </c>
      <c r="C441">
        <v>99</v>
      </c>
      <c r="D441">
        <v>63</v>
      </c>
      <c r="E441">
        <v>13</v>
      </c>
      <c r="F441">
        <v>5</v>
      </c>
      <c r="G441">
        <v>3</v>
      </c>
      <c r="H441">
        <v>0</v>
      </c>
      <c r="I441">
        <v>15</v>
      </c>
      <c r="J441">
        <v>0</v>
      </c>
    </row>
    <row r="442" spans="1:10" x14ac:dyDescent="0.25">
      <c r="A442" t="s">
        <v>125</v>
      </c>
      <c r="B442">
        <v>7172031007002500</v>
      </c>
      <c r="C442">
        <v>66</v>
      </c>
      <c r="D442">
        <v>0</v>
      </c>
      <c r="E442">
        <v>0</v>
      </c>
      <c r="F442">
        <v>66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28</v>
      </c>
      <c r="E444">
        <v>0</v>
      </c>
      <c r="F444">
        <v>0</v>
      </c>
      <c r="G444">
        <v>6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184</v>
      </c>
      <c r="D445">
        <v>97</v>
      </c>
      <c r="E445">
        <v>8</v>
      </c>
      <c r="F445">
        <v>0</v>
      </c>
      <c r="G445">
        <v>1</v>
      </c>
      <c r="H445">
        <v>0</v>
      </c>
      <c r="I445">
        <v>78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7172031007001300</v>
      </c>
      <c r="C447">
        <v>94</v>
      </c>
      <c r="D447">
        <v>0</v>
      </c>
      <c r="E447">
        <v>0</v>
      </c>
      <c r="F447">
        <v>94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7172031007000900</v>
      </c>
      <c r="C448">
        <v>92</v>
      </c>
      <c r="D448">
        <v>0</v>
      </c>
      <c r="E448">
        <v>0</v>
      </c>
      <c r="F448">
        <v>92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7172031007000700</v>
      </c>
      <c r="C449">
        <v>88</v>
      </c>
      <c r="D449">
        <v>0</v>
      </c>
      <c r="E449">
        <v>8</v>
      </c>
      <c r="F449">
        <v>59</v>
      </c>
      <c r="G449">
        <v>0</v>
      </c>
      <c r="H449">
        <v>0</v>
      </c>
      <c r="I449">
        <v>21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174</v>
      </c>
      <c r="D451">
        <v>107</v>
      </c>
      <c r="E451">
        <v>9</v>
      </c>
      <c r="F451">
        <v>13</v>
      </c>
      <c r="G451">
        <v>30</v>
      </c>
      <c r="H451">
        <v>1</v>
      </c>
      <c r="I451">
        <v>14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0</v>
      </c>
      <c r="E454">
        <v>0</v>
      </c>
      <c r="F454">
        <v>89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67</v>
      </c>
      <c r="D455">
        <v>7</v>
      </c>
      <c r="E455">
        <v>0</v>
      </c>
      <c r="F455">
        <v>60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46</v>
      </c>
      <c r="D456">
        <v>9</v>
      </c>
      <c r="E456">
        <v>0</v>
      </c>
      <c r="F456">
        <v>37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135</v>
      </c>
      <c r="D457">
        <v>2</v>
      </c>
      <c r="E457">
        <v>33</v>
      </c>
      <c r="F457">
        <v>97</v>
      </c>
      <c r="G457">
        <v>1</v>
      </c>
      <c r="H457">
        <v>0</v>
      </c>
      <c r="I457">
        <v>2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31</v>
      </c>
      <c r="E460">
        <v>3</v>
      </c>
      <c r="F460">
        <v>7</v>
      </c>
      <c r="G460">
        <v>12</v>
      </c>
      <c r="H460">
        <v>0</v>
      </c>
      <c r="I460">
        <v>39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171</v>
      </c>
      <c r="D463">
        <v>0</v>
      </c>
      <c r="E463">
        <v>1</v>
      </c>
      <c r="F463">
        <v>145</v>
      </c>
      <c r="G463">
        <v>0</v>
      </c>
      <c r="H463">
        <v>0</v>
      </c>
      <c r="I463">
        <v>25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79</v>
      </c>
      <c r="E464">
        <v>3</v>
      </c>
      <c r="F464">
        <v>24</v>
      </c>
      <c r="G464">
        <v>0</v>
      </c>
      <c r="H464">
        <v>0</v>
      </c>
      <c r="I464">
        <v>36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97</v>
      </c>
      <c r="D468">
        <v>17</v>
      </c>
      <c r="E468">
        <v>7</v>
      </c>
      <c r="F468">
        <v>5</v>
      </c>
      <c r="G468">
        <v>1</v>
      </c>
      <c r="H468">
        <v>0</v>
      </c>
      <c r="I468">
        <v>67</v>
      </c>
      <c r="J468">
        <v>0</v>
      </c>
    </row>
    <row r="469" spans="1:10" x14ac:dyDescent="0.25">
      <c r="A469" t="s">
        <v>131</v>
      </c>
      <c r="B469">
        <v>7172040007000200</v>
      </c>
      <c r="C469">
        <v>79</v>
      </c>
      <c r="D469">
        <v>0</v>
      </c>
      <c r="E469">
        <v>0</v>
      </c>
      <c r="F469">
        <v>77</v>
      </c>
      <c r="G469">
        <v>0</v>
      </c>
      <c r="H469">
        <v>0</v>
      </c>
      <c r="I469">
        <v>2</v>
      </c>
      <c r="J469">
        <v>0</v>
      </c>
    </row>
    <row r="470" spans="1:10" x14ac:dyDescent="0.25">
      <c r="A470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7172040007000100</v>
      </c>
      <c r="C471">
        <v>72</v>
      </c>
      <c r="D471">
        <v>0</v>
      </c>
      <c r="E471">
        <v>0</v>
      </c>
      <c r="F471">
        <v>68</v>
      </c>
      <c r="G471">
        <v>0</v>
      </c>
      <c r="H471">
        <v>0</v>
      </c>
      <c r="I471">
        <v>4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17</v>
      </c>
      <c r="E475">
        <v>2</v>
      </c>
      <c r="F475">
        <v>2</v>
      </c>
      <c r="G475">
        <v>25</v>
      </c>
      <c r="H475">
        <v>0</v>
      </c>
      <c r="I475">
        <v>1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116</v>
      </c>
      <c r="D478">
        <v>1</v>
      </c>
      <c r="E478">
        <v>43</v>
      </c>
      <c r="F478">
        <v>61</v>
      </c>
      <c r="G478">
        <v>0</v>
      </c>
      <c r="H478">
        <v>0</v>
      </c>
      <c r="I478">
        <v>11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t="s">
        <v>137</v>
      </c>
      <c r="B480">
        <v>7172040005000700</v>
      </c>
      <c r="C480">
        <v>63</v>
      </c>
      <c r="D480">
        <v>44</v>
      </c>
      <c r="E480">
        <v>0</v>
      </c>
      <c r="F480">
        <v>5</v>
      </c>
      <c r="G480">
        <v>10</v>
      </c>
      <c r="H480">
        <v>0</v>
      </c>
      <c r="I480">
        <v>4</v>
      </c>
      <c r="J480">
        <v>0</v>
      </c>
    </row>
    <row r="481" spans="1:10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6</v>
      </c>
      <c r="E483">
        <v>8</v>
      </c>
      <c r="F483">
        <v>9</v>
      </c>
      <c r="G483">
        <v>1</v>
      </c>
      <c r="H483">
        <v>0</v>
      </c>
      <c r="I483">
        <v>25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0</v>
      </c>
      <c r="F487">
        <v>38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109</v>
      </c>
      <c r="D490">
        <v>0</v>
      </c>
      <c r="E490">
        <v>6</v>
      </c>
      <c r="F490">
        <v>103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74</v>
      </c>
      <c r="D492">
        <v>0</v>
      </c>
      <c r="E492">
        <v>23</v>
      </c>
      <c r="F492">
        <v>35</v>
      </c>
      <c r="G492">
        <v>8</v>
      </c>
      <c r="H492">
        <v>0</v>
      </c>
      <c r="I492">
        <v>8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8</v>
      </c>
      <c r="E494">
        <v>18</v>
      </c>
      <c r="F494">
        <v>10</v>
      </c>
      <c r="G494">
        <v>2</v>
      </c>
      <c r="H494">
        <v>0</v>
      </c>
      <c r="I494">
        <v>18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27</v>
      </c>
      <c r="E496">
        <v>34</v>
      </c>
      <c r="F496">
        <v>1</v>
      </c>
      <c r="G496">
        <v>0</v>
      </c>
      <c r="H496">
        <v>0</v>
      </c>
      <c r="I496">
        <v>76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18</v>
      </c>
      <c r="E497">
        <v>48</v>
      </c>
      <c r="F497">
        <v>6</v>
      </c>
      <c r="G497">
        <v>2</v>
      </c>
      <c r="H497">
        <v>0</v>
      </c>
      <c r="I497">
        <v>24</v>
      </c>
      <c r="J497">
        <v>0</v>
      </c>
    </row>
    <row r="498" spans="1:10" x14ac:dyDescent="0.25">
      <c r="A498" t="s">
        <v>141</v>
      </c>
      <c r="B498">
        <v>7172040012001200</v>
      </c>
      <c r="C498">
        <v>70</v>
      </c>
      <c r="D498">
        <v>0</v>
      </c>
      <c r="E498">
        <v>4</v>
      </c>
      <c r="F498">
        <v>58</v>
      </c>
      <c r="G498">
        <v>0</v>
      </c>
      <c r="H498">
        <v>0</v>
      </c>
      <c r="I498">
        <v>8</v>
      </c>
      <c r="J498">
        <v>0</v>
      </c>
    </row>
    <row r="499" spans="1:10" x14ac:dyDescent="0.25">
      <c r="A499" t="s">
        <v>141</v>
      </c>
      <c r="B499">
        <v>7172040012001300</v>
      </c>
      <c r="C499">
        <v>54</v>
      </c>
      <c r="D499">
        <v>0</v>
      </c>
      <c r="E499">
        <v>0</v>
      </c>
      <c r="F499">
        <v>54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7172040012001400</v>
      </c>
      <c r="C500">
        <v>52</v>
      </c>
      <c r="D500">
        <v>0</v>
      </c>
      <c r="E500">
        <v>33</v>
      </c>
      <c r="F500">
        <v>4</v>
      </c>
      <c r="G500">
        <v>0</v>
      </c>
      <c r="H500">
        <v>0</v>
      </c>
      <c r="I500">
        <v>15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39</v>
      </c>
      <c r="D502">
        <v>0</v>
      </c>
      <c r="E502">
        <v>2</v>
      </c>
      <c r="F502">
        <v>33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0</v>
      </c>
      <c r="E504">
        <v>1</v>
      </c>
      <c r="F504">
        <v>30</v>
      </c>
      <c r="G504">
        <v>0</v>
      </c>
      <c r="H504">
        <v>0</v>
      </c>
      <c r="I504">
        <v>7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0</v>
      </c>
      <c r="E505">
        <v>1</v>
      </c>
      <c r="F505">
        <v>27</v>
      </c>
      <c r="G505">
        <v>0</v>
      </c>
      <c r="H505">
        <v>0</v>
      </c>
      <c r="I505">
        <v>6</v>
      </c>
      <c r="J505">
        <v>0</v>
      </c>
    </row>
    <row r="506" spans="1:10" x14ac:dyDescent="0.25">
      <c r="A506" t="s">
        <v>142</v>
      </c>
      <c r="B506">
        <v>7172040013000600</v>
      </c>
      <c r="C506">
        <v>119</v>
      </c>
      <c r="D506">
        <v>21</v>
      </c>
      <c r="E506">
        <v>34</v>
      </c>
      <c r="F506">
        <v>54</v>
      </c>
      <c r="G506">
        <v>1</v>
      </c>
      <c r="H506">
        <v>0</v>
      </c>
      <c r="I506">
        <v>9</v>
      </c>
      <c r="J506">
        <v>0</v>
      </c>
    </row>
    <row r="507" spans="1:10" x14ac:dyDescent="0.25">
      <c r="A507" t="s">
        <v>142</v>
      </c>
      <c r="B507">
        <v>7172040013000800</v>
      </c>
      <c r="C507">
        <v>88</v>
      </c>
      <c r="D507">
        <v>16</v>
      </c>
      <c r="E507">
        <v>10</v>
      </c>
      <c r="F507">
        <v>5</v>
      </c>
      <c r="G507">
        <v>51</v>
      </c>
      <c r="H507">
        <v>1</v>
      </c>
      <c r="I507">
        <v>5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68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142</v>
      </c>
      <c r="D517">
        <v>34</v>
      </c>
      <c r="E517">
        <v>13</v>
      </c>
      <c r="F517">
        <v>54</v>
      </c>
      <c r="G517">
        <v>0</v>
      </c>
      <c r="H517">
        <v>0</v>
      </c>
      <c r="I517">
        <v>41</v>
      </c>
      <c r="J517">
        <v>0</v>
      </c>
    </row>
    <row r="518" spans="1:10" x14ac:dyDescent="0.25">
      <c r="A518" t="s">
        <v>5</v>
      </c>
      <c r="B518">
        <v>7172010008001400</v>
      </c>
      <c r="C518">
        <v>110</v>
      </c>
      <c r="D518">
        <v>8</v>
      </c>
      <c r="E518">
        <v>5</v>
      </c>
      <c r="F518">
        <v>35</v>
      </c>
      <c r="G518">
        <v>0</v>
      </c>
      <c r="H518">
        <v>0</v>
      </c>
      <c r="I518">
        <v>62</v>
      </c>
      <c r="J518">
        <v>0</v>
      </c>
    </row>
    <row r="519" spans="1:10" x14ac:dyDescent="0.25">
      <c r="A519" t="s">
        <v>5</v>
      </c>
      <c r="B519">
        <v>7172010008001102</v>
      </c>
      <c r="C519">
        <v>102</v>
      </c>
      <c r="D519">
        <v>0</v>
      </c>
      <c r="E519">
        <v>19</v>
      </c>
      <c r="F519">
        <v>75</v>
      </c>
      <c r="G519">
        <v>1</v>
      </c>
      <c r="H519">
        <v>0</v>
      </c>
      <c r="I519">
        <v>7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38</v>
      </c>
      <c r="E523">
        <v>0</v>
      </c>
      <c r="F523">
        <v>1</v>
      </c>
      <c r="G523">
        <v>0</v>
      </c>
      <c r="H523">
        <v>0</v>
      </c>
      <c r="I523">
        <v>48</v>
      </c>
      <c r="J523">
        <v>0</v>
      </c>
    </row>
    <row r="524" spans="1:10" x14ac:dyDescent="0.25">
      <c r="A524" t="s">
        <v>8</v>
      </c>
      <c r="B524">
        <v>7172010009000400</v>
      </c>
      <c r="C524">
        <v>68</v>
      </c>
      <c r="D524">
        <v>0</v>
      </c>
      <c r="E524">
        <v>0</v>
      </c>
      <c r="F524">
        <v>34</v>
      </c>
      <c r="G524">
        <v>0</v>
      </c>
      <c r="H524">
        <v>0</v>
      </c>
      <c r="I524">
        <v>34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2</v>
      </c>
      <c r="E527">
        <v>1</v>
      </c>
      <c r="F527">
        <v>25</v>
      </c>
      <c r="G527">
        <v>0</v>
      </c>
      <c r="H527">
        <v>0</v>
      </c>
      <c r="I527">
        <v>27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7172010009000500</v>
      </c>
      <c r="C533">
        <v>27</v>
      </c>
      <c r="D533">
        <v>0</v>
      </c>
      <c r="E533">
        <v>0</v>
      </c>
      <c r="F533">
        <v>27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61</v>
      </c>
      <c r="D537">
        <v>0</v>
      </c>
      <c r="E537">
        <v>2</v>
      </c>
      <c r="F537">
        <v>15</v>
      </c>
      <c r="G537">
        <v>1</v>
      </c>
      <c r="H537">
        <v>0</v>
      </c>
      <c r="I537">
        <v>43</v>
      </c>
      <c r="J537">
        <v>0</v>
      </c>
    </row>
    <row r="538" spans="1:10" x14ac:dyDescent="0.25">
      <c r="A538" t="s">
        <v>9</v>
      </c>
      <c r="B538">
        <v>7172010009001200</v>
      </c>
      <c r="C538">
        <v>60</v>
      </c>
      <c r="D538">
        <v>5</v>
      </c>
      <c r="E538">
        <v>3</v>
      </c>
      <c r="F538">
        <v>9</v>
      </c>
      <c r="G538">
        <v>0</v>
      </c>
      <c r="H538">
        <v>0</v>
      </c>
      <c r="I538">
        <v>43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7172010009001000</v>
      </c>
      <c r="C540">
        <v>59</v>
      </c>
      <c r="D540">
        <v>0</v>
      </c>
      <c r="E540">
        <v>6</v>
      </c>
      <c r="F540">
        <v>25</v>
      </c>
      <c r="G540">
        <v>0</v>
      </c>
      <c r="H540">
        <v>0</v>
      </c>
      <c r="I540">
        <v>28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7172010009001400</v>
      </c>
      <c r="C543">
        <v>45</v>
      </c>
      <c r="D543">
        <v>0</v>
      </c>
      <c r="E543">
        <v>0</v>
      </c>
      <c r="F543">
        <v>45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7172010009001500</v>
      </c>
      <c r="C544">
        <v>44</v>
      </c>
      <c r="D544">
        <v>0</v>
      </c>
      <c r="E544">
        <v>0</v>
      </c>
      <c r="F544">
        <v>44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7172010009000900</v>
      </c>
      <c r="C545">
        <v>43</v>
      </c>
      <c r="D545">
        <v>0</v>
      </c>
      <c r="E545">
        <v>11</v>
      </c>
      <c r="F545">
        <v>19</v>
      </c>
      <c r="G545">
        <v>0</v>
      </c>
      <c r="H545">
        <v>0</v>
      </c>
      <c r="I545">
        <v>13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7172010009002000</v>
      </c>
      <c r="C548">
        <v>33</v>
      </c>
      <c r="D548">
        <v>0</v>
      </c>
      <c r="E548">
        <v>0</v>
      </c>
      <c r="F548">
        <v>33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7172010009000800</v>
      </c>
      <c r="C549">
        <v>32</v>
      </c>
      <c r="D549">
        <v>0</v>
      </c>
      <c r="E549">
        <v>1</v>
      </c>
      <c r="F549">
        <v>31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116</v>
      </c>
      <c r="D551">
        <v>25</v>
      </c>
      <c r="E551">
        <v>15</v>
      </c>
      <c r="F551">
        <v>47</v>
      </c>
      <c r="G551">
        <v>0</v>
      </c>
      <c r="H551">
        <v>0</v>
      </c>
      <c r="I551">
        <v>29</v>
      </c>
      <c r="J551">
        <v>0</v>
      </c>
    </row>
    <row r="552" spans="1:10" x14ac:dyDescent="0.25">
      <c r="A552" t="s">
        <v>11</v>
      </c>
      <c r="B552">
        <v>7172010009003100</v>
      </c>
      <c r="C552">
        <v>102</v>
      </c>
      <c r="D552">
        <v>16</v>
      </c>
      <c r="E552">
        <v>2</v>
      </c>
      <c r="F552">
        <v>0</v>
      </c>
      <c r="G552">
        <v>0</v>
      </c>
      <c r="H552">
        <v>1</v>
      </c>
      <c r="I552">
        <v>83</v>
      </c>
      <c r="J552">
        <v>0</v>
      </c>
    </row>
    <row r="553" spans="1:10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87</v>
      </c>
      <c r="D559">
        <v>0</v>
      </c>
      <c r="E559">
        <v>1</v>
      </c>
      <c r="F559">
        <v>64</v>
      </c>
      <c r="G559">
        <v>0</v>
      </c>
      <c r="H559">
        <v>0</v>
      </c>
      <c r="I559">
        <v>22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27</v>
      </c>
      <c r="E560">
        <v>1</v>
      </c>
      <c r="F560">
        <v>4</v>
      </c>
      <c r="G560">
        <v>0</v>
      </c>
      <c r="H560">
        <v>0</v>
      </c>
      <c r="I560">
        <v>43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17</v>
      </c>
      <c r="E564">
        <v>1</v>
      </c>
      <c r="F564">
        <v>5</v>
      </c>
      <c r="G564">
        <v>2</v>
      </c>
      <c r="H564">
        <v>0</v>
      </c>
      <c r="I564">
        <v>28</v>
      </c>
      <c r="J564">
        <v>0</v>
      </c>
    </row>
    <row r="565" spans="1:10" x14ac:dyDescent="0.25">
      <c r="A565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60</v>
      </c>
      <c r="D571">
        <v>4</v>
      </c>
      <c r="E571">
        <v>0</v>
      </c>
      <c r="F571">
        <v>2</v>
      </c>
      <c r="G571">
        <v>0</v>
      </c>
      <c r="H571">
        <v>0</v>
      </c>
      <c r="I571">
        <v>54</v>
      </c>
      <c r="J571">
        <v>0</v>
      </c>
    </row>
    <row r="572" spans="1:10" x14ac:dyDescent="0.25">
      <c r="A572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t="s">
        <v>14</v>
      </c>
      <c r="B573">
        <v>7172010011001800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17</v>
      </c>
      <c r="E574">
        <v>0</v>
      </c>
      <c r="F574">
        <v>2</v>
      </c>
      <c r="G574">
        <v>0</v>
      </c>
      <c r="H574">
        <v>0</v>
      </c>
      <c r="I574">
        <v>27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7172010011001700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7172010011001500</v>
      </c>
      <c r="C577">
        <v>35</v>
      </c>
      <c r="D577">
        <v>0</v>
      </c>
      <c r="E577">
        <v>0</v>
      </c>
      <c r="F577">
        <v>35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7172010011001200</v>
      </c>
      <c r="C578">
        <v>34</v>
      </c>
      <c r="D578">
        <v>1</v>
      </c>
      <c r="E578">
        <v>2</v>
      </c>
      <c r="F578">
        <v>12</v>
      </c>
      <c r="G578">
        <v>0</v>
      </c>
      <c r="H578">
        <v>0</v>
      </c>
      <c r="I578">
        <v>19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0</v>
      </c>
      <c r="E583">
        <v>0</v>
      </c>
      <c r="F583">
        <v>23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26</v>
      </c>
      <c r="E584">
        <v>3</v>
      </c>
      <c r="F584">
        <v>3</v>
      </c>
      <c r="G584">
        <v>0</v>
      </c>
      <c r="H584">
        <v>0</v>
      </c>
      <c r="I584">
        <v>57</v>
      </c>
      <c r="J584">
        <v>0</v>
      </c>
    </row>
    <row r="585" spans="1:10" x14ac:dyDescent="0.25">
      <c r="A585" t="s">
        <v>15</v>
      </c>
      <c r="B585">
        <v>7172010012000700</v>
      </c>
      <c r="C585">
        <v>74</v>
      </c>
      <c r="D585">
        <v>28</v>
      </c>
      <c r="E585">
        <v>4</v>
      </c>
      <c r="F585">
        <v>1</v>
      </c>
      <c r="G585">
        <v>6</v>
      </c>
      <c r="H585">
        <v>0</v>
      </c>
      <c r="I585">
        <v>35</v>
      </c>
      <c r="J585">
        <v>0</v>
      </c>
    </row>
    <row r="586" spans="1:10" x14ac:dyDescent="0.25">
      <c r="A586" t="s">
        <v>15</v>
      </c>
      <c r="B586">
        <v>7172010012000300</v>
      </c>
      <c r="C586">
        <v>73</v>
      </c>
      <c r="D586">
        <v>0</v>
      </c>
      <c r="E586">
        <v>16</v>
      </c>
      <c r="F586">
        <v>51</v>
      </c>
      <c r="G586">
        <v>0</v>
      </c>
      <c r="H586">
        <v>0</v>
      </c>
      <c r="I586">
        <v>6</v>
      </c>
      <c r="J586">
        <v>0</v>
      </c>
    </row>
    <row r="587" spans="1:10" x14ac:dyDescent="0.25">
      <c r="A587" t="s">
        <v>15</v>
      </c>
      <c r="B587">
        <v>7172010012001100</v>
      </c>
      <c r="C587">
        <v>56</v>
      </c>
      <c r="D587">
        <v>0</v>
      </c>
      <c r="E587">
        <v>0</v>
      </c>
      <c r="F587">
        <v>56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7172010012000100</v>
      </c>
      <c r="C588">
        <v>50</v>
      </c>
      <c r="D588">
        <v>12</v>
      </c>
      <c r="E588">
        <v>2</v>
      </c>
      <c r="F588">
        <v>12</v>
      </c>
      <c r="G588">
        <v>0</v>
      </c>
      <c r="H588">
        <v>0</v>
      </c>
      <c r="I588">
        <v>24</v>
      </c>
      <c r="J588">
        <v>0</v>
      </c>
    </row>
    <row r="589" spans="1:10" x14ac:dyDescent="0.25">
      <c r="A589" t="s">
        <v>15</v>
      </c>
      <c r="B589">
        <v>7172010012000200</v>
      </c>
      <c r="C589">
        <v>47</v>
      </c>
      <c r="D589">
        <v>4</v>
      </c>
      <c r="E589">
        <v>0</v>
      </c>
      <c r="F589">
        <v>15</v>
      </c>
      <c r="G589">
        <v>0</v>
      </c>
      <c r="H589">
        <v>0</v>
      </c>
      <c r="I589">
        <v>28</v>
      </c>
      <c r="J589">
        <v>0</v>
      </c>
    </row>
    <row r="590" spans="1:10" x14ac:dyDescent="0.25">
      <c r="A590" t="s">
        <v>15</v>
      </c>
      <c r="B590">
        <v>7172010012000500</v>
      </c>
      <c r="C590">
        <v>47</v>
      </c>
      <c r="D590">
        <v>0</v>
      </c>
      <c r="E590">
        <v>0</v>
      </c>
      <c r="F590">
        <v>47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19</v>
      </c>
      <c r="E598">
        <v>19</v>
      </c>
      <c r="F598">
        <v>25</v>
      </c>
      <c r="G598">
        <v>4</v>
      </c>
      <c r="H598">
        <v>0</v>
      </c>
      <c r="I598">
        <v>78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7172010015003000</v>
      </c>
      <c r="C600">
        <v>69</v>
      </c>
      <c r="D600">
        <v>0</v>
      </c>
      <c r="E600">
        <v>24</v>
      </c>
      <c r="F600">
        <v>34</v>
      </c>
      <c r="G600">
        <v>0</v>
      </c>
      <c r="H600">
        <v>0</v>
      </c>
      <c r="I600">
        <v>11</v>
      </c>
      <c r="J600">
        <v>0</v>
      </c>
    </row>
    <row r="601" spans="1:10" x14ac:dyDescent="0.25">
      <c r="A601" t="s">
        <v>23</v>
      </c>
      <c r="B601">
        <v>7172010015002900</v>
      </c>
      <c r="C601">
        <v>58</v>
      </c>
      <c r="D601">
        <v>0</v>
      </c>
      <c r="E601">
        <v>0</v>
      </c>
      <c r="F601">
        <v>58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51</v>
      </c>
      <c r="D602">
        <v>0</v>
      </c>
      <c r="E602">
        <v>8</v>
      </c>
      <c r="F602">
        <v>42</v>
      </c>
      <c r="G602">
        <v>0</v>
      </c>
      <c r="H602">
        <v>0</v>
      </c>
      <c r="I602">
        <v>1</v>
      </c>
      <c r="J602">
        <v>0</v>
      </c>
    </row>
    <row r="603" spans="1:10" x14ac:dyDescent="0.25">
      <c r="A603" t="s">
        <v>23</v>
      </c>
      <c r="B603">
        <v>7172010015001200</v>
      </c>
      <c r="C603">
        <v>37</v>
      </c>
      <c r="D603">
        <v>0</v>
      </c>
      <c r="E603">
        <v>4</v>
      </c>
      <c r="F603">
        <v>21</v>
      </c>
      <c r="G603">
        <v>0</v>
      </c>
      <c r="H603">
        <v>0</v>
      </c>
      <c r="I603">
        <v>12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7172010015001500</v>
      </c>
      <c r="C605">
        <v>117</v>
      </c>
      <c r="D605">
        <v>54</v>
      </c>
      <c r="E605">
        <v>0</v>
      </c>
      <c r="F605">
        <v>1</v>
      </c>
      <c r="G605">
        <v>0</v>
      </c>
      <c r="H605">
        <v>0</v>
      </c>
      <c r="I605">
        <v>62</v>
      </c>
      <c r="J605">
        <v>0</v>
      </c>
    </row>
    <row r="606" spans="1:10" x14ac:dyDescent="0.25">
      <c r="A606" t="s">
        <v>21</v>
      </c>
      <c r="B606">
        <v>7172010015001600</v>
      </c>
      <c r="C606">
        <v>113</v>
      </c>
      <c r="D606">
        <v>0</v>
      </c>
      <c r="E606">
        <v>0</v>
      </c>
      <c r="F606">
        <v>110</v>
      </c>
      <c r="G606">
        <v>0</v>
      </c>
      <c r="H606">
        <v>0</v>
      </c>
      <c r="I606">
        <v>3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64</v>
      </c>
      <c r="D608">
        <v>7</v>
      </c>
      <c r="E608">
        <v>0</v>
      </c>
      <c r="F608">
        <v>22</v>
      </c>
      <c r="G608">
        <v>0</v>
      </c>
      <c r="H608">
        <v>0</v>
      </c>
      <c r="I608">
        <v>35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192</v>
      </c>
      <c r="D611">
        <v>64</v>
      </c>
      <c r="E611">
        <v>4</v>
      </c>
      <c r="F611">
        <v>7</v>
      </c>
      <c r="G611">
        <v>113</v>
      </c>
      <c r="H611">
        <v>0</v>
      </c>
      <c r="I611">
        <v>4</v>
      </c>
      <c r="J611">
        <v>0</v>
      </c>
    </row>
    <row r="612" spans="1:10" x14ac:dyDescent="0.25">
      <c r="A612" t="s">
        <v>7</v>
      </c>
      <c r="B612">
        <v>7172010008001101</v>
      </c>
      <c r="C612">
        <v>164</v>
      </c>
      <c r="D612">
        <v>0</v>
      </c>
      <c r="E612">
        <v>0</v>
      </c>
      <c r="F612">
        <v>164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146</v>
      </c>
      <c r="D613">
        <v>43</v>
      </c>
      <c r="E613">
        <v>3</v>
      </c>
      <c r="F613">
        <v>27</v>
      </c>
      <c r="G613">
        <v>59</v>
      </c>
      <c r="H613">
        <v>0</v>
      </c>
      <c r="I613">
        <v>14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132</v>
      </c>
      <c r="D617">
        <v>0</v>
      </c>
      <c r="E617">
        <v>25</v>
      </c>
      <c r="F617">
        <v>65</v>
      </c>
      <c r="G617">
        <v>0</v>
      </c>
      <c r="H617">
        <v>0</v>
      </c>
      <c r="I617">
        <v>42</v>
      </c>
      <c r="J617">
        <v>0</v>
      </c>
    </row>
    <row r="618" spans="1:10" x14ac:dyDescent="0.25">
      <c r="A618" t="s">
        <v>237</v>
      </c>
      <c r="B618">
        <v>7172010017000800</v>
      </c>
      <c r="C618">
        <v>96</v>
      </c>
      <c r="D618">
        <v>39</v>
      </c>
      <c r="E618">
        <v>0</v>
      </c>
      <c r="F618">
        <v>0</v>
      </c>
      <c r="G618">
        <v>10</v>
      </c>
      <c r="H618">
        <v>0</v>
      </c>
      <c r="I618">
        <v>47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0</v>
      </c>
      <c r="E619">
        <v>0</v>
      </c>
      <c r="F619">
        <v>74</v>
      </c>
      <c r="G619">
        <v>0</v>
      </c>
      <c r="H619">
        <v>0</v>
      </c>
      <c r="I619">
        <v>6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1</v>
      </c>
      <c r="F624">
        <v>39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56</v>
      </c>
      <c r="E626">
        <v>4</v>
      </c>
      <c r="F626">
        <v>39</v>
      </c>
      <c r="G626">
        <v>10</v>
      </c>
      <c r="H626">
        <v>0</v>
      </c>
      <c r="I626">
        <v>68</v>
      </c>
      <c r="J626">
        <v>0</v>
      </c>
    </row>
    <row r="627" spans="1:10" x14ac:dyDescent="0.25">
      <c r="A627" t="s">
        <v>27</v>
      </c>
      <c r="B627">
        <v>7172011002000600</v>
      </c>
      <c r="C627">
        <v>155</v>
      </c>
      <c r="D627">
        <v>6</v>
      </c>
      <c r="E627">
        <v>8</v>
      </c>
      <c r="F627">
        <v>89</v>
      </c>
      <c r="G627">
        <v>0</v>
      </c>
      <c r="H627">
        <v>0</v>
      </c>
      <c r="I627">
        <v>52</v>
      </c>
      <c r="J627">
        <v>0</v>
      </c>
    </row>
    <row r="628" spans="1:10" x14ac:dyDescent="0.25">
      <c r="A628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7172011002001200</v>
      </c>
      <c r="C633">
        <v>113</v>
      </c>
      <c r="D633">
        <v>32</v>
      </c>
      <c r="E633">
        <v>13</v>
      </c>
      <c r="F633">
        <v>46</v>
      </c>
      <c r="G633">
        <v>1</v>
      </c>
      <c r="H633">
        <v>0</v>
      </c>
      <c r="I633">
        <v>21</v>
      </c>
      <c r="J633">
        <v>0</v>
      </c>
    </row>
    <row r="634" spans="1:10" x14ac:dyDescent="0.25">
      <c r="A634" t="s">
        <v>29</v>
      </c>
      <c r="B634">
        <v>7172011002001600</v>
      </c>
      <c r="C634">
        <v>93</v>
      </c>
      <c r="D634">
        <v>16</v>
      </c>
      <c r="E634">
        <v>11</v>
      </c>
      <c r="F634">
        <v>62</v>
      </c>
      <c r="G634">
        <v>0</v>
      </c>
      <c r="H634">
        <v>0</v>
      </c>
      <c r="I634">
        <v>4</v>
      </c>
      <c r="J634">
        <v>0</v>
      </c>
    </row>
    <row r="635" spans="1:10" x14ac:dyDescent="0.25">
      <c r="A635" t="s">
        <v>29</v>
      </c>
      <c r="B635">
        <v>7172011011000500</v>
      </c>
      <c r="C635">
        <v>89</v>
      </c>
      <c r="D635">
        <v>33</v>
      </c>
      <c r="E635">
        <v>5</v>
      </c>
      <c r="F635">
        <v>0</v>
      </c>
      <c r="G635">
        <v>1</v>
      </c>
      <c r="H635">
        <v>0</v>
      </c>
      <c r="I635">
        <v>50</v>
      </c>
      <c r="J635">
        <v>0</v>
      </c>
    </row>
    <row r="636" spans="1:10" x14ac:dyDescent="0.25">
      <c r="A636" t="s">
        <v>29</v>
      </c>
      <c r="B636">
        <v>7172011002001500</v>
      </c>
      <c r="C636">
        <v>84</v>
      </c>
      <c r="D636">
        <v>0</v>
      </c>
      <c r="E636">
        <v>0</v>
      </c>
      <c r="F636">
        <v>84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165</v>
      </c>
      <c r="D643">
        <v>17</v>
      </c>
      <c r="E643">
        <v>37</v>
      </c>
      <c r="F643">
        <v>51</v>
      </c>
      <c r="G643">
        <v>7</v>
      </c>
      <c r="H643">
        <v>0</v>
      </c>
      <c r="I643">
        <v>53</v>
      </c>
      <c r="J643">
        <v>0</v>
      </c>
    </row>
    <row r="644" spans="1:10" x14ac:dyDescent="0.25">
      <c r="A644" t="s">
        <v>30</v>
      </c>
      <c r="B644">
        <v>7172011003000400</v>
      </c>
      <c r="C644">
        <v>127</v>
      </c>
      <c r="D644">
        <v>0</v>
      </c>
      <c r="E644">
        <v>15</v>
      </c>
      <c r="F644">
        <v>102</v>
      </c>
      <c r="G644">
        <v>0</v>
      </c>
      <c r="H644">
        <v>0</v>
      </c>
      <c r="I644">
        <v>10</v>
      </c>
      <c r="J644">
        <v>0</v>
      </c>
    </row>
    <row r="645" spans="1:10" x14ac:dyDescent="0.25">
      <c r="A645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194</v>
      </c>
      <c r="D648">
        <v>20</v>
      </c>
      <c r="E648">
        <v>27</v>
      </c>
      <c r="F648">
        <v>95</v>
      </c>
      <c r="G648">
        <v>0</v>
      </c>
      <c r="H648">
        <v>0</v>
      </c>
      <c r="I648">
        <v>52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126</v>
      </c>
      <c r="D650">
        <v>0</v>
      </c>
      <c r="E650">
        <v>0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t="s">
        <v>33</v>
      </c>
      <c r="B653">
        <v>7172011014001702</v>
      </c>
      <c r="C653">
        <v>119</v>
      </c>
      <c r="D653">
        <v>72</v>
      </c>
      <c r="E653">
        <v>3</v>
      </c>
      <c r="F653">
        <v>0</v>
      </c>
      <c r="G653">
        <v>0</v>
      </c>
      <c r="H653">
        <v>0</v>
      </c>
      <c r="I653">
        <v>44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7172011003003503</v>
      </c>
      <c r="C655">
        <v>103</v>
      </c>
      <c r="D655">
        <v>0</v>
      </c>
      <c r="E655">
        <v>13</v>
      </c>
      <c r="F655">
        <v>90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7172011003003502</v>
      </c>
      <c r="C658">
        <v>43</v>
      </c>
      <c r="D658">
        <v>12</v>
      </c>
      <c r="E658">
        <v>14</v>
      </c>
      <c r="F658">
        <v>16</v>
      </c>
      <c r="G658">
        <v>1</v>
      </c>
      <c r="H658">
        <v>0</v>
      </c>
      <c r="I658">
        <v>0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13</v>
      </c>
      <c r="E660">
        <v>10</v>
      </c>
      <c r="F660">
        <v>29</v>
      </c>
      <c r="G660">
        <v>0</v>
      </c>
      <c r="H660">
        <v>0</v>
      </c>
      <c r="I660">
        <v>69</v>
      </c>
      <c r="J660">
        <v>0</v>
      </c>
    </row>
    <row r="661" spans="1:10" x14ac:dyDescent="0.25">
      <c r="A661" t="s">
        <v>34</v>
      </c>
      <c r="B661">
        <v>7172011003001500</v>
      </c>
      <c r="C661">
        <v>113</v>
      </c>
      <c r="D661">
        <v>8</v>
      </c>
      <c r="E661">
        <v>12</v>
      </c>
      <c r="F661">
        <v>42</v>
      </c>
      <c r="G661">
        <v>0</v>
      </c>
      <c r="H661">
        <v>0</v>
      </c>
      <c r="I661">
        <v>51</v>
      </c>
      <c r="J661">
        <v>0</v>
      </c>
    </row>
    <row r="662" spans="1:10" x14ac:dyDescent="0.25">
      <c r="A662" t="s">
        <v>34</v>
      </c>
      <c r="B662">
        <v>7172011003001200</v>
      </c>
      <c r="C662">
        <v>95</v>
      </c>
      <c r="D662">
        <v>0</v>
      </c>
      <c r="E662">
        <v>0</v>
      </c>
      <c r="F662">
        <v>95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7172011003001400</v>
      </c>
      <c r="C663">
        <v>83</v>
      </c>
      <c r="D663">
        <v>0</v>
      </c>
      <c r="E663">
        <v>10</v>
      </c>
      <c r="F663">
        <v>73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157</v>
      </c>
      <c r="D665">
        <v>0</v>
      </c>
      <c r="E665">
        <v>27</v>
      </c>
      <c r="F665">
        <v>130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136</v>
      </c>
      <c r="D667">
        <v>23</v>
      </c>
      <c r="E667">
        <v>55</v>
      </c>
      <c r="F667">
        <v>16</v>
      </c>
      <c r="G667">
        <v>0</v>
      </c>
      <c r="H667">
        <v>0</v>
      </c>
      <c r="I667">
        <v>42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143</v>
      </c>
      <c r="D670">
        <v>0</v>
      </c>
      <c r="E670">
        <v>0</v>
      </c>
      <c r="F670">
        <v>143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1</v>
      </c>
      <c r="F671">
        <v>90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67</v>
      </c>
      <c r="D672">
        <v>15</v>
      </c>
      <c r="E672">
        <v>26</v>
      </c>
      <c r="F672">
        <v>15</v>
      </c>
      <c r="G672">
        <v>0</v>
      </c>
      <c r="H672">
        <v>0</v>
      </c>
      <c r="I672">
        <v>11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18</v>
      </c>
      <c r="E673">
        <v>4</v>
      </c>
      <c r="F673">
        <v>10</v>
      </c>
      <c r="G673">
        <v>6</v>
      </c>
      <c r="H673">
        <v>0</v>
      </c>
      <c r="I673">
        <v>26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4</v>
      </c>
      <c r="E674">
        <v>2</v>
      </c>
      <c r="F674">
        <v>49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43</v>
      </c>
      <c r="B675">
        <v>7172011011001100</v>
      </c>
      <c r="C675">
        <v>51</v>
      </c>
      <c r="D675">
        <v>7</v>
      </c>
      <c r="E675">
        <v>4</v>
      </c>
      <c r="F675">
        <v>40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0</v>
      </c>
      <c r="F676">
        <v>40</v>
      </c>
      <c r="G676">
        <v>0</v>
      </c>
      <c r="H676">
        <v>0</v>
      </c>
      <c r="I676">
        <v>4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4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0</v>
      </c>
      <c r="F678">
        <v>41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2</v>
      </c>
      <c r="F679">
        <v>28</v>
      </c>
      <c r="G679">
        <v>0</v>
      </c>
      <c r="H679">
        <v>0</v>
      </c>
      <c r="I679">
        <v>7</v>
      </c>
      <c r="J679">
        <v>0</v>
      </c>
    </row>
    <row r="680" spans="1:10" x14ac:dyDescent="0.25">
      <c r="A680" t="s">
        <v>43</v>
      </c>
      <c r="B680">
        <v>7172011011000700</v>
      </c>
      <c r="C680">
        <v>27</v>
      </c>
      <c r="D680">
        <v>2</v>
      </c>
      <c r="E680">
        <v>8</v>
      </c>
      <c r="F680">
        <v>15</v>
      </c>
      <c r="G680">
        <v>0</v>
      </c>
      <c r="H680">
        <v>0</v>
      </c>
      <c r="I680">
        <v>2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22</v>
      </c>
      <c r="E683">
        <v>3</v>
      </c>
      <c r="F683">
        <v>34</v>
      </c>
      <c r="G683">
        <v>14</v>
      </c>
      <c r="H683">
        <v>0</v>
      </c>
      <c r="I683">
        <v>116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120</v>
      </c>
      <c r="D685">
        <v>0</v>
      </c>
      <c r="E685">
        <v>2</v>
      </c>
      <c r="F685">
        <v>110</v>
      </c>
      <c r="G685">
        <v>0</v>
      </c>
      <c r="H685">
        <v>0</v>
      </c>
      <c r="I685">
        <v>8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213</v>
      </c>
      <c r="D688">
        <v>29</v>
      </c>
      <c r="E688">
        <v>18</v>
      </c>
      <c r="F688">
        <v>67</v>
      </c>
      <c r="G688">
        <v>0</v>
      </c>
      <c r="H688">
        <v>0</v>
      </c>
      <c r="I688">
        <v>99</v>
      </c>
      <c r="J688">
        <v>0</v>
      </c>
    </row>
    <row r="689" spans="1:10" x14ac:dyDescent="0.25">
      <c r="A689" t="s">
        <v>48</v>
      </c>
      <c r="B689">
        <v>7172011014001100</v>
      </c>
      <c r="C689">
        <v>135</v>
      </c>
      <c r="D689">
        <v>0</v>
      </c>
      <c r="E689">
        <v>8</v>
      </c>
      <c r="F689">
        <v>79</v>
      </c>
      <c r="G689">
        <v>0</v>
      </c>
      <c r="H689">
        <v>0</v>
      </c>
      <c r="I689">
        <v>48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183</v>
      </c>
      <c r="D694">
        <v>54</v>
      </c>
      <c r="E694">
        <v>26</v>
      </c>
      <c r="F694">
        <v>19</v>
      </c>
      <c r="G694">
        <v>25</v>
      </c>
      <c r="H694">
        <v>0</v>
      </c>
      <c r="I694">
        <v>59</v>
      </c>
      <c r="J694">
        <v>0</v>
      </c>
    </row>
    <row r="695" spans="1:10" x14ac:dyDescent="0.25">
      <c r="A695" t="s">
        <v>51</v>
      </c>
      <c r="B695">
        <v>7172012001000601</v>
      </c>
      <c r="C695">
        <v>142</v>
      </c>
      <c r="D695">
        <v>0</v>
      </c>
      <c r="E695">
        <v>0</v>
      </c>
      <c r="F695">
        <v>142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51</v>
      </c>
      <c r="B696">
        <v>7172012001001001</v>
      </c>
      <c r="C696">
        <v>120</v>
      </c>
      <c r="D696">
        <v>0</v>
      </c>
      <c r="E696">
        <v>0</v>
      </c>
      <c r="F696">
        <v>120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293</v>
      </c>
      <c r="D697">
        <v>11</v>
      </c>
      <c r="E697">
        <v>20</v>
      </c>
      <c r="F697">
        <v>116</v>
      </c>
      <c r="G697">
        <v>1</v>
      </c>
      <c r="H697">
        <v>0</v>
      </c>
      <c r="I697">
        <v>145</v>
      </c>
      <c r="J697">
        <v>0</v>
      </c>
    </row>
    <row r="698" spans="1:10" x14ac:dyDescent="0.25">
      <c r="A698" t="s">
        <v>52</v>
      </c>
      <c r="B698">
        <v>7172012001000602</v>
      </c>
      <c r="C698">
        <v>188</v>
      </c>
      <c r="D698">
        <v>0</v>
      </c>
      <c r="E698">
        <v>0</v>
      </c>
      <c r="F698">
        <v>188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49</v>
      </c>
      <c r="B699">
        <v>7172012002000500</v>
      </c>
      <c r="C699">
        <v>128</v>
      </c>
      <c r="D699">
        <v>0</v>
      </c>
      <c r="E699">
        <v>0</v>
      </c>
      <c r="F699">
        <v>128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7172012001000100</v>
      </c>
      <c r="C700">
        <v>125</v>
      </c>
      <c r="D700">
        <v>5</v>
      </c>
      <c r="E700">
        <v>20</v>
      </c>
      <c r="F700">
        <v>36</v>
      </c>
      <c r="G700">
        <v>0</v>
      </c>
      <c r="H700">
        <v>0</v>
      </c>
      <c r="I700">
        <v>64</v>
      </c>
      <c r="J700">
        <v>0</v>
      </c>
    </row>
    <row r="701" spans="1:10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0</v>
      </c>
      <c r="E702">
        <v>9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182</v>
      </c>
      <c r="D705">
        <v>60</v>
      </c>
      <c r="E705">
        <v>2</v>
      </c>
      <c r="F705">
        <v>23</v>
      </c>
      <c r="G705">
        <v>0</v>
      </c>
      <c r="H705">
        <v>0</v>
      </c>
      <c r="I705">
        <v>97</v>
      </c>
      <c r="J705">
        <v>0</v>
      </c>
    </row>
    <row r="706" spans="1:10" x14ac:dyDescent="0.25">
      <c r="A706" t="s">
        <v>53</v>
      </c>
      <c r="B706">
        <v>7172012002000900</v>
      </c>
      <c r="C706">
        <v>120</v>
      </c>
      <c r="D706">
        <v>0</v>
      </c>
      <c r="E706">
        <v>1</v>
      </c>
      <c r="F706">
        <v>112</v>
      </c>
      <c r="G706">
        <v>0</v>
      </c>
      <c r="H706">
        <v>0</v>
      </c>
      <c r="I706">
        <v>7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121</v>
      </c>
      <c r="D710">
        <v>5</v>
      </c>
      <c r="E710">
        <v>35</v>
      </c>
      <c r="F710">
        <v>73</v>
      </c>
      <c r="G710">
        <v>0</v>
      </c>
      <c r="H710">
        <v>0</v>
      </c>
      <c r="I710">
        <v>8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71</v>
      </c>
      <c r="D713">
        <v>23</v>
      </c>
      <c r="E713">
        <v>21</v>
      </c>
      <c r="F713">
        <v>9</v>
      </c>
      <c r="G713">
        <v>2</v>
      </c>
      <c r="H713">
        <v>0</v>
      </c>
      <c r="I713">
        <v>16</v>
      </c>
      <c r="J713">
        <v>0</v>
      </c>
    </row>
    <row r="714" spans="1:10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7172012004000200</v>
      </c>
      <c r="C715">
        <v>65</v>
      </c>
      <c r="D715">
        <v>0</v>
      </c>
      <c r="E715">
        <v>0</v>
      </c>
      <c r="F715">
        <v>65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7172012003000200</v>
      </c>
      <c r="C716">
        <v>62</v>
      </c>
      <c r="D716">
        <v>13</v>
      </c>
      <c r="E716">
        <v>14</v>
      </c>
      <c r="F716">
        <v>7</v>
      </c>
      <c r="G716">
        <v>0</v>
      </c>
      <c r="H716">
        <v>0</v>
      </c>
      <c r="I716">
        <v>28</v>
      </c>
      <c r="J716">
        <v>0</v>
      </c>
    </row>
    <row r="717" spans="1:10" x14ac:dyDescent="0.25">
      <c r="A717" t="s">
        <v>57</v>
      </c>
      <c r="B717">
        <v>7172012003001100</v>
      </c>
      <c r="C717">
        <v>122</v>
      </c>
      <c r="D717">
        <v>58</v>
      </c>
      <c r="E717">
        <v>15</v>
      </c>
      <c r="F717">
        <v>11</v>
      </c>
      <c r="G717">
        <v>29</v>
      </c>
      <c r="H717">
        <v>0</v>
      </c>
      <c r="I717">
        <v>9</v>
      </c>
      <c r="J717">
        <v>0</v>
      </c>
    </row>
    <row r="718" spans="1:10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7172012003001200</v>
      </c>
      <c r="C719">
        <v>84</v>
      </c>
      <c r="D719">
        <v>0</v>
      </c>
      <c r="E719">
        <v>0</v>
      </c>
      <c r="F719">
        <v>84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7172012003000600</v>
      </c>
      <c r="C720">
        <v>76</v>
      </c>
      <c r="D720">
        <v>0</v>
      </c>
      <c r="E720">
        <v>0</v>
      </c>
      <c r="F720">
        <v>76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61</v>
      </c>
      <c r="D722">
        <v>9</v>
      </c>
      <c r="E722">
        <v>15</v>
      </c>
      <c r="F722">
        <v>33</v>
      </c>
      <c r="G722">
        <v>1</v>
      </c>
      <c r="H722">
        <v>0</v>
      </c>
      <c r="I722">
        <v>3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56</v>
      </c>
      <c r="D724">
        <v>4</v>
      </c>
      <c r="E724">
        <v>20</v>
      </c>
      <c r="F724">
        <v>26</v>
      </c>
      <c r="G724">
        <v>5</v>
      </c>
      <c r="H724">
        <v>0</v>
      </c>
      <c r="I724">
        <v>1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46</v>
      </c>
      <c r="E725">
        <v>5</v>
      </c>
      <c r="F725">
        <v>14</v>
      </c>
      <c r="G725">
        <v>2</v>
      </c>
      <c r="H725">
        <v>0</v>
      </c>
      <c r="I725">
        <v>100</v>
      </c>
      <c r="J725">
        <v>0</v>
      </c>
    </row>
    <row r="726" spans="1:10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7172012004001001</v>
      </c>
      <c r="C727">
        <v>92</v>
      </c>
      <c r="D727">
        <v>0</v>
      </c>
      <c r="E727">
        <v>2</v>
      </c>
      <c r="F727">
        <v>90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7172012004000700</v>
      </c>
      <c r="C728">
        <v>91</v>
      </c>
      <c r="D728">
        <v>3</v>
      </c>
      <c r="E728">
        <v>16</v>
      </c>
      <c r="F728">
        <v>71</v>
      </c>
      <c r="G728">
        <v>0</v>
      </c>
      <c r="H728">
        <v>0</v>
      </c>
      <c r="I728">
        <v>1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34</v>
      </c>
      <c r="E730">
        <v>4</v>
      </c>
      <c r="F730">
        <v>10</v>
      </c>
      <c r="G730">
        <v>27</v>
      </c>
      <c r="H730">
        <v>0</v>
      </c>
      <c r="I730">
        <v>2</v>
      </c>
      <c r="J730">
        <v>0</v>
      </c>
    </row>
    <row r="731" spans="1:10" x14ac:dyDescent="0.25">
      <c r="A731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176</v>
      </c>
      <c r="D732">
        <v>19</v>
      </c>
      <c r="E732">
        <v>10</v>
      </c>
      <c r="F732">
        <v>76</v>
      </c>
      <c r="G732">
        <v>0</v>
      </c>
      <c r="H732">
        <v>0</v>
      </c>
      <c r="I732">
        <v>71</v>
      </c>
      <c r="J732">
        <v>0</v>
      </c>
    </row>
    <row r="733" spans="1:10" x14ac:dyDescent="0.25">
      <c r="A733" t="s">
        <v>61</v>
      </c>
      <c r="B733">
        <v>7172012004001202</v>
      </c>
      <c r="C733">
        <v>85</v>
      </c>
      <c r="D733">
        <v>0</v>
      </c>
      <c r="E733">
        <v>0</v>
      </c>
      <c r="F733">
        <v>85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65</v>
      </c>
      <c r="D735">
        <v>17</v>
      </c>
      <c r="E735">
        <v>7</v>
      </c>
      <c r="F735">
        <v>18</v>
      </c>
      <c r="G735">
        <v>12</v>
      </c>
      <c r="H735">
        <v>0</v>
      </c>
      <c r="I735">
        <v>11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58</v>
      </c>
      <c r="D738">
        <v>10</v>
      </c>
      <c r="E738">
        <v>0</v>
      </c>
      <c r="F738">
        <v>14</v>
      </c>
      <c r="G738">
        <v>1</v>
      </c>
      <c r="H738">
        <v>1</v>
      </c>
      <c r="I738">
        <v>31</v>
      </c>
      <c r="J738">
        <v>0</v>
      </c>
    </row>
    <row r="739" spans="1:10" x14ac:dyDescent="0.25">
      <c r="A739" t="s">
        <v>66</v>
      </c>
      <c r="B739">
        <v>7172012005000500</v>
      </c>
      <c r="C739">
        <v>56</v>
      </c>
      <c r="D739">
        <v>8</v>
      </c>
      <c r="E739">
        <v>1</v>
      </c>
      <c r="F739">
        <v>11</v>
      </c>
      <c r="G739">
        <v>1</v>
      </c>
      <c r="H739">
        <v>0</v>
      </c>
      <c r="I739">
        <v>35</v>
      </c>
      <c r="J739">
        <v>0</v>
      </c>
    </row>
    <row r="740" spans="1:10" x14ac:dyDescent="0.25">
      <c r="A740" t="s">
        <v>66</v>
      </c>
      <c r="B740">
        <v>7172012005000600</v>
      </c>
      <c r="C740">
        <v>56</v>
      </c>
      <c r="D740">
        <v>1</v>
      </c>
      <c r="E740">
        <v>0</v>
      </c>
      <c r="F740">
        <v>31</v>
      </c>
      <c r="G740">
        <v>0</v>
      </c>
      <c r="H740">
        <v>0</v>
      </c>
      <c r="I740">
        <v>24</v>
      </c>
      <c r="J740">
        <v>0</v>
      </c>
    </row>
    <row r="741" spans="1:10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7172012005000300</v>
      </c>
      <c r="C742">
        <v>41</v>
      </c>
      <c r="D742">
        <v>15</v>
      </c>
      <c r="E742">
        <v>0</v>
      </c>
      <c r="F742">
        <v>3</v>
      </c>
      <c r="G742">
        <v>1</v>
      </c>
      <c r="H742">
        <v>0</v>
      </c>
      <c r="I742">
        <v>22</v>
      </c>
      <c r="J742">
        <v>0</v>
      </c>
    </row>
    <row r="743" spans="1:10" x14ac:dyDescent="0.25">
      <c r="A743" t="s">
        <v>66</v>
      </c>
      <c r="B743">
        <v>7172012005002200</v>
      </c>
      <c r="C743">
        <v>41</v>
      </c>
      <c r="D743">
        <v>0</v>
      </c>
      <c r="E743">
        <v>0</v>
      </c>
      <c r="F743">
        <v>41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7172012005002400</v>
      </c>
      <c r="C744">
        <v>40</v>
      </c>
      <c r="D744">
        <v>0</v>
      </c>
      <c r="E744">
        <v>0</v>
      </c>
      <c r="F744">
        <v>40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119</v>
      </c>
      <c r="D747">
        <v>23</v>
      </c>
      <c r="E747">
        <v>3</v>
      </c>
      <c r="F747">
        <v>11</v>
      </c>
      <c r="G747">
        <v>0</v>
      </c>
      <c r="H747">
        <v>0</v>
      </c>
      <c r="I747">
        <v>82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116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68</v>
      </c>
      <c r="B749">
        <v>7172012007001800</v>
      </c>
      <c r="C749">
        <v>94</v>
      </c>
      <c r="D749">
        <v>0</v>
      </c>
      <c r="E749">
        <v>0</v>
      </c>
      <c r="F749">
        <v>93</v>
      </c>
      <c r="G749">
        <v>0</v>
      </c>
      <c r="H749">
        <v>0</v>
      </c>
      <c r="I749">
        <v>1</v>
      </c>
      <c r="J749">
        <v>0</v>
      </c>
    </row>
    <row r="750" spans="1:10" x14ac:dyDescent="0.25">
      <c r="A750" t="s">
        <v>68</v>
      </c>
      <c r="B750">
        <v>7172012006000100</v>
      </c>
      <c r="C750">
        <v>92</v>
      </c>
      <c r="D750">
        <v>0</v>
      </c>
      <c r="E750">
        <v>0</v>
      </c>
      <c r="F750">
        <v>92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68</v>
      </c>
      <c r="B751">
        <v>7172012007002100</v>
      </c>
      <c r="C751">
        <v>86</v>
      </c>
      <c r="D751">
        <v>3</v>
      </c>
      <c r="E751">
        <v>15</v>
      </c>
      <c r="F751">
        <v>32</v>
      </c>
      <c r="G751">
        <v>0</v>
      </c>
      <c r="H751">
        <v>0</v>
      </c>
      <c r="I751">
        <v>36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7172012006000802</v>
      </c>
      <c r="C757">
        <v>119</v>
      </c>
      <c r="D757">
        <v>23</v>
      </c>
      <c r="E757">
        <v>16</v>
      </c>
      <c r="F757">
        <v>24</v>
      </c>
      <c r="G757">
        <v>4</v>
      </c>
      <c r="H757">
        <v>0</v>
      </c>
      <c r="I757">
        <v>52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73</v>
      </c>
      <c r="D760">
        <v>12</v>
      </c>
      <c r="E760">
        <v>2</v>
      </c>
      <c r="F760">
        <v>18</v>
      </c>
      <c r="G760">
        <v>1</v>
      </c>
      <c r="H760">
        <v>0</v>
      </c>
      <c r="I760">
        <v>40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2</v>
      </c>
      <c r="E761">
        <v>2</v>
      </c>
      <c r="F761">
        <v>57</v>
      </c>
      <c r="G761">
        <v>1</v>
      </c>
      <c r="H761">
        <v>0</v>
      </c>
      <c r="I761">
        <v>101</v>
      </c>
      <c r="J761">
        <v>0</v>
      </c>
    </row>
    <row r="762" spans="1:10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125</v>
      </c>
      <c r="D763">
        <v>0</v>
      </c>
      <c r="E763">
        <v>0</v>
      </c>
      <c r="F763">
        <v>125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0</v>
      </c>
      <c r="E764">
        <v>9</v>
      </c>
      <c r="F764">
        <v>53</v>
      </c>
      <c r="G764">
        <v>0</v>
      </c>
      <c r="H764">
        <v>0</v>
      </c>
      <c r="I764">
        <v>45</v>
      </c>
      <c r="J764">
        <v>0</v>
      </c>
    </row>
    <row r="765" spans="1:10" x14ac:dyDescent="0.25">
      <c r="A765" t="s">
        <v>55</v>
      </c>
      <c r="B765">
        <v>7172012002001200</v>
      </c>
      <c r="C765">
        <v>52</v>
      </c>
      <c r="D765">
        <v>0</v>
      </c>
      <c r="E765">
        <v>0</v>
      </c>
      <c r="F765">
        <v>52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143</v>
      </c>
      <c r="D766">
        <v>14</v>
      </c>
      <c r="E766">
        <v>13</v>
      </c>
      <c r="F766">
        <v>106</v>
      </c>
      <c r="G766">
        <v>1</v>
      </c>
      <c r="H766">
        <v>0</v>
      </c>
      <c r="I766">
        <v>9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1</v>
      </c>
      <c r="E767">
        <v>12</v>
      </c>
      <c r="F767">
        <v>31</v>
      </c>
      <c r="G767">
        <v>0</v>
      </c>
      <c r="H767">
        <v>0</v>
      </c>
      <c r="I767">
        <v>59</v>
      </c>
      <c r="J767">
        <v>0</v>
      </c>
    </row>
    <row r="768" spans="1:10" x14ac:dyDescent="0.25">
      <c r="A768" t="s">
        <v>73</v>
      </c>
      <c r="B768">
        <v>7172012007001400</v>
      </c>
      <c r="C768">
        <v>95</v>
      </c>
      <c r="D768">
        <v>0</v>
      </c>
      <c r="E768">
        <v>0</v>
      </c>
      <c r="F768">
        <v>95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0</v>
      </c>
      <c r="E769">
        <v>0</v>
      </c>
      <c r="F769">
        <v>85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112</v>
      </c>
      <c r="D772">
        <v>34</v>
      </c>
      <c r="E772">
        <v>14</v>
      </c>
      <c r="F772">
        <v>1</v>
      </c>
      <c r="G772">
        <v>0</v>
      </c>
      <c r="H772">
        <v>0</v>
      </c>
      <c r="I772">
        <v>63</v>
      </c>
      <c r="J772">
        <v>0</v>
      </c>
    </row>
    <row r="773" spans="1:10" x14ac:dyDescent="0.25">
      <c r="A773" t="s">
        <v>77</v>
      </c>
      <c r="B773">
        <v>7172021003000400</v>
      </c>
      <c r="C773">
        <v>100</v>
      </c>
      <c r="D773">
        <v>25</v>
      </c>
      <c r="E773">
        <v>10</v>
      </c>
      <c r="F773">
        <v>65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t="s">
        <v>80</v>
      </c>
      <c r="B778">
        <v>7172021006001400</v>
      </c>
      <c r="C778">
        <v>73</v>
      </c>
      <c r="D778">
        <v>1</v>
      </c>
      <c r="E778">
        <v>15</v>
      </c>
      <c r="F778">
        <v>54</v>
      </c>
      <c r="G778">
        <v>0</v>
      </c>
      <c r="H778">
        <v>0</v>
      </c>
      <c r="I778">
        <v>3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0</v>
      </c>
      <c r="F779">
        <v>66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52</v>
      </c>
      <c r="D782">
        <v>8</v>
      </c>
      <c r="E782">
        <v>17</v>
      </c>
      <c r="F782">
        <v>13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68</v>
      </c>
      <c r="D786">
        <v>2</v>
      </c>
      <c r="E786">
        <v>19</v>
      </c>
      <c r="F786">
        <v>21</v>
      </c>
      <c r="G786">
        <v>1</v>
      </c>
      <c r="H786">
        <v>0</v>
      </c>
      <c r="I786">
        <v>25</v>
      </c>
      <c r="J786">
        <v>0</v>
      </c>
    </row>
    <row r="787" spans="1:10" x14ac:dyDescent="0.25">
      <c r="A787" t="s">
        <v>239</v>
      </c>
      <c r="B787">
        <v>7172021006001800</v>
      </c>
      <c r="C787">
        <v>56</v>
      </c>
      <c r="D787">
        <v>3</v>
      </c>
      <c r="E787">
        <v>6</v>
      </c>
      <c r="F787">
        <v>46</v>
      </c>
      <c r="G787">
        <v>0</v>
      </c>
      <c r="H787">
        <v>0</v>
      </c>
      <c r="I787">
        <v>1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0</v>
      </c>
      <c r="E788">
        <v>0</v>
      </c>
      <c r="F788">
        <v>55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50</v>
      </c>
      <c r="D789">
        <v>14</v>
      </c>
      <c r="E789">
        <v>13</v>
      </c>
      <c r="F789">
        <v>16</v>
      </c>
      <c r="G789">
        <v>1</v>
      </c>
      <c r="H789">
        <v>0</v>
      </c>
      <c r="I789">
        <v>6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14</v>
      </c>
      <c r="E790">
        <v>2</v>
      </c>
      <c r="F790">
        <v>1</v>
      </c>
      <c r="G790">
        <v>0</v>
      </c>
      <c r="H790">
        <v>0</v>
      </c>
      <c r="I790">
        <v>28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38</v>
      </c>
      <c r="D792">
        <v>2</v>
      </c>
      <c r="E792">
        <v>0</v>
      </c>
      <c r="F792">
        <v>36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36</v>
      </c>
      <c r="D793">
        <v>0</v>
      </c>
      <c r="E793">
        <v>0</v>
      </c>
      <c r="F793">
        <v>36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0</v>
      </c>
      <c r="E794">
        <v>0</v>
      </c>
      <c r="F794">
        <v>31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7172022001000300</v>
      </c>
      <c r="C795">
        <v>97</v>
      </c>
      <c r="D795">
        <v>9</v>
      </c>
      <c r="E795">
        <v>11</v>
      </c>
      <c r="F795">
        <v>67</v>
      </c>
      <c r="G795">
        <v>1</v>
      </c>
      <c r="H795">
        <v>0</v>
      </c>
      <c r="I795">
        <v>9</v>
      </c>
      <c r="J795">
        <v>0</v>
      </c>
    </row>
    <row r="796" spans="1:10" x14ac:dyDescent="0.25">
      <c r="A796" t="s">
        <v>82</v>
      </c>
      <c r="B796">
        <v>7172022001000200</v>
      </c>
      <c r="C796">
        <v>91</v>
      </c>
      <c r="D796">
        <v>12</v>
      </c>
      <c r="E796">
        <v>16</v>
      </c>
      <c r="F796">
        <v>58</v>
      </c>
      <c r="G796">
        <v>1</v>
      </c>
      <c r="H796">
        <v>0</v>
      </c>
      <c r="I796">
        <v>4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81</v>
      </c>
      <c r="D798">
        <v>22</v>
      </c>
      <c r="E798">
        <v>12</v>
      </c>
      <c r="F798">
        <v>22</v>
      </c>
      <c r="G798">
        <v>2</v>
      </c>
      <c r="H798">
        <v>1</v>
      </c>
      <c r="I798">
        <v>22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87</v>
      </c>
      <c r="D800">
        <v>2</v>
      </c>
      <c r="E800">
        <v>5</v>
      </c>
      <c r="F800">
        <v>38</v>
      </c>
      <c r="G800">
        <v>0</v>
      </c>
      <c r="H800">
        <v>0</v>
      </c>
      <c r="I800">
        <v>42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49</v>
      </c>
      <c r="D803">
        <v>0</v>
      </c>
      <c r="E803">
        <v>0</v>
      </c>
      <c r="F803">
        <v>49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7172022006000600</v>
      </c>
      <c r="C804">
        <v>44</v>
      </c>
      <c r="D804">
        <v>0</v>
      </c>
      <c r="E804">
        <v>0</v>
      </c>
      <c r="F804">
        <v>44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7172022006000400</v>
      </c>
      <c r="C805">
        <v>43</v>
      </c>
      <c r="D805">
        <v>0</v>
      </c>
      <c r="E805">
        <v>0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38</v>
      </c>
      <c r="D807">
        <v>0</v>
      </c>
      <c r="E807">
        <v>0</v>
      </c>
      <c r="F807">
        <v>38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0</v>
      </c>
      <c r="E809">
        <v>8</v>
      </c>
      <c r="F809">
        <v>18</v>
      </c>
      <c r="G809">
        <v>0</v>
      </c>
      <c r="H809">
        <v>0</v>
      </c>
      <c r="I809">
        <v>45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12</v>
      </c>
      <c r="E811">
        <v>1</v>
      </c>
      <c r="F811">
        <v>7</v>
      </c>
      <c r="G811">
        <v>5</v>
      </c>
      <c r="H811">
        <v>0</v>
      </c>
      <c r="I811">
        <v>29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7172022010000100</v>
      </c>
      <c r="C814">
        <v>44</v>
      </c>
      <c r="D814">
        <v>0</v>
      </c>
      <c r="E814">
        <v>0</v>
      </c>
      <c r="F814">
        <v>44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87</v>
      </c>
      <c r="B818">
        <v>7172022005000200</v>
      </c>
      <c r="C818">
        <v>52</v>
      </c>
      <c r="D818">
        <v>0</v>
      </c>
      <c r="E818">
        <v>1</v>
      </c>
      <c r="F818">
        <v>51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46</v>
      </c>
      <c r="D820">
        <v>21</v>
      </c>
      <c r="E820">
        <v>0</v>
      </c>
      <c r="F820">
        <v>0</v>
      </c>
      <c r="G820">
        <v>3</v>
      </c>
      <c r="H820">
        <v>0</v>
      </c>
      <c r="I820">
        <v>22</v>
      </c>
      <c r="J820">
        <v>0</v>
      </c>
    </row>
    <row r="821" spans="1:10" x14ac:dyDescent="0.25">
      <c r="A821" t="s">
        <v>87</v>
      </c>
      <c r="B821">
        <v>7172022004000200</v>
      </c>
      <c r="C821">
        <v>45</v>
      </c>
      <c r="D821">
        <v>14</v>
      </c>
      <c r="E821">
        <v>13</v>
      </c>
      <c r="F821">
        <v>0</v>
      </c>
      <c r="G821">
        <v>1</v>
      </c>
      <c r="H821">
        <v>0</v>
      </c>
      <c r="I821">
        <v>17</v>
      </c>
      <c r="J821">
        <v>0</v>
      </c>
    </row>
    <row r="822" spans="1:10" x14ac:dyDescent="0.25">
      <c r="A822" t="s">
        <v>87</v>
      </c>
      <c r="B822">
        <v>7172022005000100</v>
      </c>
      <c r="C822">
        <v>41</v>
      </c>
      <c r="D822">
        <v>0</v>
      </c>
      <c r="E822">
        <v>4</v>
      </c>
      <c r="F822">
        <v>25</v>
      </c>
      <c r="G822">
        <v>0</v>
      </c>
      <c r="H822">
        <v>0</v>
      </c>
      <c r="I822">
        <v>12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69</v>
      </c>
      <c r="D828">
        <v>0</v>
      </c>
      <c r="E828">
        <v>3</v>
      </c>
      <c r="F828">
        <v>55</v>
      </c>
      <c r="G828">
        <v>0</v>
      </c>
      <c r="H828">
        <v>0</v>
      </c>
      <c r="I828">
        <v>11</v>
      </c>
      <c r="J828">
        <v>0</v>
      </c>
    </row>
    <row r="829" spans="1:10" x14ac:dyDescent="0.25">
      <c r="A829" t="s">
        <v>240</v>
      </c>
      <c r="B829">
        <v>7172022008000100</v>
      </c>
      <c r="C829">
        <v>66</v>
      </c>
      <c r="D829">
        <v>0</v>
      </c>
      <c r="E829">
        <v>2</v>
      </c>
      <c r="F829">
        <v>22</v>
      </c>
      <c r="G829">
        <v>0</v>
      </c>
      <c r="H829">
        <v>0</v>
      </c>
      <c r="I829">
        <v>42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7172022007000100</v>
      </c>
      <c r="C831">
        <v>59</v>
      </c>
      <c r="D831">
        <v>0</v>
      </c>
      <c r="E831">
        <v>0</v>
      </c>
      <c r="F831">
        <v>59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7172022008000300</v>
      </c>
      <c r="C832">
        <v>59</v>
      </c>
      <c r="D832">
        <v>4</v>
      </c>
      <c r="E832">
        <v>6</v>
      </c>
      <c r="F832">
        <v>33</v>
      </c>
      <c r="G832">
        <v>0</v>
      </c>
      <c r="H832">
        <v>0</v>
      </c>
      <c r="I832">
        <v>16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20</v>
      </c>
      <c r="E834">
        <v>4</v>
      </c>
      <c r="F834">
        <v>15</v>
      </c>
      <c r="G834">
        <v>6</v>
      </c>
      <c r="H834">
        <v>0</v>
      </c>
      <c r="I834">
        <v>6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0</v>
      </c>
      <c r="E836">
        <v>0</v>
      </c>
      <c r="F836">
        <v>78</v>
      </c>
      <c r="G836">
        <v>0</v>
      </c>
      <c r="H836">
        <v>0</v>
      </c>
      <c r="I836">
        <v>1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11</v>
      </c>
      <c r="E839">
        <v>11</v>
      </c>
      <c r="F839">
        <v>2</v>
      </c>
      <c r="G839">
        <v>0</v>
      </c>
      <c r="H839">
        <v>0</v>
      </c>
      <c r="I839">
        <v>34</v>
      </c>
      <c r="J839">
        <v>0</v>
      </c>
    </row>
    <row r="840" spans="1:10" x14ac:dyDescent="0.25">
      <c r="A840" t="s">
        <v>94</v>
      </c>
      <c r="B840">
        <v>7172030007001600</v>
      </c>
      <c r="C840">
        <v>53</v>
      </c>
      <c r="D840">
        <v>0</v>
      </c>
      <c r="E840">
        <v>0</v>
      </c>
      <c r="F840">
        <v>53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7172030007001200</v>
      </c>
      <c r="C841">
        <v>52</v>
      </c>
      <c r="D841">
        <v>10</v>
      </c>
      <c r="E841">
        <v>41</v>
      </c>
      <c r="F841">
        <v>1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7172030007001300</v>
      </c>
      <c r="C842">
        <v>39</v>
      </c>
      <c r="D842">
        <v>3</v>
      </c>
      <c r="E842">
        <v>18</v>
      </c>
      <c r="F842">
        <v>17</v>
      </c>
      <c r="G842">
        <v>1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7172030007001400</v>
      </c>
      <c r="C843">
        <v>37</v>
      </c>
      <c r="D843">
        <v>0</v>
      </c>
      <c r="E843">
        <v>3</v>
      </c>
      <c r="F843">
        <v>34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14</v>
      </c>
      <c r="E844">
        <v>0</v>
      </c>
      <c r="F844">
        <v>90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7172030017000500</v>
      </c>
      <c r="C845">
        <v>87</v>
      </c>
      <c r="D845">
        <v>22</v>
      </c>
      <c r="E845">
        <v>4</v>
      </c>
      <c r="F845">
        <v>1</v>
      </c>
      <c r="G845">
        <v>1</v>
      </c>
      <c r="H845">
        <v>0</v>
      </c>
      <c r="I845">
        <v>59</v>
      </c>
      <c r="J845">
        <v>0</v>
      </c>
    </row>
    <row r="846" spans="1:10" x14ac:dyDescent="0.25">
      <c r="A846" t="s">
        <v>96</v>
      </c>
      <c r="B846">
        <v>7172030009000200</v>
      </c>
      <c r="C846">
        <v>59</v>
      </c>
      <c r="D846">
        <v>0</v>
      </c>
      <c r="E846">
        <v>0</v>
      </c>
      <c r="F846">
        <v>59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96</v>
      </c>
      <c r="B847">
        <v>7172030017000100</v>
      </c>
      <c r="C847">
        <v>58</v>
      </c>
      <c r="D847">
        <v>0</v>
      </c>
      <c r="E847">
        <v>22</v>
      </c>
      <c r="F847">
        <v>17</v>
      </c>
      <c r="G847">
        <v>0</v>
      </c>
      <c r="H847">
        <v>0</v>
      </c>
      <c r="I847">
        <v>19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1</v>
      </c>
      <c r="F854">
        <v>23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101</v>
      </c>
      <c r="D858">
        <v>9</v>
      </c>
      <c r="E858">
        <v>35</v>
      </c>
      <c r="F858">
        <v>52</v>
      </c>
      <c r="G858">
        <v>0</v>
      </c>
      <c r="H858">
        <v>0</v>
      </c>
      <c r="I858">
        <v>5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95</v>
      </c>
      <c r="D860">
        <v>36</v>
      </c>
      <c r="E860">
        <v>26</v>
      </c>
      <c r="F860">
        <v>15</v>
      </c>
      <c r="G860">
        <v>1</v>
      </c>
      <c r="H860">
        <v>0</v>
      </c>
      <c r="I860">
        <v>17</v>
      </c>
      <c r="J860">
        <v>0</v>
      </c>
    </row>
    <row r="861" spans="1:10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22</v>
      </c>
      <c r="E863">
        <v>1</v>
      </c>
      <c r="F863">
        <v>9</v>
      </c>
      <c r="G863">
        <v>0</v>
      </c>
      <c r="H863">
        <v>0</v>
      </c>
      <c r="I863">
        <v>19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0</v>
      </c>
      <c r="E864">
        <v>0</v>
      </c>
      <c r="F864">
        <v>111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241</v>
      </c>
      <c r="B865">
        <v>7172030013000200</v>
      </c>
      <c r="C865">
        <v>85</v>
      </c>
      <c r="D865">
        <v>17</v>
      </c>
      <c r="E865">
        <v>22</v>
      </c>
      <c r="F865">
        <v>24</v>
      </c>
      <c r="G865">
        <v>0</v>
      </c>
      <c r="H865">
        <v>0</v>
      </c>
      <c r="I865">
        <v>22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7</v>
      </c>
      <c r="F866">
        <v>69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3</v>
      </c>
      <c r="E867">
        <v>21</v>
      </c>
      <c r="F867">
        <v>39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241</v>
      </c>
      <c r="B868">
        <v>7172030013000400</v>
      </c>
      <c r="C868">
        <v>55</v>
      </c>
      <c r="D868">
        <v>22</v>
      </c>
      <c r="E868">
        <v>4</v>
      </c>
      <c r="F868">
        <v>25</v>
      </c>
      <c r="G868">
        <v>0</v>
      </c>
      <c r="H868">
        <v>0</v>
      </c>
      <c r="I868">
        <v>4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0</v>
      </c>
      <c r="F871">
        <v>37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4</v>
      </c>
      <c r="E872">
        <v>8</v>
      </c>
      <c r="F872">
        <v>22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44</v>
      </c>
      <c r="E873">
        <v>0</v>
      </c>
      <c r="F873">
        <v>18</v>
      </c>
      <c r="G873">
        <v>47</v>
      </c>
      <c r="H873">
        <v>0</v>
      </c>
      <c r="I873">
        <v>23</v>
      </c>
      <c r="J873">
        <v>0</v>
      </c>
    </row>
    <row r="874" spans="1:10" x14ac:dyDescent="0.25">
      <c r="A874" t="s">
        <v>242</v>
      </c>
      <c r="B874">
        <v>7172030013001500</v>
      </c>
      <c r="C874">
        <v>121</v>
      </c>
      <c r="D874">
        <v>16</v>
      </c>
      <c r="E874">
        <v>0</v>
      </c>
      <c r="F874">
        <v>105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92</v>
      </c>
      <c r="G875">
        <v>0</v>
      </c>
      <c r="H875">
        <v>0</v>
      </c>
      <c r="I875">
        <v>2</v>
      </c>
      <c r="J875">
        <v>0</v>
      </c>
    </row>
    <row r="876" spans="1:10" x14ac:dyDescent="0.25">
      <c r="A876" t="s">
        <v>242</v>
      </c>
      <c r="B876">
        <v>7172030014000100</v>
      </c>
      <c r="C876">
        <v>73</v>
      </c>
      <c r="D876">
        <v>5</v>
      </c>
      <c r="E876">
        <v>0</v>
      </c>
      <c r="F876">
        <v>59</v>
      </c>
      <c r="G876">
        <v>0</v>
      </c>
      <c r="H876">
        <v>0</v>
      </c>
      <c r="I876">
        <v>9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21</v>
      </c>
      <c r="E879">
        <v>0</v>
      </c>
      <c r="F879">
        <v>2</v>
      </c>
      <c r="G879">
        <v>1</v>
      </c>
      <c r="H879">
        <v>0</v>
      </c>
      <c r="I879">
        <v>34</v>
      </c>
      <c r="J879">
        <v>0</v>
      </c>
    </row>
    <row r="880" spans="1:10" x14ac:dyDescent="0.25">
      <c r="A880" t="s">
        <v>102</v>
      </c>
      <c r="B880">
        <v>7172030014000900</v>
      </c>
      <c r="C880">
        <v>105</v>
      </c>
      <c r="D880">
        <v>0</v>
      </c>
      <c r="E880">
        <v>0</v>
      </c>
      <c r="F880">
        <v>105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102</v>
      </c>
      <c r="B881">
        <v>7172030014000500</v>
      </c>
      <c r="C881">
        <v>99</v>
      </c>
      <c r="D881">
        <v>0</v>
      </c>
      <c r="E881">
        <v>6</v>
      </c>
      <c r="F881">
        <v>93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95</v>
      </c>
      <c r="D882">
        <v>30</v>
      </c>
      <c r="E882">
        <v>15</v>
      </c>
      <c r="F882">
        <v>1</v>
      </c>
      <c r="G882">
        <v>4</v>
      </c>
      <c r="H882">
        <v>0</v>
      </c>
      <c r="I882">
        <v>45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53</v>
      </c>
      <c r="D886">
        <v>16</v>
      </c>
      <c r="E886">
        <v>9</v>
      </c>
      <c r="F886">
        <v>24</v>
      </c>
      <c r="G886">
        <v>1</v>
      </c>
      <c r="H886">
        <v>0</v>
      </c>
      <c r="I886">
        <v>3</v>
      </c>
      <c r="J886">
        <v>0</v>
      </c>
    </row>
    <row r="887" spans="1:10" x14ac:dyDescent="0.25">
      <c r="A887" t="s">
        <v>106</v>
      </c>
      <c r="B887">
        <v>7172030015001702</v>
      </c>
      <c r="C887">
        <v>203</v>
      </c>
      <c r="D887">
        <v>0</v>
      </c>
      <c r="E887">
        <v>1</v>
      </c>
      <c r="F887">
        <v>202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7172030015001500</v>
      </c>
      <c r="C888">
        <v>199</v>
      </c>
      <c r="D888">
        <v>0</v>
      </c>
      <c r="E888">
        <v>15</v>
      </c>
      <c r="F888">
        <v>71</v>
      </c>
      <c r="G888">
        <v>0</v>
      </c>
      <c r="H888">
        <v>0</v>
      </c>
      <c r="I888">
        <v>113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48</v>
      </c>
      <c r="D890">
        <v>0</v>
      </c>
      <c r="E890">
        <v>0</v>
      </c>
      <c r="F890">
        <v>48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122</v>
      </c>
      <c r="D891">
        <v>6</v>
      </c>
      <c r="E891">
        <v>19</v>
      </c>
      <c r="F891">
        <v>90</v>
      </c>
      <c r="G891">
        <v>3</v>
      </c>
      <c r="H891">
        <v>0</v>
      </c>
      <c r="I891">
        <v>4</v>
      </c>
      <c r="J891">
        <v>0</v>
      </c>
    </row>
    <row r="892" spans="1:10" x14ac:dyDescent="0.25">
      <c r="A892" t="s">
        <v>107</v>
      </c>
      <c r="B892">
        <v>7172030017000700</v>
      </c>
      <c r="C892">
        <v>102</v>
      </c>
      <c r="D892">
        <v>15</v>
      </c>
      <c r="E892">
        <v>13</v>
      </c>
      <c r="F892">
        <v>48</v>
      </c>
      <c r="G892">
        <v>1</v>
      </c>
      <c r="H892">
        <v>0</v>
      </c>
      <c r="I892">
        <v>25</v>
      </c>
      <c r="J892">
        <v>0</v>
      </c>
    </row>
    <row r="893" spans="1:10" x14ac:dyDescent="0.25">
      <c r="A893" t="s">
        <v>107</v>
      </c>
      <c r="B893">
        <v>7172030017000600</v>
      </c>
      <c r="C893">
        <v>85</v>
      </c>
      <c r="D893">
        <v>0</v>
      </c>
      <c r="E893">
        <v>6</v>
      </c>
      <c r="F893">
        <v>74</v>
      </c>
      <c r="G893">
        <v>0</v>
      </c>
      <c r="H893">
        <v>0</v>
      </c>
      <c r="I893">
        <v>5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7172030017000900</v>
      </c>
      <c r="C895">
        <v>48</v>
      </c>
      <c r="D895">
        <v>1</v>
      </c>
      <c r="E895">
        <v>0</v>
      </c>
      <c r="F895">
        <v>47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7172030017000800</v>
      </c>
      <c r="C896">
        <v>44</v>
      </c>
      <c r="D896">
        <v>8</v>
      </c>
      <c r="E896">
        <v>6</v>
      </c>
      <c r="F896">
        <v>21</v>
      </c>
      <c r="G896">
        <v>9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13</v>
      </c>
      <c r="E897">
        <v>12</v>
      </c>
      <c r="F897">
        <v>6</v>
      </c>
      <c r="G897">
        <v>3</v>
      </c>
      <c r="H897">
        <v>0</v>
      </c>
      <c r="I897">
        <v>7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116</v>
      </c>
      <c r="D901">
        <v>0</v>
      </c>
      <c r="E901">
        <v>24</v>
      </c>
      <c r="F901">
        <v>84</v>
      </c>
      <c r="G901">
        <v>0</v>
      </c>
      <c r="H901">
        <v>0</v>
      </c>
      <c r="I901">
        <v>8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7172030017001700</v>
      </c>
      <c r="C904">
        <v>90</v>
      </c>
      <c r="D904">
        <v>0</v>
      </c>
      <c r="E904">
        <v>0</v>
      </c>
      <c r="F904">
        <v>90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1</v>
      </c>
      <c r="E905">
        <v>9</v>
      </c>
      <c r="F905">
        <v>3</v>
      </c>
      <c r="G905">
        <v>1</v>
      </c>
      <c r="H905">
        <v>0</v>
      </c>
      <c r="I905">
        <v>70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61</v>
      </c>
      <c r="D907">
        <v>0</v>
      </c>
      <c r="E907">
        <v>14</v>
      </c>
      <c r="F907">
        <v>38</v>
      </c>
      <c r="G907">
        <v>0</v>
      </c>
      <c r="H907">
        <v>0</v>
      </c>
      <c r="I907">
        <v>9</v>
      </c>
      <c r="J907">
        <v>0</v>
      </c>
    </row>
    <row r="908" spans="1:10" x14ac:dyDescent="0.25">
      <c r="A908" t="s">
        <v>110</v>
      </c>
      <c r="B908">
        <v>7172031002000100</v>
      </c>
      <c r="C908">
        <v>222</v>
      </c>
      <c r="D908">
        <v>89</v>
      </c>
      <c r="E908">
        <v>37</v>
      </c>
      <c r="F908">
        <v>58</v>
      </c>
      <c r="G908">
        <v>0</v>
      </c>
      <c r="H908">
        <v>0</v>
      </c>
      <c r="I908">
        <v>38</v>
      </c>
      <c r="J908">
        <v>0</v>
      </c>
    </row>
    <row r="909" spans="1:10" x14ac:dyDescent="0.25">
      <c r="A909" t="s">
        <v>110</v>
      </c>
      <c r="B909">
        <v>7172031002000200</v>
      </c>
      <c r="C909">
        <v>177</v>
      </c>
      <c r="D909">
        <v>0</v>
      </c>
      <c r="E909">
        <v>0</v>
      </c>
      <c r="F909">
        <v>177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32</v>
      </c>
      <c r="E911">
        <v>8</v>
      </c>
      <c r="F911">
        <v>0</v>
      </c>
      <c r="G911">
        <v>0</v>
      </c>
      <c r="H911">
        <v>0</v>
      </c>
      <c r="I911">
        <v>55</v>
      </c>
      <c r="J911">
        <v>0</v>
      </c>
    </row>
    <row r="912" spans="1:10" x14ac:dyDescent="0.25">
      <c r="A912" t="s">
        <v>111</v>
      </c>
      <c r="B912">
        <v>7172031002000500</v>
      </c>
      <c r="C912">
        <v>133</v>
      </c>
      <c r="D912">
        <v>1</v>
      </c>
      <c r="E912">
        <v>3</v>
      </c>
      <c r="F912">
        <v>89</v>
      </c>
      <c r="G912">
        <v>6</v>
      </c>
      <c r="H912">
        <v>0</v>
      </c>
      <c r="I912">
        <v>34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50</v>
      </c>
      <c r="E913">
        <v>2</v>
      </c>
      <c r="F913">
        <v>0</v>
      </c>
      <c r="G913">
        <v>3</v>
      </c>
      <c r="H913">
        <v>0</v>
      </c>
      <c r="I913">
        <v>49</v>
      </c>
      <c r="J913">
        <v>0</v>
      </c>
    </row>
    <row r="914" spans="1:10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0</v>
      </c>
      <c r="E915">
        <v>0</v>
      </c>
      <c r="F915">
        <v>64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161</v>
      </c>
      <c r="D920">
        <v>11</v>
      </c>
      <c r="E920">
        <v>24</v>
      </c>
      <c r="F920">
        <v>101</v>
      </c>
      <c r="G920">
        <v>0</v>
      </c>
      <c r="H920">
        <v>1</v>
      </c>
      <c r="I920">
        <v>24</v>
      </c>
      <c r="J920">
        <v>0</v>
      </c>
    </row>
    <row r="921" spans="1:10" x14ac:dyDescent="0.25">
      <c r="A921" t="s">
        <v>112</v>
      </c>
      <c r="B921">
        <v>7172031002001000</v>
      </c>
      <c r="C921">
        <v>121</v>
      </c>
      <c r="D921">
        <v>5</v>
      </c>
      <c r="E921">
        <v>28</v>
      </c>
      <c r="F921">
        <v>86</v>
      </c>
      <c r="G921">
        <v>0</v>
      </c>
      <c r="H921">
        <v>0</v>
      </c>
      <c r="I921">
        <v>2</v>
      </c>
      <c r="J921">
        <v>0</v>
      </c>
    </row>
    <row r="922" spans="1:10" x14ac:dyDescent="0.25">
      <c r="A922" t="s">
        <v>112</v>
      </c>
      <c r="B922">
        <v>7172031008001400</v>
      </c>
      <c r="C922">
        <v>77</v>
      </c>
      <c r="D922">
        <v>0</v>
      </c>
      <c r="E922">
        <v>0</v>
      </c>
      <c r="F922">
        <v>77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7172031002000800</v>
      </c>
      <c r="C923">
        <v>76</v>
      </c>
      <c r="D923">
        <v>0</v>
      </c>
      <c r="E923">
        <v>0</v>
      </c>
      <c r="F923">
        <v>76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7172031002001300</v>
      </c>
      <c r="C924">
        <v>59</v>
      </c>
      <c r="D924">
        <v>0</v>
      </c>
      <c r="E924">
        <v>0</v>
      </c>
      <c r="F924">
        <v>58</v>
      </c>
      <c r="G924">
        <v>0</v>
      </c>
      <c r="H924">
        <v>0</v>
      </c>
      <c r="I924">
        <v>1</v>
      </c>
      <c r="J924">
        <v>0</v>
      </c>
    </row>
    <row r="925" spans="1:10" x14ac:dyDescent="0.25">
      <c r="A925" t="s">
        <v>112</v>
      </c>
      <c r="B925">
        <v>7172031008000800</v>
      </c>
      <c r="C925">
        <v>56</v>
      </c>
      <c r="D925">
        <v>24</v>
      </c>
      <c r="E925">
        <v>28</v>
      </c>
      <c r="F925">
        <v>4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21</v>
      </c>
      <c r="E927">
        <v>2</v>
      </c>
      <c r="F927">
        <v>0</v>
      </c>
      <c r="G927">
        <v>1</v>
      </c>
      <c r="H927">
        <v>0</v>
      </c>
      <c r="I927">
        <v>6</v>
      </c>
      <c r="J927">
        <v>0</v>
      </c>
    </row>
    <row r="928" spans="1:10" x14ac:dyDescent="0.25">
      <c r="A928" t="s">
        <v>115</v>
      </c>
      <c r="B928">
        <v>7172031003002000</v>
      </c>
      <c r="C928">
        <v>196</v>
      </c>
      <c r="D928">
        <v>128</v>
      </c>
      <c r="E928">
        <v>21</v>
      </c>
      <c r="F928">
        <v>44</v>
      </c>
      <c r="G928">
        <v>3</v>
      </c>
      <c r="H928">
        <v>0</v>
      </c>
      <c r="I928">
        <v>0</v>
      </c>
      <c r="J928">
        <v>0</v>
      </c>
    </row>
    <row r="929" spans="1:10" x14ac:dyDescent="0.25">
      <c r="A929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7172031003002100</v>
      </c>
      <c r="C930">
        <v>134</v>
      </c>
      <c r="D930">
        <v>1</v>
      </c>
      <c r="E930">
        <v>0</v>
      </c>
      <c r="F930">
        <v>133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0</v>
      </c>
      <c r="E931">
        <v>1</v>
      </c>
      <c r="F931">
        <v>61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144</v>
      </c>
      <c r="D933">
        <v>130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7172031003002500</v>
      </c>
      <c r="C935">
        <v>90</v>
      </c>
      <c r="D935">
        <v>45</v>
      </c>
      <c r="E935">
        <v>3</v>
      </c>
      <c r="F935">
        <v>42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1</v>
      </c>
      <c r="E937">
        <v>0</v>
      </c>
      <c r="F937">
        <v>68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7172031003002400</v>
      </c>
      <c r="C939">
        <v>60</v>
      </c>
      <c r="D939">
        <v>48</v>
      </c>
      <c r="E939">
        <v>0</v>
      </c>
      <c r="F939">
        <v>12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78</v>
      </c>
      <c r="D941">
        <v>49</v>
      </c>
      <c r="E941">
        <v>23</v>
      </c>
      <c r="F941">
        <v>1</v>
      </c>
      <c r="G941">
        <v>5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7172031004001100</v>
      </c>
      <c r="C945">
        <v>48</v>
      </c>
      <c r="D945">
        <v>0</v>
      </c>
      <c r="E945">
        <v>0</v>
      </c>
      <c r="F945">
        <v>48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7172031004000500</v>
      </c>
      <c r="C946">
        <v>45</v>
      </c>
      <c r="D946">
        <v>12</v>
      </c>
      <c r="E946">
        <v>26</v>
      </c>
      <c r="F946">
        <v>7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7172031004000700</v>
      </c>
      <c r="C947">
        <v>45</v>
      </c>
      <c r="D947">
        <v>2</v>
      </c>
      <c r="E947">
        <v>2</v>
      </c>
      <c r="F947">
        <v>41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7172031004001000</v>
      </c>
      <c r="C948">
        <v>45</v>
      </c>
      <c r="D948">
        <v>1</v>
      </c>
      <c r="E948">
        <v>18</v>
      </c>
      <c r="F948">
        <v>26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36</v>
      </c>
      <c r="D949">
        <v>0</v>
      </c>
      <c r="E949">
        <v>0</v>
      </c>
      <c r="F949">
        <v>36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213</v>
      </c>
      <c r="D951">
        <v>6</v>
      </c>
      <c r="E951">
        <v>60</v>
      </c>
      <c r="F951">
        <v>90</v>
      </c>
      <c r="G951">
        <v>0</v>
      </c>
      <c r="H951">
        <v>0</v>
      </c>
      <c r="I951">
        <v>57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181</v>
      </c>
      <c r="D956">
        <v>2</v>
      </c>
      <c r="E956">
        <v>34</v>
      </c>
      <c r="F956">
        <v>135</v>
      </c>
      <c r="G956">
        <v>0</v>
      </c>
      <c r="H956">
        <v>0</v>
      </c>
      <c r="I956">
        <v>10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38</v>
      </c>
      <c r="E958">
        <v>38</v>
      </c>
      <c r="F958">
        <v>3</v>
      </c>
      <c r="G958">
        <v>2</v>
      </c>
      <c r="H958">
        <v>1</v>
      </c>
      <c r="I958">
        <v>33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112</v>
      </c>
      <c r="E961">
        <v>16</v>
      </c>
      <c r="F961">
        <v>0</v>
      </c>
      <c r="G961">
        <v>2</v>
      </c>
      <c r="H961">
        <v>0</v>
      </c>
      <c r="I961">
        <v>48</v>
      </c>
      <c r="J961">
        <v>0</v>
      </c>
    </row>
    <row r="962" spans="1:10" x14ac:dyDescent="0.25">
      <c r="A962" t="s">
        <v>124</v>
      </c>
      <c r="B962">
        <v>7172031006001500</v>
      </c>
      <c r="C962">
        <v>136</v>
      </c>
      <c r="D962">
        <v>0</v>
      </c>
      <c r="E962">
        <v>0</v>
      </c>
      <c r="F962">
        <v>136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7172031006001700</v>
      </c>
      <c r="C963">
        <v>134</v>
      </c>
      <c r="D963">
        <v>51</v>
      </c>
      <c r="E963">
        <v>12</v>
      </c>
      <c r="F963">
        <v>25</v>
      </c>
      <c r="G963">
        <v>2</v>
      </c>
      <c r="H963">
        <v>0</v>
      </c>
      <c r="I963">
        <v>44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76</v>
      </c>
      <c r="D965">
        <v>0</v>
      </c>
      <c r="E965">
        <v>0</v>
      </c>
      <c r="F965">
        <v>76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127</v>
      </c>
      <c r="D966">
        <v>5</v>
      </c>
      <c r="E966">
        <v>6</v>
      </c>
      <c r="F966">
        <v>115</v>
      </c>
      <c r="G966">
        <v>0</v>
      </c>
      <c r="H966">
        <v>0</v>
      </c>
      <c r="I966">
        <v>1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53</v>
      </c>
      <c r="E968">
        <v>11</v>
      </c>
      <c r="F968">
        <v>12</v>
      </c>
      <c r="G968">
        <v>22</v>
      </c>
      <c r="H968">
        <v>0</v>
      </c>
      <c r="I968">
        <v>8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28</v>
      </c>
      <c r="E969">
        <v>3</v>
      </c>
      <c r="F969">
        <v>6</v>
      </c>
      <c r="G969">
        <v>0</v>
      </c>
      <c r="H969">
        <v>0</v>
      </c>
      <c r="I969">
        <v>65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7172031008001000</v>
      </c>
      <c r="C972">
        <v>86</v>
      </c>
      <c r="D972">
        <v>0</v>
      </c>
      <c r="E972">
        <v>0</v>
      </c>
      <c r="F972">
        <v>86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7172031008000300</v>
      </c>
      <c r="C973">
        <v>85</v>
      </c>
      <c r="D973">
        <v>13</v>
      </c>
      <c r="E973">
        <v>13</v>
      </c>
      <c r="F973">
        <v>58</v>
      </c>
      <c r="G973">
        <v>0</v>
      </c>
      <c r="H973">
        <v>0</v>
      </c>
      <c r="I973">
        <v>1</v>
      </c>
      <c r="J973">
        <v>0</v>
      </c>
    </row>
    <row r="974" spans="1:10" x14ac:dyDescent="0.25">
      <c r="A974" t="s">
        <v>129</v>
      </c>
      <c r="B974">
        <v>7172031008000900</v>
      </c>
      <c r="C974">
        <v>85</v>
      </c>
      <c r="D974">
        <v>2</v>
      </c>
      <c r="E974">
        <v>0</v>
      </c>
      <c r="F974">
        <v>82</v>
      </c>
      <c r="G974">
        <v>1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7172031008000600</v>
      </c>
      <c r="C978">
        <v>46</v>
      </c>
      <c r="D978">
        <v>26</v>
      </c>
      <c r="E978">
        <v>14</v>
      </c>
      <c r="F978">
        <v>0</v>
      </c>
      <c r="G978">
        <v>5</v>
      </c>
      <c r="H978">
        <v>0</v>
      </c>
      <c r="I978">
        <v>1</v>
      </c>
      <c r="J978">
        <v>0</v>
      </c>
    </row>
    <row r="979" spans="1:10" x14ac:dyDescent="0.25">
      <c r="A979" t="s">
        <v>129</v>
      </c>
      <c r="B979">
        <v>7172031008000500</v>
      </c>
      <c r="C979">
        <v>39</v>
      </c>
      <c r="D979">
        <v>0</v>
      </c>
      <c r="E979">
        <v>0</v>
      </c>
      <c r="F979">
        <v>39</v>
      </c>
      <c r="G979">
        <v>0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130</v>
      </c>
      <c r="B982">
        <v>7172040009000200</v>
      </c>
      <c r="C982">
        <v>85</v>
      </c>
      <c r="D982">
        <v>0</v>
      </c>
      <c r="E982">
        <v>0</v>
      </c>
      <c r="F982">
        <v>85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130</v>
      </c>
      <c r="B983">
        <v>7172040009000500</v>
      </c>
      <c r="C983">
        <v>84</v>
      </c>
      <c r="D983">
        <v>0</v>
      </c>
      <c r="E983">
        <v>14</v>
      </c>
      <c r="F983">
        <v>57</v>
      </c>
      <c r="G983">
        <v>0</v>
      </c>
      <c r="H983">
        <v>0</v>
      </c>
      <c r="I983">
        <v>13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2</v>
      </c>
      <c r="E984">
        <v>16</v>
      </c>
      <c r="F984">
        <v>14</v>
      </c>
      <c r="G984">
        <v>1</v>
      </c>
      <c r="H984">
        <v>0</v>
      </c>
      <c r="I984">
        <v>51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2</v>
      </c>
      <c r="F987">
        <v>61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0</v>
      </c>
      <c r="F989">
        <v>56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191</v>
      </c>
      <c r="D991">
        <v>54</v>
      </c>
      <c r="E991">
        <v>27</v>
      </c>
      <c r="F991">
        <v>90</v>
      </c>
      <c r="G991">
        <v>4</v>
      </c>
      <c r="H991">
        <v>0</v>
      </c>
      <c r="I991">
        <v>16</v>
      </c>
      <c r="J991">
        <v>0</v>
      </c>
    </row>
    <row r="992" spans="1:10" x14ac:dyDescent="0.25">
      <c r="A992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44</v>
      </c>
      <c r="D995">
        <v>0</v>
      </c>
      <c r="E995">
        <v>8</v>
      </c>
      <c r="F995">
        <v>33</v>
      </c>
      <c r="G995">
        <v>0</v>
      </c>
      <c r="H995">
        <v>0</v>
      </c>
      <c r="I995">
        <v>3</v>
      </c>
      <c r="J995">
        <v>0</v>
      </c>
    </row>
    <row r="996" spans="1:10" x14ac:dyDescent="0.25">
      <c r="A996" t="s">
        <v>133</v>
      </c>
      <c r="B996">
        <v>7172040003000300</v>
      </c>
      <c r="C996">
        <v>157</v>
      </c>
      <c r="D996">
        <v>0</v>
      </c>
      <c r="E996">
        <v>1</v>
      </c>
      <c r="F996">
        <v>107</v>
      </c>
      <c r="G996">
        <v>0</v>
      </c>
      <c r="H996">
        <v>0</v>
      </c>
      <c r="I996">
        <v>49</v>
      </c>
      <c r="J996">
        <v>0</v>
      </c>
    </row>
    <row r="997" spans="1:10" x14ac:dyDescent="0.25">
      <c r="A997" t="s">
        <v>133</v>
      </c>
      <c r="B997">
        <v>7172040003000102</v>
      </c>
      <c r="C997">
        <v>119</v>
      </c>
      <c r="D997">
        <v>0</v>
      </c>
      <c r="E997">
        <v>0</v>
      </c>
      <c r="F997">
        <v>119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45</v>
      </c>
      <c r="E998">
        <v>1</v>
      </c>
      <c r="F998">
        <v>32</v>
      </c>
      <c r="G998">
        <v>0</v>
      </c>
      <c r="H998">
        <v>0</v>
      </c>
      <c r="I998">
        <v>19</v>
      </c>
      <c r="J998">
        <v>1</v>
      </c>
    </row>
    <row r="999" spans="1:10" x14ac:dyDescent="0.25">
      <c r="A999" t="s">
        <v>133</v>
      </c>
      <c r="B999">
        <v>7172040003000400</v>
      </c>
      <c r="C999">
        <v>73</v>
      </c>
      <c r="D999">
        <v>0</v>
      </c>
      <c r="E999">
        <v>0</v>
      </c>
      <c r="F999">
        <v>66</v>
      </c>
      <c r="G999">
        <v>0</v>
      </c>
      <c r="H999">
        <v>0</v>
      </c>
      <c r="I999">
        <v>7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7172040008000300</v>
      </c>
      <c r="C1007">
        <v>51</v>
      </c>
      <c r="D1007">
        <v>0</v>
      </c>
      <c r="E1007">
        <v>26</v>
      </c>
      <c r="F1007">
        <v>12</v>
      </c>
      <c r="G1007">
        <v>0</v>
      </c>
      <c r="H1007">
        <v>0</v>
      </c>
      <c r="I1007">
        <v>13</v>
      </c>
      <c r="J1007">
        <v>0</v>
      </c>
    </row>
    <row r="1008" spans="1:10" x14ac:dyDescent="0.25">
      <c r="A1008" t="s">
        <v>136</v>
      </c>
      <c r="B1008">
        <v>7172040008000200</v>
      </c>
      <c r="C1008">
        <v>49</v>
      </c>
      <c r="D1008">
        <v>0</v>
      </c>
      <c r="E1008">
        <v>1</v>
      </c>
      <c r="F1008">
        <v>45</v>
      </c>
      <c r="G1008">
        <v>0</v>
      </c>
      <c r="H1008">
        <v>0</v>
      </c>
      <c r="I1008">
        <v>3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t="s">
        <v>136</v>
      </c>
      <c r="B1011">
        <v>7172040008000100</v>
      </c>
      <c r="C1011">
        <v>39</v>
      </c>
      <c r="D1011">
        <v>15</v>
      </c>
      <c r="E1011">
        <v>14</v>
      </c>
      <c r="F1011">
        <v>1</v>
      </c>
      <c r="G1011">
        <v>3</v>
      </c>
      <c r="H1011">
        <v>0</v>
      </c>
      <c r="I1011">
        <v>6</v>
      </c>
      <c r="J1011">
        <v>0</v>
      </c>
    </row>
    <row r="1012" spans="1:10" x14ac:dyDescent="0.25">
      <c r="A1012" t="s">
        <v>136</v>
      </c>
      <c r="B1012">
        <v>7172040008000400</v>
      </c>
      <c r="C1012">
        <v>39</v>
      </c>
      <c r="D1012">
        <v>0</v>
      </c>
      <c r="E1012">
        <v>18</v>
      </c>
      <c r="F1012">
        <v>1</v>
      </c>
      <c r="G1012">
        <v>0</v>
      </c>
      <c r="H1012">
        <v>0</v>
      </c>
      <c r="I1012">
        <v>20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90</v>
      </c>
      <c r="D1013">
        <v>3</v>
      </c>
      <c r="E1013">
        <v>14</v>
      </c>
      <c r="F1013">
        <v>15</v>
      </c>
      <c r="G1013">
        <v>2</v>
      </c>
      <c r="H1013">
        <v>0</v>
      </c>
      <c r="I1013">
        <v>56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66</v>
      </c>
      <c r="D1015">
        <v>0</v>
      </c>
      <c r="E1015">
        <v>6</v>
      </c>
      <c r="F1015">
        <v>46</v>
      </c>
      <c r="G1015">
        <v>0</v>
      </c>
      <c r="H1015">
        <v>0</v>
      </c>
      <c r="I1015">
        <v>14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56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98</v>
      </c>
      <c r="D1022">
        <v>0</v>
      </c>
      <c r="E1022">
        <v>50</v>
      </c>
      <c r="F1022">
        <v>6</v>
      </c>
      <c r="G1022">
        <v>0</v>
      </c>
      <c r="H1022">
        <v>0</v>
      </c>
      <c r="I1022">
        <v>42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80</v>
      </c>
      <c r="D1023">
        <v>39</v>
      </c>
      <c r="E1023">
        <v>12</v>
      </c>
      <c r="F1023">
        <v>1</v>
      </c>
      <c r="G1023">
        <v>1</v>
      </c>
      <c r="H1023">
        <v>0</v>
      </c>
      <c r="I1023">
        <v>27</v>
      </c>
      <c r="J1023">
        <v>0</v>
      </c>
    </row>
    <row r="1024" spans="1:10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140</v>
      </c>
      <c r="B1025">
        <v>7172040012000400</v>
      </c>
      <c r="C1025">
        <v>64</v>
      </c>
      <c r="D1025">
        <v>0</v>
      </c>
      <c r="E1025">
        <v>0</v>
      </c>
      <c r="F1025">
        <v>64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7172040012000500</v>
      </c>
      <c r="C1029">
        <v>38</v>
      </c>
      <c r="D1029">
        <v>0</v>
      </c>
      <c r="E1029">
        <v>0</v>
      </c>
      <c r="F1029">
        <v>34</v>
      </c>
      <c r="G1029">
        <v>0</v>
      </c>
      <c r="H1029">
        <v>0</v>
      </c>
      <c r="I1029">
        <v>4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0</v>
      </c>
      <c r="E1032">
        <v>0</v>
      </c>
      <c r="F1032">
        <v>24</v>
      </c>
      <c r="G1032">
        <v>0</v>
      </c>
      <c r="H1032">
        <v>0</v>
      </c>
      <c r="I1032">
        <v>4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120</v>
      </c>
      <c r="D1034">
        <v>25</v>
      </c>
      <c r="E1034">
        <v>2</v>
      </c>
      <c r="F1034">
        <v>92</v>
      </c>
      <c r="G1034">
        <v>0</v>
      </c>
      <c r="H1034">
        <v>0</v>
      </c>
      <c r="I1034">
        <v>1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25</v>
      </c>
      <c r="E1036">
        <v>1</v>
      </c>
      <c r="F1036">
        <v>38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56</v>
      </c>
      <c r="E1037">
        <v>1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36</v>
      </c>
      <c r="B1041">
        <v>7172011003002401</v>
      </c>
      <c r="C1041">
        <v>192</v>
      </c>
      <c r="D1041">
        <v>17</v>
      </c>
      <c r="E1041">
        <v>10</v>
      </c>
      <c r="F1041">
        <v>13</v>
      </c>
      <c r="G1041">
        <v>0</v>
      </c>
      <c r="H1041">
        <v>0</v>
      </c>
      <c r="I1041">
        <v>152</v>
      </c>
      <c r="J1041">
        <v>0</v>
      </c>
    </row>
    <row r="1042" spans="1:10" x14ac:dyDescent="0.25">
      <c r="A1042" t="s">
        <v>36</v>
      </c>
      <c r="B1042">
        <v>7172011003002100</v>
      </c>
      <c r="C1042">
        <v>116</v>
      </c>
      <c r="D1042">
        <v>0</v>
      </c>
      <c r="E1042">
        <v>0</v>
      </c>
      <c r="F1042">
        <v>116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7172011003002000</v>
      </c>
      <c r="C1043">
        <v>115</v>
      </c>
      <c r="D1043">
        <v>0</v>
      </c>
      <c r="E1043">
        <v>7</v>
      </c>
      <c r="F1043">
        <v>97</v>
      </c>
      <c r="G1043">
        <v>0</v>
      </c>
      <c r="H1043">
        <v>0</v>
      </c>
      <c r="I1043">
        <v>11</v>
      </c>
      <c r="J1043">
        <v>0</v>
      </c>
    </row>
    <row r="1044" spans="1:10" x14ac:dyDescent="0.25">
      <c r="A104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7172011003002402</v>
      </c>
      <c r="C1045">
        <v>67</v>
      </c>
      <c r="D1045">
        <v>0</v>
      </c>
      <c r="E1045">
        <v>17</v>
      </c>
      <c r="F1045">
        <v>15</v>
      </c>
      <c r="G1045">
        <v>0</v>
      </c>
      <c r="H1045">
        <v>0</v>
      </c>
      <c r="I1045">
        <v>35</v>
      </c>
      <c r="J1045">
        <v>0</v>
      </c>
    </row>
    <row r="1046" spans="1:10" x14ac:dyDescent="0.25">
      <c r="A1046" t="s">
        <v>36</v>
      </c>
      <c r="B1046">
        <v>7172011003002200</v>
      </c>
      <c r="C1046">
        <v>55</v>
      </c>
      <c r="D1046">
        <v>0</v>
      </c>
      <c r="E1046">
        <v>0</v>
      </c>
      <c r="F1046">
        <v>55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7172012004001702</v>
      </c>
      <c r="C1049">
        <v>127</v>
      </c>
      <c r="D1049">
        <v>1</v>
      </c>
      <c r="E1049">
        <v>9</v>
      </c>
      <c r="F1049">
        <v>82</v>
      </c>
      <c r="G1049">
        <v>13</v>
      </c>
      <c r="H1049">
        <v>0</v>
      </c>
      <c r="I1049">
        <v>22</v>
      </c>
      <c r="J1049">
        <v>0</v>
      </c>
    </row>
    <row r="1050" spans="1:10" x14ac:dyDescent="0.25">
      <c r="A1050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7172012004001300</v>
      </c>
      <c r="C1051">
        <v>86</v>
      </c>
      <c r="D1051">
        <v>22</v>
      </c>
      <c r="E1051">
        <v>8</v>
      </c>
      <c r="F1051">
        <v>32</v>
      </c>
      <c r="G1051">
        <v>0</v>
      </c>
      <c r="H1051">
        <v>0</v>
      </c>
      <c r="I1051">
        <v>24</v>
      </c>
      <c r="J1051">
        <v>0</v>
      </c>
    </row>
    <row r="1052" spans="1:10" x14ac:dyDescent="0.25">
      <c r="A1052" t="s">
        <v>389</v>
      </c>
      <c r="B1052">
        <v>7172012004001203</v>
      </c>
      <c r="C1052">
        <v>55</v>
      </c>
      <c r="D1052">
        <v>0</v>
      </c>
      <c r="E1052">
        <v>0</v>
      </c>
      <c r="F1052">
        <v>55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390</v>
      </c>
      <c r="B1053">
        <v>7172040003001501</v>
      </c>
      <c r="C1053">
        <v>182</v>
      </c>
      <c r="D1053">
        <v>0</v>
      </c>
      <c r="E1053">
        <v>0</v>
      </c>
      <c r="F1053">
        <v>182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136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7172040003001400</v>
      </c>
      <c r="C1055">
        <v>91</v>
      </c>
      <c r="D1055">
        <v>0</v>
      </c>
      <c r="E1055">
        <v>0</v>
      </c>
      <c r="F1055">
        <v>91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7172040003000800</v>
      </c>
      <c r="C1056">
        <v>79</v>
      </c>
      <c r="D1056">
        <v>0</v>
      </c>
      <c r="E1056">
        <v>40</v>
      </c>
      <c r="F1056">
        <v>17</v>
      </c>
      <c r="G1056">
        <v>0</v>
      </c>
      <c r="H1056">
        <v>3</v>
      </c>
      <c r="I1056">
        <v>19</v>
      </c>
      <c r="J1056">
        <v>0</v>
      </c>
    </row>
    <row r="1057" spans="1:10" x14ac:dyDescent="0.25">
      <c r="A1057" t="s">
        <v>390</v>
      </c>
      <c r="B1057">
        <v>7172040003001302</v>
      </c>
      <c r="C1057">
        <v>52</v>
      </c>
      <c r="D1057">
        <v>0</v>
      </c>
      <c r="E1057">
        <v>0</v>
      </c>
      <c r="F1057">
        <v>52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7172040003001502</v>
      </c>
      <c r="C1058">
        <v>28</v>
      </c>
      <c r="D1058">
        <v>0</v>
      </c>
      <c r="E1058">
        <v>0</v>
      </c>
      <c r="F1058">
        <v>28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34880-9C4F-4A2C-9E5D-8CB70885328C}">
  <dimension ref="A1:K1058"/>
  <sheetViews>
    <sheetView topLeftCell="B1027" workbookViewId="0">
      <selection activeCell="G2" sqref="G2:K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1.7109375" bestFit="1" customWidth="1"/>
    <col min="7" max="7" width="8.28515625" bestFit="1" customWidth="1"/>
    <col min="8" max="9" width="24" bestFit="1" customWidth="1"/>
    <col min="10" max="10" width="25.42578125" bestFit="1" customWidth="1"/>
    <col min="11" max="11" width="26.28515625" bestFit="1" customWidth="1"/>
  </cols>
  <sheetData>
    <row r="1" spans="1:11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399</v>
      </c>
      <c r="G1" t="s">
        <v>224</v>
      </c>
      <c r="H1" t="s">
        <v>225</v>
      </c>
      <c r="I1" t="s">
        <v>226</v>
      </c>
      <c r="J1" t="s">
        <v>227</v>
      </c>
      <c r="K1" t="s">
        <v>228</v>
      </c>
    </row>
    <row r="2" spans="1:11" x14ac:dyDescent="0.25">
      <c r="A2" s="4" t="s">
        <v>10</v>
      </c>
      <c r="B2">
        <v>7172010009002800</v>
      </c>
      <c r="C2">
        <v>103</v>
      </c>
      <c r="D2">
        <v>22</v>
      </c>
      <c r="E2">
        <v>9</v>
      </c>
      <c r="F2">
        <v>0</v>
      </c>
      <c r="G2">
        <v>11</v>
      </c>
      <c r="H2">
        <v>56</v>
      </c>
      <c r="I2">
        <v>0</v>
      </c>
      <c r="J2">
        <v>5</v>
      </c>
      <c r="K2">
        <v>0</v>
      </c>
    </row>
    <row r="3" spans="1:11" x14ac:dyDescent="0.25">
      <c r="A3" s="4" t="s">
        <v>10</v>
      </c>
      <c r="B3">
        <v>7172010009002700</v>
      </c>
      <c r="C3">
        <v>102</v>
      </c>
      <c r="D3">
        <v>0</v>
      </c>
      <c r="E3">
        <v>15</v>
      </c>
      <c r="F3">
        <v>0</v>
      </c>
      <c r="G3">
        <v>34</v>
      </c>
      <c r="H3">
        <v>8</v>
      </c>
      <c r="I3">
        <v>0</v>
      </c>
      <c r="J3">
        <v>45</v>
      </c>
      <c r="K3">
        <v>0</v>
      </c>
    </row>
    <row r="4" spans="1:11" x14ac:dyDescent="0.25">
      <c r="A4" s="4" t="s">
        <v>10</v>
      </c>
      <c r="B4">
        <v>7172010009002600</v>
      </c>
      <c r="C4">
        <v>83</v>
      </c>
      <c r="D4">
        <v>0</v>
      </c>
      <c r="E4">
        <v>1</v>
      </c>
      <c r="F4">
        <v>0</v>
      </c>
      <c r="G4">
        <v>82</v>
      </c>
      <c r="H4">
        <v>0</v>
      </c>
      <c r="I4">
        <v>0</v>
      </c>
      <c r="J4">
        <v>0</v>
      </c>
      <c r="K4">
        <v>0</v>
      </c>
    </row>
    <row r="5" spans="1:11" x14ac:dyDescent="0.25">
      <c r="A5" s="4" t="s">
        <v>10</v>
      </c>
      <c r="B5">
        <v>7172010009002500</v>
      </c>
      <c r="C5">
        <v>82</v>
      </c>
      <c r="D5">
        <v>0</v>
      </c>
      <c r="E5">
        <v>0</v>
      </c>
      <c r="F5">
        <v>0</v>
      </c>
      <c r="G5">
        <v>82</v>
      </c>
      <c r="H5">
        <v>0</v>
      </c>
      <c r="I5">
        <v>0</v>
      </c>
      <c r="J5">
        <v>0</v>
      </c>
      <c r="K5">
        <v>0</v>
      </c>
    </row>
    <row r="6" spans="1:11" x14ac:dyDescent="0.25">
      <c r="A6" s="4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69</v>
      </c>
      <c r="H6">
        <v>0</v>
      </c>
      <c r="I6">
        <v>0</v>
      </c>
      <c r="J6">
        <v>0</v>
      </c>
      <c r="K6">
        <v>0</v>
      </c>
    </row>
    <row r="7" spans="1:11" x14ac:dyDescent="0.25">
      <c r="A7" s="4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57</v>
      </c>
      <c r="H7">
        <v>0</v>
      </c>
      <c r="I7">
        <v>0</v>
      </c>
      <c r="J7">
        <v>0</v>
      </c>
      <c r="K7">
        <v>0</v>
      </c>
    </row>
    <row r="8" spans="1:11" x14ac:dyDescent="0.25">
      <c r="A8" s="4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53</v>
      </c>
      <c r="H8">
        <v>0</v>
      </c>
      <c r="I8">
        <v>0</v>
      </c>
      <c r="J8">
        <v>0</v>
      </c>
      <c r="K8">
        <v>0</v>
      </c>
    </row>
    <row r="9" spans="1:11" x14ac:dyDescent="0.25">
      <c r="A9" s="4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46</v>
      </c>
      <c r="H9">
        <v>0</v>
      </c>
      <c r="I9">
        <v>0</v>
      </c>
      <c r="J9">
        <v>0</v>
      </c>
      <c r="K9">
        <v>0</v>
      </c>
    </row>
    <row r="10" spans="1:11" x14ac:dyDescent="0.25">
      <c r="A10" s="4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160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 s="4" t="s">
        <v>6</v>
      </c>
      <c r="B11">
        <v>7172010008000600</v>
      </c>
      <c r="C11">
        <v>129</v>
      </c>
      <c r="D11">
        <v>0</v>
      </c>
      <c r="E11">
        <v>0</v>
      </c>
      <c r="F11">
        <v>0</v>
      </c>
      <c r="G11">
        <v>129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s="4" t="s">
        <v>6</v>
      </c>
      <c r="B12">
        <v>7172010008000200</v>
      </c>
      <c r="C12">
        <v>73</v>
      </c>
      <c r="D12">
        <v>26</v>
      </c>
      <c r="E12">
        <v>2</v>
      </c>
      <c r="F12">
        <v>0</v>
      </c>
      <c r="G12">
        <v>0</v>
      </c>
      <c r="H12">
        <v>0</v>
      </c>
      <c r="I12">
        <v>0</v>
      </c>
      <c r="J12">
        <v>45</v>
      </c>
      <c r="K12">
        <v>0</v>
      </c>
    </row>
    <row r="13" spans="1:11" x14ac:dyDescent="0.25">
      <c r="A13" s="4" t="s">
        <v>6</v>
      </c>
      <c r="B13">
        <v>7172010008000500</v>
      </c>
      <c r="C13">
        <v>72</v>
      </c>
      <c r="D13">
        <v>0</v>
      </c>
      <c r="E13">
        <v>0</v>
      </c>
      <c r="F13">
        <v>0</v>
      </c>
      <c r="G13">
        <v>72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s="4" t="s">
        <v>6</v>
      </c>
      <c r="B14">
        <v>7172010008000400</v>
      </c>
      <c r="C14">
        <v>65</v>
      </c>
      <c r="D14">
        <v>1</v>
      </c>
      <c r="E14">
        <v>9</v>
      </c>
      <c r="F14">
        <v>0</v>
      </c>
      <c r="G14">
        <v>45</v>
      </c>
      <c r="H14">
        <v>0</v>
      </c>
      <c r="I14">
        <v>0</v>
      </c>
      <c r="J14">
        <v>10</v>
      </c>
      <c r="K14">
        <v>0</v>
      </c>
    </row>
    <row r="15" spans="1:11" x14ac:dyDescent="0.25">
      <c r="A15" s="4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48</v>
      </c>
      <c r="H15">
        <v>0</v>
      </c>
      <c r="I15">
        <v>0</v>
      </c>
      <c r="J15">
        <v>0</v>
      </c>
      <c r="K15">
        <v>0</v>
      </c>
    </row>
    <row r="16" spans="1:11" x14ac:dyDescent="0.25">
      <c r="A16" s="4" t="s">
        <v>6</v>
      </c>
      <c r="B16">
        <v>7172010008000300</v>
      </c>
      <c r="C16">
        <v>43</v>
      </c>
      <c r="D16">
        <v>18</v>
      </c>
      <c r="E16">
        <v>0</v>
      </c>
      <c r="F16">
        <v>0</v>
      </c>
      <c r="G16">
        <v>1</v>
      </c>
      <c r="H16">
        <v>0</v>
      </c>
      <c r="I16">
        <v>0</v>
      </c>
      <c r="J16">
        <v>24</v>
      </c>
      <c r="K16">
        <v>0</v>
      </c>
    </row>
    <row r="17" spans="1:11" x14ac:dyDescent="0.25">
      <c r="A17" s="4" t="s">
        <v>13</v>
      </c>
      <c r="B17">
        <v>7172010010002100</v>
      </c>
      <c r="C17">
        <v>85</v>
      </c>
      <c r="D17">
        <v>27</v>
      </c>
      <c r="E17">
        <v>4</v>
      </c>
      <c r="F17">
        <v>0</v>
      </c>
      <c r="G17">
        <v>5</v>
      </c>
      <c r="H17">
        <v>0</v>
      </c>
      <c r="I17">
        <v>0</v>
      </c>
      <c r="J17">
        <v>49</v>
      </c>
      <c r="K17">
        <v>0</v>
      </c>
    </row>
    <row r="18" spans="1:11" x14ac:dyDescent="0.25">
      <c r="A18" s="4" t="s">
        <v>13</v>
      </c>
      <c r="B18">
        <v>7172010010001600</v>
      </c>
      <c r="C18">
        <v>77</v>
      </c>
      <c r="D18">
        <v>0</v>
      </c>
      <c r="E18">
        <v>9</v>
      </c>
      <c r="F18">
        <v>0</v>
      </c>
      <c r="G18">
        <v>29</v>
      </c>
      <c r="H18">
        <v>0</v>
      </c>
      <c r="I18">
        <v>0</v>
      </c>
      <c r="J18">
        <v>39</v>
      </c>
      <c r="K18">
        <v>0</v>
      </c>
    </row>
    <row r="19" spans="1:11" x14ac:dyDescent="0.25">
      <c r="A19" s="4" t="s">
        <v>13</v>
      </c>
      <c r="B19">
        <v>7172010010001800</v>
      </c>
      <c r="C19">
        <v>76</v>
      </c>
      <c r="D19">
        <v>3</v>
      </c>
      <c r="E19">
        <v>1</v>
      </c>
      <c r="F19">
        <v>0</v>
      </c>
      <c r="G19">
        <v>26</v>
      </c>
      <c r="H19">
        <v>0</v>
      </c>
      <c r="I19">
        <v>0</v>
      </c>
      <c r="J19">
        <v>46</v>
      </c>
      <c r="K19">
        <v>0</v>
      </c>
    </row>
    <row r="20" spans="1:11" x14ac:dyDescent="0.25">
      <c r="A20" s="4" t="s">
        <v>13</v>
      </c>
      <c r="B20">
        <v>7172010010001900</v>
      </c>
      <c r="C20">
        <v>70</v>
      </c>
      <c r="D20">
        <v>0</v>
      </c>
      <c r="E20">
        <v>0</v>
      </c>
      <c r="F20">
        <v>0</v>
      </c>
      <c r="G20">
        <v>70</v>
      </c>
      <c r="H20">
        <v>0</v>
      </c>
      <c r="I20">
        <v>0</v>
      </c>
      <c r="J20">
        <v>0</v>
      </c>
      <c r="K20">
        <v>0</v>
      </c>
    </row>
    <row r="21" spans="1:11" x14ac:dyDescent="0.25">
      <c r="A21" s="4" t="s">
        <v>13</v>
      </c>
      <c r="B21">
        <v>7172010010002000</v>
      </c>
      <c r="C21">
        <v>58</v>
      </c>
      <c r="D21">
        <v>0</v>
      </c>
      <c r="E21">
        <v>1</v>
      </c>
      <c r="F21">
        <v>0</v>
      </c>
      <c r="G21">
        <v>57</v>
      </c>
      <c r="H21">
        <v>0</v>
      </c>
      <c r="I21">
        <v>0</v>
      </c>
      <c r="J21">
        <v>0</v>
      </c>
      <c r="K21">
        <v>0</v>
      </c>
    </row>
    <row r="22" spans="1:11" x14ac:dyDescent="0.25">
      <c r="A22" s="4" t="s">
        <v>13</v>
      </c>
      <c r="B22">
        <v>7172010011000300</v>
      </c>
      <c r="C22">
        <v>42</v>
      </c>
      <c r="D22">
        <v>0</v>
      </c>
      <c r="E22">
        <v>0</v>
      </c>
      <c r="F22">
        <v>0</v>
      </c>
      <c r="G22">
        <v>42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s="4" t="s">
        <v>13</v>
      </c>
      <c r="B23">
        <v>7172010011000100</v>
      </c>
      <c r="C23">
        <v>41</v>
      </c>
      <c r="D23">
        <v>0</v>
      </c>
      <c r="E23">
        <v>0</v>
      </c>
      <c r="F23">
        <v>0</v>
      </c>
      <c r="G23">
        <v>41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s="4" t="s">
        <v>13</v>
      </c>
      <c r="B24">
        <v>7172010011000600</v>
      </c>
      <c r="C24">
        <v>41</v>
      </c>
      <c r="D24">
        <v>0</v>
      </c>
      <c r="E24">
        <v>0</v>
      </c>
      <c r="F24">
        <v>0</v>
      </c>
      <c r="G24">
        <v>41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 s="4" t="s">
        <v>13</v>
      </c>
      <c r="B25">
        <v>7172010010001700</v>
      </c>
      <c r="C25">
        <v>33</v>
      </c>
      <c r="D25">
        <v>0</v>
      </c>
      <c r="E25">
        <v>0</v>
      </c>
      <c r="F25">
        <v>0</v>
      </c>
      <c r="G25">
        <v>33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s="4" t="s">
        <v>13</v>
      </c>
      <c r="B26">
        <v>7172010010002200</v>
      </c>
      <c r="C26">
        <v>29</v>
      </c>
      <c r="D26">
        <v>0</v>
      </c>
      <c r="E26">
        <v>0</v>
      </c>
      <c r="F26">
        <v>0</v>
      </c>
      <c r="G26">
        <v>29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 s="4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29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 s="4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28</v>
      </c>
      <c r="H28">
        <v>0</v>
      </c>
      <c r="I28">
        <v>0</v>
      </c>
      <c r="J28">
        <v>0</v>
      </c>
      <c r="K28">
        <v>0</v>
      </c>
    </row>
    <row r="29" spans="1:11" x14ac:dyDescent="0.25">
      <c r="A29" s="4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13</v>
      </c>
      <c r="H29">
        <v>0</v>
      </c>
      <c r="I29">
        <v>0</v>
      </c>
      <c r="J29">
        <v>0</v>
      </c>
      <c r="K29">
        <v>0</v>
      </c>
    </row>
    <row r="30" spans="1:11" x14ac:dyDescent="0.25">
      <c r="A30" s="4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102</v>
      </c>
      <c r="H30">
        <v>0</v>
      </c>
      <c r="I30">
        <v>0</v>
      </c>
      <c r="J30">
        <v>0</v>
      </c>
      <c r="K30">
        <v>0</v>
      </c>
    </row>
    <row r="31" spans="1:11" x14ac:dyDescent="0.25">
      <c r="A31" s="4" t="s">
        <v>16</v>
      </c>
      <c r="B31">
        <v>7172010012002200</v>
      </c>
      <c r="C31">
        <v>61</v>
      </c>
      <c r="D31">
        <v>0</v>
      </c>
      <c r="E31">
        <v>0</v>
      </c>
      <c r="F31">
        <v>0</v>
      </c>
      <c r="G31">
        <v>61</v>
      </c>
      <c r="H31">
        <v>0</v>
      </c>
      <c r="I31">
        <v>0</v>
      </c>
      <c r="J31">
        <v>0</v>
      </c>
      <c r="K31">
        <v>0</v>
      </c>
    </row>
    <row r="32" spans="1:11" x14ac:dyDescent="0.25">
      <c r="A32" s="4" t="s">
        <v>16</v>
      </c>
      <c r="B32">
        <v>7172010012001800</v>
      </c>
      <c r="C32">
        <v>59</v>
      </c>
      <c r="D32">
        <v>0</v>
      </c>
      <c r="E32">
        <v>0</v>
      </c>
      <c r="F32">
        <v>0</v>
      </c>
      <c r="G32">
        <v>59</v>
      </c>
      <c r="H32">
        <v>0</v>
      </c>
      <c r="I32">
        <v>0</v>
      </c>
      <c r="J32">
        <v>0</v>
      </c>
      <c r="K32">
        <v>0</v>
      </c>
    </row>
    <row r="33" spans="1:11" x14ac:dyDescent="0.25">
      <c r="A33" s="4" t="s">
        <v>16</v>
      </c>
      <c r="B33">
        <v>7172010012001700</v>
      </c>
      <c r="C33">
        <v>53</v>
      </c>
      <c r="D33">
        <v>13</v>
      </c>
      <c r="E33">
        <v>6</v>
      </c>
      <c r="F33">
        <v>0</v>
      </c>
      <c r="G33">
        <v>4</v>
      </c>
      <c r="H33">
        <v>0</v>
      </c>
      <c r="I33">
        <v>0</v>
      </c>
      <c r="J33">
        <v>30</v>
      </c>
      <c r="K33">
        <v>0</v>
      </c>
    </row>
    <row r="34" spans="1:11" x14ac:dyDescent="0.25">
      <c r="A34" s="4" t="s">
        <v>16</v>
      </c>
      <c r="B34">
        <v>7172010012002400</v>
      </c>
      <c r="C34">
        <v>51</v>
      </c>
      <c r="D34">
        <v>0</v>
      </c>
      <c r="E34">
        <v>0</v>
      </c>
      <c r="F34">
        <v>0</v>
      </c>
      <c r="G34">
        <v>51</v>
      </c>
      <c r="H34">
        <v>0</v>
      </c>
      <c r="I34">
        <v>0</v>
      </c>
      <c r="J34">
        <v>0</v>
      </c>
      <c r="K34">
        <v>0</v>
      </c>
    </row>
    <row r="35" spans="1:11" x14ac:dyDescent="0.25">
      <c r="A35" s="4" t="s">
        <v>16</v>
      </c>
      <c r="B35">
        <v>7172010012002100</v>
      </c>
      <c r="C35">
        <v>48</v>
      </c>
      <c r="D35">
        <v>0</v>
      </c>
      <c r="E35">
        <v>0</v>
      </c>
      <c r="F35">
        <v>0</v>
      </c>
      <c r="G35">
        <v>48</v>
      </c>
      <c r="H35">
        <v>0</v>
      </c>
      <c r="I35">
        <v>0</v>
      </c>
      <c r="J35">
        <v>0</v>
      </c>
      <c r="K35">
        <v>0</v>
      </c>
    </row>
    <row r="36" spans="1:11" x14ac:dyDescent="0.25">
      <c r="A36" s="4" t="s">
        <v>16</v>
      </c>
      <c r="B36">
        <v>7172010012002000</v>
      </c>
      <c r="C36">
        <v>45</v>
      </c>
      <c r="D36">
        <v>0</v>
      </c>
      <c r="E36">
        <v>0</v>
      </c>
      <c r="F36">
        <v>0</v>
      </c>
      <c r="G36">
        <v>45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s="4" t="s">
        <v>16</v>
      </c>
      <c r="B37">
        <v>7172010012001500</v>
      </c>
      <c r="C37">
        <v>43</v>
      </c>
      <c r="D37">
        <v>0</v>
      </c>
      <c r="E37">
        <v>0</v>
      </c>
      <c r="F37">
        <v>0</v>
      </c>
      <c r="G37">
        <v>43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 s="4" t="s">
        <v>16</v>
      </c>
      <c r="B38">
        <v>7172010012001400</v>
      </c>
      <c r="C38">
        <v>40</v>
      </c>
      <c r="D38">
        <v>9</v>
      </c>
      <c r="E38">
        <v>2</v>
      </c>
      <c r="F38">
        <v>0</v>
      </c>
      <c r="G38">
        <v>5</v>
      </c>
      <c r="H38">
        <v>0</v>
      </c>
      <c r="I38">
        <v>0</v>
      </c>
      <c r="J38">
        <v>24</v>
      </c>
      <c r="K38">
        <v>0</v>
      </c>
    </row>
    <row r="39" spans="1:11" x14ac:dyDescent="0.25">
      <c r="A39" s="4" t="s">
        <v>16</v>
      </c>
      <c r="B39">
        <v>7172010012001300</v>
      </c>
      <c r="C39">
        <v>30</v>
      </c>
      <c r="D39">
        <v>7</v>
      </c>
      <c r="E39">
        <v>0</v>
      </c>
      <c r="F39">
        <v>0</v>
      </c>
      <c r="G39">
        <v>0</v>
      </c>
      <c r="H39">
        <v>0</v>
      </c>
      <c r="I39">
        <v>0</v>
      </c>
      <c r="J39">
        <v>23</v>
      </c>
      <c r="K39">
        <v>0</v>
      </c>
    </row>
    <row r="40" spans="1:11" x14ac:dyDescent="0.25">
      <c r="A40" s="4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0</v>
      </c>
      <c r="H40">
        <v>0</v>
      </c>
      <c r="I40">
        <v>0</v>
      </c>
      <c r="J40">
        <v>20</v>
      </c>
      <c r="K40">
        <v>0</v>
      </c>
    </row>
    <row r="41" spans="1:11" x14ac:dyDescent="0.25">
      <c r="A41" s="4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28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 s="4" t="s">
        <v>17</v>
      </c>
      <c r="B42">
        <v>7172010015003400</v>
      </c>
      <c r="C42">
        <v>224</v>
      </c>
      <c r="D42">
        <v>22</v>
      </c>
      <c r="E42">
        <v>31</v>
      </c>
      <c r="F42">
        <v>0</v>
      </c>
      <c r="G42">
        <v>40</v>
      </c>
      <c r="H42">
        <v>8</v>
      </c>
      <c r="I42">
        <v>0</v>
      </c>
      <c r="J42">
        <v>123</v>
      </c>
      <c r="K42">
        <v>0</v>
      </c>
    </row>
    <row r="43" spans="1:11" x14ac:dyDescent="0.25">
      <c r="A43" s="4" t="s">
        <v>17</v>
      </c>
      <c r="B43">
        <v>7172010015003300</v>
      </c>
      <c r="C43">
        <v>184</v>
      </c>
      <c r="D43">
        <v>0</v>
      </c>
      <c r="E43">
        <v>0</v>
      </c>
      <c r="F43">
        <v>0</v>
      </c>
      <c r="G43">
        <v>184</v>
      </c>
      <c r="H43">
        <v>0</v>
      </c>
      <c r="I43">
        <v>0</v>
      </c>
      <c r="J43">
        <v>0</v>
      </c>
      <c r="K43">
        <v>0</v>
      </c>
    </row>
    <row r="44" spans="1:11" x14ac:dyDescent="0.25">
      <c r="A44" s="4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67</v>
      </c>
      <c r="H44">
        <v>0</v>
      </c>
      <c r="I44">
        <v>0</v>
      </c>
      <c r="J44">
        <v>0</v>
      </c>
      <c r="K44">
        <v>0</v>
      </c>
    </row>
    <row r="45" spans="1:11" x14ac:dyDescent="0.25">
      <c r="A45" s="4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56</v>
      </c>
      <c r="H45">
        <v>0</v>
      </c>
      <c r="I45">
        <v>0</v>
      </c>
      <c r="J45">
        <v>0</v>
      </c>
      <c r="K45">
        <v>0</v>
      </c>
    </row>
    <row r="46" spans="1:11" x14ac:dyDescent="0.25">
      <c r="A46" s="4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54</v>
      </c>
      <c r="H46">
        <v>0</v>
      </c>
      <c r="I46">
        <v>0</v>
      </c>
      <c r="J46">
        <v>0</v>
      </c>
      <c r="K46">
        <v>0</v>
      </c>
    </row>
    <row r="47" spans="1:11" x14ac:dyDescent="0.25">
      <c r="A47" s="4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44</v>
      </c>
      <c r="H47">
        <v>0</v>
      </c>
      <c r="I47">
        <v>0</v>
      </c>
      <c r="J47">
        <v>0</v>
      </c>
      <c r="K47">
        <v>0</v>
      </c>
    </row>
    <row r="48" spans="1:11" x14ac:dyDescent="0.25">
      <c r="A48" s="4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30</v>
      </c>
      <c r="H48">
        <v>0</v>
      </c>
      <c r="I48">
        <v>0</v>
      </c>
      <c r="J48">
        <v>0</v>
      </c>
      <c r="K48">
        <v>0</v>
      </c>
    </row>
    <row r="49" spans="1:11" x14ac:dyDescent="0.25">
      <c r="A49" s="4" t="s">
        <v>20</v>
      </c>
      <c r="B49">
        <v>7172010016001700</v>
      </c>
      <c r="C49">
        <v>101</v>
      </c>
      <c r="D49">
        <v>12</v>
      </c>
      <c r="E49">
        <v>1</v>
      </c>
      <c r="F49">
        <v>0</v>
      </c>
      <c r="G49">
        <v>17</v>
      </c>
      <c r="H49">
        <v>0</v>
      </c>
      <c r="I49">
        <v>0</v>
      </c>
      <c r="J49">
        <v>71</v>
      </c>
      <c r="K49">
        <v>0</v>
      </c>
    </row>
    <row r="50" spans="1:11" x14ac:dyDescent="0.25">
      <c r="A50" s="4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97</v>
      </c>
      <c r="H50">
        <v>0</v>
      </c>
      <c r="I50">
        <v>0</v>
      </c>
      <c r="J50">
        <v>0</v>
      </c>
      <c r="K50">
        <v>0</v>
      </c>
    </row>
    <row r="51" spans="1:11" x14ac:dyDescent="0.25">
      <c r="A51" s="4" t="s">
        <v>20</v>
      </c>
      <c r="B51">
        <v>7172010016002000</v>
      </c>
      <c r="C51">
        <v>81</v>
      </c>
      <c r="D51">
        <v>0</v>
      </c>
      <c r="E51">
        <v>7</v>
      </c>
      <c r="F51">
        <v>0</v>
      </c>
      <c r="G51">
        <v>38</v>
      </c>
      <c r="H51">
        <v>0</v>
      </c>
      <c r="I51">
        <v>0</v>
      </c>
      <c r="J51">
        <v>36</v>
      </c>
      <c r="K51">
        <v>0</v>
      </c>
    </row>
    <row r="52" spans="1:11" x14ac:dyDescent="0.25">
      <c r="A52" s="4" t="s">
        <v>20</v>
      </c>
      <c r="B52">
        <v>7172010015000800</v>
      </c>
      <c r="C52">
        <v>61</v>
      </c>
      <c r="D52">
        <v>0</v>
      </c>
      <c r="E52">
        <v>0</v>
      </c>
      <c r="F52">
        <v>0</v>
      </c>
      <c r="G52">
        <v>61</v>
      </c>
      <c r="H52">
        <v>0</v>
      </c>
      <c r="I52">
        <v>0</v>
      </c>
      <c r="J52">
        <v>0</v>
      </c>
      <c r="K52">
        <v>0</v>
      </c>
    </row>
    <row r="53" spans="1:11" x14ac:dyDescent="0.25">
      <c r="A53" s="4" t="s">
        <v>20</v>
      </c>
      <c r="B53">
        <v>7172010016002200</v>
      </c>
      <c r="C53">
        <v>61</v>
      </c>
      <c r="D53">
        <v>10</v>
      </c>
      <c r="E53">
        <v>2</v>
      </c>
      <c r="F53">
        <v>0</v>
      </c>
      <c r="G53">
        <v>16</v>
      </c>
      <c r="H53">
        <v>0</v>
      </c>
      <c r="I53">
        <v>0</v>
      </c>
      <c r="J53">
        <v>33</v>
      </c>
      <c r="K53">
        <v>0</v>
      </c>
    </row>
    <row r="54" spans="1:11" x14ac:dyDescent="0.25">
      <c r="A54" s="4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60</v>
      </c>
      <c r="H54">
        <v>0</v>
      </c>
      <c r="I54">
        <v>0</v>
      </c>
      <c r="J54">
        <v>0</v>
      </c>
      <c r="K54">
        <v>0</v>
      </c>
    </row>
    <row r="55" spans="1:11" x14ac:dyDescent="0.25">
      <c r="A55" s="4" t="s">
        <v>20</v>
      </c>
      <c r="B55">
        <v>7172010016002100</v>
      </c>
      <c r="C55">
        <v>56</v>
      </c>
      <c r="D55">
        <v>0</v>
      </c>
      <c r="E55">
        <v>0</v>
      </c>
      <c r="F55">
        <v>0</v>
      </c>
      <c r="G55">
        <v>56</v>
      </c>
      <c r="H55">
        <v>0</v>
      </c>
      <c r="I55">
        <v>0</v>
      </c>
      <c r="J55">
        <v>0</v>
      </c>
      <c r="K55">
        <v>0</v>
      </c>
    </row>
    <row r="56" spans="1:11" x14ac:dyDescent="0.25">
      <c r="A56" s="4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48</v>
      </c>
      <c r="H56">
        <v>0</v>
      </c>
      <c r="I56">
        <v>0</v>
      </c>
      <c r="J56">
        <v>0</v>
      </c>
      <c r="K56">
        <v>0</v>
      </c>
    </row>
    <row r="57" spans="1:11" x14ac:dyDescent="0.25">
      <c r="A57" s="4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47</v>
      </c>
      <c r="H57">
        <v>0</v>
      </c>
      <c r="I57">
        <v>0</v>
      </c>
      <c r="J57">
        <v>0</v>
      </c>
      <c r="K57">
        <v>0</v>
      </c>
    </row>
    <row r="58" spans="1:11" x14ac:dyDescent="0.25">
      <c r="A58" s="4" t="s">
        <v>20</v>
      </c>
      <c r="B58">
        <v>7172010016001500</v>
      </c>
      <c r="C58">
        <v>37</v>
      </c>
      <c r="D58">
        <v>0</v>
      </c>
      <c r="E58">
        <v>4</v>
      </c>
      <c r="F58">
        <v>0</v>
      </c>
      <c r="G58">
        <v>32</v>
      </c>
      <c r="H58">
        <v>0</v>
      </c>
      <c r="I58">
        <v>0</v>
      </c>
      <c r="J58">
        <v>1</v>
      </c>
      <c r="K58">
        <v>0</v>
      </c>
    </row>
    <row r="59" spans="1:11" x14ac:dyDescent="0.25">
      <c r="A59" s="4" t="s">
        <v>18</v>
      </c>
      <c r="B59">
        <v>7172010017001300</v>
      </c>
      <c r="C59">
        <v>142</v>
      </c>
      <c r="D59">
        <v>41</v>
      </c>
      <c r="E59">
        <v>6</v>
      </c>
      <c r="F59">
        <v>0</v>
      </c>
      <c r="G59">
        <v>5</v>
      </c>
      <c r="H59">
        <v>0</v>
      </c>
      <c r="I59">
        <v>0</v>
      </c>
      <c r="J59">
        <v>90</v>
      </c>
      <c r="K59">
        <v>0</v>
      </c>
    </row>
    <row r="60" spans="1:11" x14ac:dyDescent="0.25">
      <c r="A60" s="4" t="s">
        <v>18</v>
      </c>
      <c r="B60">
        <v>7172010017001800</v>
      </c>
      <c r="C60">
        <v>102</v>
      </c>
      <c r="D60">
        <v>31</v>
      </c>
      <c r="E60">
        <v>11</v>
      </c>
      <c r="F60">
        <v>0</v>
      </c>
      <c r="G60">
        <v>0</v>
      </c>
      <c r="H60">
        <v>0</v>
      </c>
      <c r="I60">
        <v>0</v>
      </c>
      <c r="J60">
        <v>60</v>
      </c>
      <c r="K60">
        <v>0</v>
      </c>
    </row>
    <row r="61" spans="1:11" x14ac:dyDescent="0.25">
      <c r="A61" s="4" t="s">
        <v>18</v>
      </c>
      <c r="B61">
        <v>7172010017002100</v>
      </c>
      <c r="C61">
        <v>88</v>
      </c>
      <c r="D61">
        <v>0</v>
      </c>
      <c r="E61">
        <v>18</v>
      </c>
      <c r="F61">
        <v>0</v>
      </c>
      <c r="G61">
        <v>57</v>
      </c>
      <c r="H61">
        <v>0</v>
      </c>
      <c r="I61">
        <v>0</v>
      </c>
      <c r="J61">
        <v>13</v>
      </c>
      <c r="K61">
        <v>0</v>
      </c>
    </row>
    <row r="62" spans="1:11" x14ac:dyDescent="0.25">
      <c r="A62" s="4" t="s">
        <v>18</v>
      </c>
      <c r="B62">
        <v>7172010017001500</v>
      </c>
      <c r="C62">
        <v>71</v>
      </c>
      <c r="D62">
        <v>0</v>
      </c>
      <c r="E62">
        <v>1</v>
      </c>
      <c r="F62">
        <v>0</v>
      </c>
      <c r="G62">
        <v>70</v>
      </c>
      <c r="H62">
        <v>0</v>
      </c>
      <c r="I62">
        <v>0</v>
      </c>
      <c r="J62">
        <v>0</v>
      </c>
      <c r="K62">
        <v>0</v>
      </c>
    </row>
    <row r="63" spans="1:11" x14ac:dyDescent="0.25">
      <c r="A63" s="4" t="s">
        <v>18</v>
      </c>
      <c r="B63">
        <v>7172010017002000</v>
      </c>
      <c r="C63">
        <v>61</v>
      </c>
      <c r="D63">
        <v>0</v>
      </c>
      <c r="E63">
        <v>0</v>
      </c>
      <c r="F63">
        <v>0</v>
      </c>
      <c r="G63">
        <v>61</v>
      </c>
      <c r="H63">
        <v>0</v>
      </c>
      <c r="I63">
        <v>0</v>
      </c>
      <c r="J63">
        <v>0</v>
      </c>
      <c r="K63">
        <v>0</v>
      </c>
    </row>
    <row r="64" spans="1:11" x14ac:dyDescent="0.25">
      <c r="A64" s="4" t="s">
        <v>18</v>
      </c>
      <c r="B64">
        <v>7172010017001900</v>
      </c>
      <c r="C64">
        <v>56</v>
      </c>
      <c r="D64">
        <v>0</v>
      </c>
      <c r="E64">
        <v>0</v>
      </c>
      <c r="F64">
        <v>0</v>
      </c>
      <c r="G64">
        <v>56</v>
      </c>
      <c r="H64">
        <v>0</v>
      </c>
      <c r="I64">
        <v>0</v>
      </c>
      <c r="J64">
        <v>0</v>
      </c>
      <c r="K64">
        <v>0</v>
      </c>
    </row>
    <row r="65" spans="1:11" x14ac:dyDescent="0.25">
      <c r="A65" s="4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55</v>
      </c>
      <c r="H65">
        <v>0</v>
      </c>
      <c r="I65">
        <v>0</v>
      </c>
      <c r="J65">
        <v>0</v>
      </c>
      <c r="K65">
        <v>0</v>
      </c>
    </row>
    <row r="66" spans="1:11" x14ac:dyDescent="0.25">
      <c r="A66" s="4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45</v>
      </c>
      <c r="H66">
        <v>0</v>
      </c>
      <c r="I66">
        <v>0</v>
      </c>
      <c r="J66">
        <v>0</v>
      </c>
      <c r="K66">
        <v>0</v>
      </c>
    </row>
    <row r="67" spans="1:11" x14ac:dyDescent="0.25">
      <c r="A67" s="4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29</v>
      </c>
      <c r="H67">
        <v>0</v>
      </c>
      <c r="I67">
        <v>0</v>
      </c>
      <c r="J67">
        <v>0</v>
      </c>
      <c r="K67">
        <v>0</v>
      </c>
    </row>
    <row r="68" spans="1:11" x14ac:dyDescent="0.25">
      <c r="A68" s="4" t="s">
        <v>22</v>
      </c>
      <c r="B68">
        <v>7172010015002400</v>
      </c>
      <c r="C68">
        <v>138</v>
      </c>
      <c r="D68">
        <v>36</v>
      </c>
      <c r="E68">
        <v>0</v>
      </c>
      <c r="F68">
        <v>0</v>
      </c>
      <c r="G68">
        <v>46</v>
      </c>
      <c r="H68">
        <v>2</v>
      </c>
      <c r="I68">
        <v>0</v>
      </c>
      <c r="J68">
        <v>54</v>
      </c>
      <c r="K68">
        <v>0</v>
      </c>
    </row>
    <row r="69" spans="1:11" x14ac:dyDescent="0.25">
      <c r="A69" s="4" t="s">
        <v>22</v>
      </c>
      <c r="B69">
        <v>7172010015002500</v>
      </c>
      <c r="C69">
        <v>119</v>
      </c>
      <c r="D69">
        <v>18</v>
      </c>
      <c r="E69">
        <v>5</v>
      </c>
      <c r="F69">
        <v>0</v>
      </c>
      <c r="G69">
        <v>27</v>
      </c>
      <c r="H69">
        <v>4</v>
      </c>
      <c r="I69">
        <v>0</v>
      </c>
      <c r="J69">
        <v>65</v>
      </c>
      <c r="K69">
        <v>0</v>
      </c>
    </row>
    <row r="70" spans="1:11" x14ac:dyDescent="0.25">
      <c r="A70" s="4" t="s">
        <v>22</v>
      </c>
      <c r="B70">
        <v>7172010015002100</v>
      </c>
      <c r="C70">
        <v>102</v>
      </c>
      <c r="D70">
        <v>0</v>
      </c>
      <c r="E70">
        <v>8</v>
      </c>
      <c r="F70">
        <v>0</v>
      </c>
      <c r="G70">
        <v>86</v>
      </c>
      <c r="H70">
        <v>0</v>
      </c>
      <c r="I70">
        <v>0</v>
      </c>
      <c r="J70">
        <v>8</v>
      </c>
      <c r="K70">
        <v>0</v>
      </c>
    </row>
    <row r="71" spans="1:11" x14ac:dyDescent="0.25">
      <c r="A71" s="4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95</v>
      </c>
      <c r="H71">
        <v>0</v>
      </c>
      <c r="I71">
        <v>0</v>
      </c>
      <c r="J71">
        <v>0</v>
      </c>
      <c r="K71">
        <v>0</v>
      </c>
    </row>
    <row r="72" spans="1:11" x14ac:dyDescent="0.25">
      <c r="A72" s="4" t="s">
        <v>22</v>
      </c>
      <c r="B72">
        <v>7172010015002200</v>
      </c>
      <c r="C72">
        <v>79</v>
      </c>
      <c r="D72">
        <v>0</v>
      </c>
      <c r="E72">
        <v>0</v>
      </c>
      <c r="F72">
        <v>0</v>
      </c>
      <c r="G72">
        <v>78</v>
      </c>
      <c r="H72">
        <v>0</v>
      </c>
      <c r="I72">
        <v>0</v>
      </c>
      <c r="J72">
        <v>1</v>
      </c>
      <c r="K72">
        <v>0</v>
      </c>
    </row>
    <row r="73" spans="1:11" x14ac:dyDescent="0.25">
      <c r="A73" s="4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71</v>
      </c>
      <c r="H73">
        <v>0</v>
      </c>
      <c r="I73">
        <v>0</v>
      </c>
      <c r="J73">
        <v>0</v>
      </c>
      <c r="K73">
        <v>0</v>
      </c>
    </row>
    <row r="74" spans="1:11" x14ac:dyDescent="0.25">
      <c r="A74" s="4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26</v>
      </c>
      <c r="H74">
        <v>0</v>
      </c>
      <c r="I74">
        <v>0</v>
      </c>
      <c r="J74">
        <v>0</v>
      </c>
      <c r="K74">
        <v>0</v>
      </c>
    </row>
    <row r="75" spans="1:11" x14ac:dyDescent="0.25">
      <c r="A75" s="4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6</v>
      </c>
      <c r="H75">
        <v>0</v>
      </c>
      <c r="I75">
        <v>0</v>
      </c>
      <c r="J75">
        <v>0</v>
      </c>
      <c r="K75">
        <v>0</v>
      </c>
    </row>
    <row r="76" spans="1:11" x14ac:dyDescent="0.25">
      <c r="A76" s="4" t="s">
        <v>24</v>
      </c>
      <c r="B76">
        <v>7172010016001300</v>
      </c>
      <c r="C76">
        <v>101</v>
      </c>
      <c r="D76">
        <v>12</v>
      </c>
      <c r="E76">
        <v>8</v>
      </c>
      <c r="F76">
        <v>0</v>
      </c>
      <c r="G76">
        <v>3</v>
      </c>
      <c r="H76">
        <v>2</v>
      </c>
      <c r="I76">
        <v>0</v>
      </c>
      <c r="J76">
        <v>76</v>
      </c>
      <c r="K76">
        <v>0</v>
      </c>
    </row>
    <row r="77" spans="1:11" x14ac:dyDescent="0.25">
      <c r="A77" s="4" t="s">
        <v>24</v>
      </c>
      <c r="B77">
        <v>7172010016000500</v>
      </c>
      <c r="C77">
        <v>71</v>
      </c>
      <c r="D77">
        <v>0</v>
      </c>
      <c r="E77">
        <v>0</v>
      </c>
      <c r="F77">
        <v>0</v>
      </c>
      <c r="G77">
        <v>71</v>
      </c>
      <c r="H77">
        <v>0</v>
      </c>
      <c r="I77">
        <v>0</v>
      </c>
      <c r="J77">
        <v>0</v>
      </c>
      <c r="K77">
        <v>0</v>
      </c>
    </row>
    <row r="78" spans="1:11" x14ac:dyDescent="0.25">
      <c r="A78" s="4" t="s">
        <v>24</v>
      </c>
      <c r="B78">
        <v>7172010016000700</v>
      </c>
      <c r="C78">
        <v>64</v>
      </c>
      <c r="D78">
        <v>8</v>
      </c>
      <c r="E78">
        <v>18</v>
      </c>
      <c r="F78">
        <v>0</v>
      </c>
      <c r="G78">
        <v>23</v>
      </c>
      <c r="H78">
        <v>15</v>
      </c>
      <c r="I78">
        <v>0</v>
      </c>
      <c r="J78">
        <v>0</v>
      </c>
      <c r="K78">
        <v>0</v>
      </c>
    </row>
    <row r="79" spans="1:11" x14ac:dyDescent="0.25">
      <c r="A79" s="4" t="s">
        <v>24</v>
      </c>
      <c r="B79">
        <v>7172010016001200</v>
      </c>
      <c r="C79">
        <v>56</v>
      </c>
      <c r="D79">
        <v>0</v>
      </c>
      <c r="E79">
        <v>0</v>
      </c>
      <c r="F79">
        <v>0</v>
      </c>
      <c r="G79">
        <v>56</v>
      </c>
      <c r="H79">
        <v>0</v>
      </c>
      <c r="I79">
        <v>0</v>
      </c>
      <c r="J79">
        <v>0</v>
      </c>
      <c r="K79">
        <v>0</v>
      </c>
    </row>
    <row r="80" spans="1:11" x14ac:dyDescent="0.25">
      <c r="A80" s="4" t="s">
        <v>24</v>
      </c>
      <c r="B80">
        <v>7172010016000600</v>
      </c>
      <c r="C80">
        <v>54</v>
      </c>
      <c r="D80">
        <v>0</v>
      </c>
      <c r="E80">
        <v>0</v>
      </c>
      <c r="F80">
        <v>0</v>
      </c>
      <c r="G80">
        <v>54</v>
      </c>
      <c r="H80">
        <v>0</v>
      </c>
      <c r="I80">
        <v>0</v>
      </c>
      <c r="J80">
        <v>0</v>
      </c>
      <c r="K80">
        <v>0</v>
      </c>
    </row>
    <row r="81" spans="1:11" x14ac:dyDescent="0.25">
      <c r="A81" s="4" t="s">
        <v>24</v>
      </c>
      <c r="B81">
        <v>7172010016000800</v>
      </c>
      <c r="C81">
        <v>54</v>
      </c>
      <c r="D81">
        <v>0</v>
      </c>
      <c r="E81">
        <v>6</v>
      </c>
      <c r="F81">
        <v>0</v>
      </c>
      <c r="G81">
        <v>47</v>
      </c>
      <c r="H81">
        <v>0</v>
      </c>
      <c r="I81">
        <v>0</v>
      </c>
      <c r="J81">
        <v>1</v>
      </c>
      <c r="K81">
        <v>0</v>
      </c>
    </row>
    <row r="82" spans="1:11" x14ac:dyDescent="0.25">
      <c r="A82" s="4" t="s">
        <v>24</v>
      </c>
      <c r="B82">
        <v>7172010016000300</v>
      </c>
      <c r="C82">
        <v>48</v>
      </c>
      <c r="D82">
        <v>0</v>
      </c>
      <c r="E82">
        <v>0</v>
      </c>
      <c r="F82">
        <v>0</v>
      </c>
      <c r="G82">
        <v>48</v>
      </c>
      <c r="H82">
        <v>0</v>
      </c>
      <c r="I82">
        <v>0</v>
      </c>
      <c r="J82">
        <v>0</v>
      </c>
      <c r="K82">
        <v>0</v>
      </c>
    </row>
    <row r="83" spans="1:11" x14ac:dyDescent="0.25">
      <c r="A83" s="4" t="s">
        <v>24</v>
      </c>
      <c r="B83">
        <v>7172010016000400</v>
      </c>
      <c r="C83">
        <v>48</v>
      </c>
      <c r="D83">
        <v>0</v>
      </c>
      <c r="E83">
        <v>1</v>
      </c>
      <c r="F83">
        <v>0</v>
      </c>
      <c r="G83">
        <v>47</v>
      </c>
      <c r="H83">
        <v>0</v>
      </c>
      <c r="I83">
        <v>0</v>
      </c>
      <c r="J83">
        <v>0</v>
      </c>
      <c r="K83">
        <v>0</v>
      </c>
    </row>
    <row r="84" spans="1:11" x14ac:dyDescent="0.25">
      <c r="A84" s="4" t="s">
        <v>24</v>
      </c>
      <c r="B84">
        <v>7172010016001000</v>
      </c>
      <c r="C84">
        <v>48</v>
      </c>
      <c r="D84">
        <v>0</v>
      </c>
      <c r="E84">
        <v>0</v>
      </c>
      <c r="F84">
        <v>0</v>
      </c>
      <c r="G84">
        <v>48</v>
      </c>
      <c r="H84">
        <v>0</v>
      </c>
      <c r="I84">
        <v>0</v>
      </c>
      <c r="J84">
        <v>0</v>
      </c>
      <c r="K84">
        <v>0</v>
      </c>
    </row>
    <row r="85" spans="1:11" x14ac:dyDescent="0.25">
      <c r="A85" s="4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37</v>
      </c>
      <c r="H85">
        <v>0</v>
      </c>
      <c r="I85">
        <v>0</v>
      </c>
      <c r="J85">
        <v>0</v>
      </c>
      <c r="K85">
        <v>0</v>
      </c>
    </row>
    <row r="86" spans="1:11" x14ac:dyDescent="0.25">
      <c r="A86" s="4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36</v>
      </c>
      <c r="H86">
        <v>0</v>
      </c>
      <c r="I86">
        <v>0</v>
      </c>
      <c r="J86">
        <v>0</v>
      </c>
      <c r="K86">
        <v>0</v>
      </c>
    </row>
    <row r="87" spans="1:11" x14ac:dyDescent="0.25">
      <c r="A87" s="4" t="s">
        <v>26</v>
      </c>
      <c r="B87">
        <v>7172011001000100</v>
      </c>
      <c r="C87">
        <v>154</v>
      </c>
      <c r="D87">
        <v>74</v>
      </c>
      <c r="E87">
        <v>53</v>
      </c>
      <c r="F87">
        <v>0</v>
      </c>
      <c r="G87">
        <v>23</v>
      </c>
      <c r="H87">
        <v>1</v>
      </c>
      <c r="I87">
        <v>0</v>
      </c>
      <c r="J87">
        <v>3</v>
      </c>
      <c r="K87">
        <v>0</v>
      </c>
    </row>
    <row r="88" spans="1:11" x14ac:dyDescent="0.25">
      <c r="A88" s="4" t="s">
        <v>26</v>
      </c>
      <c r="B88">
        <v>7172011004002000</v>
      </c>
      <c r="C88">
        <v>108</v>
      </c>
      <c r="D88">
        <v>0</v>
      </c>
      <c r="E88">
        <v>10</v>
      </c>
      <c r="F88">
        <v>0</v>
      </c>
      <c r="G88">
        <v>98</v>
      </c>
      <c r="H88">
        <v>0</v>
      </c>
      <c r="I88">
        <v>0</v>
      </c>
      <c r="J88">
        <v>0</v>
      </c>
      <c r="K88">
        <v>0</v>
      </c>
    </row>
    <row r="89" spans="1:11" x14ac:dyDescent="0.25">
      <c r="A89" s="4" t="s">
        <v>26</v>
      </c>
      <c r="B89">
        <v>7172011004002100</v>
      </c>
      <c r="C89">
        <v>76</v>
      </c>
      <c r="D89">
        <v>0</v>
      </c>
      <c r="E89">
        <v>5</v>
      </c>
      <c r="F89">
        <v>0</v>
      </c>
      <c r="G89">
        <v>71</v>
      </c>
      <c r="H89">
        <v>0</v>
      </c>
      <c r="I89">
        <v>0</v>
      </c>
      <c r="J89">
        <v>0</v>
      </c>
      <c r="K89">
        <v>0</v>
      </c>
    </row>
    <row r="90" spans="1:11" x14ac:dyDescent="0.25">
      <c r="A90" s="4" t="s">
        <v>26</v>
      </c>
      <c r="B90">
        <v>7172011001000300</v>
      </c>
      <c r="C90">
        <v>74</v>
      </c>
      <c r="D90">
        <v>0</v>
      </c>
      <c r="E90">
        <v>0</v>
      </c>
      <c r="F90">
        <v>0</v>
      </c>
      <c r="G90">
        <v>74</v>
      </c>
      <c r="H90">
        <v>0</v>
      </c>
      <c r="I90">
        <v>0</v>
      </c>
      <c r="J90">
        <v>0</v>
      </c>
      <c r="K90">
        <v>0</v>
      </c>
    </row>
    <row r="91" spans="1:11" x14ac:dyDescent="0.25">
      <c r="A91" s="4" t="s">
        <v>26</v>
      </c>
      <c r="B91">
        <v>7172011001000200</v>
      </c>
      <c r="C91">
        <v>71</v>
      </c>
      <c r="D91">
        <v>0</v>
      </c>
      <c r="E91">
        <v>0</v>
      </c>
      <c r="F91">
        <v>0</v>
      </c>
      <c r="G91">
        <v>71</v>
      </c>
      <c r="H91">
        <v>0</v>
      </c>
      <c r="I91">
        <v>0</v>
      </c>
      <c r="J91">
        <v>0</v>
      </c>
      <c r="K91">
        <v>0</v>
      </c>
    </row>
    <row r="92" spans="1:11" x14ac:dyDescent="0.25">
      <c r="A92" s="4" t="s">
        <v>26</v>
      </c>
      <c r="B92">
        <v>7172011001000500</v>
      </c>
      <c r="C92">
        <v>70</v>
      </c>
      <c r="D92">
        <v>19</v>
      </c>
      <c r="E92">
        <v>19</v>
      </c>
      <c r="F92">
        <v>0</v>
      </c>
      <c r="G92">
        <v>16</v>
      </c>
      <c r="H92">
        <v>13</v>
      </c>
      <c r="I92">
        <v>0</v>
      </c>
      <c r="J92">
        <v>3</v>
      </c>
      <c r="K92">
        <v>0</v>
      </c>
    </row>
    <row r="93" spans="1:11" x14ac:dyDescent="0.25">
      <c r="A93" s="4" t="s">
        <v>26</v>
      </c>
      <c r="B93">
        <v>7172011001000600</v>
      </c>
      <c r="C93">
        <v>63</v>
      </c>
      <c r="D93">
        <v>2</v>
      </c>
      <c r="E93">
        <v>18</v>
      </c>
      <c r="F93">
        <v>0</v>
      </c>
      <c r="G93">
        <v>40</v>
      </c>
      <c r="H93">
        <v>0</v>
      </c>
      <c r="I93">
        <v>0</v>
      </c>
      <c r="J93">
        <v>3</v>
      </c>
      <c r="K93">
        <v>0</v>
      </c>
    </row>
    <row r="94" spans="1:11" x14ac:dyDescent="0.25">
      <c r="A94" s="4" t="s">
        <v>26</v>
      </c>
      <c r="B94">
        <v>7172011001000400</v>
      </c>
      <c r="C94">
        <v>52</v>
      </c>
      <c r="D94">
        <v>0</v>
      </c>
      <c r="E94">
        <v>1</v>
      </c>
      <c r="F94">
        <v>0</v>
      </c>
      <c r="G94">
        <v>51</v>
      </c>
      <c r="H94">
        <v>0</v>
      </c>
      <c r="I94">
        <v>0</v>
      </c>
      <c r="J94">
        <v>0</v>
      </c>
      <c r="K94">
        <v>0</v>
      </c>
    </row>
    <row r="95" spans="1:11" x14ac:dyDescent="0.25">
      <c r="A95" s="4" t="s">
        <v>19</v>
      </c>
      <c r="B95">
        <v>7172010016002300</v>
      </c>
      <c r="C95">
        <v>148</v>
      </c>
      <c r="D95">
        <v>0</v>
      </c>
      <c r="E95">
        <v>0</v>
      </c>
      <c r="F95">
        <v>0</v>
      </c>
      <c r="G95">
        <v>143</v>
      </c>
      <c r="H95">
        <v>1</v>
      </c>
      <c r="I95">
        <v>0</v>
      </c>
      <c r="J95">
        <v>4</v>
      </c>
      <c r="K95">
        <v>0</v>
      </c>
    </row>
    <row r="96" spans="1:11" x14ac:dyDescent="0.25">
      <c r="A96" s="4" t="s">
        <v>19</v>
      </c>
      <c r="B96">
        <v>7172010016002400</v>
      </c>
      <c r="C96">
        <v>106</v>
      </c>
      <c r="D96">
        <v>22</v>
      </c>
      <c r="E96">
        <v>0</v>
      </c>
      <c r="F96">
        <v>0</v>
      </c>
      <c r="G96">
        <v>1</v>
      </c>
      <c r="H96">
        <v>6</v>
      </c>
      <c r="I96">
        <v>0</v>
      </c>
      <c r="J96">
        <v>77</v>
      </c>
      <c r="K96">
        <v>0</v>
      </c>
    </row>
    <row r="97" spans="1:11" x14ac:dyDescent="0.25">
      <c r="A97" s="4" t="s">
        <v>19</v>
      </c>
      <c r="B97">
        <v>7172010017000400</v>
      </c>
      <c r="C97">
        <v>80</v>
      </c>
      <c r="D97">
        <v>0</v>
      </c>
      <c r="E97">
        <v>0</v>
      </c>
      <c r="F97">
        <v>0</v>
      </c>
      <c r="G97">
        <v>80</v>
      </c>
      <c r="H97">
        <v>0</v>
      </c>
      <c r="I97">
        <v>0</v>
      </c>
      <c r="J97">
        <v>0</v>
      </c>
      <c r="K97">
        <v>0</v>
      </c>
    </row>
    <row r="98" spans="1:11" x14ac:dyDescent="0.25">
      <c r="A98" s="4" t="s">
        <v>19</v>
      </c>
      <c r="B98">
        <v>7172010016002500</v>
      </c>
      <c r="C98">
        <v>66</v>
      </c>
      <c r="D98">
        <v>0</v>
      </c>
      <c r="E98">
        <v>0</v>
      </c>
      <c r="F98">
        <v>0</v>
      </c>
      <c r="G98">
        <v>65</v>
      </c>
      <c r="H98">
        <v>0</v>
      </c>
      <c r="I98">
        <v>0</v>
      </c>
      <c r="J98">
        <v>0</v>
      </c>
      <c r="K98">
        <v>1</v>
      </c>
    </row>
    <row r="99" spans="1:11" x14ac:dyDescent="0.25">
      <c r="A99" s="4" t="s">
        <v>19</v>
      </c>
      <c r="B99">
        <v>7172010017000100</v>
      </c>
      <c r="C99">
        <v>53</v>
      </c>
      <c r="D99">
        <v>20</v>
      </c>
      <c r="E99">
        <v>0</v>
      </c>
      <c r="F99">
        <v>0</v>
      </c>
      <c r="G99">
        <v>1</v>
      </c>
      <c r="H99">
        <v>0</v>
      </c>
      <c r="I99">
        <v>0</v>
      </c>
      <c r="J99">
        <v>32</v>
      </c>
      <c r="K99">
        <v>0</v>
      </c>
    </row>
    <row r="100" spans="1:11" x14ac:dyDescent="0.25">
      <c r="A100" s="4" t="s">
        <v>19</v>
      </c>
      <c r="B100">
        <v>7172010015000700</v>
      </c>
      <c r="C100">
        <v>46</v>
      </c>
      <c r="D100">
        <v>0</v>
      </c>
      <c r="E100">
        <v>0</v>
      </c>
      <c r="F100">
        <v>0</v>
      </c>
      <c r="G100">
        <v>46</v>
      </c>
      <c r="H100">
        <v>0</v>
      </c>
      <c r="I100">
        <v>0</v>
      </c>
      <c r="J100">
        <v>0</v>
      </c>
      <c r="K100">
        <v>0</v>
      </c>
    </row>
    <row r="101" spans="1:11" x14ac:dyDescent="0.25">
      <c r="A101" s="4" t="s">
        <v>19</v>
      </c>
      <c r="B101">
        <v>7172010017000200</v>
      </c>
      <c r="C101">
        <v>45</v>
      </c>
      <c r="D101">
        <v>0</v>
      </c>
      <c r="E101">
        <v>0</v>
      </c>
      <c r="F101">
        <v>0</v>
      </c>
      <c r="G101">
        <v>30</v>
      </c>
      <c r="H101">
        <v>0</v>
      </c>
      <c r="I101">
        <v>0</v>
      </c>
      <c r="J101">
        <v>15</v>
      </c>
      <c r="K101">
        <v>0</v>
      </c>
    </row>
    <row r="102" spans="1:11" x14ac:dyDescent="0.25">
      <c r="A102" s="4" t="s">
        <v>19</v>
      </c>
      <c r="B102">
        <v>7172010017000300</v>
      </c>
      <c r="C102">
        <v>43</v>
      </c>
      <c r="D102">
        <v>0</v>
      </c>
      <c r="E102">
        <v>0</v>
      </c>
      <c r="F102">
        <v>0</v>
      </c>
      <c r="G102">
        <v>43</v>
      </c>
      <c r="H102">
        <v>0</v>
      </c>
      <c r="I102">
        <v>0</v>
      </c>
      <c r="J102">
        <v>0</v>
      </c>
      <c r="K102">
        <v>0</v>
      </c>
    </row>
    <row r="103" spans="1:11" x14ac:dyDescent="0.25">
      <c r="A103" s="4" t="s">
        <v>19</v>
      </c>
      <c r="B103">
        <v>7172010016002600</v>
      </c>
      <c r="C103">
        <v>40</v>
      </c>
      <c r="D103">
        <v>0</v>
      </c>
      <c r="E103">
        <v>0</v>
      </c>
      <c r="F103">
        <v>0</v>
      </c>
      <c r="G103">
        <v>40</v>
      </c>
      <c r="H103">
        <v>0</v>
      </c>
      <c r="I103">
        <v>0</v>
      </c>
      <c r="J103">
        <v>0</v>
      </c>
      <c r="K103">
        <v>0</v>
      </c>
    </row>
    <row r="104" spans="1:11" x14ac:dyDescent="0.25">
      <c r="A104" s="4" t="s">
        <v>28</v>
      </c>
      <c r="B104">
        <v>7172011002000100</v>
      </c>
      <c r="C104">
        <v>166</v>
      </c>
      <c r="D104">
        <v>0</v>
      </c>
      <c r="E104">
        <v>8</v>
      </c>
      <c r="F104">
        <v>0</v>
      </c>
      <c r="G104">
        <v>140</v>
      </c>
      <c r="H104">
        <v>16</v>
      </c>
      <c r="I104">
        <v>0</v>
      </c>
      <c r="J104">
        <v>2</v>
      </c>
      <c r="K104">
        <v>0</v>
      </c>
    </row>
    <row r="105" spans="1:11" x14ac:dyDescent="0.25">
      <c r="A105" s="4" t="s">
        <v>28</v>
      </c>
      <c r="B105">
        <v>7172011002000700</v>
      </c>
      <c r="C105">
        <v>115</v>
      </c>
      <c r="D105">
        <v>15</v>
      </c>
      <c r="E105">
        <v>6</v>
      </c>
      <c r="F105">
        <v>0</v>
      </c>
      <c r="G105">
        <v>49</v>
      </c>
      <c r="H105">
        <v>2</v>
      </c>
      <c r="I105">
        <v>0</v>
      </c>
      <c r="J105">
        <v>43</v>
      </c>
      <c r="K105">
        <v>0</v>
      </c>
    </row>
    <row r="106" spans="1:11" x14ac:dyDescent="0.25">
      <c r="A106" s="4" t="s">
        <v>28</v>
      </c>
      <c r="B106">
        <v>7172011002000400</v>
      </c>
      <c r="C106">
        <v>86</v>
      </c>
      <c r="D106">
        <v>0</v>
      </c>
      <c r="E106">
        <v>0</v>
      </c>
      <c r="F106">
        <v>0</v>
      </c>
      <c r="G106">
        <v>86</v>
      </c>
      <c r="H106">
        <v>0</v>
      </c>
      <c r="I106">
        <v>0</v>
      </c>
      <c r="J106">
        <v>0</v>
      </c>
      <c r="K106">
        <v>0</v>
      </c>
    </row>
    <row r="107" spans="1:11" x14ac:dyDescent="0.25">
      <c r="A107" s="4" t="s">
        <v>28</v>
      </c>
      <c r="B107">
        <v>7172011002000200</v>
      </c>
      <c r="C107">
        <v>85</v>
      </c>
      <c r="D107">
        <v>0</v>
      </c>
      <c r="E107">
        <v>0</v>
      </c>
      <c r="F107">
        <v>0</v>
      </c>
      <c r="G107">
        <v>85</v>
      </c>
      <c r="H107">
        <v>0</v>
      </c>
      <c r="I107">
        <v>0</v>
      </c>
      <c r="J107">
        <v>0</v>
      </c>
      <c r="K107">
        <v>0</v>
      </c>
    </row>
    <row r="108" spans="1:11" x14ac:dyDescent="0.25">
      <c r="A108" s="4" t="s">
        <v>28</v>
      </c>
      <c r="B108">
        <v>7172011002000500</v>
      </c>
      <c r="C108">
        <v>85</v>
      </c>
      <c r="D108">
        <v>19</v>
      </c>
      <c r="E108">
        <v>10</v>
      </c>
      <c r="F108">
        <v>0</v>
      </c>
      <c r="G108">
        <v>41</v>
      </c>
      <c r="H108">
        <v>0</v>
      </c>
      <c r="I108">
        <v>0</v>
      </c>
      <c r="J108">
        <v>15</v>
      </c>
      <c r="K108">
        <v>0</v>
      </c>
    </row>
    <row r="109" spans="1:11" x14ac:dyDescent="0.25">
      <c r="A109" s="4" t="s">
        <v>28</v>
      </c>
      <c r="B109">
        <v>7172011002000300</v>
      </c>
      <c r="C109">
        <v>81</v>
      </c>
      <c r="D109">
        <v>2</v>
      </c>
      <c r="E109">
        <v>7</v>
      </c>
      <c r="F109">
        <v>0</v>
      </c>
      <c r="G109">
        <v>68</v>
      </c>
      <c r="H109">
        <v>0</v>
      </c>
      <c r="I109">
        <v>0</v>
      </c>
      <c r="J109">
        <v>4</v>
      </c>
      <c r="K109">
        <v>0</v>
      </c>
    </row>
    <row r="110" spans="1:11" x14ac:dyDescent="0.25">
      <c r="A110" s="4" t="s">
        <v>28</v>
      </c>
      <c r="B110">
        <v>7172011002000800</v>
      </c>
      <c r="C110">
        <v>35</v>
      </c>
      <c r="D110">
        <v>0</v>
      </c>
      <c r="E110">
        <v>0</v>
      </c>
      <c r="F110">
        <v>0</v>
      </c>
      <c r="G110">
        <v>35</v>
      </c>
      <c r="H110">
        <v>0</v>
      </c>
      <c r="I110">
        <v>0</v>
      </c>
      <c r="J110">
        <v>0</v>
      </c>
      <c r="K110">
        <v>0</v>
      </c>
    </row>
    <row r="111" spans="1:11" x14ac:dyDescent="0.25">
      <c r="A111" s="4" t="s">
        <v>42</v>
      </c>
      <c r="B111">
        <v>7172011014001300</v>
      </c>
      <c r="C111">
        <v>175</v>
      </c>
      <c r="D111">
        <v>0</v>
      </c>
      <c r="E111">
        <v>12</v>
      </c>
      <c r="F111">
        <v>0</v>
      </c>
      <c r="G111">
        <v>162</v>
      </c>
      <c r="H111">
        <v>0</v>
      </c>
      <c r="I111">
        <v>0</v>
      </c>
      <c r="J111">
        <v>1</v>
      </c>
      <c r="K111">
        <v>0</v>
      </c>
    </row>
    <row r="112" spans="1:11" x14ac:dyDescent="0.25">
      <c r="A112" s="4" t="s">
        <v>42</v>
      </c>
      <c r="B112">
        <v>7172011014001600</v>
      </c>
      <c r="C112">
        <v>127</v>
      </c>
      <c r="D112">
        <v>48</v>
      </c>
      <c r="E112">
        <v>41</v>
      </c>
      <c r="F112">
        <v>0</v>
      </c>
      <c r="G112">
        <v>0</v>
      </c>
      <c r="H112">
        <v>17</v>
      </c>
      <c r="I112">
        <v>0</v>
      </c>
      <c r="J112">
        <v>21</v>
      </c>
      <c r="K112">
        <v>0</v>
      </c>
    </row>
    <row r="113" spans="1:11" x14ac:dyDescent="0.25">
      <c r="A113" s="4" t="s">
        <v>42</v>
      </c>
      <c r="B113">
        <v>7172011014001400</v>
      </c>
      <c r="C113">
        <v>90</v>
      </c>
      <c r="D113">
        <v>0</v>
      </c>
      <c r="E113">
        <v>0</v>
      </c>
      <c r="F113">
        <v>0</v>
      </c>
      <c r="G113">
        <v>90</v>
      </c>
      <c r="H113">
        <v>0</v>
      </c>
      <c r="I113">
        <v>0</v>
      </c>
      <c r="J113">
        <v>0</v>
      </c>
      <c r="K113">
        <v>0</v>
      </c>
    </row>
    <row r="114" spans="1:11" x14ac:dyDescent="0.25">
      <c r="A114" s="4" t="s">
        <v>42</v>
      </c>
      <c r="B114">
        <v>7172011014001500</v>
      </c>
      <c r="C114">
        <v>78</v>
      </c>
      <c r="D114">
        <v>3</v>
      </c>
      <c r="E114">
        <v>27</v>
      </c>
      <c r="F114">
        <v>0</v>
      </c>
      <c r="G114">
        <v>48</v>
      </c>
      <c r="H114">
        <v>0</v>
      </c>
      <c r="I114">
        <v>0</v>
      </c>
      <c r="J114">
        <v>0</v>
      </c>
      <c r="K114">
        <v>0</v>
      </c>
    </row>
    <row r="115" spans="1:11" x14ac:dyDescent="0.25">
      <c r="A115" s="4" t="s">
        <v>42</v>
      </c>
      <c r="B115">
        <v>7172011014001701</v>
      </c>
      <c r="C115">
        <v>64</v>
      </c>
      <c r="D115">
        <v>0</v>
      </c>
      <c r="E115">
        <v>0</v>
      </c>
      <c r="F115">
        <v>0</v>
      </c>
      <c r="G115">
        <v>64</v>
      </c>
      <c r="H115">
        <v>0</v>
      </c>
      <c r="I115">
        <v>0</v>
      </c>
      <c r="J115">
        <v>0</v>
      </c>
      <c r="K115">
        <v>0</v>
      </c>
    </row>
    <row r="116" spans="1:11" x14ac:dyDescent="0.25">
      <c r="A116" s="4" t="s">
        <v>42</v>
      </c>
      <c r="B116">
        <v>7172011014001703</v>
      </c>
      <c r="C116">
        <v>47</v>
      </c>
      <c r="D116">
        <v>0</v>
      </c>
      <c r="E116">
        <v>0</v>
      </c>
      <c r="F116">
        <v>0</v>
      </c>
      <c r="G116">
        <v>47</v>
      </c>
      <c r="H116">
        <v>0</v>
      </c>
      <c r="I116">
        <v>0</v>
      </c>
      <c r="J116">
        <v>0</v>
      </c>
      <c r="K116">
        <v>0</v>
      </c>
    </row>
    <row r="117" spans="1:11" x14ac:dyDescent="0.25">
      <c r="A117" s="4" t="s">
        <v>42</v>
      </c>
      <c r="B117">
        <v>7172011004001400</v>
      </c>
      <c r="C117">
        <v>43</v>
      </c>
      <c r="D117">
        <v>0</v>
      </c>
      <c r="E117">
        <v>0</v>
      </c>
      <c r="F117">
        <v>0</v>
      </c>
      <c r="G117">
        <v>43</v>
      </c>
      <c r="H117">
        <v>0</v>
      </c>
      <c r="I117">
        <v>0</v>
      </c>
      <c r="J117">
        <v>0</v>
      </c>
      <c r="K117">
        <v>0</v>
      </c>
    </row>
    <row r="118" spans="1:11" x14ac:dyDescent="0.25">
      <c r="A118" s="4" t="s">
        <v>45</v>
      </c>
      <c r="B118">
        <v>7172011012001100</v>
      </c>
      <c r="C118">
        <v>176</v>
      </c>
      <c r="D118">
        <v>0</v>
      </c>
      <c r="E118">
        <v>0</v>
      </c>
      <c r="F118">
        <v>0</v>
      </c>
      <c r="G118">
        <v>176</v>
      </c>
      <c r="H118">
        <v>0</v>
      </c>
      <c r="I118">
        <v>0</v>
      </c>
      <c r="J118">
        <v>0</v>
      </c>
      <c r="K118">
        <v>0</v>
      </c>
    </row>
    <row r="119" spans="1:11" x14ac:dyDescent="0.25">
      <c r="A119" s="4" t="s">
        <v>45</v>
      </c>
      <c r="B119">
        <v>7172011012001200</v>
      </c>
      <c r="C119">
        <v>122</v>
      </c>
      <c r="D119">
        <v>3</v>
      </c>
      <c r="E119">
        <v>2</v>
      </c>
      <c r="F119">
        <v>0</v>
      </c>
      <c r="G119">
        <v>107</v>
      </c>
      <c r="H119">
        <v>0</v>
      </c>
      <c r="I119">
        <v>0</v>
      </c>
      <c r="J119">
        <v>10</v>
      </c>
      <c r="K119">
        <v>0</v>
      </c>
    </row>
    <row r="120" spans="1:11" x14ac:dyDescent="0.25">
      <c r="A120" s="4" t="s">
        <v>45</v>
      </c>
      <c r="B120">
        <v>7172011012001000</v>
      </c>
      <c r="C120">
        <v>112</v>
      </c>
      <c r="D120">
        <v>0</v>
      </c>
      <c r="E120">
        <v>0</v>
      </c>
      <c r="F120">
        <v>0</v>
      </c>
      <c r="G120">
        <v>112</v>
      </c>
      <c r="H120">
        <v>0</v>
      </c>
      <c r="I120">
        <v>0</v>
      </c>
      <c r="J120">
        <v>0</v>
      </c>
      <c r="K120">
        <v>0</v>
      </c>
    </row>
    <row r="121" spans="1:11" x14ac:dyDescent="0.25">
      <c r="A121" s="4" t="s">
        <v>45</v>
      </c>
      <c r="B121">
        <v>7172011012001300</v>
      </c>
      <c r="C121">
        <v>77</v>
      </c>
      <c r="D121">
        <v>0</v>
      </c>
      <c r="E121">
        <v>2</v>
      </c>
      <c r="F121">
        <v>0</v>
      </c>
      <c r="G121">
        <v>55</v>
      </c>
      <c r="H121">
        <v>0</v>
      </c>
      <c r="I121">
        <v>0</v>
      </c>
      <c r="J121">
        <v>20</v>
      </c>
      <c r="K121">
        <v>0</v>
      </c>
    </row>
    <row r="122" spans="1:11" x14ac:dyDescent="0.25">
      <c r="A122" s="4" t="s">
        <v>45</v>
      </c>
      <c r="B122">
        <v>7172011013000200</v>
      </c>
      <c r="C122">
        <v>60</v>
      </c>
      <c r="D122">
        <v>18</v>
      </c>
      <c r="E122">
        <v>2</v>
      </c>
      <c r="F122">
        <v>0</v>
      </c>
      <c r="G122">
        <v>7</v>
      </c>
      <c r="H122">
        <v>0</v>
      </c>
      <c r="I122">
        <v>0</v>
      </c>
      <c r="J122">
        <v>33</v>
      </c>
      <c r="K122">
        <v>0</v>
      </c>
    </row>
    <row r="123" spans="1:11" x14ac:dyDescent="0.25">
      <c r="A123" s="4" t="s">
        <v>45</v>
      </c>
      <c r="B123">
        <v>7172011013000100</v>
      </c>
      <c r="C123">
        <v>59</v>
      </c>
      <c r="D123">
        <v>6</v>
      </c>
      <c r="E123">
        <v>0</v>
      </c>
      <c r="F123">
        <v>0</v>
      </c>
      <c r="G123">
        <v>19</v>
      </c>
      <c r="H123">
        <v>0</v>
      </c>
      <c r="I123">
        <v>0</v>
      </c>
      <c r="J123">
        <v>34</v>
      </c>
      <c r="K123">
        <v>0</v>
      </c>
    </row>
    <row r="124" spans="1:11" x14ac:dyDescent="0.25">
      <c r="A124" s="4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2</v>
      </c>
      <c r="H124">
        <v>0</v>
      </c>
      <c r="I124">
        <v>0</v>
      </c>
      <c r="J124">
        <v>0</v>
      </c>
      <c r="K124">
        <v>0</v>
      </c>
    </row>
    <row r="125" spans="1:11" x14ac:dyDescent="0.25">
      <c r="A125" s="4" t="s">
        <v>35</v>
      </c>
      <c r="B125">
        <v>7172011003001801</v>
      </c>
      <c r="C125">
        <v>226</v>
      </c>
      <c r="D125">
        <v>0</v>
      </c>
      <c r="E125">
        <v>0</v>
      </c>
      <c r="F125">
        <v>0</v>
      </c>
      <c r="G125">
        <v>226</v>
      </c>
      <c r="H125">
        <v>0</v>
      </c>
      <c r="I125">
        <v>0</v>
      </c>
      <c r="J125">
        <v>0</v>
      </c>
      <c r="K125">
        <v>0</v>
      </c>
    </row>
    <row r="126" spans="1:11" x14ac:dyDescent="0.25">
      <c r="A126" s="4" t="s">
        <v>35</v>
      </c>
      <c r="B126">
        <v>7172011003001900</v>
      </c>
      <c r="C126">
        <v>127</v>
      </c>
      <c r="D126">
        <v>0</v>
      </c>
      <c r="E126">
        <v>51</v>
      </c>
      <c r="F126">
        <v>0</v>
      </c>
      <c r="G126">
        <v>23</v>
      </c>
      <c r="H126">
        <v>3</v>
      </c>
      <c r="I126">
        <v>0</v>
      </c>
      <c r="J126">
        <v>50</v>
      </c>
      <c r="K126">
        <v>0</v>
      </c>
    </row>
    <row r="127" spans="1:11" x14ac:dyDescent="0.25">
      <c r="A127" s="4" t="s">
        <v>35</v>
      </c>
      <c r="B127">
        <v>7172011003001700</v>
      </c>
      <c r="C127">
        <v>70</v>
      </c>
      <c r="D127">
        <v>0</v>
      </c>
      <c r="E127">
        <v>0</v>
      </c>
      <c r="F127">
        <v>0</v>
      </c>
      <c r="G127">
        <v>70</v>
      </c>
      <c r="H127">
        <v>0</v>
      </c>
      <c r="I127">
        <v>0</v>
      </c>
      <c r="J127">
        <v>0</v>
      </c>
      <c r="K127">
        <v>0</v>
      </c>
    </row>
    <row r="128" spans="1:11" x14ac:dyDescent="0.25">
      <c r="A128" s="4" t="s">
        <v>35</v>
      </c>
      <c r="B128">
        <v>7172011003001802</v>
      </c>
      <c r="C128">
        <v>61</v>
      </c>
      <c r="D128">
        <v>0</v>
      </c>
      <c r="E128">
        <v>0</v>
      </c>
      <c r="F128">
        <v>0</v>
      </c>
      <c r="G128">
        <v>61</v>
      </c>
      <c r="H128">
        <v>0</v>
      </c>
      <c r="I128">
        <v>0</v>
      </c>
      <c r="J128">
        <v>0</v>
      </c>
      <c r="K128">
        <v>0</v>
      </c>
    </row>
    <row r="129" spans="1:11" x14ac:dyDescent="0.25">
      <c r="A129" s="4" t="s">
        <v>35</v>
      </c>
      <c r="B129">
        <v>7172011003001300</v>
      </c>
      <c r="C129">
        <v>59</v>
      </c>
      <c r="D129">
        <v>6</v>
      </c>
      <c r="E129">
        <v>4</v>
      </c>
      <c r="F129">
        <v>0</v>
      </c>
      <c r="G129">
        <v>30</v>
      </c>
      <c r="H129">
        <v>0</v>
      </c>
      <c r="I129">
        <v>0</v>
      </c>
      <c r="J129">
        <v>19</v>
      </c>
      <c r="K129">
        <v>0</v>
      </c>
    </row>
    <row r="130" spans="1:11" x14ac:dyDescent="0.25">
      <c r="A130" s="4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52</v>
      </c>
      <c r="H130">
        <v>0</v>
      </c>
      <c r="I130">
        <v>0</v>
      </c>
      <c r="J130">
        <v>0</v>
      </c>
      <c r="K130">
        <v>0</v>
      </c>
    </row>
    <row r="131" spans="1:11" x14ac:dyDescent="0.25">
      <c r="A131" s="4" t="s">
        <v>37</v>
      </c>
      <c r="B131">
        <v>7172011003002602</v>
      </c>
      <c r="C131">
        <v>217</v>
      </c>
      <c r="D131">
        <v>42</v>
      </c>
      <c r="E131">
        <v>51</v>
      </c>
      <c r="F131">
        <v>0</v>
      </c>
      <c r="G131">
        <v>46</v>
      </c>
      <c r="H131">
        <v>7</v>
      </c>
      <c r="I131">
        <v>1</v>
      </c>
      <c r="J131">
        <v>70</v>
      </c>
      <c r="K131">
        <v>0</v>
      </c>
    </row>
    <row r="132" spans="1:11" x14ac:dyDescent="0.25">
      <c r="A132" s="4" t="s">
        <v>37</v>
      </c>
      <c r="B132">
        <v>7172011003002500</v>
      </c>
      <c r="C132">
        <v>145</v>
      </c>
      <c r="D132">
        <v>0</v>
      </c>
      <c r="E132">
        <v>5</v>
      </c>
      <c r="F132">
        <v>0</v>
      </c>
      <c r="G132">
        <v>134</v>
      </c>
      <c r="H132">
        <v>0</v>
      </c>
      <c r="I132">
        <v>0</v>
      </c>
      <c r="J132">
        <v>6</v>
      </c>
      <c r="K132">
        <v>0</v>
      </c>
    </row>
    <row r="133" spans="1:11" x14ac:dyDescent="0.25">
      <c r="A133" s="4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129</v>
      </c>
      <c r="H133">
        <v>0</v>
      </c>
      <c r="I133">
        <v>0</v>
      </c>
      <c r="J133">
        <v>0</v>
      </c>
      <c r="K133">
        <v>0</v>
      </c>
    </row>
    <row r="134" spans="1:11" x14ac:dyDescent="0.25">
      <c r="A134" s="4" t="s">
        <v>37</v>
      </c>
      <c r="B134">
        <v>7172011003002601</v>
      </c>
      <c r="C134">
        <v>109</v>
      </c>
      <c r="D134">
        <v>0</v>
      </c>
      <c r="E134">
        <v>0</v>
      </c>
      <c r="F134">
        <v>0</v>
      </c>
      <c r="G134">
        <v>109</v>
      </c>
      <c r="H134">
        <v>0</v>
      </c>
      <c r="I134">
        <v>0</v>
      </c>
      <c r="J134">
        <v>0</v>
      </c>
      <c r="K134">
        <v>0</v>
      </c>
    </row>
    <row r="135" spans="1:11" x14ac:dyDescent="0.25">
      <c r="A135" s="4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39</v>
      </c>
      <c r="H135">
        <v>0</v>
      </c>
      <c r="I135">
        <v>0</v>
      </c>
      <c r="J135">
        <v>0</v>
      </c>
      <c r="K135">
        <v>0</v>
      </c>
    </row>
    <row r="136" spans="1:11" x14ac:dyDescent="0.25">
      <c r="A136" s="4" t="s">
        <v>31</v>
      </c>
      <c r="B136">
        <v>7172011003003600</v>
      </c>
      <c r="C136">
        <v>249</v>
      </c>
      <c r="D136">
        <v>36</v>
      </c>
      <c r="E136">
        <v>4</v>
      </c>
      <c r="F136">
        <v>0</v>
      </c>
      <c r="G136">
        <v>110</v>
      </c>
      <c r="H136">
        <v>0</v>
      </c>
      <c r="I136">
        <v>0</v>
      </c>
      <c r="J136">
        <v>99</v>
      </c>
      <c r="K136">
        <v>0</v>
      </c>
    </row>
    <row r="137" spans="1:11" x14ac:dyDescent="0.25">
      <c r="A137" s="4" t="s">
        <v>31</v>
      </c>
      <c r="B137">
        <v>7172011003001100</v>
      </c>
      <c r="C137">
        <v>235</v>
      </c>
      <c r="D137">
        <v>0</v>
      </c>
      <c r="E137">
        <v>0</v>
      </c>
      <c r="F137">
        <v>0</v>
      </c>
      <c r="G137">
        <v>229</v>
      </c>
      <c r="H137">
        <v>0</v>
      </c>
      <c r="I137">
        <v>0</v>
      </c>
      <c r="J137">
        <v>6</v>
      </c>
      <c r="K137">
        <v>0</v>
      </c>
    </row>
    <row r="138" spans="1:11" x14ac:dyDescent="0.25">
      <c r="A138" s="4" t="s">
        <v>31</v>
      </c>
      <c r="B138">
        <v>7172011003000201</v>
      </c>
      <c r="C138">
        <v>123</v>
      </c>
      <c r="D138">
        <v>0</v>
      </c>
      <c r="E138">
        <v>0</v>
      </c>
      <c r="F138">
        <v>0</v>
      </c>
      <c r="G138">
        <v>123</v>
      </c>
      <c r="H138">
        <v>0</v>
      </c>
      <c r="I138">
        <v>0</v>
      </c>
      <c r="J138">
        <v>0</v>
      </c>
      <c r="K138">
        <v>0</v>
      </c>
    </row>
    <row r="139" spans="1:11" x14ac:dyDescent="0.25">
      <c r="A139" s="4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32</v>
      </c>
      <c r="H139">
        <v>0</v>
      </c>
      <c r="I139">
        <v>0</v>
      </c>
      <c r="J139">
        <v>6</v>
      </c>
      <c r="K139">
        <v>0</v>
      </c>
    </row>
    <row r="140" spans="1:11" x14ac:dyDescent="0.25">
      <c r="A140" s="4" t="s">
        <v>41</v>
      </c>
      <c r="B140">
        <v>7172011004001800</v>
      </c>
      <c r="C140">
        <v>265</v>
      </c>
      <c r="D140">
        <v>126</v>
      </c>
      <c r="E140">
        <v>25</v>
      </c>
      <c r="F140">
        <v>0</v>
      </c>
      <c r="G140">
        <v>37</v>
      </c>
      <c r="H140">
        <v>3</v>
      </c>
      <c r="I140">
        <v>1</v>
      </c>
      <c r="J140">
        <v>73</v>
      </c>
      <c r="K140">
        <v>0</v>
      </c>
    </row>
    <row r="141" spans="1:11" x14ac:dyDescent="0.25">
      <c r="A141" s="4" t="s">
        <v>41</v>
      </c>
      <c r="B141">
        <v>7172011004001500</v>
      </c>
      <c r="C141">
        <v>146</v>
      </c>
      <c r="D141">
        <v>7</v>
      </c>
      <c r="E141">
        <v>25</v>
      </c>
      <c r="F141">
        <v>0</v>
      </c>
      <c r="G141">
        <v>78</v>
      </c>
      <c r="H141">
        <v>0</v>
      </c>
      <c r="I141">
        <v>0</v>
      </c>
      <c r="J141">
        <v>36</v>
      </c>
      <c r="K141">
        <v>0</v>
      </c>
    </row>
    <row r="142" spans="1:11" x14ac:dyDescent="0.25">
      <c r="A142" s="4" t="s">
        <v>41</v>
      </c>
      <c r="B142">
        <v>7172011004001300</v>
      </c>
      <c r="C142">
        <v>90</v>
      </c>
      <c r="D142">
        <v>0</v>
      </c>
      <c r="E142">
        <v>0</v>
      </c>
      <c r="F142">
        <v>0</v>
      </c>
      <c r="G142">
        <v>90</v>
      </c>
      <c r="H142">
        <v>0</v>
      </c>
      <c r="I142">
        <v>0</v>
      </c>
      <c r="J142">
        <v>0</v>
      </c>
      <c r="K142">
        <v>0</v>
      </c>
    </row>
    <row r="143" spans="1:11" x14ac:dyDescent="0.25">
      <c r="A143" s="4" t="s">
        <v>41</v>
      </c>
      <c r="B143">
        <v>7172011004001600</v>
      </c>
      <c r="C143">
        <v>79</v>
      </c>
      <c r="D143">
        <v>0</v>
      </c>
      <c r="E143">
        <v>0</v>
      </c>
      <c r="F143">
        <v>0</v>
      </c>
      <c r="G143">
        <v>79</v>
      </c>
      <c r="H143">
        <v>0</v>
      </c>
      <c r="I143">
        <v>0</v>
      </c>
      <c r="J143">
        <v>0</v>
      </c>
      <c r="K143">
        <v>0</v>
      </c>
    </row>
    <row r="144" spans="1:11" x14ac:dyDescent="0.25">
      <c r="A144" s="4" t="s">
        <v>41</v>
      </c>
      <c r="B144">
        <v>7172011004001700</v>
      </c>
      <c r="C144">
        <v>73</v>
      </c>
      <c r="D144">
        <v>0</v>
      </c>
      <c r="E144">
        <v>0</v>
      </c>
      <c r="F144">
        <v>0</v>
      </c>
      <c r="G144">
        <v>73</v>
      </c>
      <c r="H144">
        <v>0</v>
      </c>
      <c r="I144">
        <v>0</v>
      </c>
      <c r="J144">
        <v>0</v>
      </c>
      <c r="K144">
        <v>0</v>
      </c>
    </row>
    <row r="145" spans="1:11" x14ac:dyDescent="0.25">
      <c r="A145" s="4" t="s">
        <v>41</v>
      </c>
      <c r="B145">
        <v>7172011004000800</v>
      </c>
      <c r="C145">
        <v>66</v>
      </c>
      <c r="D145">
        <v>0</v>
      </c>
      <c r="E145">
        <v>0</v>
      </c>
      <c r="F145">
        <v>0</v>
      </c>
      <c r="G145">
        <v>66</v>
      </c>
      <c r="H145">
        <v>0</v>
      </c>
      <c r="I145">
        <v>0</v>
      </c>
      <c r="J145">
        <v>0</v>
      </c>
      <c r="K145">
        <v>0</v>
      </c>
    </row>
    <row r="146" spans="1:11" x14ac:dyDescent="0.25">
      <c r="A146" s="4" t="s">
        <v>41</v>
      </c>
      <c r="B146">
        <v>7172011004001900</v>
      </c>
      <c r="C146">
        <v>60</v>
      </c>
      <c r="D146">
        <v>0</v>
      </c>
      <c r="E146">
        <v>0</v>
      </c>
      <c r="F146">
        <v>0</v>
      </c>
      <c r="G146">
        <v>60</v>
      </c>
      <c r="H146">
        <v>0</v>
      </c>
      <c r="I146">
        <v>0</v>
      </c>
      <c r="J146">
        <v>0</v>
      </c>
      <c r="K146">
        <v>0</v>
      </c>
    </row>
    <row r="147" spans="1:11" x14ac:dyDescent="0.25">
      <c r="A147" s="4" t="s">
        <v>46</v>
      </c>
      <c r="B147">
        <v>7172011013000800</v>
      </c>
      <c r="C147">
        <v>92</v>
      </c>
      <c r="D147">
        <v>1</v>
      </c>
      <c r="E147">
        <v>21</v>
      </c>
      <c r="F147">
        <v>0</v>
      </c>
      <c r="G147">
        <v>42</v>
      </c>
      <c r="H147">
        <v>1</v>
      </c>
      <c r="I147">
        <v>0</v>
      </c>
      <c r="J147">
        <v>27</v>
      </c>
      <c r="K147">
        <v>0</v>
      </c>
    </row>
    <row r="148" spans="1:11" x14ac:dyDescent="0.25">
      <c r="A148" s="4" t="s">
        <v>46</v>
      </c>
      <c r="B148">
        <v>7172011013000900</v>
      </c>
      <c r="C148">
        <v>81</v>
      </c>
      <c r="D148">
        <v>2</v>
      </c>
      <c r="E148">
        <v>10</v>
      </c>
      <c r="F148">
        <v>0</v>
      </c>
      <c r="G148">
        <v>22</v>
      </c>
      <c r="H148">
        <v>8</v>
      </c>
      <c r="I148">
        <v>0</v>
      </c>
      <c r="J148">
        <v>39</v>
      </c>
      <c r="K148">
        <v>0</v>
      </c>
    </row>
    <row r="149" spans="1:11" x14ac:dyDescent="0.25">
      <c r="A149" s="4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64</v>
      </c>
      <c r="H149">
        <v>0</v>
      </c>
      <c r="I149">
        <v>0</v>
      </c>
      <c r="J149">
        <v>0</v>
      </c>
      <c r="K149">
        <v>0</v>
      </c>
    </row>
    <row r="150" spans="1:11" x14ac:dyDescent="0.25">
      <c r="A150" s="4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60</v>
      </c>
      <c r="H150">
        <v>0</v>
      </c>
      <c r="I150">
        <v>0</v>
      </c>
      <c r="J150">
        <v>0</v>
      </c>
      <c r="K150">
        <v>0</v>
      </c>
    </row>
    <row r="151" spans="1:11" x14ac:dyDescent="0.25">
      <c r="A151" s="4" t="s">
        <v>46</v>
      </c>
      <c r="B151">
        <v>7172011013000500</v>
      </c>
      <c r="C151">
        <v>50</v>
      </c>
      <c r="D151">
        <v>0</v>
      </c>
      <c r="E151">
        <v>0</v>
      </c>
      <c r="F151">
        <v>0</v>
      </c>
      <c r="G151">
        <v>50</v>
      </c>
      <c r="H151">
        <v>0</v>
      </c>
      <c r="I151">
        <v>0</v>
      </c>
      <c r="J151">
        <v>0</v>
      </c>
      <c r="K151">
        <v>0</v>
      </c>
    </row>
    <row r="152" spans="1:11" x14ac:dyDescent="0.25">
      <c r="A152" s="4" t="s">
        <v>46</v>
      </c>
      <c r="B152">
        <v>7172011013001100</v>
      </c>
      <c r="C152">
        <v>48</v>
      </c>
      <c r="D152">
        <v>0</v>
      </c>
      <c r="E152">
        <v>0</v>
      </c>
      <c r="F152">
        <v>0</v>
      </c>
      <c r="G152">
        <v>48</v>
      </c>
      <c r="H152">
        <v>0</v>
      </c>
      <c r="I152">
        <v>0</v>
      </c>
      <c r="J152">
        <v>0</v>
      </c>
      <c r="K152">
        <v>0</v>
      </c>
    </row>
    <row r="153" spans="1:11" x14ac:dyDescent="0.25">
      <c r="A153" s="4" t="s">
        <v>46</v>
      </c>
      <c r="B153">
        <v>7172011013000600</v>
      </c>
      <c r="C153">
        <v>47</v>
      </c>
      <c r="D153">
        <v>0</v>
      </c>
      <c r="E153">
        <v>0</v>
      </c>
      <c r="F153">
        <v>0</v>
      </c>
      <c r="G153">
        <v>47</v>
      </c>
      <c r="H153">
        <v>0</v>
      </c>
      <c r="I153">
        <v>0</v>
      </c>
      <c r="J153">
        <v>0</v>
      </c>
      <c r="K153">
        <v>0</v>
      </c>
    </row>
    <row r="154" spans="1:11" x14ac:dyDescent="0.25">
      <c r="A154" s="4" t="s">
        <v>46</v>
      </c>
      <c r="B154">
        <v>7172011013000300</v>
      </c>
      <c r="C154">
        <v>40</v>
      </c>
      <c r="D154">
        <v>0</v>
      </c>
      <c r="E154">
        <v>1</v>
      </c>
      <c r="F154">
        <v>0</v>
      </c>
      <c r="G154">
        <v>39</v>
      </c>
      <c r="H154">
        <v>0</v>
      </c>
      <c r="I154">
        <v>0</v>
      </c>
      <c r="J154">
        <v>0</v>
      </c>
      <c r="K154">
        <v>0</v>
      </c>
    </row>
    <row r="155" spans="1:11" x14ac:dyDescent="0.25">
      <c r="A155" s="4" t="s">
        <v>46</v>
      </c>
      <c r="B155">
        <v>7172011013001000</v>
      </c>
      <c r="C155">
        <v>36</v>
      </c>
      <c r="D155">
        <v>0</v>
      </c>
      <c r="E155">
        <v>0</v>
      </c>
      <c r="F155">
        <v>0</v>
      </c>
      <c r="G155">
        <v>36</v>
      </c>
      <c r="H155">
        <v>0</v>
      </c>
      <c r="I155">
        <v>0</v>
      </c>
      <c r="J155">
        <v>0</v>
      </c>
      <c r="K155">
        <v>0</v>
      </c>
    </row>
    <row r="156" spans="1:11" x14ac:dyDescent="0.25">
      <c r="A156" s="4" t="s">
        <v>46</v>
      </c>
      <c r="B156">
        <v>7172011013000400</v>
      </c>
      <c r="C156">
        <v>29</v>
      </c>
      <c r="D156">
        <v>0</v>
      </c>
      <c r="E156">
        <v>0</v>
      </c>
      <c r="F156">
        <v>0</v>
      </c>
      <c r="G156">
        <v>29</v>
      </c>
      <c r="H156">
        <v>0</v>
      </c>
      <c r="I156">
        <v>0</v>
      </c>
      <c r="J156">
        <v>0</v>
      </c>
      <c r="K156">
        <v>0</v>
      </c>
    </row>
    <row r="157" spans="1:11" x14ac:dyDescent="0.25">
      <c r="A157" s="4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27</v>
      </c>
      <c r="H157">
        <v>0</v>
      </c>
      <c r="I157">
        <v>0</v>
      </c>
      <c r="J157">
        <v>0</v>
      </c>
      <c r="K157">
        <v>0</v>
      </c>
    </row>
    <row r="158" spans="1:11" x14ac:dyDescent="0.25">
      <c r="A158" s="4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26</v>
      </c>
      <c r="H158">
        <v>0</v>
      </c>
      <c r="I158">
        <v>0</v>
      </c>
      <c r="J158">
        <v>0</v>
      </c>
      <c r="K158">
        <v>0</v>
      </c>
    </row>
    <row r="159" spans="1:11" x14ac:dyDescent="0.25">
      <c r="A159" s="4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2</v>
      </c>
      <c r="H159">
        <v>0</v>
      </c>
      <c r="I159">
        <v>0</v>
      </c>
      <c r="J159">
        <v>0</v>
      </c>
      <c r="K159">
        <v>0</v>
      </c>
    </row>
    <row r="160" spans="1:11" x14ac:dyDescent="0.25">
      <c r="A160" s="4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2</v>
      </c>
      <c r="H160">
        <v>0</v>
      </c>
      <c r="I160">
        <v>0</v>
      </c>
      <c r="J160">
        <v>0</v>
      </c>
      <c r="K160">
        <v>0</v>
      </c>
    </row>
    <row r="161" spans="1:11" x14ac:dyDescent="0.25">
      <c r="A161" s="4" t="s">
        <v>39</v>
      </c>
      <c r="B161">
        <v>7172011004000100</v>
      </c>
      <c r="C161">
        <v>143</v>
      </c>
      <c r="D161">
        <v>33</v>
      </c>
      <c r="E161">
        <v>52</v>
      </c>
      <c r="F161">
        <v>0</v>
      </c>
      <c r="G161">
        <v>57</v>
      </c>
      <c r="H161">
        <v>1</v>
      </c>
      <c r="I161">
        <v>0</v>
      </c>
      <c r="J161">
        <v>0</v>
      </c>
      <c r="K161">
        <v>0</v>
      </c>
    </row>
    <row r="162" spans="1:11" x14ac:dyDescent="0.25">
      <c r="A162" s="4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119</v>
      </c>
      <c r="H162">
        <v>0</v>
      </c>
      <c r="I162">
        <v>0</v>
      </c>
      <c r="J162">
        <v>0</v>
      </c>
      <c r="K162">
        <v>0</v>
      </c>
    </row>
    <row r="163" spans="1:11" x14ac:dyDescent="0.25">
      <c r="A163" s="4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101</v>
      </c>
      <c r="H163">
        <v>0</v>
      </c>
      <c r="I163">
        <v>0</v>
      </c>
      <c r="J163">
        <v>0</v>
      </c>
      <c r="K163">
        <v>0</v>
      </c>
    </row>
    <row r="164" spans="1:11" x14ac:dyDescent="0.25">
      <c r="A164" s="4" t="s">
        <v>39</v>
      </c>
      <c r="B164">
        <v>7172011004000400</v>
      </c>
      <c r="C164">
        <v>99</v>
      </c>
      <c r="D164">
        <v>58</v>
      </c>
      <c r="E164">
        <v>25</v>
      </c>
      <c r="F164">
        <v>0</v>
      </c>
      <c r="G164">
        <v>1</v>
      </c>
      <c r="H164">
        <v>1</v>
      </c>
      <c r="I164">
        <v>0</v>
      </c>
      <c r="J164">
        <v>14</v>
      </c>
      <c r="K164">
        <v>0</v>
      </c>
    </row>
    <row r="165" spans="1:11" x14ac:dyDescent="0.25">
      <c r="A165" s="4" t="s">
        <v>39</v>
      </c>
      <c r="B165">
        <v>7172011004000200</v>
      </c>
      <c r="C165">
        <v>93</v>
      </c>
      <c r="D165">
        <v>0</v>
      </c>
      <c r="E165">
        <v>0</v>
      </c>
      <c r="F165">
        <v>0</v>
      </c>
      <c r="G165">
        <v>93</v>
      </c>
      <c r="H165">
        <v>0</v>
      </c>
      <c r="I165">
        <v>0</v>
      </c>
      <c r="J165">
        <v>0</v>
      </c>
      <c r="K165">
        <v>0</v>
      </c>
    </row>
    <row r="166" spans="1:11" x14ac:dyDescent="0.25">
      <c r="A166" s="4" t="s">
        <v>39</v>
      </c>
      <c r="B166">
        <v>7172011004000300</v>
      </c>
      <c r="C166">
        <v>61</v>
      </c>
      <c r="D166">
        <v>0</v>
      </c>
      <c r="E166">
        <v>0</v>
      </c>
      <c r="F166">
        <v>0</v>
      </c>
      <c r="G166">
        <v>61</v>
      </c>
      <c r="H166">
        <v>0</v>
      </c>
      <c r="I166">
        <v>0</v>
      </c>
      <c r="J166">
        <v>0</v>
      </c>
      <c r="K166">
        <v>0</v>
      </c>
    </row>
    <row r="167" spans="1:11" x14ac:dyDescent="0.25">
      <c r="A167" s="4" t="s">
        <v>50</v>
      </c>
      <c r="B167">
        <v>7172012001000200</v>
      </c>
      <c r="C167">
        <v>150</v>
      </c>
      <c r="D167">
        <v>3</v>
      </c>
      <c r="E167">
        <v>8</v>
      </c>
      <c r="F167">
        <v>0</v>
      </c>
      <c r="G167">
        <v>107</v>
      </c>
      <c r="H167">
        <v>2</v>
      </c>
      <c r="I167">
        <v>0</v>
      </c>
      <c r="J167">
        <v>30</v>
      </c>
      <c r="K167">
        <v>0</v>
      </c>
    </row>
    <row r="168" spans="1:11" x14ac:dyDescent="0.25">
      <c r="A168" s="4" t="s">
        <v>50</v>
      </c>
      <c r="B168">
        <v>7172012001000300</v>
      </c>
      <c r="C168">
        <v>135</v>
      </c>
      <c r="D168">
        <v>0</v>
      </c>
      <c r="E168">
        <v>0</v>
      </c>
      <c r="F168">
        <v>0</v>
      </c>
      <c r="G168">
        <v>135</v>
      </c>
      <c r="H168">
        <v>0</v>
      </c>
      <c r="I168">
        <v>0</v>
      </c>
      <c r="J168">
        <v>0</v>
      </c>
      <c r="K168">
        <v>0</v>
      </c>
    </row>
    <row r="169" spans="1:11" x14ac:dyDescent="0.25">
      <c r="A169" s="4" t="s">
        <v>50</v>
      </c>
      <c r="B169">
        <v>7172012001000400</v>
      </c>
      <c r="C169">
        <v>124</v>
      </c>
      <c r="D169">
        <v>0</v>
      </c>
      <c r="E169">
        <v>0</v>
      </c>
      <c r="F169">
        <v>0</v>
      </c>
      <c r="G169">
        <v>124</v>
      </c>
      <c r="H169">
        <v>0</v>
      </c>
      <c r="I169">
        <v>0</v>
      </c>
      <c r="J169">
        <v>0</v>
      </c>
      <c r="K169">
        <v>0</v>
      </c>
    </row>
    <row r="170" spans="1:11" x14ac:dyDescent="0.25">
      <c r="A170" s="4" t="s">
        <v>50</v>
      </c>
      <c r="B170">
        <v>7172012001000900</v>
      </c>
      <c r="C170">
        <v>123</v>
      </c>
      <c r="D170">
        <v>8</v>
      </c>
      <c r="E170">
        <v>12</v>
      </c>
      <c r="F170">
        <v>0</v>
      </c>
      <c r="G170">
        <v>22</v>
      </c>
      <c r="H170">
        <v>0</v>
      </c>
      <c r="I170">
        <v>0</v>
      </c>
      <c r="J170">
        <v>81</v>
      </c>
      <c r="K170">
        <v>0</v>
      </c>
    </row>
    <row r="171" spans="1:11" x14ac:dyDescent="0.25">
      <c r="A171" s="4" t="s">
        <v>50</v>
      </c>
      <c r="B171">
        <v>7172012001000800</v>
      </c>
      <c r="C171">
        <v>88</v>
      </c>
      <c r="D171">
        <v>0</v>
      </c>
      <c r="E171">
        <v>0</v>
      </c>
      <c r="F171">
        <v>0</v>
      </c>
      <c r="G171">
        <v>58</v>
      </c>
      <c r="H171">
        <v>0</v>
      </c>
      <c r="I171">
        <v>0</v>
      </c>
      <c r="J171">
        <v>30</v>
      </c>
      <c r="K171">
        <v>0</v>
      </c>
    </row>
    <row r="172" spans="1:11" x14ac:dyDescent="0.25">
      <c r="A172" s="4" t="s">
        <v>44</v>
      </c>
      <c r="B172">
        <v>7172011012000700</v>
      </c>
      <c r="C172">
        <v>160</v>
      </c>
      <c r="D172">
        <v>42</v>
      </c>
      <c r="E172">
        <v>9</v>
      </c>
      <c r="F172">
        <v>0</v>
      </c>
      <c r="G172">
        <v>43</v>
      </c>
      <c r="H172">
        <v>0</v>
      </c>
      <c r="I172">
        <v>0</v>
      </c>
      <c r="J172">
        <v>66</v>
      </c>
      <c r="K172">
        <v>0</v>
      </c>
    </row>
    <row r="173" spans="1:11" x14ac:dyDescent="0.25">
      <c r="A173" s="4" t="s">
        <v>44</v>
      </c>
      <c r="B173">
        <v>7172011012000200</v>
      </c>
      <c r="C173">
        <v>94</v>
      </c>
      <c r="D173">
        <v>0</v>
      </c>
      <c r="E173">
        <v>0</v>
      </c>
      <c r="F173">
        <v>0</v>
      </c>
      <c r="G173">
        <v>94</v>
      </c>
      <c r="H173">
        <v>0</v>
      </c>
      <c r="I173">
        <v>0</v>
      </c>
      <c r="J173">
        <v>0</v>
      </c>
      <c r="K173">
        <v>0</v>
      </c>
    </row>
    <row r="174" spans="1:11" x14ac:dyDescent="0.25">
      <c r="A174" s="4" t="s">
        <v>44</v>
      </c>
      <c r="B174">
        <v>7172011012000400</v>
      </c>
      <c r="C174">
        <v>68</v>
      </c>
      <c r="D174">
        <v>0</v>
      </c>
      <c r="E174">
        <v>0</v>
      </c>
      <c r="F174">
        <v>0</v>
      </c>
      <c r="G174">
        <v>68</v>
      </c>
      <c r="H174">
        <v>0</v>
      </c>
      <c r="I174">
        <v>0</v>
      </c>
      <c r="J174">
        <v>0</v>
      </c>
      <c r="K174">
        <v>0</v>
      </c>
    </row>
    <row r="175" spans="1:11" x14ac:dyDescent="0.25">
      <c r="A175" s="4" t="s">
        <v>44</v>
      </c>
      <c r="B175">
        <v>7172011012000300</v>
      </c>
      <c r="C175">
        <v>58</v>
      </c>
      <c r="D175">
        <v>0</v>
      </c>
      <c r="E175">
        <v>0</v>
      </c>
      <c r="F175">
        <v>0</v>
      </c>
      <c r="G175">
        <v>58</v>
      </c>
      <c r="H175">
        <v>0</v>
      </c>
      <c r="I175">
        <v>0</v>
      </c>
      <c r="J175">
        <v>0</v>
      </c>
      <c r="K175">
        <v>0</v>
      </c>
    </row>
    <row r="176" spans="1:11" x14ac:dyDescent="0.25">
      <c r="A176" s="4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57</v>
      </c>
      <c r="H176">
        <v>0</v>
      </c>
      <c r="I176">
        <v>0</v>
      </c>
      <c r="J176">
        <v>0</v>
      </c>
      <c r="K176">
        <v>0</v>
      </c>
    </row>
    <row r="177" spans="1:11" x14ac:dyDescent="0.25">
      <c r="A177" s="4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56</v>
      </c>
      <c r="H177">
        <v>0</v>
      </c>
      <c r="I177">
        <v>0</v>
      </c>
      <c r="J177">
        <v>0</v>
      </c>
      <c r="K177">
        <v>0</v>
      </c>
    </row>
    <row r="178" spans="1:11" x14ac:dyDescent="0.25">
      <c r="A178" s="4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55</v>
      </c>
      <c r="H178">
        <v>0</v>
      </c>
      <c r="I178">
        <v>0</v>
      </c>
      <c r="J178">
        <v>0</v>
      </c>
      <c r="K178">
        <v>0</v>
      </c>
    </row>
    <row r="179" spans="1:11" x14ac:dyDescent="0.25">
      <c r="A179" s="4" t="s">
        <v>44</v>
      </c>
      <c r="B179">
        <v>7172011012000500</v>
      </c>
      <c r="C179">
        <v>47</v>
      </c>
      <c r="D179">
        <v>0</v>
      </c>
      <c r="E179">
        <v>0</v>
      </c>
      <c r="F179">
        <v>0</v>
      </c>
      <c r="G179">
        <v>47</v>
      </c>
      <c r="H179">
        <v>0</v>
      </c>
      <c r="I179">
        <v>0</v>
      </c>
      <c r="J179">
        <v>0</v>
      </c>
      <c r="K179">
        <v>0</v>
      </c>
    </row>
    <row r="180" spans="1:11" x14ac:dyDescent="0.25">
      <c r="A180" s="4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38</v>
      </c>
      <c r="H180">
        <v>0</v>
      </c>
      <c r="I180">
        <v>0</v>
      </c>
      <c r="J180">
        <v>0</v>
      </c>
      <c r="K180">
        <v>0</v>
      </c>
    </row>
    <row r="181" spans="1:11" x14ac:dyDescent="0.25">
      <c r="A181" s="4" t="s">
        <v>54</v>
      </c>
      <c r="B181">
        <v>7172012002000401</v>
      </c>
      <c r="C181">
        <v>119</v>
      </c>
      <c r="D181">
        <v>0</v>
      </c>
      <c r="E181">
        <v>0</v>
      </c>
      <c r="F181">
        <v>0</v>
      </c>
      <c r="G181">
        <v>119</v>
      </c>
      <c r="H181">
        <v>0</v>
      </c>
      <c r="I181">
        <v>0</v>
      </c>
      <c r="J181">
        <v>0</v>
      </c>
      <c r="K181">
        <v>0</v>
      </c>
    </row>
    <row r="182" spans="1:11" x14ac:dyDescent="0.25">
      <c r="A182" s="4" t="s">
        <v>54</v>
      </c>
      <c r="B182">
        <v>7172012002000600</v>
      </c>
      <c r="C182">
        <v>117</v>
      </c>
      <c r="D182">
        <v>9</v>
      </c>
      <c r="E182">
        <v>18</v>
      </c>
      <c r="F182">
        <v>0</v>
      </c>
      <c r="G182">
        <v>22</v>
      </c>
      <c r="H182">
        <v>0</v>
      </c>
      <c r="I182">
        <v>0</v>
      </c>
      <c r="J182">
        <v>68</v>
      </c>
      <c r="K182">
        <v>0</v>
      </c>
    </row>
    <row r="183" spans="1:11" x14ac:dyDescent="0.25">
      <c r="A183" s="4" t="s">
        <v>54</v>
      </c>
      <c r="B183">
        <v>7172012002000300</v>
      </c>
      <c r="C183">
        <v>106</v>
      </c>
      <c r="D183">
        <v>13</v>
      </c>
      <c r="E183">
        <v>24</v>
      </c>
      <c r="F183">
        <v>0</v>
      </c>
      <c r="G183">
        <v>33</v>
      </c>
      <c r="H183">
        <v>1</v>
      </c>
      <c r="I183">
        <v>0</v>
      </c>
      <c r="J183">
        <v>35</v>
      </c>
      <c r="K183">
        <v>0</v>
      </c>
    </row>
    <row r="184" spans="1:11" x14ac:dyDescent="0.25">
      <c r="A184" s="4" t="s">
        <v>54</v>
      </c>
      <c r="B184">
        <v>7172012002000800</v>
      </c>
      <c r="C184">
        <v>97</v>
      </c>
      <c r="D184">
        <v>0</v>
      </c>
      <c r="E184">
        <v>0</v>
      </c>
      <c r="F184">
        <v>0</v>
      </c>
      <c r="G184">
        <v>97</v>
      </c>
      <c r="H184">
        <v>0</v>
      </c>
      <c r="I184">
        <v>0</v>
      </c>
      <c r="J184">
        <v>0</v>
      </c>
      <c r="K184">
        <v>0</v>
      </c>
    </row>
    <row r="185" spans="1:11" x14ac:dyDescent="0.25">
      <c r="A185" s="4" t="s">
        <v>54</v>
      </c>
      <c r="B185">
        <v>7172012002000402</v>
      </c>
      <c r="C185">
        <v>88</v>
      </c>
      <c r="D185">
        <v>0</v>
      </c>
      <c r="E185">
        <v>0</v>
      </c>
      <c r="F185">
        <v>0</v>
      </c>
      <c r="G185">
        <v>88</v>
      </c>
      <c r="H185">
        <v>0</v>
      </c>
      <c r="I185">
        <v>0</v>
      </c>
      <c r="J185">
        <v>0</v>
      </c>
      <c r="K185">
        <v>0</v>
      </c>
    </row>
    <row r="186" spans="1:11" x14ac:dyDescent="0.25">
      <c r="A186" s="4" t="s">
        <v>54</v>
      </c>
      <c r="B186">
        <v>7172012002000700</v>
      </c>
      <c r="C186">
        <v>84</v>
      </c>
      <c r="D186">
        <v>0</v>
      </c>
      <c r="E186">
        <v>0</v>
      </c>
      <c r="F186">
        <v>0</v>
      </c>
      <c r="G186">
        <v>84</v>
      </c>
      <c r="H186">
        <v>0</v>
      </c>
      <c r="I186">
        <v>0</v>
      </c>
      <c r="J186">
        <v>0</v>
      </c>
      <c r="K186">
        <v>0</v>
      </c>
    </row>
    <row r="187" spans="1:11" x14ac:dyDescent="0.25">
      <c r="A187" s="4" t="s">
        <v>229</v>
      </c>
      <c r="B187">
        <v>7172012002001301</v>
      </c>
      <c r="C187">
        <v>137</v>
      </c>
      <c r="D187">
        <v>13</v>
      </c>
      <c r="E187">
        <v>26</v>
      </c>
      <c r="F187">
        <v>0</v>
      </c>
      <c r="G187">
        <v>89</v>
      </c>
      <c r="H187">
        <v>1</v>
      </c>
      <c r="I187">
        <v>0</v>
      </c>
      <c r="J187">
        <v>8</v>
      </c>
      <c r="K187">
        <v>0</v>
      </c>
    </row>
    <row r="188" spans="1:11" x14ac:dyDescent="0.25">
      <c r="A188" s="4" t="s">
        <v>229</v>
      </c>
      <c r="B188">
        <v>7172012002001302</v>
      </c>
      <c r="C188">
        <v>127</v>
      </c>
      <c r="D188">
        <v>6</v>
      </c>
      <c r="E188">
        <v>19</v>
      </c>
      <c r="F188">
        <v>0</v>
      </c>
      <c r="G188">
        <v>34</v>
      </c>
      <c r="H188">
        <v>0</v>
      </c>
      <c r="I188">
        <v>0</v>
      </c>
      <c r="J188">
        <v>68</v>
      </c>
      <c r="K188">
        <v>0</v>
      </c>
    </row>
    <row r="189" spans="1:11" x14ac:dyDescent="0.25">
      <c r="A189" s="4" t="s">
        <v>229</v>
      </c>
      <c r="B189">
        <v>7172012002001500</v>
      </c>
      <c r="C189">
        <v>111</v>
      </c>
      <c r="D189">
        <v>0</v>
      </c>
      <c r="E189">
        <v>0</v>
      </c>
      <c r="F189">
        <v>0</v>
      </c>
      <c r="G189">
        <v>111</v>
      </c>
      <c r="H189">
        <v>0</v>
      </c>
      <c r="I189">
        <v>0</v>
      </c>
      <c r="J189">
        <v>0</v>
      </c>
      <c r="K189">
        <v>0</v>
      </c>
    </row>
    <row r="190" spans="1:11" x14ac:dyDescent="0.25">
      <c r="A190" s="4" t="s">
        <v>229</v>
      </c>
      <c r="B190">
        <v>7172012002001400</v>
      </c>
      <c r="C190">
        <v>95</v>
      </c>
      <c r="D190">
        <v>6</v>
      </c>
      <c r="E190">
        <v>0</v>
      </c>
      <c r="F190">
        <v>0</v>
      </c>
      <c r="G190">
        <v>88</v>
      </c>
      <c r="H190">
        <v>0</v>
      </c>
      <c r="I190">
        <v>0</v>
      </c>
      <c r="J190">
        <v>1</v>
      </c>
      <c r="K190">
        <v>0</v>
      </c>
    </row>
    <row r="191" spans="1:11" x14ac:dyDescent="0.25">
      <c r="A191" s="4" t="s">
        <v>229</v>
      </c>
      <c r="B191">
        <v>7172012002001700</v>
      </c>
      <c r="C191">
        <v>90</v>
      </c>
      <c r="D191">
        <v>1</v>
      </c>
      <c r="E191">
        <v>0</v>
      </c>
      <c r="F191">
        <v>0</v>
      </c>
      <c r="G191">
        <v>88</v>
      </c>
      <c r="H191">
        <v>0</v>
      </c>
      <c r="I191">
        <v>0</v>
      </c>
      <c r="J191">
        <v>1</v>
      </c>
      <c r="K191">
        <v>0</v>
      </c>
    </row>
    <row r="192" spans="1:11" x14ac:dyDescent="0.25">
      <c r="A192" s="4" t="s">
        <v>229</v>
      </c>
      <c r="B192">
        <v>7172012002001800</v>
      </c>
      <c r="C192">
        <v>70</v>
      </c>
      <c r="D192">
        <v>0</v>
      </c>
      <c r="E192">
        <v>0</v>
      </c>
      <c r="F192">
        <v>0</v>
      </c>
      <c r="G192">
        <v>70</v>
      </c>
      <c r="H192">
        <v>0</v>
      </c>
      <c r="I192">
        <v>0</v>
      </c>
      <c r="J192">
        <v>0</v>
      </c>
      <c r="K192">
        <v>0</v>
      </c>
    </row>
    <row r="193" spans="1:11" x14ac:dyDescent="0.25">
      <c r="A193" s="4" t="s">
        <v>38</v>
      </c>
      <c r="B193">
        <v>7172011003003100</v>
      </c>
      <c r="C193">
        <v>205</v>
      </c>
      <c r="D193">
        <v>16</v>
      </c>
      <c r="E193">
        <v>14</v>
      </c>
      <c r="F193">
        <v>0</v>
      </c>
      <c r="G193">
        <v>5</v>
      </c>
      <c r="H193">
        <v>0</v>
      </c>
      <c r="I193">
        <v>0</v>
      </c>
      <c r="J193">
        <v>170</v>
      </c>
      <c r="K193">
        <v>0</v>
      </c>
    </row>
    <row r="194" spans="1:11" x14ac:dyDescent="0.25">
      <c r="A194" s="4" t="s">
        <v>38</v>
      </c>
      <c r="B194">
        <v>7172011003002700</v>
      </c>
      <c r="C194">
        <v>102</v>
      </c>
      <c r="D194">
        <v>0</v>
      </c>
      <c r="E194">
        <v>0</v>
      </c>
      <c r="F194">
        <v>0</v>
      </c>
      <c r="G194">
        <v>102</v>
      </c>
      <c r="H194">
        <v>0</v>
      </c>
      <c r="I194">
        <v>0</v>
      </c>
      <c r="J194">
        <v>0</v>
      </c>
      <c r="K194">
        <v>0</v>
      </c>
    </row>
    <row r="195" spans="1:11" x14ac:dyDescent="0.25">
      <c r="A195" s="4" t="s">
        <v>38</v>
      </c>
      <c r="B195">
        <v>7172011003003000</v>
      </c>
      <c r="C195">
        <v>96</v>
      </c>
      <c r="D195">
        <v>0</v>
      </c>
      <c r="E195">
        <v>0</v>
      </c>
      <c r="F195">
        <v>0</v>
      </c>
      <c r="G195">
        <v>88</v>
      </c>
      <c r="H195">
        <v>0</v>
      </c>
      <c r="I195">
        <v>0</v>
      </c>
      <c r="J195">
        <v>8</v>
      </c>
      <c r="K195">
        <v>0</v>
      </c>
    </row>
    <row r="196" spans="1:11" x14ac:dyDescent="0.25">
      <c r="A196" s="4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93</v>
      </c>
      <c r="H196">
        <v>0</v>
      </c>
      <c r="I196">
        <v>0</v>
      </c>
      <c r="J196">
        <v>0</v>
      </c>
      <c r="K196">
        <v>0</v>
      </c>
    </row>
    <row r="197" spans="1:11" x14ac:dyDescent="0.25">
      <c r="A197" s="4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86</v>
      </c>
      <c r="H197">
        <v>0</v>
      </c>
      <c r="I197">
        <v>0</v>
      </c>
      <c r="J197">
        <v>0</v>
      </c>
      <c r="K197">
        <v>0</v>
      </c>
    </row>
    <row r="198" spans="1:11" x14ac:dyDescent="0.25">
      <c r="A198" s="4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71</v>
      </c>
      <c r="H198">
        <v>0</v>
      </c>
      <c r="I198">
        <v>0</v>
      </c>
      <c r="J198">
        <v>0</v>
      </c>
      <c r="K198">
        <v>0</v>
      </c>
    </row>
    <row r="199" spans="1:11" x14ac:dyDescent="0.25">
      <c r="A199" s="4" t="s">
        <v>60</v>
      </c>
      <c r="B199">
        <v>7172012004001900</v>
      </c>
      <c r="C199">
        <v>180</v>
      </c>
      <c r="D199">
        <v>30</v>
      </c>
      <c r="E199">
        <v>46</v>
      </c>
      <c r="F199">
        <v>0</v>
      </c>
      <c r="G199">
        <v>48</v>
      </c>
      <c r="H199">
        <v>0</v>
      </c>
      <c r="I199">
        <v>0</v>
      </c>
      <c r="J199">
        <v>56</v>
      </c>
      <c r="K199">
        <v>0</v>
      </c>
    </row>
    <row r="200" spans="1:11" x14ac:dyDescent="0.25">
      <c r="A200" s="4" t="s">
        <v>60</v>
      </c>
      <c r="B200">
        <v>7172012004000900</v>
      </c>
      <c r="C200">
        <v>136</v>
      </c>
      <c r="D200">
        <v>0</v>
      </c>
      <c r="E200">
        <v>0</v>
      </c>
      <c r="F200">
        <v>0</v>
      </c>
      <c r="G200">
        <v>136</v>
      </c>
      <c r="H200">
        <v>0</v>
      </c>
      <c r="I200">
        <v>0</v>
      </c>
      <c r="J200">
        <v>0</v>
      </c>
      <c r="K200">
        <v>0</v>
      </c>
    </row>
    <row r="201" spans="1:11" x14ac:dyDescent="0.25">
      <c r="A201" s="4" t="s">
        <v>60</v>
      </c>
      <c r="B201">
        <v>7172012004001802</v>
      </c>
      <c r="C201">
        <v>107</v>
      </c>
      <c r="D201">
        <v>0</v>
      </c>
      <c r="E201">
        <v>0</v>
      </c>
      <c r="F201">
        <v>0</v>
      </c>
      <c r="G201">
        <v>107</v>
      </c>
      <c r="H201">
        <v>0</v>
      </c>
      <c r="I201">
        <v>0</v>
      </c>
      <c r="J201">
        <v>0</v>
      </c>
      <c r="K201">
        <v>0</v>
      </c>
    </row>
    <row r="202" spans="1:11" x14ac:dyDescent="0.25">
      <c r="A202" s="4" t="s">
        <v>60</v>
      </c>
      <c r="B202">
        <v>7172012004002101</v>
      </c>
      <c r="C202">
        <v>104</v>
      </c>
      <c r="D202">
        <v>0</v>
      </c>
      <c r="E202">
        <v>0</v>
      </c>
      <c r="F202">
        <v>0</v>
      </c>
      <c r="G202">
        <v>104</v>
      </c>
      <c r="H202">
        <v>0</v>
      </c>
      <c r="I202">
        <v>0</v>
      </c>
      <c r="J202">
        <v>0</v>
      </c>
      <c r="K202">
        <v>0</v>
      </c>
    </row>
    <row r="203" spans="1:11" x14ac:dyDescent="0.25">
      <c r="A203" s="4" t="s">
        <v>60</v>
      </c>
      <c r="B203">
        <v>7172012004001400</v>
      </c>
      <c r="C203">
        <v>88</v>
      </c>
      <c r="D203">
        <v>1</v>
      </c>
      <c r="E203">
        <v>27</v>
      </c>
      <c r="F203">
        <v>0</v>
      </c>
      <c r="G203">
        <v>59</v>
      </c>
      <c r="H203">
        <v>0</v>
      </c>
      <c r="I203">
        <v>0</v>
      </c>
      <c r="J203">
        <v>1</v>
      </c>
      <c r="K203">
        <v>0</v>
      </c>
    </row>
    <row r="204" spans="1:11" x14ac:dyDescent="0.25">
      <c r="A204" s="4" t="s">
        <v>63</v>
      </c>
      <c r="B204">
        <v>7172012004001701</v>
      </c>
      <c r="C204">
        <v>322</v>
      </c>
      <c r="D204">
        <v>1</v>
      </c>
      <c r="E204">
        <v>28</v>
      </c>
      <c r="F204">
        <v>0</v>
      </c>
      <c r="G204">
        <v>222</v>
      </c>
      <c r="H204">
        <v>10</v>
      </c>
      <c r="I204">
        <v>0</v>
      </c>
      <c r="J204">
        <v>61</v>
      </c>
      <c r="K204">
        <v>0</v>
      </c>
    </row>
    <row r="205" spans="1:11" x14ac:dyDescent="0.25">
      <c r="A205" s="4" t="s">
        <v>63</v>
      </c>
      <c r="B205">
        <v>7172012004002000</v>
      </c>
      <c r="C205">
        <v>169</v>
      </c>
      <c r="D205">
        <v>0</v>
      </c>
      <c r="E205">
        <v>0</v>
      </c>
      <c r="F205">
        <v>0</v>
      </c>
      <c r="G205">
        <v>163</v>
      </c>
      <c r="H205">
        <v>6</v>
      </c>
      <c r="I205">
        <v>0</v>
      </c>
      <c r="J205">
        <v>0</v>
      </c>
      <c r="K205">
        <v>0</v>
      </c>
    </row>
    <row r="206" spans="1:11" x14ac:dyDescent="0.25">
      <c r="A206" s="4" t="s">
        <v>63</v>
      </c>
      <c r="B206">
        <v>7172012004002102</v>
      </c>
      <c r="C206">
        <v>62</v>
      </c>
      <c r="D206">
        <v>0</v>
      </c>
      <c r="E206">
        <v>0</v>
      </c>
      <c r="F206">
        <v>0</v>
      </c>
      <c r="G206">
        <v>62</v>
      </c>
      <c r="H206">
        <v>0</v>
      </c>
      <c r="I206">
        <v>0</v>
      </c>
      <c r="J206">
        <v>0</v>
      </c>
      <c r="K206">
        <v>0</v>
      </c>
    </row>
    <row r="207" spans="1:11" x14ac:dyDescent="0.25">
      <c r="A207" s="4" t="s">
        <v>63</v>
      </c>
      <c r="B207">
        <v>7172012004002402</v>
      </c>
      <c r="C207">
        <v>10</v>
      </c>
      <c r="D207">
        <v>0</v>
      </c>
      <c r="E207">
        <v>0</v>
      </c>
      <c r="F207">
        <v>0</v>
      </c>
      <c r="G207">
        <v>10</v>
      </c>
      <c r="H207">
        <v>0</v>
      </c>
      <c r="I207">
        <v>0</v>
      </c>
      <c r="J207">
        <v>0</v>
      </c>
      <c r="K207">
        <v>0</v>
      </c>
    </row>
    <row r="208" spans="1:11" x14ac:dyDescent="0.25">
      <c r="A208" s="4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177</v>
      </c>
      <c r="H208">
        <v>0</v>
      </c>
      <c r="I208">
        <v>0</v>
      </c>
      <c r="J208">
        <v>0</v>
      </c>
      <c r="K208">
        <v>0</v>
      </c>
    </row>
    <row r="209" spans="1:11" x14ac:dyDescent="0.25">
      <c r="A209" s="4" t="s">
        <v>64</v>
      </c>
      <c r="B209">
        <v>7172012004002200</v>
      </c>
      <c r="C209">
        <v>171</v>
      </c>
      <c r="D209">
        <v>65</v>
      </c>
      <c r="E209">
        <v>3</v>
      </c>
      <c r="F209">
        <v>0</v>
      </c>
      <c r="G209">
        <v>14</v>
      </c>
      <c r="H209">
        <v>7</v>
      </c>
      <c r="I209">
        <v>0</v>
      </c>
      <c r="J209">
        <v>82</v>
      </c>
      <c r="K209">
        <v>0</v>
      </c>
    </row>
    <row r="210" spans="1:11" x14ac:dyDescent="0.25">
      <c r="A210" s="4" t="s">
        <v>64</v>
      </c>
      <c r="B210">
        <v>7172012004002500</v>
      </c>
      <c r="C210">
        <v>143</v>
      </c>
      <c r="D210">
        <v>0</v>
      </c>
      <c r="E210">
        <v>0</v>
      </c>
      <c r="F210">
        <v>0</v>
      </c>
      <c r="G210">
        <v>143</v>
      </c>
      <c r="H210">
        <v>0</v>
      </c>
      <c r="I210">
        <v>0</v>
      </c>
      <c r="J210">
        <v>0</v>
      </c>
      <c r="K210">
        <v>0</v>
      </c>
    </row>
    <row r="211" spans="1:11" x14ac:dyDescent="0.25">
      <c r="A211" s="4" t="s">
        <v>64</v>
      </c>
      <c r="B211">
        <v>7172012004002401</v>
      </c>
      <c r="C211">
        <v>119</v>
      </c>
      <c r="D211">
        <v>4</v>
      </c>
      <c r="E211">
        <v>24</v>
      </c>
      <c r="F211">
        <v>0</v>
      </c>
      <c r="G211">
        <v>72</v>
      </c>
      <c r="H211">
        <v>0</v>
      </c>
      <c r="I211">
        <v>0</v>
      </c>
      <c r="J211">
        <v>19</v>
      </c>
      <c r="K211">
        <v>0</v>
      </c>
    </row>
    <row r="212" spans="1:11" x14ac:dyDescent="0.25">
      <c r="A212" s="4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134</v>
      </c>
      <c r="H212">
        <v>0</v>
      </c>
      <c r="I212">
        <v>0</v>
      </c>
      <c r="J212">
        <v>0</v>
      </c>
      <c r="K212">
        <v>0</v>
      </c>
    </row>
    <row r="213" spans="1:11" x14ac:dyDescent="0.25">
      <c r="A213" s="4" t="s">
        <v>65</v>
      </c>
      <c r="B213">
        <v>7172012004002600</v>
      </c>
      <c r="C213">
        <v>124</v>
      </c>
      <c r="D213">
        <v>16</v>
      </c>
      <c r="E213">
        <v>4</v>
      </c>
      <c r="F213">
        <v>0</v>
      </c>
      <c r="G213">
        <v>34</v>
      </c>
      <c r="H213">
        <v>19</v>
      </c>
      <c r="I213">
        <v>0</v>
      </c>
      <c r="J213">
        <v>51</v>
      </c>
      <c r="K213">
        <v>0</v>
      </c>
    </row>
    <row r="214" spans="1:11" x14ac:dyDescent="0.25">
      <c r="A214" s="4" t="s">
        <v>65</v>
      </c>
      <c r="B214">
        <v>7172012005000100</v>
      </c>
      <c r="C214">
        <v>88</v>
      </c>
      <c r="D214">
        <v>0</v>
      </c>
      <c r="E214">
        <v>0</v>
      </c>
      <c r="F214">
        <v>0</v>
      </c>
      <c r="G214">
        <v>88</v>
      </c>
      <c r="H214">
        <v>0</v>
      </c>
      <c r="I214">
        <v>0</v>
      </c>
      <c r="J214">
        <v>0</v>
      </c>
      <c r="K214">
        <v>0</v>
      </c>
    </row>
    <row r="215" spans="1:11" x14ac:dyDescent="0.25">
      <c r="A215" s="4" t="s">
        <v>65</v>
      </c>
      <c r="B215">
        <v>7172012004002403</v>
      </c>
      <c r="C215">
        <v>83</v>
      </c>
      <c r="D215">
        <v>1</v>
      </c>
      <c r="E215">
        <v>21</v>
      </c>
      <c r="F215">
        <v>0</v>
      </c>
      <c r="G215">
        <v>20</v>
      </c>
      <c r="H215">
        <v>1</v>
      </c>
      <c r="I215">
        <v>0</v>
      </c>
      <c r="J215">
        <v>40</v>
      </c>
      <c r="K215">
        <v>0</v>
      </c>
    </row>
    <row r="216" spans="1:11" x14ac:dyDescent="0.25">
      <c r="A216" s="4" t="s">
        <v>65</v>
      </c>
      <c r="B216">
        <v>7172012005001000</v>
      </c>
      <c r="C216">
        <v>69</v>
      </c>
      <c r="D216">
        <v>0</v>
      </c>
      <c r="E216">
        <v>0</v>
      </c>
      <c r="F216">
        <v>0</v>
      </c>
      <c r="G216">
        <v>69</v>
      </c>
      <c r="H216">
        <v>0</v>
      </c>
      <c r="I216">
        <v>0</v>
      </c>
      <c r="J216">
        <v>0</v>
      </c>
      <c r="K216">
        <v>0</v>
      </c>
    </row>
    <row r="217" spans="1:11" x14ac:dyDescent="0.25">
      <c r="A217" s="4" t="s">
        <v>65</v>
      </c>
      <c r="B217">
        <v>7172012005001100</v>
      </c>
      <c r="C217">
        <v>68</v>
      </c>
      <c r="D217">
        <v>0</v>
      </c>
      <c r="E217">
        <v>0</v>
      </c>
      <c r="F217">
        <v>0</v>
      </c>
      <c r="G217">
        <v>68</v>
      </c>
      <c r="H217">
        <v>0</v>
      </c>
      <c r="I217">
        <v>0</v>
      </c>
      <c r="J217">
        <v>0</v>
      </c>
      <c r="K217">
        <v>0</v>
      </c>
    </row>
    <row r="218" spans="1:11" x14ac:dyDescent="0.25">
      <c r="A218" s="4" t="s">
        <v>65</v>
      </c>
      <c r="B218">
        <v>7172012005000200</v>
      </c>
      <c r="C218">
        <v>43</v>
      </c>
      <c r="D218">
        <v>0</v>
      </c>
      <c r="E218">
        <v>0</v>
      </c>
      <c r="F218">
        <v>0</v>
      </c>
      <c r="G218">
        <v>43</v>
      </c>
      <c r="H218">
        <v>0</v>
      </c>
      <c r="I218">
        <v>0</v>
      </c>
      <c r="J218">
        <v>0</v>
      </c>
      <c r="K218">
        <v>0</v>
      </c>
    </row>
    <row r="219" spans="1:11" x14ac:dyDescent="0.25">
      <c r="A219" s="4" t="s">
        <v>70</v>
      </c>
      <c r="B219">
        <v>7172012006001600</v>
      </c>
      <c r="C219">
        <v>107</v>
      </c>
      <c r="D219">
        <v>2</v>
      </c>
      <c r="E219">
        <v>12</v>
      </c>
      <c r="F219">
        <v>0</v>
      </c>
      <c r="G219">
        <v>35</v>
      </c>
      <c r="H219">
        <v>0</v>
      </c>
      <c r="I219">
        <v>0</v>
      </c>
      <c r="J219">
        <v>58</v>
      </c>
      <c r="K219">
        <v>0</v>
      </c>
    </row>
    <row r="220" spans="1:11" x14ac:dyDescent="0.25">
      <c r="A220" s="4" t="s">
        <v>70</v>
      </c>
      <c r="B220">
        <v>7172012006001500</v>
      </c>
      <c r="C220">
        <v>93</v>
      </c>
      <c r="D220">
        <v>0</v>
      </c>
      <c r="E220">
        <v>35</v>
      </c>
      <c r="F220">
        <v>0</v>
      </c>
      <c r="G220">
        <v>54</v>
      </c>
      <c r="H220">
        <v>0</v>
      </c>
      <c r="I220">
        <v>0</v>
      </c>
      <c r="J220">
        <v>4</v>
      </c>
      <c r="K220">
        <v>0</v>
      </c>
    </row>
    <row r="221" spans="1:11" x14ac:dyDescent="0.25">
      <c r="A221" s="4" t="s">
        <v>70</v>
      </c>
      <c r="B221">
        <v>7172012006001300</v>
      </c>
      <c r="C221">
        <v>76</v>
      </c>
      <c r="D221">
        <v>0</v>
      </c>
      <c r="E221">
        <v>0</v>
      </c>
      <c r="F221">
        <v>0</v>
      </c>
      <c r="G221">
        <v>76</v>
      </c>
      <c r="H221">
        <v>0</v>
      </c>
      <c r="I221">
        <v>0</v>
      </c>
      <c r="J221">
        <v>0</v>
      </c>
      <c r="K221">
        <v>0</v>
      </c>
    </row>
    <row r="222" spans="1:11" x14ac:dyDescent="0.25">
      <c r="A222" s="4" t="s">
        <v>70</v>
      </c>
      <c r="B222">
        <v>7172012006000902</v>
      </c>
      <c r="C222">
        <v>75</v>
      </c>
      <c r="D222">
        <v>0</v>
      </c>
      <c r="E222">
        <v>0</v>
      </c>
      <c r="F222">
        <v>0</v>
      </c>
      <c r="G222">
        <v>75</v>
      </c>
      <c r="H222">
        <v>0</v>
      </c>
      <c r="I222">
        <v>0</v>
      </c>
      <c r="J222">
        <v>0</v>
      </c>
      <c r="K222">
        <v>0</v>
      </c>
    </row>
    <row r="223" spans="1:11" x14ac:dyDescent="0.25">
      <c r="A223" s="4" t="s">
        <v>70</v>
      </c>
      <c r="B223">
        <v>7172012006001000</v>
      </c>
      <c r="C223">
        <v>71</v>
      </c>
      <c r="D223">
        <v>0</v>
      </c>
      <c r="E223">
        <v>0</v>
      </c>
      <c r="F223">
        <v>0</v>
      </c>
      <c r="G223">
        <v>66</v>
      </c>
      <c r="H223">
        <v>0</v>
      </c>
      <c r="I223">
        <v>0</v>
      </c>
      <c r="J223">
        <v>5</v>
      </c>
      <c r="K223">
        <v>0</v>
      </c>
    </row>
    <row r="224" spans="1:11" x14ac:dyDescent="0.25">
      <c r="A224" s="4" t="s">
        <v>70</v>
      </c>
      <c r="B224">
        <v>7172012006001200</v>
      </c>
      <c r="C224">
        <v>70</v>
      </c>
      <c r="D224">
        <v>0</v>
      </c>
      <c r="E224">
        <v>1</v>
      </c>
      <c r="F224">
        <v>0</v>
      </c>
      <c r="G224">
        <v>69</v>
      </c>
      <c r="H224">
        <v>0</v>
      </c>
      <c r="I224">
        <v>0</v>
      </c>
      <c r="J224">
        <v>0</v>
      </c>
      <c r="K224">
        <v>0</v>
      </c>
    </row>
    <row r="225" spans="1:11" x14ac:dyDescent="0.25">
      <c r="A225" s="4" t="s">
        <v>70</v>
      </c>
      <c r="B225">
        <v>7172012006000903</v>
      </c>
      <c r="C225">
        <v>66</v>
      </c>
      <c r="D225">
        <v>0</v>
      </c>
      <c r="E225">
        <v>0</v>
      </c>
      <c r="F225">
        <v>0</v>
      </c>
      <c r="G225">
        <v>66</v>
      </c>
      <c r="H225">
        <v>0</v>
      </c>
      <c r="I225">
        <v>0</v>
      </c>
      <c r="J225">
        <v>0</v>
      </c>
      <c r="K225">
        <v>0</v>
      </c>
    </row>
    <row r="226" spans="1:11" x14ac:dyDescent="0.25">
      <c r="A226" s="4" t="s">
        <v>70</v>
      </c>
      <c r="B226">
        <v>7172012006001100</v>
      </c>
      <c r="C226">
        <v>50</v>
      </c>
      <c r="D226">
        <v>6</v>
      </c>
      <c r="E226">
        <v>0</v>
      </c>
      <c r="F226">
        <v>0</v>
      </c>
      <c r="G226">
        <v>0</v>
      </c>
      <c r="H226">
        <v>2</v>
      </c>
      <c r="I226">
        <v>0</v>
      </c>
      <c r="J226">
        <v>42</v>
      </c>
      <c r="K226">
        <v>0</v>
      </c>
    </row>
    <row r="227" spans="1:11" x14ac:dyDescent="0.25">
      <c r="A227" s="4" t="s">
        <v>67</v>
      </c>
      <c r="B227">
        <v>7172012005001400</v>
      </c>
      <c r="C227">
        <v>114</v>
      </c>
      <c r="D227">
        <v>0</v>
      </c>
      <c r="E227">
        <v>0</v>
      </c>
      <c r="F227">
        <v>0</v>
      </c>
      <c r="G227">
        <v>114</v>
      </c>
      <c r="H227">
        <v>0</v>
      </c>
      <c r="I227">
        <v>0</v>
      </c>
      <c r="J227">
        <v>0</v>
      </c>
      <c r="K227">
        <v>0</v>
      </c>
    </row>
    <row r="228" spans="1:11" x14ac:dyDescent="0.25">
      <c r="A228" s="4" t="s">
        <v>67</v>
      </c>
      <c r="B228">
        <v>7172012005001500</v>
      </c>
      <c r="C228">
        <v>102</v>
      </c>
      <c r="D228">
        <v>0</v>
      </c>
      <c r="E228">
        <v>0</v>
      </c>
      <c r="F228">
        <v>0</v>
      </c>
      <c r="G228">
        <v>102</v>
      </c>
      <c r="H228">
        <v>0</v>
      </c>
      <c r="I228">
        <v>0</v>
      </c>
      <c r="J228">
        <v>0</v>
      </c>
      <c r="K228">
        <v>0</v>
      </c>
    </row>
    <row r="229" spans="1:11" x14ac:dyDescent="0.25">
      <c r="A229" s="4" t="s">
        <v>67</v>
      </c>
      <c r="B229">
        <v>7172012005001700</v>
      </c>
      <c r="C229">
        <v>85</v>
      </c>
      <c r="D229">
        <v>8</v>
      </c>
      <c r="E229">
        <v>3</v>
      </c>
      <c r="F229">
        <v>0</v>
      </c>
      <c r="G229">
        <v>53</v>
      </c>
      <c r="H229">
        <v>1</v>
      </c>
      <c r="I229">
        <v>0</v>
      </c>
      <c r="J229">
        <v>20</v>
      </c>
      <c r="K229">
        <v>0</v>
      </c>
    </row>
    <row r="230" spans="1:11" x14ac:dyDescent="0.25">
      <c r="A230" s="4" t="s">
        <v>67</v>
      </c>
      <c r="B230">
        <v>7172012005001800</v>
      </c>
      <c r="C230">
        <v>70</v>
      </c>
      <c r="D230">
        <v>1</v>
      </c>
      <c r="E230">
        <v>2</v>
      </c>
      <c r="F230">
        <v>0</v>
      </c>
      <c r="G230">
        <v>45</v>
      </c>
      <c r="H230">
        <v>1</v>
      </c>
      <c r="I230">
        <v>0</v>
      </c>
      <c r="J230">
        <v>21</v>
      </c>
      <c r="K230">
        <v>0</v>
      </c>
    </row>
    <row r="231" spans="1:11" x14ac:dyDescent="0.25">
      <c r="A231" s="4" t="s">
        <v>67</v>
      </c>
      <c r="B231">
        <v>7172012005001600</v>
      </c>
      <c r="C231">
        <v>58</v>
      </c>
      <c r="D231">
        <v>4</v>
      </c>
      <c r="E231">
        <v>2</v>
      </c>
      <c r="F231">
        <v>0</v>
      </c>
      <c r="G231">
        <v>6</v>
      </c>
      <c r="H231">
        <v>6</v>
      </c>
      <c r="I231">
        <v>0</v>
      </c>
      <c r="J231">
        <v>40</v>
      </c>
      <c r="K231">
        <v>0</v>
      </c>
    </row>
    <row r="232" spans="1:11" x14ac:dyDescent="0.25">
      <c r="A232" s="4" t="s">
        <v>67</v>
      </c>
      <c r="B232">
        <v>7172012005001300</v>
      </c>
      <c r="C232">
        <v>54</v>
      </c>
      <c r="D232">
        <v>7</v>
      </c>
      <c r="E232">
        <v>4</v>
      </c>
      <c r="F232">
        <v>0</v>
      </c>
      <c r="G232">
        <v>2</v>
      </c>
      <c r="H232">
        <v>2</v>
      </c>
      <c r="I232">
        <v>0</v>
      </c>
      <c r="J232">
        <v>39</v>
      </c>
      <c r="K232">
        <v>0</v>
      </c>
    </row>
    <row r="233" spans="1:11" x14ac:dyDescent="0.25">
      <c r="A233" s="4" t="s">
        <v>67</v>
      </c>
      <c r="B233">
        <v>7172012005001200</v>
      </c>
      <c r="C233">
        <v>52</v>
      </c>
      <c r="D233">
        <v>0</v>
      </c>
      <c r="E233">
        <v>10</v>
      </c>
      <c r="F233">
        <v>0</v>
      </c>
      <c r="G233">
        <v>41</v>
      </c>
      <c r="H233">
        <v>0</v>
      </c>
      <c r="I233">
        <v>0</v>
      </c>
      <c r="J233">
        <v>1</v>
      </c>
      <c r="K233">
        <v>0</v>
      </c>
    </row>
    <row r="234" spans="1:11" x14ac:dyDescent="0.25">
      <c r="A234" s="4" t="s">
        <v>67</v>
      </c>
      <c r="B234">
        <v>7172012005000800</v>
      </c>
      <c r="C234">
        <v>39</v>
      </c>
      <c r="D234">
        <v>0</v>
      </c>
      <c r="E234">
        <v>0</v>
      </c>
      <c r="F234">
        <v>0</v>
      </c>
      <c r="G234">
        <v>8</v>
      </c>
      <c r="H234">
        <v>0</v>
      </c>
      <c r="I234">
        <v>0</v>
      </c>
      <c r="J234">
        <v>31</v>
      </c>
      <c r="K234">
        <v>0</v>
      </c>
    </row>
    <row r="235" spans="1:11" x14ac:dyDescent="0.25">
      <c r="A235" s="4" t="s">
        <v>67</v>
      </c>
      <c r="B235">
        <v>7172012005000700</v>
      </c>
      <c r="C235">
        <v>38</v>
      </c>
      <c r="D235">
        <v>18</v>
      </c>
      <c r="E235">
        <v>2</v>
      </c>
      <c r="F235">
        <v>0</v>
      </c>
      <c r="G235">
        <v>1</v>
      </c>
      <c r="H235">
        <v>0</v>
      </c>
      <c r="I235">
        <v>0</v>
      </c>
      <c r="J235">
        <v>17</v>
      </c>
      <c r="K235">
        <v>0</v>
      </c>
    </row>
    <row r="236" spans="1:11" x14ac:dyDescent="0.25">
      <c r="A236" s="4" t="s">
        <v>230</v>
      </c>
      <c r="B236">
        <v>7172012007000700</v>
      </c>
      <c r="C236">
        <v>167</v>
      </c>
      <c r="D236">
        <v>0</v>
      </c>
      <c r="E236">
        <v>0</v>
      </c>
      <c r="F236">
        <v>0</v>
      </c>
      <c r="G236">
        <v>167</v>
      </c>
      <c r="H236">
        <v>0</v>
      </c>
      <c r="I236">
        <v>0</v>
      </c>
      <c r="J236">
        <v>0</v>
      </c>
      <c r="K236">
        <v>0</v>
      </c>
    </row>
    <row r="237" spans="1:11" x14ac:dyDescent="0.25">
      <c r="A237" s="4" t="s">
        <v>230</v>
      </c>
      <c r="B237">
        <v>7172012007000600</v>
      </c>
      <c r="C237">
        <v>164</v>
      </c>
      <c r="D237">
        <v>0</v>
      </c>
      <c r="E237">
        <v>0</v>
      </c>
      <c r="F237">
        <v>0</v>
      </c>
      <c r="G237">
        <v>164</v>
      </c>
      <c r="H237">
        <v>0</v>
      </c>
      <c r="I237">
        <v>0</v>
      </c>
      <c r="J237">
        <v>0</v>
      </c>
      <c r="K237">
        <v>0</v>
      </c>
    </row>
    <row r="238" spans="1:11" x14ac:dyDescent="0.25">
      <c r="A238" s="4" t="s">
        <v>230</v>
      </c>
      <c r="B238">
        <v>7172012007000300</v>
      </c>
      <c r="C238">
        <v>134</v>
      </c>
      <c r="D238">
        <v>13</v>
      </c>
      <c r="E238">
        <v>14</v>
      </c>
      <c r="F238">
        <v>0</v>
      </c>
      <c r="G238">
        <v>20</v>
      </c>
      <c r="H238">
        <v>0</v>
      </c>
      <c r="I238">
        <v>0</v>
      </c>
      <c r="J238">
        <v>87</v>
      </c>
      <c r="K238">
        <v>0</v>
      </c>
    </row>
    <row r="239" spans="1:11" x14ac:dyDescent="0.25">
      <c r="A239" s="4" t="s">
        <v>230</v>
      </c>
      <c r="B239">
        <v>7172012007000200</v>
      </c>
      <c r="C239">
        <v>108</v>
      </c>
      <c r="D239">
        <v>0</v>
      </c>
      <c r="E239">
        <v>29</v>
      </c>
      <c r="F239">
        <v>0</v>
      </c>
      <c r="G239">
        <v>78</v>
      </c>
      <c r="H239">
        <v>0</v>
      </c>
      <c r="I239">
        <v>0</v>
      </c>
      <c r="J239">
        <v>1</v>
      </c>
      <c r="K239">
        <v>0</v>
      </c>
    </row>
    <row r="240" spans="1:11" x14ac:dyDescent="0.25">
      <c r="A240" s="4" t="s">
        <v>230</v>
      </c>
      <c r="B240">
        <v>7172012007000400</v>
      </c>
      <c r="C240">
        <v>89</v>
      </c>
      <c r="D240">
        <v>0</v>
      </c>
      <c r="E240">
        <v>0</v>
      </c>
      <c r="F240">
        <v>0</v>
      </c>
      <c r="G240">
        <v>89</v>
      </c>
      <c r="H240">
        <v>0</v>
      </c>
      <c r="I240">
        <v>0</v>
      </c>
      <c r="J240">
        <v>0</v>
      </c>
      <c r="K240">
        <v>0</v>
      </c>
    </row>
    <row r="241" spans="1:11" x14ac:dyDescent="0.25">
      <c r="A241" s="4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166</v>
      </c>
      <c r="H241">
        <v>0</v>
      </c>
      <c r="I241">
        <v>0</v>
      </c>
      <c r="J241">
        <v>0</v>
      </c>
      <c r="K241">
        <v>0</v>
      </c>
    </row>
    <row r="242" spans="1:11" x14ac:dyDescent="0.25">
      <c r="A242" s="4" t="s">
        <v>72</v>
      </c>
      <c r="B242">
        <v>7172012007000800</v>
      </c>
      <c r="C242">
        <v>129</v>
      </c>
      <c r="D242">
        <v>0</v>
      </c>
      <c r="E242">
        <v>20</v>
      </c>
      <c r="F242">
        <v>0</v>
      </c>
      <c r="G242">
        <v>107</v>
      </c>
      <c r="H242">
        <v>0</v>
      </c>
      <c r="I242">
        <v>0</v>
      </c>
      <c r="J242">
        <v>2</v>
      </c>
      <c r="K242">
        <v>0</v>
      </c>
    </row>
    <row r="243" spans="1:11" x14ac:dyDescent="0.25">
      <c r="A243" s="4" t="s">
        <v>72</v>
      </c>
      <c r="B243">
        <v>7172012007000900</v>
      </c>
      <c r="C243">
        <v>119</v>
      </c>
      <c r="D243">
        <v>9</v>
      </c>
      <c r="E243">
        <v>8</v>
      </c>
      <c r="F243">
        <v>0</v>
      </c>
      <c r="G243">
        <v>2</v>
      </c>
      <c r="H243">
        <v>7</v>
      </c>
      <c r="I243">
        <v>0</v>
      </c>
      <c r="J243">
        <v>93</v>
      </c>
      <c r="K243">
        <v>0</v>
      </c>
    </row>
    <row r="244" spans="1:11" x14ac:dyDescent="0.25">
      <c r="A244" s="4" t="s">
        <v>72</v>
      </c>
      <c r="B244">
        <v>7172012007000500</v>
      </c>
      <c r="C244">
        <v>91</v>
      </c>
      <c r="D244">
        <v>0</v>
      </c>
      <c r="E244">
        <v>22</v>
      </c>
      <c r="F244">
        <v>0</v>
      </c>
      <c r="G244">
        <v>57</v>
      </c>
      <c r="H244">
        <v>1</v>
      </c>
      <c r="I244">
        <v>0</v>
      </c>
      <c r="J244">
        <v>11</v>
      </c>
      <c r="K244">
        <v>0</v>
      </c>
    </row>
    <row r="245" spans="1:11" x14ac:dyDescent="0.25">
      <c r="A245" s="4" t="s">
        <v>72</v>
      </c>
      <c r="B245">
        <v>7172012007001000</v>
      </c>
      <c r="C245">
        <v>84</v>
      </c>
      <c r="D245">
        <v>0</v>
      </c>
      <c r="E245">
        <v>0</v>
      </c>
      <c r="F245">
        <v>0</v>
      </c>
      <c r="G245">
        <v>84</v>
      </c>
      <c r="H245">
        <v>0</v>
      </c>
      <c r="I245">
        <v>0</v>
      </c>
      <c r="J245">
        <v>0</v>
      </c>
      <c r="K245">
        <v>0</v>
      </c>
    </row>
    <row r="246" spans="1:11" x14ac:dyDescent="0.25">
      <c r="A246" s="4" t="s">
        <v>75</v>
      </c>
      <c r="B246">
        <v>7172021003000800</v>
      </c>
      <c r="C246">
        <v>99</v>
      </c>
      <c r="D246">
        <v>14</v>
      </c>
      <c r="E246">
        <v>18</v>
      </c>
      <c r="F246">
        <v>0</v>
      </c>
      <c r="G246">
        <v>62</v>
      </c>
      <c r="H246">
        <v>0</v>
      </c>
      <c r="I246">
        <v>0</v>
      </c>
      <c r="J246">
        <v>5</v>
      </c>
      <c r="K246">
        <v>0</v>
      </c>
    </row>
    <row r="247" spans="1:11" x14ac:dyDescent="0.25">
      <c r="A247" s="4" t="s">
        <v>75</v>
      </c>
      <c r="B247">
        <v>7172021003001100</v>
      </c>
      <c r="C247">
        <v>91</v>
      </c>
      <c r="D247">
        <v>0</v>
      </c>
      <c r="E247">
        <v>0</v>
      </c>
      <c r="F247">
        <v>0</v>
      </c>
      <c r="G247">
        <v>91</v>
      </c>
      <c r="H247">
        <v>0</v>
      </c>
      <c r="I247">
        <v>0</v>
      </c>
      <c r="J247">
        <v>0</v>
      </c>
      <c r="K247">
        <v>0</v>
      </c>
    </row>
    <row r="248" spans="1:11" x14ac:dyDescent="0.25">
      <c r="A248" s="4" t="s">
        <v>75</v>
      </c>
      <c r="B248">
        <v>7172021006000100</v>
      </c>
      <c r="C248">
        <v>90</v>
      </c>
      <c r="D248">
        <v>7</v>
      </c>
      <c r="E248">
        <v>0</v>
      </c>
      <c r="F248">
        <v>0</v>
      </c>
      <c r="G248">
        <v>83</v>
      </c>
      <c r="H248">
        <v>0</v>
      </c>
      <c r="I248">
        <v>0</v>
      </c>
      <c r="J248">
        <v>0</v>
      </c>
      <c r="K248">
        <v>0</v>
      </c>
    </row>
    <row r="249" spans="1:11" x14ac:dyDescent="0.25">
      <c r="A249" s="4" t="s">
        <v>75</v>
      </c>
      <c r="B249">
        <v>7172021003001000</v>
      </c>
      <c r="C249">
        <v>62</v>
      </c>
      <c r="D249">
        <v>16</v>
      </c>
      <c r="E249">
        <v>22</v>
      </c>
      <c r="F249">
        <v>0</v>
      </c>
      <c r="G249">
        <v>2</v>
      </c>
      <c r="H249">
        <v>0</v>
      </c>
      <c r="I249">
        <v>0</v>
      </c>
      <c r="J249">
        <v>22</v>
      </c>
      <c r="K249">
        <v>0</v>
      </c>
    </row>
    <row r="250" spans="1:11" x14ac:dyDescent="0.25">
      <c r="A250" s="4" t="s">
        <v>75</v>
      </c>
      <c r="B250">
        <v>7172021003000900</v>
      </c>
      <c r="C250">
        <v>57</v>
      </c>
      <c r="D250">
        <v>3</v>
      </c>
      <c r="E250">
        <v>0</v>
      </c>
      <c r="F250">
        <v>0</v>
      </c>
      <c r="G250">
        <v>54</v>
      </c>
      <c r="H250">
        <v>0</v>
      </c>
      <c r="I250">
        <v>0</v>
      </c>
      <c r="J250">
        <v>0</v>
      </c>
      <c r="K250">
        <v>0</v>
      </c>
    </row>
    <row r="251" spans="1:11" x14ac:dyDescent="0.25">
      <c r="A251" s="4" t="s">
        <v>75</v>
      </c>
      <c r="B251">
        <v>7172021002000400</v>
      </c>
      <c r="C251">
        <v>38</v>
      </c>
      <c r="D251">
        <v>10</v>
      </c>
      <c r="E251">
        <v>13</v>
      </c>
      <c r="F251">
        <v>0</v>
      </c>
      <c r="G251">
        <v>1</v>
      </c>
      <c r="H251">
        <v>1</v>
      </c>
      <c r="I251">
        <v>0</v>
      </c>
      <c r="J251">
        <v>13</v>
      </c>
      <c r="K251">
        <v>0</v>
      </c>
    </row>
    <row r="252" spans="1:11" x14ac:dyDescent="0.25">
      <c r="A252" s="4" t="s">
        <v>75</v>
      </c>
      <c r="B252">
        <v>7172021006000700</v>
      </c>
      <c r="C252">
        <v>25</v>
      </c>
      <c r="D252">
        <v>1</v>
      </c>
      <c r="E252">
        <v>0</v>
      </c>
      <c r="F252">
        <v>0</v>
      </c>
      <c r="G252">
        <v>24</v>
      </c>
      <c r="H252">
        <v>0</v>
      </c>
      <c r="I252">
        <v>0</v>
      </c>
      <c r="J252">
        <v>0</v>
      </c>
      <c r="K252">
        <v>0</v>
      </c>
    </row>
    <row r="253" spans="1:11" x14ac:dyDescent="0.25">
      <c r="A253" s="4" t="s">
        <v>231</v>
      </c>
      <c r="B253">
        <v>7172021003000100</v>
      </c>
      <c r="C253">
        <v>102</v>
      </c>
      <c r="D253">
        <v>19</v>
      </c>
      <c r="E253">
        <v>7</v>
      </c>
      <c r="F253">
        <v>0</v>
      </c>
      <c r="G253">
        <v>76</v>
      </c>
      <c r="H253">
        <v>0</v>
      </c>
      <c r="I253">
        <v>0</v>
      </c>
      <c r="J253">
        <v>0</v>
      </c>
      <c r="K253">
        <v>0</v>
      </c>
    </row>
    <row r="254" spans="1:11" x14ac:dyDescent="0.25">
      <c r="A254" s="4" t="s">
        <v>231</v>
      </c>
      <c r="B254">
        <v>7172021002000600</v>
      </c>
      <c r="C254">
        <v>70</v>
      </c>
      <c r="D254">
        <v>13</v>
      </c>
      <c r="E254">
        <v>6</v>
      </c>
      <c r="F254">
        <v>0</v>
      </c>
      <c r="G254">
        <v>2</v>
      </c>
      <c r="H254">
        <v>0</v>
      </c>
      <c r="I254">
        <v>0</v>
      </c>
      <c r="J254">
        <v>49</v>
      </c>
      <c r="K254">
        <v>0</v>
      </c>
    </row>
    <row r="255" spans="1:11" x14ac:dyDescent="0.25">
      <c r="A255" s="4" t="s">
        <v>231</v>
      </c>
      <c r="B255">
        <v>7172021003001200</v>
      </c>
      <c r="C255">
        <v>69</v>
      </c>
      <c r="D255">
        <v>12</v>
      </c>
      <c r="E255">
        <v>0</v>
      </c>
      <c r="F255">
        <v>0</v>
      </c>
      <c r="G255">
        <v>57</v>
      </c>
      <c r="H255">
        <v>0</v>
      </c>
      <c r="I255">
        <v>0</v>
      </c>
      <c r="J255">
        <v>0</v>
      </c>
      <c r="K255">
        <v>0</v>
      </c>
    </row>
    <row r="256" spans="1:11" x14ac:dyDescent="0.25">
      <c r="A256" s="4" t="s">
        <v>231</v>
      </c>
      <c r="B256">
        <v>7172021003000300</v>
      </c>
      <c r="C256">
        <v>67</v>
      </c>
      <c r="D256">
        <v>6</v>
      </c>
      <c r="E256">
        <v>0</v>
      </c>
      <c r="F256">
        <v>0</v>
      </c>
      <c r="G256">
        <v>61</v>
      </c>
      <c r="H256">
        <v>0</v>
      </c>
      <c r="I256">
        <v>0</v>
      </c>
      <c r="J256">
        <v>0</v>
      </c>
      <c r="K256">
        <v>0</v>
      </c>
    </row>
    <row r="257" spans="1:11" x14ac:dyDescent="0.25">
      <c r="A257" s="4" t="s">
        <v>231</v>
      </c>
      <c r="B257">
        <v>7172021006001900</v>
      </c>
      <c r="C257">
        <v>67</v>
      </c>
      <c r="D257">
        <v>7</v>
      </c>
      <c r="E257">
        <v>5</v>
      </c>
      <c r="F257">
        <v>0</v>
      </c>
      <c r="G257">
        <v>55</v>
      </c>
      <c r="H257">
        <v>0</v>
      </c>
      <c r="I257">
        <v>0</v>
      </c>
      <c r="J257">
        <v>0</v>
      </c>
      <c r="K257">
        <v>0</v>
      </c>
    </row>
    <row r="258" spans="1:11" x14ac:dyDescent="0.25">
      <c r="A258" s="4" t="s">
        <v>231</v>
      </c>
      <c r="B258">
        <v>7172021006002000</v>
      </c>
      <c r="C258">
        <v>55</v>
      </c>
      <c r="D258">
        <v>16</v>
      </c>
      <c r="E258">
        <v>1</v>
      </c>
      <c r="F258">
        <v>0</v>
      </c>
      <c r="G258">
        <v>30</v>
      </c>
      <c r="H258">
        <v>0</v>
      </c>
      <c r="I258">
        <v>0</v>
      </c>
      <c r="J258">
        <v>8</v>
      </c>
      <c r="K258">
        <v>0</v>
      </c>
    </row>
    <row r="259" spans="1:11" x14ac:dyDescent="0.25">
      <c r="A259" s="4" t="s">
        <v>231</v>
      </c>
      <c r="B259">
        <v>7172021006002100</v>
      </c>
      <c r="C259">
        <v>52</v>
      </c>
      <c r="D259">
        <v>5</v>
      </c>
      <c r="E259">
        <v>0</v>
      </c>
      <c r="F259">
        <v>0</v>
      </c>
      <c r="G259">
        <v>47</v>
      </c>
      <c r="H259">
        <v>0</v>
      </c>
      <c r="I259">
        <v>0</v>
      </c>
      <c r="J259">
        <v>0</v>
      </c>
      <c r="K259">
        <v>0</v>
      </c>
    </row>
    <row r="260" spans="1:11" x14ac:dyDescent="0.25">
      <c r="A260" s="4" t="s">
        <v>74</v>
      </c>
      <c r="B260">
        <v>7172021002000500</v>
      </c>
      <c r="C260">
        <v>100</v>
      </c>
      <c r="D260">
        <v>21</v>
      </c>
      <c r="E260">
        <v>12</v>
      </c>
      <c r="F260">
        <v>0</v>
      </c>
      <c r="G260">
        <v>59</v>
      </c>
      <c r="H260">
        <v>0</v>
      </c>
      <c r="I260">
        <v>0</v>
      </c>
      <c r="J260">
        <v>8</v>
      </c>
      <c r="K260">
        <v>0</v>
      </c>
    </row>
    <row r="261" spans="1:11" x14ac:dyDescent="0.25">
      <c r="A261" s="4" t="s">
        <v>74</v>
      </c>
      <c r="B261">
        <v>7172021002000200</v>
      </c>
      <c r="C261">
        <v>78</v>
      </c>
      <c r="D261">
        <v>22</v>
      </c>
      <c r="E261">
        <v>14</v>
      </c>
      <c r="F261">
        <v>0</v>
      </c>
      <c r="G261">
        <v>42</v>
      </c>
      <c r="H261">
        <v>0</v>
      </c>
      <c r="I261">
        <v>0</v>
      </c>
      <c r="J261">
        <v>0</v>
      </c>
      <c r="K261">
        <v>0</v>
      </c>
    </row>
    <row r="262" spans="1:11" x14ac:dyDescent="0.25">
      <c r="A262" s="4" t="s">
        <v>74</v>
      </c>
      <c r="B262">
        <v>7172021002000300</v>
      </c>
      <c r="C262">
        <v>76</v>
      </c>
      <c r="D262">
        <v>0</v>
      </c>
      <c r="E262">
        <v>0</v>
      </c>
      <c r="F262">
        <v>0</v>
      </c>
      <c r="G262">
        <v>76</v>
      </c>
      <c r="H262">
        <v>0</v>
      </c>
      <c r="I262">
        <v>0</v>
      </c>
      <c r="J262">
        <v>0</v>
      </c>
      <c r="K262">
        <v>0</v>
      </c>
    </row>
    <row r="263" spans="1:11" x14ac:dyDescent="0.25">
      <c r="A263" s="4" t="s">
        <v>74</v>
      </c>
      <c r="B263">
        <v>7172021001000300</v>
      </c>
      <c r="C263">
        <v>63</v>
      </c>
      <c r="D263">
        <v>0</v>
      </c>
      <c r="E263">
        <v>0</v>
      </c>
      <c r="F263">
        <v>0</v>
      </c>
      <c r="G263">
        <v>63</v>
      </c>
      <c r="H263">
        <v>0</v>
      </c>
      <c r="I263">
        <v>0</v>
      </c>
      <c r="J263">
        <v>0</v>
      </c>
      <c r="K263">
        <v>0</v>
      </c>
    </row>
    <row r="264" spans="1:11" x14ac:dyDescent="0.25">
      <c r="A264" s="4" t="s">
        <v>74</v>
      </c>
      <c r="B264">
        <v>7172021002000100</v>
      </c>
      <c r="C264">
        <v>55</v>
      </c>
      <c r="D264">
        <v>0</v>
      </c>
      <c r="E264">
        <v>0</v>
      </c>
      <c r="F264">
        <v>0</v>
      </c>
      <c r="G264">
        <v>55</v>
      </c>
      <c r="H264">
        <v>0</v>
      </c>
      <c r="I264">
        <v>0</v>
      </c>
      <c r="J264">
        <v>0</v>
      </c>
      <c r="K264">
        <v>0</v>
      </c>
    </row>
    <row r="265" spans="1:11" x14ac:dyDescent="0.25">
      <c r="A265" s="4" t="s">
        <v>74</v>
      </c>
      <c r="B265">
        <v>7172021001000400</v>
      </c>
      <c r="C265">
        <v>41</v>
      </c>
      <c r="D265">
        <v>18</v>
      </c>
      <c r="E265">
        <v>8</v>
      </c>
      <c r="F265">
        <v>0</v>
      </c>
      <c r="G265">
        <v>2</v>
      </c>
      <c r="H265">
        <v>0</v>
      </c>
      <c r="I265">
        <v>0</v>
      </c>
      <c r="J265">
        <v>13</v>
      </c>
      <c r="K265">
        <v>0</v>
      </c>
    </row>
    <row r="266" spans="1:11" x14ac:dyDescent="0.25">
      <c r="A266" s="4" t="s">
        <v>74</v>
      </c>
      <c r="B266">
        <v>7172021001000200</v>
      </c>
      <c r="C266">
        <v>36</v>
      </c>
      <c r="D266">
        <v>0</v>
      </c>
      <c r="E266">
        <v>0</v>
      </c>
      <c r="F266">
        <v>0</v>
      </c>
      <c r="G266">
        <v>36</v>
      </c>
      <c r="H266">
        <v>0</v>
      </c>
      <c r="I266">
        <v>0</v>
      </c>
      <c r="J266">
        <v>0</v>
      </c>
      <c r="K266">
        <v>0</v>
      </c>
    </row>
    <row r="267" spans="1:11" x14ac:dyDescent="0.25">
      <c r="A267" s="4" t="s">
        <v>74</v>
      </c>
      <c r="B267">
        <v>7172021001000100</v>
      </c>
      <c r="C267">
        <v>32</v>
      </c>
      <c r="D267">
        <v>9</v>
      </c>
      <c r="E267">
        <v>10</v>
      </c>
      <c r="F267">
        <v>0</v>
      </c>
      <c r="G267">
        <v>13</v>
      </c>
      <c r="H267">
        <v>0</v>
      </c>
      <c r="I267">
        <v>0</v>
      </c>
      <c r="J267">
        <v>0</v>
      </c>
      <c r="K267">
        <v>0</v>
      </c>
    </row>
    <row r="268" spans="1:11" x14ac:dyDescent="0.25">
      <c r="A268" s="4" t="s">
        <v>78</v>
      </c>
      <c r="B268">
        <v>7172021005000100</v>
      </c>
      <c r="C268">
        <v>97</v>
      </c>
      <c r="D268">
        <v>15</v>
      </c>
      <c r="E268">
        <v>8</v>
      </c>
      <c r="F268">
        <v>0</v>
      </c>
      <c r="G268">
        <v>23</v>
      </c>
      <c r="H268">
        <v>0</v>
      </c>
      <c r="I268">
        <v>0</v>
      </c>
      <c r="J268">
        <v>51</v>
      </c>
      <c r="K268">
        <v>0</v>
      </c>
    </row>
    <row r="269" spans="1:11" x14ac:dyDescent="0.25">
      <c r="A269" s="4" t="s">
        <v>78</v>
      </c>
      <c r="B269">
        <v>7172021004000500</v>
      </c>
      <c r="C269">
        <v>96</v>
      </c>
      <c r="D269">
        <v>1</v>
      </c>
      <c r="E269">
        <v>0</v>
      </c>
      <c r="F269">
        <v>0</v>
      </c>
      <c r="G269">
        <v>95</v>
      </c>
      <c r="H269">
        <v>0</v>
      </c>
      <c r="I269">
        <v>0</v>
      </c>
      <c r="J269">
        <v>0</v>
      </c>
      <c r="K269">
        <v>0</v>
      </c>
    </row>
    <row r="270" spans="1:11" x14ac:dyDescent="0.25">
      <c r="A270" s="4" t="s">
        <v>78</v>
      </c>
      <c r="B270">
        <v>7172021004000600</v>
      </c>
      <c r="C270">
        <v>77</v>
      </c>
      <c r="D270">
        <v>3</v>
      </c>
      <c r="E270">
        <v>0</v>
      </c>
      <c r="F270">
        <v>0</v>
      </c>
      <c r="G270">
        <v>74</v>
      </c>
      <c r="H270">
        <v>0</v>
      </c>
      <c r="I270">
        <v>0</v>
      </c>
      <c r="J270">
        <v>0</v>
      </c>
      <c r="K270">
        <v>0</v>
      </c>
    </row>
    <row r="271" spans="1:11" x14ac:dyDescent="0.25">
      <c r="A271" s="4" t="s">
        <v>78</v>
      </c>
      <c r="B271">
        <v>7172021004000200</v>
      </c>
      <c r="C271">
        <v>74</v>
      </c>
      <c r="D271">
        <v>2</v>
      </c>
      <c r="E271">
        <v>0</v>
      </c>
      <c r="F271">
        <v>0</v>
      </c>
      <c r="G271">
        <v>72</v>
      </c>
      <c r="H271">
        <v>0</v>
      </c>
      <c r="I271">
        <v>0</v>
      </c>
      <c r="J271">
        <v>0</v>
      </c>
      <c r="K271">
        <v>0</v>
      </c>
    </row>
    <row r="272" spans="1:11" x14ac:dyDescent="0.25">
      <c r="A272" s="4" t="s">
        <v>78</v>
      </c>
      <c r="B272">
        <v>7172021004000400</v>
      </c>
      <c r="C272">
        <v>73</v>
      </c>
      <c r="D272">
        <v>7</v>
      </c>
      <c r="E272">
        <v>0</v>
      </c>
      <c r="F272">
        <v>0</v>
      </c>
      <c r="G272">
        <v>66</v>
      </c>
      <c r="H272">
        <v>0</v>
      </c>
      <c r="I272">
        <v>0</v>
      </c>
      <c r="J272">
        <v>0</v>
      </c>
      <c r="K272">
        <v>0</v>
      </c>
    </row>
    <row r="273" spans="1:11" x14ac:dyDescent="0.25">
      <c r="A273" s="4" t="s">
        <v>78</v>
      </c>
      <c r="B273">
        <v>7172021004000100</v>
      </c>
      <c r="C273">
        <v>65</v>
      </c>
      <c r="D273">
        <v>2</v>
      </c>
      <c r="E273">
        <v>10</v>
      </c>
      <c r="F273">
        <v>0</v>
      </c>
      <c r="G273">
        <v>28</v>
      </c>
      <c r="H273">
        <v>0</v>
      </c>
      <c r="I273">
        <v>0</v>
      </c>
      <c r="J273">
        <v>25</v>
      </c>
      <c r="K273">
        <v>0</v>
      </c>
    </row>
    <row r="274" spans="1:11" x14ac:dyDescent="0.25">
      <c r="A274" s="4" t="s">
        <v>78</v>
      </c>
      <c r="B274">
        <v>7172021004000300</v>
      </c>
      <c r="C274">
        <v>49</v>
      </c>
      <c r="D274">
        <v>7</v>
      </c>
      <c r="E274">
        <v>0</v>
      </c>
      <c r="F274">
        <v>0</v>
      </c>
      <c r="G274">
        <v>41</v>
      </c>
      <c r="H274">
        <v>0</v>
      </c>
      <c r="I274">
        <v>0</v>
      </c>
      <c r="J274">
        <v>1</v>
      </c>
      <c r="K274">
        <v>0</v>
      </c>
    </row>
    <row r="275" spans="1:11" x14ac:dyDescent="0.25">
      <c r="A275" s="4" t="s">
        <v>79</v>
      </c>
      <c r="B275">
        <v>7172021006000200</v>
      </c>
      <c r="C275">
        <v>83</v>
      </c>
      <c r="D275">
        <v>28</v>
      </c>
      <c r="E275">
        <v>6</v>
      </c>
      <c r="F275">
        <v>0</v>
      </c>
      <c r="G275">
        <v>25</v>
      </c>
      <c r="H275">
        <v>0</v>
      </c>
      <c r="I275">
        <v>0</v>
      </c>
      <c r="J275">
        <v>24</v>
      </c>
      <c r="K275">
        <v>0</v>
      </c>
    </row>
    <row r="276" spans="1:11" x14ac:dyDescent="0.25">
      <c r="A276" s="4" t="s">
        <v>79</v>
      </c>
      <c r="B276">
        <v>7172021006000300</v>
      </c>
      <c r="C276">
        <v>82</v>
      </c>
      <c r="D276">
        <v>13</v>
      </c>
      <c r="E276">
        <v>6</v>
      </c>
      <c r="F276">
        <v>0</v>
      </c>
      <c r="G276">
        <v>62</v>
      </c>
      <c r="H276">
        <v>0</v>
      </c>
      <c r="I276">
        <v>0</v>
      </c>
      <c r="J276">
        <v>1</v>
      </c>
      <c r="K276">
        <v>0</v>
      </c>
    </row>
    <row r="277" spans="1:11" x14ac:dyDescent="0.25">
      <c r="A277" s="4" t="s">
        <v>79</v>
      </c>
      <c r="B277">
        <v>7172021005000200</v>
      </c>
      <c r="C277">
        <v>79</v>
      </c>
      <c r="D277">
        <v>6</v>
      </c>
      <c r="E277">
        <v>14</v>
      </c>
      <c r="F277">
        <v>0</v>
      </c>
      <c r="G277">
        <v>56</v>
      </c>
      <c r="H277">
        <v>0</v>
      </c>
      <c r="I277">
        <v>0</v>
      </c>
      <c r="J277">
        <v>3</v>
      </c>
      <c r="K277">
        <v>0</v>
      </c>
    </row>
    <row r="278" spans="1:11" x14ac:dyDescent="0.25">
      <c r="A278" s="4" t="s">
        <v>79</v>
      </c>
      <c r="B278">
        <v>7172021006000400</v>
      </c>
      <c r="C278">
        <v>74</v>
      </c>
      <c r="D278">
        <v>20</v>
      </c>
      <c r="E278">
        <v>4</v>
      </c>
      <c r="F278">
        <v>0</v>
      </c>
      <c r="G278">
        <v>38</v>
      </c>
      <c r="H278">
        <v>0</v>
      </c>
      <c r="I278">
        <v>0</v>
      </c>
      <c r="J278">
        <v>12</v>
      </c>
      <c r="K278">
        <v>0</v>
      </c>
    </row>
    <row r="279" spans="1:11" x14ac:dyDescent="0.25">
      <c r="A279" s="4" t="s">
        <v>79</v>
      </c>
      <c r="B279">
        <v>7172021005000300</v>
      </c>
      <c r="C279">
        <v>56</v>
      </c>
      <c r="D279">
        <v>2</v>
      </c>
      <c r="E279">
        <v>0</v>
      </c>
      <c r="F279">
        <v>0</v>
      </c>
      <c r="G279">
        <v>54</v>
      </c>
      <c r="H279">
        <v>0</v>
      </c>
      <c r="I279">
        <v>0</v>
      </c>
      <c r="J279">
        <v>0</v>
      </c>
      <c r="K279">
        <v>0</v>
      </c>
    </row>
    <row r="280" spans="1:11" x14ac:dyDescent="0.25">
      <c r="A280" s="4" t="s">
        <v>79</v>
      </c>
      <c r="B280">
        <v>7172021006000500</v>
      </c>
      <c r="C280">
        <v>48</v>
      </c>
      <c r="D280">
        <v>3</v>
      </c>
      <c r="E280">
        <v>0</v>
      </c>
      <c r="F280">
        <v>0</v>
      </c>
      <c r="G280">
        <v>45</v>
      </c>
      <c r="H280">
        <v>0</v>
      </c>
      <c r="I280">
        <v>0</v>
      </c>
      <c r="J280">
        <v>0</v>
      </c>
      <c r="K280">
        <v>0</v>
      </c>
    </row>
    <row r="281" spans="1:11" x14ac:dyDescent="0.25">
      <c r="A281" s="4" t="s">
        <v>79</v>
      </c>
      <c r="B281">
        <v>7172021006000600</v>
      </c>
      <c r="C281">
        <v>41</v>
      </c>
      <c r="D281">
        <v>5</v>
      </c>
      <c r="E281">
        <v>0</v>
      </c>
      <c r="F281">
        <v>0</v>
      </c>
      <c r="G281">
        <v>36</v>
      </c>
      <c r="H281">
        <v>0</v>
      </c>
      <c r="I281">
        <v>0</v>
      </c>
      <c r="J281">
        <v>0</v>
      </c>
      <c r="K281">
        <v>0</v>
      </c>
    </row>
    <row r="282" spans="1:11" x14ac:dyDescent="0.25">
      <c r="A282" s="4" t="s">
        <v>79</v>
      </c>
      <c r="B282">
        <v>7172021005000400</v>
      </c>
      <c r="C282">
        <v>19</v>
      </c>
      <c r="D282">
        <v>0</v>
      </c>
      <c r="E282">
        <v>0</v>
      </c>
      <c r="F282">
        <v>0</v>
      </c>
      <c r="G282">
        <v>18</v>
      </c>
      <c r="H282">
        <v>0</v>
      </c>
      <c r="I282">
        <v>0</v>
      </c>
      <c r="J282">
        <v>1</v>
      </c>
      <c r="K282">
        <v>0</v>
      </c>
    </row>
    <row r="283" spans="1:11" x14ac:dyDescent="0.25">
      <c r="A283" s="4" t="s">
        <v>232</v>
      </c>
      <c r="B283">
        <v>7172022001000800</v>
      </c>
      <c r="C283">
        <v>74</v>
      </c>
      <c r="D283">
        <v>2</v>
      </c>
      <c r="E283">
        <v>6</v>
      </c>
      <c r="F283">
        <v>0</v>
      </c>
      <c r="G283">
        <v>62</v>
      </c>
      <c r="H283">
        <v>0</v>
      </c>
      <c r="I283">
        <v>0</v>
      </c>
      <c r="J283">
        <v>4</v>
      </c>
      <c r="K283">
        <v>0</v>
      </c>
    </row>
    <row r="284" spans="1:11" x14ac:dyDescent="0.25">
      <c r="A284" s="4" t="s">
        <v>232</v>
      </c>
      <c r="B284">
        <v>7172022001000900</v>
      </c>
      <c r="C284">
        <v>64</v>
      </c>
      <c r="D284">
        <v>0</v>
      </c>
      <c r="E284">
        <v>0</v>
      </c>
      <c r="F284">
        <v>0</v>
      </c>
      <c r="G284">
        <v>64</v>
      </c>
      <c r="H284">
        <v>0</v>
      </c>
      <c r="I284">
        <v>0</v>
      </c>
      <c r="J284">
        <v>0</v>
      </c>
      <c r="K284">
        <v>0</v>
      </c>
    </row>
    <row r="285" spans="1:11" x14ac:dyDescent="0.25">
      <c r="A285" s="4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57</v>
      </c>
      <c r="H285">
        <v>0</v>
      </c>
      <c r="I285">
        <v>0</v>
      </c>
      <c r="J285">
        <v>0</v>
      </c>
      <c r="K285">
        <v>0</v>
      </c>
    </row>
    <row r="286" spans="1:11" x14ac:dyDescent="0.25">
      <c r="A286" s="4" t="s">
        <v>232</v>
      </c>
      <c r="B286">
        <v>7172022001001100</v>
      </c>
      <c r="C286">
        <v>62</v>
      </c>
      <c r="D286">
        <v>9</v>
      </c>
      <c r="E286">
        <v>1</v>
      </c>
      <c r="F286">
        <v>0</v>
      </c>
      <c r="G286">
        <v>2</v>
      </c>
      <c r="H286">
        <v>0</v>
      </c>
      <c r="I286">
        <v>0</v>
      </c>
      <c r="J286">
        <v>50</v>
      </c>
      <c r="K286">
        <v>0</v>
      </c>
    </row>
    <row r="287" spans="1:11" x14ac:dyDescent="0.25">
      <c r="A287" s="4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59</v>
      </c>
      <c r="H287">
        <v>0</v>
      </c>
      <c r="I287">
        <v>0</v>
      </c>
      <c r="J287">
        <v>0</v>
      </c>
      <c r="K287">
        <v>0</v>
      </c>
    </row>
    <row r="288" spans="1:11" x14ac:dyDescent="0.25">
      <c r="A288" s="4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51</v>
      </c>
      <c r="H288">
        <v>0</v>
      </c>
      <c r="I288">
        <v>0</v>
      </c>
      <c r="J288">
        <v>0</v>
      </c>
      <c r="K288">
        <v>0</v>
      </c>
    </row>
    <row r="289" spans="1:11" x14ac:dyDescent="0.25">
      <c r="A289" s="4" t="s">
        <v>232</v>
      </c>
      <c r="B289">
        <v>7172022001001200</v>
      </c>
      <c r="C289">
        <v>48</v>
      </c>
      <c r="D289">
        <v>0</v>
      </c>
      <c r="E289">
        <v>0</v>
      </c>
      <c r="F289">
        <v>0</v>
      </c>
      <c r="G289">
        <v>47</v>
      </c>
      <c r="H289">
        <v>0</v>
      </c>
      <c r="I289">
        <v>0</v>
      </c>
      <c r="J289">
        <v>1</v>
      </c>
      <c r="K289">
        <v>0</v>
      </c>
    </row>
    <row r="290" spans="1:11" x14ac:dyDescent="0.25">
      <c r="A290" s="4" t="s">
        <v>89</v>
      </c>
      <c r="B290">
        <v>7172022009000100</v>
      </c>
      <c r="C290">
        <v>106</v>
      </c>
      <c r="D290">
        <v>0</v>
      </c>
      <c r="E290">
        <v>2</v>
      </c>
      <c r="F290">
        <v>0</v>
      </c>
      <c r="G290">
        <v>101</v>
      </c>
      <c r="H290">
        <v>3</v>
      </c>
      <c r="I290">
        <v>0</v>
      </c>
      <c r="J290">
        <v>0</v>
      </c>
      <c r="K290">
        <v>0</v>
      </c>
    </row>
    <row r="291" spans="1:11" x14ac:dyDescent="0.25">
      <c r="A291" s="4" t="s">
        <v>89</v>
      </c>
      <c r="B291">
        <v>7172022008000400</v>
      </c>
      <c r="C291">
        <v>96</v>
      </c>
      <c r="D291">
        <v>14</v>
      </c>
      <c r="E291">
        <v>15</v>
      </c>
      <c r="F291">
        <v>0</v>
      </c>
      <c r="G291">
        <v>15</v>
      </c>
      <c r="H291">
        <v>12</v>
      </c>
      <c r="I291">
        <v>0</v>
      </c>
      <c r="J291">
        <v>40</v>
      </c>
      <c r="K291">
        <v>0</v>
      </c>
    </row>
    <row r="292" spans="1:11" x14ac:dyDescent="0.25">
      <c r="A292" s="4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74</v>
      </c>
      <c r="H292">
        <v>0</v>
      </c>
      <c r="I292">
        <v>0</v>
      </c>
      <c r="J292">
        <v>0</v>
      </c>
      <c r="K292">
        <v>0</v>
      </c>
    </row>
    <row r="293" spans="1:11" x14ac:dyDescent="0.25">
      <c r="A293" s="4" t="s">
        <v>89</v>
      </c>
      <c r="B293">
        <v>7172022009000400</v>
      </c>
      <c r="C293">
        <v>57</v>
      </c>
      <c r="D293">
        <v>0</v>
      </c>
      <c r="E293">
        <v>6</v>
      </c>
      <c r="F293">
        <v>0</v>
      </c>
      <c r="G293">
        <v>47</v>
      </c>
      <c r="H293">
        <v>2</v>
      </c>
      <c r="I293">
        <v>0</v>
      </c>
      <c r="J293">
        <v>2</v>
      </c>
      <c r="K293">
        <v>0</v>
      </c>
    </row>
    <row r="294" spans="1:11" x14ac:dyDescent="0.25">
      <c r="A294" s="4" t="s">
        <v>89</v>
      </c>
      <c r="B294">
        <v>7172022008000500</v>
      </c>
      <c r="C294">
        <v>44</v>
      </c>
      <c r="D294">
        <v>0</v>
      </c>
      <c r="E294">
        <v>4</v>
      </c>
      <c r="F294">
        <v>0</v>
      </c>
      <c r="G294">
        <v>31</v>
      </c>
      <c r="H294">
        <v>0</v>
      </c>
      <c r="I294">
        <v>0</v>
      </c>
      <c r="J294">
        <v>9</v>
      </c>
      <c r="K294">
        <v>0</v>
      </c>
    </row>
    <row r="295" spans="1:11" x14ac:dyDescent="0.25">
      <c r="A295" s="4" t="s">
        <v>89</v>
      </c>
      <c r="B295">
        <v>7172022009000300</v>
      </c>
      <c r="C295">
        <v>39</v>
      </c>
      <c r="D295">
        <v>0</v>
      </c>
      <c r="E295">
        <v>4</v>
      </c>
      <c r="F295">
        <v>0</v>
      </c>
      <c r="G295">
        <v>16</v>
      </c>
      <c r="H295">
        <v>0</v>
      </c>
      <c r="I295">
        <v>0</v>
      </c>
      <c r="J295">
        <v>19</v>
      </c>
      <c r="K295">
        <v>0</v>
      </c>
    </row>
    <row r="296" spans="1:11" x14ac:dyDescent="0.25">
      <c r="A296" s="4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110</v>
      </c>
      <c r="H296">
        <v>0</v>
      </c>
      <c r="I296">
        <v>0</v>
      </c>
      <c r="J296">
        <v>0</v>
      </c>
      <c r="K296">
        <v>0</v>
      </c>
    </row>
    <row r="297" spans="1:11" x14ac:dyDescent="0.25">
      <c r="A297" s="4" t="s">
        <v>90</v>
      </c>
      <c r="B297">
        <v>7172030006000900</v>
      </c>
      <c r="C297">
        <v>86</v>
      </c>
      <c r="D297">
        <v>5</v>
      </c>
      <c r="E297">
        <v>9</v>
      </c>
      <c r="F297">
        <v>0</v>
      </c>
      <c r="G297">
        <v>59</v>
      </c>
      <c r="H297">
        <v>0</v>
      </c>
      <c r="I297">
        <v>0</v>
      </c>
      <c r="J297">
        <v>13</v>
      </c>
      <c r="K297">
        <v>0</v>
      </c>
    </row>
    <row r="298" spans="1:11" x14ac:dyDescent="0.25">
      <c r="A298" s="4" t="s">
        <v>90</v>
      </c>
      <c r="B298">
        <v>7172030006000600</v>
      </c>
      <c r="C298">
        <v>83</v>
      </c>
      <c r="D298">
        <v>0</v>
      </c>
      <c r="E298">
        <v>0</v>
      </c>
      <c r="F298">
        <v>0</v>
      </c>
      <c r="G298">
        <v>83</v>
      </c>
      <c r="H298">
        <v>0</v>
      </c>
      <c r="I298">
        <v>0</v>
      </c>
      <c r="J298">
        <v>0</v>
      </c>
      <c r="K298">
        <v>0</v>
      </c>
    </row>
    <row r="299" spans="1:11" x14ac:dyDescent="0.25">
      <c r="A299" s="4" t="s">
        <v>90</v>
      </c>
      <c r="B299">
        <v>7172030006000800</v>
      </c>
      <c r="C299">
        <v>83</v>
      </c>
      <c r="D299">
        <v>20</v>
      </c>
      <c r="E299">
        <v>1</v>
      </c>
      <c r="F299">
        <v>0</v>
      </c>
      <c r="G299">
        <v>29</v>
      </c>
      <c r="H299">
        <v>0</v>
      </c>
      <c r="I299">
        <v>0</v>
      </c>
      <c r="J299">
        <v>33</v>
      </c>
      <c r="K299">
        <v>0</v>
      </c>
    </row>
    <row r="300" spans="1:11" x14ac:dyDescent="0.25">
      <c r="A300" s="4" t="s">
        <v>90</v>
      </c>
      <c r="B300">
        <v>7172030006000300</v>
      </c>
      <c r="C300">
        <v>66</v>
      </c>
      <c r="D300">
        <v>4</v>
      </c>
      <c r="E300">
        <v>18</v>
      </c>
      <c r="F300">
        <v>0</v>
      </c>
      <c r="G300">
        <v>42</v>
      </c>
      <c r="H300">
        <v>1</v>
      </c>
      <c r="I300">
        <v>0</v>
      </c>
      <c r="J300">
        <v>1</v>
      </c>
      <c r="K300">
        <v>0</v>
      </c>
    </row>
    <row r="301" spans="1:11" x14ac:dyDescent="0.25">
      <c r="A301" s="4" t="s">
        <v>90</v>
      </c>
      <c r="B301">
        <v>7172030006000700</v>
      </c>
      <c r="C301">
        <v>66</v>
      </c>
      <c r="D301">
        <v>1</v>
      </c>
      <c r="E301">
        <v>0</v>
      </c>
      <c r="F301">
        <v>0</v>
      </c>
      <c r="G301">
        <v>65</v>
      </c>
      <c r="H301">
        <v>0</v>
      </c>
      <c r="I301">
        <v>0</v>
      </c>
      <c r="J301">
        <v>0</v>
      </c>
      <c r="K301">
        <v>0</v>
      </c>
    </row>
    <row r="302" spans="1:11" x14ac:dyDescent="0.25">
      <c r="A302" s="4" t="s">
        <v>90</v>
      </c>
      <c r="B302">
        <v>7172030006000200</v>
      </c>
      <c r="C302">
        <v>65</v>
      </c>
      <c r="D302">
        <v>0</v>
      </c>
      <c r="E302">
        <v>0</v>
      </c>
      <c r="F302">
        <v>0</v>
      </c>
      <c r="G302">
        <v>65</v>
      </c>
      <c r="H302">
        <v>0</v>
      </c>
      <c r="I302">
        <v>0</v>
      </c>
      <c r="J302">
        <v>0</v>
      </c>
      <c r="K302">
        <v>0</v>
      </c>
    </row>
    <row r="303" spans="1:11" x14ac:dyDescent="0.25">
      <c r="A303" s="4" t="s">
        <v>90</v>
      </c>
      <c r="B303">
        <v>7172030006000400</v>
      </c>
      <c r="C303">
        <v>61</v>
      </c>
      <c r="D303">
        <v>16</v>
      </c>
      <c r="E303">
        <v>6</v>
      </c>
      <c r="F303">
        <v>0</v>
      </c>
      <c r="G303">
        <v>22</v>
      </c>
      <c r="H303">
        <v>0</v>
      </c>
      <c r="I303">
        <v>0</v>
      </c>
      <c r="J303">
        <v>17</v>
      </c>
      <c r="K303">
        <v>0</v>
      </c>
    </row>
    <row r="304" spans="1:11" x14ac:dyDescent="0.25">
      <c r="A304" s="4" t="s">
        <v>90</v>
      </c>
      <c r="B304">
        <v>7172030006000500</v>
      </c>
      <c r="C304">
        <v>49</v>
      </c>
      <c r="D304">
        <v>16</v>
      </c>
      <c r="E304">
        <v>4</v>
      </c>
      <c r="F304">
        <v>0</v>
      </c>
      <c r="G304">
        <v>25</v>
      </c>
      <c r="H304">
        <v>0</v>
      </c>
      <c r="I304">
        <v>0</v>
      </c>
      <c r="J304">
        <v>4</v>
      </c>
      <c r="K304">
        <v>0</v>
      </c>
    </row>
    <row r="305" spans="1:11" x14ac:dyDescent="0.25">
      <c r="A305" s="4" t="s">
        <v>85</v>
      </c>
      <c r="B305">
        <v>7172022003000200</v>
      </c>
      <c r="C305">
        <v>113</v>
      </c>
      <c r="D305">
        <v>18</v>
      </c>
      <c r="E305">
        <v>2</v>
      </c>
      <c r="F305">
        <v>0</v>
      </c>
      <c r="G305">
        <v>4</v>
      </c>
      <c r="H305">
        <v>0</v>
      </c>
      <c r="I305">
        <v>0</v>
      </c>
      <c r="J305">
        <v>89</v>
      </c>
      <c r="K305">
        <v>0</v>
      </c>
    </row>
    <row r="306" spans="1:11" x14ac:dyDescent="0.25">
      <c r="A306" s="4" t="s">
        <v>85</v>
      </c>
      <c r="B306">
        <v>7172022003000400</v>
      </c>
      <c r="C306">
        <v>63</v>
      </c>
      <c r="D306">
        <v>0</v>
      </c>
      <c r="E306">
        <v>0</v>
      </c>
      <c r="F306">
        <v>0</v>
      </c>
      <c r="G306">
        <v>63</v>
      </c>
      <c r="H306">
        <v>0</v>
      </c>
      <c r="I306">
        <v>0</v>
      </c>
      <c r="J306">
        <v>0</v>
      </c>
      <c r="K306">
        <v>0</v>
      </c>
    </row>
    <row r="307" spans="1:11" x14ac:dyDescent="0.25">
      <c r="A307" s="4" t="s">
        <v>85</v>
      </c>
      <c r="B307">
        <v>7172022003000300</v>
      </c>
      <c r="C307">
        <v>52</v>
      </c>
      <c r="D307">
        <v>0</v>
      </c>
      <c r="E307">
        <v>2</v>
      </c>
      <c r="F307">
        <v>0</v>
      </c>
      <c r="G307">
        <v>43</v>
      </c>
      <c r="H307">
        <v>0</v>
      </c>
      <c r="I307">
        <v>0</v>
      </c>
      <c r="J307">
        <v>7</v>
      </c>
      <c r="K307">
        <v>0</v>
      </c>
    </row>
    <row r="308" spans="1:11" x14ac:dyDescent="0.25">
      <c r="A308" s="4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46</v>
      </c>
      <c r="H308">
        <v>0</v>
      </c>
      <c r="I308">
        <v>0</v>
      </c>
      <c r="J308">
        <v>0</v>
      </c>
      <c r="K308">
        <v>0</v>
      </c>
    </row>
    <row r="309" spans="1:11" x14ac:dyDescent="0.25">
      <c r="A309" s="4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46</v>
      </c>
      <c r="H309">
        <v>0</v>
      </c>
      <c r="I309">
        <v>0</v>
      </c>
      <c r="J309">
        <v>0</v>
      </c>
      <c r="K309">
        <v>0</v>
      </c>
    </row>
    <row r="310" spans="1:11" x14ac:dyDescent="0.25">
      <c r="A310" s="4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43</v>
      </c>
      <c r="H310">
        <v>0</v>
      </c>
      <c r="I310">
        <v>0</v>
      </c>
      <c r="J310">
        <v>0</v>
      </c>
      <c r="K310">
        <v>0</v>
      </c>
    </row>
    <row r="311" spans="1:11" x14ac:dyDescent="0.25">
      <c r="A311" s="4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40</v>
      </c>
      <c r="H311">
        <v>0</v>
      </c>
      <c r="I311">
        <v>0</v>
      </c>
      <c r="J311">
        <v>0</v>
      </c>
      <c r="K311">
        <v>0</v>
      </c>
    </row>
    <row r="312" spans="1:11" x14ac:dyDescent="0.25">
      <c r="A312" s="4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30</v>
      </c>
      <c r="H312">
        <v>0</v>
      </c>
      <c r="I312">
        <v>0</v>
      </c>
      <c r="J312">
        <v>0</v>
      </c>
      <c r="K312">
        <v>0</v>
      </c>
    </row>
    <row r="313" spans="1:11" x14ac:dyDescent="0.25">
      <c r="A313" s="4" t="s">
        <v>92</v>
      </c>
      <c r="B313">
        <v>7172030007000200</v>
      </c>
      <c r="C313">
        <v>142</v>
      </c>
      <c r="D313">
        <v>6</v>
      </c>
      <c r="E313">
        <v>36</v>
      </c>
      <c r="F313">
        <v>1</v>
      </c>
      <c r="G313">
        <v>48</v>
      </c>
      <c r="H313">
        <v>0</v>
      </c>
      <c r="I313">
        <v>0</v>
      </c>
      <c r="J313">
        <v>51</v>
      </c>
      <c r="K313">
        <v>0</v>
      </c>
    </row>
    <row r="314" spans="1:11" x14ac:dyDescent="0.25">
      <c r="A314" s="4" t="s">
        <v>92</v>
      </c>
      <c r="B314">
        <v>7172030012000700</v>
      </c>
      <c r="C314">
        <v>97</v>
      </c>
      <c r="D314">
        <v>0</v>
      </c>
      <c r="E314">
        <v>0</v>
      </c>
      <c r="F314">
        <v>0</v>
      </c>
      <c r="G314">
        <v>97</v>
      </c>
      <c r="H314">
        <v>0</v>
      </c>
      <c r="I314">
        <v>0</v>
      </c>
      <c r="J314">
        <v>0</v>
      </c>
      <c r="K314">
        <v>0</v>
      </c>
    </row>
    <row r="315" spans="1:11" x14ac:dyDescent="0.25">
      <c r="A315" s="4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93</v>
      </c>
      <c r="H315">
        <v>0</v>
      </c>
      <c r="I315">
        <v>0</v>
      </c>
      <c r="J315">
        <v>0</v>
      </c>
      <c r="K315">
        <v>0</v>
      </c>
    </row>
    <row r="316" spans="1:11" x14ac:dyDescent="0.25">
      <c r="A316" s="4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89</v>
      </c>
      <c r="H316">
        <v>0</v>
      </c>
      <c r="I316">
        <v>0</v>
      </c>
      <c r="J316">
        <v>0</v>
      </c>
      <c r="K316">
        <v>0</v>
      </c>
    </row>
    <row r="317" spans="1:11" x14ac:dyDescent="0.25">
      <c r="A317" s="4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39</v>
      </c>
      <c r="K317">
        <v>0</v>
      </c>
    </row>
    <row r="318" spans="1:11" x14ac:dyDescent="0.25">
      <c r="A318" s="4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44</v>
      </c>
      <c r="H318">
        <v>0</v>
      </c>
      <c r="I318">
        <v>0</v>
      </c>
      <c r="J318">
        <v>0</v>
      </c>
      <c r="K318">
        <v>0</v>
      </c>
    </row>
    <row r="319" spans="1:11" x14ac:dyDescent="0.25">
      <c r="A319" s="4" t="s">
        <v>92</v>
      </c>
      <c r="B319">
        <v>7172030007000600</v>
      </c>
      <c r="C319">
        <v>34</v>
      </c>
      <c r="D319">
        <v>0</v>
      </c>
      <c r="E319">
        <v>0</v>
      </c>
      <c r="F319">
        <v>0</v>
      </c>
      <c r="G319">
        <v>34</v>
      </c>
      <c r="H319">
        <v>0</v>
      </c>
      <c r="I319">
        <v>0</v>
      </c>
      <c r="J319">
        <v>0</v>
      </c>
      <c r="K319">
        <v>0</v>
      </c>
    </row>
    <row r="320" spans="1:11" x14ac:dyDescent="0.25">
      <c r="A320" s="4" t="s">
        <v>92</v>
      </c>
      <c r="B320">
        <v>7172030012000400</v>
      </c>
      <c r="C320">
        <v>21</v>
      </c>
      <c r="D320">
        <v>0</v>
      </c>
      <c r="E320">
        <v>0</v>
      </c>
      <c r="F320">
        <v>0</v>
      </c>
      <c r="G320">
        <v>21</v>
      </c>
      <c r="H320">
        <v>0</v>
      </c>
      <c r="I320">
        <v>0</v>
      </c>
      <c r="J320">
        <v>0</v>
      </c>
      <c r="K320">
        <v>0</v>
      </c>
    </row>
    <row r="321" spans="1:11" x14ac:dyDescent="0.25">
      <c r="A321" s="4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159</v>
      </c>
      <c r="H321">
        <v>0</v>
      </c>
      <c r="I321">
        <v>0</v>
      </c>
      <c r="J321">
        <v>0</v>
      </c>
      <c r="K321">
        <v>0</v>
      </c>
    </row>
    <row r="322" spans="1:11" x14ac:dyDescent="0.25">
      <c r="A322" s="4" t="s">
        <v>233</v>
      </c>
      <c r="B322">
        <v>7172030007001000</v>
      </c>
      <c r="C322">
        <v>152</v>
      </c>
      <c r="D322">
        <v>31</v>
      </c>
      <c r="E322">
        <v>75</v>
      </c>
      <c r="F322">
        <v>0</v>
      </c>
      <c r="G322">
        <v>5</v>
      </c>
      <c r="H322">
        <v>0</v>
      </c>
      <c r="I322">
        <v>0</v>
      </c>
      <c r="J322">
        <v>41</v>
      </c>
      <c r="K322">
        <v>0</v>
      </c>
    </row>
    <row r="323" spans="1:11" x14ac:dyDescent="0.25">
      <c r="A323" s="4" t="s">
        <v>233</v>
      </c>
      <c r="B323">
        <v>7172030007000500</v>
      </c>
      <c r="C323">
        <v>79</v>
      </c>
      <c r="D323">
        <v>0</v>
      </c>
      <c r="E323">
        <v>0</v>
      </c>
      <c r="F323">
        <v>0</v>
      </c>
      <c r="G323">
        <v>79</v>
      </c>
      <c r="H323">
        <v>0</v>
      </c>
      <c r="I323">
        <v>0</v>
      </c>
      <c r="J323">
        <v>0</v>
      </c>
      <c r="K323">
        <v>0</v>
      </c>
    </row>
    <row r="324" spans="1:11" x14ac:dyDescent="0.25">
      <c r="A324" s="4" t="s">
        <v>233</v>
      </c>
      <c r="B324">
        <v>7172030007000900</v>
      </c>
      <c r="C324">
        <v>75</v>
      </c>
      <c r="D324">
        <v>0</v>
      </c>
      <c r="E324">
        <v>11</v>
      </c>
      <c r="F324">
        <v>0</v>
      </c>
      <c r="G324">
        <v>64</v>
      </c>
      <c r="H324">
        <v>0</v>
      </c>
      <c r="I324">
        <v>0</v>
      </c>
      <c r="J324">
        <v>0</v>
      </c>
      <c r="K324">
        <v>0</v>
      </c>
    </row>
    <row r="325" spans="1:11" x14ac:dyDescent="0.25">
      <c r="A325" s="4" t="s">
        <v>233</v>
      </c>
      <c r="B325">
        <v>7172030007000800</v>
      </c>
      <c r="C325">
        <v>74</v>
      </c>
      <c r="D325">
        <v>0</v>
      </c>
      <c r="E325">
        <v>0</v>
      </c>
      <c r="F325">
        <v>0</v>
      </c>
      <c r="G325">
        <v>74</v>
      </c>
      <c r="H325">
        <v>0</v>
      </c>
      <c r="I325">
        <v>0</v>
      </c>
      <c r="J325">
        <v>0</v>
      </c>
      <c r="K325">
        <v>0</v>
      </c>
    </row>
    <row r="326" spans="1:11" x14ac:dyDescent="0.25">
      <c r="A326" s="4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56</v>
      </c>
      <c r="H326">
        <v>0</v>
      </c>
      <c r="I326">
        <v>0</v>
      </c>
      <c r="J326">
        <v>0</v>
      </c>
      <c r="K326">
        <v>0</v>
      </c>
    </row>
    <row r="327" spans="1:11" x14ac:dyDescent="0.25">
      <c r="A327" s="4" t="s">
        <v>91</v>
      </c>
      <c r="B327">
        <v>7172030006001200</v>
      </c>
      <c r="C327">
        <v>101</v>
      </c>
      <c r="D327">
        <v>0</v>
      </c>
      <c r="E327">
        <v>0</v>
      </c>
      <c r="F327">
        <v>0</v>
      </c>
      <c r="G327">
        <v>101</v>
      </c>
      <c r="H327">
        <v>0</v>
      </c>
      <c r="I327">
        <v>0</v>
      </c>
      <c r="J327">
        <v>0</v>
      </c>
      <c r="K327">
        <v>0</v>
      </c>
    </row>
    <row r="328" spans="1:11" x14ac:dyDescent="0.25">
      <c r="A328" s="4" t="s">
        <v>91</v>
      </c>
      <c r="B328">
        <v>7172030006001100</v>
      </c>
      <c r="C328">
        <v>91</v>
      </c>
      <c r="D328">
        <v>0</v>
      </c>
      <c r="E328">
        <v>0</v>
      </c>
      <c r="F328">
        <v>0</v>
      </c>
      <c r="G328">
        <v>91</v>
      </c>
      <c r="H328">
        <v>0</v>
      </c>
      <c r="I328">
        <v>0</v>
      </c>
      <c r="J328">
        <v>0</v>
      </c>
      <c r="K328">
        <v>0</v>
      </c>
    </row>
    <row r="329" spans="1:11" x14ac:dyDescent="0.25">
      <c r="A329" s="4" t="s">
        <v>91</v>
      </c>
      <c r="B329">
        <v>7172030006001000</v>
      </c>
      <c r="C329">
        <v>73</v>
      </c>
      <c r="D329">
        <v>0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</row>
    <row r="330" spans="1:11" x14ac:dyDescent="0.25">
      <c r="A330" s="4" t="s">
        <v>91</v>
      </c>
      <c r="B330">
        <v>7172030006001600</v>
      </c>
      <c r="C330">
        <v>64</v>
      </c>
      <c r="D330">
        <v>16</v>
      </c>
      <c r="E330">
        <v>1</v>
      </c>
      <c r="F330">
        <v>0</v>
      </c>
      <c r="G330">
        <v>27</v>
      </c>
      <c r="H330">
        <v>0</v>
      </c>
      <c r="I330">
        <v>0</v>
      </c>
      <c r="J330">
        <v>20</v>
      </c>
      <c r="K330">
        <v>0</v>
      </c>
    </row>
    <row r="331" spans="1:11" x14ac:dyDescent="0.25">
      <c r="A331" s="4" t="s">
        <v>91</v>
      </c>
      <c r="B331">
        <v>7172030006001300</v>
      </c>
      <c r="C331">
        <v>57</v>
      </c>
      <c r="D331">
        <v>0</v>
      </c>
      <c r="E331">
        <v>0</v>
      </c>
      <c r="F331">
        <v>0</v>
      </c>
      <c r="G331">
        <v>57</v>
      </c>
      <c r="H331">
        <v>0</v>
      </c>
      <c r="I331">
        <v>0</v>
      </c>
      <c r="J331">
        <v>0</v>
      </c>
      <c r="K331">
        <v>0</v>
      </c>
    </row>
    <row r="332" spans="1:11" x14ac:dyDescent="0.25">
      <c r="A332" s="4" t="s">
        <v>91</v>
      </c>
      <c r="B332">
        <v>7172030006001800</v>
      </c>
      <c r="C332">
        <v>52</v>
      </c>
      <c r="D332">
        <v>15</v>
      </c>
      <c r="E332">
        <v>3</v>
      </c>
      <c r="F332">
        <v>0</v>
      </c>
      <c r="G332">
        <v>8</v>
      </c>
      <c r="H332">
        <v>0</v>
      </c>
      <c r="I332">
        <v>0</v>
      </c>
      <c r="J332">
        <v>26</v>
      </c>
      <c r="K332">
        <v>0</v>
      </c>
    </row>
    <row r="333" spans="1:11" x14ac:dyDescent="0.25">
      <c r="A333" s="4" t="s">
        <v>91</v>
      </c>
      <c r="B333">
        <v>7172030006001700</v>
      </c>
      <c r="C333">
        <v>51</v>
      </c>
      <c r="D333">
        <v>12</v>
      </c>
      <c r="E333">
        <v>8</v>
      </c>
      <c r="F333">
        <v>0</v>
      </c>
      <c r="G333">
        <v>27</v>
      </c>
      <c r="H333">
        <v>0</v>
      </c>
      <c r="I333">
        <v>0</v>
      </c>
      <c r="J333">
        <v>4</v>
      </c>
      <c r="K333">
        <v>0</v>
      </c>
    </row>
    <row r="334" spans="1:11" x14ac:dyDescent="0.25">
      <c r="A334" s="4" t="s">
        <v>91</v>
      </c>
      <c r="B334">
        <v>7172030006001900</v>
      </c>
      <c r="C334">
        <v>47</v>
      </c>
      <c r="D334">
        <v>11</v>
      </c>
      <c r="E334">
        <v>1</v>
      </c>
      <c r="F334">
        <v>0</v>
      </c>
      <c r="G334">
        <v>4</v>
      </c>
      <c r="H334">
        <v>0</v>
      </c>
      <c r="I334">
        <v>0</v>
      </c>
      <c r="J334">
        <v>31</v>
      </c>
      <c r="K334">
        <v>0</v>
      </c>
    </row>
    <row r="335" spans="1:11" x14ac:dyDescent="0.25">
      <c r="A335" s="4" t="s">
        <v>91</v>
      </c>
      <c r="B335">
        <v>7172030006001400</v>
      </c>
      <c r="C335">
        <v>44</v>
      </c>
      <c r="D335">
        <v>0</v>
      </c>
      <c r="E335">
        <v>0</v>
      </c>
      <c r="F335">
        <v>0</v>
      </c>
      <c r="G335">
        <v>44</v>
      </c>
      <c r="H335">
        <v>0</v>
      </c>
      <c r="I335">
        <v>0</v>
      </c>
      <c r="J335">
        <v>0</v>
      </c>
      <c r="K335">
        <v>0</v>
      </c>
    </row>
    <row r="336" spans="1:11" x14ac:dyDescent="0.25">
      <c r="A336" s="4" t="s">
        <v>91</v>
      </c>
      <c r="B336">
        <v>7172030006001500</v>
      </c>
      <c r="C336">
        <v>42</v>
      </c>
      <c r="D336">
        <v>8</v>
      </c>
      <c r="E336">
        <v>2</v>
      </c>
      <c r="F336">
        <v>0</v>
      </c>
      <c r="G336">
        <v>22</v>
      </c>
      <c r="H336">
        <v>0</v>
      </c>
      <c r="I336">
        <v>0</v>
      </c>
      <c r="J336">
        <v>10</v>
      </c>
      <c r="K336">
        <v>0</v>
      </c>
    </row>
    <row r="337" spans="1:11" x14ac:dyDescent="0.25">
      <c r="A337" s="4" t="s">
        <v>97</v>
      </c>
      <c r="B337">
        <v>7172030012000300</v>
      </c>
      <c r="C337">
        <v>88</v>
      </c>
      <c r="D337">
        <v>24</v>
      </c>
      <c r="E337">
        <v>2</v>
      </c>
      <c r="F337">
        <v>0</v>
      </c>
      <c r="G337">
        <v>13</v>
      </c>
      <c r="H337">
        <v>2</v>
      </c>
      <c r="I337">
        <v>0</v>
      </c>
      <c r="J337">
        <v>47</v>
      </c>
      <c r="K337">
        <v>0</v>
      </c>
    </row>
    <row r="338" spans="1:11" x14ac:dyDescent="0.25">
      <c r="A338" s="4" t="s">
        <v>97</v>
      </c>
      <c r="B338">
        <v>7172030012000100</v>
      </c>
      <c r="C338">
        <v>63</v>
      </c>
      <c r="D338">
        <v>10</v>
      </c>
      <c r="E338">
        <v>1</v>
      </c>
      <c r="F338">
        <v>0</v>
      </c>
      <c r="G338">
        <v>49</v>
      </c>
      <c r="H338">
        <v>0</v>
      </c>
      <c r="I338">
        <v>0</v>
      </c>
      <c r="J338">
        <v>3</v>
      </c>
      <c r="K338">
        <v>0</v>
      </c>
    </row>
    <row r="339" spans="1:11" x14ac:dyDescent="0.25">
      <c r="A339" s="4" t="s">
        <v>97</v>
      </c>
      <c r="B339">
        <v>7172030016000600</v>
      </c>
      <c r="C339">
        <v>62</v>
      </c>
      <c r="D339">
        <v>0</v>
      </c>
      <c r="E339">
        <v>0</v>
      </c>
      <c r="F339">
        <v>0</v>
      </c>
      <c r="G339">
        <v>62</v>
      </c>
      <c r="H339">
        <v>0</v>
      </c>
      <c r="I339">
        <v>0</v>
      </c>
      <c r="J339">
        <v>0</v>
      </c>
      <c r="K339">
        <v>0</v>
      </c>
    </row>
    <row r="340" spans="1:11" x14ac:dyDescent="0.25">
      <c r="A340" s="4" t="s">
        <v>97</v>
      </c>
      <c r="B340">
        <v>7172030016000900</v>
      </c>
      <c r="C340">
        <v>62</v>
      </c>
      <c r="D340">
        <v>0</v>
      </c>
      <c r="E340">
        <v>0</v>
      </c>
      <c r="F340">
        <v>0</v>
      </c>
      <c r="G340">
        <v>62</v>
      </c>
      <c r="H340">
        <v>0</v>
      </c>
      <c r="I340">
        <v>0</v>
      </c>
      <c r="J340">
        <v>0</v>
      </c>
      <c r="K340">
        <v>0</v>
      </c>
    </row>
    <row r="341" spans="1:11" x14ac:dyDescent="0.25">
      <c r="A341" s="4" t="s">
        <v>97</v>
      </c>
      <c r="B341">
        <v>7172030016000300</v>
      </c>
      <c r="C341">
        <v>57</v>
      </c>
      <c r="D341">
        <v>9</v>
      </c>
      <c r="E341">
        <v>7</v>
      </c>
      <c r="F341">
        <v>0</v>
      </c>
      <c r="G341">
        <v>19</v>
      </c>
      <c r="H341">
        <v>0</v>
      </c>
      <c r="I341">
        <v>0</v>
      </c>
      <c r="J341">
        <v>22</v>
      </c>
      <c r="K341">
        <v>0</v>
      </c>
    </row>
    <row r="342" spans="1:11" x14ac:dyDescent="0.25">
      <c r="A342" s="4" t="s">
        <v>97</v>
      </c>
      <c r="B342">
        <v>7172030016000400</v>
      </c>
      <c r="C342">
        <v>57</v>
      </c>
      <c r="D342">
        <v>0</v>
      </c>
      <c r="E342">
        <v>0</v>
      </c>
      <c r="F342">
        <v>0</v>
      </c>
      <c r="G342">
        <v>57</v>
      </c>
      <c r="H342">
        <v>0</v>
      </c>
      <c r="I342">
        <v>0</v>
      </c>
      <c r="J342">
        <v>0</v>
      </c>
      <c r="K342">
        <v>0</v>
      </c>
    </row>
    <row r="343" spans="1:11" x14ac:dyDescent="0.25">
      <c r="A343" s="4" t="s">
        <v>97</v>
      </c>
      <c r="B343">
        <v>7172030016000800</v>
      </c>
      <c r="C343">
        <v>47</v>
      </c>
      <c r="D343">
        <v>0</v>
      </c>
      <c r="E343">
        <v>0</v>
      </c>
      <c r="F343">
        <v>0</v>
      </c>
      <c r="G343">
        <v>47</v>
      </c>
      <c r="H343">
        <v>0</v>
      </c>
      <c r="I343">
        <v>0</v>
      </c>
      <c r="J343">
        <v>0</v>
      </c>
      <c r="K343">
        <v>0</v>
      </c>
    </row>
    <row r="344" spans="1:11" x14ac:dyDescent="0.25">
      <c r="A344" s="4" t="s">
        <v>97</v>
      </c>
      <c r="B344">
        <v>7172030016000700</v>
      </c>
      <c r="C344">
        <v>46</v>
      </c>
      <c r="D344">
        <v>0</v>
      </c>
      <c r="E344">
        <v>0</v>
      </c>
      <c r="F344">
        <v>0</v>
      </c>
      <c r="G344">
        <v>46</v>
      </c>
      <c r="H344">
        <v>0</v>
      </c>
      <c r="I344">
        <v>0</v>
      </c>
      <c r="J344">
        <v>0</v>
      </c>
      <c r="K344">
        <v>0</v>
      </c>
    </row>
    <row r="345" spans="1:11" x14ac:dyDescent="0.25">
      <c r="A345" s="4" t="s">
        <v>97</v>
      </c>
      <c r="B345">
        <v>7172030016000200</v>
      </c>
      <c r="C345">
        <v>38</v>
      </c>
      <c r="D345">
        <v>0</v>
      </c>
      <c r="E345">
        <v>0</v>
      </c>
      <c r="F345">
        <v>0</v>
      </c>
      <c r="G345">
        <v>38</v>
      </c>
      <c r="H345">
        <v>0</v>
      </c>
      <c r="I345">
        <v>0</v>
      </c>
      <c r="J345">
        <v>0</v>
      </c>
      <c r="K345">
        <v>0</v>
      </c>
    </row>
    <row r="346" spans="1:11" x14ac:dyDescent="0.25">
      <c r="A346" s="4" t="s">
        <v>97</v>
      </c>
      <c r="B346">
        <v>7172030016000100</v>
      </c>
      <c r="C346">
        <v>33</v>
      </c>
      <c r="D346">
        <v>0</v>
      </c>
      <c r="E346">
        <v>0</v>
      </c>
      <c r="F346">
        <v>0</v>
      </c>
      <c r="G346">
        <v>33</v>
      </c>
      <c r="H346">
        <v>0</v>
      </c>
      <c r="I346">
        <v>0</v>
      </c>
      <c r="J346">
        <v>0</v>
      </c>
      <c r="K346">
        <v>0</v>
      </c>
    </row>
    <row r="347" spans="1:11" x14ac:dyDescent="0.25">
      <c r="A347" s="4" t="s">
        <v>97</v>
      </c>
      <c r="B347">
        <v>7172030016000500</v>
      </c>
      <c r="C347">
        <v>33</v>
      </c>
      <c r="D347">
        <v>0</v>
      </c>
      <c r="E347">
        <v>0</v>
      </c>
      <c r="F347">
        <v>0</v>
      </c>
      <c r="G347">
        <v>33</v>
      </c>
      <c r="H347">
        <v>0</v>
      </c>
      <c r="I347">
        <v>0</v>
      </c>
      <c r="J347">
        <v>0</v>
      </c>
      <c r="K347">
        <v>0</v>
      </c>
    </row>
    <row r="348" spans="1:11" x14ac:dyDescent="0.25">
      <c r="A348" s="4" t="s">
        <v>99</v>
      </c>
      <c r="B348">
        <v>7172030013000100</v>
      </c>
      <c r="C348">
        <v>164</v>
      </c>
      <c r="D348">
        <v>0</v>
      </c>
      <c r="E348">
        <v>0</v>
      </c>
      <c r="F348">
        <v>0</v>
      </c>
      <c r="G348">
        <v>164</v>
      </c>
      <c r="H348">
        <v>0</v>
      </c>
      <c r="I348">
        <v>0</v>
      </c>
      <c r="J348">
        <v>0</v>
      </c>
      <c r="K348">
        <v>0</v>
      </c>
    </row>
    <row r="349" spans="1:11" x14ac:dyDescent="0.25">
      <c r="A349" s="4" t="s">
        <v>99</v>
      </c>
      <c r="B349">
        <v>7172030012001200</v>
      </c>
      <c r="C349">
        <v>77</v>
      </c>
      <c r="D349">
        <v>0</v>
      </c>
      <c r="E349">
        <v>5</v>
      </c>
      <c r="F349">
        <v>0</v>
      </c>
      <c r="G349">
        <v>56</v>
      </c>
      <c r="H349">
        <v>0</v>
      </c>
      <c r="I349">
        <v>0</v>
      </c>
      <c r="J349">
        <v>16</v>
      </c>
      <c r="K349">
        <v>0</v>
      </c>
    </row>
    <row r="350" spans="1:11" x14ac:dyDescent="0.25">
      <c r="A350" s="4" t="s">
        <v>99</v>
      </c>
      <c r="B350">
        <v>7172030012001700</v>
      </c>
      <c r="C350">
        <v>77</v>
      </c>
      <c r="D350">
        <v>0</v>
      </c>
      <c r="E350">
        <v>5</v>
      </c>
      <c r="F350">
        <v>0</v>
      </c>
      <c r="G350">
        <v>33</v>
      </c>
      <c r="H350">
        <v>0</v>
      </c>
      <c r="I350">
        <v>0</v>
      </c>
      <c r="J350">
        <v>39</v>
      </c>
      <c r="K350">
        <v>0</v>
      </c>
    </row>
    <row r="351" spans="1:11" x14ac:dyDescent="0.25">
      <c r="A351" s="4" t="s">
        <v>99</v>
      </c>
      <c r="B351">
        <v>7172030012001800</v>
      </c>
      <c r="C351">
        <v>73</v>
      </c>
      <c r="D351">
        <v>0</v>
      </c>
      <c r="E351">
        <v>4</v>
      </c>
      <c r="F351">
        <v>0</v>
      </c>
      <c r="G351">
        <v>55</v>
      </c>
      <c r="H351">
        <v>0</v>
      </c>
      <c r="I351">
        <v>0</v>
      </c>
      <c r="J351">
        <v>14</v>
      </c>
      <c r="K351">
        <v>0</v>
      </c>
    </row>
    <row r="352" spans="1:11" x14ac:dyDescent="0.25">
      <c r="A352" s="4" t="s">
        <v>99</v>
      </c>
      <c r="B352">
        <v>7172030012001900</v>
      </c>
      <c r="C352">
        <v>72</v>
      </c>
      <c r="D352">
        <v>3</v>
      </c>
      <c r="E352">
        <v>14</v>
      </c>
      <c r="F352">
        <v>0</v>
      </c>
      <c r="G352">
        <v>48</v>
      </c>
      <c r="H352">
        <v>0</v>
      </c>
      <c r="I352">
        <v>0</v>
      </c>
      <c r="J352">
        <v>7</v>
      </c>
      <c r="K352">
        <v>0</v>
      </c>
    </row>
    <row r="353" spans="1:11" x14ac:dyDescent="0.25">
      <c r="A353" s="4" t="s">
        <v>99</v>
      </c>
      <c r="B353">
        <v>7172030012001600</v>
      </c>
      <c r="C353">
        <v>60</v>
      </c>
      <c r="D353">
        <v>0</v>
      </c>
      <c r="E353">
        <v>0</v>
      </c>
      <c r="F353">
        <v>0</v>
      </c>
      <c r="G353">
        <v>60</v>
      </c>
      <c r="H353">
        <v>0</v>
      </c>
      <c r="I353">
        <v>0</v>
      </c>
      <c r="J353">
        <v>0</v>
      </c>
      <c r="K353">
        <v>0</v>
      </c>
    </row>
    <row r="354" spans="1:11" x14ac:dyDescent="0.25">
      <c r="A354" s="4" t="s">
        <v>99</v>
      </c>
      <c r="B354">
        <v>7172030012002000</v>
      </c>
      <c r="C354">
        <v>49</v>
      </c>
      <c r="D354">
        <v>0</v>
      </c>
      <c r="E354">
        <v>7</v>
      </c>
      <c r="F354">
        <v>0</v>
      </c>
      <c r="G354">
        <v>23</v>
      </c>
      <c r="H354">
        <v>1</v>
      </c>
      <c r="I354">
        <v>0</v>
      </c>
      <c r="J354">
        <v>18</v>
      </c>
      <c r="K354">
        <v>0</v>
      </c>
    </row>
    <row r="355" spans="1:11" x14ac:dyDescent="0.25">
      <c r="A355" s="4" t="s">
        <v>99</v>
      </c>
      <c r="B355">
        <v>7172030013000300</v>
      </c>
      <c r="C355">
        <v>42</v>
      </c>
      <c r="D355">
        <v>0</v>
      </c>
      <c r="E355">
        <v>0</v>
      </c>
      <c r="F355">
        <v>0</v>
      </c>
      <c r="G355">
        <v>42</v>
      </c>
      <c r="H355">
        <v>0</v>
      </c>
      <c r="I355">
        <v>0</v>
      </c>
      <c r="J355">
        <v>0</v>
      </c>
      <c r="K355">
        <v>0</v>
      </c>
    </row>
    <row r="356" spans="1:11" x14ac:dyDescent="0.25">
      <c r="A356" s="4" t="s">
        <v>234</v>
      </c>
      <c r="B356">
        <v>7172030008000902</v>
      </c>
      <c r="C356">
        <v>137</v>
      </c>
      <c r="D356">
        <v>27</v>
      </c>
      <c r="E356">
        <v>4</v>
      </c>
      <c r="F356">
        <v>0</v>
      </c>
      <c r="G356">
        <v>20</v>
      </c>
      <c r="H356">
        <v>9</v>
      </c>
      <c r="I356">
        <v>0</v>
      </c>
      <c r="J356">
        <v>77</v>
      </c>
      <c r="K356">
        <v>0</v>
      </c>
    </row>
    <row r="357" spans="1:11" x14ac:dyDescent="0.25">
      <c r="A357" s="4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64</v>
      </c>
      <c r="H357">
        <v>0</v>
      </c>
      <c r="I357">
        <v>0</v>
      </c>
      <c r="J357">
        <v>0</v>
      </c>
      <c r="K357">
        <v>0</v>
      </c>
    </row>
    <row r="358" spans="1:11" x14ac:dyDescent="0.25">
      <c r="A358" s="4" t="s">
        <v>234</v>
      </c>
      <c r="B358">
        <v>7172030008000500</v>
      </c>
      <c r="C358">
        <v>61</v>
      </c>
      <c r="D358">
        <v>5</v>
      </c>
      <c r="E358">
        <v>0</v>
      </c>
      <c r="F358">
        <v>0</v>
      </c>
      <c r="G358">
        <v>56</v>
      </c>
      <c r="H358">
        <v>0</v>
      </c>
      <c r="I358">
        <v>0</v>
      </c>
      <c r="J358">
        <v>0</v>
      </c>
      <c r="K358">
        <v>0</v>
      </c>
    </row>
    <row r="359" spans="1:11" x14ac:dyDescent="0.25">
      <c r="A359" s="4" t="s">
        <v>234</v>
      </c>
      <c r="B359">
        <v>7172030008000400</v>
      </c>
      <c r="C359">
        <v>60</v>
      </c>
      <c r="D359">
        <v>14</v>
      </c>
      <c r="E359">
        <v>0</v>
      </c>
      <c r="F359">
        <v>0</v>
      </c>
      <c r="G359">
        <v>46</v>
      </c>
      <c r="H359">
        <v>0</v>
      </c>
      <c r="I359">
        <v>0</v>
      </c>
      <c r="J359">
        <v>0</v>
      </c>
      <c r="K359">
        <v>0</v>
      </c>
    </row>
    <row r="360" spans="1:11" x14ac:dyDescent="0.25">
      <c r="A360" s="4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0</v>
      </c>
    </row>
    <row r="361" spans="1:11" x14ac:dyDescent="0.25">
      <c r="A361" s="4" t="s">
        <v>234</v>
      </c>
      <c r="B361">
        <v>7172030008000600</v>
      </c>
      <c r="C361">
        <v>48</v>
      </c>
      <c r="D361">
        <v>4</v>
      </c>
      <c r="E361">
        <v>0</v>
      </c>
      <c r="F361">
        <v>0</v>
      </c>
      <c r="G361">
        <v>44</v>
      </c>
      <c r="H361">
        <v>0</v>
      </c>
      <c r="I361">
        <v>0</v>
      </c>
      <c r="J361">
        <v>0</v>
      </c>
      <c r="K361">
        <v>0</v>
      </c>
    </row>
    <row r="362" spans="1:11" x14ac:dyDescent="0.25">
      <c r="A362" s="4" t="s">
        <v>234</v>
      </c>
      <c r="B362">
        <v>7172030008000901</v>
      </c>
      <c r="C362">
        <v>48</v>
      </c>
      <c r="D362">
        <v>15</v>
      </c>
      <c r="E362">
        <v>1</v>
      </c>
      <c r="F362">
        <v>0</v>
      </c>
      <c r="G362">
        <v>23</v>
      </c>
      <c r="H362">
        <v>0</v>
      </c>
      <c r="I362">
        <v>0</v>
      </c>
      <c r="J362">
        <v>9</v>
      </c>
      <c r="K362">
        <v>0</v>
      </c>
    </row>
    <row r="363" spans="1:11" x14ac:dyDescent="0.25">
      <c r="A363" s="4" t="s">
        <v>234</v>
      </c>
      <c r="B363">
        <v>7172030008000700</v>
      </c>
      <c r="C363">
        <v>40</v>
      </c>
      <c r="D363">
        <v>5</v>
      </c>
      <c r="E363">
        <v>0</v>
      </c>
      <c r="F363">
        <v>0</v>
      </c>
      <c r="G363">
        <v>35</v>
      </c>
      <c r="H363">
        <v>0</v>
      </c>
      <c r="I363">
        <v>0</v>
      </c>
      <c r="J363">
        <v>0</v>
      </c>
      <c r="K363">
        <v>0</v>
      </c>
    </row>
    <row r="364" spans="1:11" x14ac:dyDescent="0.25">
      <c r="A364" s="4" t="s">
        <v>234</v>
      </c>
      <c r="B364">
        <v>7172030008000800</v>
      </c>
      <c r="C364">
        <v>40</v>
      </c>
      <c r="D364">
        <v>2</v>
      </c>
      <c r="E364">
        <v>0</v>
      </c>
      <c r="F364">
        <v>0</v>
      </c>
      <c r="G364">
        <v>38</v>
      </c>
      <c r="H364">
        <v>0</v>
      </c>
      <c r="I364">
        <v>0</v>
      </c>
      <c r="J364">
        <v>0</v>
      </c>
      <c r="K364">
        <v>0</v>
      </c>
    </row>
    <row r="365" spans="1:11" x14ac:dyDescent="0.25">
      <c r="A365" s="4" t="s">
        <v>234</v>
      </c>
      <c r="B365">
        <v>7172030008000300</v>
      </c>
      <c r="C365">
        <v>35</v>
      </c>
      <c r="D365">
        <v>7</v>
      </c>
      <c r="E365">
        <v>0</v>
      </c>
      <c r="F365">
        <v>0</v>
      </c>
      <c r="G365">
        <v>28</v>
      </c>
      <c r="H365">
        <v>0</v>
      </c>
      <c r="I365">
        <v>0</v>
      </c>
      <c r="J365">
        <v>0</v>
      </c>
      <c r="K365">
        <v>0</v>
      </c>
    </row>
    <row r="366" spans="1:11" x14ac:dyDescent="0.25">
      <c r="A366" s="4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0</v>
      </c>
    </row>
    <row r="367" spans="1:11" x14ac:dyDescent="0.25">
      <c r="A367" s="4" t="s">
        <v>235</v>
      </c>
      <c r="B367">
        <v>7172030015000800</v>
      </c>
      <c r="C367">
        <v>154</v>
      </c>
      <c r="D367">
        <v>1</v>
      </c>
      <c r="E367">
        <v>0</v>
      </c>
      <c r="F367">
        <v>0</v>
      </c>
      <c r="G367">
        <v>153</v>
      </c>
      <c r="H367">
        <v>0</v>
      </c>
      <c r="I367">
        <v>0</v>
      </c>
      <c r="J367">
        <v>0</v>
      </c>
      <c r="K367">
        <v>0</v>
      </c>
    </row>
    <row r="368" spans="1:11" x14ac:dyDescent="0.25">
      <c r="A368" s="4" t="s">
        <v>235</v>
      </c>
      <c r="B368">
        <v>7172030015000300</v>
      </c>
      <c r="C368">
        <v>108</v>
      </c>
      <c r="D368">
        <v>8</v>
      </c>
      <c r="E368">
        <v>8</v>
      </c>
      <c r="F368">
        <v>0</v>
      </c>
      <c r="G368">
        <v>52</v>
      </c>
      <c r="H368">
        <v>0</v>
      </c>
      <c r="I368">
        <v>0</v>
      </c>
      <c r="J368">
        <v>40</v>
      </c>
      <c r="K368">
        <v>0</v>
      </c>
    </row>
    <row r="369" spans="1:11" x14ac:dyDescent="0.25">
      <c r="A369" s="4" t="s">
        <v>235</v>
      </c>
      <c r="B369">
        <v>7172030015001000</v>
      </c>
      <c r="C369">
        <v>80</v>
      </c>
      <c r="D369">
        <v>7</v>
      </c>
      <c r="E369">
        <v>13</v>
      </c>
      <c r="F369">
        <v>0</v>
      </c>
      <c r="G369">
        <v>12</v>
      </c>
      <c r="H369">
        <v>0</v>
      </c>
      <c r="I369">
        <v>0</v>
      </c>
      <c r="J369">
        <v>48</v>
      </c>
      <c r="K369">
        <v>0</v>
      </c>
    </row>
    <row r="370" spans="1:11" x14ac:dyDescent="0.25">
      <c r="A370" s="4" t="s">
        <v>235</v>
      </c>
      <c r="B370">
        <v>7172030015000400</v>
      </c>
      <c r="C370">
        <v>69</v>
      </c>
      <c r="D370">
        <v>0</v>
      </c>
      <c r="E370">
        <v>14</v>
      </c>
      <c r="F370">
        <v>0</v>
      </c>
      <c r="G370">
        <v>51</v>
      </c>
      <c r="H370">
        <v>0</v>
      </c>
      <c r="I370">
        <v>0</v>
      </c>
      <c r="J370">
        <v>4</v>
      </c>
      <c r="K370">
        <v>0</v>
      </c>
    </row>
    <row r="371" spans="1:11" x14ac:dyDescent="0.25">
      <c r="A371" s="4" t="s">
        <v>235</v>
      </c>
      <c r="B371">
        <v>7172030015001100</v>
      </c>
      <c r="C371">
        <v>60</v>
      </c>
      <c r="D371">
        <v>11</v>
      </c>
      <c r="E371">
        <v>2</v>
      </c>
      <c r="F371">
        <v>0</v>
      </c>
      <c r="G371">
        <v>18</v>
      </c>
      <c r="H371">
        <v>2</v>
      </c>
      <c r="I371">
        <v>0</v>
      </c>
      <c r="J371">
        <v>27</v>
      </c>
      <c r="K371">
        <v>0</v>
      </c>
    </row>
    <row r="372" spans="1:11" x14ac:dyDescent="0.25">
      <c r="A372" s="4" t="s">
        <v>235</v>
      </c>
      <c r="B372">
        <v>7172030015000700</v>
      </c>
      <c r="C372">
        <v>46</v>
      </c>
      <c r="D372">
        <v>0</v>
      </c>
      <c r="E372">
        <v>0</v>
      </c>
      <c r="F372">
        <v>0</v>
      </c>
      <c r="G372">
        <v>46</v>
      </c>
      <c r="H372">
        <v>0</v>
      </c>
      <c r="I372">
        <v>0</v>
      </c>
      <c r="J372">
        <v>0</v>
      </c>
      <c r="K372">
        <v>0</v>
      </c>
    </row>
    <row r="373" spans="1:11" x14ac:dyDescent="0.25">
      <c r="A373" s="4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45</v>
      </c>
      <c r="H373">
        <v>0</v>
      </c>
      <c r="I373">
        <v>0</v>
      </c>
      <c r="J373">
        <v>0</v>
      </c>
      <c r="K373">
        <v>0</v>
      </c>
    </row>
    <row r="374" spans="1:11" x14ac:dyDescent="0.25">
      <c r="A374" s="4" t="s">
        <v>235</v>
      </c>
      <c r="B374">
        <v>7172030015000600</v>
      </c>
      <c r="C374">
        <v>38</v>
      </c>
      <c r="D374">
        <v>0</v>
      </c>
      <c r="E374">
        <v>0</v>
      </c>
      <c r="F374">
        <v>0</v>
      </c>
      <c r="G374">
        <v>38</v>
      </c>
      <c r="H374">
        <v>0</v>
      </c>
      <c r="I374">
        <v>0</v>
      </c>
      <c r="J374">
        <v>0</v>
      </c>
      <c r="K374">
        <v>0</v>
      </c>
    </row>
    <row r="375" spans="1:11" x14ac:dyDescent="0.25">
      <c r="A375" s="4" t="s">
        <v>235</v>
      </c>
      <c r="B375">
        <v>7172030015000900</v>
      </c>
      <c r="C375">
        <v>24</v>
      </c>
      <c r="D375">
        <v>0</v>
      </c>
      <c r="E375">
        <v>0</v>
      </c>
      <c r="F375">
        <v>0</v>
      </c>
      <c r="G375">
        <v>24</v>
      </c>
      <c r="H375">
        <v>0</v>
      </c>
      <c r="I375">
        <v>0</v>
      </c>
      <c r="J375">
        <v>0</v>
      </c>
      <c r="K375">
        <v>0</v>
      </c>
    </row>
    <row r="376" spans="1:11" x14ac:dyDescent="0.25">
      <c r="A376" s="4" t="s">
        <v>236</v>
      </c>
      <c r="B376">
        <v>7172030014001100</v>
      </c>
      <c r="C376">
        <v>244</v>
      </c>
      <c r="D376">
        <v>46</v>
      </c>
      <c r="E376">
        <v>3</v>
      </c>
      <c r="F376">
        <v>0</v>
      </c>
      <c r="G376">
        <v>42</v>
      </c>
      <c r="H376">
        <v>1</v>
      </c>
      <c r="I376">
        <v>0</v>
      </c>
      <c r="J376">
        <v>152</v>
      </c>
      <c r="K376">
        <v>0</v>
      </c>
    </row>
    <row r="377" spans="1:11" x14ac:dyDescent="0.25">
      <c r="A377" s="4" t="s">
        <v>236</v>
      </c>
      <c r="B377">
        <v>7172030014001200</v>
      </c>
      <c r="C377">
        <v>117</v>
      </c>
      <c r="D377">
        <v>9</v>
      </c>
      <c r="E377">
        <v>0</v>
      </c>
      <c r="F377">
        <v>0</v>
      </c>
      <c r="G377">
        <v>94</v>
      </c>
      <c r="H377">
        <v>1</v>
      </c>
      <c r="I377">
        <v>0</v>
      </c>
      <c r="J377">
        <v>13</v>
      </c>
      <c r="K377">
        <v>0</v>
      </c>
    </row>
    <row r="378" spans="1:11" x14ac:dyDescent="0.25">
      <c r="A378" s="4" t="s">
        <v>236</v>
      </c>
      <c r="B378">
        <v>7172030014001000</v>
      </c>
      <c r="C378">
        <v>112</v>
      </c>
      <c r="D378">
        <v>1</v>
      </c>
      <c r="E378">
        <v>0</v>
      </c>
      <c r="F378">
        <v>0</v>
      </c>
      <c r="G378">
        <v>111</v>
      </c>
      <c r="H378">
        <v>0</v>
      </c>
      <c r="I378">
        <v>0</v>
      </c>
      <c r="J378">
        <v>0</v>
      </c>
      <c r="K378">
        <v>0</v>
      </c>
    </row>
    <row r="379" spans="1:11" x14ac:dyDescent="0.25">
      <c r="A379" s="4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64</v>
      </c>
      <c r="H379">
        <v>0</v>
      </c>
      <c r="I379">
        <v>0</v>
      </c>
      <c r="J379">
        <v>0</v>
      </c>
      <c r="K379">
        <v>0</v>
      </c>
    </row>
    <row r="380" spans="1:11" x14ac:dyDescent="0.25">
      <c r="A380" s="4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63</v>
      </c>
      <c r="H380">
        <v>0</v>
      </c>
      <c r="I380">
        <v>0</v>
      </c>
      <c r="J380">
        <v>0</v>
      </c>
      <c r="K380">
        <v>0</v>
      </c>
    </row>
    <row r="381" spans="1:11" x14ac:dyDescent="0.25">
      <c r="A381" s="4" t="s">
        <v>105</v>
      </c>
      <c r="B381">
        <v>7172030015001800</v>
      </c>
      <c r="C381">
        <v>117</v>
      </c>
      <c r="D381">
        <v>0</v>
      </c>
      <c r="E381">
        <v>0</v>
      </c>
      <c r="F381">
        <v>0</v>
      </c>
      <c r="G381">
        <v>117</v>
      </c>
      <c r="H381">
        <v>0</v>
      </c>
      <c r="I381">
        <v>0</v>
      </c>
      <c r="J381">
        <v>0</v>
      </c>
      <c r="K381">
        <v>0</v>
      </c>
    </row>
    <row r="382" spans="1:11" x14ac:dyDescent="0.25">
      <c r="A382" s="4" t="s">
        <v>105</v>
      </c>
      <c r="B382">
        <v>7172030015001300</v>
      </c>
      <c r="C382">
        <v>96</v>
      </c>
      <c r="D382">
        <v>6</v>
      </c>
      <c r="E382">
        <v>20</v>
      </c>
      <c r="F382">
        <v>0</v>
      </c>
      <c r="G382">
        <v>12</v>
      </c>
      <c r="H382">
        <v>0</v>
      </c>
      <c r="I382">
        <v>0</v>
      </c>
      <c r="J382">
        <v>58</v>
      </c>
      <c r="K382">
        <v>0</v>
      </c>
    </row>
    <row r="383" spans="1:11" x14ac:dyDescent="0.25">
      <c r="A383" s="4" t="s">
        <v>105</v>
      </c>
      <c r="B383">
        <v>7172030015001701</v>
      </c>
      <c r="C383">
        <v>86</v>
      </c>
      <c r="D383">
        <v>0</v>
      </c>
      <c r="E383">
        <v>6</v>
      </c>
      <c r="F383">
        <v>0</v>
      </c>
      <c r="G383">
        <v>80</v>
      </c>
      <c r="H383">
        <v>0</v>
      </c>
      <c r="I383">
        <v>0</v>
      </c>
      <c r="J383">
        <v>0</v>
      </c>
      <c r="K383">
        <v>0</v>
      </c>
    </row>
    <row r="384" spans="1:11" x14ac:dyDescent="0.25">
      <c r="A384" s="4" t="s">
        <v>105</v>
      </c>
      <c r="B384">
        <v>7172030015001200</v>
      </c>
      <c r="C384">
        <v>67</v>
      </c>
      <c r="D384">
        <v>19</v>
      </c>
      <c r="E384">
        <v>5</v>
      </c>
      <c r="F384">
        <v>0</v>
      </c>
      <c r="G384">
        <v>1</v>
      </c>
      <c r="H384">
        <v>0</v>
      </c>
      <c r="I384">
        <v>0</v>
      </c>
      <c r="J384">
        <v>42</v>
      </c>
      <c r="K384">
        <v>0</v>
      </c>
    </row>
    <row r="385" spans="1:11" x14ac:dyDescent="0.25">
      <c r="A385" s="4" t="s">
        <v>105</v>
      </c>
      <c r="B385">
        <v>7172030015001703</v>
      </c>
      <c r="C385">
        <v>35</v>
      </c>
      <c r="D385">
        <v>0</v>
      </c>
      <c r="E385">
        <v>0</v>
      </c>
      <c r="F385">
        <v>0</v>
      </c>
      <c r="G385">
        <v>35</v>
      </c>
      <c r="H385">
        <v>0</v>
      </c>
      <c r="I385">
        <v>0</v>
      </c>
      <c r="J385">
        <v>0</v>
      </c>
      <c r="K385">
        <v>0</v>
      </c>
    </row>
    <row r="386" spans="1:11" x14ac:dyDescent="0.25">
      <c r="A386" s="4" t="s">
        <v>109</v>
      </c>
      <c r="B386">
        <v>7172031001000700</v>
      </c>
      <c r="C386">
        <v>79</v>
      </c>
      <c r="D386">
        <v>0</v>
      </c>
      <c r="E386">
        <v>0</v>
      </c>
      <c r="F386">
        <v>0</v>
      </c>
      <c r="G386">
        <v>79</v>
      </c>
      <c r="H386">
        <v>0</v>
      </c>
      <c r="I386">
        <v>0</v>
      </c>
      <c r="J386">
        <v>0</v>
      </c>
      <c r="K386">
        <v>0</v>
      </c>
    </row>
    <row r="387" spans="1:11" x14ac:dyDescent="0.25">
      <c r="A387" s="4" t="s">
        <v>109</v>
      </c>
      <c r="B387">
        <v>7172031001001200</v>
      </c>
      <c r="C387">
        <v>58</v>
      </c>
      <c r="D387">
        <v>0</v>
      </c>
      <c r="E387">
        <v>0</v>
      </c>
      <c r="F387">
        <v>0</v>
      </c>
      <c r="G387">
        <v>58</v>
      </c>
      <c r="H387">
        <v>0</v>
      </c>
      <c r="I387">
        <v>0</v>
      </c>
      <c r="J387">
        <v>0</v>
      </c>
      <c r="K387">
        <v>0</v>
      </c>
    </row>
    <row r="388" spans="1:11" x14ac:dyDescent="0.25">
      <c r="A388" s="4" t="s">
        <v>109</v>
      </c>
      <c r="B388">
        <v>7172031001001400</v>
      </c>
      <c r="C388">
        <v>56</v>
      </c>
      <c r="D388">
        <v>20</v>
      </c>
      <c r="E388">
        <v>12</v>
      </c>
      <c r="F388">
        <v>0</v>
      </c>
      <c r="G388">
        <v>2</v>
      </c>
      <c r="H388">
        <v>4</v>
      </c>
      <c r="I388">
        <v>0</v>
      </c>
      <c r="J388">
        <v>18</v>
      </c>
      <c r="K388">
        <v>0</v>
      </c>
    </row>
    <row r="389" spans="1:11" x14ac:dyDescent="0.25">
      <c r="A389" s="4" t="s">
        <v>109</v>
      </c>
      <c r="B389">
        <v>7172031001000800</v>
      </c>
      <c r="C389">
        <v>49</v>
      </c>
      <c r="D389">
        <v>9</v>
      </c>
      <c r="E389">
        <v>38</v>
      </c>
      <c r="F389">
        <v>0</v>
      </c>
      <c r="G389">
        <v>2</v>
      </c>
      <c r="H389">
        <v>0</v>
      </c>
      <c r="I389">
        <v>0</v>
      </c>
      <c r="J389">
        <v>0</v>
      </c>
      <c r="K389">
        <v>0</v>
      </c>
    </row>
    <row r="390" spans="1:11" x14ac:dyDescent="0.25">
      <c r="A390" s="4" t="s">
        <v>109</v>
      </c>
      <c r="B390">
        <v>7172031001001100</v>
      </c>
      <c r="C390">
        <v>49</v>
      </c>
      <c r="D390">
        <v>0</v>
      </c>
      <c r="E390">
        <v>0</v>
      </c>
      <c r="F390">
        <v>0</v>
      </c>
      <c r="G390">
        <v>49</v>
      </c>
      <c r="H390">
        <v>0</v>
      </c>
      <c r="I390">
        <v>0</v>
      </c>
      <c r="J390">
        <v>0</v>
      </c>
      <c r="K390">
        <v>0</v>
      </c>
    </row>
    <row r="391" spans="1:11" x14ac:dyDescent="0.25">
      <c r="A391" s="4" t="s">
        <v>109</v>
      </c>
      <c r="B391">
        <v>7172031001001300</v>
      </c>
      <c r="C391">
        <v>47</v>
      </c>
      <c r="D391">
        <v>28</v>
      </c>
      <c r="E391">
        <v>5</v>
      </c>
      <c r="F391">
        <v>0</v>
      </c>
      <c r="G391">
        <v>1</v>
      </c>
      <c r="H391">
        <v>5</v>
      </c>
      <c r="I391">
        <v>0</v>
      </c>
      <c r="J391">
        <v>8</v>
      </c>
      <c r="K391">
        <v>0</v>
      </c>
    </row>
    <row r="392" spans="1:11" x14ac:dyDescent="0.25">
      <c r="A392" s="4" t="s">
        <v>109</v>
      </c>
      <c r="B392">
        <v>7172031001000600</v>
      </c>
      <c r="C392">
        <v>46</v>
      </c>
      <c r="D392">
        <v>0</v>
      </c>
      <c r="E392">
        <v>0</v>
      </c>
      <c r="F392">
        <v>0</v>
      </c>
      <c r="G392">
        <v>46</v>
      </c>
      <c r="H392">
        <v>0</v>
      </c>
      <c r="I392">
        <v>0</v>
      </c>
      <c r="J392">
        <v>0</v>
      </c>
      <c r="K392">
        <v>0</v>
      </c>
    </row>
    <row r="393" spans="1:11" x14ac:dyDescent="0.25">
      <c r="A393" s="4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42</v>
      </c>
      <c r="H393">
        <v>0</v>
      </c>
      <c r="I393">
        <v>0</v>
      </c>
      <c r="J393">
        <v>0</v>
      </c>
      <c r="K393">
        <v>0</v>
      </c>
    </row>
    <row r="394" spans="1:11" x14ac:dyDescent="0.25">
      <c r="A394" s="4" t="s">
        <v>109</v>
      </c>
      <c r="B394">
        <v>7172031001000400</v>
      </c>
      <c r="C394">
        <v>38</v>
      </c>
      <c r="D394">
        <v>0</v>
      </c>
      <c r="E394">
        <v>0</v>
      </c>
      <c r="F394">
        <v>0</v>
      </c>
      <c r="G394">
        <v>38</v>
      </c>
      <c r="H394">
        <v>0</v>
      </c>
      <c r="I394">
        <v>0</v>
      </c>
      <c r="J394">
        <v>0</v>
      </c>
      <c r="K394">
        <v>0</v>
      </c>
    </row>
    <row r="395" spans="1:11" x14ac:dyDescent="0.25">
      <c r="A395" s="4" t="s">
        <v>109</v>
      </c>
      <c r="B395">
        <v>7172031001001000</v>
      </c>
      <c r="C395">
        <v>32</v>
      </c>
      <c r="D395">
        <v>0</v>
      </c>
      <c r="E395">
        <v>2</v>
      </c>
      <c r="F395">
        <v>0</v>
      </c>
      <c r="G395">
        <v>30</v>
      </c>
      <c r="H395">
        <v>0</v>
      </c>
      <c r="I395">
        <v>0</v>
      </c>
      <c r="J395">
        <v>0</v>
      </c>
      <c r="K395">
        <v>0</v>
      </c>
    </row>
    <row r="396" spans="1:11" x14ac:dyDescent="0.25">
      <c r="A396" s="4" t="s">
        <v>109</v>
      </c>
      <c r="B396">
        <v>7172031001000300</v>
      </c>
      <c r="C396">
        <v>31</v>
      </c>
      <c r="D396">
        <v>0</v>
      </c>
      <c r="E396">
        <v>0</v>
      </c>
      <c r="F396">
        <v>0</v>
      </c>
      <c r="G396">
        <v>31</v>
      </c>
      <c r="H396">
        <v>0</v>
      </c>
      <c r="I396">
        <v>0</v>
      </c>
      <c r="J396">
        <v>0</v>
      </c>
      <c r="K396">
        <v>0</v>
      </c>
    </row>
    <row r="397" spans="1:11" x14ac:dyDescent="0.25">
      <c r="A397" s="4" t="s">
        <v>109</v>
      </c>
      <c r="B397">
        <v>7172031001000900</v>
      </c>
      <c r="C397">
        <v>29</v>
      </c>
      <c r="D397">
        <v>0</v>
      </c>
      <c r="E397">
        <v>17</v>
      </c>
      <c r="F397">
        <v>0</v>
      </c>
      <c r="G397">
        <v>12</v>
      </c>
      <c r="H397">
        <v>0</v>
      </c>
      <c r="I397">
        <v>0</v>
      </c>
      <c r="J397">
        <v>0</v>
      </c>
      <c r="K397">
        <v>0</v>
      </c>
    </row>
    <row r="398" spans="1:11" x14ac:dyDescent="0.25">
      <c r="A398" s="4" t="s">
        <v>109</v>
      </c>
      <c r="B398">
        <v>7172031001000100</v>
      </c>
      <c r="C398">
        <v>26</v>
      </c>
      <c r="D398">
        <v>0</v>
      </c>
      <c r="E398">
        <v>0</v>
      </c>
      <c r="F398">
        <v>0</v>
      </c>
      <c r="G398">
        <v>26</v>
      </c>
      <c r="H398">
        <v>0</v>
      </c>
      <c r="I398">
        <v>0</v>
      </c>
      <c r="J398">
        <v>0</v>
      </c>
      <c r="K398">
        <v>0</v>
      </c>
    </row>
    <row r="399" spans="1:11" x14ac:dyDescent="0.25">
      <c r="A399" s="4" t="s">
        <v>109</v>
      </c>
      <c r="B399">
        <v>7172031001000200</v>
      </c>
      <c r="C399">
        <v>25</v>
      </c>
      <c r="D399">
        <v>0</v>
      </c>
      <c r="E399">
        <v>0</v>
      </c>
      <c r="F399">
        <v>0</v>
      </c>
      <c r="G399">
        <v>25</v>
      </c>
      <c r="H399">
        <v>0</v>
      </c>
      <c r="I399">
        <v>0</v>
      </c>
      <c r="J399">
        <v>0</v>
      </c>
      <c r="K399">
        <v>0</v>
      </c>
    </row>
    <row r="400" spans="1:11" x14ac:dyDescent="0.25">
      <c r="A400" s="4" t="s">
        <v>113</v>
      </c>
      <c r="B400">
        <v>7172031005001800</v>
      </c>
      <c r="C400">
        <v>106</v>
      </c>
      <c r="D400">
        <v>0</v>
      </c>
      <c r="E400">
        <v>0</v>
      </c>
      <c r="F400">
        <v>0</v>
      </c>
      <c r="G400">
        <v>106</v>
      </c>
      <c r="H400">
        <v>0</v>
      </c>
      <c r="I400">
        <v>0</v>
      </c>
      <c r="J400">
        <v>0</v>
      </c>
      <c r="K400">
        <v>0</v>
      </c>
    </row>
    <row r="401" spans="1:11" x14ac:dyDescent="0.25">
      <c r="A401" s="4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99</v>
      </c>
      <c r="H401">
        <v>0</v>
      </c>
      <c r="I401">
        <v>0</v>
      </c>
      <c r="J401">
        <v>0</v>
      </c>
      <c r="K401">
        <v>0</v>
      </c>
    </row>
    <row r="402" spans="1:11" x14ac:dyDescent="0.25">
      <c r="A402" s="4" t="s">
        <v>113</v>
      </c>
      <c r="B402">
        <v>7172031005001500</v>
      </c>
      <c r="C402">
        <v>82</v>
      </c>
      <c r="D402">
        <v>46</v>
      </c>
      <c r="E402">
        <v>2</v>
      </c>
      <c r="F402">
        <v>0</v>
      </c>
      <c r="G402">
        <v>0</v>
      </c>
      <c r="H402">
        <v>26</v>
      </c>
      <c r="I402">
        <v>0</v>
      </c>
      <c r="J402">
        <v>8</v>
      </c>
      <c r="K402">
        <v>0</v>
      </c>
    </row>
    <row r="403" spans="1:11" x14ac:dyDescent="0.25">
      <c r="A403" s="4" t="s">
        <v>113</v>
      </c>
      <c r="B403">
        <v>7172031005000800</v>
      </c>
      <c r="C403">
        <v>81</v>
      </c>
      <c r="D403">
        <v>0</v>
      </c>
      <c r="E403">
        <v>0</v>
      </c>
      <c r="F403">
        <v>0</v>
      </c>
      <c r="G403">
        <v>81</v>
      </c>
      <c r="H403">
        <v>0</v>
      </c>
      <c r="I403">
        <v>0</v>
      </c>
      <c r="J403">
        <v>0</v>
      </c>
      <c r="K403">
        <v>0</v>
      </c>
    </row>
    <row r="404" spans="1:11" x14ac:dyDescent="0.25">
      <c r="A404" s="4" t="s">
        <v>113</v>
      </c>
      <c r="B404">
        <v>7172031005001300</v>
      </c>
      <c r="C404">
        <v>74</v>
      </c>
      <c r="D404">
        <v>0</v>
      </c>
      <c r="E404">
        <v>0</v>
      </c>
      <c r="F404">
        <v>0</v>
      </c>
      <c r="G404">
        <v>74</v>
      </c>
      <c r="H404">
        <v>0</v>
      </c>
      <c r="I404">
        <v>0</v>
      </c>
      <c r="J404">
        <v>0</v>
      </c>
      <c r="K404">
        <v>0</v>
      </c>
    </row>
    <row r="405" spans="1:11" x14ac:dyDescent="0.25">
      <c r="A405" s="4" t="s">
        <v>113</v>
      </c>
      <c r="B405">
        <v>7172031005001400</v>
      </c>
      <c r="C405">
        <v>67</v>
      </c>
      <c r="D405">
        <v>26</v>
      </c>
      <c r="E405">
        <v>14</v>
      </c>
      <c r="F405">
        <v>0</v>
      </c>
      <c r="G405">
        <v>2</v>
      </c>
      <c r="H405">
        <v>1</v>
      </c>
      <c r="I405">
        <v>0</v>
      </c>
      <c r="J405">
        <v>24</v>
      </c>
      <c r="K405">
        <v>0</v>
      </c>
    </row>
    <row r="406" spans="1:11" x14ac:dyDescent="0.25">
      <c r="A406" s="4" t="s">
        <v>113</v>
      </c>
      <c r="B406">
        <v>7172031005001600</v>
      </c>
      <c r="C406">
        <v>61</v>
      </c>
      <c r="D406">
        <v>0</v>
      </c>
      <c r="E406">
        <v>10</v>
      </c>
      <c r="F406">
        <v>0</v>
      </c>
      <c r="G406">
        <v>49</v>
      </c>
      <c r="H406">
        <v>0</v>
      </c>
      <c r="I406">
        <v>0</v>
      </c>
      <c r="J406">
        <v>2</v>
      </c>
      <c r="K406">
        <v>0</v>
      </c>
    </row>
    <row r="407" spans="1:11" x14ac:dyDescent="0.25">
      <c r="A407" s="4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51</v>
      </c>
      <c r="H407">
        <v>0</v>
      </c>
      <c r="I407">
        <v>0</v>
      </c>
      <c r="J407">
        <v>0</v>
      </c>
      <c r="K407">
        <v>0</v>
      </c>
    </row>
    <row r="408" spans="1:11" x14ac:dyDescent="0.25">
      <c r="A408" s="4" t="s">
        <v>114</v>
      </c>
      <c r="B408">
        <v>7172031003001300</v>
      </c>
      <c r="C408">
        <v>85</v>
      </c>
      <c r="D408">
        <v>79</v>
      </c>
      <c r="E408">
        <v>6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</row>
    <row r="409" spans="1:11" x14ac:dyDescent="0.25">
      <c r="A409" s="4" t="s">
        <v>114</v>
      </c>
      <c r="B409">
        <v>7172031003000500</v>
      </c>
      <c r="C409">
        <v>67</v>
      </c>
      <c r="D409">
        <v>0</v>
      </c>
      <c r="E409">
        <v>0</v>
      </c>
      <c r="F409">
        <v>0</v>
      </c>
      <c r="G409">
        <v>67</v>
      </c>
      <c r="H409">
        <v>0</v>
      </c>
      <c r="I409">
        <v>0</v>
      </c>
      <c r="J409">
        <v>0</v>
      </c>
      <c r="K409">
        <v>0</v>
      </c>
    </row>
    <row r="410" spans="1:11" x14ac:dyDescent="0.25">
      <c r="A410" s="4" t="s">
        <v>114</v>
      </c>
      <c r="B410">
        <v>7172031003001600</v>
      </c>
      <c r="C410">
        <v>65</v>
      </c>
      <c r="D410">
        <v>0</v>
      </c>
      <c r="E410">
        <v>0</v>
      </c>
      <c r="F410">
        <v>0</v>
      </c>
      <c r="G410">
        <v>65</v>
      </c>
      <c r="H410">
        <v>0</v>
      </c>
      <c r="I410">
        <v>0</v>
      </c>
      <c r="J410">
        <v>0</v>
      </c>
      <c r="K410">
        <v>0</v>
      </c>
    </row>
    <row r="411" spans="1:11" x14ac:dyDescent="0.25">
      <c r="A411" s="4" t="s">
        <v>114</v>
      </c>
      <c r="B411">
        <v>7172031003000800</v>
      </c>
      <c r="C411">
        <v>57</v>
      </c>
      <c r="D411">
        <v>15</v>
      </c>
      <c r="E411">
        <v>0</v>
      </c>
      <c r="F411">
        <v>0</v>
      </c>
      <c r="G411">
        <v>42</v>
      </c>
      <c r="H411">
        <v>0</v>
      </c>
      <c r="I411">
        <v>0</v>
      </c>
      <c r="J411">
        <v>0</v>
      </c>
      <c r="K411">
        <v>0</v>
      </c>
    </row>
    <row r="412" spans="1:11" x14ac:dyDescent="0.25">
      <c r="A412" s="4" t="s">
        <v>114</v>
      </c>
      <c r="B412">
        <v>7172031003000900</v>
      </c>
      <c r="C412">
        <v>54</v>
      </c>
      <c r="D412">
        <v>45</v>
      </c>
      <c r="E412">
        <v>8</v>
      </c>
      <c r="F412">
        <v>0</v>
      </c>
      <c r="G412">
        <v>0</v>
      </c>
      <c r="H412">
        <v>1</v>
      </c>
      <c r="I412">
        <v>0</v>
      </c>
      <c r="J412">
        <v>0</v>
      </c>
      <c r="K412">
        <v>0</v>
      </c>
    </row>
    <row r="413" spans="1:11" x14ac:dyDescent="0.25">
      <c r="A413" s="4" t="s">
        <v>114</v>
      </c>
      <c r="B413">
        <v>7172031003001000</v>
      </c>
      <c r="C413">
        <v>50</v>
      </c>
      <c r="D413">
        <v>2</v>
      </c>
      <c r="E413">
        <v>0</v>
      </c>
      <c r="F413">
        <v>0</v>
      </c>
      <c r="G413">
        <v>48</v>
      </c>
      <c r="H413">
        <v>0</v>
      </c>
      <c r="I413">
        <v>0</v>
      </c>
      <c r="J413">
        <v>0</v>
      </c>
      <c r="K413">
        <v>0</v>
      </c>
    </row>
    <row r="414" spans="1:11" x14ac:dyDescent="0.25">
      <c r="A414" s="4" t="s">
        <v>114</v>
      </c>
      <c r="B414">
        <v>7172031003000600</v>
      </c>
      <c r="C414">
        <v>43</v>
      </c>
      <c r="D414">
        <v>0</v>
      </c>
      <c r="E414">
        <v>0</v>
      </c>
      <c r="F414">
        <v>0</v>
      </c>
      <c r="G414">
        <v>43</v>
      </c>
      <c r="H414">
        <v>0</v>
      </c>
      <c r="I414">
        <v>0</v>
      </c>
      <c r="J414">
        <v>0</v>
      </c>
      <c r="K414">
        <v>0</v>
      </c>
    </row>
    <row r="415" spans="1:11" x14ac:dyDescent="0.25">
      <c r="A415" s="4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42</v>
      </c>
      <c r="H415">
        <v>0</v>
      </c>
      <c r="I415">
        <v>0</v>
      </c>
      <c r="J415">
        <v>0</v>
      </c>
      <c r="K415">
        <v>0</v>
      </c>
    </row>
    <row r="416" spans="1:11" x14ac:dyDescent="0.25">
      <c r="A416" s="4" t="s">
        <v>114</v>
      </c>
      <c r="B416">
        <v>7172031003000700</v>
      </c>
      <c r="C416">
        <v>40</v>
      </c>
      <c r="D416">
        <v>0</v>
      </c>
      <c r="E416">
        <v>0</v>
      </c>
      <c r="F416">
        <v>0</v>
      </c>
      <c r="G416">
        <v>40</v>
      </c>
      <c r="H416">
        <v>0</v>
      </c>
      <c r="I416">
        <v>0</v>
      </c>
      <c r="J416">
        <v>0</v>
      </c>
      <c r="K416">
        <v>0</v>
      </c>
    </row>
    <row r="417" spans="1:11" x14ac:dyDescent="0.25">
      <c r="A417" s="4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39</v>
      </c>
      <c r="H417">
        <v>0</v>
      </c>
      <c r="I417">
        <v>0</v>
      </c>
      <c r="J417">
        <v>0</v>
      </c>
      <c r="K417">
        <v>0</v>
      </c>
    </row>
    <row r="418" spans="1:11" x14ac:dyDescent="0.25">
      <c r="A418" s="4" t="s">
        <v>114</v>
      </c>
      <c r="B418">
        <v>7172031003000400</v>
      </c>
      <c r="C418">
        <v>34</v>
      </c>
      <c r="D418">
        <v>6</v>
      </c>
      <c r="E418">
        <v>3</v>
      </c>
      <c r="F418">
        <v>0</v>
      </c>
      <c r="G418">
        <v>25</v>
      </c>
      <c r="H418">
        <v>0</v>
      </c>
      <c r="I418">
        <v>0</v>
      </c>
      <c r="J418">
        <v>0</v>
      </c>
      <c r="K418">
        <v>0</v>
      </c>
    </row>
    <row r="419" spans="1:11" x14ac:dyDescent="0.25">
      <c r="A419" s="4" t="s">
        <v>114</v>
      </c>
      <c r="B419">
        <v>7172031003001200</v>
      </c>
      <c r="C419">
        <v>28</v>
      </c>
      <c r="D419">
        <v>0</v>
      </c>
      <c r="E419">
        <v>0</v>
      </c>
      <c r="F419">
        <v>0</v>
      </c>
      <c r="G419">
        <v>28</v>
      </c>
      <c r="H419">
        <v>0</v>
      </c>
      <c r="I419">
        <v>0</v>
      </c>
      <c r="J419">
        <v>0</v>
      </c>
      <c r="K419">
        <v>0</v>
      </c>
    </row>
    <row r="420" spans="1:11" x14ac:dyDescent="0.25">
      <c r="A420" s="4" t="s">
        <v>114</v>
      </c>
      <c r="B420">
        <v>7172031003001100</v>
      </c>
      <c r="C420">
        <v>23</v>
      </c>
      <c r="D420">
        <v>0</v>
      </c>
      <c r="E420">
        <v>0</v>
      </c>
      <c r="F420">
        <v>0</v>
      </c>
      <c r="G420">
        <v>23</v>
      </c>
      <c r="H420">
        <v>0</v>
      </c>
      <c r="I420">
        <v>0</v>
      </c>
      <c r="J420">
        <v>0</v>
      </c>
      <c r="K420">
        <v>0</v>
      </c>
    </row>
    <row r="421" spans="1:11" x14ac:dyDescent="0.25">
      <c r="A421" s="4" t="s">
        <v>119</v>
      </c>
      <c r="B421">
        <v>7172031005000500</v>
      </c>
      <c r="C421">
        <v>73</v>
      </c>
      <c r="D421">
        <v>1</v>
      </c>
      <c r="E421">
        <v>0</v>
      </c>
      <c r="F421">
        <v>0</v>
      </c>
      <c r="G421">
        <v>72</v>
      </c>
      <c r="H421">
        <v>0</v>
      </c>
      <c r="I421">
        <v>0</v>
      </c>
      <c r="J421">
        <v>0</v>
      </c>
      <c r="K421">
        <v>0</v>
      </c>
    </row>
    <row r="422" spans="1:11" x14ac:dyDescent="0.25">
      <c r="A422" s="4" t="s">
        <v>119</v>
      </c>
      <c r="B422">
        <v>7172031005001200</v>
      </c>
      <c r="C422">
        <v>73</v>
      </c>
      <c r="D422">
        <v>0</v>
      </c>
      <c r="E422">
        <v>0</v>
      </c>
      <c r="F422">
        <v>0</v>
      </c>
      <c r="G422">
        <v>73</v>
      </c>
      <c r="H422">
        <v>0</v>
      </c>
      <c r="I422">
        <v>0</v>
      </c>
      <c r="J422">
        <v>0</v>
      </c>
      <c r="K422">
        <v>0</v>
      </c>
    </row>
    <row r="423" spans="1:11" x14ac:dyDescent="0.25">
      <c r="A423" s="4" t="s">
        <v>119</v>
      </c>
      <c r="B423">
        <v>7172031005000400</v>
      </c>
      <c r="C423">
        <v>71</v>
      </c>
      <c r="D423">
        <v>0</v>
      </c>
      <c r="E423">
        <v>0</v>
      </c>
      <c r="F423">
        <v>0</v>
      </c>
      <c r="G423">
        <v>71</v>
      </c>
      <c r="H423">
        <v>0</v>
      </c>
      <c r="I423">
        <v>0</v>
      </c>
      <c r="J423">
        <v>0</v>
      </c>
      <c r="K423">
        <v>0</v>
      </c>
    </row>
    <row r="424" spans="1:11" x14ac:dyDescent="0.25">
      <c r="A424" s="4" t="s">
        <v>119</v>
      </c>
      <c r="B424">
        <v>7172031005000900</v>
      </c>
      <c r="C424">
        <v>60</v>
      </c>
      <c r="D424">
        <v>0</v>
      </c>
      <c r="E424">
        <v>0</v>
      </c>
      <c r="F424">
        <v>0</v>
      </c>
      <c r="G424">
        <v>60</v>
      </c>
      <c r="H424">
        <v>0</v>
      </c>
      <c r="I424">
        <v>0</v>
      </c>
      <c r="J424">
        <v>0</v>
      </c>
      <c r="K424">
        <v>0</v>
      </c>
    </row>
    <row r="425" spans="1:11" x14ac:dyDescent="0.25">
      <c r="A425" s="4" t="s">
        <v>119</v>
      </c>
      <c r="B425">
        <v>7172031005000300</v>
      </c>
      <c r="C425">
        <v>53</v>
      </c>
      <c r="D425">
        <v>39</v>
      </c>
      <c r="E425">
        <v>5</v>
      </c>
      <c r="F425">
        <v>0</v>
      </c>
      <c r="G425">
        <v>8</v>
      </c>
      <c r="H425">
        <v>1</v>
      </c>
      <c r="I425">
        <v>0</v>
      </c>
      <c r="J425">
        <v>0</v>
      </c>
      <c r="K425">
        <v>0</v>
      </c>
    </row>
    <row r="426" spans="1:11" x14ac:dyDescent="0.25">
      <c r="A426" s="4" t="s">
        <v>119</v>
      </c>
      <c r="B426">
        <v>7172031005000700</v>
      </c>
      <c r="C426">
        <v>50</v>
      </c>
      <c r="D426">
        <v>0</v>
      </c>
      <c r="E426">
        <v>0</v>
      </c>
      <c r="F426">
        <v>0</v>
      </c>
      <c r="G426">
        <v>50</v>
      </c>
      <c r="H426">
        <v>0</v>
      </c>
      <c r="I426">
        <v>0</v>
      </c>
      <c r="J426">
        <v>0</v>
      </c>
      <c r="K426">
        <v>0</v>
      </c>
    </row>
    <row r="427" spans="1:11" x14ac:dyDescent="0.25">
      <c r="A427" s="4" t="s">
        <v>119</v>
      </c>
      <c r="B427">
        <v>7172031005000200</v>
      </c>
      <c r="C427">
        <v>47</v>
      </c>
      <c r="D427">
        <v>11</v>
      </c>
      <c r="E427">
        <v>2</v>
      </c>
      <c r="F427">
        <v>0</v>
      </c>
      <c r="G427">
        <v>33</v>
      </c>
      <c r="H427">
        <v>1</v>
      </c>
      <c r="I427">
        <v>0</v>
      </c>
      <c r="J427">
        <v>0</v>
      </c>
      <c r="K427">
        <v>0</v>
      </c>
    </row>
    <row r="428" spans="1:11" x14ac:dyDescent="0.25">
      <c r="A428" s="4" t="s">
        <v>119</v>
      </c>
      <c r="B428">
        <v>7172031005001700</v>
      </c>
      <c r="C428">
        <v>45</v>
      </c>
      <c r="D428">
        <v>0</v>
      </c>
      <c r="E428">
        <v>0</v>
      </c>
      <c r="F428">
        <v>0</v>
      </c>
      <c r="G428">
        <v>45</v>
      </c>
      <c r="H428">
        <v>0</v>
      </c>
      <c r="I428">
        <v>0</v>
      </c>
      <c r="J428">
        <v>0</v>
      </c>
      <c r="K428">
        <v>0</v>
      </c>
    </row>
    <row r="429" spans="1:11" x14ac:dyDescent="0.25">
      <c r="A429" s="4" t="s">
        <v>119</v>
      </c>
      <c r="B429">
        <v>7172031005000600</v>
      </c>
      <c r="C429">
        <v>42</v>
      </c>
      <c r="D429">
        <v>0</v>
      </c>
      <c r="E429">
        <v>0</v>
      </c>
      <c r="F429">
        <v>0</v>
      </c>
      <c r="G429">
        <v>42</v>
      </c>
      <c r="H429">
        <v>0</v>
      </c>
      <c r="I429">
        <v>0</v>
      </c>
      <c r="J429">
        <v>0</v>
      </c>
      <c r="K429">
        <v>0</v>
      </c>
    </row>
    <row r="430" spans="1:11" x14ac:dyDescent="0.25">
      <c r="A430" s="4" t="s">
        <v>119</v>
      </c>
      <c r="B430">
        <v>7172031005001000</v>
      </c>
      <c r="C430">
        <v>41</v>
      </c>
      <c r="D430">
        <v>0</v>
      </c>
      <c r="E430">
        <v>0</v>
      </c>
      <c r="F430">
        <v>0</v>
      </c>
      <c r="G430">
        <v>41</v>
      </c>
      <c r="H430">
        <v>0</v>
      </c>
      <c r="I430">
        <v>0</v>
      </c>
      <c r="J430">
        <v>0</v>
      </c>
      <c r="K430">
        <v>0</v>
      </c>
    </row>
    <row r="431" spans="1:11" x14ac:dyDescent="0.25">
      <c r="A431" s="4" t="s">
        <v>119</v>
      </c>
      <c r="B431">
        <v>7172031005000100</v>
      </c>
      <c r="C431">
        <v>32</v>
      </c>
      <c r="D431">
        <v>29</v>
      </c>
      <c r="E431">
        <v>1</v>
      </c>
      <c r="F431">
        <v>0</v>
      </c>
      <c r="G431">
        <v>2</v>
      </c>
      <c r="H431">
        <v>0</v>
      </c>
      <c r="I431">
        <v>0</v>
      </c>
      <c r="J431">
        <v>0</v>
      </c>
      <c r="K431">
        <v>0</v>
      </c>
    </row>
    <row r="432" spans="1:11" x14ac:dyDescent="0.25">
      <c r="A432" s="4" t="s">
        <v>119</v>
      </c>
      <c r="B432">
        <v>7172031005001100</v>
      </c>
      <c r="C432">
        <v>31</v>
      </c>
      <c r="D432">
        <v>0</v>
      </c>
      <c r="E432">
        <v>0</v>
      </c>
      <c r="F432">
        <v>0</v>
      </c>
      <c r="G432">
        <v>31</v>
      </c>
      <c r="H432">
        <v>0</v>
      </c>
      <c r="I432">
        <v>0</v>
      </c>
      <c r="J432">
        <v>0</v>
      </c>
      <c r="K432">
        <v>0</v>
      </c>
    </row>
    <row r="433" spans="1:11" x14ac:dyDescent="0.25">
      <c r="A433" s="4" t="s">
        <v>121</v>
      </c>
      <c r="B433">
        <v>7172031006001100</v>
      </c>
      <c r="C433">
        <v>204</v>
      </c>
      <c r="D433">
        <v>71</v>
      </c>
      <c r="E433">
        <v>45</v>
      </c>
      <c r="F433">
        <v>0</v>
      </c>
      <c r="G433">
        <v>9</v>
      </c>
      <c r="H433">
        <v>46</v>
      </c>
      <c r="I433">
        <v>0</v>
      </c>
      <c r="J433">
        <v>33</v>
      </c>
      <c r="K433">
        <v>0</v>
      </c>
    </row>
    <row r="434" spans="1:11" x14ac:dyDescent="0.25">
      <c r="A434" s="4" t="s">
        <v>121</v>
      </c>
      <c r="B434">
        <v>7172031006000500</v>
      </c>
      <c r="C434">
        <v>189</v>
      </c>
      <c r="D434">
        <v>0</v>
      </c>
      <c r="E434">
        <v>0</v>
      </c>
      <c r="F434">
        <v>0</v>
      </c>
      <c r="G434">
        <v>189</v>
      </c>
      <c r="H434">
        <v>0</v>
      </c>
      <c r="I434">
        <v>0</v>
      </c>
      <c r="J434">
        <v>0</v>
      </c>
      <c r="K434">
        <v>0</v>
      </c>
    </row>
    <row r="435" spans="1:11" x14ac:dyDescent="0.25">
      <c r="A435" s="4" t="s">
        <v>121</v>
      </c>
      <c r="B435">
        <v>7172031006000600</v>
      </c>
      <c r="C435">
        <v>112</v>
      </c>
      <c r="D435">
        <v>0</v>
      </c>
      <c r="E435">
        <v>12</v>
      </c>
      <c r="F435">
        <v>0</v>
      </c>
      <c r="G435">
        <v>90</v>
      </c>
      <c r="H435">
        <v>0</v>
      </c>
      <c r="I435">
        <v>0</v>
      </c>
      <c r="J435">
        <v>10</v>
      </c>
      <c r="K435">
        <v>0</v>
      </c>
    </row>
    <row r="436" spans="1:11" x14ac:dyDescent="0.25">
      <c r="A436" s="4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72</v>
      </c>
      <c r="H436">
        <v>0</v>
      </c>
      <c r="I436">
        <v>0</v>
      </c>
      <c r="J436">
        <v>0</v>
      </c>
      <c r="K436">
        <v>0</v>
      </c>
    </row>
    <row r="437" spans="1:11" x14ac:dyDescent="0.25">
      <c r="A437" s="4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61</v>
      </c>
      <c r="H437">
        <v>0</v>
      </c>
      <c r="I437">
        <v>0</v>
      </c>
      <c r="J437">
        <v>0</v>
      </c>
      <c r="K437">
        <v>0</v>
      </c>
    </row>
    <row r="438" spans="1:11" x14ac:dyDescent="0.25">
      <c r="A438" s="4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154</v>
      </c>
      <c r="H438">
        <v>0</v>
      </c>
      <c r="I438">
        <v>0</v>
      </c>
      <c r="J438">
        <v>0</v>
      </c>
      <c r="K438">
        <v>0</v>
      </c>
    </row>
    <row r="439" spans="1:11" x14ac:dyDescent="0.25">
      <c r="A439" s="4" t="s">
        <v>125</v>
      </c>
      <c r="B439">
        <v>7172031007000800</v>
      </c>
      <c r="C439">
        <v>130</v>
      </c>
      <c r="D439">
        <v>18</v>
      </c>
      <c r="E439">
        <v>20</v>
      </c>
      <c r="F439">
        <v>0</v>
      </c>
      <c r="G439">
        <v>29</v>
      </c>
      <c r="H439">
        <v>1</v>
      </c>
      <c r="I439">
        <v>1</v>
      </c>
      <c r="J439">
        <v>61</v>
      </c>
      <c r="K439">
        <v>0</v>
      </c>
    </row>
    <row r="440" spans="1:11" x14ac:dyDescent="0.25">
      <c r="A440" s="4" t="s">
        <v>125</v>
      </c>
      <c r="B440">
        <v>7172031007000200</v>
      </c>
      <c r="C440">
        <v>99</v>
      </c>
      <c r="D440">
        <v>0</v>
      </c>
      <c r="E440">
        <v>0</v>
      </c>
      <c r="F440">
        <v>0</v>
      </c>
      <c r="G440">
        <v>99</v>
      </c>
      <c r="H440">
        <v>0</v>
      </c>
      <c r="I440">
        <v>0</v>
      </c>
      <c r="J440">
        <v>0</v>
      </c>
      <c r="K440">
        <v>0</v>
      </c>
    </row>
    <row r="441" spans="1:11" x14ac:dyDescent="0.25">
      <c r="A441" s="4" t="s">
        <v>125</v>
      </c>
      <c r="B441">
        <v>7172031007000500</v>
      </c>
      <c r="C441">
        <v>99</v>
      </c>
      <c r="D441">
        <v>63</v>
      </c>
      <c r="E441">
        <v>13</v>
      </c>
      <c r="F441">
        <v>0</v>
      </c>
      <c r="G441">
        <v>5</v>
      </c>
      <c r="H441">
        <v>3</v>
      </c>
      <c r="I441">
        <v>0</v>
      </c>
      <c r="J441">
        <v>15</v>
      </c>
      <c r="K441">
        <v>0</v>
      </c>
    </row>
    <row r="442" spans="1:11" x14ac:dyDescent="0.25">
      <c r="A442" s="4" t="s">
        <v>125</v>
      </c>
      <c r="B442">
        <v>7172031007002500</v>
      </c>
      <c r="C442">
        <v>66</v>
      </c>
      <c r="D442">
        <v>0</v>
      </c>
      <c r="E442">
        <v>0</v>
      </c>
      <c r="F442">
        <v>0</v>
      </c>
      <c r="G442">
        <v>66</v>
      </c>
      <c r="H442">
        <v>0</v>
      </c>
      <c r="I442">
        <v>0</v>
      </c>
      <c r="J442">
        <v>0</v>
      </c>
      <c r="K442">
        <v>0</v>
      </c>
    </row>
    <row r="443" spans="1:11" x14ac:dyDescent="0.25">
      <c r="A443" s="4" t="s">
        <v>125</v>
      </c>
      <c r="B443">
        <v>7172031007000400</v>
      </c>
      <c r="C443">
        <v>56</v>
      </c>
      <c r="D443">
        <v>0</v>
      </c>
      <c r="E443">
        <v>0</v>
      </c>
      <c r="F443">
        <v>0</v>
      </c>
      <c r="G443">
        <v>56</v>
      </c>
      <c r="H443">
        <v>0</v>
      </c>
      <c r="I443">
        <v>0</v>
      </c>
      <c r="J443">
        <v>0</v>
      </c>
      <c r="K443">
        <v>0</v>
      </c>
    </row>
    <row r="444" spans="1:11" x14ac:dyDescent="0.25">
      <c r="A444" s="4" t="s">
        <v>125</v>
      </c>
      <c r="B444">
        <v>7172031008000400</v>
      </c>
      <c r="C444">
        <v>34</v>
      </c>
      <c r="D444">
        <v>28</v>
      </c>
      <c r="E444">
        <v>0</v>
      </c>
      <c r="F444">
        <v>0</v>
      </c>
      <c r="G444">
        <v>0</v>
      </c>
      <c r="H444">
        <v>6</v>
      </c>
      <c r="I444">
        <v>0</v>
      </c>
      <c r="J444">
        <v>0</v>
      </c>
      <c r="K444">
        <v>0</v>
      </c>
    </row>
    <row r="445" spans="1:11" x14ac:dyDescent="0.25">
      <c r="A445" s="4" t="s">
        <v>126</v>
      </c>
      <c r="B445">
        <v>7172031007000600</v>
      </c>
      <c r="C445">
        <v>184</v>
      </c>
      <c r="D445">
        <v>97</v>
      </c>
      <c r="E445">
        <v>8</v>
      </c>
      <c r="F445">
        <v>0</v>
      </c>
      <c r="G445">
        <v>0</v>
      </c>
      <c r="H445">
        <v>1</v>
      </c>
      <c r="I445">
        <v>0</v>
      </c>
      <c r="J445">
        <v>78</v>
      </c>
      <c r="K445">
        <v>0</v>
      </c>
    </row>
    <row r="446" spans="1:11" x14ac:dyDescent="0.25">
      <c r="A446" s="4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117</v>
      </c>
      <c r="H446">
        <v>0</v>
      </c>
      <c r="I446">
        <v>0</v>
      </c>
      <c r="J446">
        <v>0</v>
      </c>
      <c r="K446">
        <v>0</v>
      </c>
    </row>
    <row r="447" spans="1:11" x14ac:dyDescent="0.25">
      <c r="A447" s="4" t="s">
        <v>126</v>
      </c>
      <c r="B447">
        <v>7172031007001300</v>
      </c>
      <c r="C447">
        <v>94</v>
      </c>
      <c r="D447">
        <v>0</v>
      </c>
      <c r="E447">
        <v>0</v>
      </c>
      <c r="F447">
        <v>0</v>
      </c>
      <c r="G447">
        <v>94</v>
      </c>
      <c r="H447">
        <v>0</v>
      </c>
      <c r="I447">
        <v>0</v>
      </c>
      <c r="J447">
        <v>0</v>
      </c>
      <c r="K447">
        <v>0</v>
      </c>
    </row>
    <row r="448" spans="1:11" x14ac:dyDescent="0.25">
      <c r="A448" s="4" t="s">
        <v>126</v>
      </c>
      <c r="B448">
        <v>7172031007000900</v>
      </c>
      <c r="C448">
        <v>92</v>
      </c>
      <c r="D448">
        <v>0</v>
      </c>
      <c r="E448">
        <v>0</v>
      </c>
      <c r="F448">
        <v>0</v>
      </c>
      <c r="G448">
        <v>92</v>
      </c>
      <c r="H448">
        <v>0</v>
      </c>
      <c r="I448">
        <v>0</v>
      </c>
      <c r="J448">
        <v>0</v>
      </c>
      <c r="K448">
        <v>0</v>
      </c>
    </row>
    <row r="449" spans="1:11" x14ac:dyDescent="0.25">
      <c r="A449" s="4" t="s">
        <v>126</v>
      </c>
      <c r="B449">
        <v>7172031007000700</v>
      </c>
      <c r="C449">
        <v>88</v>
      </c>
      <c r="D449">
        <v>0</v>
      </c>
      <c r="E449">
        <v>8</v>
      </c>
      <c r="F449">
        <v>0</v>
      </c>
      <c r="G449">
        <v>59</v>
      </c>
      <c r="H449">
        <v>0</v>
      </c>
      <c r="I449">
        <v>0</v>
      </c>
      <c r="J449">
        <v>21</v>
      </c>
      <c r="K449">
        <v>0</v>
      </c>
    </row>
    <row r="450" spans="1:11" x14ac:dyDescent="0.25">
      <c r="A450" s="4" t="s">
        <v>126</v>
      </c>
      <c r="B450">
        <v>7172031007001100</v>
      </c>
      <c r="C450">
        <v>54</v>
      </c>
      <c r="D450">
        <v>0</v>
      </c>
      <c r="E450">
        <v>0</v>
      </c>
      <c r="F450">
        <v>0</v>
      </c>
      <c r="G450">
        <v>53</v>
      </c>
      <c r="H450">
        <v>0</v>
      </c>
      <c r="I450">
        <v>0</v>
      </c>
      <c r="J450">
        <v>1</v>
      </c>
      <c r="K450">
        <v>0</v>
      </c>
    </row>
    <row r="451" spans="1:11" x14ac:dyDescent="0.25">
      <c r="A451" s="4" t="s">
        <v>123</v>
      </c>
      <c r="B451">
        <v>7172031007002700</v>
      </c>
      <c r="C451">
        <v>174</v>
      </c>
      <c r="D451">
        <v>107</v>
      </c>
      <c r="E451">
        <v>9</v>
      </c>
      <c r="F451">
        <v>0</v>
      </c>
      <c r="G451">
        <v>13</v>
      </c>
      <c r="H451">
        <v>30</v>
      </c>
      <c r="I451">
        <v>1</v>
      </c>
      <c r="J451">
        <v>14</v>
      </c>
      <c r="K451">
        <v>0</v>
      </c>
    </row>
    <row r="452" spans="1:11" x14ac:dyDescent="0.25">
      <c r="A452" s="4" t="s">
        <v>123</v>
      </c>
      <c r="B452">
        <v>7172031006000800</v>
      </c>
      <c r="C452">
        <v>130</v>
      </c>
      <c r="D452">
        <v>13</v>
      </c>
      <c r="E452">
        <v>0</v>
      </c>
      <c r="F452">
        <v>0</v>
      </c>
      <c r="G452">
        <v>117</v>
      </c>
      <c r="H452">
        <v>0</v>
      </c>
      <c r="I452">
        <v>0</v>
      </c>
      <c r="J452">
        <v>0</v>
      </c>
      <c r="K452">
        <v>0</v>
      </c>
    </row>
    <row r="453" spans="1:11" x14ac:dyDescent="0.25">
      <c r="A453" s="4" t="s">
        <v>123</v>
      </c>
      <c r="B453">
        <v>7172031007000300</v>
      </c>
      <c r="C453">
        <v>99</v>
      </c>
      <c r="D453">
        <v>1</v>
      </c>
      <c r="E453">
        <v>0</v>
      </c>
      <c r="F453">
        <v>0</v>
      </c>
      <c r="G453">
        <v>98</v>
      </c>
      <c r="H453">
        <v>0</v>
      </c>
      <c r="I453">
        <v>0</v>
      </c>
      <c r="J453">
        <v>0</v>
      </c>
      <c r="K453">
        <v>0</v>
      </c>
    </row>
    <row r="454" spans="1:11" x14ac:dyDescent="0.25">
      <c r="A454" s="4" t="s">
        <v>123</v>
      </c>
      <c r="B454">
        <v>7172031008000200</v>
      </c>
      <c r="C454">
        <v>89</v>
      </c>
      <c r="D454">
        <v>0</v>
      </c>
      <c r="E454">
        <v>0</v>
      </c>
      <c r="F454">
        <v>0</v>
      </c>
      <c r="G454">
        <v>89</v>
      </c>
      <c r="H454">
        <v>0</v>
      </c>
      <c r="I454">
        <v>0</v>
      </c>
      <c r="J454">
        <v>0</v>
      </c>
      <c r="K454">
        <v>0</v>
      </c>
    </row>
    <row r="455" spans="1:11" x14ac:dyDescent="0.25">
      <c r="A455" s="4" t="s">
        <v>123</v>
      </c>
      <c r="B455">
        <v>7172031008000100</v>
      </c>
      <c r="C455">
        <v>67</v>
      </c>
      <c r="D455">
        <v>7</v>
      </c>
      <c r="E455">
        <v>0</v>
      </c>
      <c r="F455">
        <v>0</v>
      </c>
      <c r="G455">
        <v>60</v>
      </c>
      <c r="H455">
        <v>0</v>
      </c>
      <c r="I455">
        <v>0</v>
      </c>
      <c r="J455">
        <v>0</v>
      </c>
      <c r="K455">
        <v>0</v>
      </c>
    </row>
    <row r="456" spans="1:11" x14ac:dyDescent="0.25">
      <c r="A456" s="4" t="s">
        <v>123</v>
      </c>
      <c r="B456">
        <v>7172031007002800</v>
      </c>
      <c r="C456">
        <v>46</v>
      </c>
      <c r="D456">
        <v>9</v>
      </c>
      <c r="E456">
        <v>0</v>
      </c>
      <c r="F456">
        <v>0</v>
      </c>
      <c r="G456">
        <v>37</v>
      </c>
      <c r="H456">
        <v>0</v>
      </c>
      <c r="I456">
        <v>0</v>
      </c>
      <c r="J456">
        <v>0</v>
      </c>
      <c r="K456">
        <v>0</v>
      </c>
    </row>
    <row r="457" spans="1:11" x14ac:dyDescent="0.25">
      <c r="A457" s="4" t="s">
        <v>128</v>
      </c>
      <c r="B457">
        <v>7172031007001900</v>
      </c>
      <c r="C457">
        <v>135</v>
      </c>
      <c r="D457">
        <v>2</v>
      </c>
      <c r="E457">
        <v>33</v>
      </c>
      <c r="F457">
        <v>0</v>
      </c>
      <c r="G457">
        <v>97</v>
      </c>
      <c r="H457">
        <v>1</v>
      </c>
      <c r="I457">
        <v>0</v>
      </c>
      <c r="J457">
        <v>2</v>
      </c>
      <c r="K457">
        <v>0</v>
      </c>
    </row>
    <row r="458" spans="1:11" x14ac:dyDescent="0.25">
      <c r="A458" s="4" t="s">
        <v>128</v>
      </c>
      <c r="B458">
        <v>7172031007002200</v>
      </c>
      <c r="C458">
        <v>120</v>
      </c>
      <c r="D458">
        <v>0</v>
      </c>
      <c r="E458">
        <v>0</v>
      </c>
      <c r="F458">
        <v>0</v>
      </c>
      <c r="G458">
        <v>120</v>
      </c>
      <c r="H458">
        <v>0</v>
      </c>
      <c r="I458">
        <v>0</v>
      </c>
      <c r="J458">
        <v>0</v>
      </c>
      <c r="K458">
        <v>0</v>
      </c>
    </row>
    <row r="459" spans="1:11" x14ac:dyDescent="0.25">
      <c r="A459" s="4" t="s">
        <v>128</v>
      </c>
      <c r="B459">
        <v>7172031007002100</v>
      </c>
      <c r="C459">
        <v>100</v>
      </c>
      <c r="D459">
        <v>0</v>
      </c>
      <c r="E459">
        <v>0</v>
      </c>
      <c r="F459">
        <v>0</v>
      </c>
      <c r="G459">
        <v>100</v>
      </c>
      <c r="H459">
        <v>0</v>
      </c>
      <c r="I459">
        <v>0</v>
      </c>
      <c r="J459">
        <v>0</v>
      </c>
      <c r="K459">
        <v>0</v>
      </c>
    </row>
    <row r="460" spans="1:11" x14ac:dyDescent="0.25">
      <c r="A460" s="4" t="s">
        <v>128</v>
      </c>
      <c r="B460">
        <v>7172031007001500</v>
      </c>
      <c r="C460">
        <v>92</v>
      </c>
      <c r="D460">
        <v>31</v>
      </c>
      <c r="E460">
        <v>3</v>
      </c>
      <c r="F460">
        <v>0</v>
      </c>
      <c r="G460">
        <v>7</v>
      </c>
      <c r="H460">
        <v>12</v>
      </c>
      <c r="I460">
        <v>0</v>
      </c>
      <c r="J460">
        <v>39</v>
      </c>
      <c r="K460">
        <v>0</v>
      </c>
    </row>
    <row r="461" spans="1:11" x14ac:dyDescent="0.25">
      <c r="A461" s="4" t="s">
        <v>128</v>
      </c>
      <c r="B461">
        <v>7172031007002400</v>
      </c>
      <c r="C461">
        <v>75</v>
      </c>
      <c r="D461">
        <v>0</v>
      </c>
      <c r="E461">
        <v>0</v>
      </c>
      <c r="F461">
        <v>0</v>
      </c>
      <c r="G461">
        <v>75</v>
      </c>
      <c r="H461">
        <v>0</v>
      </c>
      <c r="I461">
        <v>0</v>
      </c>
      <c r="J461">
        <v>0</v>
      </c>
      <c r="K461">
        <v>0</v>
      </c>
    </row>
    <row r="462" spans="1:11" x14ac:dyDescent="0.25">
      <c r="A462" s="4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72</v>
      </c>
      <c r="H462">
        <v>0</v>
      </c>
      <c r="I462">
        <v>0</v>
      </c>
      <c r="J462">
        <v>0</v>
      </c>
      <c r="K462">
        <v>0</v>
      </c>
    </row>
    <row r="463" spans="1:11" x14ac:dyDescent="0.25">
      <c r="A463" s="4" t="s">
        <v>134</v>
      </c>
      <c r="B463">
        <v>7172040003001200</v>
      </c>
      <c r="C463">
        <v>171</v>
      </c>
      <c r="D463">
        <v>0</v>
      </c>
      <c r="E463">
        <v>1</v>
      </c>
      <c r="F463">
        <v>0</v>
      </c>
      <c r="G463">
        <v>145</v>
      </c>
      <c r="H463">
        <v>0</v>
      </c>
      <c r="I463">
        <v>0</v>
      </c>
      <c r="J463">
        <v>25</v>
      </c>
      <c r="K463">
        <v>0</v>
      </c>
    </row>
    <row r="464" spans="1:11" x14ac:dyDescent="0.25">
      <c r="A464" s="4" t="s">
        <v>134</v>
      </c>
      <c r="B464">
        <v>7172040003001000</v>
      </c>
      <c r="C464">
        <v>142</v>
      </c>
      <c r="D464">
        <v>79</v>
      </c>
      <c r="E464">
        <v>3</v>
      </c>
      <c r="F464">
        <v>0</v>
      </c>
      <c r="G464">
        <v>24</v>
      </c>
      <c r="H464">
        <v>0</v>
      </c>
      <c r="I464">
        <v>0</v>
      </c>
      <c r="J464">
        <v>36</v>
      </c>
      <c r="K464">
        <v>0</v>
      </c>
    </row>
    <row r="465" spans="1:11" x14ac:dyDescent="0.25">
      <c r="A465" s="4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129</v>
      </c>
      <c r="H465">
        <v>0</v>
      </c>
      <c r="I465">
        <v>0</v>
      </c>
      <c r="J465">
        <v>0</v>
      </c>
      <c r="K465">
        <v>0</v>
      </c>
    </row>
    <row r="466" spans="1:11" x14ac:dyDescent="0.25">
      <c r="A466" s="4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93</v>
      </c>
      <c r="H466">
        <v>0</v>
      </c>
      <c r="I466">
        <v>0</v>
      </c>
      <c r="J466">
        <v>0</v>
      </c>
      <c r="K466">
        <v>0</v>
      </c>
    </row>
    <row r="467" spans="1:11" x14ac:dyDescent="0.25">
      <c r="A467" s="4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69</v>
      </c>
      <c r="H467">
        <v>0</v>
      </c>
      <c r="I467">
        <v>0</v>
      </c>
      <c r="J467">
        <v>0</v>
      </c>
      <c r="K467">
        <v>0</v>
      </c>
    </row>
    <row r="468" spans="1:11" x14ac:dyDescent="0.25">
      <c r="A468" s="4" t="s">
        <v>131</v>
      </c>
      <c r="B468">
        <v>7172040007000300</v>
      </c>
      <c r="C468">
        <v>97</v>
      </c>
      <c r="D468">
        <v>17</v>
      </c>
      <c r="E468">
        <v>7</v>
      </c>
      <c r="F468">
        <v>0</v>
      </c>
      <c r="G468">
        <v>5</v>
      </c>
      <c r="H468">
        <v>1</v>
      </c>
      <c r="I468">
        <v>0</v>
      </c>
      <c r="J468">
        <v>67</v>
      </c>
      <c r="K468">
        <v>0</v>
      </c>
    </row>
    <row r="469" spans="1:11" x14ac:dyDescent="0.25">
      <c r="A469" s="4" t="s">
        <v>131</v>
      </c>
      <c r="B469">
        <v>7172040007000200</v>
      </c>
      <c r="C469">
        <v>79</v>
      </c>
      <c r="D469">
        <v>0</v>
      </c>
      <c r="E469">
        <v>0</v>
      </c>
      <c r="F469">
        <v>0</v>
      </c>
      <c r="G469">
        <v>77</v>
      </c>
      <c r="H469">
        <v>0</v>
      </c>
      <c r="I469">
        <v>0</v>
      </c>
      <c r="J469">
        <v>2</v>
      </c>
      <c r="K469">
        <v>0</v>
      </c>
    </row>
    <row r="470" spans="1:11" x14ac:dyDescent="0.25">
      <c r="A470" s="4" t="s">
        <v>131</v>
      </c>
      <c r="B470">
        <v>7172040001000900</v>
      </c>
      <c r="C470">
        <v>75</v>
      </c>
      <c r="D470">
        <v>0</v>
      </c>
      <c r="E470">
        <v>0</v>
      </c>
      <c r="F470">
        <v>0</v>
      </c>
      <c r="G470">
        <v>75</v>
      </c>
      <c r="H470">
        <v>0</v>
      </c>
      <c r="I470">
        <v>0</v>
      </c>
      <c r="J470">
        <v>0</v>
      </c>
      <c r="K470">
        <v>0</v>
      </c>
    </row>
    <row r="471" spans="1:11" x14ac:dyDescent="0.25">
      <c r="A471" s="4" t="s">
        <v>131</v>
      </c>
      <c r="B471">
        <v>7172040007000100</v>
      </c>
      <c r="C471">
        <v>72</v>
      </c>
      <c r="D471">
        <v>0</v>
      </c>
      <c r="E471">
        <v>0</v>
      </c>
      <c r="F471">
        <v>0</v>
      </c>
      <c r="G471">
        <v>68</v>
      </c>
      <c r="H471">
        <v>0</v>
      </c>
      <c r="I471">
        <v>0</v>
      </c>
      <c r="J471">
        <v>4</v>
      </c>
      <c r="K471">
        <v>0</v>
      </c>
    </row>
    <row r="472" spans="1:11" x14ac:dyDescent="0.25">
      <c r="A472" s="4" t="s">
        <v>131</v>
      </c>
      <c r="B472">
        <v>7172040001000600</v>
      </c>
      <c r="C472">
        <v>67</v>
      </c>
      <c r="D472">
        <v>0</v>
      </c>
      <c r="E472">
        <v>0</v>
      </c>
      <c r="F472">
        <v>0</v>
      </c>
      <c r="G472">
        <v>67</v>
      </c>
      <c r="H472">
        <v>0</v>
      </c>
      <c r="I472">
        <v>0</v>
      </c>
      <c r="J472">
        <v>0</v>
      </c>
      <c r="K472">
        <v>0</v>
      </c>
    </row>
    <row r="473" spans="1:11" x14ac:dyDescent="0.25">
      <c r="A473" s="4" t="s">
        <v>131</v>
      </c>
      <c r="B473">
        <v>7172040001000700</v>
      </c>
      <c r="C473">
        <v>57</v>
      </c>
      <c r="D473">
        <v>0</v>
      </c>
      <c r="E473">
        <v>0</v>
      </c>
      <c r="F473">
        <v>0</v>
      </c>
      <c r="G473">
        <v>57</v>
      </c>
      <c r="H473">
        <v>0</v>
      </c>
      <c r="I473">
        <v>0</v>
      </c>
      <c r="J473">
        <v>0</v>
      </c>
      <c r="K473">
        <v>0</v>
      </c>
    </row>
    <row r="474" spans="1:11" x14ac:dyDescent="0.25">
      <c r="A474" s="4" t="s">
        <v>131</v>
      </c>
      <c r="B474">
        <v>7172040001000500</v>
      </c>
      <c r="C474">
        <v>53</v>
      </c>
      <c r="D474">
        <v>0</v>
      </c>
      <c r="E474">
        <v>0</v>
      </c>
      <c r="F474">
        <v>0</v>
      </c>
      <c r="G474">
        <v>53</v>
      </c>
      <c r="H474">
        <v>0</v>
      </c>
      <c r="I474">
        <v>0</v>
      </c>
      <c r="J474">
        <v>0</v>
      </c>
      <c r="K474">
        <v>0</v>
      </c>
    </row>
    <row r="475" spans="1:11" x14ac:dyDescent="0.25">
      <c r="A475" s="4" t="s">
        <v>131</v>
      </c>
      <c r="B475">
        <v>7172040007000400</v>
      </c>
      <c r="C475">
        <v>47</v>
      </c>
      <c r="D475">
        <v>17</v>
      </c>
      <c r="E475">
        <v>2</v>
      </c>
      <c r="F475">
        <v>0</v>
      </c>
      <c r="G475">
        <v>2</v>
      </c>
      <c r="H475">
        <v>25</v>
      </c>
      <c r="I475">
        <v>0</v>
      </c>
      <c r="J475">
        <v>1</v>
      </c>
      <c r="K475">
        <v>0</v>
      </c>
    </row>
    <row r="476" spans="1:11" x14ac:dyDescent="0.25">
      <c r="A476" s="4" t="s">
        <v>131</v>
      </c>
      <c r="B476">
        <v>7172040001000800</v>
      </c>
      <c r="C476">
        <v>42</v>
      </c>
      <c r="D476">
        <v>0</v>
      </c>
      <c r="E476">
        <v>0</v>
      </c>
      <c r="F476">
        <v>0</v>
      </c>
      <c r="G476">
        <v>42</v>
      </c>
      <c r="H476">
        <v>0</v>
      </c>
      <c r="I476">
        <v>0</v>
      </c>
      <c r="J476">
        <v>0</v>
      </c>
      <c r="K476">
        <v>0</v>
      </c>
    </row>
    <row r="477" spans="1:11" x14ac:dyDescent="0.25">
      <c r="A477" s="4" t="s">
        <v>131</v>
      </c>
      <c r="B477">
        <v>7172040001000400</v>
      </c>
      <c r="C477">
        <v>41</v>
      </c>
      <c r="D477">
        <v>0</v>
      </c>
      <c r="E477">
        <v>0</v>
      </c>
      <c r="F477">
        <v>0</v>
      </c>
      <c r="G477">
        <v>41</v>
      </c>
      <c r="H477">
        <v>0</v>
      </c>
      <c r="I477">
        <v>0</v>
      </c>
      <c r="J477">
        <v>0</v>
      </c>
      <c r="K477">
        <v>0</v>
      </c>
    </row>
    <row r="478" spans="1:11" x14ac:dyDescent="0.25">
      <c r="A478" s="4" t="s">
        <v>137</v>
      </c>
      <c r="B478">
        <v>7172040005000200</v>
      </c>
      <c r="C478">
        <v>116</v>
      </c>
      <c r="D478">
        <v>1</v>
      </c>
      <c r="E478">
        <v>43</v>
      </c>
      <c r="F478">
        <v>0</v>
      </c>
      <c r="G478">
        <v>61</v>
      </c>
      <c r="H478">
        <v>0</v>
      </c>
      <c r="I478">
        <v>0</v>
      </c>
      <c r="J478">
        <v>11</v>
      </c>
      <c r="K478">
        <v>0</v>
      </c>
    </row>
    <row r="479" spans="1:11" x14ac:dyDescent="0.25">
      <c r="A479" s="4" t="s">
        <v>137</v>
      </c>
      <c r="B479">
        <v>7172040005001200</v>
      </c>
      <c r="C479">
        <v>78</v>
      </c>
      <c r="D479">
        <v>0</v>
      </c>
      <c r="E479">
        <v>1</v>
      </c>
      <c r="F479">
        <v>0</v>
      </c>
      <c r="G479">
        <v>74</v>
      </c>
      <c r="H479">
        <v>0</v>
      </c>
      <c r="I479">
        <v>0</v>
      </c>
      <c r="J479">
        <v>3</v>
      </c>
      <c r="K479">
        <v>0</v>
      </c>
    </row>
    <row r="480" spans="1:11" x14ac:dyDescent="0.25">
      <c r="A480" s="4" t="s">
        <v>137</v>
      </c>
      <c r="B480">
        <v>7172040005000700</v>
      </c>
      <c r="C480">
        <v>63</v>
      </c>
      <c r="D480">
        <v>44</v>
      </c>
      <c r="E480">
        <v>0</v>
      </c>
      <c r="F480">
        <v>0</v>
      </c>
      <c r="G480">
        <v>5</v>
      </c>
      <c r="H480">
        <v>10</v>
      </c>
      <c r="I480">
        <v>0</v>
      </c>
      <c r="J480">
        <v>4</v>
      </c>
      <c r="K480">
        <v>0</v>
      </c>
    </row>
    <row r="481" spans="1:11" x14ac:dyDescent="0.25">
      <c r="A481" s="4" t="s">
        <v>137</v>
      </c>
      <c r="B481">
        <v>7172040005000400</v>
      </c>
      <c r="C481">
        <v>58</v>
      </c>
      <c r="D481">
        <v>0</v>
      </c>
      <c r="E481">
        <v>0</v>
      </c>
      <c r="F481">
        <v>0</v>
      </c>
      <c r="G481">
        <v>58</v>
      </c>
      <c r="H481">
        <v>0</v>
      </c>
      <c r="I481">
        <v>0</v>
      </c>
      <c r="J481">
        <v>0</v>
      </c>
      <c r="K481">
        <v>0</v>
      </c>
    </row>
    <row r="482" spans="1:11" x14ac:dyDescent="0.25">
      <c r="A482" s="4" t="s">
        <v>137</v>
      </c>
      <c r="B482">
        <v>7172040005000100</v>
      </c>
      <c r="C482">
        <v>52</v>
      </c>
      <c r="D482">
        <v>0</v>
      </c>
      <c r="E482">
        <v>0</v>
      </c>
      <c r="F482">
        <v>0</v>
      </c>
      <c r="G482">
        <v>52</v>
      </c>
      <c r="H482">
        <v>0</v>
      </c>
      <c r="I482">
        <v>0</v>
      </c>
      <c r="J482">
        <v>0</v>
      </c>
      <c r="K482">
        <v>0</v>
      </c>
    </row>
    <row r="483" spans="1:11" x14ac:dyDescent="0.25">
      <c r="A483" s="4" t="s">
        <v>137</v>
      </c>
      <c r="B483">
        <v>7172040005001000</v>
      </c>
      <c r="C483">
        <v>49</v>
      </c>
      <c r="D483">
        <v>6</v>
      </c>
      <c r="E483">
        <v>8</v>
      </c>
      <c r="F483">
        <v>0</v>
      </c>
      <c r="G483">
        <v>9</v>
      </c>
      <c r="H483">
        <v>1</v>
      </c>
      <c r="I483">
        <v>0</v>
      </c>
      <c r="J483">
        <v>25</v>
      </c>
      <c r="K483">
        <v>0</v>
      </c>
    </row>
    <row r="484" spans="1:11" x14ac:dyDescent="0.25">
      <c r="A484" s="4" t="s">
        <v>137</v>
      </c>
      <c r="B484">
        <v>7172040005001100</v>
      </c>
      <c r="C484">
        <v>48</v>
      </c>
      <c r="D484">
        <v>0</v>
      </c>
      <c r="E484">
        <v>0</v>
      </c>
      <c r="F484">
        <v>0</v>
      </c>
      <c r="G484">
        <v>48</v>
      </c>
      <c r="H484">
        <v>0</v>
      </c>
      <c r="I484">
        <v>0</v>
      </c>
      <c r="J484">
        <v>0</v>
      </c>
      <c r="K484">
        <v>0</v>
      </c>
    </row>
    <row r="485" spans="1:11" x14ac:dyDescent="0.25">
      <c r="A485" s="4" t="s">
        <v>137</v>
      </c>
      <c r="B485">
        <v>7172040005000900</v>
      </c>
      <c r="C485">
        <v>44</v>
      </c>
      <c r="D485">
        <v>0</v>
      </c>
      <c r="E485">
        <v>0</v>
      </c>
      <c r="F485">
        <v>0</v>
      </c>
      <c r="G485">
        <v>42</v>
      </c>
      <c r="H485">
        <v>0</v>
      </c>
      <c r="I485">
        <v>0</v>
      </c>
      <c r="J485">
        <v>2</v>
      </c>
      <c r="K485">
        <v>0</v>
      </c>
    </row>
    <row r="486" spans="1:11" x14ac:dyDescent="0.25">
      <c r="A486" s="4" t="s">
        <v>137</v>
      </c>
      <c r="B486">
        <v>7172040005000300</v>
      </c>
      <c r="C486">
        <v>40</v>
      </c>
      <c r="D486">
        <v>0</v>
      </c>
      <c r="E486">
        <v>0</v>
      </c>
      <c r="F486">
        <v>0</v>
      </c>
      <c r="G486">
        <v>40</v>
      </c>
      <c r="H486">
        <v>0</v>
      </c>
      <c r="I486">
        <v>0</v>
      </c>
      <c r="J486">
        <v>0</v>
      </c>
      <c r="K486">
        <v>0</v>
      </c>
    </row>
    <row r="487" spans="1:11" x14ac:dyDescent="0.25">
      <c r="A487" s="4" t="s">
        <v>137</v>
      </c>
      <c r="B487">
        <v>7172040005000800</v>
      </c>
      <c r="C487">
        <v>39</v>
      </c>
      <c r="D487">
        <v>0</v>
      </c>
      <c r="E487">
        <v>0</v>
      </c>
      <c r="F487">
        <v>0</v>
      </c>
      <c r="G487">
        <v>38</v>
      </c>
      <c r="H487">
        <v>0</v>
      </c>
      <c r="I487">
        <v>0</v>
      </c>
      <c r="J487">
        <v>1</v>
      </c>
      <c r="K487">
        <v>0</v>
      </c>
    </row>
    <row r="488" spans="1:11" x14ac:dyDescent="0.25">
      <c r="A488" s="4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24</v>
      </c>
      <c r="H488">
        <v>0</v>
      </c>
      <c r="I488">
        <v>0</v>
      </c>
      <c r="J488">
        <v>0</v>
      </c>
      <c r="K488">
        <v>0</v>
      </c>
    </row>
    <row r="489" spans="1:11" x14ac:dyDescent="0.25">
      <c r="A489" s="4" t="s">
        <v>138</v>
      </c>
      <c r="B489">
        <v>7172040005002001</v>
      </c>
      <c r="C489">
        <v>126</v>
      </c>
      <c r="D489">
        <v>0</v>
      </c>
      <c r="E489">
        <v>0</v>
      </c>
      <c r="F489">
        <v>0</v>
      </c>
      <c r="G489">
        <v>126</v>
      </c>
      <c r="H489">
        <v>0</v>
      </c>
      <c r="I489">
        <v>0</v>
      </c>
      <c r="J489">
        <v>0</v>
      </c>
      <c r="K489">
        <v>0</v>
      </c>
    </row>
    <row r="490" spans="1:11" x14ac:dyDescent="0.25">
      <c r="A490" s="4" t="s">
        <v>138</v>
      </c>
      <c r="B490">
        <v>7172040005001800</v>
      </c>
      <c r="C490">
        <v>109</v>
      </c>
      <c r="D490">
        <v>0</v>
      </c>
      <c r="E490">
        <v>6</v>
      </c>
      <c r="F490">
        <v>0</v>
      </c>
      <c r="G490">
        <v>103</v>
      </c>
      <c r="H490">
        <v>0</v>
      </c>
      <c r="I490">
        <v>0</v>
      </c>
      <c r="J490">
        <v>0</v>
      </c>
      <c r="K490">
        <v>0</v>
      </c>
    </row>
    <row r="491" spans="1:11" x14ac:dyDescent="0.25">
      <c r="A491" s="4" t="s">
        <v>138</v>
      </c>
      <c r="B491">
        <v>7172040005001700</v>
      </c>
      <c r="C491">
        <v>100</v>
      </c>
      <c r="D491">
        <v>0</v>
      </c>
      <c r="E491">
        <v>0</v>
      </c>
      <c r="F491">
        <v>0</v>
      </c>
      <c r="G491">
        <v>100</v>
      </c>
      <c r="H491">
        <v>0</v>
      </c>
      <c r="I491">
        <v>0</v>
      </c>
      <c r="J491">
        <v>0</v>
      </c>
      <c r="K491">
        <v>0</v>
      </c>
    </row>
    <row r="492" spans="1:11" x14ac:dyDescent="0.25">
      <c r="A492" s="4" t="s">
        <v>138</v>
      </c>
      <c r="B492">
        <v>7172040005001402</v>
      </c>
      <c r="C492">
        <v>74</v>
      </c>
      <c r="D492">
        <v>0</v>
      </c>
      <c r="E492">
        <v>23</v>
      </c>
      <c r="F492">
        <v>0</v>
      </c>
      <c r="G492">
        <v>35</v>
      </c>
      <c r="H492">
        <v>8</v>
      </c>
      <c r="I492">
        <v>0</v>
      </c>
      <c r="J492">
        <v>8</v>
      </c>
      <c r="K492">
        <v>0</v>
      </c>
    </row>
    <row r="493" spans="1:11" x14ac:dyDescent="0.25">
      <c r="A493" s="4" t="s">
        <v>138</v>
      </c>
      <c r="B493">
        <v>7172040005001401</v>
      </c>
      <c r="C493">
        <v>72</v>
      </c>
      <c r="D493">
        <v>0</v>
      </c>
      <c r="E493">
        <v>0</v>
      </c>
      <c r="F493">
        <v>0</v>
      </c>
      <c r="G493">
        <v>72</v>
      </c>
      <c r="H493">
        <v>0</v>
      </c>
      <c r="I493">
        <v>0</v>
      </c>
      <c r="J493">
        <v>0</v>
      </c>
      <c r="K493">
        <v>0</v>
      </c>
    </row>
    <row r="494" spans="1:11" x14ac:dyDescent="0.25">
      <c r="A494" s="4" t="s">
        <v>138</v>
      </c>
      <c r="B494">
        <v>7172040005001300</v>
      </c>
      <c r="C494">
        <v>56</v>
      </c>
      <c r="D494">
        <v>8</v>
      </c>
      <c r="E494">
        <v>18</v>
      </c>
      <c r="F494">
        <v>0</v>
      </c>
      <c r="G494">
        <v>10</v>
      </c>
      <c r="H494">
        <v>2</v>
      </c>
      <c r="I494">
        <v>0</v>
      </c>
      <c r="J494">
        <v>18</v>
      </c>
      <c r="K494">
        <v>0</v>
      </c>
    </row>
    <row r="495" spans="1:11" x14ac:dyDescent="0.25">
      <c r="A495" s="4" t="s">
        <v>138</v>
      </c>
      <c r="B495">
        <v>7172040005001500</v>
      </c>
      <c r="C495">
        <v>56</v>
      </c>
      <c r="D495">
        <v>0</v>
      </c>
      <c r="E495">
        <v>0</v>
      </c>
      <c r="F495">
        <v>0</v>
      </c>
      <c r="G495">
        <v>56</v>
      </c>
      <c r="H495">
        <v>0</v>
      </c>
      <c r="I495">
        <v>0</v>
      </c>
      <c r="J495">
        <v>0</v>
      </c>
      <c r="K495">
        <v>0</v>
      </c>
    </row>
    <row r="496" spans="1:11" x14ac:dyDescent="0.25">
      <c r="A496" s="4" t="s">
        <v>141</v>
      </c>
      <c r="B496">
        <v>7172040013000100</v>
      </c>
      <c r="C496">
        <v>138</v>
      </c>
      <c r="D496">
        <v>27</v>
      </c>
      <c r="E496">
        <v>34</v>
      </c>
      <c r="F496">
        <v>0</v>
      </c>
      <c r="G496">
        <v>1</v>
      </c>
      <c r="H496">
        <v>0</v>
      </c>
      <c r="I496">
        <v>0</v>
      </c>
      <c r="J496">
        <v>76</v>
      </c>
      <c r="K496">
        <v>0</v>
      </c>
    </row>
    <row r="497" spans="1:11" x14ac:dyDescent="0.25">
      <c r="A497" s="4" t="s">
        <v>141</v>
      </c>
      <c r="B497">
        <v>7172040013000200</v>
      </c>
      <c r="C497">
        <v>98</v>
      </c>
      <c r="D497">
        <v>18</v>
      </c>
      <c r="E497">
        <v>48</v>
      </c>
      <c r="F497">
        <v>0</v>
      </c>
      <c r="G497">
        <v>6</v>
      </c>
      <c r="H497">
        <v>2</v>
      </c>
      <c r="I497">
        <v>0</v>
      </c>
      <c r="J497">
        <v>24</v>
      </c>
      <c r="K497">
        <v>0</v>
      </c>
    </row>
    <row r="498" spans="1:11" x14ac:dyDescent="0.25">
      <c r="A498" s="4" t="s">
        <v>141</v>
      </c>
      <c r="B498">
        <v>7172040012001200</v>
      </c>
      <c r="C498">
        <v>70</v>
      </c>
      <c r="D498">
        <v>0</v>
      </c>
      <c r="E498">
        <v>4</v>
      </c>
      <c r="F498">
        <v>0</v>
      </c>
      <c r="G498">
        <v>58</v>
      </c>
      <c r="H498">
        <v>0</v>
      </c>
      <c r="I498">
        <v>0</v>
      </c>
      <c r="J498">
        <v>8</v>
      </c>
      <c r="K498">
        <v>0</v>
      </c>
    </row>
    <row r="499" spans="1:11" x14ac:dyDescent="0.25">
      <c r="A499" s="4" t="s">
        <v>141</v>
      </c>
      <c r="B499">
        <v>7172040012001300</v>
      </c>
      <c r="C499">
        <v>54</v>
      </c>
      <c r="D499">
        <v>0</v>
      </c>
      <c r="E499">
        <v>0</v>
      </c>
      <c r="F499">
        <v>0</v>
      </c>
      <c r="G499">
        <v>54</v>
      </c>
      <c r="H499">
        <v>0</v>
      </c>
      <c r="I499">
        <v>0</v>
      </c>
      <c r="J499">
        <v>0</v>
      </c>
      <c r="K499">
        <v>0</v>
      </c>
    </row>
    <row r="500" spans="1:11" x14ac:dyDescent="0.25">
      <c r="A500" s="4" t="s">
        <v>141</v>
      </c>
      <c r="B500">
        <v>7172040012001400</v>
      </c>
      <c r="C500">
        <v>52</v>
      </c>
      <c r="D500">
        <v>0</v>
      </c>
      <c r="E500">
        <v>33</v>
      </c>
      <c r="F500">
        <v>0</v>
      </c>
      <c r="G500">
        <v>4</v>
      </c>
      <c r="H500">
        <v>0</v>
      </c>
      <c r="I500">
        <v>0</v>
      </c>
      <c r="J500">
        <v>15</v>
      </c>
      <c r="K500">
        <v>0</v>
      </c>
    </row>
    <row r="501" spans="1:11" x14ac:dyDescent="0.25">
      <c r="A501" s="4" t="s">
        <v>141</v>
      </c>
      <c r="B501">
        <v>7172040012000900</v>
      </c>
      <c r="C501">
        <v>49</v>
      </c>
      <c r="D501">
        <v>0</v>
      </c>
      <c r="E501">
        <v>0</v>
      </c>
      <c r="F501">
        <v>0</v>
      </c>
      <c r="G501">
        <v>49</v>
      </c>
      <c r="H501">
        <v>0</v>
      </c>
      <c r="I501">
        <v>0</v>
      </c>
      <c r="J501">
        <v>0</v>
      </c>
      <c r="K501">
        <v>0</v>
      </c>
    </row>
    <row r="502" spans="1:11" x14ac:dyDescent="0.25">
      <c r="A502" s="4" t="s">
        <v>141</v>
      </c>
      <c r="B502">
        <v>7172040012001100</v>
      </c>
      <c r="C502">
        <v>39</v>
      </c>
      <c r="D502">
        <v>0</v>
      </c>
      <c r="E502">
        <v>2</v>
      </c>
      <c r="F502">
        <v>0</v>
      </c>
      <c r="G502">
        <v>33</v>
      </c>
      <c r="H502">
        <v>0</v>
      </c>
      <c r="I502">
        <v>0</v>
      </c>
      <c r="J502">
        <v>4</v>
      </c>
      <c r="K502">
        <v>0</v>
      </c>
    </row>
    <row r="503" spans="1:11" x14ac:dyDescent="0.25">
      <c r="A503" s="4" t="s">
        <v>141</v>
      </c>
      <c r="B503">
        <v>7172040012000700</v>
      </c>
      <c r="C503">
        <v>38</v>
      </c>
      <c r="D503">
        <v>0</v>
      </c>
      <c r="E503">
        <v>0</v>
      </c>
      <c r="F503">
        <v>0</v>
      </c>
      <c r="G503">
        <v>38</v>
      </c>
      <c r="H503">
        <v>0</v>
      </c>
      <c r="I503">
        <v>0</v>
      </c>
      <c r="J503">
        <v>0</v>
      </c>
      <c r="K503">
        <v>0</v>
      </c>
    </row>
    <row r="504" spans="1:11" x14ac:dyDescent="0.25">
      <c r="A504" s="4" t="s">
        <v>141</v>
      </c>
      <c r="B504">
        <v>7172040012000800</v>
      </c>
      <c r="C504">
        <v>38</v>
      </c>
      <c r="D504">
        <v>0</v>
      </c>
      <c r="E504">
        <v>1</v>
      </c>
      <c r="F504">
        <v>0</v>
      </c>
      <c r="G504">
        <v>30</v>
      </c>
      <c r="H504">
        <v>0</v>
      </c>
      <c r="I504">
        <v>0</v>
      </c>
      <c r="J504">
        <v>7</v>
      </c>
      <c r="K504">
        <v>0</v>
      </c>
    </row>
    <row r="505" spans="1:11" x14ac:dyDescent="0.25">
      <c r="A505" s="4" t="s">
        <v>141</v>
      </c>
      <c r="B505">
        <v>7172040012001000</v>
      </c>
      <c r="C505">
        <v>34</v>
      </c>
      <c r="D505">
        <v>0</v>
      </c>
      <c r="E505">
        <v>1</v>
      </c>
      <c r="F505">
        <v>0</v>
      </c>
      <c r="G505">
        <v>27</v>
      </c>
      <c r="H505">
        <v>0</v>
      </c>
      <c r="I505">
        <v>0</v>
      </c>
      <c r="J505">
        <v>6</v>
      </c>
      <c r="K505">
        <v>0</v>
      </c>
    </row>
    <row r="506" spans="1:11" x14ac:dyDescent="0.25">
      <c r="A506" s="4" t="s">
        <v>142</v>
      </c>
      <c r="B506">
        <v>7172040013000600</v>
      </c>
      <c r="C506">
        <v>119</v>
      </c>
      <c r="D506">
        <v>21</v>
      </c>
      <c r="E506">
        <v>34</v>
      </c>
      <c r="F506">
        <v>0</v>
      </c>
      <c r="G506">
        <v>54</v>
      </c>
      <c r="H506">
        <v>1</v>
      </c>
      <c r="I506">
        <v>0</v>
      </c>
      <c r="J506">
        <v>9</v>
      </c>
      <c r="K506">
        <v>0</v>
      </c>
    </row>
    <row r="507" spans="1:11" x14ac:dyDescent="0.25">
      <c r="A507" s="4" t="s">
        <v>142</v>
      </c>
      <c r="B507">
        <v>7172040013000800</v>
      </c>
      <c r="C507">
        <v>88</v>
      </c>
      <c r="D507">
        <v>16</v>
      </c>
      <c r="E507">
        <v>10</v>
      </c>
      <c r="F507">
        <v>0</v>
      </c>
      <c r="G507">
        <v>5</v>
      </c>
      <c r="H507">
        <v>51</v>
      </c>
      <c r="I507">
        <v>1</v>
      </c>
      <c r="J507">
        <v>5</v>
      </c>
      <c r="K507">
        <v>0</v>
      </c>
    </row>
    <row r="508" spans="1:11" x14ac:dyDescent="0.25">
      <c r="A508" s="4" t="s">
        <v>142</v>
      </c>
      <c r="B508">
        <v>7172040013000300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</row>
    <row r="509" spans="1:11" x14ac:dyDescent="0.25">
      <c r="A509" s="4" t="s">
        <v>142</v>
      </c>
      <c r="B509">
        <v>7172040013000400</v>
      </c>
      <c r="C509">
        <v>67</v>
      </c>
      <c r="D509">
        <v>0</v>
      </c>
      <c r="E509">
        <v>0</v>
      </c>
      <c r="F509">
        <v>0</v>
      </c>
      <c r="G509">
        <v>67</v>
      </c>
      <c r="H509">
        <v>0</v>
      </c>
      <c r="I509">
        <v>0</v>
      </c>
      <c r="J509">
        <v>0</v>
      </c>
      <c r="K509">
        <v>0</v>
      </c>
    </row>
    <row r="510" spans="1:11" x14ac:dyDescent="0.25">
      <c r="A510" s="4" t="s">
        <v>142</v>
      </c>
      <c r="B510">
        <v>7172040012001500</v>
      </c>
      <c r="C510">
        <v>55</v>
      </c>
      <c r="D510">
        <v>0</v>
      </c>
      <c r="E510">
        <v>0</v>
      </c>
      <c r="F510">
        <v>0</v>
      </c>
      <c r="G510">
        <v>55</v>
      </c>
      <c r="H510">
        <v>0</v>
      </c>
      <c r="I510">
        <v>0</v>
      </c>
      <c r="J510">
        <v>0</v>
      </c>
      <c r="K510">
        <v>0</v>
      </c>
    </row>
    <row r="511" spans="1:11" x14ac:dyDescent="0.25">
      <c r="A511" s="4" t="s">
        <v>142</v>
      </c>
      <c r="B511">
        <v>7172040013000500</v>
      </c>
      <c r="C511">
        <v>55</v>
      </c>
      <c r="D511">
        <v>0</v>
      </c>
      <c r="E511">
        <v>0</v>
      </c>
      <c r="F511">
        <v>0</v>
      </c>
      <c r="G511">
        <v>55</v>
      </c>
      <c r="H511">
        <v>0</v>
      </c>
      <c r="I511">
        <v>0</v>
      </c>
      <c r="J511">
        <v>0</v>
      </c>
      <c r="K511">
        <v>0</v>
      </c>
    </row>
    <row r="512" spans="1:11" x14ac:dyDescent="0.25">
      <c r="A512" s="4" t="s">
        <v>142</v>
      </c>
      <c r="B512">
        <v>7172040013000700</v>
      </c>
      <c r="C512">
        <v>52</v>
      </c>
      <c r="D512">
        <v>0</v>
      </c>
      <c r="E512">
        <v>0</v>
      </c>
      <c r="F512">
        <v>0</v>
      </c>
      <c r="G512">
        <v>52</v>
      </c>
      <c r="H512">
        <v>0</v>
      </c>
      <c r="I512">
        <v>0</v>
      </c>
      <c r="J512">
        <v>0</v>
      </c>
      <c r="K512">
        <v>0</v>
      </c>
    </row>
    <row r="513" spans="1:11" x14ac:dyDescent="0.25">
      <c r="A513" s="4" t="s">
        <v>142</v>
      </c>
      <c r="B513">
        <v>7172040013000900</v>
      </c>
      <c r="C513">
        <v>52</v>
      </c>
      <c r="D513">
        <v>0</v>
      </c>
      <c r="E513">
        <v>0</v>
      </c>
      <c r="F513">
        <v>0</v>
      </c>
      <c r="G513">
        <v>52</v>
      </c>
      <c r="H513">
        <v>0</v>
      </c>
      <c r="I513">
        <v>0</v>
      </c>
      <c r="J513">
        <v>0</v>
      </c>
      <c r="K513">
        <v>0</v>
      </c>
    </row>
    <row r="514" spans="1:11" x14ac:dyDescent="0.25">
      <c r="A514" s="4" t="s">
        <v>142</v>
      </c>
      <c r="B514">
        <v>7172040013001000</v>
      </c>
      <c r="C514">
        <v>48</v>
      </c>
      <c r="D514">
        <v>0</v>
      </c>
      <c r="E514">
        <v>0</v>
      </c>
      <c r="F514">
        <v>0</v>
      </c>
      <c r="G514">
        <v>48</v>
      </c>
      <c r="H514">
        <v>0</v>
      </c>
      <c r="I514">
        <v>0</v>
      </c>
      <c r="J514">
        <v>0</v>
      </c>
      <c r="K514">
        <v>0</v>
      </c>
    </row>
    <row r="515" spans="1:11" x14ac:dyDescent="0.25">
      <c r="A515" s="4" t="s">
        <v>142</v>
      </c>
      <c r="B515">
        <v>7172040013001100</v>
      </c>
      <c r="C515">
        <v>48</v>
      </c>
      <c r="D515">
        <v>0</v>
      </c>
      <c r="E515">
        <v>0</v>
      </c>
      <c r="F515">
        <v>0</v>
      </c>
      <c r="G515">
        <v>48</v>
      </c>
      <c r="H515">
        <v>0</v>
      </c>
      <c r="I515">
        <v>0</v>
      </c>
      <c r="J515">
        <v>0</v>
      </c>
      <c r="K515">
        <v>0</v>
      </c>
    </row>
    <row r="516" spans="1:11" x14ac:dyDescent="0.25">
      <c r="A516" s="4" t="s">
        <v>142</v>
      </c>
      <c r="B516">
        <v>7172040013001200</v>
      </c>
      <c r="C516">
        <v>41</v>
      </c>
      <c r="D516">
        <v>0</v>
      </c>
      <c r="E516">
        <v>0</v>
      </c>
      <c r="F516">
        <v>0</v>
      </c>
      <c r="G516">
        <v>41</v>
      </c>
      <c r="H516">
        <v>0</v>
      </c>
      <c r="I516">
        <v>0</v>
      </c>
      <c r="J516">
        <v>0</v>
      </c>
      <c r="K516">
        <v>0</v>
      </c>
    </row>
    <row r="517" spans="1:11" x14ac:dyDescent="0.25">
      <c r="A517" s="4" t="s">
        <v>5</v>
      </c>
      <c r="B517">
        <v>7172010008001300</v>
      </c>
      <c r="C517">
        <v>142</v>
      </c>
      <c r="D517">
        <v>34</v>
      </c>
      <c r="E517">
        <v>13</v>
      </c>
      <c r="F517">
        <v>0</v>
      </c>
      <c r="G517">
        <v>54</v>
      </c>
      <c r="H517">
        <v>0</v>
      </c>
      <c r="I517">
        <v>0</v>
      </c>
      <c r="J517">
        <v>41</v>
      </c>
      <c r="K517">
        <v>0</v>
      </c>
    </row>
    <row r="518" spans="1:11" x14ac:dyDescent="0.25">
      <c r="A518" s="4" t="s">
        <v>5</v>
      </c>
      <c r="B518">
        <v>7172010008001400</v>
      </c>
      <c r="C518">
        <v>110</v>
      </c>
      <c r="D518">
        <v>8</v>
      </c>
      <c r="E518">
        <v>5</v>
      </c>
      <c r="F518">
        <v>0</v>
      </c>
      <c r="G518">
        <v>35</v>
      </c>
      <c r="H518">
        <v>0</v>
      </c>
      <c r="I518">
        <v>0</v>
      </c>
      <c r="J518">
        <v>62</v>
      </c>
      <c r="K518">
        <v>0</v>
      </c>
    </row>
    <row r="519" spans="1:11" x14ac:dyDescent="0.25">
      <c r="A519" s="4" t="s">
        <v>5</v>
      </c>
      <c r="B519">
        <v>7172010008001102</v>
      </c>
      <c r="C519">
        <v>102</v>
      </c>
      <c r="D519">
        <v>0</v>
      </c>
      <c r="E519">
        <v>19</v>
      </c>
      <c r="F519">
        <v>0</v>
      </c>
      <c r="G519">
        <v>75</v>
      </c>
      <c r="H519">
        <v>1</v>
      </c>
      <c r="I519">
        <v>0</v>
      </c>
      <c r="J519">
        <v>7</v>
      </c>
      <c r="K519">
        <v>0</v>
      </c>
    </row>
    <row r="520" spans="1:11" x14ac:dyDescent="0.25">
      <c r="A520" s="4" t="s">
        <v>5</v>
      </c>
      <c r="B520">
        <v>7172010008001500</v>
      </c>
      <c r="C520">
        <v>98</v>
      </c>
      <c r="D520">
        <v>0</v>
      </c>
      <c r="E520">
        <v>0</v>
      </c>
      <c r="F520">
        <v>0</v>
      </c>
      <c r="G520">
        <v>98</v>
      </c>
      <c r="H520">
        <v>0</v>
      </c>
      <c r="I520">
        <v>0</v>
      </c>
      <c r="J520">
        <v>0</v>
      </c>
      <c r="K520">
        <v>0</v>
      </c>
    </row>
    <row r="521" spans="1:11" x14ac:dyDescent="0.25">
      <c r="A521" s="4" t="s">
        <v>5</v>
      </c>
      <c r="B521">
        <v>7172010008000100</v>
      </c>
      <c r="C521">
        <v>95</v>
      </c>
      <c r="D521">
        <v>0</v>
      </c>
      <c r="E521">
        <v>0</v>
      </c>
      <c r="F521">
        <v>0</v>
      </c>
      <c r="G521">
        <v>95</v>
      </c>
      <c r="H521">
        <v>0</v>
      </c>
      <c r="I521">
        <v>0</v>
      </c>
      <c r="J521">
        <v>0</v>
      </c>
      <c r="K521">
        <v>0</v>
      </c>
    </row>
    <row r="522" spans="1:11" x14ac:dyDescent="0.25">
      <c r="A522" s="4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61</v>
      </c>
      <c r="H522">
        <v>0</v>
      </c>
      <c r="I522">
        <v>0</v>
      </c>
      <c r="J522">
        <v>0</v>
      </c>
      <c r="K522">
        <v>0</v>
      </c>
    </row>
    <row r="523" spans="1:11" x14ac:dyDescent="0.25">
      <c r="A523" s="4" t="s">
        <v>8</v>
      </c>
      <c r="B523">
        <v>7172010009000300</v>
      </c>
      <c r="C523">
        <v>87</v>
      </c>
      <c r="D523">
        <v>38</v>
      </c>
      <c r="E523">
        <v>0</v>
      </c>
      <c r="F523">
        <v>0</v>
      </c>
      <c r="G523">
        <v>1</v>
      </c>
      <c r="H523">
        <v>0</v>
      </c>
      <c r="I523">
        <v>0</v>
      </c>
      <c r="J523">
        <v>48</v>
      </c>
      <c r="K523">
        <v>0</v>
      </c>
    </row>
    <row r="524" spans="1:11" x14ac:dyDescent="0.25">
      <c r="A524" s="4" t="s">
        <v>8</v>
      </c>
      <c r="B524">
        <v>7172010009000400</v>
      </c>
      <c r="C524">
        <v>68</v>
      </c>
      <c r="D524">
        <v>0</v>
      </c>
      <c r="E524">
        <v>0</v>
      </c>
      <c r="F524">
        <v>0</v>
      </c>
      <c r="G524">
        <v>34</v>
      </c>
      <c r="H524">
        <v>0</v>
      </c>
      <c r="I524">
        <v>0</v>
      </c>
      <c r="J524">
        <v>34</v>
      </c>
      <c r="K524">
        <v>0</v>
      </c>
    </row>
    <row r="525" spans="1:11" x14ac:dyDescent="0.25">
      <c r="A525" s="4" t="s">
        <v>8</v>
      </c>
      <c r="B525">
        <v>7172010015002602</v>
      </c>
      <c r="C525">
        <v>65</v>
      </c>
      <c r="D525">
        <v>0</v>
      </c>
      <c r="E525">
        <v>0</v>
      </c>
      <c r="F525">
        <v>0</v>
      </c>
      <c r="G525">
        <v>65</v>
      </c>
      <c r="H525">
        <v>0</v>
      </c>
      <c r="I525">
        <v>0</v>
      </c>
      <c r="J525">
        <v>0</v>
      </c>
      <c r="K525">
        <v>0</v>
      </c>
    </row>
    <row r="526" spans="1:11" x14ac:dyDescent="0.25">
      <c r="A526" s="4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59</v>
      </c>
      <c r="H526">
        <v>0</v>
      </c>
      <c r="I526">
        <v>0</v>
      </c>
      <c r="J526">
        <v>0</v>
      </c>
      <c r="K526">
        <v>0</v>
      </c>
    </row>
    <row r="527" spans="1:11" x14ac:dyDescent="0.25">
      <c r="A527" s="4" t="s">
        <v>8</v>
      </c>
      <c r="B527">
        <v>7172010008001700</v>
      </c>
      <c r="C527">
        <v>55</v>
      </c>
      <c r="D527">
        <v>2</v>
      </c>
      <c r="E527">
        <v>1</v>
      </c>
      <c r="F527">
        <v>0</v>
      </c>
      <c r="G527">
        <v>25</v>
      </c>
      <c r="H527">
        <v>0</v>
      </c>
      <c r="I527">
        <v>0</v>
      </c>
      <c r="J527">
        <v>27</v>
      </c>
      <c r="K527">
        <v>0</v>
      </c>
    </row>
    <row r="528" spans="1:11" x14ac:dyDescent="0.25">
      <c r="A528" s="4" t="s">
        <v>8</v>
      </c>
      <c r="B528">
        <v>7172010008001800</v>
      </c>
      <c r="C528">
        <v>51</v>
      </c>
      <c r="D528">
        <v>45</v>
      </c>
      <c r="E528">
        <v>0</v>
      </c>
      <c r="F528">
        <v>0</v>
      </c>
      <c r="G528">
        <v>1</v>
      </c>
      <c r="H528">
        <v>0</v>
      </c>
      <c r="I528">
        <v>0</v>
      </c>
      <c r="J528">
        <v>5</v>
      </c>
      <c r="K528">
        <v>0</v>
      </c>
    </row>
    <row r="529" spans="1:11" x14ac:dyDescent="0.25">
      <c r="A529" s="4" t="s">
        <v>8</v>
      </c>
      <c r="B529">
        <v>7172010009000100</v>
      </c>
      <c r="C529">
        <v>51</v>
      </c>
      <c r="D529">
        <v>0</v>
      </c>
      <c r="E529">
        <v>0</v>
      </c>
      <c r="F529">
        <v>0</v>
      </c>
      <c r="G529">
        <v>51</v>
      </c>
      <c r="H529">
        <v>0</v>
      </c>
      <c r="I529">
        <v>0</v>
      </c>
      <c r="J529">
        <v>0</v>
      </c>
      <c r="K529">
        <v>0</v>
      </c>
    </row>
    <row r="530" spans="1:11" x14ac:dyDescent="0.25">
      <c r="A530" s="4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41</v>
      </c>
      <c r="H530">
        <v>0</v>
      </c>
      <c r="I530">
        <v>0</v>
      </c>
      <c r="J530">
        <v>0</v>
      </c>
      <c r="K530">
        <v>0</v>
      </c>
    </row>
    <row r="531" spans="1:11" x14ac:dyDescent="0.25">
      <c r="A531" s="4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37</v>
      </c>
      <c r="H531">
        <v>0</v>
      </c>
      <c r="I531">
        <v>0</v>
      </c>
      <c r="J531">
        <v>0</v>
      </c>
      <c r="K531">
        <v>0</v>
      </c>
    </row>
    <row r="532" spans="1:11" x14ac:dyDescent="0.25">
      <c r="A532" s="4" t="s">
        <v>8</v>
      </c>
      <c r="B532">
        <v>7172010008002000</v>
      </c>
      <c r="C532">
        <v>29</v>
      </c>
      <c r="D532">
        <v>0</v>
      </c>
      <c r="E532">
        <v>0</v>
      </c>
      <c r="F532">
        <v>0</v>
      </c>
      <c r="G532">
        <v>29</v>
      </c>
      <c r="H532">
        <v>0</v>
      </c>
      <c r="I532">
        <v>0</v>
      </c>
      <c r="J532">
        <v>0</v>
      </c>
      <c r="K532">
        <v>0</v>
      </c>
    </row>
    <row r="533" spans="1:11" x14ac:dyDescent="0.25">
      <c r="A533" s="4" t="s">
        <v>8</v>
      </c>
      <c r="B533">
        <v>7172010009000500</v>
      </c>
      <c r="C533">
        <v>27</v>
      </c>
      <c r="D533">
        <v>0</v>
      </c>
      <c r="E533">
        <v>0</v>
      </c>
      <c r="F533">
        <v>0</v>
      </c>
      <c r="G533">
        <v>27</v>
      </c>
      <c r="H533">
        <v>0</v>
      </c>
      <c r="I533">
        <v>0</v>
      </c>
      <c r="J533">
        <v>0</v>
      </c>
      <c r="K533">
        <v>0</v>
      </c>
    </row>
    <row r="534" spans="1:11" x14ac:dyDescent="0.25">
      <c r="A534" s="4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21</v>
      </c>
      <c r="H534">
        <v>0</v>
      </c>
      <c r="I534">
        <v>0</v>
      </c>
      <c r="J534">
        <v>0</v>
      </c>
      <c r="K534">
        <v>0</v>
      </c>
    </row>
    <row r="535" spans="1:11" x14ac:dyDescent="0.25">
      <c r="A535" s="4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0</v>
      </c>
    </row>
    <row r="536" spans="1:11" x14ac:dyDescent="0.25">
      <c r="A536" s="4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v>0</v>
      </c>
    </row>
    <row r="537" spans="1:11" x14ac:dyDescent="0.25">
      <c r="A537" s="4" t="s">
        <v>9</v>
      </c>
      <c r="B537">
        <v>7172010009001100</v>
      </c>
      <c r="C537">
        <v>61</v>
      </c>
      <c r="D537">
        <v>0</v>
      </c>
      <c r="E537">
        <v>2</v>
      </c>
      <c r="F537">
        <v>0</v>
      </c>
      <c r="G537">
        <v>15</v>
      </c>
      <c r="H537">
        <v>1</v>
      </c>
      <c r="I537">
        <v>0</v>
      </c>
      <c r="J537">
        <v>43</v>
      </c>
      <c r="K537">
        <v>0</v>
      </c>
    </row>
    <row r="538" spans="1:11" x14ac:dyDescent="0.25">
      <c r="A538" s="4" t="s">
        <v>9</v>
      </c>
      <c r="B538">
        <v>7172010009001200</v>
      </c>
      <c r="C538">
        <v>60</v>
      </c>
      <c r="D538">
        <v>5</v>
      </c>
      <c r="E538">
        <v>3</v>
      </c>
      <c r="F538">
        <v>0</v>
      </c>
      <c r="G538">
        <v>9</v>
      </c>
      <c r="H538">
        <v>0</v>
      </c>
      <c r="I538">
        <v>0</v>
      </c>
      <c r="J538">
        <v>43</v>
      </c>
      <c r="K538">
        <v>0</v>
      </c>
    </row>
    <row r="539" spans="1:11" x14ac:dyDescent="0.25">
      <c r="A539" s="4" t="s">
        <v>9</v>
      </c>
      <c r="B539">
        <v>7172010009001300</v>
      </c>
      <c r="C539">
        <v>60</v>
      </c>
      <c r="D539">
        <v>0</v>
      </c>
      <c r="E539">
        <v>1</v>
      </c>
      <c r="F539">
        <v>0</v>
      </c>
      <c r="G539">
        <v>59</v>
      </c>
      <c r="H539">
        <v>0</v>
      </c>
      <c r="I539">
        <v>0</v>
      </c>
      <c r="J539">
        <v>0</v>
      </c>
      <c r="K539">
        <v>0</v>
      </c>
    </row>
    <row r="540" spans="1:11" x14ac:dyDescent="0.25">
      <c r="A540" s="4" t="s">
        <v>9</v>
      </c>
      <c r="B540">
        <v>7172010009001000</v>
      </c>
      <c r="C540">
        <v>59</v>
      </c>
      <c r="D540">
        <v>0</v>
      </c>
      <c r="E540">
        <v>6</v>
      </c>
      <c r="F540">
        <v>0</v>
      </c>
      <c r="G540">
        <v>25</v>
      </c>
      <c r="H540">
        <v>0</v>
      </c>
      <c r="I540">
        <v>0</v>
      </c>
      <c r="J540">
        <v>28</v>
      </c>
      <c r="K540">
        <v>0</v>
      </c>
    </row>
    <row r="541" spans="1:11" x14ac:dyDescent="0.25">
      <c r="A541" s="4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54</v>
      </c>
      <c r="H541">
        <v>0</v>
      </c>
      <c r="I541">
        <v>0</v>
      </c>
      <c r="J541">
        <v>0</v>
      </c>
      <c r="K541">
        <v>0</v>
      </c>
    </row>
    <row r="542" spans="1:11" x14ac:dyDescent="0.25">
      <c r="A542" s="4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51</v>
      </c>
      <c r="H542">
        <v>0</v>
      </c>
      <c r="I542">
        <v>0</v>
      </c>
      <c r="J542">
        <v>0</v>
      </c>
      <c r="K542">
        <v>0</v>
      </c>
    </row>
    <row r="543" spans="1:11" x14ac:dyDescent="0.25">
      <c r="A543" s="4" t="s">
        <v>9</v>
      </c>
      <c r="B543">
        <v>7172010009001400</v>
      </c>
      <c r="C543">
        <v>45</v>
      </c>
      <c r="D543">
        <v>0</v>
      </c>
      <c r="E543">
        <v>0</v>
      </c>
      <c r="F543">
        <v>0</v>
      </c>
      <c r="G543">
        <v>45</v>
      </c>
      <c r="H543">
        <v>0</v>
      </c>
      <c r="I543">
        <v>0</v>
      </c>
      <c r="J543">
        <v>0</v>
      </c>
      <c r="K543">
        <v>0</v>
      </c>
    </row>
    <row r="544" spans="1:11" x14ac:dyDescent="0.25">
      <c r="A544" s="4" t="s">
        <v>9</v>
      </c>
      <c r="B544">
        <v>7172010009001500</v>
      </c>
      <c r="C544">
        <v>44</v>
      </c>
      <c r="D544">
        <v>0</v>
      </c>
      <c r="E544">
        <v>0</v>
      </c>
      <c r="F544">
        <v>0</v>
      </c>
      <c r="G544">
        <v>44</v>
      </c>
      <c r="H544">
        <v>0</v>
      </c>
      <c r="I544">
        <v>0</v>
      </c>
      <c r="J544">
        <v>0</v>
      </c>
      <c r="K544">
        <v>0</v>
      </c>
    </row>
    <row r="545" spans="1:11" x14ac:dyDescent="0.25">
      <c r="A545" s="4" t="s">
        <v>9</v>
      </c>
      <c r="B545">
        <v>7172010009000900</v>
      </c>
      <c r="C545">
        <v>43</v>
      </c>
      <c r="D545">
        <v>0</v>
      </c>
      <c r="E545">
        <v>11</v>
      </c>
      <c r="F545">
        <v>0</v>
      </c>
      <c r="G545">
        <v>19</v>
      </c>
      <c r="H545">
        <v>0</v>
      </c>
      <c r="I545">
        <v>0</v>
      </c>
      <c r="J545">
        <v>13</v>
      </c>
      <c r="K545">
        <v>0</v>
      </c>
    </row>
    <row r="546" spans="1:11" x14ac:dyDescent="0.25">
      <c r="A546" s="4" t="s">
        <v>9</v>
      </c>
      <c r="B546">
        <v>7172010009001600</v>
      </c>
      <c r="C546">
        <v>42</v>
      </c>
      <c r="D546">
        <v>0</v>
      </c>
      <c r="E546">
        <v>0</v>
      </c>
      <c r="F546">
        <v>0</v>
      </c>
      <c r="G546">
        <v>42</v>
      </c>
      <c r="H546">
        <v>0</v>
      </c>
      <c r="I546">
        <v>0</v>
      </c>
      <c r="J546">
        <v>0</v>
      </c>
      <c r="K546">
        <v>0</v>
      </c>
    </row>
    <row r="547" spans="1:11" x14ac:dyDescent="0.25">
      <c r="A547" s="4" t="s">
        <v>9</v>
      </c>
      <c r="B547">
        <v>7172010015000900</v>
      </c>
      <c r="C547">
        <v>42</v>
      </c>
      <c r="D547">
        <v>0</v>
      </c>
      <c r="E547">
        <v>1</v>
      </c>
      <c r="F547">
        <v>0</v>
      </c>
      <c r="G547">
        <v>41</v>
      </c>
      <c r="H547">
        <v>0</v>
      </c>
      <c r="I547">
        <v>0</v>
      </c>
      <c r="J547">
        <v>0</v>
      </c>
      <c r="K547">
        <v>0</v>
      </c>
    </row>
    <row r="548" spans="1:11" x14ac:dyDescent="0.25">
      <c r="A548" s="4" t="s">
        <v>9</v>
      </c>
      <c r="B548">
        <v>7172010009002000</v>
      </c>
      <c r="C548">
        <v>33</v>
      </c>
      <c r="D548">
        <v>0</v>
      </c>
      <c r="E548">
        <v>0</v>
      </c>
      <c r="F548">
        <v>0</v>
      </c>
      <c r="G548">
        <v>33</v>
      </c>
      <c r="H548">
        <v>0</v>
      </c>
      <c r="I548">
        <v>0</v>
      </c>
      <c r="J548">
        <v>0</v>
      </c>
      <c r="K548">
        <v>0</v>
      </c>
    </row>
    <row r="549" spans="1:11" x14ac:dyDescent="0.25">
      <c r="A549" s="4" t="s">
        <v>9</v>
      </c>
      <c r="B549">
        <v>7172010009000800</v>
      </c>
      <c r="C549">
        <v>32</v>
      </c>
      <c r="D549">
        <v>0</v>
      </c>
      <c r="E549">
        <v>1</v>
      </c>
      <c r="F549">
        <v>0</v>
      </c>
      <c r="G549">
        <v>31</v>
      </c>
      <c r="H549">
        <v>0</v>
      </c>
      <c r="I549">
        <v>0</v>
      </c>
      <c r="J549">
        <v>0</v>
      </c>
      <c r="K549">
        <v>0</v>
      </c>
    </row>
    <row r="550" spans="1:11" x14ac:dyDescent="0.25">
      <c r="A550" s="4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18</v>
      </c>
      <c r="H550">
        <v>0</v>
      </c>
      <c r="I550">
        <v>0</v>
      </c>
      <c r="J550">
        <v>0</v>
      </c>
      <c r="K550">
        <v>0</v>
      </c>
    </row>
    <row r="551" spans="1:11" x14ac:dyDescent="0.25">
      <c r="A551" s="4" t="s">
        <v>11</v>
      </c>
      <c r="B551">
        <v>7172010010000200</v>
      </c>
      <c r="C551">
        <v>116</v>
      </c>
      <c r="D551">
        <v>25</v>
      </c>
      <c r="E551">
        <v>15</v>
      </c>
      <c r="F551">
        <v>0</v>
      </c>
      <c r="G551">
        <v>47</v>
      </c>
      <c r="H551">
        <v>0</v>
      </c>
      <c r="I551">
        <v>0</v>
      </c>
      <c r="J551">
        <v>29</v>
      </c>
      <c r="K551">
        <v>0</v>
      </c>
    </row>
    <row r="552" spans="1:11" x14ac:dyDescent="0.25">
      <c r="A552" s="4" t="s">
        <v>11</v>
      </c>
      <c r="B552">
        <v>7172010009003100</v>
      </c>
      <c r="C552">
        <v>102</v>
      </c>
      <c r="D552">
        <v>16</v>
      </c>
      <c r="E552">
        <v>2</v>
      </c>
      <c r="F552">
        <v>0</v>
      </c>
      <c r="G552">
        <v>0</v>
      </c>
      <c r="H552">
        <v>0</v>
      </c>
      <c r="I552">
        <v>1</v>
      </c>
      <c r="J552">
        <v>83</v>
      </c>
      <c r="K552">
        <v>0</v>
      </c>
    </row>
    <row r="553" spans="1:11" x14ac:dyDescent="0.25">
      <c r="A553" s="4" t="s">
        <v>11</v>
      </c>
      <c r="B553">
        <v>7172010009002900</v>
      </c>
      <c r="C553">
        <v>93</v>
      </c>
      <c r="D553">
        <v>0</v>
      </c>
      <c r="E553">
        <v>0</v>
      </c>
      <c r="F553">
        <v>0</v>
      </c>
      <c r="G553">
        <v>93</v>
      </c>
      <c r="H553">
        <v>0</v>
      </c>
      <c r="I553">
        <v>0</v>
      </c>
      <c r="J553">
        <v>0</v>
      </c>
      <c r="K553">
        <v>0</v>
      </c>
    </row>
    <row r="554" spans="1:11" x14ac:dyDescent="0.25">
      <c r="A554" s="4" t="s">
        <v>11</v>
      </c>
      <c r="B554">
        <v>7172010010000100</v>
      </c>
      <c r="C554">
        <v>76</v>
      </c>
      <c r="D554">
        <v>0</v>
      </c>
      <c r="E554">
        <v>0</v>
      </c>
      <c r="F554">
        <v>0</v>
      </c>
      <c r="G554">
        <v>76</v>
      </c>
      <c r="H554">
        <v>0</v>
      </c>
      <c r="I554">
        <v>0</v>
      </c>
      <c r="J554">
        <v>0</v>
      </c>
      <c r="K554">
        <v>0</v>
      </c>
    </row>
    <row r="555" spans="1:11" x14ac:dyDescent="0.25">
      <c r="A555" s="4" t="s">
        <v>11</v>
      </c>
      <c r="B555">
        <v>7172010009003000</v>
      </c>
      <c r="C555">
        <v>75</v>
      </c>
      <c r="D555">
        <v>0</v>
      </c>
      <c r="E555">
        <v>0</v>
      </c>
      <c r="F555">
        <v>0</v>
      </c>
      <c r="G555">
        <v>75</v>
      </c>
      <c r="H555">
        <v>0</v>
      </c>
      <c r="I555">
        <v>0</v>
      </c>
      <c r="J555">
        <v>0</v>
      </c>
      <c r="K555">
        <v>0</v>
      </c>
    </row>
    <row r="556" spans="1:11" x14ac:dyDescent="0.25">
      <c r="A556" s="4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61</v>
      </c>
      <c r="H556">
        <v>0</v>
      </c>
      <c r="I556">
        <v>0</v>
      </c>
      <c r="J556">
        <v>0</v>
      </c>
      <c r="K556">
        <v>0</v>
      </c>
    </row>
    <row r="557" spans="1:11" x14ac:dyDescent="0.25">
      <c r="A557" s="4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59</v>
      </c>
      <c r="H557">
        <v>0</v>
      </c>
      <c r="I557">
        <v>0</v>
      </c>
      <c r="J557">
        <v>0</v>
      </c>
      <c r="K557">
        <v>0</v>
      </c>
    </row>
    <row r="558" spans="1:11" x14ac:dyDescent="0.25">
      <c r="A558" s="4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38</v>
      </c>
      <c r="H558">
        <v>0</v>
      </c>
      <c r="I558">
        <v>0</v>
      </c>
      <c r="J558">
        <v>0</v>
      </c>
      <c r="K558">
        <v>0</v>
      </c>
    </row>
    <row r="559" spans="1:11" x14ac:dyDescent="0.25">
      <c r="A559" s="4" t="s">
        <v>12</v>
      </c>
      <c r="B559">
        <v>7172010010000600</v>
      </c>
      <c r="C559">
        <v>87</v>
      </c>
      <c r="D559">
        <v>0</v>
      </c>
      <c r="E559">
        <v>1</v>
      </c>
      <c r="F559">
        <v>0</v>
      </c>
      <c r="G559">
        <v>64</v>
      </c>
      <c r="H559">
        <v>0</v>
      </c>
      <c r="I559">
        <v>0</v>
      </c>
      <c r="J559">
        <v>22</v>
      </c>
      <c r="K559">
        <v>0</v>
      </c>
    </row>
    <row r="560" spans="1:11" x14ac:dyDescent="0.25">
      <c r="A560" s="4" t="s">
        <v>12</v>
      </c>
      <c r="B560">
        <v>7172010010001500</v>
      </c>
      <c r="C560">
        <v>75</v>
      </c>
      <c r="D560">
        <v>27</v>
      </c>
      <c r="E560">
        <v>1</v>
      </c>
      <c r="F560">
        <v>0</v>
      </c>
      <c r="G560">
        <v>4</v>
      </c>
      <c r="H560">
        <v>0</v>
      </c>
      <c r="I560">
        <v>0</v>
      </c>
      <c r="J560">
        <v>43</v>
      </c>
      <c r="K560">
        <v>0</v>
      </c>
    </row>
    <row r="561" spans="1:11" x14ac:dyDescent="0.25">
      <c r="A561" s="4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66</v>
      </c>
      <c r="H561">
        <v>0</v>
      </c>
      <c r="I561">
        <v>0</v>
      </c>
      <c r="J561">
        <v>0</v>
      </c>
      <c r="K561">
        <v>0</v>
      </c>
    </row>
    <row r="562" spans="1:11" x14ac:dyDescent="0.25">
      <c r="A562" s="4" t="s">
        <v>12</v>
      </c>
      <c r="B562">
        <v>7172010010000800</v>
      </c>
      <c r="C562">
        <v>65</v>
      </c>
      <c r="D562">
        <v>0</v>
      </c>
      <c r="E562">
        <v>0</v>
      </c>
      <c r="F562">
        <v>0</v>
      </c>
      <c r="G562">
        <v>65</v>
      </c>
      <c r="H562">
        <v>0</v>
      </c>
      <c r="I562">
        <v>0</v>
      </c>
      <c r="J562">
        <v>0</v>
      </c>
      <c r="K562">
        <v>0</v>
      </c>
    </row>
    <row r="563" spans="1:11" x14ac:dyDescent="0.25">
      <c r="A563" s="4" t="s">
        <v>12</v>
      </c>
      <c r="B563">
        <v>7172010010000700</v>
      </c>
      <c r="C563">
        <v>63</v>
      </c>
      <c r="D563">
        <v>0</v>
      </c>
      <c r="E563">
        <v>0</v>
      </c>
      <c r="F563">
        <v>0</v>
      </c>
      <c r="G563">
        <v>63</v>
      </c>
      <c r="H563">
        <v>0</v>
      </c>
      <c r="I563">
        <v>0</v>
      </c>
      <c r="J563">
        <v>0</v>
      </c>
      <c r="K563">
        <v>0</v>
      </c>
    </row>
    <row r="564" spans="1:11" x14ac:dyDescent="0.25">
      <c r="A564" s="4" t="s">
        <v>12</v>
      </c>
      <c r="B564">
        <v>7172010010001100</v>
      </c>
      <c r="C564">
        <v>53</v>
      </c>
      <c r="D564">
        <v>17</v>
      </c>
      <c r="E564">
        <v>1</v>
      </c>
      <c r="F564">
        <v>0</v>
      </c>
      <c r="G564">
        <v>5</v>
      </c>
      <c r="H564">
        <v>2</v>
      </c>
      <c r="I564">
        <v>0</v>
      </c>
      <c r="J564">
        <v>28</v>
      </c>
      <c r="K564">
        <v>0</v>
      </c>
    </row>
    <row r="565" spans="1:11" x14ac:dyDescent="0.25">
      <c r="A565" s="4" t="s">
        <v>12</v>
      </c>
      <c r="B565">
        <v>7172010010001300</v>
      </c>
      <c r="C565">
        <v>49</v>
      </c>
      <c r="D565">
        <v>0</v>
      </c>
      <c r="E565">
        <v>0</v>
      </c>
      <c r="F565">
        <v>0</v>
      </c>
      <c r="G565">
        <v>49</v>
      </c>
      <c r="H565">
        <v>0</v>
      </c>
      <c r="I565">
        <v>0</v>
      </c>
      <c r="J565">
        <v>0</v>
      </c>
      <c r="K565">
        <v>0</v>
      </c>
    </row>
    <row r="566" spans="1:11" x14ac:dyDescent="0.25">
      <c r="A566" s="4" t="s">
        <v>12</v>
      </c>
      <c r="B566">
        <v>7172010010001400</v>
      </c>
      <c r="C566">
        <v>48</v>
      </c>
      <c r="D566">
        <v>0</v>
      </c>
      <c r="E566">
        <v>0</v>
      </c>
      <c r="F566">
        <v>0</v>
      </c>
      <c r="G566">
        <v>48</v>
      </c>
      <c r="H566">
        <v>0</v>
      </c>
      <c r="I566">
        <v>0</v>
      </c>
      <c r="J566">
        <v>0</v>
      </c>
      <c r="K566">
        <v>0</v>
      </c>
    </row>
    <row r="567" spans="1:11" x14ac:dyDescent="0.25">
      <c r="A567" s="4" t="s">
        <v>12</v>
      </c>
      <c r="B567">
        <v>7172010010001000</v>
      </c>
      <c r="C567">
        <v>32</v>
      </c>
      <c r="D567">
        <v>0</v>
      </c>
      <c r="E567">
        <v>0</v>
      </c>
      <c r="F567">
        <v>0</v>
      </c>
      <c r="G567">
        <v>32</v>
      </c>
      <c r="H567">
        <v>0</v>
      </c>
      <c r="I567">
        <v>0</v>
      </c>
      <c r="J567">
        <v>0</v>
      </c>
      <c r="K567">
        <v>0</v>
      </c>
    </row>
    <row r="568" spans="1:11" x14ac:dyDescent="0.25">
      <c r="A568" s="4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23</v>
      </c>
      <c r="H568">
        <v>0</v>
      </c>
      <c r="I568">
        <v>0</v>
      </c>
      <c r="J568">
        <v>0</v>
      </c>
      <c r="K568">
        <v>0</v>
      </c>
    </row>
    <row r="569" spans="1:11" x14ac:dyDescent="0.25">
      <c r="A569" s="4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63</v>
      </c>
      <c r="H569">
        <v>0</v>
      </c>
      <c r="I569">
        <v>0</v>
      </c>
      <c r="J569">
        <v>0</v>
      </c>
      <c r="K569">
        <v>0</v>
      </c>
    </row>
    <row r="570" spans="1:11" x14ac:dyDescent="0.25">
      <c r="A570" s="4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63</v>
      </c>
      <c r="H570">
        <v>0</v>
      </c>
      <c r="I570">
        <v>0</v>
      </c>
      <c r="J570">
        <v>0</v>
      </c>
      <c r="K570">
        <v>0</v>
      </c>
    </row>
    <row r="571" spans="1:11" x14ac:dyDescent="0.25">
      <c r="A571" s="4" t="s">
        <v>14</v>
      </c>
      <c r="B571">
        <v>7172010011000700</v>
      </c>
      <c r="C571">
        <v>60</v>
      </c>
      <c r="D571">
        <v>4</v>
      </c>
      <c r="E571">
        <v>0</v>
      </c>
      <c r="F571">
        <v>0</v>
      </c>
      <c r="G571">
        <v>2</v>
      </c>
      <c r="H571">
        <v>0</v>
      </c>
      <c r="I571">
        <v>0</v>
      </c>
      <c r="J571">
        <v>54</v>
      </c>
      <c r="K571">
        <v>0</v>
      </c>
    </row>
    <row r="572" spans="1:11" x14ac:dyDescent="0.25">
      <c r="A572" s="4" t="s">
        <v>14</v>
      </c>
      <c r="B572">
        <v>7172010011000800</v>
      </c>
      <c r="C572">
        <v>55</v>
      </c>
      <c r="D572">
        <v>25</v>
      </c>
      <c r="E572">
        <v>0</v>
      </c>
      <c r="F572">
        <v>0</v>
      </c>
      <c r="G572">
        <v>1</v>
      </c>
      <c r="H572">
        <v>0</v>
      </c>
      <c r="I572">
        <v>0</v>
      </c>
      <c r="J572">
        <v>29</v>
      </c>
      <c r="K572">
        <v>0</v>
      </c>
    </row>
    <row r="573" spans="1:11" x14ac:dyDescent="0.25">
      <c r="A573" s="4" t="s">
        <v>14</v>
      </c>
      <c r="B573">
        <v>7172010011001800</v>
      </c>
      <c r="C573">
        <v>52</v>
      </c>
      <c r="D573">
        <v>0</v>
      </c>
      <c r="E573">
        <v>0</v>
      </c>
      <c r="F573">
        <v>0</v>
      </c>
      <c r="G573">
        <v>52</v>
      </c>
      <c r="H573">
        <v>0</v>
      </c>
      <c r="I573">
        <v>0</v>
      </c>
      <c r="J573">
        <v>0</v>
      </c>
      <c r="K573">
        <v>0</v>
      </c>
    </row>
    <row r="574" spans="1:11" x14ac:dyDescent="0.25">
      <c r="A574" s="4" t="s">
        <v>14</v>
      </c>
      <c r="B574">
        <v>7172010011001400</v>
      </c>
      <c r="C574">
        <v>46</v>
      </c>
      <c r="D574">
        <v>17</v>
      </c>
      <c r="E574">
        <v>0</v>
      </c>
      <c r="F574">
        <v>0</v>
      </c>
      <c r="G574">
        <v>2</v>
      </c>
      <c r="H574">
        <v>0</v>
      </c>
      <c r="I574">
        <v>0</v>
      </c>
      <c r="J574">
        <v>27</v>
      </c>
      <c r="K574">
        <v>0</v>
      </c>
    </row>
    <row r="575" spans="1:11" x14ac:dyDescent="0.25">
      <c r="A575" s="4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39</v>
      </c>
      <c r="H575">
        <v>0</v>
      </c>
      <c r="I575">
        <v>0</v>
      </c>
      <c r="J575">
        <v>0</v>
      </c>
      <c r="K575">
        <v>0</v>
      </c>
    </row>
    <row r="576" spans="1:11" x14ac:dyDescent="0.25">
      <c r="A576" s="4" t="s">
        <v>14</v>
      </c>
      <c r="B576">
        <v>7172010011001700</v>
      </c>
      <c r="C576">
        <v>37</v>
      </c>
      <c r="D576">
        <v>0</v>
      </c>
      <c r="E576">
        <v>0</v>
      </c>
      <c r="F576">
        <v>0</v>
      </c>
      <c r="G576">
        <v>37</v>
      </c>
      <c r="H576">
        <v>0</v>
      </c>
      <c r="I576">
        <v>0</v>
      </c>
      <c r="J576">
        <v>0</v>
      </c>
      <c r="K576">
        <v>0</v>
      </c>
    </row>
    <row r="577" spans="1:11" x14ac:dyDescent="0.25">
      <c r="A577" s="4" t="s">
        <v>14</v>
      </c>
      <c r="B577">
        <v>7172010011001500</v>
      </c>
      <c r="C577">
        <v>35</v>
      </c>
      <c r="D577">
        <v>0</v>
      </c>
      <c r="E577">
        <v>0</v>
      </c>
      <c r="F577">
        <v>0</v>
      </c>
      <c r="G577">
        <v>35</v>
      </c>
      <c r="H577">
        <v>0</v>
      </c>
      <c r="I577">
        <v>0</v>
      </c>
      <c r="J577">
        <v>0</v>
      </c>
      <c r="K577">
        <v>0</v>
      </c>
    </row>
    <row r="578" spans="1:11" x14ac:dyDescent="0.25">
      <c r="A578" s="4" t="s">
        <v>14</v>
      </c>
      <c r="B578">
        <v>7172010011001200</v>
      </c>
      <c r="C578">
        <v>34</v>
      </c>
      <c r="D578">
        <v>1</v>
      </c>
      <c r="E578">
        <v>2</v>
      </c>
      <c r="F578">
        <v>0</v>
      </c>
      <c r="G578">
        <v>12</v>
      </c>
      <c r="H578">
        <v>0</v>
      </c>
      <c r="I578">
        <v>0</v>
      </c>
      <c r="J578">
        <v>19</v>
      </c>
      <c r="K578">
        <v>0</v>
      </c>
    </row>
    <row r="579" spans="1:11" x14ac:dyDescent="0.25">
      <c r="A579" s="4" t="s">
        <v>14</v>
      </c>
      <c r="B579">
        <v>7172010011000900</v>
      </c>
      <c r="C579">
        <v>33</v>
      </c>
      <c r="D579">
        <v>0</v>
      </c>
      <c r="E579">
        <v>0</v>
      </c>
      <c r="F579">
        <v>0</v>
      </c>
      <c r="G579">
        <v>33</v>
      </c>
      <c r="H579">
        <v>0</v>
      </c>
      <c r="I579">
        <v>0</v>
      </c>
      <c r="J579">
        <v>0</v>
      </c>
      <c r="K579">
        <v>0</v>
      </c>
    </row>
    <row r="580" spans="1:11" x14ac:dyDescent="0.25">
      <c r="A580" s="4" t="s">
        <v>14</v>
      </c>
      <c r="B580">
        <v>7172010011001000</v>
      </c>
      <c r="C580">
        <v>33</v>
      </c>
      <c r="D580">
        <v>0</v>
      </c>
      <c r="E580">
        <v>0</v>
      </c>
      <c r="F580">
        <v>0</v>
      </c>
      <c r="G580">
        <v>33</v>
      </c>
      <c r="H580">
        <v>0</v>
      </c>
      <c r="I580">
        <v>0</v>
      </c>
      <c r="J580">
        <v>0</v>
      </c>
      <c r="K580">
        <v>0</v>
      </c>
    </row>
    <row r="581" spans="1:11" x14ac:dyDescent="0.25">
      <c r="A581" s="4" t="s">
        <v>14</v>
      </c>
      <c r="B581">
        <v>7172010011001100</v>
      </c>
      <c r="C581">
        <v>31</v>
      </c>
      <c r="D581">
        <v>0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</row>
    <row r="582" spans="1:11" x14ac:dyDescent="0.25">
      <c r="A582" s="4" t="s">
        <v>14</v>
      </c>
      <c r="B582">
        <v>7172010011001600</v>
      </c>
      <c r="C582">
        <v>28</v>
      </c>
      <c r="D582">
        <v>0</v>
      </c>
      <c r="E582">
        <v>0</v>
      </c>
      <c r="F582">
        <v>0</v>
      </c>
      <c r="G582">
        <v>28</v>
      </c>
      <c r="H582">
        <v>0</v>
      </c>
      <c r="I582">
        <v>0</v>
      </c>
      <c r="J582">
        <v>0</v>
      </c>
      <c r="K582">
        <v>0</v>
      </c>
    </row>
    <row r="583" spans="1:11" x14ac:dyDescent="0.25">
      <c r="A583" s="4" t="s">
        <v>14</v>
      </c>
      <c r="B583">
        <v>7172010011001300</v>
      </c>
      <c r="C583">
        <v>23</v>
      </c>
      <c r="D583">
        <v>0</v>
      </c>
      <c r="E583">
        <v>0</v>
      </c>
      <c r="F583">
        <v>0</v>
      </c>
      <c r="G583">
        <v>23</v>
      </c>
      <c r="H583">
        <v>0</v>
      </c>
      <c r="I583">
        <v>0</v>
      </c>
      <c r="J583">
        <v>0</v>
      </c>
      <c r="K583">
        <v>0</v>
      </c>
    </row>
    <row r="584" spans="1:11" x14ac:dyDescent="0.25">
      <c r="A584" s="4" t="s">
        <v>15</v>
      </c>
      <c r="B584">
        <v>7172010011002200</v>
      </c>
      <c r="C584">
        <v>89</v>
      </c>
      <c r="D584">
        <v>26</v>
      </c>
      <c r="E584">
        <v>3</v>
      </c>
      <c r="F584">
        <v>0</v>
      </c>
      <c r="G584">
        <v>3</v>
      </c>
      <c r="H584">
        <v>0</v>
      </c>
      <c r="I584">
        <v>0</v>
      </c>
      <c r="J584">
        <v>57</v>
      </c>
      <c r="K584">
        <v>0</v>
      </c>
    </row>
    <row r="585" spans="1:11" x14ac:dyDescent="0.25">
      <c r="A585" s="4" t="s">
        <v>15</v>
      </c>
      <c r="B585">
        <v>7172010012000700</v>
      </c>
      <c r="C585">
        <v>74</v>
      </c>
      <c r="D585">
        <v>28</v>
      </c>
      <c r="E585">
        <v>4</v>
      </c>
      <c r="F585">
        <v>0</v>
      </c>
      <c r="G585">
        <v>1</v>
      </c>
      <c r="H585">
        <v>6</v>
      </c>
      <c r="I585">
        <v>0</v>
      </c>
      <c r="J585">
        <v>35</v>
      </c>
      <c r="K585">
        <v>0</v>
      </c>
    </row>
    <row r="586" spans="1:11" x14ac:dyDescent="0.25">
      <c r="A586" s="4" t="s">
        <v>15</v>
      </c>
      <c r="B586">
        <v>7172010012000300</v>
      </c>
      <c r="C586">
        <v>73</v>
      </c>
      <c r="D586">
        <v>0</v>
      </c>
      <c r="E586">
        <v>16</v>
      </c>
      <c r="F586">
        <v>0</v>
      </c>
      <c r="G586">
        <v>51</v>
      </c>
      <c r="H586">
        <v>0</v>
      </c>
      <c r="I586">
        <v>0</v>
      </c>
      <c r="J586">
        <v>6</v>
      </c>
      <c r="K586">
        <v>0</v>
      </c>
    </row>
    <row r="587" spans="1:11" x14ac:dyDescent="0.25">
      <c r="A587" s="4" t="s">
        <v>15</v>
      </c>
      <c r="B587">
        <v>7172010012001100</v>
      </c>
      <c r="C587">
        <v>56</v>
      </c>
      <c r="D587">
        <v>0</v>
      </c>
      <c r="E587">
        <v>0</v>
      </c>
      <c r="F587">
        <v>0</v>
      </c>
      <c r="G587">
        <v>56</v>
      </c>
      <c r="H587">
        <v>0</v>
      </c>
      <c r="I587">
        <v>0</v>
      </c>
      <c r="J587">
        <v>0</v>
      </c>
      <c r="K587">
        <v>0</v>
      </c>
    </row>
    <row r="588" spans="1:11" x14ac:dyDescent="0.25">
      <c r="A588" s="4" t="s">
        <v>15</v>
      </c>
      <c r="B588">
        <v>7172010012000100</v>
      </c>
      <c r="C588">
        <v>50</v>
      </c>
      <c r="D588">
        <v>12</v>
      </c>
      <c r="E588">
        <v>2</v>
      </c>
      <c r="F588">
        <v>0</v>
      </c>
      <c r="G588">
        <v>12</v>
      </c>
      <c r="H588">
        <v>0</v>
      </c>
      <c r="I588">
        <v>0</v>
      </c>
      <c r="J588">
        <v>24</v>
      </c>
      <c r="K588">
        <v>0</v>
      </c>
    </row>
    <row r="589" spans="1:11" x14ac:dyDescent="0.25">
      <c r="A589" s="4" t="s">
        <v>15</v>
      </c>
      <c r="B589">
        <v>7172010012000200</v>
      </c>
      <c r="C589">
        <v>47</v>
      </c>
      <c r="D589">
        <v>4</v>
      </c>
      <c r="E589">
        <v>0</v>
      </c>
      <c r="F589">
        <v>0</v>
      </c>
      <c r="G589">
        <v>15</v>
      </c>
      <c r="H589">
        <v>0</v>
      </c>
      <c r="I589">
        <v>0</v>
      </c>
      <c r="J589">
        <v>28</v>
      </c>
      <c r="K589">
        <v>0</v>
      </c>
    </row>
    <row r="590" spans="1:11" x14ac:dyDescent="0.25">
      <c r="A590" s="4" t="s">
        <v>15</v>
      </c>
      <c r="B590">
        <v>7172010012000500</v>
      </c>
      <c r="C590">
        <v>47</v>
      </c>
      <c r="D590">
        <v>0</v>
      </c>
      <c r="E590">
        <v>0</v>
      </c>
      <c r="F590">
        <v>0</v>
      </c>
      <c r="G590">
        <v>47</v>
      </c>
      <c r="H590">
        <v>0</v>
      </c>
      <c r="I590">
        <v>0</v>
      </c>
      <c r="J590">
        <v>0</v>
      </c>
      <c r="K590">
        <v>0</v>
      </c>
    </row>
    <row r="591" spans="1:11" x14ac:dyDescent="0.25">
      <c r="A591" s="4" t="s">
        <v>15</v>
      </c>
      <c r="B591">
        <v>7172010012001000</v>
      </c>
      <c r="C591">
        <v>46</v>
      </c>
      <c r="D591">
        <v>0</v>
      </c>
      <c r="E591">
        <v>0</v>
      </c>
      <c r="F591">
        <v>0</v>
      </c>
      <c r="G591">
        <v>46</v>
      </c>
      <c r="H591">
        <v>0</v>
      </c>
      <c r="I591">
        <v>0</v>
      </c>
      <c r="J591">
        <v>0</v>
      </c>
      <c r="K591">
        <v>0</v>
      </c>
    </row>
    <row r="592" spans="1:11" x14ac:dyDescent="0.25">
      <c r="A592" s="4" t="s">
        <v>15</v>
      </c>
      <c r="B592">
        <v>7172010012000600</v>
      </c>
      <c r="C592">
        <v>37</v>
      </c>
      <c r="D592">
        <v>0</v>
      </c>
      <c r="E592">
        <v>0</v>
      </c>
      <c r="F592">
        <v>0</v>
      </c>
      <c r="G592">
        <v>37</v>
      </c>
      <c r="H592">
        <v>0</v>
      </c>
      <c r="I592">
        <v>0</v>
      </c>
      <c r="J592">
        <v>0</v>
      </c>
      <c r="K592">
        <v>0</v>
      </c>
    </row>
    <row r="593" spans="1:11" x14ac:dyDescent="0.25">
      <c r="A593" s="4" t="s">
        <v>15</v>
      </c>
      <c r="B593">
        <v>7172010012001200</v>
      </c>
      <c r="C593">
        <v>36</v>
      </c>
      <c r="D593">
        <v>0</v>
      </c>
      <c r="E593">
        <v>0</v>
      </c>
      <c r="F593">
        <v>0</v>
      </c>
      <c r="G593">
        <v>36</v>
      </c>
      <c r="H593">
        <v>0</v>
      </c>
      <c r="I593">
        <v>0</v>
      </c>
      <c r="J593">
        <v>0</v>
      </c>
      <c r="K593">
        <v>0</v>
      </c>
    </row>
    <row r="594" spans="1:11" x14ac:dyDescent="0.25">
      <c r="A594" s="4" t="s">
        <v>15</v>
      </c>
      <c r="B594">
        <v>7172010012000400</v>
      </c>
      <c r="C594">
        <v>32</v>
      </c>
      <c r="D594">
        <v>0</v>
      </c>
      <c r="E594">
        <v>0</v>
      </c>
      <c r="F594">
        <v>0</v>
      </c>
      <c r="G594">
        <v>32</v>
      </c>
      <c r="H594">
        <v>0</v>
      </c>
      <c r="I594">
        <v>0</v>
      </c>
      <c r="J594">
        <v>0</v>
      </c>
      <c r="K594">
        <v>0</v>
      </c>
    </row>
    <row r="595" spans="1:11" x14ac:dyDescent="0.25">
      <c r="A595" s="4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32</v>
      </c>
      <c r="H595">
        <v>0</v>
      </c>
      <c r="I595">
        <v>0</v>
      </c>
      <c r="J595">
        <v>0</v>
      </c>
      <c r="K595">
        <v>0</v>
      </c>
    </row>
    <row r="596" spans="1:11" x14ac:dyDescent="0.25">
      <c r="A596" s="4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23</v>
      </c>
      <c r="H596">
        <v>0</v>
      </c>
      <c r="I596">
        <v>0</v>
      </c>
      <c r="J596">
        <v>0</v>
      </c>
      <c r="K596">
        <v>0</v>
      </c>
    </row>
    <row r="597" spans="1:11" x14ac:dyDescent="0.25">
      <c r="A597" s="4" t="s">
        <v>23</v>
      </c>
      <c r="B597">
        <v>7172010015003200</v>
      </c>
      <c r="C597">
        <v>161</v>
      </c>
      <c r="D597">
        <v>0</v>
      </c>
      <c r="E597">
        <v>0</v>
      </c>
      <c r="F597">
        <v>0</v>
      </c>
      <c r="G597">
        <v>161</v>
      </c>
      <c r="H597">
        <v>0</v>
      </c>
      <c r="I597">
        <v>0</v>
      </c>
      <c r="J597">
        <v>0</v>
      </c>
      <c r="K597">
        <v>0</v>
      </c>
    </row>
    <row r="598" spans="1:11" x14ac:dyDescent="0.25">
      <c r="A598" s="4" t="s">
        <v>23</v>
      </c>
      <c r="B598">
        <v>7172010015003100</v>
      </c>
      <c r="C598">
        <v>145</v>
      </c>
      <c r="D598">
        <v>19</v>
      </c>
      <c r="E598">
        <v>19</v>
      </c>
      <c r="F598">
        <v>0</v>
      </c>
      <c r="G598">
        <v>25</v>
      </c>
      <c r="H598">
        <v>4</v>
      </c>
      <c r="I598">
        <v>0</v>
      </c>
      <c r="J598">
        <v>78</v>
      </c>
      <c r="K598">
        <v>0</v>
      </c>
    </row>
    <row r="599" spans="1:11" x14ac:dyDescent="0.25">
      <c r="A599" s="4" t="s">
        <v>23</v>
      </c>
      <c r="B599">
        <v>7172010015002700</v>
      </c>
      <c r="C599">
        <v>90</v>
      </c>
      <c r="D599">
        <v>0</v>
      </c>
      <c r="E599">
        <v>0</v>
      </c>
      <c r="F599">
        <v>0</v>
      </c>
      <c r="G599">
        <v>90</v>
      </c>
      <c r="H599">
        <v>0</v>
      </c>
      <c r="I599">
        <v>0</v>
      </c>
      <c r="J599">
        <v>0</v>
      </c>
      <c r="K599">
        <v>0</v>
      </c>
    </row>
    <row r="600" spans="1:11" x14ac:dyDescent="0.25">
      <c r="A600" s="4" t="s">
        <v>23</v>
      </c>
      <c r="B600">
        <v>7172010015003000</v>
      </c>
      <c r="C600">
        <v>69</v>
      </c>
      <c r="D600">
        <v>0</v>
      </c>
      <c r="E600">
        <v>24</v>
      </c>
      <c r="F600">
        <v>0</v>
      </c>
      <c r="G600">
        <v>34</v>
      </c>
      <c r="H600">
        <v>0</v>
      </c>
      <c r="I600">
        <v>0</v>
      </c>
      <c r="J600">
        <v>11</v>
      </c>
      <c r="K600">
        <v>0</v>
      </c>
    </row>
    <row r="601" spans="1:11" x14ac:dyDescent="0.25">
      <c r="A601" s="4" t="s">
        <v>23</v>
      </c>
      <c r="B601">
        <v>7172010015002900</v>
      </c>
      <c r="C601">
        <v>58</v>
      </c>
      <c r="D601">
        <v>0</v>
      </c>
      <c r="E601">
        <v>0</v>
      </c>
      <c r="F601">
        <v>0</v>
      </c>
      <c r="G601">
        <v>58</v>
      </c>
      <c r="H601">
        <v>0</v>
      </c>
      <c r="I601">
        <v>0</v>
      </c>
      <c r="J601">
        <v>0</v>
      </c>
      <c r="K601">
        <v>0</v>
      </c>
    </row>
    <row r="602" spans="1:11" x14ac:dyDescent="0.25">
      <c r="A602" s="4" t="s">
        <v>23</v>
      </c>
      <c r="B602">
        <v>7172010015002800</v>
      </c>
      <c r="C602">
        <v>51</v>
      </c>
      <c r="D602">
        <v>0</v>
      </c>
      <c r="E602">
        <v>8</v>
      </c>
      <c r="F602">
        <v>0</v>
      </c>
      <c r="G602">
        <v>42</v>
      </c>
      <c r="H602">
        <v>0</v>
      </c>
      <c r="I602">
        <v>0</v>
      </c>
      <c r="J602">
        <v>1</v>
      </c>
      <c r="K602">
        <v>0</v>
      </c>
    </row>
    <row r="603" spans="1:11" x14ac:dyDescent="0.25">
      <c r="A603" s="4" t="s">
        <v>23</v>
      </c>
      <c r="B603">
        <v>7172010015001200</v>
      </c>
      <c r="C603">
        <v>37</v>
      </c>
      <c r="D603">
        <v>0</v>
      </c>
      <c r="E603">
        <v>4</v>
      </c>
      <c r="F603">
        <v>0</v>
      </c>
      <c r="G603">
        <v>21</v>
      </c>
      <c r="H603">
        <v>0</v>
      </c>
      <c r="I603">
        <v>0</v>
      </c>
      <c r="J603">
        <v>12</v>
      </c>
      <c r="K603">
        <v>0</v>
      </c>
    </row>
    <row r="604" spans="1:11" x14ac:dyDescent="0.25">
      <c r="A604" s="4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147</v>
      </c>
      <c r="H604">
        <v>0</v>
      </c>
      <c r="I604">
        <v>0</v>
      </c>
      <c r="J604">
        <v>0</v>
      </c>
      <c r="K604">
        <v>0</v>
      </c>
    </row>
    <row r="605" spans="1:11" x14ac:dyDescent="0.25">
      <c r="A605" s="4" t="s">
        <v>21</v>
      </c>
      <c r="B605">
        <v>7172010015001500</v>
      </c>
      <c r="C605">
        <v>117</v>
      </c>
      <c r="D605">
        <v>54</v>
      </c>
      <c r="E605">
        <v>0</v>
      </c>
      <c r="F605">
        <v>0</v>
      </c>
      <c r="G605">
        <v>1</v>
      </c>
      <c r="H605">
        <v>0</v>
      </c>
      <c r="I605">
        <v>0</v>
      </c>
      <c r="J605">
        <v>62</v>
      </c>
      <c r="K605">
        <v>0</v>
      </c>
    </row>
    <row r="606" spans="1:11" x14ac:dyDescent="0.25">
      <c r="A606" s="4" t="s">
        <v>21</v>
      </c>
      <c r="B606">
        <v>7172010015001600</v>
      </c>
      <c r="C606">
        <v>113</v>
      </c>
      <c r="D606">
        <v>0</v>
      </c>
      <c r="E606">
        <v>0</v>
      </c>
      <c r="F606">
        <v>0</v>
      </c>
      <c r="G606">
        <v>110</v>
      </c>
      <c r="H606">
        <v>0</v>
      </c>
      <c r="I606">
        <v>0</v>
      </c>
      <c r="J606">
        <v>3</v>
      </c>
      <c r="K606">
        <v>0</v>
      </c>
    </row>
    <row r="607" spans="1:11" x14ac:dyDescent="0.25">
      <c r="A607" s="4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87</v>
      </c>
      <c r="H607">
        <v>0</v>
      </c>
      <c r="I607">
        <v>0</v>
      </c>
      <c r="J607">
        <v>0</v>
      </c>
      <c r="K607">
        <v>0</v>
      </c>
    </row>
    <row r="608" spans="1:11" x14ac:dyDescent="0.25">
      <c r="A608" s="4" t="s">
        <v>21</v>
      </c>
      <c r="B608">
        <v>7172010015001700</v>
      </c>
      <c r="C608">
        <v>64</v>
      </c>
      <c r="D608">
        <v>7</v>
      </c>
      <c r="E608">
        <v>0</v>
      </c>
      <c r="F608">
        <v>0</v>
      </c>
      <c r="G608">
        <v>22</v>
      </c>
      <c r="H608">
        <v>0</v>
      </c>
      <c r="I608">
        <v>0</v>
      </c>
      <c r="J608">
        <v>35</v>
      </c>
      <c r="K608">
        <v>0</v>
      </c>
    </row>
    <row r="609" spans="1:11" x14ac:dyDescent="0.25">
      <c r="A609" s="4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64</v>
      </c>
      <c r="H609">
        <v>0</v>
      </c>
      <c r="I609">
        <v>0</v>
      </c>
      <c r="J609">
        <v>0</v>
      </c>
      <c r="K609">
        <v>0</v>
      </c>
    </row>
    <row r="610" spans="1:11" x14ac:dyDescent="0.25">
      <c r="A610" s="4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37</v>
      </c>
      <c r="H610">
        <v>0</v>
      </c>
      <c r="I610">
        <v>0</v>
      </c>
      <c r="J610">
        <v>0</v>
      </c>
      <c r="K610">
        <v>0</v>
      </c>
    </row>
    <row r="611" spans="1:11" x14ac:dyDescent="0.25">
      <c r="A611" s="4" t="s">
        <v>7</v>
      </c>
      <c r="B611">
        <v>7172010008001000</v>
      </c>
      <c r="C611">
        <v>192</v>
      </c>
      <c r="D611">
        <v>64</v>
      </c>
      <c r="E611">
        <v>4</v>
      </c>
      <c r="F611">
        <v>0</v>
      </c>
      <c r="G611">
        <v>7</v>
      </c>
      <c r="H611">
        <v>113</v>
      </c>
      <c r="I611">
        <v>0</v>
      </c>
      <c r="J611">
        <v>4</v>
      </c>
      <c r="K611">
        <v>0</v>
      </c>
    </row>
    <row r="612" spans="1:11" x14ac:dyDescent="0.25">
      <c r="A612" s="4" t="s">
        <v>7</v>
      </c>
      <c r="B612">
        <v>7172010008001101</v>
      </c>
      <c r="C612">
        <v>164</v>
      </c>
      <c r="D612">
        <v>0</v>
      </c>
      <c r="E612">
        <v>0</v>
      </c>
      <c r="F612">
        <v>0</v>
      </c>
      <c r="G612">
        <v>164</v>
      </c>
      <c r="H612">
        <v>0</v>
      </c>
      <c r="I612">
        <v>0</v>
      </c>
      <c r="J612">
        <v>0</v>
      </c>
      <c r="K612">
        <v>0</v>
      </c>
    </row>
    <row r="613" spans="1:11" x14ac:dyDescent="0.25">
      <c r="A613" s="4" t="s">
        <v>7</v>
      </c>
      <c r="B613">
        <v>7172010008000800</v>
      </c>
      <c r="C613">
        <v>146</v>
      </c>
      <c r="D613">
        <v>43</v>
      </c>
      <c r="E613">
        <v>3</v>
      </c>
      <c r="F613">
        <v>0</v>
      </c>
      <c r="G613">
        <v>27</v>
      </c>
      <c r="H613">
        <v>59</v>
      </c>
      <c r="I613">
        <v>0</v>
      </c>
      <c r="J613">
        <v>14</v>
      </c>
      <c r="K613">
        <v>0</v>
      </c>
    </row>
    <row r="614" spans="1:11" x14ac:dyDescent="0.25">
      <c r="A614" s="4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68</v>
      </c>
      <c r="H614">
        <v>0</v>
      </c>
      <c r="I614">
        <v>0</v>
      </c>
      <c r="J614">
        <v>0</v>
      </c>
      <c r="K614">
        <v>0</v>
      </c>
    </row>
    <row r="615" spans="1:11" x14ac:dyDescent="0.25">
      <c r="A615" s="4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51</v>
      </c>
      <c r="H615">
        <v>0</v>
      </c>
      <c r="I615">
        <v>0</v>
      </c>
      <c r="J615">
        <v>0</v>
      </c>
      <c r="K615">
        <v>0</v>
      </c>
    </row>
    <row r="616" spans="1:11" x14ac:dyDescent="0.25">
      <c r="A616" s="4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23</v>
      </c>
      <c r="H616">
        <v>0</v>
      </c>
      <c r="I616">
        <v>0</v>
      </c>
      <c r="J616">
        <v>0</v>
      </c>
      <c r="K616">
        <v>0</v>
      </c>
    </row>
    <row r="617" spans="1:11" x14ac:dyDescent="0.25">
      <c r="A617" s="4" t="s">
        <v>237</v>
      </c>
      <c r="B617">
        <v>7172010017001200</v>
      </c>
      <c r="C617">
        <v>132</v>
      </c>
      <c r="D617">
        <v>0</v>
      </c>
      <c r="E617">
        <v>25</v>
      </c>
      <c r="F617">
        <v>0</v>
      </c>
      <c r="G617">
        <v>65</v>
      </c>
      <c r="H617">
        <v>0</v>
      </c>
      <c r="I617">
        <v>0</v>
      </c>
      <c r="J617">
        <v>42</v>
      </c>
      <c r="K617">
        <v>0</v>
      </c>
    </row>
    <row r="618" spans="1:11" x14ac:dyDescent="0.25">
      <c r="A618" s="4" t="s">
        <v>237</v>
      </c>
      <c r="B618">
        <v>7172010017000800</v>
      </c>
      <c r="C618">
        <v>96</v>
      </c>
      <c r="D618">
        <v>39</v>
      </c>
      <c r="E618">
        <v>0</v>
      </c>
      <c r="F618">
        <v>0</v>
      </c>
      <c r="G618">
        <v>0</v>
      </c>
      <c r="H618">
        <v>10</v>
      </c>
      <c r="I618">
        <v>0</v>
      </c>
      <c r="J618">
        <v>47</v>
      </c>
      <c r="K618">
        <v>0</v>
      </c>
    </row>
    <row r="619" spans="1:11" x14ac:dyDescent="0.25">
      <c r="A619" s="4" t="s">
        <v>237</v>
      </c>
      <c r="B619">
        <v>7172010017001100</v>
      </c>
      <c r="C619">
        <v>80</v>
      </c>
      <c r="D619">
        <v>0</v>
      </c>
      <c r="E619">
        <v>0</v>
      </c>
      <c r="F619">
        <v>0</v>
      </c>
      <c r="G619">
        <v>74</v>
      </c>
      <c r="H619">
        <v>0</v>
      </c>
      <c r="I619">
        <v>0</v>
      </c>
      <c r="J619">
        <v>6</v>
      </c>
      <c r="K619">
        <v>0</v>
      </c>
    </row>
    <row r="620" spans="1:11" x14ac:dyDescent="0.25">
      <c r="A620" s="4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60</v>
      </c>
      <c r="H620">
        <v>0</v>
      </c>
      <c r="I620">
        <v>0</v>
      </c>
      <c r="J620">
        <v>0</v>
      </c>
      <c r="K620">
        <v>0</v>
      </c>
    </row>
    <row r="621" spans="1:11" x14ac:dyDescent="0.25">
      <c r="A621" s="4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55</v>
      </c>
      <c r="H621">
        <v>0</v>
      </c>
      <c r="I621">
        <v>0</v>
      </c>
      <c r="J621">
        <v>0</v>
      </c>
      <c r="K621">
        <v>0</v>
      </c>
    </row>
    <row r="622" spans="1:11" x14ac:dyDescent="0.25">
      <c r="A622" s="4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55</v>
      </c>
      <c r="H622">
        <v>0</v>
      </c>
      <c r="I622">
        <v>0</v>
      </c>
      <c r="J622">
        <v>0</v>
      </c>
      <c r="K622">
        <v>0</v>
      </c>
    </row>
    <row r="623" spans="1:11" x14ac:dyDescent="0.25">
      <c r="A623" s="4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47</v>
      </c>
      <c r="H623">
        <v>0</v>
      </c>
      <c r="I623">
        <v>0</v>
      </c>
      <c r="J623">
        <v>0</v>
      </c>
      <c r="K623">
        <v>0</v>
      </c>
    </row>
    <row r="624" spans="1:11" x14ac:dyDescent="0.25">
      <c r="A624" s="4" t="s">
        <v>237</v>
      </c>
      <c r="B624">
        <v>7172010017001000</v>
      </c>
      <c r="C624">
        <v>40</v>
      </c>
      <c r="D624">
        <v>0</v>
      </c>
      <c r="E624">
        <v>1</v>
      </c>
      <c r="F624">
        <v>0</v>
      </c>
      <c r="G624">
        <v>39</v>
      </c>
      <c r="H624">
        <v>0</v>
      </c>
      <c r="I624">
        <v>0</v>
      </c>
      <c r="J624">
        <v>0</v>
      </c>
      <c r="K624">
        <v>0</v>
      </c>
    </row>
    <row r="625" spans="1:11" x14ac:dyDescent="0.25">
      <c r="A625" s="4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38</v>
      </c>
      <c r="H625">
        <v>0</v>
      </c>
      <c r="I625">
        <v>0</v>
      </c>
      <c r="J625">
        <v>0</v>
      </c>
      <c r="K625">
        <v>0</v>
      </c>
    </row>
    <row r="626" spans="1:11" x14ac:dyDescent="0.25">
      <c r="A626" s="4" t="s">
        <v>27</v>
      </c>
      <c r="B626">
        <v>7172011001000700</v>
      </c>
      <c r="C626">
        <v>177</v>
      </c>
      <c r="D626">
        <v>56</v>
      </c>
      <c r="E626">
        <v>4</v>
      </c>
      <c r="F626">
        <v>0</v>
      </c>
      <c r="G626">
        <v>39</v>
      </c>
      <c r="H626">
        <v>10</v>
      </c>
      <c r="I626">
        <v>0</v>
      </c>
      <c r="J626">
        <v>68</v>
      </c>
      <c r="K626">
        <v>0</v>
      </c>
    </row>
    <row r="627" spans="1:11" x14ac:dyDescent="0.25">
      <c r="A627" s="4" t="s">
        <v>27</v>
      </c>
      <c r="B627">
        <v>7172011002000600</v>
      </c>
      <c r="C627">
        <v>155</v>
      </c>
      <c r="D627">
        <v>6</v>
      </c>
      <c r="E627">
        <v>8</v>
      </c>
      <c r="F627">
        <v>0</v>
      </c>
      <c r="G627">
        <v>89</v>
      </c>
      <c r="H627">
        <v>0</v>
      </c>
      <c r="I627">
        <v>0</v>
      </c>
      <c r="J627">
        <v>52</v>
      </c>
      <c r="K627">
        <v>0</v>
      </c>
    </row>
    <row r="628" spans="1:11" x14ac:dyDescent="0.25">
      <c r="A628" s="4" t="s">
        <v>27</v>
      </c>
      <c r="B628">
        <v>7172011002000900</v>
      </c>
      <c r="C628">
        <v>102</v>
      </c>
      <c r="D628">
        <v>0</v>
      </c>
      <c r="E628">
        <v>0</v>
      </c>
      <c r="F628">
        <v>0</v>
      </c>
      <c r="G628">
        <v>102</v>
      </c>
      <c r="H628">
        <v>0</v>
      </c>
      <c r="I628">
        <v>0</v>
      </c>
      <c r="J628">
        <v>0</v>
      </c>
      <c r="K628">
        <v>0</v>
      </c>
    </row>
    <row r="629" spans="1:11" x14ac:dyDescent="0.25">
      <c r="A629" s="4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76</v>
      </c>
      <c r="H629">
        <v>0</v>
      </c>
      <c r="I629">
        <v>0</v>
      </c>
      <c r="J629">
        <v>0</v>
      </c>
      <c r="K629">
        <v>0</v>
      </c>
    </row>
    <row r="630" spans="1:11" x14ac:dyDescent="0.25">
      <c r="A630" s="4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67</v>
      </c>
      <c r="H630">
        <v>0</v>
      </c>
      <c r="I630">
        <v>0</v>
      </c>
      <c r="J630">
        <v>0</v>
      </c>
      <c r="K630">
        <v>0</v>
      </c>
    </row>
    <row r="631" spans="1:11" x14ac:dyDescent="0.25">
      <c r="A631" s="4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47</v>
      </c>
      <c r="H631">
        <v>0</v>
      </c>
      <c r="I631">
        <v>0</v>
      </c>
      <c r="J631">
        <v>0</v>
      </c>
      <c r="K631">
        <v>0</v>
      </c>
    </row>
    <row r="632" spans="1:11" x14ac:dyDescent="0.25">
      <c r="A632" s="4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44</v>
      </c>
      <c r="H632">
        <v>0</v>
      </c>
      <c r="I632">
        <v>0</v>
      </c>
      <c r="J632">
        <v>0</v>
      </c>
      <c r="K632">
        <v>0</v>
      </c>
    </row>
    <row r="633" spans="1:11" x14ac:dyDescent="0.25">
      <c r="A633" s="4" t="s">
        <v>29</v>
      </c>
      <c r="B633">
        <v>7172011002001200</v>
      </c>
      <c r="C633">
        <v>113</v>
      </c>
      <c r="D633">
        <v>32</v>
      </c>
      <c r="E633">
        <v>13</v>
      </c>
      <c r="F633">
        <v>0</v>
      </c>
      <c r="G633">
        <v>46</v>
      </c>
      <c r="H633">
        <v>1</v>
      </c>
      <c r="I633">
        <v>0</v>
      </c>
      <c r="J633">
        <v>21</v>
      </c>
      <c r="K633">
        <v>0</v>
      </c>
    </row>
    <row r="634" spans="1:11" x14ac:dyDescent="0.25">
      <c r="A634" s="4" t="s">
        <v>29</v>
      </c>
      <c r="B634">
        <v>7172011002001600</v>
      </c>
      <c r="C634">
        <v>93</v>
      </c>
      <c r="D634">
        <v>16</v>
      </c>
      <c r="E634">
        <v>11</v>
      </c>
      <c r="F634">
        <v>0</v>
      </c>
      <c r="G634">
        <v>62</v>
      </c>
      <c r="H634">
        <v>0</v>
      </c>
      <c r="I634">
        <v>0</v>
      </c>
      <c r="J634">
        <v>4</v>
      </c>
      <c r="K634">
        <v>0</v>
      </c>
    </row>
    <row r="635" spans="1:11" x14ac:dyDescent="0.25">
      <c r="A635" s="4" t="s">
        <v>29</v>
      </c>
      <c r="B635">
        <v>7172011011000500</v>
      </c>
      <c r="C635">
        <v>89</v>
      </c>
      <c r="D635">
        <v>33</v>
      </c>
      <c r="E635">
        <v>5</v>
      </c>
      <c r="F635">
        <v>0</v>
      </c>
      <c r="G635">
        <v>0</v>
      </c>
      <c r="H635">
        <v>1</v>
      </c>
      <c r="I635">
        <v>0</v>
      </c>
      <c r="J635">
        <v>50</v>
      </c>
      <c r="K635">
        <v>0</v>
      </c>
    </row>
    <row r="636" spans="1:11" x14ac:dyDescent="0.25">
      <c r="A636" s="4" t="s">
        <v>29</v>
      </c>
      <c r="B636">
        <v>7172011002001500</v>
      </c>
      <c r="C636">
        <v>84</v>
      </c>
      <c r="D636">
        <v>0</v>
      </c>
      <c r="E636">
        <v>0</v>
      </c>
      <c r="F636">
        <v>0</v>
      </c>
      <c r="G636">
        <v>84</v>
      </c>
      <c r="H636">
        <v>0</v>
      </c>
      <c r="I636">
        <v>0</v>
      </c>
      <c r="J636">
        <v>0</v>
      </c>
      <c r="K636">
        <v>0</v>
      </c>
    </row>
    <row r="637" spans="1:11" x14ac:dyDescent="0.25">
      <c r="A637" s="4" t="s">
        <v>29</v>
      </c>
      <c r="B637">
        <v>7172011002001400</v>
      </c>
      <c r="C637">
        <v>77</v>
      </c>
      <c r="D637">
        <v>0</v>
      </c>
      <c r="E637">
        <v>0</v>
      </c>
      <c r="F637">
        <v>0</v>
      </c>
      <c r="G637">
        <v>77</v>
      </c>
      <c r="H637">
        <v>0</v>
      </c>
      <c r="I637">
        <v>0</v>
      </c>
      <c r="J637">
        <v>0</v>
      </c>
      <c r="K637">
        <v>0</v>
      </c>
    </row>
    <row r="638" spans="1:11" x14ac:dyDescent="0.25">
      <c r="A638" s="4" t="s">
        <v>29</v>
      </c>
      <c r="B638">
        <v>7172011011000400</v>
      </c>
      <c r="C638">
        <v>71</v>
      </c>
      <c r="D638">
        <v>0</v>
      </c>
      <c r="E638">
        <v>0</v>
      </c>
      <c r="F638">
        <v>0</v>
      </c>
      <c r="G638">
        <v>71</v>
      </c>
      <c r="H638">
        <v>0</v>
      </c>
      <c r="I638">
        <v>0</v>
      </c>
      <c r="J638">
        <v>0</v>
      </c>
      <c r="K638">
        <v>0</v>
      </c>
    </row>
    <row r="639" spans="1:11" x14ac:dyDescent="0.25">
      <c r="A639" s="4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58</v>
      </c>
      <c r="H639">
        <v>0</v>
      </c>
      <c r="I639">
        <v>0</v>
      </c>
      <c r="J639">
        <v>0</v>
      </c>
      <c r="K639">
        <v>0</v>
      </c>
    </row>
    <row r="640" spans="1:11" x14ac:dyDescent="0.25">
      <c r="A640" s="4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50</v>
      </c>
      <c r="H640">
        <v>0</v>
      </c>
      <c r="I640">
        <v>0</v>
      </c>
      <c r="J640">
        <v>0</v>
      </c>
      <c r="K640">
        <v>0</v>
      </c>
    </row>
    <row r="641" spans="1:11" x14ac:dyDescent="0.25">
      <c r="A641" s="4" t="s">
        <v>29</v>
      </c>
      <c r="B641">
        <v>7172011011000200</v>
      </c>
      <c r="C641">
        <v>38</v>
      </c>
      <c r="D641">
        <v>0</v>
      </c>
      <c r="E641">
        <v>0</v>
      </c>
      <c r="F641">
        <v>0</v>
      </c>
      <c r="G641">
        <v>38</v>
      </c>
      <c r="H641">
        <v>0</v>
      </c>
      <c r="I641">
        <v>0</v>
      </c>
      <c r="J641">
        <v>0</v>
      </c>
      <c r="K641">
        <v>0</v>
      </c>
    </row>
    <row r="642" spans="1:11" x14ac:dyDescent="0.25">
      <c r="A642" s="4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27</v>
      </c>
      <c r="H642">
        <v>0</v>
      </c>
      <c r="I642">
        <v>0</v>
      </c>
      <c r="J642">
        <v>0</v>
      </c>
      <c r="K642">
        <v>0</v>
      </c>
    </row>
    <row r="643" spans="1:11" x14ac:dyDescent="0.25">
      <c r="A643" s="4" t="s">
        <v>30</v>
      </c>
      <c r="B643">
        <v>7172011003001803</v>
      </c>
      <c r="C643">
        <v>165</v>
      </c>
      <c r="D643">
        <v>17</v>
      </c>
      <c r="E643">
        <v>37</v>
      </c>
      <c r="F643">
        <v>0</v>
      </c>
      <c r="G643">
        <v>51</v>
      </c>
      <c r="H643">
        <v>7</v>
      </c>
      <c r="I643">
        <v>0</v>
      </c>
      <c r="J643">
        <v>53</v>
      </c>
      <c r="K643">
        <v>0</v>
      </c>
    </row>
    <row r="644" spans="1:11" x14ac:dyDescent="0.25">
      <c r="A644" s="4" t="s">
        <v>30</v>
      </c>
      <c r="B644">
        <v>7172011003000400</v>
      </c>
      <c r="C644">
        <v>127</v>
      </c>
      <c r="D644">
        <v>0</v>
      </c>
      <c r="E644">
        <v>15</v>
      </c>
      <c r="F644">
        <v>0</v>
      </c>
      <c r="G644">
        <v>102</v>
      </c>
      <c r="H644">
        <v>0</v>
      </c>
      <c r="I644">
        <v>0</v>
      </c>
      <c r="J644">
        <v>10</v>
      </c>
      <c r="K644">
        <v>0</v>
      </c>
    </row>
    <row r="645" spans="1:11" x14ac:dyDescent="0.25">
      <c r="A645" s="4" t="s">
        <v>30</v>
      </c>
      <c r="B645">
        <v>7172011003000100</v>
      </c>
      <c r="C645">
        <v>121</v>
      </c>
      <c r="D645">
        <v>0</v>
      </c>
      <c r="E645">
        <v>0</v>
      </c>
      <c r="F645">
        <v>0</v>
      </c>
      <c r="G645">
        <v>121</v>
      </c>
      <c r="H645">
        <v>0</v>
      </c>
      <c r="I645">
        <v>0</v>
      </c>
      <c r="J645">
        <v>0</v>
      </c>
      <c r="K645">
        <v>0</v>
      </c>
    </row>
    <row r="646" spans="1:11" x14ac:dyDescent="0.25">
      <c r="A646" s="4" t="s">
        <v>30</v>
      </c>
      <c r="B646">
        <v>7172011003000700</v>
      </c>
      <c r="C646">
        <v>118</v>
      </c>
      <c r="D646">
        <v>0</v>
      </c>
      <c r="E646">
        <v>0</v>
      </c>
      <c r="F646">
        <v>0</v>
      </c>
      <c r="G646">
        <v>118</v>
      </c>
      <c r="H646">
        <v>0</v>
      </c>
      <c r="I646">
        <v>0</v>
      </c>
      <c r="J646">
        <v>0</v>
      </c>
      <c r="K646">
        <v>0</v>
      </c>
    </row>
    <row r="647" spans="1:11" x14ac:dyDescent="0.25">
      <c r="A647" s="4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90</v>
      </c>
      <c r="H647">
        <v>0</v>
      </c>
      <c r="I647">
        <v>0</v>
      </c>
      <c r="J647">
        <v>0</v>
      </c>
      <c r="K647">
        <v>0</v>
      </c>
    </row>
    <row r="648" spans="1:11" x14ac:dyDescent="0.25">
      <c r="A648" s="4" t="s">
        <v>32</v>
      </c>
      <c r="B648">
        <v>7172011003000300</v>
      </c>
      <c r="C648">
        <v>194</v>
      </c>
      <c r="D648">
        <v>20</v>
      </c>
      <c r="E648">
        <v>27</v>
      </c>
      <c r="F648">
        <v>0</v>
      </c>
      <c r="G648">
        <v>95</v>
      </c>
      <c r="H648">
        <v>0</v>
      </c>
      <c r="I648">
        <v>0</v>
      </c>
      <c r="J648">
        <v>52</v>
      </c>
      <c r="K648">
        <v>0</v>
      </c>
    </row>
    <row r="649" spans="1:11" x14ac:dyDescent="0.25">
      <c r="A649" s="4" t="s">
        <v>32</v>
      </c>
      <c r="B649">
        <v>7172011003000600</v>
      </c>
      <c r="C649">
        <v>181</v>
      </c>
      <c r="D649">
        <v>0</v>
      </c>
      <c r="E649">
        <v>0</v>
      </c>
      <c r="F649">
        <v>0</v>
      </c>
      <c r="G649">
        <v>181</v>
      </c>
      <c r="H649">
        <v>0</v>
      </c>
      <c r="I649">
        <v>0</v>
      </c>
      <c r="J649">
        <v>0</v>
      </c>
      <c r="K649">
        <v>0</v>
      </c>
    </row>
    <row r="650" spans="1:11" x14ac:dyDescent="0.25">
      <c r="A650" s="4" t="s">
        <v>32</v>
      </c>
      <c r="B650">
        <v>7172011003000500</v>
      </c>
      <c r="C650">
        <v>126</v>
      </c>
      <c r="D650">
        <v>0</v>
      </c>
      <c r="E650">
        <v>0</v>
      </c>
      <c r="F650">
        <v>0</v>
      </c>
      <c r="G650">
        <v>126</v>
      </c>
      <c r="H650">
        <v>0</v>
      </c>
      <c r="I650">
        <v>0</v>
      </c>
      <c r="J650">
        <v>0</v>
      </c>
      <c r="K650">
        <v>0</v>
      </c>
    </row>
    <row r="651" spans="1:11" x14ac:dyDescent="0.25">
      <c r="A651" s="4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103</v>
      </c>
      <c r="H651">
        <v>0</v>
      </c>
      <c r="I651">
        <v>0</v>
      </c>
      <c r="J651">
        <v>0</v>
      </c>
      <c r="K651">
        <v>0</v>
      </c>
    </row>
    <row r="652" spans="1:11" x14ac:dyDescent="0.25">
      <c r="A652" s="4" t="s">
        <v>33</v>
      </c>
      <c r="B652">
        <v>7172011003003300</v>
      </c>
      <c r="C652">
        <v>124</v>
      </c>
      <c r="D652">
        <v>0</v>
      </c>
      <c r="E652">
        <v>0</v>
      </c>
      <c r="F652">
        <v>0</v>
      </c>
      <c r="G652">
        <v>123</v>
      </c>
      <c r="H652">
        <v>0</v>
      </c>
      <c r="I652">
        <v>0</v>
      </c>
      <c r="J652">
        <v>1</v>
      </c>
      <c r="K652">
        <v>0</v>
      </c>
    </row>
    <row r="653" spans="1:11" x14ac:dyDescent="0.25">
      <c r="A653" s="4" t="s">
        <v>33</v>
      </c>
      <c r="B653">
        <v>7172011014001702</v>
      </c>
      <c r="C653">
        <v>119</v>
      </c>
      <c r="D653">
        <v>72</v>
      </c>
      <c r="E653">
        <v>3</v>
      </c>
      <c r="F653">
        <v>0</v>
      </c>
      <c r="G653">
        <v>0</v>
      </c>
      <c r="H653">
        <v>0</v>
      </c>
      <c r="I653">
        <v>0</v>
      </c>
      <c r="J653">
        <v>44</v>
      </c>
      <c r="K653">
        <v>0</v>
      </c>
    </row>
    <row r="654" spans="1:11" x14ac:dyDescent="0.25">
      <c r="A654" s="4" t="s">
        <v>33</v>
      </c>
      <c r="B654">
        <v>7172011003003200</v>
      </c>
      <c r="C654">
        <v>116</v>
      </c>
      <c r="D654">
        <v>0</v>
      </c>
      <c r="E654">
        <v>0</v>
      </c>
      <c r="F654">
        <v>0</v>
      </c>
      <c r="G654">
        <v>116</v>
      </c>
      <c r="H654">
        <v>0</v>
      </c>
      <c r="I654">
        <v>0</v>
      </c>
      <c r="J654">
        <v>0</v>
      </c>
      <c r="K654">
        <v>0</v>
      </c>
    </row>
    <row r="655" spans="1:11" x14ac:dyDescent="0.25">
      <c r="A655" s="4" t="s">
        <v>33</v>
      </c>
      <c r="B655">
        <v>7172011003003503</v>
      </c>
      <c r="C655">
        <v>103</v>
      </c>
      <c r="D655">
        <v>0</v>
      </c>
      <c r="E655">
        <v>13</v>
      </c>
      <c r="F655">
        <v>0</v>
      </c>
      <c r="G655">
        <v>90</v>
      </c>
      <c r="H655">
        <v>0</v>
      </c>
      <c r="I655">
        <v>0</v>
      </c>
      <c r="J655">
        <v>0</v>
      </c>
      <c r="K655">
        <v>0</v>
      </c>
    </row>
    <row r="656" spans="1:11" x14ac:dyDescent="0.25">
      <c r="A656" s="4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88</v>
      </c>
      <c r="H656">
        <v>0</v>
      </c>
      <c r="I656">
        <v>0</v>
      </c>
      <c r="J656">
        <v>0</v>
      </c>
      <c r="K656">
        <v>0</v>
      </c>
    </row>
    <row r="657" spans="1:11" x14ac:dyDescent="0.25">
      <c r="A657" s="4" t="s">
        <v>33</v>
      </c>
      <c r="B657">
        <v>7172011003003400</v>
      </c>
      <c r="C657">
        <v>67</v>
      </c>
      <c r="D657">
        <v>0</v>
      </c>
      <c r="E657">
        <v>0</v>
      </c>
      <c r="F657">
        <v>0</v>
      </c>
      <c r="G657">
        <v>67</v>
      </c>
      <c r="H657">
        <v>0</v>
      </c>
      <c r="I657">
        <v>0</v>
      </c>
      <c r="J657">
        <v>0</v>
      </c>
      <c r="K657">
        <v>0</v>
      </c>
    </row>
    <row r="658" spans="1:11" x14ac:dyDescent="0.25">
      <c r="A658" s="4" t="s">
        <v>33</v>
      </c>
      <c r="B658">
        <v>7172011003003502</v>
      </c>
      <c r="C658">
        <v>43</v>
      </c>
      <c r="D658">
        <v>12</v>
      </c>
      <c r="E658">
        <v>14</v>
      </c>
      <c r="F658">
        <v>0</v>
      </c>
      <c r="G658">
        <v>16</v>
      </c>
      <c r="H658">
        <v>1</v>
      </c>
      <c r="I658">
        <v>0</v>
      </c>
      <c r="J658">
        <v>0</v>
      </c>
      <c r="K658">
        <v>0</v>
      </c>
    </row>
    <row r="659" spans="1:11" x14ac:dyDescent="0.25">
      <c r="A659" s="4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144</v>
      </c>
      <c r="H659">
        <v>0</v>
      </c>
      <c r="I659">
        <v>0</v>
      </c>
      <c r="J659">
        <v>0</v>
      </c>
      <c r="K659">
        <v>0</v>
      </c>
    </row>
    <row r="660" spans="1:11" x14ac:dyDescent="0.25">
      <c r="A660" s="4" t="s">
        <v>34</v>
      </c>
      <c r="B660">
        <v>7172011003001600</v>
      </c>
      <c r="C660">
        <v>121</v>
      </c>
      <c r="D660">
        <v>13</v>
      </c>
      <c r="E660">
        <v>10</v>
      </c>
      <c r="F660">
        <v>0</v>
      </c>
      <c r="G660">
        <v>29</v>
      </c>
      <c r="H660">
        <v>0</v>
      </c>
      <c r="I660">
        <v>0</v>
      </c>
      <c r="J660">
        <v>69</v>
      </c>
      <c r="K660">
        <v>0</v>
      </c>
    </row>
    <row r="661" spans="1:11" x14ac:dyDescent="0.25">
      <c r="A661" s="4" t="s">
        <v>34</v>
      </c>
      <c r="B661">
        <v>7172011003001500</v>
      </c>
      <c r="C661">
        <v>113</v>
      </c>
      <c r="D661">
        <v>8</v>
      </c>
      <c r="E661">
        <v>12</v>
      </c>
      <c r="F661">
        <v>0</v>
      </c>
      <c r="G661">
        <v>42</v>
      </c>
      <c r="H661">
        <v>0</v>
      </c>
      <c r="I661">
        <v>0</v>
      </c>
      <c r="J661">
        <v>51</v>
      </c>
      <c r="K661">
        <v>0</v>
      </c>
    </row>
    <row r="662" spans="1:11" x14ac:dyDescent="0.25">
      <c r="A662" s="4" t="s">
        <v>34</v>
      </c>
      <c r="B662">
        <v>7172011003001200</v>
      </c>
      <c r="C662">
        <v>95</v>
      </c>
      <c r="D662">
        <v>0</v>
      </c>
      <c r="E662">
        <v>0</v>
      </c>
      <c r="F662">
        <v>0</v>
      </c>
      <c r="G662">
        <v>95</v>
      </c>
      <c r="H662">
        <v>0</v>
      </c>
      <c r="I662">
        <v>0</v>
      </c>
      <c r="J662">
        <v>0</v>
      </c>
      <c r="K662">
        <v>0</v>
      </c>
    </row>
    <row r="663" spans="1:11" x14ac:dyDescent="0.25">
      <c r="A663" s="4" t="s">
        <v>34</v>
      </c>
      <c r="B663">
        <v>7172011003001400</v>
      </c>
      <c r="C663">
        <v>83</v>
      </c>
      <c r="D663">
        <v>0</v>
      </c>
      <c r="E663">
        <v>10</v>
      </c>
      <c r="F663">
        <v>0</v>
      </c>
      <c r="G663">
        <v>73</v>
      </c>
      <c r="H663">
        <v>0</v>
      </c>
      <c r="I663">
        <v>0</v>
      </c>
      <c r="J663">
        <v>0</v>
      </c>
      <c r="K663">
        <v>0</v>
      </c>
    </row>
    <row r="664" spans="1:11" x14ac:dyDescent="0.25">
      <c r="A664" s="4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67</v>
      </c>
      <c r="H664">
        <v>0</v>
      </c>
      <c r="I664">
        <v>0</v>
      </c>
      <c r="J664">
        <v>0</v>
      </c>
      <c r="K664">
        <v>0</v>
      </c>
    </row>
    <row r="665" spans="1:11" x14ac:dyDescent="0.25">
      <c r="A665" s="4" t="s">
        <v>40</v>
      </c>
      <c r="B665">
        <v>7172011004001200</v>
      </c>
      <c r="C665">
        <v>157</v>
      </c>
      <c r="D665">
        <v>0</v>
      </c>
      <c r="E665">
        <v>27</v>
      </c>
      <c r="F665">
        <v>0</v>
      </c>
      <c r="G665">
        <v>130</v>
      </c>
      <c r="H665">
        <v>0</v>
      </c>
      <c r="I665">
        <v>0</v>
      </c>
      <c r="J665">
        <v>0</v>
      </c>
      <c r="K665">
        <v>0</v>
      </c>
    </row>
    <row r="666" spans="1:11" x14ac:dyDescent="0.25">
      <c r="A666" s="4" t="s">
        <v>40</v>
      </c>
      <c r="B666">
        <v>7172011004000900</v>
      </c>
      <c r="C666">
        <v>150</v>
      </c>
      <c r="D666">
        <v>0</v>
      </c>
      <c r="E666">
        <v>0</v>
      </c>
      <c r="F666">
        <v>0</v>
      </c>
      <c r="G666">
        <v>150</v>
      </c>
      <c r="H666">
        <v>0</v>
      </c>
      <c r="I666">
        <v>0</v>
      </c>
      <c r="J666">
        <v>0</v>
      </c>
      <c r="K666">
        <v>0</v>
      </c>
    </row>
    <row r="667" spans="1:11" x14ac:dyDescent="0.25">
      <c r="A667" s="4" t="s">
        <v>40</v>
      </c>
      <c r="B667">
        <v>7172011004000700</v>
      </c>
      <c r="C667">
        <v>136</v>
      </c>
      <c r="D667">
        <v>23</v>
      </c>
      <c r="E667">
        <v>55</v>
      </c>
      <c r="F667">
        <v>0</v>
      </c>
      <c r="G667">
        <v>16</v>
      </c>
      <c r="H667">
        <v>0</v>
      </c>
      <c r="I667">
        <v>0</v>
      </c>
      <c r="J667">
        <v>42</v>
      </c>
      <c r="K667">
        <v>0</v>
      </c>
    </row>
    <row r="668" spans="1:11" x14ac:dyDescent="0.25">
      <c r="A668" s="4" t="s">
        <v>40</v>
      </c>
      <c r="B668">
        <v>7172011004001000</v>
      </c>
      <c r="C668">
        <v>100</v>
      </c>
      <c r="D668">
        <v>0</v>
      </c>
      <c r="E668">
        <v>0</v>
      </c>
      <c r="F668">
        <v>0</v>
      </c>
      <c r="G668">
        <v>100</v>
      </c>
      <c r="H668">
        <v>0</v>
      </c>
      <c r="I668">
        <v>0</v>
      </c>
      <c r="J668">
        <v>0</v>
      </c>
      <c r="K668">
        <v>0</v>
      </c>
    </row>
    <row r="669" spans="1:11" x14ac:dyDescent="0.25">
      <c r="A669" s="4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</row>
    <row r="670" spans="1:11" x14ac:dyDescent="0.25">
      <c r="A670" s="4" t="s">
        <v>43</v>
      </c>
      <c r="B670">
        <v>7172011011001600</v>
      </c>
      <c r="C670">
        <v>143</v>
      </c>
      <c r="D670">
        <v>0</v>
      </c>
      <c r="E670">
        <v>0</v>
      </c>
      <c r="F670">
        <v>0</v>
      </c>
      <c r="G670">
        <v>143</v>
      </c>
      <c r="H670">
        <v>0</v>
      </c>
      <c r="I670">
        <v>0</v>
      </c>
      <c r="J670">
        <v>0</v>
      </c>
      <c r="K670">
        <v>0</v>
      </c>
    </row>
    <row r="671" spans="1:11" x14ac:dyDescent="0.25">
      <c r="A671" s="4" t="s">
        <v>43</v>
      </c>
      <c r="B671">
        <v>7172011011001500</v>
      </c>
      <c r="C671">
        <v>91</v>
      </c>
      <c r="D671">
        <v>0</v>
      </c>
      <c r="E671">
        <v>1</v>
      </c>
      <c r="F671">
        <v>0</v>
      </c>
      <c r="G671">
        <v>90</v>
      </c>
      <c r="H671">
        <v>0</v>
      </c>
      <c r="I671">
        <v>0</v>
      </c>
      <c r="J671">
        <v>0</v>
      </c>
      <c r="K671">
        <v>0</v>
      </c>
    </row>
    <row r="672" spans="1:11" x14ac:dyDescent="0.25">
      <c r="A672" s="4" t="s">
        <v>43</v>
      </c>
      <c r="B672">
        <v>7172011011000600</v>
      </c>
      <c r="C672">
        <v>67</v>
      </c>
      <c r="D672">
        <v>15</v>
      </c>
      <c r="E672">
        <v>26</v>
      </c>
      <c r="F672">
        <v>0</v>
      </c>
      <c r="G672">
        <v>15</v>
      </c>
      <c r="H672">
        <v>0</v>
      </c>
      <c r="I672">
        <v>0</v>
      </c>
      <c r="J672">
        <v>11</v>
      </c>
      <c r="K672">
        <v>0</v>
      </c>
    </row>
    <row r="673" spans="1:11" x14ac:dyDescent="0.25">
      <c r="A673" s="4" t="s">
        <v>43</v>
      </c>
      <c r="B673">
        <v>7172011011000900</v>
      </c>
      <c r="C673">
        <v>64</v>
      </c>
      <c r="D673">
        <v>18</v>
      </c>
      <c r="E673">
        <v>4</v>
      </c>
      <c r="F673">
        <v>0</v>
      </c>
      <c r="G673">
        <v>10</v>
      </c>
      <c r="H673">
        <v>6</v>
      </c>
      <c r="I673">
        <v>0</v>
      </c>
      <c r="J673">
        <v>26</v>
      </c>
      <c r="K673">
        <v>0</v>
      </c>
    </row>
    <row r="674" spans="1:11" x14ac:dyDescent="0.25">
      <c r="A674" s="4" t="s">
        <v>43</v>
      </c>
      <c r="B674">
        <v>7172011011001400</v>
      </c>
      <c r="C674">
        <v>55</v>
      </c>
      <c r="D674">
        <v>4</v>
      </c>
      <c r="E674">
        <v>2</v>
      </c>
      <c r="F674">
        <v>0</v>
      </c>
      <c r="G674">
        <v>49</v>
      </c>
      <c r="H674">
        <v>0</v>
      </c>
      <c r="I674">
        <v>0</v>
      </c>
      <c r="J674">
        <v>0</v>
      </c>
      <c r="K674">
        <v>0</v>
      </c>
    </row>
    <row r="675" spans="1:11" x14ac:dyDescent="0.25">
      <c r="A675" s="4" t="s">
        <v>43</v>
      </c>
      <c r="B675">
        <v>7172011011001100</v>
      </c>
      <c r="C675">
        <v>51</v>
      </c>
      <c r="D675">
        <v>7</v>
      </c>
      <c r="E675">
        <v>4</v>
      </c>
      <c r="F675">
        <v>0</v>
      </c>
      <c r="G675">
        <v>40</v>
      </c>
      <c r="H675">
        <v>0</v>
      </c>
      <c r="I675">
        <v>0</v>
      </c>
      <c r="J675">
        <v>0</v>
      </c>
      <c r="K675">
        <v>0</v>
      </c>
    </row>
    <row r="676" spans="1:11" x14ac:dyDescent="0.25">
      <c r="A676" s="4" t="s">
        <v>43</v>
      </c>
      <c r="B676">
        <v>7172011011000800</v>
      </c>
      <c r="C676">
        <v>50</v>
      </c>
      <c r="D676">
        <v>6</v>
      </c>
      <c r="E676">
        <v>0</v>
      </c>
      <c r="F676">
        <v>0</v>
      </c>
      <c r="G676">
        <v>40</v>
      </c>
      <c r="H676">
        <v>0</v>
      </c>
      <c r="I676">
        <v>0</v>
      </c>
      <c r="J676">
        <v>4</v>
      </c>
      <c r="K676">
        <v>0</v>
      </c>
    </row>
    <row r="677" spans="1:11" x14ac:dyDescent="0.25">
      <c r="A677" s="4" t="s">
        <v>43</v>
      </c>
      <c r="B677">
        <v>7172011011001300</v>
      </c>
      <c r="C677">
        <v>48</v>
      </c>
      <c r="D677">
        <v>4</v>
      </c>
      <c r="E677">
        <v>0</v>
      </c>
      <c r="F677">
        <v>0</v>
      </c>
      <c r="G677">
        <v>44</v>
      </c>
      <c r="H677">
        <v>0</v>
      </c>
      <c r="I677">
        <v>0</v>
      </c>
      <c r="J677">
        <v>0</v>
      </c>
      <c r="K677">
        <v>0</v>
      </c>
    </row>
    <row r="678" spans="1:11" x14ac:dyDescent="0.25">
      <c r="A678" s="4" t="s">
        <v>43</v>
      </c>
      <c r="B678">
        <v>7172011011001200</v>
      </c>
      <c r="C678">
        <v>43</v>
      </c>
      <c r="D678">
        <v>0</v>
      </c>
      <c r="E678">
        <v>0</v>
      </c>
      <c r="F678">
        <v>0</v>
      </c>
      <c r="G678">
        <v>41</v>
      </c>
      <c r="H678">
        <v>0</v>
      </c>
      <c r="I678">
        <v>0</v>
      </c>
      <c r="J678">
        <v>2</v>
      </c>
      <c r="K678">
        <v>0</v>
      </c>
    </row>
    <row r="679" spans="1:11" x14ac:dyDescent="0.25">
      <c r="A679" s="4" t="s">
        <v>43</v>
      </c>
      <c r="B679">
        <v>7172011011001000</v>
      </c>
      <c r="C679">
        <v>37</v>
      </c>
      <c r="D679">
        <v>0</v>
      </c>
      <c r="E679">
        <v>2</v>
      </c>
      <c r="F679">
        <v>0</v>
      </c>
      <c r="G679">
        <v>28</v>
      </c>
      <c r="H679">
        <v>0</v>
      </c>
      <c r="I679">
        <v>0</v>
      </c>
      <c r="J679">
        <v>7</v>
      </c>
      <c r="K679">
        <v>0</v>
      </c>
    </row>
    <row r="680" spans="1:11" x14ac:dyDescent="0.25">
      <c r="A680" s="4" t="s">
        <v>43</v>
      </c>
      <c r="B680">
        <v>7172011011000700</v>
      </c>
      <c r="C680">
        <v>27</v>
      </c>
      <c r="D680">
        <v>2</v>
      </c>
      <c r="E680">
        <v>8</v>
      </c>
      <c r="F680">
        <v>0</v>
      </c>
      <c r="G680">
        <v>15</v>
      </c>
      <c r="H680">
        <v>0</v>
      </c>
      <c r="I680">
        <v>0</v>
      </c>
      <c r="J680">
        <v>2</v>
      </c>
      <c r="K680">
        <v>0</v>
      </c>
    </row>
    <row r="681" spans="1:11" x14ac:dyDescent="0.25">
      <c r="A681" s="4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</row>
    <row r="682" spans="1:11" x14ac:dyDescent="0.25">
      <c r="A682" s="4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</row>
    <row r="683" spans="1:11" x14ac:dyDescent="0.25">
      <c r="A683" s="4" t="s">
        <v>47</v>
      </c>
      <c r="B683">
        <v>7172011014000600</v>
      </c>
      <c r="C683">
        <v>189</v>
      </c>
      <c r="D683">
        <v>22</v>
      </c>
      <c r="E683">
        <v>3</v>
      </c>
      <c r="F683">
        <v>0</v>
      </c>
      <c r="G683">
        <v>34</v>
      </c>
      <c r="H683">
        <v>14</v>
      </c>
      <c r="I683">
        <v>0</v>
      </c>
      <c r="J683">
        <v>116</v>
      </c>
      <c r="K683">
        <v>0</v>
      </c>
    </row>
    <row r="684" spans="1:11" x14ac:dyDescent="0.25">
      <c r="A684" s="4" t="s">
        <v>47</v>
      </c>
      <c r="B684">
        <v>7172011014000300</v>
      </c>
      <c r="C684">
        <v>162</v>
      </c>
      <c r="D684">
        <v>0</v>
      </c>
      <c r="E684">
        <v>0</v>
      </c>
      <c r="F684">
        <v>0</v>
      </c>
      <c r="G684">
        <v>161</v>
      </c>
      <c r="H684">
        <v>0</v>
      </c>
      <c r="I684">
        <v>0</v>
      </c>
      <c r="J684">
        <v>0</v>
      </c>
      <c r="K684">
        <v>1</v>
      </c>
    </row>
    <row r="685" spans="1:11" x14ac:dyDescent="0.25">
      <c r="A685" s="4" t="s">
        <v>47</v>
      </c>
      <c r="B685">
        <v>7172011014000200</v>
      </c>
      <c r="C685">
        <v>120</v>
      </c>
      <c r="D685">
        <v>0</v>
      </c>
      <c r="E685">
        <v>2</v>
      </c>
      <c r="F685">
        <v>0</v>
      </c>
      <c r="G685">
        <v>110</v>
      </c>
      <c r="H685">
        <v>0</v>
      </c>
      <c r="I685">
        <v>0</v>
      </c>
      <c r="J685">
        <v>8</v>
      </c>
      <c r="K685">
        <v>0</v>
      </c>
    </row>
    <row r="686" spans="1:11" x14ac:dyDescent="0.25">
      <c r="A686" s="4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109</v>
      </c>
      <c r="H686">
        <v>0</v>
      </c>
      <c r="I686">
        <v>0</v>
      </c>
      <c r="J686">
        <v>0</v>
      </c>
      <c r="K686">
        <v>0</v>
      </c>
    </row>
    <row r="687" spans="1:11" x14ac:dyDescent="0.25">
      <c r="A687" s="4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76</v>
      </c>
      <c r="H687">
        <v>0</v>
      </c>
      <c r="I687">
        <v>0</v>
      </c>
      <c r="J687">
        <v>0</v>
      </c>
      <c r="K687">
        <v>0</v>
      </c>
    </row>
    <row r="688" spans="1:11" x14ac:dyDescent="0.25">
      <c r="A688" s="4" t="s">
        <v>48</v>
      </c>
      <c r="B688">
        <v>7172011014001200</v>
      </c>
      <c r="C688">
        <v>213</v>
      </c>
      <c r="D688">
        <v>29</v>
      </c>
      <c r="E688">
        <v>18</v>
      </c>
      <c r="F688">
        <v>0</v>
      </c>
      <c r="G688">
        <v>67</v>
      </c>
      <c r="H688">
        <v>0</v>
      </c>
      <c r="I688">
        <v>0</v>
      </c>
      <c r="J688">
        <v>99</v>
      </c>
      <c r="K688">
        <v>0</v>
      </c>
    </row>
    <row r="689" spans="1:11" x14ac:dyDescent="0.25">
      <c r="A689" s="4" t="s">
        <v>48</v>
      </c>
      <c r="B689">
        <v>7172011014001100</v>
      </c>
      <c r="C689">
        <v>135</v>
      </c>
      <c r="D689">
        <v>0</v>
      </c>
      <c r="E689">
        <v>8</v>
      </c>
      <c r="F689">
        <v>0</v>
      </c>
      <c r="G689">
        <v>79</v>
      </c>
      <c r="H689">
        <v>0</v>
      </c>
      <c r="I689">
        <v>0</v>
      </c>
      <c r="J689">
        <v>48</v>
      </c>
      <c r="K689">
        <v>0</v>
      </c>
    </row>
    <row r="690" spans="1:11" x14ac:dyDescent="0.25">
      <c r="A690" s="4" t="s">
        <v>48</v>
      </c>
      <c r="B690">
        <v>7172011014000700</v>
      </c>
      <c r="C690">
        <v>123</v>
      </c>
      <c r="D690">
        <v>0</v>
      </c>
      <c r="E690">
        <v>0</v>
      </c>
      <c r="F690">
        <v>0</v>
      </c>
      <c r="G690">
        <v>123</v>
      </c>
      <c r="H690">
        <v>0</v>
      </c>
      <c r="I690">
        <v>0</v>
      </c>
      <c r="J690">
        <v>0</v>
      </c>
      <c r="K690">
        <v>0</v>
      </c>
    </row>
    <row r="691" spans="1:11" x14ac:dyDescent="0.25">
      <c r="A691" s="4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81</v>
      </c>
      <c r="H691">
        <v>0</v>
      </c>
      <c r="I691">
        <v>0</v>
      </c>
      <c r="J691">
        <v>0</v>
      </c>
      <c r="K691">
        <v>0</v>
      </c>
    </row>
    <row r="692" spans="1:11" x14ac:dyDescent="0.25">
      <c r="A692" s="4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66</v>
      </c>
      <c r="H692">
        <v>0</v>
      </c>
      <c r="I692">
        <v>0</v>
      </c>
      <c r="J692">
        <v>0</v>
      </c>
      <c r="K692">
        <v>0</v>
      </c>
    </row>
    <row r="693" spans="1:11" x14ac:dyDescent="0.25">
      <c r="A693" s="4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62</v>
      </c>
      <c r="H693">
        <v>0</v>
      </c>
      <c r="I693">
        <v>0</v>
      </c>
      <c r="J693">
        <v>0</v>
      </c>
      <c r="K693">
        <v>0</v>
      </c>
    </row>
    <row r="694" spans="1:11" x14ac:dyDescent="0.25">
      <c r="A694" s="4" t="s">
        <v>51</v>
      </c>
      <c r="B694">
        <v>7172012001000500</v>
      </c>
      <c r="C694">
        <v>183</v>
      </c>
      <c r="D694">
        <v>54</v>
      </c>
      <c r="E694">
        <v>26</v>
      </c>
      <c r="F694">
        <v>0</v>
      </c>
      <c r="G694">
        <v>19</v>
      </c>
      <c r="H694">
        <v>25</v>
      </c>
      <c r="I694">
        <v>0</v>
      </c>
      <c r="J694">
        <v>59</v>
      </c>
      <c r="K694">
        <v>0</v>
      </c>
    </row>
    <row r="695" spans="1:11" x14ac:dyDescent="0.25">
      <c r="A695" s="4" t="s">
        <v>51</v>
      </c>
      <c r="B695">
        <v>7172012001000601</v>
      </c>
      <c r="C695">
        <v>142</v>
      </c>
      <c r="D695">
        <v>0</v>
      </c>
      <c r="E695">
        <v>0</v>
      </c>
      <c r="F695">
        <v>0</v>
      </c>
      <c r="G695">
        <v>142</v>
      </c>
      <c r="H695">
        <v>0</v>
      </c>
      <c r="I695">
        <v>0</v>
      </c>
      <c r="J695">
        <v>0</v>
      </c>
      <c r="K695">
        <v>0</v>
      </c>
    </row>
    <row r="696" spans="1:11" x14ac:dyDescent="0.25">
      <c r="A696" s="4" t="s">
        <v>51</v>
      </c>
      <c r="B696">
        <v>7172012001001001</v>
      </c>
      <c r="C696">
        <v>120</v>
      </c>
      <c r="D696">
        <v>0</v>
      </c>
      <c r="E696">
        <v>0</v>
      </c>
      <c r="F696">
        <v>0</v>
      </c>
      <c r="G696">
        <v>120</v>
      </c>
      <c r="H696">
        <v>0</v>
      </c>
      <c r="I696">
        <v>0</v>
      </c>
      <c r="J696">
        <v>0</v>
      </c>
      <c r="K696">
        <v>0</v>
      </c>
    </row>
    <row r="697" spans="1:11" x14ac:dyDescent="0.25">
      <c r="A697" s="4" t="s">
        <v>52</v>
      </c>
      <c r="B697">
        <v>7172012001000700</v>
      </c>
      <c r="C697">
        <v>293</v>
      </c>
      <c r="D697">
        <v>11</v>
      </c>
      <c r="E697">
        <v>20</v>
      </c>
      <c r="F697">
        <v>0</v>
      </c>
      <c r="G697">
        <v>116</v>
      </c>
      <c r="H697">
        <v>1</v>
      </c>
      <c r="I697">
        <v>0</v>
      </c>
      <c r="J697">
        <v>145</v>
      </c>
      <c r="K697">
        <v>0</v>
      </c>
    </row>
    <row r="698" spans="1:11" x14ac:dyDescent="0.25">
      <c r="A698" s="4" t="s">
        <v>52</v>
      </c>
      <c r="B698">
        <v>7172012001000602</v>
      </c>
      <c r="C698">
        <v>188</v>
      </c>
      <c r="D698">
        <v>0</v>
      </c>
      <c r="E698">
        <v>0</v>
      </c>
      <c r="F698">
        <v>0</v>
      </c>
      <c r="G698">
        <v>188</v>
      </c>
      <c r="H698">
        <v>0</v>
      </c>
      <c r="I698">
        <v>0</v>
      </c>
      <c r="J698">
        <v>0</v>
      </c>
      <c r="K698">
        <v>0</v>
      </c>
    </row>
    <row r="699" spans="1:11" x14ac:dyDescent="0.25">
      <c r="A699" s="4" t="s">
        <v>49</v>
      </c>
      <c r="B699">
        <v>7172012002000500</v>
      </c>
      <c r="C699">
        <v>128</v>
      </c>
      <c r="D699">
        <v>0</v>
      </c>
      <c r="E699">
        <v>0</v>
      </c>
      <c r="F699">
        <v>0</v>
      </c>
      <c r="G699">
        <v>128</v>
      </c>
      <c r="H699">
        <v>0</v>
      </c>
      <c r="I699">
        <v>0</v>
      </c>
      <c r="J699">
        <v>0</v>
      </c>
      <c r="K699">
        <v>0</v>
      </c>
    </row>
    <row r="700" spans="1:11" x14ac:dyDescent="0.25">
      <c r="A700" s="4" t="s">
        <v>49</v>
      </c>
      <c r="B700">
        <v>7172012001000100</v>
      </c>
      <c r="C700">
        <v>125</v>
      </c>
      <c r="D700">
        <v>5</v>
      </c>
      <c r="E700">
        <v>20</v>
      </c>
      <c r="F700">
        <v>0</v>
      </c>
      <c r="G700">
        <v>36</v>
      </c>
      <c r="H700">
        <v>0</v>
      </c>
      <c r="I700">
        <v>0</v>
      </c>
      <c r="J700">
        <v>64</v>
      </c>
      <c r="K700">
        <v>0</v>
      </c>
    </row>
    <row r="701" spans="1:11" x14ac:dyDescent="0.25">
      <c r="A701" s="4" t="s">
        <v>49</v>
      </c>
      <c r="B701">
        <v>7172012002000101</v>
      </c>
      <c r="C701">
        <v>124</v>
      </c>
      <c r="D701">
        <v>0</v>
      </c>
      <c r="E701">
        <v>0</v>
      </c>
      <c r="F701">
        <v>0</v>
      </c>
      <c r="G701">
        <v>124</v>
      </c>
      <c r="H701">
        <v>0</v>
      </c>
      <c r="I701">
        <v>0</v>
      </c>
      <c r="J701">
        <v>0</v>
      </c>
      <c r="K701">
        <v>0</v>
      </c>
    </row>
    <row r="702" spans="1:11" x14ac:dyDescent="0.25">
      <c r="A702" s="4" t="s">
        <v>49</v>
      </c>
      <c r="B702">
        <v>7172012001001100</v>
      </c>
      <c r="C702">
        <v>94</v>
      </c>
      <c r="D702">
        <v>0</v>
      </c>
      <c r="E702">
        <v>9</v>
      </c>
      <c r="F702">
        <v>0</v>
      </c>
      <c r="G702">
        <v>83</v>
      </c>
      <c r="H702">
        <v>0</v>
      </c>
      <c r="I702">
        <v>0</v>
      </c>
      <c r="J702">
        <v>2</v>
      </c>
      <c r="K702">
        <v>0</v>
      </c>
    </row>
    <row r="703" spans="1:11" x14ac:dyDescent="0.25">
      <c r="A703" s="4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81</v>
      </c>
      <c r="H703">
        <v>0</v>
      </c>
      <c r="I703">
        <v>0</v>
      </c>
      <c r="J703">
        <v>0</v>
      </c>
      <c r="K703">
        <v>0</v>
      </c>
    </row>
    <row r="704" spans="1:11" x14ac:dyDescent="0.25">
      <c r="A704" s="4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74</v>
      </c>
      <c r="H704">
        <v>0</v>
      </c>
      <c r="I704">
        <v>0</v>
      </c>
      <c r="J704">
        <v>0</v>
      </c>
      <c r="K704">
        <v>0</v>
      </c>
    </row>
    <row r="705" spans="1:11" x14ac:dyDescent="0.25">
      <c r="A705" s="4" t="s">
        <v>53</v>
      </c>
      <c r="B705">
        <v>7172012002000200</v>
      </c>
      <c r="C705">
        <v>182</v>
      </c>
      <c r="D705">
        <v>60</v>
      </c>
      <c r="E705">
        <v>2</v>
      </c>
      <c r="F705">
        <v>0</v>
      </c>
      <c r="G705">
        <v>23</v>
      </c>
      <c r="H705">
        <v>0</v>
      </c>
      <c r="I705">
        <v>0</v>
      </c>
      <c r="J705">
        <v>97</v>
      </c>
      <c r="K705">
        <v>0</v>
      </c>
    </row>
    <row r="706" spans="1:11" x14ac:dyDescent="0.25">
      <c r="A706" s="4" t="s">
        <v>53</v>
      </c>
      <c r="B706">
        <v>7172012002000900</v>
      </c>
      <c r="C706">
        <v>120</v>
      </c>
      <c r="D706">
        <v>0</v>
      </c>
      <c r="E706">
        <v>1</v>
      </c>
      <c r="F706">
        <v>0</v>
      </c>
      <c r="G706">
        <v>112</v>
      </c>
      <c r="H706">
        <v>0</v>
      </c>
      <c r="I706">
        <v>0</v>
      </c>
      <c r="J706">
        <v>7</v>
      </c>
      <c r="K706">
        <v>0</v>
      </c>
    </row>
    <row r="707" spans="1:11" x14ac:dyDescent="0.25">
      <c r="A707" s="4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111</v>
      </c>
      <c r="H707">
        <v>0</v>
      </c>
      <c r="I707">
        <v>0</v>
      </c>
      <c r="J707">
        <v>0</v>
      </c>
      <c r="K707">
        <v>0</v>
      </c>
    </row>
    <row r="708" spans="1:11" x14ac:dyDescent="0.25">
      <c r="A708" s="4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101</v>
      </c>
      <c r="H708">
        <v>0</v>
      </c>
      <c r="I708">
        <v>0</v>
      </c>
      <c r="J708">
        <v>0</v>
      </c>
      <c r="K708">
        <v>0</v>
      </c>
    </row>
    <row r="709" spans="1:11" x14ac:dyDescent="0.25">
      <c r="A709" s="4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80</v>
      </c>
      <c r="H709">
        <v>0</v>
      </c>
      <c r="I709">
        <v>0</v>
      </c>
      <c r="J709">
        <v>0</v>
      </c>
      <c r="K709">
        <v>0</v>
      </c>
    </row>
    <row r="710" spans="1:11" x14ac:dyDescent="0.25">
      <c r="A710" s="4" t="s">
        <v>58</v>
      </c>
      <c r="B710">
        <v>7172012003000400</v>
      </c>
      <c r="C710">
        <v>121</v>
      </c>
      <c r="D710">
        <v>5</v>
      </c>
      <c r="E710">
        <v>35</v>
      </c>
      <c r="F710">
        <v>0</v>
      </c>
      <c r="G710">
        <v>73</v>
      </c>
      <c r="H710">
        <v>0</v>
      </c>
      <c r="I710">
        <v>0</v>
      </c>
      <c r="J710">
        <v>8</v>
      </c>
      <c r="K710">
        <v>0</v>
      </c>
    </row>
    <row r="711" spans="1:11" x14ac:dyDescent="0.25">
      <c r="A711" s="4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109</v>
      </c>
      <c r="H711">
        <v>0</v>
      </c>
      <c r="I711">
        <v>0</v>
      </c>
      <c r="J711">
        <v>0</v>
      </c>
      <c r="K711">
        <v>0</v>
      </c>
    </row>
    <row r="712" spans="1:11" x14ac:dyDescent="0.25">
      <c r="A712" s="4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100</v>
      </c>
      <c r="H712">
        <v>0</v>
      </c>
      <c r="I712">
        <v>0</v>
      </c>
      <c r="J712">
        <v>0</v>
      </c>
      <c r="K712">
        <v>0</v>
      </c>
    </row>
    <row r="713" spans="1:11" x14ac:dyDescent="0.25">
      <c r="A713" s="4" t="s">
        <v>58</v>
      </c>
      <c r="B713">
        <v>7172012003000300</v>
      </c>
      <c r="C713">
        <v>71</v>
      </c>
      <c r="D713">
        <v>23</v>
      </c>
      <c r="E713">
        <v>21</v>
      </c>
      <c r="F713">
        <v>0</v>
      </c>
      <c r="G713">
        <v>9</v>
      </c>
      <c r="H713">
        <v>2</v>
      </c>
      <c r="I713">
        <v>0</v>
      </c>
      <c r="J713">
        <v>16</v>
      </c>
      <c r="K713">
        <v>0</v>
      </c>
    </row>
    <row r="714" spans="1:11" x14ac:dyDescent="0.25">
      <c r="A714" s="4" t="s">
        <v>58</v>
      </c>
      <c r="B714">
        <v>7172012003000700</v>
      </c>
      <c r="C714">
        <v>66</v>
      </c>
      <c r="D714">
        <v>0</v>
      </c>
      <c r="E714">
        <v>0</v>
      </c>
      <c r="F714">
        <v>0</v>
      </c>
      <c r="G714">
        <v>66</v>
      </c>
      <c r="H714">
        <v>0</v>
      </c>
      <c r="I714">
        <v>0</v>
      </c>
      <c r="J714">
        <v>0</v>
      </c>
      <c r="K714">
        <v>0</v>
      </c>
    </row>
    <row r="715" spans="1:11" x14ac:dyDescent="0.25">
      <c r="A715" s="4" t="s">
        <v>58</v>
      </c>
      <c r="B715">
        <v>7172012004000200</v>
      </c>
      <c r="C715">
        <v>65</v>
      </c>
      <c r="D715">
        <v>0</v>
      </c>
      <c r="E715">
        <v>0</v>
      </c>
      <c r="F715">
        <v>0</v>
      </c>
      <c r="G715">
        <v>65</v>
      </c>
      <c r="H715">
        <v>0</v>
      </c>
      <c r="I715">
        <v>0</v>
      </c>
      <c r="J715">
        <v>0</v>
      </c>
      <c r="K715">
        <v>0</v>
      </c>
    </row>
    <row r="716" spans="1:11" x14ac:dyDescent="0.25">
      <c r="A716" s="4" t="s">
        <v>58</v>
      </c>
      <c r="B716">
        <v>7172012003000200</v>
      </c>
      <c r="C716">
        <v>62</v>
      </c>
      <c r="D716">
        <v>13</v>
      </c>
      <c r="E716">
        <v>14</v>
      </c>
      <c r="F716">
        <v>0</v>
      </c>
      <c r="G716">
        <v>7</v>
      </c>
      <c r="H716">
        <v>0</v>
      </c>
      <c r="I716">
        <v>0</v>
      </c>
      <c r="J716">
        <v>28</v>
      </c>
      <c r="K716">
        <v>0</v>
      </c>
    </row>
    <row r="717" spans="1:11" x14ac:dyDescent="0.25">
      <c r="A717" s="4" t="s">
        <v>57</v>
      </c>
      <c r="B717">
        <v>7172012003001100</v>
      </c>
      <c r="C717">
        <v>122</v>
      </c>
      <c r="D717">
        <v>58</v>
      </c>
      <c r="E717">
        <v>15</v>
      </c>
      <c r="F717">
        <v>0</v>
      </c>
      <c r="G717">
        <v>11</v>
      </c>
      <c r="H717">
        <v>29</v>
      </c>
      <c r="I717">
        <v>0</v>
      </c>
      <c r="J717">
        <v>9</v>
      </c>
      <c r="K717">
        <v>0</v>
      </c>
    </row>
    <row r="718" spans="1:11" x14ac:dyDescent="0.25">
      <c r="A718" s="4" t="s">
        <v>57</v>
      </c>
      <c r="B718">
        <v>7172012003000800</v>
      </c>
      <c r="C718">
        <v>118</v>
      </c>
      <c r="D718">
        <v>0</v>
      </c>
      <c r="E718">
        <v>0</v>
      </c>
      <c r="F718">
        <v>0</v>
      </c>
      <c r="G718">
        <v>118</v>
      </c>
      <c r="H718">
        <v>0</v>
      </c>
      <c r="I718">
        <v>0</v>
      </c>
      <c r="J718">
        <v>0</v>
      </c>
      <c r="K718">
        <v>0</v>
      </c>
    </row>
    <row r="719" spans="1:11" x14ac:dyDescent="0.25">
      <c r="A719" s="4" t="s">
        <v>57</v>
      </c>
      <c r="B719">
        <v>7172012003001200</v>
      </c>
      <c r="C719">
        <v>84</v>
      </c>
      <c r="D719">
        <v>0</v>
      </c>
      <c r="E719">
        <v>0</v>
      </c>
      <c r="F719">
        <v>0</v>
      </c>
      <c r="G719">
        <v>84</v>
      </c>
      <c r="H719">
        <v>0</v>
      </c>
      <c r="I719">
        <v>0</v>
      </c>
      <c r="J719">
        <v>0</v>
      </c>
      <c r="K719">
        <v>0</v>
      </c>
    </row>
    <row r="720" spans="1:11" x14ac:dyDescent="0.25">
      <c r="A720" s="4" t="s">
        <v>57</v>
      </c>
      <c r="B720">
        <v>7172012003000600</v>
      </c>
      <c r="C720">
        <v>76</v>
      </c>
      <c r="D720">
        <v>0</v>
      </c>
      <c r="E720">
        <v>0</v>
      </c>
      <c r="F720">
        <v>0</v>
      </c>
      <c r="G720">
        <v>76</v>
      </c>
      <c r="H720">
        <v>0</v>
      </c>
      <c r="I720">
        <v>0</v>
      </c>
      <c r="J720">
        <v>0</v>
      </c>
      <c r="K720">
        <v>0</v>
      </c>
    </row>
    <row r="721" spans="1:11" x14ac:dyDescent="0.25">
      <c r="A721" s="4" t="s">
        <v>57</v>
      </c>
      <c r="B721">
        <v>7172012003001000</v>
      </c>
      <c r="C721">
        <v>64</v>
      </c>
      <c r="D721">
        <v>0</v>
      </c>
      <c r="E721">
        <v>0</v>
      </c>
      <c r="F721">
        <v>0</v>
      </c>
      <c r="G721">
        <v>64</v>
      </c>
      <c r="H721">
        <v>0</v>
      </c>
      <c r="I721">
        <v>0</v>
      </c>
      <c r="J721">
        <v>0</v>
      </c>
      <c r="K721">
        <v>0</v>
      </c>
    </row>
    <row r="722" spans="1:11" x14ac:dyDescent="0.25">
      <c r="A722" s="4" t="s">
        <v>57</v>
      </c>
      <c r="B722">
        <v>7172012003000500</v>
      </c>
      <c r="C722">
        <v>61</v>
      </c>
      <c r="D722">
        <v>9</v>
      </c>
      <c r="E722">
        <v>15</v>
      </c>
      <c r="F722">
        <v>0</v>
      </c>
      <c r="G722">
        <v>33</v>
      </c>
      <c r="H722">
        <v>1</v>
      </c>
      <c r="I722">
        <v>0</v>
      </c>
      <c r="J722">
        <v>3</v>
      </c>
      <c r="K722">
        <v>0</v>
      </c>
    </row>
    <row r="723" spans="1:11" x14ac:dyDescent="0.25">
      <c r="A723" s="4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</row>
    <row r="724" spans="1:11" x14ac:dyDescent="0.25">
      <c r="A724" s="4" t="s">
        <v>57</v>
      </c>
      <c r="B724">
        <v>7172012003000100</v>
      </c>
      <c r="C724">
        <v>56</v>
      </c>
      <c r="D724">
        <v>4</v>
      </c>
      <c r="E724">
        <v>20</v>
      </c>
      <c r="F724">
        <v>0</v>
      </c>
      <c r="G724">
        <v>26</v>
      </c>
      <c r="H724">
        <v>5</v>
      </c>
      <c r="I724">
        <v>0</v>
      </c>
      <c r="J724">
        <v>1</v>
      </c>
      <c r="K724">
        <v>0</v>
      </c>
    </row>
    <row r="725" spans="1:11" x14ac:dyDescent="0.25">
      <c r="A725" s="4" t="s">
        <v>238</v>
      </c>
      <c r="B725">
        <v>7172012004000500</v>
      </c>
      <c r="C725">
        <v>167</v>
      </c>
      <c r="D725">
        <v>46</v>
      </c>
      <c r="E725">
        <v>5</v>
      </c>
      <c r="F725">
        <v>0</v>
      </c>
      <c r="G725">
        <v>14</v>
      </c>
      <c r="H725">
        <v>2</v>
      </c>
      <c r="I725">
        <v>0</v>
      </c>
      <c r="J725">
        <v>100</v>
      </c>
      <c r="K725">
        <v>0</v>
      </c>
    </row>
    <row r="726" spans="1:11" x14ac:dyDescent="0.25">
      <c r="A726" s="4" t="s">
        <v>238</v>
      </c>
      <c r="B726">
        <v>7172012004000600</v>
      </c>
      <c r="C726">
        <v>116</v>
      </c>
      <c r="D726">
        <v>0</v>
      </c>
      <c r="E726">
        <v>0</v>
      </c>
      <c r="F726">
        <v>0</v>
      </c>
      <c r="G726">
        <v>116</v>
      </c>
      <c r="H726">
        <v>0</v>
      </c>
      <c r="I726">
        <v>0</v>
      </c>
      <c r="J726">
        <v>0</v>
      </c>
      <c r="K726">
        <v>0</v>
      </c>
    </row>
    <row r="727" spans="1:11" x14ac:dyDescent="0.25">
      <c r="A727" s="4" t="s">
        <v>238</v>
      </c>
      <c r="B727">
        <v>7172012004001001</v>
      </c>
      <c r="C727">
        <v>92</v>
      </c>
      <c r="D727">
        <v>0</v>
      </c>
      <c r="E727">
        <v>2</v>
      </c>
      <c r="F727">
        <v>0</v>
      </c>
      <c r="G727">
        <v>90</v>
      </c>
      <c r="H727">
        <v>0</v>
      </c>
      <c r="I727">
        <v>0</v>
      </c>
      <c r="J727">
        <v>0</v>
      </c>
      <c r="K727">
        <v>0</v>
      </c>
    </row>
    <row r="728" spans="1:11" x14ac:dyDescent="0.25">
      <c r="A728" s="4" t="s">
        <v>238</v>
      </c>
      <c r="B728">
        <v>7172012004000700</v>
      </c>
      <c r="C728">
        <v>91</v>
      </c>
      <c r="D728">
        <v>3</v>
      </c>
      <c r="E728">
        <v>16</v>
      </c>
      <c r="F728">
        <v>0</v>
      </c>
      <c r="G728">
        <v>71</v>
      </c>
      <c r="H728">
        <v>0</v>
      </c>
      <c r="I728">
        <v>0</v>
      </c>
      <c r="J728">
        <v>1</v>
      </c>
      <c r="K728">
        <v>0</v>
      </c>
    </row>
    <row r="729" spans="1:11" x14ac:dyDescent="0.25">
      <c r="A729" s="4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81</v>
      </c>
      <c r="H729">
        <v>0</v>
      </c>
      <c r="I729">
        <v>0</v>
      </c>
      <c r="J729">
        <v>0</v>
      </c>
      <c r="K729">
        <v>0</v>
      </c>
    </row>
    <row r="730" spans="1:11" x14ac:dyDescent="0.25">
      <c r="A730" s="4" t="s">
        <v>238</v>
      </c>
      <c r="B730">
        <v>7172012004000800</v>
      </c>
      <c r="C730">
        <v>77</v>
      </c>
      <c r="D730">
        <v>34</v>
      </c>
      <c r="E730">
        <v>4</v>
      </c>
      <c r="F730">
        <v>0</v>
      </c>
      <c r="G730">
        <v>10</v>
      </c>
      <c r="H730">
        <v>27</v>
      </c>
      <c r="I730">
        <v>0</v>
      </c>
      <c r="J730">
        <v>2</v>
      </c>
      <c r="K730">
        <v>0</v>
      </c>
    </row>
    <row r="731" spans="1:11" x14ac:dyDescent="0.25">
      <c r="A731" s="4" t="s">
        <v>61</v>
      </c>
      <c r="B731">
        <v>7172012004001201</v>
      </c>
      <c r="C731">
        <v>236</v>
      </c>
      <c r="D731">
        <v>0</v>
      </c>
      <c r="E731">
        <v>0</v>
      </c>
      <c r="F731">
        <v>0</v>
      </c>
      <c r="G731">
        <v>236</v>
      </c>
      <c r="H731">
        <v>0</v>
      </c>
      <c r="I731">
        <v>0</v>
      </c>
      <c r="J731">
        <v>0</v>
      </c>
      <c r="K731">
        <v>0</v>
      </c>
    </row>
    <row r="732" spans="1:11" x14ac:dyDescent="0.25">
      <c r="A732" s="4" t="s">
        <v>61</v>
      </c>
      <c r="B732">
        <v>7172012004001100</v>
      </c>
      <c r="C732">
        <v>176</v>
      </c>
      <c r="D732">
        <v>19</v>
      </c>
      <c r="E732">
        <v>10</v>
      </c>
      <c r="F732">
        <v>0</v>
      </c>
      <c r="G732">
        <v>76</v>
      </c>
      <c r="H732">
        <v>0</v>
      </c>
      <c r="I732">
        <v>0</v>
      </c>
      <c r="J732">
        <v>71</v>
      </c>
      <c r="K732">
        <v>0</v>
      </c>
    </row>
    <row r="733" spans="1:11" x14ac:dyDescent="0.25">
      <c r="A733" s="4" t="s">
        <v>61</v>
      </c>
      <c r="B733">
        <v>7172012004001202</v>
      </c>
      <c r="C733">
        <v>85</v>
      </c>
      <c r="D733">
        <v>0</v>
      </c>
      <c r="E733">
        <v>0</v>
      </c>
      <c r="F733">
        <v>0</v>
      </c>
      <c r="G733">
        <v>85</v>
      </c>
      <c r="H733">
        <v>0</v>
      </c>
      <c r="I733">
        <v>0</v>
      </c>
      <c r="J733">
        <v>0</v>
      </c>
      <c r="K733">
        <v>0</v>
      </c>
    </row>
    <row r="734" spans="1:11" x14ac:dyDescent="0.25">
      <c r="A734" s="4" t="s">
        <v>61</v>
      </c>
      <c r="B734">
        <v>7172012004001003</v>
      </c>
      <c r="C734">
        <v>82</v>
      </c>
      <c r="D734">
        <v>0</v>
      </c>
      <c r="E734">
        <v>0</v>
      </c>
      <c r="F734">
        <v>0</v>
      </c>
      <c r="G734">
        <v>82</v>
      </c>
      <c r="H734">
        <v>0</v>
      </c>
      <c r="I734">
        <v>0</v>
      </c>
      <c r="J734">
        <v>0</v>
      </c>
      <c r="K734">
        <v>0</v>
      </c>
    </row>
    <row r="735" spans="1:11" x14ac:dyDescent="0.25">
      <c r="A735" s="4" t="s">
        <v>61</v>
      </c>
      <c r="B735">
        <v>7172012004001002</v>
      </c>
      <c r="C735">
        <v>65</v>
      </c>
      <c r="D735">
        <v>17</v>
      </c>
      <c r="E735">
        <v>7</v>
      </c>
      <c r="F735">
        <v>0</v>
      </c>
      <c r="G735">
        <v>18</v>
      </c>
      <c r="H735">
        <v>12</v>
      </c>
      <c r="I735">
        <v>0</v>
      </c>
      <c r="J735">
        <v>11</v>
      </c>
      <c r="K735">
        <v>0</v>
      </c>
    </row>
    <row r="736" spans="1:11" x14ac:dyDescent="0.25">
      <c r="A736" s="4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136</v>
      </c>
      <c r="H736">
        <v>0</v>
      </c>
      <c r="I736">
        <v>0</v>
      </c>
      <c r="J736">
        <v>0</v>
      </c>
      <c r="K736">
        <v>0</v>
      </c>
    </row>
    <row r="737" spans="1:11" x14ac:dyDescent="0.25">
      <c r="A737" s="4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90</v>
      </c>
      <c r="H737">
        <v>0</v>
      </c>
      <c r="I737">
        <v>0</v>
      </c>
      <c r="J737">
        <v>0</v>
      </c>
      <c r="K737">
        <v>0</v>
      </c>
    </row>
    <row r="738" spans="1:11" x14ac:dyDescent="0.25">
      <c r="A738" s="4" t="s">
        <v>66</v>
      </c>
      <c r="B738">
        <v>7172012005000400</v>
      </c>
      <c r="C738">
        <v>58</v>
      </c>
      <c r="D738">
        <v>10</v>
      </c>
      <c r="E738">
        <v>0</v>
      </c>
      <c r="F738">
        <v>1</v>
      </c>
      <c r="G738">
        <v>14</v>
      </c>
      <c r="H738">
        <v>1</v>
      </c>
      <c r="I738">
        <v>1</v>
      </c>
      <c r="J738">
        <v>31</v>
      </c>
      <c r="K738">
        <v>0</v>
      </c>
    </row>
    <row r="739" spans="1:11" x14ac:dyDescent="0.25">
      <c r="A739" s="4" t="s">
        <v>66</v>
      </c>
      <c r="B739">
        <v>7172012005000500</v>
      </c>
      <c r="C739">
        <v>56</v>
      </c>
      <c r="D739">
        <v>8</v>
      </c>
      <c r="E739">
        <v>1</v>
      </c>
      <c r="F739">
        <v>0</v>
      </c>
      <c r="G739">
        <v>11</v>
      </c>
      <c r="H739">
        <v>1</v>
      </c>
      <c r="I739">
        <v>0</v>
      </c>
      <c r="J739">
        <v>35</v>
      </c>
      <c r="K739">
        <v>0</v>
      </c>
    </row>
    <row r="740" spans="1:11" x14ac:dyDescent="0.25">
      <c r="A740" s="4" t="s">
        <v>66</v>
      </c>
      <c r="B740">
        <v>7172012005000600</v>
      </c>
      <c r="C740">
        <v>56</v>
      </c>
      <c r="D740">
        <v>1</v>
      </c>
      <c r="E740">
        <v>0</v>
      </c>
      <c r="F740">
        <v>0</v>
      </c>
      <c r="G740">
        <v>31</v>
      </c>
      <c r="H740">
        <v>0</v>
      </c>
      <c r="I740">
        <v>0</v>
      </c>
      <c r="J740">
        <v>24</v>
      </c>
      <c r="K740">
        <v>0</v>
      </c>
    </row>
    <row r="741" spans="1:11" x14ac:dyDescent="0.25">
      <c r="A741" s="4" t="s">
        <v>66</v>
      </c>
      <c r="B741">
        <v>7172012005002300</v>
      </c>
      <c r="C741">
        <v>45</v>
      </c>
      <c r="D741">
        <v>0</v>
      </c>
      <c r="E741">
        <v>0</v>
      </c>
      <c r="F741">
        <v>0</v>
      </c>
      <c r="G741">
        <v>45</v>
      </c>
      <c r="H741">
        <v>0</v>
      </c>
      <c r="I741">
        <v>0</v>
      </c>
      <c r="J741">
        <v>0</v>
      </c>
      <c r="K741">
        <v>0</v>
      </c>
    </row>
    <row r="742" spans="1:11" x14ac:dyDescent="0.25">
      <c r="A742" s="4" t="s">
        <v>66</v>
      </c>
      <c r="B742">
        <v>7172012005000300</v>
      </c>
      <c r="C742">
        <v>41</v>
      </c>
      <c r="D742">
        <v>15</v>
      </c>
      <c r="E742">
        <v>0</v>
      </c>
      <c r="F742">
        <v>0</v>
      </c>
      <c r="G742">
        <v>3</v>
      </c>
      <c r="H742">
        <v>1</v>
      </c>
      <c r="I742">
        <v>0</v>
      </c>
      <c r="J742">
        <v>22</v>
      </c>
      <c r="K742">
        <v>0</v>
      </c>
    </row>
    <row r="743" spans="1:11" x14ac:dyDescent="0.25">
      <c r="A743" s="4" t="s">
        <v>66</v>
      </c>
      <c r="B743">
        <v>7172012005002200</v>
      </c>
      <c r="C743">
        <v>41</v>
      </c>
      <c r="D743">
        <v>0</v>
      </c>
      <c r="E743">
        <v>0</v>
      </c>
      <c r="F743">
        <v>0</v>
      </c>
      <c r="G743">
        <v>41</v>
      </c>
      <c r="H743">
        <v>0</v>
      </c>
      <c r="I743">
        <v>0</v>
      </c>
      <c r="J743">
        <v>0</v>
      </c>
      <c r="K743">
        <v>0</v>
      </c>
    </row>
    <row r="744" spans="1:11" x14ac:dyDescent="0.25">
      <c r="A744" s="4" t="s">
        <v>66</v>
      </c>
      <c r="B744">
        <v>7172012005002400</v>
      </c>
      <c r="C744">
        <v>40</v>
      </c>
      <c r="D744">
        <v>0</v>
      </c>
      <c r="E744">
        <v>0</v>
      </c>
      <c r="F744">
        <v>0</v>
      </c>
      <c r="G744">
        <v>40</v>
      </c>
      <c r="H744">
        <v>0</v>
      </c>
      <c r="I744">
        <v>0</v>
      </c>
      <c r="J744">
        <v>0</v>
      </c>
      <c r="K744">
        <v>0</v>
      </c>
    </row>
    <row r="745" spans="1:11" x14ac:dyDescent="0.25">
      <c r="A745" s="4" t="s">
        <v>66</v>
      </c>
      <c r="B745">
        <v>7172012005002100</v>
      </c>
      <c r="C745">
        <v>29</v>
      </c>
      <c r="D745">
        <v>0</v>
      </c>
      <c r="E745">
        <v>0</v>
      </c>
      <c r="F745">
        <v>0</v>
      </c>
      <c r="G745">
        <v>29</v>
      </c>
      <c r="H745">
        <v>0</v>
      </c>
      <c r="I745">
        <v>0</v>
      </c>
      <c r="J745">
        <v>0</v>
      </c>
      <c r="K745">
        <v>0</v>
      </c>
    </row>
    <row r="746" spans="1:11" x14ac:dyDescent="0.25">
      <c r="A746" s="4" t="s">
        <v>66</v>
      </c>
      <c r="B746">
        <v>7172012005002000</v>
      </c>
      <c r="C746">
        <v>25</v>
      </c>
      <c r="D746">
        <v>0</v>
      </c>
      <c r="E746">
        <v>0</v>
      </c>
      <c r="F746">
        <v>0</v>
      </c>
      <c r="G746">
        <v>25</v>
      </c>
      <c r="H746">
        <v>0</v>
      </c>
      <c r="I746">
        <v>0</v>
      </c>
      <c r="J746">
        <v>0</v>
      </c>
      <c r="K746">
        <v>0</v>
      </c>
    </row>
    <row r="747" spans="1:11" x14ac:dyDescent="0.25">
      <c r="A747" s="4" t="s">
        <v>68</v>
      </c>
      <c r="B747">
        <v>7172012007002000</v>
      </c>
      <c r="C747">
        <v>119</v>
      </c>
      <c r="D747">
        <v>23</v>
      </c>
      <c r="E747">
        <v>3</v>
      </c>
      <c r="F747">
        <v>0</v>
      </c>
      <c r="G747">
        <v>11</v>
      </c>
      <c r="H747">
        <v>0</v>
      </c>
      <c r="I747">
        <v>0</v>
      </c>
      <c r="J747">
        <v>82</v>
      </c>
      <c r="K747">
        <v>0</v>
      </c>
    </row>
    <row r="748" spans="1:11" x14ac:dyDescent="0.25">
      <c r="A748" s="4" t="s">
        <v>68</v>
      </c>
      <c r="B748">
        <v>7172012007001700</v>
      </c>
      <c r="C748">
        <v>116</v>
      </c>
      <c r="D748">
        <v>0</v>
      </c>
      <c r="E748">
        <v>0</v>
      </c>
      <c r="F748">
        <v>0</v>
      </c>
      <c r="G748">
        <v>116</v>
      </c>
      <c r="H748">
        <v>0</v>
      </c>
      <c r="I748">
        <v>0</v>
      </c>
      <c r="J748">
        <v>0</v>
      </c>
      <c r="K748">
        <v>0</v>
      </c>
    </row>
    <row r="749" spans="1:11" x14ac:dyDescent="0.25">
      <c r="A749" s="4" t="s">
        <v>68</v>
      </c>
      <c r="B749">
        <v>7172012007001800</v>
      </c>
      <c r="C749">
        <v>94</v>
      </c>
      <c r="D749">
        <v>0</v>
      </c>
      <c r="E749">
        <v>0</v>
      </c>
      <c r="F749">
        <v>0</v>
      </c>
      <c r="G749">
        <v>93</v>
      </c>
      <c r="H749">
        <v>0</v>
      </c>
      <c r="I749">
        <v>0</v>
      </c>
      <c r="J749">
        <v>1</v>
      </c>
      <c r="K749">
        <v>0</v>
      </c>
    </row>
    <row r="750" spans="1:11" x14ac:dyDescent="0.25">
      <c r="A750" s="4" t="s">
        <v>68</v>
      </c>
      <c r="B750">
        <v>7172012006000100</v>
      </c>
      <c r="C750">
        <v>92</v>
      </c>
      <c r="D750">
        <v>0</v>
      </c>
      <c r="E750">
        <v>0</v>
      </c>
      <c r="F750">
        <v>0</v>
      </c>
      <c r="G750">
        <v>92</v>
      </c>
      <c r="H750">
        <v>0</v>
      </c>
      <c r="I750">
        <v>0</v>
      </c>
      <c r="J750">
        <v>0</v>
      </c>
      <c r="K750">
        <v>0</v>
      </c>
    </row>
    <row r="751" spans="1:11" x14ac:dyDescent="0.25">
      <c r="A751" s="4" t="s">
        <v>68</v>
      </c>
      <c r="B751">
        <v>7172012007002100</v>
      </c>
      <c r="C751">
        <v>86</v>
      </c>
      <c r="D751">
        <v>3</v>
      </c>
      <c r="E751">
        <v>15</v>
      </c>
      <c r="F751">
        <v>0</v>
      </c>
      <c r="G751">
        <v>32</v>
      </c>
      <c r="H751">
        <v>0</v>
      </c>
      <c r="I751">
        <v>0</v>
      </c>
      <c r="J751">
        <v>36</v>
      </c>
      <c r="K751">
        <v>0</v>
      </c>
    </row>
    <row r="752" spans="1:11" x14ac:dyDescent="0.25">
      <c r="A752" s="4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56</v>
      </c>
      <c r="H752">
        <v>0</v>
      </c>
      <c r="I752">
        <v>0</v>
      </c>
      <c r="J752">
        <v>0</v>
      </c>
      <c r="K752">
        <v>0</v>
      </c>
    </row>
    <row r="753" spans="1:11" x14ac:dyDescent="0.25">
      <c r="A753" s="4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47</v>
      </c>
      <c r="H753">
        <v>0</v>
      </c>
      <c r="I753">
        <v>0</v>
      </c>
      <c r="J753">
        <v>0</v>
      </c>
      <c r="K753">
        <v>0</v>
      </c>
    </row>
    <row r="754" spans="1:11" x14ac:dyDescent="0.25">
      <c r="A754" s="4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39</v>
      </c>
      <c r="H754">
        <v>0</v>
      </c>
      <c r="I754">
        <v>0</v>
      </c>
      <c r="J754">
        <v>0</v>
      </c>
      <c r="K754">
        <v>0</v>
      </c>
    </row>
    <row r="755" spans="1:11" x14ac:dyDescent="0.25">
      <c r="A755" s="4" t="s">
        <v>69</v>
      </c>
      <c r="B755">
        <v>7172012006000700</v>
      </c>
      <c r="C755">
        <v>135</v>
      </c>
      <c r="D755">
        <v>0</v>
      </c>
      <c r="E755">
        <v>0</v>
      </c>
      <c r="F755">
        <v>0</v>
      </c>
      <c r="G755">
        <v>135</v>
      </c>
      <c r="H755">
        <v>0</v>
      </c>
      <c r="I755">
        <v>0</v>
      </c>
      <c r="J755">
        <v>0</v>
      </c>
      <c r="K755">
        <v>0</v>
      </c>
    </row>
    <row r="756" spans="1:11" x14ac:dyDescent="0.25">
      <c r="A756" s="4" t="s">
        <v>69</v>
      </c>
      <c r="B756">
        <v>7172012006000901</v>
      </c>
      <c r="C756">
        <v>130</v>
      </c>
      <c r="D756">
        <v>0</v>
      </c>
      <c r="E756">
        <v>0</v>
      </c>
      <c r="F756">
        <v>0</v>
      </c>
      <c r="G756">
        <v>130</v>
      </c>
      <c r="H756">
        <v>0</v>
      </c>
      <c r="I756">
        <v>0</v>
      </c>
      <c r="J756">
        <v>0</v>
      </c>
      <c r="K756">
        <v>0</v>
      </c>
    </row>
    <row r="757" spans="1:11" x14ac:dyDescent="0.25">
      <c r="A757" s="4" t="s">
        <v>69</v>
      </c>
      <c r="B757">
        <v>7172012006000802</v>
      </c>
      <c r="C757">
        <v>119</v>
      </c>
      <c r="D757">
        <v>23</v>
      </c>
      <c r="E757">
        <v>16</v>
      </c>
      <c r="F757">
        <v>0</v>
      </c>
      <c r="G757">
        <v>24</v>
      </c>
      <c r="H757">
        <v>4</v>
      </c>
      <c r="I757">
        <v>0</v>
      </c>
      <c r="J757">
        <v>52</v>
      </c>
      <c r="K757">
        <v>0</v>
      </c>
    </row>
    <row r="758" spans="1:11" x14ac:dyDescent="0.25">
      <c r="A758" s="4" t="s">
        <v>69</v>
      </c>
      <c r="B758">
        <v>7172012006000801</v>
      </c>
      <c r="C758">
        <v>108</v>
      </c>
      <c r="D758">
        <v>0</v>
      </c>
      <c r="E758">
        <v>0</v>
      </c>
      <c r="F758">
        <v>0</v>
      </c>
      <c r="G758">
        <v>108</v>
      </c>
      <c r="H758">
        <v>0</v>
      </c>
      <c r="I758">
        <v>0</v>
      </c>
      <c r="J758">
        <v>0</v>
      </c>
      <c r="K758">
        <v>0</v>
      </c>
    </row>
    <row r="759" spans="1:11" x14ac:dyDescent="0.25">
      <c r="A759" s="4" t="s">
        <v>69</v>
      </c>
      <c r="B759">
        <v>7172012006000600</v>
      </c>
      <c r="C759">
        <v>80</v>
      </c>
      <c r="D759">
        <v>0</v>
      </c>
      <c r="E759">
        <v>0</v>
      </c>
      <c r="F759">
        <v>0</v>
      </c>
      <c r="G759">
        <v>80</v>
      </c>
      <c r="H759">
        <v>0</v>
      </c>
      <c r="I759">
        <v>0</v>
      </c>
      <c r="J759">
        <v>0</v>
      </c>
      <c r="K759">
        <v>0</v>
      </c>
    </row>
    <row r="760" spans="1:11" x14ac:dyDescent="0.25">
      <c r="A760" s="4" t="s">
        <v>69</v>
      </c>
      <c r="B760">
        <v>7172012006000500</v>
      </c>
      <c r="C760">
        <v>73</v>
      </c>
      <c r="D760">
        <v>12</v>
      </c>
      <c r="E760">
        <v>2</v>
      </c>
      <c r="F760">
        <v>0</v>
      </c>
      <c r="G760">
        <v>18</v>
      </c>
      <c r="H760">
        <v>1</v>
      </c>
      <c r="I760">
        <v>0</v>
      </c>
      <c r="J760">
        <v>40</v>
      </c>
      <c r="K760">
        <v>0</v>
      </c>
    </row>
    <row r="761" spans="1:11" x14ac:dyDescent="0.25">
      <c r="A761" s="4" t="s">
        <v>55</v>
      </c>
      <c r="B761">
        <v>7172012006001800</v>
      </c>
      <c r="C761">
        <v>163</v>
      </c>
      <c r="D761">
        <v>2</v>
      </c>
      <c r="E761">
        <v>2</v>
      </c>
      <c r="F761">
        <v>0</v>
      </c>
      <c r="G761">
        <v>57</v>
      </c>
      <c r="H761">
        <v>1</v>
      </c>
      <c r="I761">
        <v>0</v>
      </c>
      <c r="J761">
        <v>101</v>
      </c>
      <c r="K761">
        <v>0</v>
      </c>
    </row>
    <row r="762" spans="1:11" x14ac:dyDescent="0.25">
      <c r="A762" s="4" t="s">
        <v>55</v>
      </c>
      <c r="B762">
        <v>7172012006001700</v>
      </c>
      <c r="C762">
        <v>140</v>
      </c>
      <c r="D762">
        <v>0</v>
      </c>
      <c r="E762">
        <v>0</v>
      </c>
      <c r="F762">
        <v>0</v>
      </c>
      <c r="G762">
        <v>140</v>
      </c>
      <c r="H762">
        <v>0</v>
      </c>
      <c r="I762">
        <v>0</v>
      </c>
      <c r="J762">
        <v>0</v>
      </c>
      <c r="K762">
        <v>0</v>
      </c>
    </row>
    <row r="763" spans="1:11" x14ac:dyDescent="0.25">
      <c r="A763" s="4" t="s">
        <v>55</v>
      </c>
      <c r="B763">
        <v>7172012006001900</v>
      </c>
      <c r="C763">
        <v>125</v>
      </c>
      <c r="D763">
        <v>0</v>
      </c>
      <c r="E763">
        <v>0</v>
      </c>
      <c r="F763">
        <v>0</v>
      </c>
      <c r="G763">
        <v>125</v>
      </c>
      <c r="H763">
        <v>0</v>
      </c>
      <c r="I763">
        <v>0</v>
      </c>
      <c r="J763">
        <v>0</v>
      </c>
      <c r="K763">
        <v>0</v>
      </c>
    </row>
    <row r="764" spans="1:11" x14ac:dyDescent="0.25">
      <c r="A764" s="4" t="s">
        <v>55</v>
      </c>
      <c r="B764">
        <v>7172012006001400</v>
      </c>
      <c r="C764">
        <v>107</v>
      </c>
      <c r="D764">
        <v>0</v>
      </c>
      <c r="E764">
        <v>9</v>
      </c>
      <c r="F764">
        <v>0</v>
      </c>
      <c r="G764">
        <v>53</v>
      </c>
      <c r="H764">
        <v>0</v>
      </c>
      <c r="I764">
        <v>0</v>
      </c>
      <c r="J764">
        <v>45</v>
      </c>
      <c r="K764">
        <v>0</v>
      </c>
    </row>
    <row r="765" spans="1:11" x14ac:dyDescent="0.25">
      <c r="A765" s="4" t="s">
        <v>55</v>
      </c>
      <c r="B765">
        <v>7172012002001200</v>
      </c>
      <c r="C765">
        <v>52</v>
      </c>
      <c r="D765">
        <v>0</v>
      </c>
      <c r="E765">
        <v>0</v>
      </c>
      <c r="F765">
        <v>0</v>
      </c>
      <c r="G765">
        <v>52</v>
      </c>
      <c r="H765">
        <v>0</v>
      </c>
      <c r="I765">
        <v>0</v>
      </c>
      <c r="J765">
        <v>0</v>
      </c>
      <c r="K765">
        <v>0</v>
      </c>
    </row>
    <row r="766" spans="1:11" x14ac:dyDescent="0.25">
      <c r="A766" s="4" t="s">
        <v>73</v>
      </c>
      <c r="B766">
        <v>7172012007001300</v>
      </c>
      <c r="C766">
        <v>143</v>
      </c>
      <c r="D766">
        <v>14</v>
      </c>
      <c r="E766">
        <v>13</v>
      </c>
      <c r="F766">
        <v>0</v>
      </c>
      <c r="G766">
        <v>106</v>
      </c>
      <c r="H766">
        <v>1</v>
      </c>
      <c r="I766">
        <v>0</v>
      </c>
      <c r="J766">
        <v>9</v>
      </c>
      <c r="K766">
        <v>0</v>
      </c>
    </row>
    <row r="767" spans="1:11" x14ac:dyDescent="0.25">
      <c r="A767" s="4" t="s">
        <v>73</v>
      </c>
      <c r="B767">
        <v>7172012007001500</v>
      </c>
      <c r="C767">
        <v>103</v>
      </c>
      <c r="D767">
        <v>1</v>
      </c>
      <c r="E767">
        <v>12</v>
      </c>
      <c r="F767">
        <v>0</v>
      </c>
      <c r="G767">
        <v>31</v>
      </c>
      <c r="H767">
        <v>0</v>
      </c>
      <c r="I767">
        <v>0</v>
      </c>
      <c r="J767">
        <v>59</v>
      </c>
      <c r="K767">
        <v>0</v>
      </c>
    </row>
    <row r="768" spans="1:11" x14ac:dyDescent="0.25">
      <c r="A768" s="4" t="s">
        <v>73</v>
      </c>
      <c r="B768">
        <v>7172012007001400</v>
      </c>
      <c r="C768">
        <v>95</v>
      </c>
      <c r="D768">
        <v>0</v>
      </c>
      <c r="E768">
        <v>0</v>
      </c>
      <c r="F768">
        <v>0</v>
      </c>
      <c r="G768">
        <v>95</v>
      </c>
      <c r="H768">
        <v>0</v>
      </c>
      <c r="I768">
        <v>0</v>
      </c>
      <c r="J768">
        <v>0</v>
      </c>
      <c r="K768">
        <v>0</v>
      </c>
    </row>
    <row r="769" spans="1:11" x14ac:dyDescent="0.25">
      <c r="A769" s="4" t="s">
        <v>73</v>
      </c>
      <c r="B769">
        <v>7172012007001200</v>
      </c>
      <c r="C769">
        <v>85</v>
      </c>
      <c r="D769">
        <v>0</v>
      </c>
      <c r="E769">
        <v>0</v>
      </c>
      <c r="F769">
        <v>0</v>
      </c>
      <c r="G769">
        <v>85</v>
      </c>
      <c r="H769">
        <v>0</v>
      </c>
      <c r="I769">
        <v>0</v>
      </c>
      <c r="J769">
        <v>0</v>
      </c>
      <c r="K769">
        <v>0</v>
      </c>
    </row>
    <row r="770" spans="1:11" x14ac:dyDescent="0.25">
      <c r="A770" s="4" t="s">
        <v>73</v>
      </c>
      <c r="B770">
        <v>7172012007001600</v>
      </c>
      <c r="C770">
        <v>81</v>
      </c>
      <c r="D770">
        <v>0</v>
      </c>
      <c r="E770">
        <v>0</v>
      </c>
      <c r="F770">
        <v>0</v>
      </c>
      <c r="G770">
        <v>81</v>
      </c>
      <c r="H770">
        <v>0</v>
      </c>
      <c r="I770">
        <v>0</v>
      </c>
      <c r="J770">
        <v>0</v>
      </c>
      <c r="K770">
        <v>0</v>
      </c>
    </row>
    <row r="771" spans="1:11" x14ac:dyDescent="0.25">
      <c r="A771" s="4" t="s">
        <v>73</v>
      </c>
      <c r="B771">
        <v>7172012007001900</v>
      </c>
      <c r="C771">
        <v>78</v>
      </c>
      <c r="D771">
        <v>0</v>
      </c>
      <c r="E771">
        <v>0</v>
      </c>
      <c r="F771">
        <v>0</v>
      </c>
      <c r="G771">
        <v>78</v>
      </c>
      <c r="H771">
        <v>0</v>
      </c>
      <c r="I771">
        <v>0</v>
      </c>
      <c r="J771">
        <v>0</v>
      </c>
      <c r="K771">
        <v>0</v>
      </c>
    </row>
    <row r="772" spans="1:11" x14ac:dyDescent="0.25">
      <c r="A772" s="4" t="s">
        <v>77</v>
      </c>
      <c r="B772">
        <v>7172021003000200</v>
      </c>
      <c r="C772">
        <v>112</v>
      </c>
      <c r="D772">
        <v>34</v>
      </c>
      <c r="E772">
        <v>14</v>
      </c>
      <c r="F772">
        <v>0</v>
      </c>
      <c r="G772">
        <v>1</v>
      </c>
      <c r="H772">
        <v>0</v>
      </c>
      <c r="I772">
        <v>0</v>
      </c>
      <c r="J772">
        <v>63</v>
      </c>
      <c r="K772">
        <v>0</v>
      </c>
    </row>
    <row r="773" spans="1:11" x14ac:dyDescent="0.25">
      <c r="A773" s="4" t="s">
        <v>77</v>
      </c>
      <c r="B773">
        <v>7172021003000400</v>
      </c>
      <c r="C773">
        <v>100</v>
      </c>
      <c r="D773">
        <v>25</v>
      </c>
      <c r="E773">
        <v>10</v>
      </c>
      <c r="F773">
        <v>0</v>
      </c>
      <c r="G773">
        <v>65</v>
      </c>
      <c r="H773">
        <v>0</v>
      </c>
      <c r="I773">
        <v>0</v>
      </c>
      <c r="J773">
        <v>0</v>
      </c>
      <c r="K773">
        <v>0</v>
      </c>
    </row>
    <row r="774" spans="1:11" x14ac:dyDescent="0.25">
      <c r="A774" s="4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94</v>
      </c>
      <c r="H774">
        <v>0</v>
      </c>
      <c r="I774">
        <v>0</v>
      </c>
      <c r="J774">
        <v>0</v>
      </c>
      <c r="K774">
        <v>0</v>
      </c>
    </row>
    <row r="775" spans="1:11" x14ac:dyDescent="0.25">
      <c r="A775" s="4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81</v>
      </c>
      <c r="H775">
        <v>0</v>
      </c>
      <c r="I775">
        <v>0</v>
      </c>
      <c r="J775">
        <v>0</v>
      </c>
      <c r="K775">
        <v>0</v>
      </c>
    </row>
    <row r="776" spans="1:11" x14ac:dyDescent="0.25">
      <c r="A776" s="4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51</v>
      </c>
      <c r="H776">
        <v>0</v>
      </c>
      <c r="I776">
        <v>0</v>
      </c>
      <c r="J776">
        <v>0</v>
      </c>
      <c r="K776">
        <v>0</v>
      </c>
    </row>
    <row r="777" spans="1:11" x14ac:dyDescent="0.25">
      <c r="A777" s="4" t="s">
        <v>80</v>
      </c>
      <c r="B777">
        <v>7172021006001200</v>
      </c>
      <c r="C777">
        <v>88</v>
      </c>
      <c r="D777">
        <v>1</v>
      </c>
      <c r="E777">
        <v>0</v>
      </c>
      <c r="F777">
        <v>0</v>
      </c>
      <c r="G777">
        <v>83</v>
      </c>
      <c r="H777">
        <v>0</v>
      </c>
      <c r="I777">
        <v>0</v>
      </c>
      <c r="J777">
        <v>4</v>
      </c>
      <c r="K777">
        <v>0</v>
      </c>
    </row>
    <row r="778" spans="1:11" x14ac:dyDescent="0.25">
      <c r="A778" s="4" t="s">
        <v>80</v>
      </c>
      <c r="B778">
        <v>7172021006001400</v>
      </c>
      <c r="C778">
        <v>73</v>
      </c>
      <c r="D778">
        <v>1</v>
      </c>
      <c r="E778">
        <v>15</v>
      </c>
      <c r="F778">
        <v>0</v>
      </c>
      <c r="G778">
        <v>54</v>
      </c>
      <c r="H778">
        <v>0</v>
      </c>
      <c r="I778">
        <v>0</v>
      </c>
      <c r="J778">
        <v>3</v>
      </c>
      <c r="K778">
        <v>0</v>
      </c>
    </row>
    <row r="779" spans="1:11" x14ac:dyDescent="0.25">
      <c r="A779" s="4" t="s">
        <v>80</v>
      </c>
      <c r="B779">
        <v>7172021006001500</v>
      </c>
      <c r="C779">
        <v>66</v>
      </c>
      <c r="D779">
        <v>0</v>
      </c>
      <c r="E779">
        <v>0</v>
      </c>
      <c r="F779">
        <v>0</v>
      </c>
      <c r="G779">
        <v>66</v>
      </c>
      <c r="H779">
        <v>0</v>
      </c>
      <c r="I779">
        <v>0</v>
      </c>
      <c r="J779">
        <v>0</v>
      </c>
      <c r="K779">
        <v>0</v>
      </c>
    </row>
    <row r="780" spans="1:11" x14ac:dyDescent="0.25">
      <c r="A780" s="4" t="s">
        <v>80</v>
      </c>
      <c r="B780">
        <v>7172021006001000</v>
      </c>
      <c r="C780">
        <v>58</v>
      </c>
      <c r="D780">
        <v>0</v>
      </c>
      <c r="E780">
        <v>0</v>
      </c>
      <c r="F780">
        <v>0</v>
      </c>
      <c r="G780">
        <v>58</v>
      </c>
      <c r="H780">
        <v>0</v>
      </c>
      <c r="I780">
        <v>0</v>
      </c>
      <c r="J780">
        <v>0</v>
      </c>
      <c r="K780">
        <v>0</v>
      </c>
    </row>
    <row r="781" spans="1:11" x14ac:dyDescent="0.25">
      <c r="A781" s="4" t="s">
        <v>80</v>
      </c>
      <c r="B781">
        <v>7172021006000900</v>
      </c>
      <c r="C781">
        <v>56</v>
      </c>
      <c r="D781">
        <v>0</v>
      </c>
      <c r="E781">
        <v>0</v>
      </c>
      <c r="F781">
        <v>0</v>
      </c>
      <c r="G781">
        <v>56</v>
      </c>
      <c r="H781">
        <v>0</v>
      </c>
      <c r="I781">
        <v>0</v>
      </c>
      <c r="J781">
        <v>0</v>
      </c>
      <c r="K781">
        <v>0</v>
      </c>
    </row>
    <row r="782" spans="1:11" x14ac:dyDescent="0.25">
      <c r="A782" s="4" t="s">
        <v>80</v>
      </c>
      <c r="B782">
        <v>7172021006000800</v>
      </c>
      <c r="C782">
        <v>52</v>
      </c>
      <c r="D782">
        <v>8</v>
      </c>
      <c r="E782">
        <v>17</v>
      </c>
      <c r="F782">
        <v>0</v>
      </c>
      <c r="G782">
        <v>13</v>
      </c>
      <c r="H782">
        <v>0</v>
      </c>
      <c r="I782">
        <v>0</v>
      </c>
      <c r="J782">
        <v>14</v>
      </c>
      <c r="K782">
        <v>0</v>
      </c>
    </row>
    <row r="783" spans="1:11" x14ac:dyDescent="0.25">
      <c r="A783" s="4" t="s">
        <v>80</v>
      </c>
      <c r="B783">
        <v>7172021006001300</v>
      </c>
      <c r="C783">
        <v>45</v>
      </c>
      <c r="D783">
        <v>8</v>
      </c>
      <c r="E783">
        <v>0</v>
      </c>
      <c r="F783">
        <v>0</v>
      </c>
      <c r="G783">
        <v>1</v>
      </c>
      <c r="H783">
        <v>0</v>
      </c>
      <c r="I783">
        <v>0</v>
      </c>
      <c r="J783">
        <v>36</v>
      </c>
      <c r="K783">
        <v>0</v>
      </c>
    </row>
    <row r="784" spans="1:11" x14ac:dyDescent="0.25">
      <c r="A784" s="4" t="s">
        <v>80</v>
      </c>
      <c r="B784">
        <v>7172021006001100</v>
      </c>
      <c r="C784">
        <v>40</v>
      </c>
      <c r="D784">
        <v>0</v>
      </c>
      <c r="E784">
        <v>0</v>
      </c>
      <c r="F784">
        <v>0</v>
      </c>
      <c r="G784">
        <v>40</v>
      </c>
      <c r="H784">
        <v>0</v>
      </c>
      <c r="I784">
        <v>0</v>
      </c>
      <c r="J784">
        <v>0</v>
      </c>
      <c r="K784">
        <v>0</v>
      </c>
    </row>
    <row r="785" spans="1:11" x14ac:dyDescent="0.25">
      <c r="A785" s="4" t="s">
        <v>239</v>
      </c>
      <c r="B785">
        <v>7172021006002200</v>
      </c>
      <c r="C785">
        <v>78</v>
      </c>
      <c r="D785">
        <v>0</v>
      </c>
      <c r="E785">
        <v>0</v>
      </c>
      <c r="F785">
        <v>0</v>
      </c>
      <c r="G785">
        <v>78</v>
      </c>
      <c r="H785">
        <v>0</v>
      </c>
      <c r="I785">
        <v>0</v>
      </c>
      <c r="J785">
        <v>0</v>
      </c>
      <c r="K785">
        <v>0</v>
      </c>
    </row>
    <row r="786" spans="1:11" x14ac:dyDescent="0.25">
      <c r="A786" s="4" t="s">
        <v>239</v>
      </c>
      <c r="B786">
        <v>7172021006001600</v>
      </c>
      <c r="C786">
        <v>68</v>
      </c>
      <c r="D786">
        <v>2</v>
      </c>
      <c r="E786">
        <v>19</v>
      </c>
      <c r="F786">
        <v>0</v>
      </c>
      <c r="G786">
        <v>21</v>
      </c>
      <c r="H786">
        <v>1</v>
      </c>
      <c r="I786">
        <v>0</v>
      </c>
      <c r="J786">
        <v>25</v>
      </c>
      <c r="K786">
        <v>0</v>
      </c>
    </row>
    <row r="787" spans="1:11" x14ac:dyDescent="0.25">
      <c r="A787" s="4" t="s">
        <v>239</v>
      </c>
      <c r="B787">
        <v>7172021006001800</v>
      </c>
      <c r="C787">
        <v>56</v>
      </c>
      <c r="D787">
        <v>3</v>
      </c>
      <c r="E787">
        <v>6</v>
      </c>
      <c r="F787">
        <v>0</v>
      </c>
      <c r="G787">
        <v>46</v>
      </c>
      <c r="H787">
        <v>0</v>
      </c>
      <c r="I787">
        <v>0</v>
      </c>
      <c r="J787">
        <v>1</v>
      </c>
      <c r="K787">
        <v>0</v>
      </c>
    </row>
    <row r="788" spans="1:11" x14ac:dyDescent="0.25">
      <c r="A788" s="4" t="s">
        <v>239</v>
      </c>
      <c r="B788">
        <v>7172021007000400</v>
      </c>
      <c r="C788">
        <v>55</v>
      </c>
      <c r="D788">
        <v>0</v>
      </c>
      <c r="E788">
        <v>0</v>
      </c>
      <c r="F788">
        <v>0</v>
      </c>
      <c r="G788">
        <v>55</v>
      </c>
      <c r="H788">
        <v>0</v>
      </c>
      <c r="I788">
        <v>0</v>
      </c>
      <c r="J788">
        <v>0</v>
      </c>
      <c r="K788">
        <v>0</v>
      </c>
    </row>
    <row r="789" spans="1:11" x14ac:dyDescent="0.25">
      <c r="A789" s="4" t="s">
        <v>239</v>
      </c>
      <c r="B789">
        <v>7172021007000100</v>
      </c>
      <c r="C789">
        <v>50</v>
      </c>
      <c r="D789">
        <v>14</v>
      </c>
      <c r="E789">
        <v>13</v>
      </c>
      <c r="F789">
        <v>0</v>
      </c>
      <c r="G789">
        <v>16</v>
      </c>
      <c r="H789">
        <v>1</v>
      </c>
      <c r="I789">
        <v>0</v>
      </c>
      <c r="J789">
        <v>6</v>
      </c>
      <c r="K789">
        <v>0</v>
      </c>
    </row>
    <row r="790" spans="1:11" x14ac:dyDescent="0.25">
      <c r="A790" s="4" t="s">
        <v>239</v>
      </c>
      <c r="B790">
        <v>7172021006001700</v>
      </c>
      <c r="C790">
        <v>45</v>
      </c>
      <c r="D790">
        <v>14</v>
      </c>
      <c r="E790">
        <v>2</v>
      </c>
      <c r="F790">
        <v>0</v>
      </c>
      <c r="G790">
        <v>1</v>
      </c>
      <c r="H790">
        <v>0</v>
      </c>
      <c r="I790">
        <v>0</v>
      </c>
      <c r="J790">
        <v>28</v>
      </c>
      <c r="K790">
        <v>0</v>
      </c>
    </row>
    <row r="791" spans="1:11" x14ac:dyDescent="0.25">
      <c r="A791" s="4" t="s">
        <v>239</v>
      </c>
      <c r="B791">
        <v>7172021007000500</v>
      </c>
      <c r="C791">
        <v>42</v>
      </c>
      <c r="D791">
        <v>0</v>
      </c>
      <c r="E791">
        <v>0</v>
      </c>
      <c r="F791">
        <v>0</v>
      </c>
      <c r="G791">
        <v>42</v>
      </c>
      <c r="H791">
        <v>0</v>
      </c>
      <c r="I791">
        <v>0</v>
      </c>
      <c r="J791">
        <v>0</v>
      </c>
      <c r="K791">
        <v>0</v>
      </c>
    </row>
    <row r="792" spans="1:11" x14ac:dyDescent="0.25">
      <c r="A792" s="4" t="s">
        <v>239</v>
      </c>
      <c r="B792">
        <v>7172021007000200</v>
      </c>
      <c r="C792">
        <v>38</v>
      </c>
      <c r="D792">
        <v>2</v>
      </c>
      <c r="E792">
        <v>0</v>
      </c>
      <c r="F792">
        <v>0</v>
      </c>
      <c r="G792">
        <v>36</v>
      </c>
      <c r="H792">
        <v>0</v>
      </c>
      <c r="I792">
        <v>0</v>
      </c>
      <c r="J792">
        <v>0</v>
      </c>
      <c r="K792">
        <v>0</v>
      </c>
    </row>
    <row r="793" spans="1:11" x14ac:dyDescent="0.25">
      <c r="A793" s="4" t="s">
        <v>239</v>
      </c>
      <c r="B793">
        <v>7172021007000300</v>
      </c>
      <c r="C793">
        <v>36</v>
      </c>
      <c r="D793">
        <v>0</v>
      </c>
      <c r="E793">
        <v>0</v>
      </c>
      <c r="F793">
        <v>0</v>
      </c>
      <c r="G793">
        <v>36</v>
      </c>
      <c r="H793">
        <v>0</v>
      </c>
      <c r="I793">
        <v>0</v>
      </c>
      <c r="J793">
        <v>0</v>
      </c>
      <c r="K793">
        <v>0</v>
      </c>
    </row>
    <row r="794" spans="1:11" x14ac:dyDescent="0.25">
      <c r="A794" s="4" t="s">
        <v>239</v>
      </c>
      <c r="B794">
        <v>7172021007000600</v>
      </c>
      <c r="C794">
        <v>31</v>
      </c>
      <c r="D794">
        <v>0</v>
      </c>
      <c r="E794">
        <v>0</v>
      </c>
      <c r="F794">
        <v>0</v>
      </c>
      <c r="G794">
        <v>31</v>
      </c>
      <c r="H794">
        <v>0</v>
      </c>
      <c r="I794">
        <v>0</v>
      </c>
      <c r="J794">
        <v>0</v>
      </c>
      <c r="K794">
        <v>0</v>
      </c>
    </row>
    <row r="795" spans="1:11" x14ac:dyDescent="0.25">
      <c r="A795" s="4" t="s">
        <v>82</v>
      </c>
      <c r="B795">
        <v>7172022001000300</v>
      </c>
      <c r="C795">
        <v>97</v>
      </c>
      <c r="D795">
        <v>9</v>
      </c>
      <c r="E795">
        <v>11</v>
      </c>
      <c r="F795">
        <v>0</v>
      </c>
      <c r="G795">
        <v>67</v>
      </c>
      <c r="H795">
        <v>1</v>
      </c>
      <c r="I795">
        <v>0</v>
      </c>
      <c r="J795">
        <v>9</v>
      </c>
      <c r="K795">
        <v>0</v>
      </c>
    </row>
    <row r="796" spans="1:11" x14ac:dyDescent="0.25">
      <c r="A796" s="4" t="s">
        <v>82</v>
      </c>
      <c r="B796">
        <v>7172022001000200</v>
      </c>
      <c r="C796">
        <v>91</v>
      </c>
      <c r="D796">
        <v>12</v>
      </c>
      <c r="E796">
        <v>16</v>
      </c>
      <c r="F796">
        <v>0</v>
      </c>
      <c r="G796">
        <v>58</v>
      </c>
      <c r="H796">
        <v>1</v>
      </c>
      <c r="I796">
        <v>0</v>
      </c>
      <c r="J796">
        <v>4</v>
      </c>
      <c r="K796">
        <v>0</v>
      </c>
    </row>
    <row r="797" spans="1:11" x14ac:dyDescent="0.25">
      <c r="A797" s="4" t="s">
        <v>82</v>
      </c>
      <c r="B797">
        <v>7172022001000400</v>
      </c>
      <c r="C797">
        <v>91</v>
      </c>
      <c r="D797">
        <v>0</v>
      </c>
      <c r="E797">
        <v>0</v>
      </c>
      <c r="F797">
        <v>0</v>
      </c>
      <c r="G797">
        <v>91</v>
      </c>
      <c r="H797">
        <v>0</v>
      </c>
      <c r="I797">
        <v>0</v>
      </c>
      <c r="J797">
        <v>0</v>
      </c>
      <c r="K797">
        <v>0</v>
      </c>
    </row>
    <row r="798" spans="1:11" x14ac:dyDescent="0.25">
      <c r="A798" s="4" t="s">
        <v>82</v>
      </c>
      <c r="B798">
        <v>7172022001000100</v>
      </c>
      <c r="C798">
        <v>81</v>
      </c>
      <c r="D798">
        <v>22</v>
      </c>
      <c r="E798">
        <v>12</v>
      </c>
      <c r="F798">
        <v>0</v>
      </c>
      <c r="G798">
        <v>22</v>
      </c>
      <c r="H798">
        <v>2</v>
      </c>
      <c r="I798">
        <v>1</v>
      </c>
      <c r="J798">
        <v>22</v>
      </c>
      <c r="K798">
        <v>0</v>
      </c>
    </row>
    <row r="799" spans="1:11" x14ac:dyDescent="0.25">
      <c r="A799" s="4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78</v>
      </c>
      <c r="H799">
        <v>0</v>
      </c>
      <c r="I799">
        <v>0</v>
      </c>
      <c r="J799">
        <v>0</v>
      </c>
      <c r="K799">
        <v>0</v>
      </c>
    </row>
    <row r="800" spans="1:11" x14ac:dyDescent="0.25">
      <c r="A800" s="4" t="s">
        <v>84</v>
      </c>
      <c r="B800">
        <v>7172022002000100</v>
      </c>
      <c r="C800">
        <v>87</v>
      </c>
      <c r="D800">
        <v>2</v>
      </c>
      <c r="E800">
        <v>5</v>
      </c>
      <c r="F800">
        <v>0</v>
      </c>
      <c r="G800">
        <v>38</v>
      </c>
      <c r="H800">
        <v>0</v>
      </c>
      <c r="I800">
        <v>0</v>
      </c>
      <c r="J800">
        <v>42</v>
      </c>
      <c r="K800">
        <v>0</v>
      </c>
    </row>
    <row r="801" spans="1:11" x14ac:dyDescent="0.25">
      <c r="A801" s="4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59</v>
      </c>
      <c r="H801">
        <v>0</v>
      </c>
      <c r="I801">
        <v>0</v>
      </c>
      <c r="J801">
        <v>0</v>
      </c>
      <c r="K801">
        <v>0</v>
      </c>
    </row>
    <row r="802" spans="1:11" x14ac:dyDescent="0.25">
      <c r="A802" s="4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55</v>
      </c>
      <c r="H802">
        <v>0</v>
      </c>
      <c r="I802">
        <v>0</v>
      </c>
      <c r="J802">
        <v>0</v>
      </c>
      <c r="K802">
        <v>0</v>
      </c>
    </row>
    <row r="803" spans="1:11" x14ac:dyDescent="0.25">
      <c r="A803" s="4" t="s">
        <v>84</v>
      </c>
      <c r="B803">
        <v>7172022006000100</v>
      </c>
      <c r="C803">
        <v>49</v>
      </c>
      <c r="D803">
        <v>0</v>
      </c>
      <c r="E803">
        <v>0</v>
      </c>
      <c r="F803">
        <v>0</v>
      </c>
      <c r="G803">
        <v>49</v>
      </c>
      <c r="H803">
        <v>0</v>
      </c>
      <c r="I803">
        <v>0</v>
      </c>
      <c r="J803">
        <v>0</v>
      </c>
      <c r="K803">
        <v>0</v>
      </c>
    </row>
    <row r="804" spans="1:11" x14ac:dyDescent="0.25">
      <c r="A804" s="4" t="s">
        <v>84</v>
      </c>
      <c r="B804">
        <v>7172022006000600</v>
      </c>
      <c r="C804">
        <v>44</v>
      </c>
      <c r="D804">
        <v>0</v>
      </c>
      <c r="E804">
        <v>0</v>
      </c>
      <c r="F804">
        <v>0</v>
      </c>
      <c r="G804">
        <v>44</v>
      </c>
      <c r="H804">
        <v>0</v>
      </c>
      <c r="I804">
        <v>0</v>
      </c>
      <c r="J804">
        <v>0</v>
      </c>
      <c r="K804">
        <v>0</v>
      </c>
    </row>
    <row r="805" spans="1:11" x14ac:dyDescent="0.25">
      <c r="A805" s="4" t="s">
        <v>84</v>
      </c>
      <c r="B805">
        <v>7172022006000400</v>
      </c>
      <c r="C805">
        <v>43</v>
      </c>
      <c r="D805">
        <v>0</v>
      </c>
      <c r="E805">
        <v>0</v>
      </c>
      <c r="F805">
        <v>0</v>
      </c>
      <c r="G805">
        <v>43</v>
      </c>
      <c r="H805">
        <v>0</v>
      </c>
      <c r="I805">
        <v>0</v>
      </c>
      <c r="J805">
        <v>0</v>
      </c>
      <c r="K805">
        <v>0</v>
      </c>
    </row>
    <row r="806" spans="1:11" x14ac:dyDescent="0.25">
      <c r="A806" s="4" t="s">
        <v>84</v>
      </c>
      <c r="B806">
        <v>7172022006000500</v>
      </c>
      <c r="C806">
        <v>41</v>
      </c>
      <c r="D806">
        <v>0</v>
      </c>
      <c r="E806">
        <v>0</v>
      </c>
      <c r="F806">
        <v>0</v>
      </c>
      <c r="G806">
        <v>41</v>
      </c>
      <c r="H806">
        <v>0</v>
      </c>
      <c r="I806">
        <v>0</v>
      </c>
      <c r="J806">
        <v>0</v>
      </c>
      <c r="K806">
        <v>0</v>
      </c>
    </row>
    <row r="807" spans="1:11" x14ac:dyDescent="0.25">
      <c r="A807" s="4" t="s">
        <v>84</v>
      </c>
      <c r="B807">
        <v>7172022006000300</v>
      </c>
      <c r="C807">
        <v>38</v>
      </c>
      <c r="D807">
        <v>0</v>
      </c>
      <c r="E807">
        <v>0</v>
      </c>
      <c r="F807">
        <v>0</v>
      </c>
      <c r="G807">
        <v>38</v>
      </c>
      <c r="H807">
        <v>0</v>
      </c>
      <c r="I807">
        <v>0</v>
      </c>
      <c r="J807">
        <v>0</v>
      </c>
      <c r="K807">
        <v>0</v>
      </c>
    </row>
    <row r="808" spans="1:11" x14ac:dyDescent="0.25">
      <c r="A808" s="4" t="s">
        <v>84</v>
      </c>
      <c r="B808">
        <v>7172022002000300</v>
      </c>
      <c r="C808">
        <v>35</v>
      </c>
      <c r="D808">
        <v>0</v>
      </c>
      <c r="E808">
        <v>0</v>
      </c>
      <c r="F808">
        <v>0</v>
      </c>
      <c r="G808">
        <v>35</v>
      </c>
      <c r="H808">
        <v>0</v>
      </c>
      <c r="I808">
        <v>0</v>
      </c>
      <c r="J808">
        <v>0</v>
      </c>
      <c r="K808">
        <v>0</v>
      </c>
    </row>
    <row r="809" spans="1:11" x14ac:dyDescent="0.25">
      <c r="A809" s="4" t="s">
        <v>86</v>
      </c>
      <c r="B809">
        <v>7172022009000500</v>
      </c>
      <c r="C809">
        <v>71</v>
      </c>
      <c r="D809">
        <v>0</v>
      </c>
      <c r="E809">
        <v>8</v>
      </c>
      <c r="F809">
        <v>0</v>
      </c>
      <c r="G809">
        <v>18</v>
      </c>
      <c r="H809">
        <v>0</v>
      </c>
      <c r="I809">
        <v>0</v>
      </c>
      <c r="J809">
        <v>45</v>
      </c>
      <c r="K809">
        <v>0</v>
      </c>
    </row>
    <row r="810" spans="1:11" x14ac:dyDescent="0.25">
      <c r="A810" s="4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58</v>
      </c>
      <c r="H810">
        <v>0</v>
      </c>
      <c r="I810">
        <v>0</v>
      </c>
      <c r="J810">
        <v>0</v>
      </c>
      <c r="K810">
        <v>0</v>
      </c>
    </row>
    <row r="811" spans="1:11" x14ac:dyDescent="0.25">
      <c r="A811" s="4" t="s">
        <v>86</v>
      </c>
      <c r="B811">
        <v>7172022003000100</v>
      </c>
      <c r="C811">
        <v>54</v>
      </c>
      <c r="D811">
        <v>12</v>
      </c>
      <c r="E811">
        <v>1</v>
      </c>
      <c r="F811">
        <v>0</v>
      </c>
      <c r="G811">
        <v>7</v>
      </c>
      <c r="H811">
        <v>5</v>
      </c>
      <c r="I811">
        <v>0</v>
      </c>
      <c r="J811">
        <v>29</v>
      </c>
      <c r="K811">
        <v>0</v>
      </c>
    </row>
    <row r="812" spans="1:11" x14ac:dyDescent="0.25">
      <c r="A812" s="4" t="s">
        <v>86</v>
      </c>
      <c r="B812">
        <v>7172022010000300</v>
      </c>
      <c r="C812">
        <v>46</v>
      </c>
      <c r="D812">
        <v>0</v>
      </c>
      <c r="E812">
        <v>0</v>
      </c>
      <c r="F812">
        <v>0</v>
      </c>
      <c r="G812">
        <v>46</v>
      </c>
      <c r="H812">
        <v>0</v>
      </c>
      <c r="I812">
        <v>0</v>
      </c>
      <c r="J812">
        <v>0</v>
      </c>
      <c r="K812">
        <v>0</v>
      </c>
    </row>
    <row r="813" spans="1:11" x14ac:dyDescent="0.25">
      <c r="A813" s="4" t="s">
        <v>86</v>
      </c>
      <c r="B813">
        <v>7172022010000500</v>
      </c>
      <c r="C813">
        <v>45</v>
      </c>
      <c r="D813">
        <v>0</v>
      </c>
      <c r="E813">
        <v>0</v>
      </c>
      <c r="F813">
        <v>0</v>
      </c>
      <c r="G813">
        <v>45</v>
      </c>
      <c r="H813">
        <v>0</v>
      </c>
      <c r="I813">
        <v>0</v>
      </c>
      <c r="J813">
        <v>0</v>
      </c>
      <c r="K813">
        <v>0</v>
      </c>
    </row>
    <row r="814" spans="1:11" x14ac:dyDescent="0.25">
      <c r="A814" s="4" t="s">
        <v>86</v>
      </c>
      <c r="B814">
        <v>7172022010000100</v>
      </c>
      <c r="C814">
        <v>44</v>
      </c>
      <c r="D814">
        <v>0</v>
      </c>
      <c r="E814">
        <v>0</v>
      </c>
      <c r="F814">
        <v>0</v>
      </c>
      <c r="G814">
        <v>44</v>
      </c>
      <c r="H814">
        <v>0</v>
      </c>
      <c r="I814">
        <v>0</v>
      </c>
      <c r="J814">
        <v>0</v>
      </c>
      <c r="K814">
        <v>0</v>
      </c>
    </row>
    <row r="815" spans="1:11" x14ac:dyDescent="0.25">
      <c r="A815" s="4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38</v>
      </c>
      <c r="H815">
        <v>0</v>
      </c>
      <c r="I815">
        <v>0</v>
      </c>
      <c r="J815">
        <v>0</v>
      </c>
      <c r="K815">
        <v>0</v>
      </c>
    </row>
    <row r="816" spans="1:11" x14ac:dyDescent="0.25">
      <c r="A816" s="4" t="s">
        <v>86</v>
      </c>
      <c r="B816">
        <v>7172022010000600</v>
      </c>
      <c r="C816">
        <v>38</v>
      </c>
      <c r="D816">
        <v>0</v>
      </c>
      <c r="E816">
        <v>0</v>
      </c>
      <c r="F816">
        <v>0</v>
      </c>
      <c r="G816">
        <v>38</v>
      </c>
      <c r="H816">
        <v>0</v>
      </c>
      <c r="I816">
        <v>0</v>
      </c>
      <c r="J816">
        <v>0</v>
      </c>
      <c r="K816">
        <v>0</v>
      </c>
    </row>
    <row r="817" spans="1:11" x14ac:dyDescent="0.25">
      <c r="A817" s="4" t="s">
        <v>86</v>
      </c>
      <c r="B817">
        <v>7172022010000200</v>
      </c>
      <c r="C817">
        <v>33</v>
      </c>
      <c r="D817">
        <v>0</v>
      </c>
      <c r="E817">
        <v>0</v>
      </c>
      <c r="F817">
        <v>0</v>
      </c>
      <c r="G817">
        <v>33</v>
      </c>
      <c r="H817">
        <v>0</v>
      </c>
      <c r="I817">
        <v>0</v>
      </c>
      <c r="J817">
        <v>0</v>
      </c>
      <c r="K817">
        <v>0</v>
      </c>
    </row>
    <row r="818" spans="1:11" x14ac:dyDescent="0.25">
      <c r="A818" s="4" t="s">
        <v>87</v>
      </c>
      <c r="B818">
        <v>7172022005000200</v>
      </c>
      <c r="C818">
        <v>52</v>
      </c>
      <c r="D818">
        <v>0</v>
      </c>
      <c r="E818">
        <v>1</v>
      </c>
      <c r="F818">
        <v>0</v>
      </c>
      <c r="G818">
        <v>51</v>
      </c>
      <c r="H818">
        <v>0</v>
      </c>
      <c r="I818">
        <v>0</v>
      </c>
      <c r="J818">
        <v>0</v>
      </c>
      <c r="K818">
        <v>0</v>
      </c>
    </row>
    <row r="819" spans="1:11" x14ac:dyDescent="0.25">
      <c r="A819" s="4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49</v>
      </c>
      <c r="H819">
        <v>0</v>
      </c>
      <c r="I819">
        <v>0</v>
      </c>
      <c r="J819">
        <v>0</v>
      </c>
      <c r="K819">
        <v>0</v>
      </c>
    </row>
    <row r="820" spans="1:11" x14ac:dyDescent="0.25">
      <c r="A820" s="4" t="s">
        <v>87</v>
      </c>
      <c r="B820">
        <v>7172022004000100</v>
      </c>
      <c r="C820">
        <v>46</v>
      </c>
      <c r="D820">
        <v>21</v>
      </c>
      <c r="E820">
        <v>0</v>
      </c>
      <c r="F820">
        <v>0</v>
      </c>
      <c r="G820">
        <v>0</v>
      </c>
      <c r="H820">
        <v>3</v>
      </c>
      <c r="I820">
        <v>0</v>
      </c>
      <c r="J820">
        <v>22</v>
      </c>
      <c r="K820">
        <v>0</v>
      </c>
    </row>
    <row r="821" spans="1:11" x14ac:dyDescent="0.25">
      <c r="A821" s="4" t="s">
        <v>87</v>
      </c>
      <c r="B821">
        <v>7172022004000200</v>
      </c>
      <c r="C821">
        <v>45</v>
      </c>
      <c r="D821">
        <v>14</v>
      </c>
      <c r="E821">
        <v>13</v>
      </c>
      <c r="F821">
        <v>0</v>
      </c>
      <c r="G821">
        <v>0</v>
      </c>
      <c r="H821">
        <v>1</v>
      </c>
      <c r="I821">
        <v>0</v>
      </c>
      <c r="J821">
        <v>17</v>
      </c>
      <c r="K821">
        <v>0</v>
      </c>
    </row>
    <row r="822" spans="1:11" x14ac:dyDescent="0.25">
      <c r="A822" s="4" t="s">
        <v>87</v>
      </c>
      <c r="B822">
        <v>7172022005000100</v>
      </c>
      <c r="C822">
        <v>41</v>
      </c>
      <c r="D822">
        <v>0</v>
      </c>
      <c r="E822">
        <v>4</v>
      </c>
      <c r="F822">
        <v>0</v>
      </c>
      <c r="G822">
        <v>25</v>
      </c>
      <c r="H822">
        <v>0</v>
      </c>
      <c r="I822">
        <v>0</v>
      </c>
      <c r="J822">
        <v>12</v>
      </c>
      <c r="K822">
        <v>0</v>
      </c>
    </row>
    <row r="823" spans="1:11" x14ac:dyDescent="0.25">
      <c r="A823" s="4" t="s">
        <v>87</v>
      </c>
      <c r="B823">
        <v>7172022005000400</v>
      </c>
      <c r="C823">
        <v>40</v>
      </c>
      <c r="D823">
        <v>0</v>
      </c>
      <c r="E823">
        <v>0</v>
      </c>
      <c r="F823">
        <v>0</v>
      </c>
      <c r="G823">
        <v>40</v>
      </c>
      <c r="H823">
        <v>0</v>
      </c>
      <c r="I823">
        <v>0</v>
      </c>
      <c r="J823">
        <v>0</v>
      </c>
      <c r="K823">
        <v>0</v>
      </c>
    </row>
    <row r="824" spans="1:11" x14ac:dyDescent="0.25">
      <c r="A824" s="4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37</v>
      </c>
      <c r="H824">
        <v>0</v>
      </c>
      <c r="I824">
        <v>0</v>
      </c>
      <c r="J824">
        <v>0</v>
      </c>
      <c r="K824">
        <v>0</v>
      </c>
    </row>
    <row r="825" spans="1:11" x14ac:dyDescent="0.25">
      <c r="A825" s="4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34</v>
      </c>
      <c r="H825">
        <v>0</v>
      </c>
      <c r="I825">
        <v>0</v>
      </c>
      <c r="J825">
        <v>0</v>
      </c>
      <c r="K825">
        <v>0</v>
      </c>
    </row>
    <row r="826" spans="1:11" x14ac:dyDescent="0.25">
      <c r="A826" s="4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27</v>
      </c>
      <c r="H826">
        <v>0</v>
      </c>
      <c r="I826">
        <v>0</v>
      </c>
      <c r="J826">
        <v>0</v>
      </c>
      <c r="K826">
        <v>0</v>
      </c>
    </row>
    <row r="827" spans="1:11" x14ac:dyDescent="0.25">
      <c r="A827" s="4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24</v>
      </c>
      <c r="H827">
        <v>0</v>
      </c>
      <c r="I827">
        <v>0</v>
      </c>
      <c r="J827">
        <v>0</v>
      </c>
      <c r="K827">
        <v>0</v>
      </c>
    </row>
    <row r="828" spans="1:11" x14ac:dyDescent="0.25">
      <c r="A828" s="4" t="s">
        <v>240</v>
      </c>
      <c r="B828">
        <v>7172022007000300</v>
      </c>
      <c r="C828">
        <v>69</v>
      </c>
      <c r="D828">
        <v>0</v>
      </c>
      <c r="E828">
        <v>3</v>
      </c>
      <c r="F828">
        <v>0</v>
      </c>
      <c r="G828">
        <v>55</v>
      </c>
      <c r="H828">
        <v>0</v>
      </c>
      <c r="I828">
        <v>0</v>
      </c>
      <c r="J828">
        <v>11</v>
      </c>
      <c r="K828">
        <v>0</v>
      </c>
    </row>
    <row r="829" spans="1:11" x14ac:dyDescent="0.25">
      <c r="A829" s="4" t="s">
        <v>240</v>
      </c>
      <c r="B829">
        <v>7172022008000100</v>
      </c>
      <c r="C829">
        <v>66</v>
      </c>
      <c r="D829">
        <v>0</v>
      </c>
      <c r="E829">
        <v>2</v>
      </c>
      <c r="F829">
        <v>0</v>
      </c>
      <c r="G829">
        <v>22</v>
      </c>
      <c r="H829">
        <v>0</v>
      </c>
      <c r="I829">
        <v>0</v>
      </c>
      <c r="J829">
        <v>42</v>
      </c>
      <c r="K829">
        <v>0</v>
      </c>
    </row>
    <row r="830" spans="1:11" x14ac:dyDescent="0.25">
      <c r="A830" s="4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62</v>
      </c>
      <c r="H830">
        <v>0</v>
      </c>
      <c r="I830">
        <v>0</v>
      </c>
      <c r="J830">
        <v>0</v>
      </c>
      <c r="K830">
        <v>0</v>
      </c>
    </row>
    <row r="831" spans="1:11" x14ac:dyDescent="0.25">
      <c r="A831" s="4" t="s">
        <v>240</v>
      </c>
      <c r="B831">
        <v>7172022007000100</v>
      </c>
      <c r="C831">
        <v>59</v>
      </c>
      <c r="D831">
        <v>0</v>
      </c>
      <c r="E831">
        <v>0</v>
      </c>
      <c r="F831">
        <v>0</v>
      </c>
      <c r="G831">
        <v>59</v>
      </c>
      <c r="H831">
        <v>0</v>
      </c>
      <c r="I831">
        <v>0</v>
      </c>
      <c r="J831">
        <v>0</v>
      </c>
      <c r="K831">
        <v>0</v>
      </c>
    </row>
    <row r="832" spans="1:11" x14ac:dyDescent="0.25">
      <c r="A832" s="4" t="s">
        <v>240</v>
      </c>
      <c r="B832">
        <v>7172022008000300</v>
      </c>
      <c r="C832">
        <v>59</v>
      </c>
      <c r="D832">
        <v>4</v>
      </c>
      <c r="E832">
        <v>6</v>
      </c>
      <c r="F832">
        <v>0</v>
      </c>
      <c r="G832">
        <v>33</v>
      </c>
      <c r="H832">
        <v>0</v>
      </c>
      <c r="I832">
        <v>0</v>
      </c>
      <c r="J832">
        <v>16</v>
      </c>
      <c r="K832">
        <v>0</v>
      </c>
    </row>
    <row r="833" spans="1:11" x14ac:dyDescent="0.25">
      <c r="A833" s="4" t="s">
        <v>240</v>
      </c>
      <c r="B833">
        <v>7172022007000200</v>
      </c>
      <c r="C833">
        <v>56</v>
      </c>
      <c r="D833">
        <v>0</v>
      </c>
      <c r="E833">
        <v>0</v>
      </c>
      <c r="F833">
        <v>0</v>
      </c>
      <c r="G833">
        <v>56</v>
      </c>
      <c r="H833">
        <v>0</v>
      </c>
      <c r="I833">
        <v>0</v>
      </c>
      <c r="J833">
        <v>0</v>
      </c>
      <c r="K833">
        <v>0</v>
      </c>
    </row>
    <row r="834" spans="1:11" x14ac:dyDescent="0.25">
      <c r="A834" s="4" t="s">
        <v>240</v>
      </c>
      <c r="B834">
        <v>7172022008000200</v>
      </c>
      <c r="C834">
        <v>51</v>
      </c>
      <c r="D834">
        <v>20</v>
      </c>
      <c r="E834">
        <v>4</v>
      </c>
      <c r="F834">
        <v>0</v>
      </c>
      <c r="G834">
        <v>15</v>
      </c>
      <c r="H834">
        <v>6</v>
      </c>
      <c r="I834">
        <v>0</v>
      </c>
      <c r="J834">
        <v>6</v>
      </c>
      <c r="K834">
        <v>0</v>
      </c>
    </row>
    <row r="835" spans="1:11" x14ac:dyDescent="0.25">
      <c r="A835" s="4" t="s">
        <v>94</v>
      </c>
      <c r="B835">
        <v>7172030007001900</v>
      </c>
      <c r="C835">
        <v>84</v>
      </c>
      <c r="D835">
        <v>0</v>
      </c>
      <c r="E835">
        <v>0</v>
      </c>
      <c r="F835">
        <v>0</v>
      </c>
      <c r="G835">
        <v>84</v>
      </c>
      <c r="H835">
        <v>0</v>
      </c>
      <c r="I835">
        <v>0</v>
      </c>
      <c r="J835">
        <v>0</v>
      </c>
      <c r="K835">
        <v>0</v>
      </c>
    </row>
    <row r="836" spans="1:11" x14ac:dyDescent="0.25">
      <c r="A836" s="4" t="s">
        <v>94</v>
      </c>
      <c r="B836">
        <v>7172030007001800</v>
      </c>
      <c r="C836">
        <v>79</v>
      </c>
      <c r="D836">
        <v>0</v>
      </c>
      <c r="E836">
        <v>0</v>
      </c>
      <c r="F836">
        <v>0</v>
      </c>
      <c r="G836">
        <v>78</v>
      </c>
      <c r="H836">
        <v>0</v>
      </c>
      <c r="I836">
        <v>0</v>
      </c>
      <c r="J836">
        <v>1</v>
      </c>
      <c r="K836">
        <v>0</v>
      </c>
    </row>
    <row r="837" spans="1:11" x14ac:dyDescent="0.25">
      <c r="A837" s="4" t="s">
        <v>94</v>
      </c>
      <c r="B837">
        <v>7172030007001500</v>
      </c>
      <c r="C837">
        <v>77</v>
      </c>
      <c r="D837">
        <v>0</v>
      </c>
      <c r="E837">
        <v>0</v>
      </c>
      <c r="F837">
        <v>0</v>
      </c>
      <c r="G837">
        <v>77</v>
      </c>
      <c r="H837">
        <v>0</v>
      </c>
      <c r="I837">
        <v>0</v>
      </c>
      <c r="J837">
        <v>0</v>
      </c>
      <c r="K837">
        <v>0</v>
      </c>
    </row>
    <row r="838" spans="1:11" x14ac:dyDescent="0.25">
      <c r="A838" s="4" t="s">
        <v>94</v>
      </c>
      <c r="B838">
        <v>7172030007001700</v>
      </c>
      <c r="C838">
        <v>76</v>
      </c>
      <c r="D838">
        <v>0</v>
      </c>
      <c r="E838">
        <v>0</v>
      </c>
      <c r="F838">
        <v>0</v>
      </c>
      <c r="G838">
        <v>76</v>
      </c>
      <c r="H838">
        <v>0</v>
      </c>
      <c r="I838">
        <v>0</v>
      </c>
      <c r="J838">
        <v>0</v>
      </c>
      <c r="K838">
        <v>0</v>
      </c>
    </row>
    <row r="839" spans="1:11" x14ac:dyDescent="0.25">
      <c r="A839" s="4" t="s">
        <v>94</v>
      </c>
      <c r="B839">
        <v>7172030007001100</v>
      </c>
      <c r="C839">
        <v>58</v>
      </c>
      <c r="D839">
        <v>11</v>
      </c>
      <c r="E839">
        <v>11</v>
      </c>
      <c r="F839">
        <v>0</v>
      </c>
      <c r="G839">
        <v>2</v>
      </c>
      <c r="H839">
        <v>0</v>
      </c>
      <c r="I839">
        <v>0</v>
      </c>
      <c r="J839">
        <v>34</v>
      </c>
      <c r="K839">
        <v>0</v>
      </c>
    </row>
    <row r="840" spans="1:11" x14ac:dyDescent="0.25">
      <c r="A840" s="4" t="s">
        <v>94</v>
      </c>
      <c r="B840">
        <v>7172030007001600</v>
      </c>
      <c r="C840">
        <v>53</v>
      </c>
      <c r="D840">
        <v>0</v>
      </c>
      <c r="E840">
        <v>0</v>
      </c>
      <c r="F840">
        <v>0</v>
      </c>
      <c r="G840">
        <v>53</v>
      </c>
      <c r="H840">
        <v>0</v>
      </c>
      <c r="I840">
        <v>0</v>
      </c>
      <c r="J840">
        <v>0</v>
      </c>
      <c r="K840">
        <v>0</v>
      </c>
    </row>
    <row r="841" spans="1:11" x14ac:dyDescent="0.25">
      <c r="A841" s="4" t="s">
        <v>94</v>
      </c>
      <c r="B841">
        <v>7172030007001200</v>
      </c>
      <c r="C841">
        <v>52</v>
      </c>
      <c r="D841">
        <v>10</v>
      </c>
      <c r="E841">
        <v>41</v>
      </c>
      <c r="F841">
        <v>0</v>
      </c>
      <c r="G841">
        <v>1</v>
      </c>
      <c r="H841">
        <v>0</v>
      </c>
      <c r="I841">
        <v>0</v>
      </c>
      <c r="J841">
        <v>0</v>
      </c>
      <c r="K841">
        <v>0</v>
      </c>
    </row>
    <row r="842" spans="1:11" x14ac:dyDescent="0.25">
      <c r="A842" s="4" t="s">
        <v>94</v>
      </c>
      <c r="B842">
        <v>7172030007001300</v>
      </c>
      <c r="C842">
        <v>39</v>
      </c>
      <c r="D842">
        <v>3</v>
      </c>
      <c r="E842">
        <v>18</v>
      </c>
      <c r="F842">
        <v>0</v>
      </c>
      <c r="G842">
        <v>17</v>
      </c>
      <c r="H842">
        <v>1</v>
      </c>
      <c r="I842">
        <v>0</v>
      </c>
      <c r="J842">
        <v>0</v>
      </c>
      <c r="K842">
        <v>0</v>
      </c>
    </row>
    <row r="843" spans="1:11" x14ac:dyDescent="0.25">
      <c r="A843" s="4" t="s">
        <v>94</v>
      </c>
      <c r="B843">
        <v>7172030007001400</v>
      </c>
      <c r="C843">
        <v>37</v>
      </c>
      <c r="D843">
        <v>0</v>
      </c>
      <c r="E843">
        <v>3</v>
      </c>
      <c r="F843">
        <v>0</v>
      </c>
      <c r="G843">
        <v>34</v>
      </c>
      <c r="H843">
        <v>0</v>
      </c>
      <c r="I843">
        <v>0</v>
      </c>
      <c r="J843">
        <v>0</v>
      </c>
      <c r="K843">
        <v>0</v>
      </c>
    </row>
    <row r="844" spans="1:11" x14ac:dyDescent="0.25">
      <c r="A844" s="4" t="s">
        <v>96</v>
      </c>
      <c r="B844">
        <v>7172030009000100</v>
      </c>
      <c r="C844">
        <v>104</v>
      </c>
      <c r="D844">
        <v>14</v>
      </c>
      <c r="E844">
        <v>0</v>
      </c>
      <c r="F844">
        <v>0</v>
      </c>
      <c r="G844">
        <v>90</v>
      </c>
      <c r="H844">
        <v>0</v>
      </c>
      <c r="I844">
        <v>0</v>
      </c>
      <c r="J844">
        <v>0</v>
      </c>
      <c r="K844">
        <v>0</v>
      </c>
    </row>
    <row r="845" spans="1:11" x14ac:dyDescent="0.25">
      <c r="A845" s="4" t="s">
        <v>96</v>
      </c>
      <c r="B845">
        <v>7172030017000500</v>
      </c>
      <c r="C845">
        <v>87</v>
      </c>
      <c r="D845">
        <v>22</v>
      </c>
      <c r="E845">
        <v>4</v>
      </c>
      <c r="F845">
        <v>0</v>
      </c>
      <c r="G845">
        <v>1</v>
      </c>
      <c r="H845">
        <v>1</v>
      </c>
      <c r="I845">
        <v>0</v>
      </c>
      <c r="J845">
        <v>59</v>
      </c>
      <c r="K845">
        <v>0</v>
      </c>
    </row>
    <row r="846" spans="1:11" x14ac:dyDescent="0.25">
      <c r="A846" s="4" t="s">
        <v>96</v>
      </c>
      <c r="B846">
        <v>7172030009000200</v>
      </c>
      <c r="C846">
        <v>59</v>
      </c>
      <c r="D846">
        <v>0</v>
      </c>
      <c r="E846">
        <v>0</v>
      </c>
      <c r="F846">
        <v>0</v>
      </c>
      <c r="G846">
        <v>59</v>
      </c>
      <c r="H846">
        <v>0</v>
      </c>
      <c r="I846">
        <v>0</v>
      </c>
      <c r="J846">
        <v>0</v>
      </c>
      <c r="K846">
        <v>0</v>
      </c>
    </row>
    <row r="847" spans="1:11" x14ac:dyDescent="0.25">
      <c r="A847" s="4" t="s">
        <v>96</v>
      </c>
      <c r="B847">
        <v>7172030017000100</v>
      </c>
      <c r="C847">
        <v>58</v>
      </c>
      <c r="D847">
        <v>0</v>
      </c>
      <c r="E847">
        <v>22</v>
      </c>
      <c r="F847">
        <v>0</v>
      </c>
      <c r="G847">
        <v>17</v>
      </c>
      <c r="H847">
        <v>0</v>
      </c>
      <c r="I847">
        <v>0</v>
      </c>
      <c r="J847">
        <v>19</v>
      </c>
      <c r="K847">
        <v>0</v>
      </c>
    </row>
    <row r="848" spans="1:11" x14ac:dyDescent="0.25">
      <c r="A848" s="4" t="s">
        <v>96</v>
      </c>
      <c r="B848">
        <v>7172030009000500</v>
      </c>
      <c r="C848">
        <v>56</v>
      </c>
      <c r="D848">
        <v>0</v>
      </c>
      <c r="E848">
        <v>0</v>
      </c>
      <c r="F848">
        <v>0</v>
      </c>
      <c r="G848">
        <v>56</v>
      </c>
      <c r="H848">
        <v>0</v>
      </c>
      <c r="I848">
        <v>0</v>
      </c>
      <c r="J848">
        <v>0</v>
      </c>
      <c r="K848">
        <v>0</v>
      </c>
    </row>
    <row r="849" spans="1:11" x14ac:dyDescent="0.25">
      <c r="A849" s="4" t="s">
        <v>96</v>
      </c>
      <c r="B849">
        <v>7172030009000300</v>
      </c>
      <c r="C849">
        <v>45</v>
      </c>
      <c r="D849">
        <v>0</v>
      </c>
      <c r="E849">
        <v>0</v>
      </c>
      <c r="F849">
        <v>0</v>
      </c>
      <c r="G849">
        <v>45</v>
      </c>
      <c r="H849">
        <v>0</v>
      </c>
      <c r="I849">
        <v>0</v>
      </c>
      <c r="J849">
        <v>0</v>
      </c>
      <c r="K849">
        <v>0</v>
      </c>
    </row>
    <row r="850" spans="1:11" x14ac:dyDescent="0.25">
      <c r="A850" s="4" t="s">
        <v>96</v>
      </c>
      <c r="B850">
        <v>7172030009000600</v>
      </c>
      <c r="C850">
        <v>43</v>
      </c>
      <c r="D850">
        <v>0</v>
      </c>
      <c r="E850">
        <v>0</v>
      </c>
      <c r="F850">
        <v>0</v>
      </c>
      <c r="G850">
        <v>43</v>
      </c>
      <c r="H850">
        <v>0</v>
      </c>
      <c r="I850">
        <v>0</v>
      </c>
      <c r="J850">
        <v>0</v>
      </c>
      <c r="K850">
        <v>0</v>
      </c>
    </row>
    <row r="851" spans="1:11" x14ac:dyDescent="0.25">
      <c r="A851" s="4" t="s">
        <v>96</v>
      </c>
      <c r="B851">
        <v>7172030009000400</v>
      </c>
      <c r="C851">
        <v>36</v>
      </c>
      <c r="D851">
        <v>0</v>
      </c>
      <c r="E851">
        <v>0</v>
      </c>
      <c r="F851">
        <v>0</v>
      </c>
      <c r="G851">
        <v>36</v>
      </c>
      <c r="H851">
        <v>0</v>
      </c>
      <c r="I851">
        <v>0</v>
      </c>
      <c r="J851">
        <v>0</v>
      </c>
      <c r="K851">
        <v>0</v>
      </c>
    </row>
    <row r="852" spans="1:11" x14ac:dyDescent="0.25">
      <c r="A852" s="4" t="s">
        <v>96</v>
      </c>
      <c r="B852">
        <v>7172030009000800</v>
      </c>
      <c r="C852">
        <v>35</v>
      </c>
      <c r="D852">
        <v>0</v>
      </c>
      <c r="E852">
        <v>0</v>
      </c>
      <c r="F852">
        <v>0</v>
      </c>
      <c r="G852">
        <v>35</v>
      </c>
      <c r="H852">
        <v>0</v>
      </c>
      <c r="I852">
        <v>0</v>
      </c>
      <c r="J852">
        <v>0</v>
      </c>
      <c r="K852">
        <v>0</v>
      </c>
    </row>
    <row r="853" spans="1:11" x14ac:dyDescent="0.25">
      <c r="A853" s="4" t="s">
        <v>96</v>
      </c>
      <c r="B853">
        <v>7172030017000300</v>
      </c>
      <c r="C853">
        <v>32</v>
      </c>
      <c r="D853">
        <v>0</v>
      </c>
      <c r="E853">
        <v>0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</row>
    <row r="854" spans="1:11" x14ac:dyDescent="0.25">
      <c r="A854" s="4" t="s">
        <v>96</v>
      </c>
      <c r="B854">
        <v>7172030017000200</v>
      </c>
      <c r="C854">
        <v>24</v>
      </c>
      <c r="D854">
        <v>0</v>
      </c>
      <c r="E854">
        <v>1</v>
      </c>
      <c r="F854">
        <v>0</v>
      </c>
      <c r="G854">
        <v>23</v>
      </c>
      <c r="H854">
        <v>0</v>
      </c>
      <c r="I854">
        <v>0</v>
      </c>
      <c r="J854">
        <v>0</v>
      </c>
      <c r="K854">
        <v>0</v>
      </c>
    </row>
    <row r="855" spans="1:11" x14ac:dyDescent="0.25">
      <c r="A855" s="4" t="s">
        <v>96</v>
      </c>
      <c r="B855">
        <v>7172030009000700</v>
      </c>
      <c r="C855">
        <v>22</v>
      </c>
      <c r="D855">
        <v>0</v>
      </c>
      <c r="E855">
        <v>0</v>
      </c>
      <c r="F855">
        <v>0</v>
      </c>
      <c r="G855">
        <v>22</v>
      </c>
      <c r="H855">
        <v>0</v>
      </c>
      <c r="I855">
        <v>0</v>
      </c>
      <c r="J855">
        <v>0</v>
      </c>
      <c r="K855">
        <v>0</v>
      </c>
    </row>
    <row r="856" spans="1:11" x14ac:dyDescent="0.25">
      <c r="A856" s="4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</row>
    <row r="857" spans="1:11" x14ac:dyDescent="0.25">
      <c r="A857" s="4" t="s">
        <v>98</v>
      </c>
      <c r="B857">
        <v>7172030012001400</v>
      </c>
      <c r="C857">
        <v>108</v>
      </c>
      <c r="D857">
        <v>0</v>
      </c>
      <c r="E857">
        <v>0</v>
      </c>
      <c r="F857">
        <v>0</v>
      </c>
      <c r="G857">
        <v>108</v>
      </c>
      <c r="H857">
        <v>0</v>
      </c>
      <c r="I857">
        <v>0</v>
      </c>
      <c r="J857">
        <v>0</v>
      </c>
      <c r="K857">
        <v>0</v>
      </c>
    </row>
    <row r="858" spans="1:11" x14ac:dyDescent="0.25">
      <c r="A858" s="4" t="s">
        <v>98</v>
      </c>
      <c r="B858">
        <v>7172030012001000</v>
      </c>
      <c r="C858">
        <v>101</v>
      </c>
      <c r="D858">
        <v>9</v>
      </c>
      <c r="E858">
        <v>35</v>
      </c>
      <c r="F858">
        <v>0</v>
      </c>
      <c r="G858">
        <v>52</v>
      </c>
      <c r="H858">
        <v>0</v>
      </c>
      <c r="I858">
        <v>0</v>
      </c>
      <c r="J858">
        <v>5</v>
      </c>
      <c r="K858">
        <v>0</v>
      </c>
    </row>
    <row r="859" spans="1:11" x14ac:dyDescent="0.25">
      <c r="A859" s="4" t="s">
        <v>98</v>
      </c>
      <c r="B859">
        <v>7172030012000800</v>
      </c>
      <c r="C859">
        <v>99</v>
      </c>
      <c r="D859">
        <v>0</v>
      </c>
      <c r="E859">
        <v>0</v>
      </c>
      <c r="F859">
        <v>0</v>
      </c>
      <c r="G859">
        <v>99</v>
      </c>
      <c r="H859">
        <v>0</v>
      </c>
      <c r="I859">
        <v>0</v>
      </c>
      <c r="J859">
        <v>0</v>
      </c>
      <c r="K859">
        <v>0</v>
      </c>
    </row>
    <row r="860" spans="1:11" x14ac:dyDescent="0.25">
      <c r="A860" s="4" t="s">
        <v>98</v>
      </c>
      <c r="B860">
        <v>7172030012001100</v>
      </c>
      <c r="C860">
        <v>95</v>
      </c>
      <c r="D860">
        <v>36</v>
      </c>
      <c r="E860">
        <v>26</v>
      </c>
      <c r="F860">
        <v>0</v>
      </c>
      <c r="G860">
        <v>15</v>
      </c>
      <c r="H860">
        <v>1</v>
      </c>
      <c r="I860">
        <v>0</v>
      </c>
      <c r="J860">
        <v>17</v>
      </c>
      <c r="K860">
        <v>0</v>
      </c>
    </row>
    <row r="861" spans="1:11" x14ac:dyDescent="0.25">
      <c r="A861" s="4" t="s">
        <v>98</v>
      </c>
      <c r="B861">
        <v>7172030012000600</v>
      </c>
      <c r="C861">
        <v>81</v>
      </c>
      <c r="D861">
        <v>0</v>
      </c>
      <c r="E861">
        <v>0</v>
      </c>
      <c r="F861">
        <v>0</v>
      </c>
      <c r="G861">
        <v>81</v>
      </c>
      <c r="H861">
        <v>0</v>
      </c>
      <c r="I861">
        <v>0</v>
      </c>
      <c r="J861">
        <v>0</v>
      </c>
      <c r="K861">
        <v>0</v>
      </c>
    </row>
    <row r="862" spans="1:11" x14ac:dyDescent="0.25">
      <c r="A862" s="4" t="s">
        <v>98</v>
      </c>
      <c r="B862">
        <v>7172030012001300</v>
      </c>
      <c r="C862">
        <v>61</v>
      </c>
      <c r="D862">
        <v>0</v>
      </c>
      <c r="E862">
        <v>0</v>
      </c>
      <c r="F862">
        <v>0</v>
      </c>
      <c r="G862">
        <v>61</v>
      </c>
      <c r="H862">
        <v>0</v>
      </c>
      <c r="I862">
        <v>0</v>
      </c>
      <c r="J862">
        <v>0</v>
      </c>
      <c r="K862">
        <v>0</v>
      </c>
    </row>
    <row r="863" spans="1:11" x14ac:dyDescent="0.25">
      <c r="A863" s="4" t="s">
        <v>98</v>
      </c>
      <c r="B863">
        <v>7172030012001500</v>
      </c>
      <c r="C863">
        <v>51</v>
      </c>
      <c r="D863">
        <v>22</v>
      </c>
      <c r="E863">
        <v>1</v>
      </c>
      <c r="F863">
        <v>0</v>
      </c>
      <c r="G863">
        <v>9</v>
      </c>
      <c r="H863">
        <v>0</v>
      </c>
      <c r="I863">
        <v>0</v>
      </c>
      <c r="J863">
        <v>19</v>
      </c>
      <c r="K863">
        <v>0</v>
      </c>
    </row>
    <row r="864" spans="1:11" x14ac:dyDescent="0.25">
      <c r="A864" s="4" t="s">
        <v>241</v>
      </c>
      <c r="B864">
        <v>7172030013001000</v>
      </c>
      <c r="C864">
        <v>111</v>
      </c>
      <c r="D864">
        <v>0</v>
      </c>
      <c r="E864">
        <v>0</v>
      </c>
      <c r="F864">
        <v>0</v>
      </c>
      <c r="G864">
        <v>111</v>
      </c>
      <c r="H864">
        <v>0</v>
      </c>
      <c r="I864">
        <v>0</v>
      </c>
      <c r="J864">
        <v>0</v>
      </c>
      <c r="K864">
        <v>0</v>
      </c>
    </row>
    <row r="865" spans="1:11" x14ac:dyDescent="0.25">
      <c r="A865" s="4" t="s">
        <v>241</v>
      </c>
      <c r="B865">
        <v>7172030013000200</v>
      </c>
      <c r="C865">
        <v>85</v>
      </c>
      <c r="D865">
        <v>17</v>
      </c>
      <c r="E865">
        <v>22</v>
      </c>
      <c r="F865">
        <v>0</v>
      </c>
      <c r="G865">
        <v>24</v>
      </c>
      <c r="H865">
        <v>0</v>
      </c>
      <c r="I865">
        <v>0</v>
      </c>
      <c r="J865">
        <v>22</v>
      </c>
      <c r="K865">
        <v>0</v>
      </c>
    </row>
    <row r="866" spans="1:11" x14ac:dyDescent="0.25">
      <c r="A866" s="4" t="s">
        <v>241</v>
      </c>
      <c r="B866">
        <v>7172030013001200</v>
      </c>
      <c r="C866">
        <v>76</v>
      </c>
      <c r="D866">
        <v>0</v>
      </c>
      <c r="E866">
        <v>7</v>
      </c>
      <c r="F866">
        <v>0</v>
      </c>
      <c r="G866">
        <v>69</v>
      </c>
      <c r="H866">
        <v>0</v>
      </c>
      <c r="I866">
        <v>0</v>
      </c>
      <c r="J866">
        <v>0</v>
      </c>
      <c r="K866">
        <v>0</v>
      </c>
    </row>
    <row r="867" spans="1:11" x14ac:dyDescent="0.25">
      <c r="A867" s="4" t="s">
        <v>241</v>
      </c>
      <c r="B867">
        <v>7172030013000600</v>
      </c>
      <c r="C867">
        <v>63</v>
      </c>
      <c r="D867">
        <v>3</v>
      </c>
      <c r="E867">
        <v>21</v>
      </c>
      <c r="F867">
        <v>0</v>
      </c>
      <c r="G867">
        <v>39</v>
      </c>
      <c r="H867">
        <v>0</v>
      </c>
      <c r="I867">
        <v>0</v>
      </c>
      <c r="J867">
        <v>0</v>
      </c>
      <c r="K867">
        <v>0</v>
      </c>
    </row>
    <row r="868" spans="1:11" x14ac:dyDescent="0.25">
      <c r="A868" s="4" t="s">
        <v>241</v>
      </c>
      <c r="B868">
        <v>7172030013000400</v>
      </c>
      <c r="C868">
        <v>55</v>
      </c>
      <c r="D868">
        <v>22</v>
      </c>
      <c r="E868">
        <v>4</v>
      </c>
      <c r="F868">
        <v>0</v>
      </c>
      <c r="G868">
        <v>25</v>
      </c>
      <c r="H868">
        <v>0</v>
      </c>
      <c r="I868">
        <v>0</v>
      </c>
      <c r="J868">
        <v>4</v>
      </c>
      <c r="K868">
        <v>0</v>
      </c>
    </row>
    <row r="869" spans="1:11" x14ac:dyDescent="0.25">
      <c r="A869" s="4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41</v>
      </c>
      <c r="H869">
        <v>0</v>
      </c>
      <c r="I869">
        <v>0</v>
      </c>
      <c r="J869">
        <v>0</v>
      </c>
      <c r="K869">
        <v>0</v>
      </c>
    </row>
    <row r="870" spans="1:11" x14ac:dyDescent="0.25">
      <c r="A870" s="4" t="s">
        <v>241</v>
      </c>
      <c r="B870">
        <v>7172030013000900</v>
      </c>
      <c r="C870">
        <v>53</v>
      </c>
      <c r="D870">
        <v>0</v>
      </c>
      <c r="E870">
        <v>0</v>
      </c>
      <c r="F870">
        <v>0</v>
      </c>
      <c r="G870">
        <v>53</v>
      </c>
      <c r="H870">
        <v>0</v>
      </c>
      <c r="I870">
        <v>0</v>
      </c>
      <c r="J870">
        <v>0</v>
      </c>
      <c r="K870">
        <v>0</v>
      </c>
    </row>
    <row r="871" spans="1:11" x14ac:dyDescent="0.25">
      <c r="A871" s="4" t="s">
        <v>241</v>
      </c>
      <c r="B871">
        <v>7172030013000800</v>
      </c>
      <c r="C871">
        <v>42</v>
      </c>
      <c r="D871">
        <v>0</v>
      </c>
      <c r="E871">
        <v>0</v>
      </c>
      <c r="F871">
        <v>0</v>
      </c>
      <c r="G871">
        <v>37</v>
      </c>
      <c r="H871">
        <v>0</v>
      </c>
      <c r="I871">
        <v>0</v>
      </c>
      <c r="J871">
        <v>5</v>
      </c>
      <c r="K871">
        <v>0</v>
      </c>
    </row>
    <row r="872" spans="1:11" x14ac:dyDescent="0.25">
      <c r="A872" s="4" t="s">
        <v>241</v>
      </c>
      <c r="B872">
        <v>7172030013000700</v>
      </c>
      <c r="C872">
        <v>34</v>
      </c>
      <c r="D872">
        <v>4</v>
      </c>
      <c r="E872">
        <v>8</v>
      </c>
      <c r="F872">
        <v>0</v>
      </c>
      <c r="G872">
        <v>22</v>
      </c>
      <c r="H872">
        <v>0</v>
      </c>
      <c r="I872">
        <v>0</v>
      </c>
      <c r="J872">
        <v>0</v>
      </c>
      <c r="K872">
        <v>0</v>
      </c>
    </row>
    <row r="873" spans="1:11" x14ac:dyDescent="0.25">
      <c r="A873" s="4" t="s">
        <v>242</v>
      </c>
      <c r="B873">
        <v>7172030013001300</v>
      </c>
      <c r="C873">
        <v>132</v>
      </c>
      <c r="D873">
        <v>44</v>
      </c>
      <c r="E873">
        <v>0</v>
      </c>
      <c r="F873">
        <v>0</v>
      </c>
      <c r="G873">
        <v>18</v>
      </c>
      <c r="H873">
        <v>47</v>
      </c>
      <c r="I873">
        <v>0</v>
      </c>
      <c r="J873">
        <v>23</v>
      </c>
      <c r="K873">
        <v>0</v>
      </c>
    </row>
    <row r="874" spans="1:11" x14ac:dyDescent="0.25">
      <c r="A874" s="4" t="s">
        <v>242</v>
      </c>
      <c r="B874">
        <v>7172030013001500</v>
      </c>
      <c r="C874">
        <v>121</v>
      </c>
      <c r="D874">
        <v>16</v>
      </c>
      <c r="E874">
        <v>0</v>
      </c>
      <c r="F874">
        <v>0</v>
      </c>
      <c r="G874">
        <v>105</v>
      </c>
      <c r="H874">
        <v>0</v>
      </c>
      <c r="I874">
        <v>0</v>
      </c>
      <c r="J874">
        <v>0</v>
      </c>
      <c r="K874">
        <v>0</v>
      </c>
    </row>
    <row r="875" spans="1:11" x14ac:dyDescent="0.25">
      <c r="A875" s="4" t="s">
        <v>242</v>
      </c>
      <c r="B875">
        <v>7172030013001600</v>
      </c>
      <c r="C875">
        <v>94</v>
      </c>
      <c r="D875">
        <v>0</v>
      </c>
      <c r="E875">
        <v>0</v>
      </c>
      <c r="F875">
        <v>0</v>
      </c>
      <c r="G875">
        <v>92</v>
      </c>
      <c r="H875">
        <v>0</v>
      </c>
      <c r="I875">
        <v>0</v>
      </c>
      <c r="J875">
        <v>2</v>
      </c>
      <c r="K875">
        <v>0</v>
      </c>
    </row>
    <row r="876" spans="1:11" x14ac:dyDescent="0.25">
      <c r="A876" s="4" t="s">
        <v>242</v>
      </c>
      <c r="B876">
        <v>7172030014000100</v>
      </c>
      <c r="C876">
        <v>73</v>
      </c>
      <c r="D876">
        <v>5</v>
      </c>
      <c r="E876">
        <v>0</v>
      </c>
      <c r="F876">
        <v>0</v>
      </c>
      <c r="G876">
        <v>59</v>
      </c>
      <c r="H876">
        <v>0</v>
      </c>
      <c r="I876">
        <v>0</v>
      </c>
      <c r="J876">
        <v>9</v>
      </c>
      <c r="K876">
        <v>0</v>
      </c>
    </row>
    <row r="877" spans="1:11" x14ac:dyDescent="0.25">
      <c r="A877" s="4" t="s">
        <v>242</v>
      </c>
      <c r="B877">
        <v>7172030013001400</v>
      </c>
      <c r="C877">
        <v>69</v>
      </c>
      <c r="D877">
        <v>0</v>
      </c>
      <c r="E877">
        <v>0</v>
      </c>
      <c r="F877">
        <v>0</v>
      </c>
      <c r="G877">
        <v>69</v>
      </c>
      <c r="H877">
        <v>0</v>
      </c>
      <c r="I877">
        <v>0</v>
      </c>
      <c r="J877">
        <v>0</v>
      </c>
      <c r="K877">
        <v>0</v>
      </c>
    </row>
    <row r="878" spans="1:11" x14ac:dyDescent="0.25">
      <c r="A878" s="4" t="s">
        <v>242</v>
      </c>
      <c r="B878">
        <v>7172030013001100</v>
      </c>
      <c r="C878">
        <v>58</v>
      </c>
      <c r="D878">
        <v>0</v>
      </c>
      <c r="E878">
        <v>0</v>
      </c>
      <c r="F878">
        <v>0</v>
      </c>
      <c r="G878">
        <v>58</v>
      </c>
      <c r="H878">
        <v>0</v>
      </c>
      <c r="I878">
        <v>0</v>
      </c>
      <c r="J878">
        <v>0</v>
      </c>
      <c r="K878">
        <v>0</v>
      </c>
    </row>
    <row r="879" spans="1:11" x14ac:dyDescent="0.25">
      <c r="A879" s="4" t="s">
        <v>242</v>
      </c>
      <c r="B879">
        <v>7172030014000200</v>
      </c>
      <c r="C879">
        <v>58</v>
      </c>
      <c r="D879">
        <v>21</v>
      </c>
      <c r="E879">
        <v>0</v>
      </c>
      <c r="F879">
        <v>0</v>
      </c>
      <c r="G879">
        <v>2</v>
      </c>
      <c r="H879">
        <v>1</v>
      </c>
      <c r="I879">
        <v>0</v>
      </c>
      <c r="J879">
        <v>34</v>
      </c>
      <c r="K879">
        <v>0</v>
      </c>
    </row>
    <row r="880" spans="1:11" x14ac:dyDescent="0.25">
      <c r="A880" s="4" t="s">
        <v>102</v>
      </c>
      <c r="B880">
        <v>7172030014000900</v>
      </c>
      <c r="C880">
        <v>105</v>
      </c>
      <c r="D880">
        <v>0</v>
      </c>
      <c r="E880">
        <v>0</v>
      </c>
      <c r="F880">
        <v>0</v>
      </c>
      <c r="G880">
        <v>105</v>
      </c>
      <c r="H880">
        <v>0</v>
      </c>
      <c r="I880">
        <v>0</v>
      </c>
      <c r="J880">
        <v>0</v>
      </c>
      <c r="K880">
        <v>0</v>
      </c>
    </row>
    <row r="881" spans="1:11" x14ac:dyDescent="0.25">
      <c r="A881" s="4" t="s">
        <v>102</v>
      </c>
      <c r="B881">
        <v>7172030014000500</v>
      </c>
      <c r="C881">
        <v>99</v>
      </c>
      <c r="D881">
        <v>0</v>
      </c>
      <c r="E881">
        <v>6</v>
      </c>
      <c r="F881">
        <v>0</v>
      </c>
      <c r="G881">
        <v>93</v>
      </c>
      <c r="H881">
        <v>0</v>
      </c>
      <c r="I881">
        <v>0</v>
      </c>
      <c r="J881">
        <v>0</v>
      </c>
      <c r="K881">
        <v>0</v>
      </c>
    </row>
    <row r="882" spans="1:11" x14ac:dyDescent="0.25">
      <c r="A882" s="4" t="s">
        <v>102</v>
      </c>
      <c r="B882">
        <v>7172030014000300</v>
      </c>
      <c r="C882">
        <v>95</v>
      </c>
      <c r="D882">
        <v>30</v>
      </c>
      <c r="E882">
        <v>15</v>
      </c>
      <c r="F882">
        <v>0</v>
      </c>
      <c r="G882">
        <v>1</v>
      </c>
      <c r="H882">
        <v>4</v>
      </c>
      <c r="I882">
        <v>0</v>
      </c>
      <c r="J882">
        <v>45</v>
      </c>
      <c r="K882">
        <v>0</v>
      </c>
    </row>
    <row r="883" spans="1:11" x14ac:dyDescent="0.25">
      <c r="A883" s="4" t="s">
        <v>102</v>
      </c>
      <c r="B883">
        <v>7172030014000600</v>
      </c>
      <c r="C883">
        <v>93</v>
      </c>
      <c r="D883">
        <v>0</v>
      </c>
      <c r="E883">
        <v>0</v>
      </c>
      <c r="F883">
        <v>0</v>
      </c>
      <c r="G883">
        <v>93</v>
      </c>
      <c r="H883">
        <v>0</v>
      </c>
      <c r="I883">
        <v>0</v>
      </c>
      <c r="J883">
        <v>0</v>
      </c>
      <c r="K883">
        <v>0</v>
      </c>
    </row>
    <row r="884" spans="1:11" x14ac:dyDescent="0.25">
      <c r="A884" s="4" t="s">
        <v>102</v>
      </c>
      <c r="B884">
        <v>7172030014000700</v>
      </c>
      <c r="C884">
        <v>90</v>
      </c>
      <c r="D884">
        <v>0</v>
      </c>
      <c r="E884">
        <v>0</v>
      </c>
      <c r="F884">
        <v>0</v>
      </c>
      <c r="G884">
        <v>90</v>
      </c>
      <c r="H884">
        <v>0</v>
      </c>
      <c r="I884">
        <v>0</v>
      </c>
      <c r="J884">
        <v>0</v>
      </c>
      <c r="K884">
        <v>0</v>
      </c>
    </row>
    <row r="885" spans="1:11" x14ac:dyDescent="0.25">
      <c r="A885" s="4" t="s">
        <v>102</v>
      </c>
      <c r="B885">
        <v>7172030014000800</v>
      </c>
      <c r="C885">
        <v>67</v>
      </c>
      <c r="D885">
        <v>0</v>
      </c>
      <c r="E885">
        <v>0</v>
      </c>
      <c r="F885">
        <v>0</v>
      </c>
      <c r="G885">
        <v>67</v>
      </c>
      <c r="H885">
        <v>0</v>
      </c>
      <c r="I885">
        <v>0</v>
      </c>
      <c r="J885">
        <v>0</v>
      </c>
      <c r="K885">
        <v>0</v>
      </c>
    </row>
    <row r="886" spans="1:11" x14ac:dyDescent="0.25">
      <c r="A886" s="4" t="s">
        <v>102</v>
      </c>
      <c r="B886">
        <v>7172030014000400</v>
      </c>
      <c r="C886">
        <v>53</v>
      </c>
      <c r="D886">
        <v>16</v>
      </c>
      <c r="E886">
        <v>9</v>
      </c>
      <c r="F886">
        <v>0</v>
      </c>
      <c r="G886">
        <v>24</v>
      </c>
      <c r="H886">
        <v>1</v>
      </c>
      <c r="I886">
        <v>0</v>
      </c>
      <c r="J886">
        <v>3</v>
      </c>
      <c r="K886">
        <v>0</v>
      </c>
    </row>
    <row r="887" spans="1:11" x14ac:dyDescent="0.25">
      <c r="A887" s="4" t="s">
        <v>106</v>
      </c>
      <c r="B887">
        <v>7172030015001702</v>
      </c>
      <c r="C887">
        <v>203</v>
      </c>
      <c r="D887">
        <v>0</v>
      </c>
      <c r="E887">
        <v>1</v>
      </c>
      <c r="F887">
        <v>0</v>
      </c>
      <c r="G887">
        <v>202</v>
      </c>
      <c r="H887">
        <v>0</v>
      </c>
      <c r="I887">
        <v>0</v>
      </c>
      <c r="J887">
        <v>0</v>
      </c>
      <c r="K887">
        <v>0</v>
      </c>
    </row>
    <row r="888" spans="1:11" x14ac:dyDescent="0.25">
      <c r="A888" s="4" t="s">
        <v>106</v>
      </c>
      <c r="B888">
        <v>7172030015001500</v>
      </c>
      <c r="C888">
        <v>199</v>
      </c>
      <c r="D888">
        <v>0</v>
      </c>
      <c r="E888">
        <v>15</v>
      </c>
      <c r="F888">
        <v>0</v>
      </c>
      <c r="G888">
        <v>71</v>
      </c>
      <c r="H888">
        <v>0</v>
      </c>
      <c r="I888">
        <v>0</v>
      </c>
      <c r="J888">
        <v>113</v>
      </c>
      <c r="K888">
        <v>0</v>
      </c>
    </row>
    <row r="889" spans="1:11" x14ac:dyDescent="0.25">
      <c r="A889" s="4" t="s">
        <v>106</v>
      </c>
      <c r="B889">
        <v>7172030015001600</v>
      </c>
      <c r="C889">
        <v>82</v>
      </c>
      <c r="D889">
        <v>0</v>
      </c>
      <c r="E889">
        <v>0</v>
      </c>
      <c r="F889">
        <v>0</v>
      </c>
      <c r="G889">
        <v>82</v>
      </c>
      <c r="H889">
        <v>0</v>
      </c>
      <c r="I889">
        <v>0</v>
      </c>
      <c r="J889">
        <v>0</v>
      </c>
      <c r="K889">
        <v>0</v>
      </c>
    </row>
    <row r="890" spans="1:11" x14ac:dyDescent="0.25">
      <c r="A890" s="4" t="s">
        <v>106</v>
      </c>
      <c r="B890">
        <v>7172030015001400</v>
      </c>
      <c r="C890">
        <v>48</v>
      </c>
      <c r="D890">
        <v>0</v>
      </c>
      <c r="E890">
        <v>0</v>
      </c>
      <c r="F890">
        <v>0</v>
      </c>
      <c r="G890">
        <v>48</v>
      </c>
      <c r="H890">
        <v>0</v>
      </c>
      <c r="I890">
        <v>0</v>
      </c>
      <c r="J890">
        <v>0</v>
      </c>
      <c r="K890">
        <v>0</v>
      </c>
    </row>
    <row r="891" spans="1:11" x14ac:dyDescent="0.25">
      <c r="A891" s="4" t="s">
        <v>107</v>
      </c>
      <c r="B891">
        <v>7172030017000400</v>
      </c>
      <c r="C891">
        <v>122</v>
      </c>
      <c r="D891">
        <v>6</v>
      </c>
      <c r="E891">
        <v>19</v>
      </c>
      <c r="F891">
        <v>0</v>
      </c>
      <c r="G891">
        <v>90</v>
      </c>
      <c r="H891">
        <v>3</v>
      </c>
      <c r="I891">
        <v>0</v>
      </c>
      <c r="J891">
        <v>4</v>
      </c>
      <c r="K891">
        <v>0</v>
      </c>
    </row>
    <row r="892" spans="1:11" x14ac:dyDescent="0.25">
      <c r="A892" s="4" t="s">
        <v>107</v>
      </c>
      <c r="B892">
        <v>7172030017000700</v>
      </c>
      <c r="C892">
        <v>102</v>
      </c>
      <c r="D892">
        <v>15</v>
      </c>
      <c r="E892">
        <v>13</v>
      </c>
      <c r="F892">
        <v>0</v>
      </c>
      <c r="G892">
        <v>48</v>
      </c>
      <c r="H892">
        <v>1</v>
      </c>
      <c r="I892">
        <v>0</v>
      </c>
      <c r="J892">
        <v>25</v>
      </c>
      <c r="K892">
        <v>0</v>
      </c>
    </row>
    <row r="893" spans="1:11" x14ac:dyDescent="0.25">
      <c r="A893" s="4" t="s">
        <v>107</v>
      </c>
      <c r="B893">
        <v>7172030017000600</v>
      </c>
      <c r="C893">
        <v>85</v>
      </c>
      <c r="D893">
        <v>0</v>
      </c>
      <c r="E893">
        <v>6</v>
      </c>
      <c r="F893">
        <v>0</v>
      </c>
      <c r="G893">
        <v>74</v>
      </c>
      <c r="H893">
        <v>0</v>
      </c>
      <c r="I893">
        <v>0</v>
      </c>
      <c r="J893">
        <v>5</v>
      </c>
      <c r="K893">
        <v>0</v>
      </c>
    </row>
    <row r="894" spans="1:11" x14ac:dyDescent="0.25">
      <c r="A894" s="4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56</v>
      </c>
      <c r="H894">
        <v>0</v>
      </c>
      <c r="I894">
        <v>0</v>
      </c>
      <c r="J894">
        <v>0</v>
      </c>
      <c r="K894">
        <v>0</v>
      </c>
    </row>
    <row r="895" spans="1:11" x14ac:dyDescent="0.25">
      <c r="A895" s="4" t="s">
        <v>107</v>
      </c>
      <c r="B895">
        <v>7172030017000900</v>
      </c>
      <c r="C895">
        <v>48</v>
      </c>
      <c r="D895">
        <v>1</v>
      </c>
      <c r="E895">
        <v>0</v>
      </c>
      <c r="F895">
        <v>0</v>
      </c>
      <c r="G895">
        <v>47</v>
      </c>
      <c r="H895">
        <v>0</v>
      </c>
      <c r="I895">
        <v>0</v>
      </c>
      <c r="J895">
        <v>0</v>
      </c>
      <c r="K895">
        <v>0</v>
      </c>
    </row>
    <row r="896" spans="1:11" x14ac:dyDescent="0.25">
      <c r="A896" s="4" t="s">
        <v>107</v>
      </c>
      <c r="B896">
        <v>7172030017000800</v>
      </c>
      <c r="C896">
        <v>44</v>
      </c>
      <c r="D896">
        <v>8</v>
      </c>
      <c r="E896">
        <v>6</v>
      </c>
      <c r="F896">
        <v>0</v>
      </c>
      <c r="G896">
        <v>21</v>
      </c>
      <c r="H896">
        <v>9</v>
      </c>
      <c r="I896">
        <v>0</v>
      </c>
      <c r="J896">
        <v>0</v>
      </c>
      <c r="K896">
        <v>0</v>
      </c>
    </row>
    <row r="897" spans="1:11" x14ac:dyDescent="0.25">
      <c r="A897" s="4" t="s">
        <v>107</v>
      </c>
      <c r="B897">
        <v>7172030017001300</v>
      </c>
      <c r="C897">
        <v>41</v>
      </c>
      <c r="D897">
        <v>13</v>
      </c>
      <c r="E897">
        <v>12</v>
      </c>
      <c r="F897">
        <v>0</v>
      </c>
      <c r="G897">
        <v>6</v>
      </c>
      <c r="H897">
        <v>3</v>
      </c>
      <c r="I897">
        <v>0</v>
      </c>
      <c r="J897">
        <v>7</v>
      </c>
      <c r="K897">
        <v>0</v>
      </c>
    </row>
    <row r="898" spans="1:11" x14ac:dyDescent="0.25">
      <c r="A898" s="4" t="s">
        <v>107</v>
      </c>
      <c r="B898">
        <v>7172030017001200</v>
      </c>
      <c r="C898">
        <v>40</v>
      </c>
      <c r="D898">
        <v>4</v>
      </c>
      <c r="E898">
        <v>0</v>
      </c>
      <c r="F898">
        <v>0</v>
      </c>
      <c r="G898">
        <v>36</v>
      </c>
      <c r="H898">
        <v>0</v>
      </c>
      <c r="I898">
        <v>0</v>
      </c>
      <c r="J898">
        <v>0</v>
      </c>
      <c r="K898">
        <v>0</v>
      </c>
    </row>
    <row r="899" spans="1:11" x14ac:dyDescent="0.25">
      <c r="A899" s="4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36</v>
      </c>
      <c r="H899">
        <v>0</v>
      </c>
      <c r="I899">
        <v>0</v>
      </c>
      <c r="J899">
        <v>0</v>
      </c>
      <c r="K899">
        <v>0</v>
      </c>
    </row>
    <row r="900" spans="1:11" x14ac:dyDescent="0.25">
      <c r="A900" s="4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34</v>
      </c>
      <c r="H900">
        <v>0</v>
      </c>
      <c r="I900">
        <v>0</v>
      </c>
      <c r="J900">
        <v>0</v>
      </c>
      <c r="K900">
        <v>0</v>
      </c>
    </row>
    <row r="901" spans="1:11" x14ac:dyDescent="0.25">
      <c r="A901" s="4" t="s">
        <v>108</v>
      </c>
      <c r="B901">
        <v>7172030017001900</v>
      </c>
      <c r="C901">
        <v>116</v>
      </c>
      <c r="D901">
        <v>0</v>
      </c>
      <c r="E901">
        <v>24</v>
      </c>
      <c r="F901">
        <v>0</v>
      </c>
      <c r="G901">
        <v>84</v>
      </c>
      <c r="H901">
        <v>0</v>
      </c>
      <c r="I901">
        <v>0</v>
      </c>
      <c r="J901">
        <v>8</v>
      </c>
      <c r="K901">
        <v>0</v>
      </c>
    </row>
    <row r="902" spans="1:11" x14ac:dyDescent="0.25">
      <c r="A902" s="4" t="s">
        <v>108</v>
      </c>
      <c r="B902">
        <v>7172030017002001</v>
      </c>
      <c r="C902">
        <v>105</v>
      </c>
      <c r="D902">
        <v>0</v>
      </c>
      <c r="E902">
        <v>0</v>
      </c>
      <c r="F902">
        <v>0</v>
      </c>
      <c r="G902">
        <v>105</v>
      </c>
      <c r="H902">
        <v>0</v>
      </c>
      <c r="I902">
        <v>0</v>
      </c>
      <c r="J902">
        <v>0</v>
      </c>
      <c r="K902">
        <v>0</v>
      </c>
    </row>
    <row r="903" spans="1:11" x14ac:dyDescent="0.25">
      <c r="A903" s="4" t="s">
        <v>108</v>
      </c>
      <c r="B903">
        <v>7172030017001800</v>
      </c>
      <c r="C903">
        <v>92</v>
      </c>
      <c r="D903">
        <v>0</v>
      </c>
      <c r="E903">
        <v>0</v>
      </c>
      <c r="F903">
        <v>0</v>
      </c>
      <c r="G903">
        <v>92</v>
      </c>
      <c r="H903">
        <v>0</v>
      </c>
      <c r="I903">
        <v>0</v>
      </c>
      <c r="J903">
        <v>0</v>
      </c>
      <c r="K903">
        <v>0</v>
      </c>
    </row>
    <row r="904" spans="1:11" x14ac:dyDescent="0.25">
      <c r="A904" s="4" t="s">
        <v>108</v>
      </c>
      <c r="B904">
        <v>7172030017001700</v>
      </c>
      <c r="C904">
        <v>90</v>
      </c>
      <c r="D904">
        <v>0</v>
      </c>
      <c r="E904">
        <v>0</v>
      </c>
      <c r="F904">
        <v>0</v>
      </c>
      <c r="G904">
        <v>90</v>
      </c>
      <c r="H904">
        <v>0</v>
      </c>
      <c r="I904">
        <v>0</v>
      </c>
      <c r="J904">
        <v>0</v>
      </c>
      <c r="K904">
        <v>0</v>
      </c>
    </row>
    <row r="905" spans="1:11" x14ac:dyDescent="0.25">
      <c r="A905" s="4" t="s">
        <v>108</v>
      </c>
      <c r="B905">
        <v>7172030017001400</v>
      </c>
      <c r="C905">
        <v>84</v>
      </c>
      <c r="D905">
        <v>1</v>
      </c>
      <c r="E905">
        <v>9</v>
      </c>
      <c r="F905">
        <v>0</v>
      </c>
      <c r="G905">
        <v>3</v>
      </c>
      <c r="H905">
        <v>1</v>
      </c>
      <c r="I905">
        <v>0</v>
      </c>
      <c r="J905">
        <v>70</v>
      </c>
      <c r="K905">
        <v>0</v>
      </c>
    </row>
    <row r="906" spans="1:11" x14ac:dyDescent="0.25">
      <c r="A906" s="4" t="s">
        <v>108</v>
      </c>
      <c r="B906">
        <v>7172030017002002</v>
      </c>
      <c r="C906">
        <v>80</v>
      </c>
      <c r="D906">
        <v>0</v>
      </c>
      <c r="E906">
        <v>0</v>
      </c>
      <c r="F906">
        <v>0</v>
      </c>
      <c r="G906">
        <v>80</v>
      </c>
      <c r="H906">
        <v>0</v>
      </c>
      <c r="I906">
        <v>0</v>
      </c>
      <c r="J906">
        <v>0</v>
      </c>
      <c r="K906">
        <v>0</v>
      </c>
    </row>
    <row r="907" spans="1:11" x14ac:dyDescent="0.25">
      <c r="A907" s="4" t="s">
        <v>108</v>
      </c>
      <c r="B907">
        <v>7172030017001600</v>
      </c>
      <c r="C907">
        <v>61</v>
      </c>
      <c r="D907">
        <v>0</v>
      </c>
      <c r="E907">
        <v>14</v>
      </c>
      <c r="F907">
        <v>0</v>
      </c>
      <c r="G907">
        <v>38</v>
      </c>
      <c r="H907">
        <v>0</v>
      </c>
      <c r="I907">
        <v>0</v>
      </c>
      <c r="J907">
        <v>9</v>
      </c>
      <c r="K907">
        <v>0</v>
      </c>
    </row>
    <row r="908" spans="1:11" x14ac:dyDescent="0.25">
      <c r="A908" s="4" t="s">
        <v>110</v>
      </c>
      <c r="B908">
        <v>7172031002000100</v>
      </c>
      <c r="C908">
        <v>222</v>
      </c>
      <c r="D908">
        <v>89</v>
      </c>
      <c r="E908">
        <v>37</v>
      </c>
      <c r="F908">
        <v>0</v>
      </c>
      <c r="G908">
        <v>58</v>
      </c>
      <c r="H908">
        <v>0</v>
      </c>
      <c r="I908">
        <v>0</v>
      </c>
      <c r="J908">
        <v>38</v>
      </c>
      <c r="K908">
        <v>0</v>
      </c>
    </row>
    <row r="909" spans="1:11" x14ac:dyDescent="0.25">
      <c r="A909" s="4" t="s">
        <v>110</v>
      </c>
      <c r="B909">
        <v>7172031002000200</v>
      </c>
      <c r="C909">
        <v>177</v>
      </c>
      <c r="D909">
        <v>0</v>
      </c>
      <c r="E909">
        <v>0</v>
      </c>
      <c r="F909">
        <v>0</v>
      </c>
      <c r="G909">
        <v>177</v>
      </c>
      <c r="H909">
        <v>0</v>
      </c>
      <c r="I909">
        <v>0</v>
      </c>
      <c r="J909">
        <v>0</v>
      </c>
      <c r="K909">
        <v>0</v>
      </c>
    </row>
    <row r="910" spans="1:11" x14ac:dyDescent="0.25">
      <c r="A910" s="4" t="s">
        <v>110</v>
      </c>
      <c r="B910">
        <v>7172031002000300</v>
      </c>
      <c r="C910">
        <v>127</v>
      </c>
      <c r="D910">
        <v>0</v>
      </c>
      <c r="E910">
        <v>0</v>
      </c>
      <c r="F910">
        <v>0</v>
      </c>
      <c r="G910">
        <v>127</v>
      </c>
      <c r="H910">
        <v>0</v>
      </c>
      <c r="I910">
        <v>0</v>
      </c>
      <c r="J910">
        <v>0</v>
      </c>
      <c r="K910">
        <v>0</v>
      </c>
    </row>
    <row r="911" spans="1:11" x14ac:dyDescent="0.25">
      <c r="A911" s="4" t="s">
        <v>110</v>
      </c>
      <c r="B911">
        <v>7172031001001500</v>
      </c>
      <c r="C911">
        <v>95</v>
      </c>
      <c r="D911">
        <v>32</v>
      </c>
      <c r="E911">
        <v>8</v>
      </c>
      <c r="F911">
        <v>0</v>
      </c>
      <c r="G911">
        <v>0</v>
      </c>
      <c r="H911">
        <v>0</v>
      </c>
      <c r="I911">
        <v>0</v>
      </c>
      <c r="J911">
        <v>55</v>
      </c>
      <c r="K911">
        <v>0</v>
      </c>
    </row>
    <row r="912" spans="1:11" x14ac:dyDescent="0.25">
      <c r="A912" s="4" t="s">
        <v>111</v>
      </c>
      <c r="B912">
        <v>7172031002000500</v>
      </c>
      <c r="C912">
        <v>133</v>
      </c>
      <c r="D912">
        <v>1</v>
      </c>
      <c r="E912">
        <v>3</v>
      </c>
      <c r="F912">
        <v>0</v>
      </c>
      <c r="G912">
        <v>89</v>
      </c>
      <c r="H912">
        <v>6</v>
      </c>
      <c r="I912">
        <v>0</v>
      </c>
      <c r="J912">
        <v>34</v>
      </c>
      <c r="K912">
        <v>0</v>
      </c>
    </row>
    <row r="913" spans="1:11" x14ac:dyDescent="0.25">
      <c r="A913" s="4" t="s">
        <v>111</v>
      </c>
      <c r="B913">
        <v>7172031002000400</v>
      </c>
      <c r="C913">
        <v>104</v>
      </c>
      <c r="D913">
        <v>50</v>
      </c>
      <c r="E913">
        <v>2</v>
      </c>
      <c r="F913">
        <v>0</v>
      </c>
      <c r="G913">
        <v>0</v>
      </c>
      <c r="H913">
        <v>3</v>
      </c>
      <c r="I913">
        <v>0</v>
      </c>
      <c r="J913">
        <v>49</v>
      </c>
      <c r="K913">
        <v>0</v>
      </c>
    </row>
    <row r="914" spans="1:11" x14ac:dyDescent="0.25">
      <c r="A914" s="4" t="s">
        <v>111</v>
      </c>
      <c r="B914">
        <v>7172031002001101</v>
      </c>
      <c r="C914">
        <v>85</v>
      </c>
      <c r="D914">
        <v>0</v>
      </c>
      <c r="E914">
        <v>0</v>
      </c>
      <c r="F914">
        <v>0</v>
      </c>
      <c r="G914">
        <v>85</v>
      </c>
      <c r="H914">
        <v>0</v>
      </c>
      <c r="I914">
        <v>0</v>
      </c>
      <c r="J914">
        <v>0</v>
      </c>
      <c r="K914">
        <v>0</v>
      </c>
    </row>
    <row r="915" spans="1:11" x14ac:dyDescent="0.25">
      <c r="A915" s="4" t="s">
        <v>111</v>
      </c>
      <c r="B915">
        <v>7172031002000700</v>
      </c>
      <c r="C915">
        <v>64</v>
      </c>
      <c r="D915">
        <v>0</v>
      </c>
      <c r="E915">
        <v>0</v>
      </c>
      <c r="F915">
        <v>0</v>
      </c>
      <c r="G915">
        <v>64</v>
      </c>
      <c r="H915">
        <v>0</v>
      </c>
      <c r="I915">
        <v>0</v>
      </c>
      <c r="J915">
        <v>0</v>
      </c>
      <c r="K915">
        <v>0</v>
      </c>
    </row>
    <row r="916" spans="1:11" x14ac:dyDescent="0.25">
      <c r="A916" s="4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59</v>
      </c>
      <c r="H916">
        <v>0</v>
      </c>
      <c r="I916">
        <v>0</v>
      </c>
      <c r="J916">
        <v>0</v>
      </c>
      <c r="K916">
        <v>0</v>
      </c>
    </row>
    <row r="917" spans="1:11" x14ac:dyDescent="0.25">
      <c r="A917" s="4" t="s">
        <v>111</v>
      </c>
      <c r="B917">
        <v>7172031003000200</v>
      </c>
      <c r="C917">
        <v>56</v>
      </c>
      <c r="D917">
        <v>0</v>
      </c>
      <c r="E917">
        <v>0</v>
      </c>
      <c r="F917">
        <v>0</v>
      </c>
      <c r="G917">
        <v>56</v>
      </c>
      <c r="H917">
        <v>0</v>
      </c>
      <c r="I917">
        <v>0</v>
      </c>
      <c r="J917">
        <v>0</v>
      </c>
      <c r="K917">
        <v>0</v>
      </c>
    </row>
    <row r="918" spans="1:11" x14ac:dyDescent="0.25">
      <c r="A918" s="4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55</v>
      </c>
      <c r="H918">
        <v>0</v>
      </c>
      <c r="I918">
        <v>0</v>
      </c>
      <c r="J918">
        <v>0</v>
      </c>
      <c r="K918">
        <v>0</v>
      </c>
    </row>
    <row r="919" spans="1:11" x14ac:dyDescent="0.25">
      <c r="A919" s="4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49</v>
      </c>
      <c r="H919">
        <v>0</v>
      </c>
      <c r="I919">
        <v>0</v>
      </c>
      <c r="J919">
        <v>0</v>
      </c>
      <c r="K919">
        <v>0</v>
      </c>
    </row>
    <row r="920" spans="1:11" x14ac:dyDescent="0.25">
      <c r="A920" s="4" t="s">
        <v>112</v>
      </c>
      <c r="B920">
        <v>7172031002001102</v>
      </c>
      <c r="C920">
        <v>161</v>
      </c>
      <c r="D920">
        <v>11</v>
      </c>
      <c r="E920">
        <v>24</v>
      </c>
      <c r="F920">
        <v>0</v>
      </c>
      <c r="G920">
        <v>101</v>
      </c>
      <c r="H920">
        <v>0</v>
      </c>
      <c r="I920">
        <v>1</v>
      </c>
      <c r="J920">
        <v>24</v>
      </c>
      <c r="K920">
        <v>0</v>
      </c>
    </row>
    <row r="921" spans="1:11" x14ac:dyDescent="0.25">
      <c r="A921" s="4" t="s">
        <v>112</v>
      </c>
      <c r="B921">
        <v>7172031002001000</v>
      </c>
      <c r="C921">
        <v>121</v>
      </c>
      <c r="D921">
        <v>5</v>
      </c>
      <c r="E921">
        <v>28</v>
      </c>
      <c r="F921">
        <v>0</v>
      </c>
      <c r="G921">
        <v>86</v>
      </c>
      <c r="H921">
        <v>0</v>
      </c>
      <c r="I921">
        <v>0</v>
      </c>
      <c r="J921">
        <v>2</v>
      </c>
      <c r="K921">
        <v>0</v>
      </c>
    </row>
    <row r="922" spans="1:11" x14ac:dyDescent="0.25">
      <c r="A922" s="4" t="s">
        <v>112</v>
      </c>
      <c r="B922">
        <v>7172031008001400</v>
      </c>
      <c r="C922">
        <v>77</v>
      </c>
      <c r="D922">
        <v>0</v>
      </c>
      <c r="E922">
        <v>0</v>
      </c>
      <c r="F922">
        <v>0</v>
      </c>
      <c r="G922">
        <v>77</v>
      </c>
      <c r="H922">
        <v>0</v>
      </c>
      <c r="I922">
        <v>0</v>
      </c>
      <c r="J922">
        <v>0</v>
      </c>
      <c r="K922">
        <v>0</v>
      </c>
    </row>
    <row r="923" spans="1:11" x14ac:dyDescent="0.25">
      <c r="A923" s="4" t="s">
        <v>112</v>
      </c>
      <c r="B923">
        <v>7172031002000800</v>
      </c>
      <c r="C923">
        <v>76</v>
      </c>
      <c r="D923">
        <v>0</v>
      </c>
      <c r="E923">
        <v>0</v>
      </c>
      <c r="F923">
        <v>0</v>
      </c>
      <c r="G923">
        <v>76</v>
      </c>
      <c r="H923">
        <v>0</v>
      </c>
      <c r="I923">
        <v>0</v>
      </c>
      <c r="J923">
        <v>0</v>
      </c>
      <c r="K923">
        <v>0</v>
      </c>
    </row>
    <row r="924" spans="1:11" x14ac:dyDescent="0.25">
      <c r="A924" s="4" t="s">
        <v>112</v>
      </c>
      <c r="B924">
        <v>7172031002001300</v>
      </c>
      <c r="C924">
        <v>59</v>
      </c>
      <c r="D924">
        <v>0</v>
      </c>
      <c r="E924">
        <v>0</v>
      </c>
      <c r="F924">
        <v>0</v>
      </c>
      <c r="G924">
        <v>58</v>
      </c>
      <c r="H924">
        <v>0</v>
      </c>
      <c r="I924">
        <v>0</v>
      </c>
      <c r="J924">
        <v>1</v>
      </c>
      <c r="K924">
        <v>0</v>
      </c>
    </row>
    <row r="925" spans="1:11" x14ac:dyDescent="0.25">
      <c r="A925" s="4" t="s">
        <v>112</v>
      </c>
      <c r="B925">
        <v>7172031008000800</v>
      </c>
      <c r="C925">
        <v>56</v>
      </c>
      <c r="D925">
        <v>24</v>
      </c>
      <c r="E925">
        <v>28</v>
      </c>
      <c r="F925">
        <v>0</v>
      </c>
      <c r="G925">
        <v>4</v>
      </c>
      <c r="H925">
        <v>0</v>
      </c>
      <c r="I925">
        <v>0</v>
      </c>
      <c r="J925">
        <v>0</v>
      </c>
      <c r="K925">
        <v>0</v>
      </c>
    </row>
    <row r="926" spans="1:11" x14ac:dyDescent="0.25">
      <c r="A926" s="4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</row>
    <row r="927" spans="1:11" x14ac:dyDescent="0.25">
      <c r="A927" s="4" t="s">
        <v>112</v>
      </c>
      <c r="B927">
        <v>7172031008001500</v>
      </c>
      <c r="C927">
        <v>30</v>
      </c>
      <c r="D927">
        <v>21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6</v>
      </c>
      <c r="K927">
        <v>0</v>
      </c>
    </row>
    <row r="928" spans="1:11" x14ac:dyDescent="0.25">
      <c r="A928" s="4" t="s">
        <v>115</v>
      </c>
      <c r="B928">
        <v>7172031003002000</v>
      </c>
      <c r="C928">
        <v>196</v>
      </c>
      <c r="D928">
        <v>128</v>
      </c>
      <c r="E928">
        <v>21</v>
      </c>
      <c r="F928">
        <v>0</v>
      </c>
      <c r="G928">
        <v>44</v>
      </c>
      <c r="H928">
        <v>3</v>
      </c>
      <c r="I928">
        <v>0</v>
      </c>
      <c r="J928">
        <v>0</v>
      </c>
      <c r="K928">
        <v>0</v>
      </c>
    </row>
    <row r="929" spans="1:11" x14ac:dyDescent="0.25">
      <c r="A929" s="4" t="s">
        <v>115</v>
      </c>
      <c r="B929">
        <v>7172031003001700</v>
      </c>
      <c r="C929">
        <v>135</v>
      </c>
      <c r="D929">
        <v>1</v>
      </c>
      <c r="E929">
        <v>0</v>
      </c>
      <c r="F929">
        <v>0</v>
      </c>
      <c r="G929">
        <v>134</v>
      </c>
      <c r="H929">
        <v>0</v>
      </c>
      <c r="I929">
        <v>0</v>
      </c>
      <c r="J929">
        <v>0</v>
      </c>
      <c r="K929">
        <v>0</v>
      </c>
    </row>
    <row r="930" spans="1:11" x14ac:dyDescent="0.25">
      <c r="A930" s="4" t="s">
        <v>115</v>
      </c>
      <c r="B930">
        <v>7172031003002100</v>
      </c>
      <c r="C930">
        <v>134</v>
      </c>
      <c r="D930">
        <v>1</v>
      </c>
      <c r="E930">
        <v>0</v>
      </c>
      <c r="F930">
        <v>0</v>
      </c>
      <c r="G930">
        <v>133</v>
      </c>
      <c r="H930">
        <v>0</v>
      </c>
      <c r="I930">
        <v>0</v>
      </c>
      <c r="J930">
        <v>0</v>
      </c>
      <c r="K930">
        <v>0</v>
      </c>
    </row>
    <row r="931" spans="1:11" x14ac:dyDescent="0.25">
      <c r="A931" s="4" t="s">
        <v>115</v>
      </c>
      <c r="B931">
        <v>7172031003001900</v>
      </c>
      <c r="C931">
        <v>62</v>
      </c>
      <c r="D931">
        <v>0</v>
      </c>
      <c r="E931">
        <v>1</v>
      </c>
      <c r="F931">
        <v>0</v>
      </c>
      <c r="G931">
        <v>61</v>
      </c>
      <c r="H931">
        <v>0</v>
      </c>
      <c r="I931">
        <v>0</v>
      </c>
      <c r="J931">
        <v>0</v>
      </c>
      <c r="K931">
        <v>0</v>
      </c>
    </row>
    <row r="932" spans="1:11" x14ac:dyDescent="0.25">
      <c r="A932" s="4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56</v>
      </c>
      <c r="H932">
        <v>0</v>
      </c>
      <c r="I932">
        <v>0</v>
      </c>
      <c r="J932">
        <v>0</v>
      </c>
      <c r="K932">
        <v>0</v>
      </c>
    </row>
    <row r="933" spans="1:11" x14ac:dyDescent="0.25">
      <c r="A933" s="4" t="s">
        <v>243</v>
      </c>
      <c r="B933">
        <v>7172031003001800</v>
      </c>
      <c r="C933">
        <v>144</v>
      </c>
      <c r="D933">
        <v>130</v>
      </c>
      <c r="E933">
        <v>0</v>
      </c>
      <c r="F933">
        <v>0</v>
      </c>
      <c r="G933">
        <v>14</v>
      </c>
      <c r="H933">
        <v>0</v>
      </c>
      <c r="I933">
        <v>0</v>
      </c>
      <c r="J933">
        <v>0</v>
      </c>
      <c r="K933">
        <v>0</v>
      </c>
    </row>
    <row r="934" spans="1:11" x14ac:dyDescent="0.25">
      <c r="A934" s="4" t="s">
        <v>243</v>
      </c>
      <c r="B934">
        <v>7172031003002700</v>
      </c>
      <c r="C934">
        <v>98</v>
      </c>
      <c r="D934">
        <v>1</v>
      </c>
      <c r="E934">
        <v>0</v>
      </c>
      <c r="F934">
        <v>0</v>
      </c>
      <c r="G934">
        <v>97</v>
      </c>
      <c r="H934">
        <v>0</v>
      </c>
      <c r="I934">
        <v>0</v>
      </c>
      <c r="J934">
        <v>0</v>
      </c>
      <c r="K934">
        <v>0</v>
      </c>
    </row>
    <row r="935" spans="1:11" x14ac:dyDescent="0.25">
      <c r="A935" s="4" t="s">
        <v>243</v>
      </c>
      <c r="B935">
        <v>7172031003002500</v>
      </c>
      <c r="C935">
        <v>90</v>
      </c>
      <c r="D935">
        <v>45</v>
      </c>
      <c r="E935">
        <v>3</v>
      </c>
      <c r="F935">
        <v>0</v>
      </c>
      <c r="G935">
        <v>42</v>
      </c>
      <c r="H935">
        <v>0</v>
      </c>
      <c r="I935">
        <v>0</v>
      </c>
      <c r="J935">
        <v>0</v>
      </c>
      <c r="K935">
        <v>0</v>
      </c>
    </row>
    <row r="936" spans="1:11" x14ac:dyDescent="0.25">
      <c r="A936" s="4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77</v>
      </c>
      <c r="H936">
        <v>0</v>
      </c>
      <c r="I936">
        <v>0</v>
      </c>
      <c r="J936">
        <v>0</v>
      </c>
      <c r="K936">
        <v>0</v>
      </c>
    </row>
    <row r="937" spans="1:11" x14ac:dyDescent="0.25">
      <c r="A937" s="4" t="s">
        <v>243</v>
      </c>
      <c r="B937">
        <v>7172031003002600</v>
      </c>
      <c r="C937">
        <v>69</v>
      </c>
      <c r="D937">
        <v>1</v>
      </c>
      <c r="E937">
        <v>0</v>
      </c>
      <c r="F937">
        <v>0</v>
      </c>
      <c r="G937">
        <v>68</v>
      </c>
      <c r="H937">
        <v>0</v>
      </c>
      <c r="I937">
        <v>0</v>
      </c>
      <c r="J937">
        <v>0</v>
      </c>
      <c r="K937">
        <v>0</v>
      </c>
    </row>
    <row r="938" spans="1:11" x14ac:dyDescent="0.25">
      <c r="A938" s="4" t="s">
        <v>243</v>
      </c>
      <c r="B938">
        <v>7172031003002200</v>
      </c>
      <c r="C938">
        <v>60</v>
      </c>
      <c r="D938">
        <v>1</v>
      </c>
      <c r="E938">
        <v>0</v>
      </c>
      <c r="F938">
        <v>0</v>
      </c>
      <c r="G938">
        <v>59</v>
      </c>
      <c r="H938">
        <v>0</v>
      </c>
      <c r="I938">
        <v>0</v>
      </c>
      <c r="J938">
        <v>0</v>
      </c>
      <c r="K938">
        <v>0</v>
      </c>
    </row>
    <row r="939" spans="1:11" x14ac:dyDescent="0.25">
      <c r="A939" s="4" t="s">
        <v>243</v>
      </c>
      <c r="B939">
        <v>7172031003002400</v>
      </c>
      <c r="C939">
        <v>60</v>
      </c>
      <c r="D939">
        <v>48</v>
      </c>
      <c r="E939">
        <v>0</v>
      </c>
      <c r="F939">
        <v>0</v>
      </c>
      <c r="G939">
        <v>12</v>
      </c>
      <c r="H939">
        <v>0</v>
      </c>
      <c r="I939">
        <v>0</v>
      </c>
      <c r="J939">
        <v>0</v>
      </c>
      <c r="K939">
        <v>0</v>
      </c>
    </row>
    <row r="940" spans="1:11" x14ac:dyDescent="0.25">
      <c r="A940" s="4" t="s">
        <v>117</v>
      </c>
      <c r="B940">
        <v>7172031004000800</v>
      </c>
      <c r="C940">
        <v>123</v>
      </c>
      <c r="D940">
        <v>0</v>
      </c>
      <c r="E940">
        <v>0</v>
      </c>
      <c r="F940">
        <v>0</v>
      </c>
      <c r="G940">
        <v>123</v>
      </c>
      <c r="H940">
        <v>0</v>
      </c>
      <c r="I940">
        <v>0</v>
      </c>
      <c r="J940">
        <v>0</v>
      </c>
      <c r="K940">
        <v>0</v>
      </c>
    </row>
    <row r="941" spans="1:11" x14ac:dyDescent="0.25">
      <c r="A941" s="4" t="s">
        <v>117</v>
      </c>
      <c r="B941">
        <v>7172031004000900</v>
      </c>
      <c r="C941">
        <v>78</v>
      </c>
      <c r="D941">
        <v>49</v>
      </c>
      <c r="E941">
        <v>23</v>
      </c>
      <c r="F941">
        <v>0</v>
      </c>
      <c r="G941">
        <v>1</v>
      </c>
      <c r="H941">
        <v>5</v>
      </c>
      <c r="I941">
        <v>0</v>
      </c>
      <c r="J941">
        <v>0</v>
      </c>
      <c r="K941">
        <v>0</v>
      </c>
    </row>
    <row r="942" spans="1:11" x14ac:dyDescent="0.25">
      <c r="A942" s="4" t="s">
        <v>117</v>
      </c>
      <c r="B942">
        <v>7172031004000200</v>
      </c>
      <c r="C942">
        <v>54</v>
      </c>
      <c r="D942">
        <v>0</v>
      </c>
      <c r="E942">
        <v>0</v>
      </c>
      <c r="F942">
        <v>0</v>
      </c>
      <c r="G942">
        <v>54</v>
      </c>
      <c r="H942">
        <v>0</v>
      </c>
      <c r="I942">
        <v>0</v>
      </c>
      <c r="J942">
        <v>0</v>
      </c>
      <c r="K942">
        <v>0</v>
      </c>
    </row>
    <row r="943" spans="1:11" x14ac:dyDescent="0.25">
      <c r="A943" s="4" t="s">
        <v>117</v>
      </c>
      <c r="B943">
        <v>7172031004000100</v>
      </c>
      <c r="C943">
        <v>51</v>
      </c>
      <c r="D943">
        <v>0</v>
      </c>
      <c r="E943">
        <v>0</v>
      </c>
      <c r="F943">
        <v>0</v>
      </c>
      <c r="G943">
        <v>51</v>
      </c>
      <c r="H943">
        <v>0</v>
      </c>
      <c r="I943">
        <v>0</v>
      </c>
      <c r="J943">
        <v>0</v>
      </c>
      <c r="K943">
        <v>0</v>
      </c>
    </row>
    <row r="944" spans="1:11" x14ac:dyDescent="0.25">
      <c r="A944" s="4" t="s">
        <v>117</v>
      </c>
      <c r="B944">
        <v>7172031004000300</v>
      </c>
      <c r="C944">
        <v>51</v>
      </c>
      <c r="D944">
        <v>0</v>
      </c>
      <c r="E944">
        <v>0</v>
      </c>
      <c r="F944">
        <v>0</v>
      </c>
      <c r="G944">
        <v>51</v>
      </c>
      <c r="H944">
        <v>0</v>
      </c>
      <c r="I944">
        <v>0</v>
      </c>
      <c r="J944">
        <v>0</v>
      </c>
      <c r="K944">
        <v>0</v>
      </c>
    </row>
    <row r="945" spans="1:11" x14ac:dyDescent="0.25">
      <c r="A945" s="4" t="s">
        <v>117</v>
      </c>
      <c r="B945">
        <v>7172031004001100</v>
      </c>
      <c r="C945">
        <v>48</v>
      </c>
      <c r="D945">
        <v>0</v>
      </c>
      <c r="E945">
        <v>0</v>
      </c>
      <c r="F945">
        <v>0</v>
      </c>
      <c r="G945">
        <v>48</v>
      </c>
      <c r="H945">
        <v>0</v>
      </c>
      <c r="I945">
        <v>0</v>
      </c>
      <c r="J945">
        <v>0</v>
      </c>
      <c r="K945">
        <v>0</v>
      </c>
    </row>
    <row r="946" spans="1:11" x14ac:dyDescent="0.25">
      <c r="A946" s="4" t="s">
        <v>117</v>
      </c>
      <c r="B946">
        <v>7172031004000500</v>
      </c>
      <c r="C946">
        <v>45</v>
      </c>
      <c r="D946">
        <v>12</v>
      </c>
      <c r="E946">
        <v>26</v>
      </c>
      <c r="F946">
        <v>0</v>
      </c>
      <c r="G946">
        <v>7</v>
      </c>
      <c r="H946">
        <v>0</v>
      </c>
      <c r="I946">
        <v>0</v>
      </c>
      <c r="J946">
        <v>0</v>
      </c>
      <c r="K946">
        <v>0</v>
      </c>
    </row>
    <row r="947" spans="1:11" x14ac:dyDescent="0.25">
      <c r="A947" s="4" t="s">
        <v>117</v>
      </c>
      <c r="B947">
        <v>7172031004000700</v>
      </c>
      <c r="C947">
        <v>45</v>
      </c>
      <c r="D947">
        <v>2</v>
      </c>
      <c r="E947">
        <v>2</v>
      </c>
      <c r="F947">
        <v>0</v>
      </c>
      <c r="G947">
        <v>41</v>
      </c>
      <c r="H947">
        <v>0</v>
      </c>
      <c r="I947">
        <v>0</v>
      </c>
      <c r="J947">
        <v>0</v>
      </c>
      <c r="K947">
        <v>0</v>
      </c>
    </row>
    <row r="948" spans="1:11" x14ac:dyDescent="0.25">
      <c r="A948" s="4" t="s">
        <v>117</v>
      </c>
      <c r="B948">
        <v>7172031004001000</v>
      </c>
      <c r="C948">
        <v>45</v>
      </c>
      <c r="D948">
        <v>1</v>
      </c>
      <c r="E948">
        <v>18</v>
      </c>
      <c r="F948">
        <v>0</v>
      </c>
      <c r="G948">
        <v>26</v>
      </c>
      <c r="H948">
        <v>0</v>
      </c>
      <c r="I948">
        <v>0</v>
      </c>
      <c r="J948">
        <v>0</v>
      </c>
      <c r="K948">
        <v>0</v>
      </c>
    </row>
    <row r="949" spans="1:11" x14ac:dyDescent="0.25">
      <c r="A949" s="4" t="s">
        <v>117</v>
      </c>
      <c r="B949">
        <v>7172031004000600</v>
      </c>
      <c r="C949">
        <v>36</v>
      </c>
      <c r="D949">
        <v>0</v>
      </c>
      <c r="E949">
        <v>0</v>
      </c>
      <c r="F949">
        <v>0</v>
      </c>
      <c r="G949">
        <v>36</v>
      </c>
      <c r="H949">
        <v>0</v>
      </c>
      <c r="I949">
        <v>0</v>
      </c>
      <c r="J949">
        <v>0</v>
      </c>
      <c r="K949">
        <v>0</v>
      </c>
    </row>
    <row r="950" spans="1:11" x14ac:dyDescent="0.25">
      <c r="A950" s="4" t="s">
        <v>117</v>
      </c>
      <c r="B950">
        <v>7172031004000400</v>
      </c>
      <c r="C950">
        <v>28</v>
      </c>
      <c r="D950">
        <v>0</v>
      </c>
      <c r="E950">
        <v>0</v>
      </c>
      <c r="F950">
        <v>0</v>
      </c>
      <c r="G950">
        <v>28</v>
      </c>
      <c r="H950">
        <v>0</v>
      </c>
      <c r="I950">
        <v>0</v>
      </c>
      <c r="J950">
        <v>0</v>
      </c>
      <c r="K950">
        <v>0</v>
      </c>
    </row>
    <row r="951" spans="1:11" x14ac:dyDescent="0.25">
      <c r="A951" s="4" t="s">
        <v>120</v>
      </c>
      <c r="B951">
        <v>7172031006000101</v>
      </c>
      <c r="C951">
        <v>213</v>
      </c>
      <c r="D951">
        <v>6</v>
      </c>
      <c r="E951">
        <v>60</v>
      </c>
      <c r="F951">
        <v>0</v>
      </c>
      <c r="G951">
        <v>90</v>
      </c>
      <c r="H951">
        <v>0</v>
      </c>
      <c r="I951">
        <v>0</v>
      </c>
      <c r="J951">
        <v>57</v>
      </c>
      <c r="K951">
        <v>0</v>
      </c>
    </row>
    <row r="952" spans="1:11" x14ac:dyDescent="0.25">
      <c r="A952" s="4" t="s">
        <v>120</v>
      </c>
      <c r="B952">
        <v>7172031006000300</v>
      </c>
      <c r="C952">
        <v>133</v>
      </c>
      <c r="D952">
        <v>0</v>
      </c>
      <c r="E952">
        <v>0</v>
      </c>
      <c r="F952">
        <v>0</v>
      </c>
      <c r="G952">
        <v>133</v>
      </c>
      <c r="H952">
        <v>0</v>
      </c>
      <c r="I952">
        <v>0</v>
      </c>
      <c r="J952">
        <v>0</v>
      </c>
      <c r="K952">
        <v>0</v>
      </c>
    </row>
    <row r="953" spans="1:11" x14ac:dyDescent="0.25">
      <c r="A953" s="4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123</v>
      </c>
      <c r="H953">
        <v>0</v>
      </c>
      <c r="I953">
        <v>0</v>
      </c>
      <c r="J953">
        <v>0</v>
      </c>
      <c r="K953">
        <v>0</v>
      </c>
    </row>
    <row r="954" spans="1:11" x14ac:dyDescent="0.25">
      <c r="A954" s="4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117</v>
      </c>
      <c r="H954">
        <v>0</v>
      </c>
      <c r="I954">
        <v>0</v>
      </c>
      <c r="J954">
        <v>0</v>
      </c>
      <c r="K954">
        <v>0</v>
      </c>
    </row>
    <row r="955" spans="1:11" x14ac:dyDescent="0.25">
      <c r="A955" s="4" t="s">
        <v>120</v>
      </c>
      <c r="B955">
        <v>7172031006000102</v>
      </c>
      <c r="C955">
        <v>46</v>
      </c>
      <c r="D955">
        <v>0</v>
      </c>
      <c r="E955">
        <v>0</v>
      </c>
      <c r="F955">
        <v>0</v>
      </c>
      <c r="G955">
        <v>46</v>
      </c>
      <c r="H955">
        <v>0</v>
      </c>
      <c r="I955">
        <v>0</v>
      </c>
      <c r="J955">
        <v>0</v>
      </c>
      <c r="K955">
        <v>0</v>
      </c>
    </row>
    <row r="956" spans="1:11" x14ac:dyDescent="0.25">
      <c r="A956" s="4" t="s">
        <v>122</v>
      </c>
      <c r="B956">
        <v>7172031006000900</v>
      </c>
      <c r="C956">
        <v>181</v>
      </c>
      <c r="D956">
        <v>2</v>
      </c>
      <c r="E956">
        <v>34</v>
      </c>
      <c r="F956">
        <v>0</v>
      </c>
      <c r="G956">
        <v>135</v>
      </c>
      <c r="H956">
        <v>0</v>
      </c>
      <c r="I956">
        <v>0</v>
      </c>
      <c r="J956">
        <v>10</v>
      </c>
      <c r="K956">
        <v>0</v>
      </c>
    </row>
    <row r="957" spans="1:11" x14ac:dyDescent="0.25">
      <c r="A957" s="4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136</v>
      </c>
      <c r="H957">
        <v>0</v>
      </c>
      <c r="I957">
        <v>0</v>
      </c>
      <c r="J957">
        <v>0</v>
      </c>
      <c r="K957">
        <v>0</v>
      </c>
    </row>
    <row r="958" spans="1:11" x14ac:dyDescent="0.25">
      <c r="A958" s="4" t="s">
        <v>122</v>
      </c>
      <c r="B958">
        <v>7172031006001300</v>
      </c>
      <c r="C958">
        <v>115</v>
      </c>
      <c r="D958">
        <v>38</v>
      </c>
      <c r="E958">
        <v>38</v>
      </c>
      <c r="F958">
        <v>0</v>
      </c>
      <c r="G958">
        <v>3</v>
      </c>
      <c r="H958">
        <v>2</v>
      </c>
      <c r="I958">
        <v>1</v>
      </c>
      <c r="J958">
        <v>33</v>
      </c>
      <c r="K958">
        <v>0</v>
      </c>
    </row>
    <row r="959" spans="1:11" x14ac:dyDescent="0.25">
      <c r="A959" s="4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105</v>
      </c>
      <c r="H959">
        <v>0</v>
      </c>
      <c r="I959">
        <v>0</v>
      </c>
      <c r="J959">
        <v>0</v>
      </c>
      <c r="K959">
        <v>0</v>
      </c>
    </row>
    <row r="960" spans="1:11" x14ac:dyDescent="0.25">
      <c r="A960" s="4" t="s">
        <v>122</v>
      </c>
      <c r="B960">
        <v>7172031006000700</v>
      </c>
      <c r="C960">
        <v>72</v>
      </c>
      <c r="D960">
        <v>0</v>
      </c>
      <c r="E960">
        <v>0</v>
      </c>
      <c r="F960">
        <v>0</v>
      </c>
      <c r="G960">
        <v>72</v>
      </c>
      <c r="H960">
        <v>0</v>
      </c>
      <c r="I960">
        <v>0</v>
      </c>
      <c r="J960">
        <v>0</v>
      </c>
      <c r="K960">
        <v>0</v>
      </c>
    </row>
    <row r="961" spans="1:11" x14ac:dyDescent="0.25">
      <c r="A961" s="4" t="s">
        <v>124</v>
      </c>
      <c r="B961">
        <v>7172031006001400</v>
      </c>
      <c r="C961">
        <v>178</v>
      </c>
      <c r="D961">
        <v>112</v>
      </c>
      <c r="E961">
        <v>16</v>
      </c>
      <c r="F961">
        <v>0</v>
      </c>
      <c r="G961">
        <v>0</v>
      </c>
      <c r="H961">
        <v>2</v>
      </c>
      <c r="I961">
        <v>0</v>
      </c>
      <c r="J961">
        <v>48</v>
      </c>
      <c r="K961">
        <v>0</v>
      </c>
    </row>
    <row r="962" spans="1:11" x14ac:dyDescent="0.25">
      <c r="A962" s="4" t="s">
        <v>124</v>
      </c>
      <c r="B962">
        <v>7172031006001500</v>
      </c>
      <c r="C962">
        <v>136</v>
      </c>
      <c r="D962">
        <v>0</v>
      </c>
      <c r="E962">
        <v>0</v>
      </c>
      <c r="F962">
        <v>0</v>
      </c>
      <c r="G962">
        <v>136</v>
      </c>
      <c r="H962">
        <v>0</v>
      </c>
      <c r="I962">
        <v>0</v>
      </c>
      <c r="J962">
        <v>0</v>
      </c>
      <c r="K962">
        <v>0</v>
      </c>
    </row>
    <row r="963" spans="1:11" x14ac:dyDescent="0.25">
      <c r="A963" s="4" t="s">
        <v>124</v>
      </c>
      <c r="B963">
        <v>7172031006001700</v>
      </c>
      <c r="C963">
        <v>134</v>
      </c>
      <c r="D963">
        <v>51</v>
      </c>
      <c r="E963">
        <v>12</v>
      </c>
      <c r="F963">
        <v>0</v>
      </c>
      <c r="G963">
        <v>25</v>
      </c>
      <c r="H963">
        <v>2</v>
      </c>
      <c r="I963">
        <v>0</v>
      </c>
      <c r="J963">
        <v>44</v>
      </c>
      <c r="K963">
        <v>0</v>
      </c>
    </row>
    <row r="964" spans="1:11" x14ac:dyDescent="0.25">
      <c r="A964" s="4" t="s">
        <v>124</v>
      </c>
      <c r="B964">
        <v>7172031006001800</v>
      </c>
      <c r="C964">
        <v>91</v>
      </c>
      <c r="D964">
        <v>0</v>
      </c>
      <c r="E964">
        <v>0</v>
      </c>
      <c r="F964">
        <v>0</v>
      </c>
      <c r="G964">
        <v>91</v>
      </c>
      <c r="H964">
        <v>0</v>
      </c>
      <c r="I964">
        <v>0</v>
      </c>
      <c r="J964">
        <v>0</v>
      </c>
      <c r="K964">
        <v>0</v>
      </c>
    </row>
    <row r="965" spans="1:11" x14ac:dyDescent="0.25">
      <c r="A965" s="4" t="s">
        <v>124</v>
      </c>
      <c r="B965">
        <v>7172031006001600</v>
      </c>
      <c r="C965">
        <v>76</v>
      </c>
      <c r="D965">
        <v>0</v>
      </c>
      <c r="E965">
        <v>0</v>
      </c>
      <c r="F965">
        <v>0</v>
      </c>
      <c r="G965">
        <v>76</v>
      </c>
      <c r="H965">
        <v>0</v>
      </c>
      <c r="I965">
        <v>0</v>
      </c>
      <c r="J965">
        <v>0</v>
      </c>
      <c r="K965">
        <v>0</v>
      </c>
    </row>
    <row r="966" spans="1:11" x14ac:dyDescent="0.25">
      <c r="A966" s="4" t="s">
        <v>127</v>
      </c>
      <c r="B966">
        <v>7172031007001600</v>
      </c>
      <c r="C966">
        <v>127</v>
      </c>
      <c r="D966">
        <v>5</v>
      </c>
      <c r="E966">
        <v>6</v>
      </c>
      <c r="F966">
        <v>0</v>
      </c>
      <c r="G966">
        <v>115</v>
      </c>
      <c r="H966">
        <v>0</v>
      </c>
      <c r="I966">
        <v>0</v>
      </c>
      <c r="J966">
        <v>1</v>
      </c>
      <c r="K966">
        <v>0</v>
      </c>
    </row>
    <row r="967" spans="1:11" x14ac:dyDescent="0.25">
      <c r="A967" s="4" t="s">
        <v>127</v>
      </c>
      <c r="B967">
        <v>7172031007001800</v>
      </c>
      <c r="C967">
        <v>117</v>
      </c>
      <c r="D967">
        <v>0</v>
      </c>
      <c r="E967">
        <v>0</v>
      </c>
      <c r="F967">
        <v>0</v>
      </c>
      <c r="G967">
        <v>117</v>
      </c>
      <c r="H967">
        <v>0</v>
      </c>
      <c r="I967">
        <v>0</v>
      </c>
      <c r="J967">
        <v>0</v>
      </c>
      <c r="K967">
        <v>0</v>
      </c>
    </row>
    <row r="968" spans="1:11" x14ac:dyDescent="0.25">
      <c r="A968" s="4" t="s">
        <v>127</v>
      </c>
      <c r="B968">
        <v>7172031007001200</v>
      </c>
      <c r="C968">
        <v>106</v>
      </c>
      <c r="D968">
        <v>53</v>
      </c>
      <c r="E968">
        <v>11</v>
      </c>
      <c r="F968">
        <v>0</v>
      </c>
      <c r="G968">
        <v>12</v>
      </c>
      <c r="H968">
        <v>22</v>
      </c>
      <c r="I968">
        <v>0</v>
      </c>
      <c r="J968">
        <v>8</v>
      </c>
      <c r="K968">
        <v>0</v>
      </c>
    </row>
    <row r="969" spans="1:11" x14ac:dyDescent="0.25">
      <c r="A969" s="4" t="s">
        <v>127</v>
      </c>
      <c r="B969">
        <v>7172031007001000</v>
      </c>
      <c r="C969">
        <v>102</v>
      </c>
      <c r="D969">
        <v>28</v>
      </c>
      <c r="E969">
        <v>3</v>
      </c>
      <c r="F969">
        <v>0</v>
      </c>
      <c r="G969">
        <v>6</v>
      </c>
      <c r="H969">
        <v>0</v>
      </c>
      <c r="I969">
        <v>0</v>
      </c>
      <c r="J969">
        <v>65</v>
      </c>
      <c r="K969">
        <v>0</v>
      </c>
    </row>
    <row r="970" spans="1:11" x14ac:dyDescent="0.25">
      <c r="A970" s="4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79</v>
      </c>
      <c r="H970">
        <v>0</v>
      </c>
      <c r="I970">
        <v>0</v>
      </c>
      <c r="J970">
        <v>0</v>
      </c>
      <c r="K970">
        <v>0</v>
      </c>
    </row>
    <row r="971" spans="1:11" x14ac:dyDescent="0.25">
      <c r="A971" s="4" t="s">
        <v>127</v>
      </c>
      <c r="B971">
        <v>7172031007001700</v>
      </c>
      <c r="C971">
        <v>73</v>
      </c>
      <c r="D971">
        <v>0</v>
      </c>
      <c r="E971">
        <v>0</v>
      </c>
      <c r="F971">
        <v>0</v>
      </c>
      <c r="G971">
        <v>73</v>
      </c>
      <c r="H971">
        <v>0</v>
      </c>
      <c r="I971">
        <v>0</v>
      </c>
      <c r="J971">
        <v>0</v>
      </c>
      <c r="K971">
        <v>0</v>
      </c>
    </row>
    <row r="972" spans="1:11" x14ac:dyDescent="0.25">
      <c r="A972" s="4" t="s">
        <v>129</v>
      </c>
      <c r="B972">
        <v>7172031008001000</v>
      </c>
      <c r="C972">
        <v>86</v>
      </c>
      <c r="D972">
        <v>0</v>
      </c>
      <c r="E972">
        <v>0</v>
      </c>
      <c r="F972">
        <v>0</v>
      </c>
      <c r="G972">
        <v>86</v>
      </c>
      <c r="H972">
        <v>0</v>
      </c>
      <c r="I972">
        <v>0</v>
      </c>
      <c r="J972">
        <v>0</v>
      </c>
      <c r="K972">
        <v>0</v>
      </c>
    </row>
    <row r="973" spans="1:11" x14ac:dyDescent="0.25">
      <c r="A973" s="4" t="s">
        <v>129</v>
      </c>
      <c r="B973">
        <v>7172031008000300</v>
      </c>
      <c r="C973">
        <v>85</v>
      </c>
      <c r="D973">
        <v>13</v>
      </c>
      <c r="E973">
        <v>13</v>
      </c>
      <c r="F973">
        <v>0</v>
      </c>
      <c r="G973">
        <v>58</v>
      </c>
      <c r="H973">
        <v>0</v>
      </c>
      <c r="I973">
        <v>0</v>
      </c>
      <c r="J973">
        <v>1</v>
      </c>
      <c r="K973">
        <v>0</v>
      </c>
    </row>
    <row r="974" spans="1:11" x14ac:dyDescent="0.25">
      <c r="A974" s="4" t="s">
        <v>129</v>
      </c>
      <c r="B974">
        <v>7172031008000900</v>
      </c>
      <c r="C974">
        <v>85</v>
      </c>
      <c r="D974">
        <v>2</v>
      </c>
      <c r="E974">
        <v>0</v>
      </c>
      <c r="F974">
        <v>0</v>
      </c>
      <c r="G974">
        <v>82</v>
      </c>
      <c r="H974">
        <v>1</v>
      </c>
      <c r="I974">
        <v>0</v>
      </c>
      <c r="J974">
        <v>0</v>
      </c>
      <c r="K974">
        <v>0</v>
      </c>
    </row>
    <row r="975" spans="1:11" x14ac:dyDescent="0.25">
      <c r="A975" s="4" t="s">
        <v>129</v>
      </c>
      <c r="B975">
        <v>7172031008001200</v>
      </c>
      <c r="C975">
        <v>81</v>
      </c>
      <c r="D975">
        <v>0</v>
      </c>
      <c r="E975">
        <v>0</v>
      </c>
      <c r="F975">
        <v>0</v>
      </c>
      <c r="G975">
        <v>81</v>
      </c>
      <c r="H975">
        <v>0</v>
      </c>
      <c r="I975">
        <v>0</v>
      </c>
      <c r="J975">
        <v>0</v>
      </c>
      <c r="K975">
        <v>0</v>
      </c>
    </row>
    <row r="976" spans="1:11" x14ac:dyDescent="0.25">
      <c r="A976" s="4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73</v>
      </c>
      <c r="H976">
        <v>0</v>
      </c>
      <c r="I976">
        <v>0</v>
      </c>
      <c r="J976">
        <v>0</v>
      </c>
      <c r="K976">
        <v>0</v>
      </c>
    </row>
    <row r="977" spans="1:11" x14ac:dyDescent="0.25">
      <c r="A977" s="4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57</v>
      </c>
      <c r="H977">
        <v>0</v>
      </c>
      <c r="I977">
        <v>0</v>
      </c>
      <c r="J977">
        <v>0</v>
      </c>
      <c r="K977">
        <v>0</v>
      </c>
    </row>
    <row r="978" spans="1:11" x14ac:dyDescent="0.25">
      <c r="A978" s="4" t="s">
        <v>129</v>
      </c>
      <c r="B978">
        <v>7172031008000600</v>
      </c>
      <c r="C978">
        <v>46</v>
      </c>
      <c r="D978">
        <v>26</v>
      </c>
      <c r="E978">
        <v>14</v>
      </c>
      <c r="F978">
        <v>0</v>
      </c>
      <c r="G978">
        <v>0</v>
      </c>
      <c r="H978">
        <v>5</v>
      </c>
      <c r="I978">
        <v>0</v>
      </c>
      <c r="J978">
        <v>1</v>
      </c>
      <c r="K978">
        <v>0</v>
      </c>
    </row>
    <row r="979" spans="1:11" x14ac:dyDescent="0.25">
      <c r="A979" s="4" t="s">
        <v>129</v>
      </c>
      <c r="B979">
        <v>7172031008000500</v>
      </c>
      <c r="C979">
        <v>39</v>
      </c>
      <c r="D979">
        <v>0</v>
      </c>
      <c r="E979">
        <v>0</v>
      </c>
      <c r="F979">
        <v>0</v>
      </c>
      <c r="G979">
        <v>39</v>
      </c>
      <c r="H979">
        <v>0</v>
      </c>
      <c r="I979">
        <v>0</v>
      </c>
      <c r="J979">
        <v>0</v>
      </c>
      <c r="K979">
        <v>0</v>
      </c>
    </row>
    <row r="980" spans="1:11" x14ac:dyDescent="0.25">
      <c r="A980" s="4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0</v>
      </c>
      <c r="H980">
        <v>1</v>
      </c>
      <c r="I980">
        <v>0</v>
      </c>
      <c r="J980">
        <v>0</v>
      </c>
      <c r="K980">
        <v>0</v>
      </c>
    </row>
    <row r="981" spans="1:11" x14ac:dyDescent="0.25">
      <c r="A981" s="4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0</v>
      </c>
      <c r="H981">
        <v>1</v>
      </c>
      <c r="I981">
        <v>0</v>
      </c>
      <c r="J981">
        <v>0</v>
      </c>
      <c r="K981">
        <v>0</v>
      </c>
    </row>
    <row r="982" spans="1:11" x14ac:dyDescent="0.25">
      <c r="A982" s="4" t="s">
        <v>130</v>
      </c>
      <c r="B982">
        <v>7172040009000200</v>
      </c>
      <c r="C982">
        <v>85</v>
      </c>
      <c r="D982">
        <v>0</v>
      </c>
      <c r="E982">
        <v>0</v>
      </c>
      <c r="F982">
        <v>0</v>
      </c>
      <c r="G982">
        <v>85</v>
      </c>
      <c r="H982">
        <v>0</v>
      </c>
      <c r="I982">
        <v>0</v>
      </c>
      <c r="J982">
        <v>0</v>
      </c>
      <c r="K982">
        <v>0</v>
      </c>
    </row>
    <row r="983" spans="1:11" x14ac:dyDescent="0.25">
      <c r="A983" s="4" t="s">
        <v>130</v>
      </c>
      <c r="B983">
        <v>7172040009000500</v>
      </c>
      <c r="C983">
        <v>84</v>
      </c>
      <c r="D983">
        <v>0</v>
      </c>
      <c r="E983">
        <v>14</v>
      </c>
      <c r="F983">
        <v>0</v>
      </c>
      <c r="G983">
        <v>57</v>
      </c>
      <c r="H983">
        <v>0</v>
      </c>
      <c r="I983">
        <v>0</v>
      </c>
      <c r="J983">
        <v>13</v>
      </c>
      <c r="K983">
        <v>0</v>
      </c>
    </row>
    <row r="984" spans="1:11" x14ac:dyDescent="0.25">
      <c r="A984" s="4" t="s">
        <v>130</v>
      </c>
      <c r="B984">
        <v>7172040009000600</v>
      </c>
      <c r="C984">
        <v>84</v>
      </c>
      <c r="D984">
        <v>2</v>
      </c>
      <c r="E984">
        <v>16</v>
      </c>
      <c r="F984">
        <v>0</v>
      </c>
      <c r="G984">
        <v>14</v>
      </c>
      <c r="H984">
        <v>1</v>
      </c>
      <c r="I984">
        <v>0</v>
      </c>
      <c r="J984">
        <v>51</v>
      </c>
      <c r="K984">
        <v>0</v>
      </c>
    </row>
    <row r="985" spans="1:11" x14ac:dyDescent="0.25">
      <c r="A985" s="4" t="s">
        <v>130</v>
      </c>
      <c r="B985">
        <v>7172040001000200</v>
      </c>
      <c r="C985">
        <v>72</v>
      </c>
      <c r="D985">
        <v>0</v>
      </c>
      <c r="E985">
        <v>1</v>
      </c>
      <c r="F985">
        <v>0</v>
      </c>
      <c r="G985">
        <v>71</v>
      </c>
      <c r="H985">
        <v>0</v>
      </c>
      <c r="I985">
        <v>0</v>
      </c>
      <c r="J985">
        <v>0</v>
      </c>
      <c r="K985">
        <v>0</v>
      </c>
    </row>
    <row r="986" spans="1:11" x14ac:dyDescent="0.25">
      <c r="A986" s="4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68</v>
      </c>
      <c r="H986">
        <v>0</v>
      </c>
      <c r="I986">
        <v>0</v>
      </c>
      <c r="J986">
        <v>0</v>
      </c>
      <c r="K986">
        <v>0</v>
      </c>
    </row>
    <row r="987" spans="1:11" x14ac:dyDescent="0.25">
      <c r="A987" s="4" t="s">
        <v>130</v>
      </c>
      <c r="B987">
        <v>7172040009000300</v>
      </c>
      <c r="C987">
        <v>63</v>
      </c>
      <c r="D987">
        <v>0</v>
      </c>
      <c r="E987">
        <v>2</v>
      </c>
      <c r="F987">
        <v>0</v>
      </c>
      <c r="G987">
        <v>61</v>
      </c>
      <c r="H987">
        <v>0</v>
      </c>
      <c r="I987">
        <v>0</v>
      </c>
      <c r="J987">
        <v>0</v>
      </c>
      <c r="K987">
        <v>0</v>
      </c>
    </row>
    <row r="988" spans="1:11" x14ac:dyDescent="0.25">
      <c r="A988" s="4" t="s">
        <v>130</v>
      </c>
      <c r="B988">
        <v>7172040001000100</v>
      </c>
      <c r="C988">
        <v>59</v>
      </c>
      <c r="D988">
        <v>0</v>
      </c>
      <c r="E988">
        <v>0</v>
      </c>
      <c r="F988">
        <v>0</v>
      </c>
      <c r="G988">
        <v>59</v>
      </c>
      <c r="H988">
        <v>0</v>
      </c>
      <c r="I988">
        <v>0</v>
      </c>
      <c r="J988">
        <v>0</v>
      </c>
      <c r="K988">
        <v>0</v>
      </c>
    </row>
    <row r="989" spans="1:11" x14ac:dyDescent="0.25">
      <c r="A989" s="4" t="s">
        <v>130</v>
      </c>
      <c r="B989">
        <v>7172040009000400</v>
      </c>
      <c r="C989">
        <v>56</v>
      </c>
      <c r="D989">
        <v>0</v>
      </c>
      <c r="E989">
        <v>0</v>
      </c>
      <c r="F989">
        <v>0</v>
      </c>
      <c r="G989">
        <v>56</v>
      </c>
      <c r="H989">
        <v>0</v>
      </c>
      <c r="I989">
        <v>0</v>
      </c>
      <c r="J989">
        <v>0</v>
      </c>
      <c r="K989">
        <v>0</v>
      </c>
    </row>
    <row r="990" spans="1:11" x14ac:dyDescent="0.25">
      <c r="A990" s="4" t="s">
        <v>130</v>
      </c>
      <c r="B990">
        <v>7172040001000300</v>
      </c>
      <c r="C990">
        <v>38</v>
      </c>
      <c r="D990">
        <v>0</v>
      </c>
      <c r="E990">
        <v>0</v>
      </c>
      <c r="F990">
        <v>0</v>
      </c>
      <c r="G990">
        <v>38</v>
      </c>
      <c r="H990">
        <v>0</v>
      </c>
      <c r="I990">
        <v>0</v>
      </c>
      <c r="J990">
        <v>0</v>
      </c>
      <c r="K990">
        <v>0</v>
      </c>
    </row>
    <row r="991" spans="1:11" x14ac:dyDescent="0.25">
      <c r="A991" s="4" t="s">
        <v>132</v>
      </c>
      <c r="B991">
        <v>7172040003000601</v>
      </c>
      <c r="C991">
        <v>191</v>
      </c>
      <c r="D991">
        <v>54</v>
      </c>
      <c r="E991">
        <v>27</v>
      </c>
      <c r="F991">
        <v>0</v>
      </c>
      <c r="G991">
        <v>90</v>
      </c>
      <c r="H991">
        <v>4</v>
      </c>
      <c r="I991">
        <v>0</v>
      </c>
      <c r="J991">
        <v>16</v>
      </c>
      <c r="K991">
        <v>0</v>
      </c>
    </row>
    <row r="992" spans="1:11" x14ac:dyDescent="0.25">
      <c r="A992" s="4" t="s">
        <v>132</v>
      </c>
      <c r="B992">
        <v>7172040003000500</v>
      </c>
      <c r="C992">
        <v>163</v>
      </c>
      <c r="D992">
        <v>0</v>
      </c>
      <c r="E992">
        <v>1</v>
      </c>
      <c r="F992">
        <v>0</v>
      </c>
      <c r="G992">
        <v>162</v>
      </c>
      <c r="H992">
        <v>0</v>
      </c>
      <c r="I992">
        <v>0</v>
      </c>
      <c r="J992">
        <v>0</v>
      </c>
      <c r="K992">
        <v>0</v>
      </c>
    </row>
    <row r="993" spans="1:11" x14ac:dyDescent="0.25">
      <c r="A993" s="4" t="s">
        <v>132</v>
      </c>
      <c r="B993">
        <v>7172040003000101</v>
      </c>
      <c r="C993">
        <v>96</v>
      </c>
      <c r="D993">
        <v>0</v>
      </c>
      <c r="E993">
        <v>0</v>
      </c>
      <c r="F993">
        <v>0</v>
      </c>
      <c r="G993">
        <v>96</v>
      </c>
      <c r="H993">
        <v>0</v>
      </c>
      <c r="I993">
        <v>0</v>
      </c>
      <c r="J993">
        <v>0</v>
      </c>
      <c r="K993">
        <v>0</v>
      </c>
    </row>
    <row r="994" spans="1:11" x14ac:dyDescent="0.25">
      <c r="A994" s="4" t="s">
        <v>132</v>
      </c>
      <c r="B994">
        <v>7172040005001900</v>
      </c>
      <c r="C994">
        <v>84</v>
      </c>
      <c r="D994">
        <v>0</v>
      </c>
      <c r="E994">
        <v>0</v>
      </c>
      <c r="F994">
        <v>0</v>
      </c>
      <c r="G994">
        <v>84</v>
      </c>
      <c r="H994">
        <v>0</v>
      </c>
      <c r="I994">
        <v>0</v>
      </c>
      <c r="J994">
        <v>0</v>
      </c>
      <c r="K994">
        <v>0</v>
      </c>
    </row>
    <row r="995" spans="1:11" x14ac:dyDescent="0.25">
      <c r="A995" s="4" t="s">
        <v>132</v>
      </c>
      <c r="B995">
        <v>7172040005002002</v>
      </c>
      <c r="C995">
        <v>44</v>
      </c>
      <c r="D995">
        <v>0</v>
      </c>
      <c r="E995">
        <v>8</v>
      </c>
      <c r="F995">
        <v>0</v>
      </c>
      <c r="G995">
        <v>33</v>
      </c>
      <c r="H995">
        <v>0</v>
      </c>
      <c r="I995">
        <v>0</v>
      </c>
      <c r="J995">
        <v>3</v>
      </c>
      <c r="K995">
        <v>0</v>
      </c>
    </row>
    <row r="996" spans="1:11" x14ac:dyDescent="0.25">
      <c r="A996" s="4" t="s">
        <v>133</v>
      </c>
      <c r="B996">
        <v>7172040003000300</v>
      </c>
      <c r="C996">
        <v>157</v>
      </c>
      <c r="D996">
        <v>0</v>
      </c>
      <c r="E996">
        <v>1</v>
      </c>
      <c r="F996">
        <v>0</v>
      </c>
      <c r="G996">
        <v>107</v>
      </c>
      <c r="H996">
        <v>0</v>
      </c>
      <c r="I996">
        <v>0</v>
      </c>
      <c r="J996">
        <v>49</v>
      </c>
      <c r="K996">
        <v>0</v>
      </c>
    </row>
    <row r="997" spans="1:11" x14ac:dyDescent="0.25">
      <c r="A997" s="4" t="s">
        <v>133</v>
      </c>
      <c r="B997">
        <v>7172040003000102</v>
      </c>
      <c r="C997">
        <v>119</v>
      </c>
      <c r="D997">
        <v>0</v>
      </c>
      <c r="E997">
        <v>0</v>
      </c>
      <c r="F997">
        <v>0</v>
      </c>
      <c r="G997">
        <v>119</v>
      </c>
      <c r="H997">
        <v>0</v>
      </c>
      <c r="I997">
        <v>0</v>
      </c>
      <c r="J997">
        <v>0</v>
      </c>
      <c r="K997">
        <v>0</v>
      </c>
    </row>
    <row r="998" spans="1:11" x14ac:dyDescent="0.25">
      <c r="A998" s="4" t="s">
        <v>133</v>
      </c>
      <c r="B998">
        <v>7172040003000602</v>
      </c>
      <c r="C998">
        <v>98</v>
      </c>
      <c r="D998">
        <v>45</v>
      </c>
      <c r="E998">
        <v>1</v>
      </c>
      <c r="F998">
        <v>0</v>
      </c>
      <c r="G998">
        <v>32</v>
      </c>
      <c r="H998">
        <v>0</v>
      </c>
      <c r="I998">
        <v>0</v>
      </c>
      <c r="J998">
        <v>19</v>
      </c>
      <c r="K998">
        <v>1</v>
      </c>
    </row>
    <row r="999" spans="1:11" x14ac:dyDescent="0.25">
      <c r="A999" s="4" t="s">
        <v>133</v>
      </c>
      <c r="B999">
        <v>7172040003000400</v>
      </c>
      <c r="C999">
        <v>73</v>
      </c>
      <c r="D999">
        <v>0</v>
      </c>
      <c r="E999">
        <v>0</v>
      </c>
      <c r="F999">
        <v>0</v>
      </c>
      <c r="G999">
        <v>66</v>
      </c>
      <c r="H999">
        <v>0</v>
      </c>
      <c r="I999">
        <v>0</v>
      </c>
      <c r="J999">
        <v>7</v>
      </c>
      <c r="K999">
        <v>0</v>
      </c>
    </row>
    <row r="1000" spans="1:11" x14ac:dyDescent="0.25">
      <c r="A1000" s="4" t="s">
        <v>133</v>
      </c>
      <c r="B1000">
        <v>7172040003000700</v>
      </c>
      <c r="C1000">
        <v>69</v>
      </c>
      <c r="D1000">
        <v>0</v>
      </c>
      <c r="E1000">
        <v>0</v>
      </c>
      <c r="F1000">
        <v>0</v>
      </c>
      <c r="G1000">
        <v>69</v>
      </c>
      <c r="H1000">
        <v>0</v>
      </c>
      <c r="I1000">
        <v>0</v>
      </c>
      <c r="J1000">
        <v>0</v>
      </c>
      <c r="K1000">
        <v>0</v>
      </c>
    </row>
    <row r="1001" spans="1:11" x14ac:dyDescent="0.25">
      <c r="A1001" s="4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42</v>
      </c>
      <c r="H1001">
        <v>0</v>
      </c>
      <c r="I1001">
        <v>0</v>
      </c>
      <c r="J1001">
        <v>0</v>
      </c>
      <c r="K1001">
        <v>0</v>
      </c>
    </row>
    <row r="1002" spans="1:11" x14ac:dyDescent="0.25">
      <c r="A1002" s="4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32</v>
      </c>
      <c r="H1002">
        <v>0</v>
      </c>
      <c r="I1002">
        <v>0</v>
      </c>
      <c r="J1002">
        <v>0</v>
      </c>
      <c r="K1002">
        <v>0</v>
      </c>
    </row>
    <row r="1003" spans="1:11" x14ac:dyDescent="0.25">
      <c r="A1003" s="4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132</v>
      </c>
      <c r="H1003">
        <v>0</v>
      </c>
      <c r="I1003">
        <v>0</v>
      </c>
      <c r="J1003">
        <v>0</v>
      </c>
      <c r="K1003">
        <v>0</v>
      </c>
    </row>
    <row r="1004" spans="1:11" x14ac:dyDescent="0.25">
      <c r="A1004" s="4" t="s">
        <v>136</v>
      </c>
      <c r="B1004">
        <v>7172040004000500</v>
      </c>
      <c r="C1004">
        <v>90</v>
      </c>
      <c r="D1004">
        <v>0</v>
      </c>
      <c r="E1004">
        <v>1</v>
      </c>
      <c r="F1004">
        <v>0</v>
      </c>
      <c r="G1004">
        <v>89</v>
      </c>
      <c r="H1004">
        <v>0</v>
      </c>
      <c r="I1004">
        <v>0</v>
      </c>
      <c r="J1004">
        <v>0</v>
      </c>
      <c r="K1004">
        <v>0</v>
      </c>
    </row>
    <row r="1005" spans="1:11" x14ac:dyDescent="0.25">
      <c r="A1005" s="4" t="s">
        <v>136</v>
      </c>
      <c r="B1005">
        <v>7172040004000200</v>
      </c>
      <c r="C1005">
        <v>64</v>
      </c>
      <c r="D1005">
        <v>0</v>
      </c>
      <c r="E1005">
        <v>0</v>
      </c>
      <c r="F1005">
        <v>0</v>
      </c>
      <c r="G1005">
        <v>64</v>
      </c>
      <c r="H1005">
        <v>0</v>
      </c>
      <c r="I1005">
        <v>0</v>
      </c>
      <c r="J1005">
        <v>0</v>
      </c>
      <c r="K1005">
        <v>0</v>
      </c>
    </row>
    <row r="1006" spans="1:11" x14ac:dyDescent="0.25">
      <c r="A1006" s="4" t="s">
        <v>136</v>
      </c>
      <c r="B1006">
        <v>7172040004000100</v>
      </c>
      <c r="C1006">
        <v>54</v>
      </c>
      <c r="D1006">
        <v>0</v>
      </c>
      <c r="E1006">
        <v>0</v>
      </c>
      <c r="F1006">
        <v>0</v>
      </c>
      <c r="G1006">
        <v>54</v>
      </c>
      <c r="H1006">
        <v>0</v>
      </c>
      <c r="I1006">
        <v>0</v>
      </c>
      <c r="J1006">
        <v>0</v>
      </c>
      <c r="K1006">
        <v>0</v>
      </c>
    </row>
    <row r="1007" spans="1:11" x14ac:dyDescent="0.25">
      <c r="A1007" s="4" t="s">
        <v>136</v>
      </c>
      <c r="B1007">
        <v>7172040008000300</v>
      </c>
      <c r="C1007">
        <v>51</v>
      </c>
      <c r="D1007">
        <v>0</v>
      </c>
      <c r="E1007">
        <v>26</v>
      </c>
      <c r="F1007">
        <v>0</v>
      </c>
      <c r="G1007">
        <v>12</v>
      </c>
      <c r="H1007">
        <v>0</v>
      </c>
      <c r="I1007">
        <v>0</v>
      </c>
      <c r="J1007">
        <v>13</v>
      </c>
      <c r="K1007">
        <v>0</v>
      </c>
    </row>
    <row r="1008" spans="1:11" x14ac:dyDescent="0.25">
      <c r="A1008" s="4" t="s">
        <v>136</v>
      </c>
      <c r="B1008">
        <v>7172040008000200</v>
      </c>
      <c r="C1008">
        <v>49</v>
      </c>
      <c r="D1008">
        <v>0</v>
      </c>
      <c r="E1008">
        <v>1</v>
      </c>
      <c r="F1008">
        <v>0</v>
      </c>
      <c r="G1008">
        <v>45</v>
      </c>
      <c r="H1008">
        <v>0</v>
      </c>
      <c r="I1008">
        <v>0</v>
      </c>
      <c r="J1008">
        <v>3</v>
      </c>
      <c r="K1008">
        <v>0</v>
      </c>
    </row>
    <row r="1009" spans="1:11" x14ac:dyDescent="0.25">
      <c r="A1009" s="4" t="s">
        <v>136</v>
      </c>
      <c r="B1009">
        <v>7172040004000300</v>
      </c>
      <c r="C1009">
        <v>47</v>
      </c>
      <c r="D1009">
        <v>0</v>
      </c>
      <c r="E1009">
        <v>0</v>
      </c>
      <c r="F1009">
        <v>0</v>
      </c>
      <c r="G1009">
        <v>47</v>
      </c>
      <c r="H1009">
        <v>0</v>
      </c>
      <c r="I1009">
        <v>0</v>
      </c>
      <c r="J1009">
        <v>0</v>
      </c>
      <c r="K1009">
        <v>0</v>
      </c>
    </row>
    <row r="1010" spans="1:11" x14ac:dyDescent="0.25">
      <c r="A1010" s="4" t="s">
        <v>136</v>
      </c>
      <c r="B1010">
        <v>7172040004000400</v>
      </c>
      <c r="C1010">
        <v>42</v>
      </c>
      <c r="D1010">
        <v>0</v>
      </c>
      <c r="E1010">
        <v>4</v>
      </c>
      <c r="F1010">
        <v>0</v>
      </c>
      <c r="G1010">
        <v>33</v>
      </c>
      <c r="H1010">
        <v>3</v>
      </c>
      <c r="I1010">
        <v>0</v>
      </c>
      <c r="J1010">
        <v>2</v>
      </c>
      <c r="K1010">
        <v>0</v>
      </c>
    </row>
    <row r="1011" spans="1:11" x14ac:dyDescent="0.25">
      <c r="A1011" s="4" t="s">
        <v>136</v>
      </c>
      <c r="B1011">
        <v>7172040008000100</v>
      </c>
      <c r="C1011">
        <v>39</v>
      </c>
      <c r="D1011">
        <v>15</v>
      </c>
      <c r="E1011">
        <v>14</v>
      </c>
      <c r="F1011">
        <v>0</v>
      </c>
      <c r="G1011">
        <v>1</v>
      </c>
      <c r="H1011">
        <v>3</v>
      </c>
      <c r="I1011">
        <v>0</v>
      </c>
      <c r="J1011">
        <v>6</v>
      </c>
      <c r="K1011">
        <v>0</v>
      </c>
    </row>
    <row r="1012" spans="1:11" x14ac:dyDescent="0.25">
      <c r="A1012" s="4" t="s">
        <v>136</v>
      </c>
      <c r="B1012">
        <v>7172040008000400</v>
      </c>
      <c r="C1012">
        <v>39</v>
      </c>
      <c r="D1012">
        <v>0</v>
      </c>
      <c r="E1012">
        <v>18</v>
      </c>
      <c r="F1012">
        <v>0</v>
      </c>
      <c r="G1012">
        <v>1</v>
      </c>
      <c r="H1012">
        <v>0</v>
      </c>
      <c r="I1012">
        <v>0</v>
      </c>
      <c r="J1012">
        <v>20</v>
      </c>
      <c r="K1012">
        <v>0</v>
      </c>
    </row>
    <row r="1013" spans="1:11" x14ac:dyDescent="0.25">
      <c r="A1013" s="4" t="s">
        <v>139</v>
      </c>
      <c r="B1013">
        <v>7172040006000100</v>
      </c>
      <c r="C1013">
        <v>90</v>
      </c>
      <c r="D1013">
        <v>3</v>
      </c>
      <c r="E1013">
        <v>14</v>
      </c>
      <c r="F1013">
        <v>0</v>
      </c>
      <c r="G1013">
        <v>15</v>
      </c>
      <c r="H1013">
        <v>2</v>
      </c>
      <c r="I1013">
        <v>0</v>
      </c>
      <c r="J1013">
        <v>56</v>
      </c>
      <c r="K1013">
        <v>0</v>
      </c>
    </row>
    <row r="1014" spans="1:11" x14ac:dyDescent="0.25">
      <c r="A1014" s="4" t="s">
        <v>139</v>
      </c>
      <c r="B1014">
        <v>7172040006000500</v>
      </c>
      <c r="C1014">
        <v>83</v>
      </c>
      <c r="D1014">
        <v>0</v>
      </c>
      <c r="E1014">
        <v>0</v>
      </c>
      <c r="F1014">
        <v>0</v>
      </c>
      <c r="G1014">
        <v>82</v>
      </c>
      <c r="H1014">
        <v>0</v>
      </c>
      <c r="I1014">
        <v>0</v>
      </c>
      <c r="J1014">
        <v>1</v>
      </c>
      <c r="K1014">
        <v>0</v>
      </c>
    </row>
    <row r="1015" spans="1:11" x14ac:dyDescent="0.25">
      <c r="A1015" s="4" t="s">
        <v>139</v>
      </c>
      <c r="B1015">
        <v>7172040006000200</v>
      </c>
      <c r="C1015">
        <v>66</v>
      </c>
      <c r="D1015">
        <v>0</v>
      </c>
      <c r="E1015">
        <v>6</v>
      </c>
      <c r="F1015">
        <v>0</v>
      </c>
      <c r="G1015">
        <v>46</v>
      </c>
      <c r="H1015">
        <v>0</v>
      </c>
      <c r="I1015">
        <v>0</v>
      </c>
      <c r="J1015">
        <v>14</v>
      </c>
      <c r="K1015">
        <v>0</v>
      </c>
    </row>
    <row r="1016" spans="1:11" x14ac:dyDescent="0.25">
      <c r="A1016" s="4" t="s">
        <v>139</v>
      </c>
      <c r="B1016">
        <v>7172040006000600</v>
      </c>
      <c r="C1016">
        <v>62</v>
      </c>
      <c r="D1016">
        <v>0</v>
      </c>
      <c r="E1016">
        <v>19</v>
      </c>
      <c r="F1016">
        <v>0</v>
      </c>
      <c r="G1016">
        <v>43</v>
      </c>
      <c r="H1016">
        <v>0</v>
      </c>
      <c r="I1016">
        <v>0</v>
      </c>
      <c r="J1016">
        <v>0</v>
      </c>
      <c r="K1016">
        <v>0</v>
      </c>
    </row>
    <row r="1017" spans="1:11" x14ac:dyDescent="0.25">
      <c r="A1017" s="4" t="s">
        <v>139</v>
      </c>
      <c r="B1017">
        <v>7172040006000300</v>
      </c>
      <c r="C1017">
        <v>57</v>
      </c>
      <c r="D1017">
        <v>0</v>
      </c>
      <c r="E1017">
        <v>0</v>
      </c>
      <c r="F1017">
        <v>0</v>
      </c>
      <c r="G1017">
        <v>57</v>
      </c>
      <c r="H1017">
        <v>0</v>
      </c>
      <c r="I1017">
        <v>0</v>
      </c>
      <c r="J1017">
        <v>0</v>
      </c>
      <c r="K1017">
        <v>0</v>
      </c>
    </row>
    <row r="1018" spans="1:11" x14ac:dyDescent="0.25">
      <c r="A1018" s="4" t="s">
        <v>139</v>
      </c>
      <c r="B1018">
        <v>7172040006000400</v>
      </c>
      <c r="C1018">
        <v>56</v>
      </c>
      <c r="D1018">
        <v>0</v>
      </c>
      <c r="E1018">
        <v>0</v>
      </c>
      <c r="F1018">
        <v>0</v>
      </c>
      <c r="G1018">
        <v>56</v>
      </c>
      <c r="H1018">
        <v>0</v>
      </c>
      <c r="I1018">
        <v>0</v>
      </c>
      <c r="J1018">
        <v>0</v>
      </c>
      <c r="K1018">
        <v>0</v>
      </c>
    </row>
    <row r="1019" spans="1:11" x14ac:dyDescent="0.25">
      <c r="A1019" s="4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41</v>
      </c>
      <c r="H1019">
        <v>0</v>
      </c>
      <c r="I1019">
        <v>0</v>
      </c>
      <c r="J1019">
        <v>0</v>
      </c>
      <c r="K1019">
        <v>0</v>
      </c>
    </row>
    <row r="1020" spans="1:11" x14ac:dyDescent="0.25">
      <c r="A1020" s="4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34</v>
      </c>
      <c r="H1020">
        <v>0</v>
      </c>
      <c r="I1020">
        <v>0</v>
      </c>
      <c r="J1020">
        <v>0</v>
      </c>
      <c r="K1020">
        <v>0</v>
      </c>
    </row>
    <row r="1021" spans="1:11" x14ac:dyDescent="0.25">
      <c r="A1021" s="4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29</v>
      </c>
      <c r="H1021">
        <v>0</v>
      </c>
      <c r="I1021">
        <v>0</v>
      </c>
      <c r="J1021">
        <v>0</v>
      </c>
      <c r="K1021">
        <v>0</v>
      </c>
    </row>
    <row r="1022" spans="1:11" x14ac:dyDescent="0.25">
      <c r="A1022" s="4" t="s">
        <v>140</v>
      </c>
      <c r="B1022">
        <v>7172040012000300</v>
      </c>
      <c r="C1022">
        <v>98</v>
      </c>
      <c r="D1022">
        <v>0</v>
      </c>
      <c r="E1022">
        <v>50</v>
      </c>
      <c r="F1022">
        <v>0</v>
      </c>
      <c r="G1022">
        <v>6</v>
      </c>
      <c r="H1022">
        <v>0</v>
      </c>
      <c r="I1022">
        <v>0</v>
      </c>
      <c r="J1022">
        <v>42</v>
      </c>
      <c r="K1022">
        <v>0</v>
      </c>
    </row>
    <row r="1023" spans="1:11" x14ac:dyDescent="0.25">
      <c r="A1023" s="4" t="s">
        <v>140</v>
      </c>
      <c r="B1023">
        <v>7172040012000200</v>
      </c>
      <c r="C1023">
        <v>80</v>
      </c>
      <c r="D1023">
        <v>39</v>
      </c>
      <c r="E1023">
        <v>12</v>
      </c>
      <c r="F1023">
        <v>0</v>
      </c>
      <c r="G1023">
        <v>1</v>
      </c>
      <c r="H1023">
        <v>1</v>
      </c>
      <c r="I1023">
        <v>0</v>
      </c>
      <c r="J1023">
        <v>27</v>
      </c>
      <c r="K1023">
        <v>0</v>
      </c>
    </row>
    <row r="1024" spans="1:11" x14ac:dyDescent="0.25">
      <c r="A1024" s="4" t="s">
        <v>140</v>
      </c>
      <c r="B1024">
        <v>7172040012000100</v>
      </c>
      <c r="C1024">
        <v>65</v>
      </c>
      <c r="D1024">
        <v>0</v>
      </c>
      <c r="E1024">
        <v>0</v>
      </c>
      <c r="F1024">
        <v>0</v>
      </c>
      <c r="G1024">
        <v>65</v>
      </c>
      <c r="H1024">
        <v>0</v>
      </c>
      <c r="I1024">
        <v>0</v>
      </c>
      <c r="J1024">
        <v>0</v>
      </c>
      <c r="K1024">
        <v>0</v>
      </c>
    </row>
    <row r="1025" spans="1:11" x14ac:dyDescent="0.25">
      <c r="A1025" s="4" t="s">
        <v>140</v>
      </c>
      <c r="B1025">
        <v>7172040012000400</v>
      </c>
      <c r="C1025">
        <v>64</v>
      </c>
      <c r="D1025">
        <v>0</v>
      </c>
      <c r="E1025">
        <v>0</v>
      </c>
      <c r="F1025">
        <v>0</v>
      </c>
      <c r="G1025">
        <v>64</v>
      </c>
      <c r="H1025">
        <v>0</v>
      </c>
      <c r="I1025">
        <v>0</v>
      </c>
      <c r="J1025">
        <v>0</v>
      </c>
      <c r="K1025">
        <v>0</v>
      </c>
    </row>
    <row r="1026" spans="1:11" x14ac:dyDescent="0.25">
      <c r="A1026" s="4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58</v>
      </c>
      <c r="H1026">
        <v>0</v>
      </c>
      <c r="I1026">
        <v>0</v>
      </c>
      <c r="J1026">
        <v>0</v>
      </c>
      <c r="K1026">
        <v>0</v>
      </c>
    </row>
    <row r="1027" spans="1:11" x14ac:dyDescent="0.25">
      <c r="A1027" s="4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56</v>
      </c>
      <c r="H1027">
        <v>0</v>
      </c>
      <c r="I1027">
        <v>0</v>
      </c>
      <c r="J1027">
        <v>0</v>
      </c>
      <c r="K1027">
        <v>0</v>
      </c>
    </row>
    <row r="1028" spans="1:11" x14ac:dyDescent="0.25">
      <c r="A1028" s="4" t="s">
        <v>140</v>
      </c>
      <c r="B1028">
        <v>7172040010000800</v>
      </c>
      <c r="C1028">
        <v>40</v>
      </c>
      <c r="D1028">
        <v>0</v>
      </c>
      <c r="E1028">
        <v>0</v>
      </c>
      <c r="F1028">
        <v>0</v>
      </c>
      <c r="G1028">
        <v>40</v>
      </c>
      <c r="H1028">
        <v>0</v>
      </c>
      <c r="I1028">
        <v>0</v>
      </c>
      <c r="J1028">
        <v>0</v>
      </c>
      <c r="K1028">
        <v>0</v>
      </c>
    </row>
    <row r="1029" spans="1:11" x14ac:dyDescent="0.25">
      <c r="A1029" s="4" t="s">
        <v>140</v>
      </c>
      <c r="B1029">
        <v>7172040012000500</v>
      </c>
      <c r="C1029">
        <v>38</v>
      </c>
      <c r="D1029">
        <v>0</v>
      </c>
      <c r="E1029">
        <v>0</v>
      </c>
      <c r="F1029">
        <v>0</v>
      </c>
      <c r="G1029">
        <v>34</v>
      </c>
      <c r="H1029">
        <v>0</v>
      </c>
      <c r="I1029">
        <v>0</v>
      </c>
      <c r="J1029">
        <v>4</v>
      </c>
      <c r="K1029">
        <v>0</v>
      </c>
    </row>
    <row r="1030" spans="1:11" x14ac:dyDescent="0.25">
      <c r="A1030" s="4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32</v>
      </c>
      <c r="H1030">
        <v>0</v>
      </c>
      <c r="I1030">
        <v>0</v>
      </c>
      <c r="J1030">
        <v>0</v>
      </c>
      <c r="K1030">
        <v>0</v>
      </c>
    </row>
    <row r="1031" spans="1:11" x14ac:dyDescent="0.25">
      <c r="A1031" s="4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30</v>
      </c>
      <c r="H1031">
        <v>0</v>
      </c>
      <c r="I1031">
        <v>0</v>
      </c>
      <c r="J1031">
        <v>0</v>
      </c>
      <c r="K1031">
        <v>0</v>
      </c>
    </row>
    <row r="1032" spans="1:11" x14ac:dyDescent="0.25">
      <c r="A1032" s="4" t="s">
        <v>140</v>
      </c>
      <c r="B1032">
        <v>7172040012000600</v>
      </c>
      <c r="C1032">
        <v>28</v>
      </c>
      <c r="D1032">
        <v>0</v>
      </c>
      <c r="E1032">
        <v>0</v>
      </c>
      <c r="F1032">
        <v>0</v>
      </c>
      <c r="G1032">
        <v>24</v>
      </c>
      <c r="H1032">
        <v>0</v>
      </c>
      <c r="I1032">
        <v>0</v>
      </c>
      <c r="J1032">
        <v>4</v>
      </c>
      <c r="K1032">
        <v>0</v>
      </c>
    </row>
    <row r="1033" spans="1:11" x14ac:dyDescent="0.25">
      <c r="A1033" s="4" t="s">
        <v>118</v>
      </c>
      <c r="B1033">
        <v>7172031004001700</v>
      </c>
      <c r="C1033">
        <v>141</v>
      </c>
      <c r="D1033">
        <v>0</v>
      </c>
      <c r="E1033">
        <v>0</v>
      </c>
      <c r="F1033">
        <v>0</v>
      </c>
      <c r="G1033">
        <v>141</v>
      </c>
      <c r="H1033">
        <v>0</v>
      </c>
      <c r="I1033">
        <v>0</v>
      </c>
      <c r="J1033">
        <v>0</v>
      </c>
      <c r="K1033">
        <v>0</v>
      </c>
    </row>
    <row r="1034" spans="1:11" x14ac:dyDescent="0.25">
      <c r="A1034" s="4" t="s">
        <v>118</v>
      </c>
      <c r="B1034">
        <v>7172031004001400</v>
      </c>
      <c r="C1034">
        <v>120</v>
      </c>
      <c r="D1034">
        <v>25</v>
      </c>
      <c r="E1034">
        <v>2</v>
      </c>
      <c r="F1034">
        <v>0</v>
      </c>
      <c r="G1034">
        <v>92</v>
      </c>
      <c r="H1034">
        <v>0</v>
      </c>
      <c r="I1034">
        <v>0</v>
      </c>
      <c r="J1034">
        <v>1</v>
      </c>
      <c r="K1034">
        <v>0</v>
      </c>
    </row>
    <row r="1035" spans="1:11" x14ac:dyDescent="0.25">
      <c r="A1035" s="4" t="s">
        <v>118</v>
      </c>
      <c r="B1035">
        <v>7172031004001800</v>
      </c>
      <c r="C1035">
        <v>91</v>
      </c>
      <c r="D1035">
        <v>0</v>
      </c>
      <c r="E1035">
        <v>0</v>
      </c>
      <c r="F1035">
        <v>0</v>
      </c>
      <c r="G1035">
        <v>91</v>
      </c>
      <c r="H1035">
        <v>0</v>
      </c>
      <c r="I1035">
        <v>0</v>
      </c>
      <c r="J1035">
        <v>0</v>
      </c>
      <c r="K1035">
        <v>0</v>
      </c>
    </row>
    <row r="1036" spans="1:11" x14ac:dyDescent="0.25">
      <c r="A1036" s="4" t="s">
        <v>118</v>
      </c>
      <c r="B1036">
        <v>7172031004001300</v>
      </c>
      <c r="C1036">
        <v>64</v>
      </c>
      <c r="D1036">
        <v>25</v>
      </c>
      <c r="E1036">
        <v>1</v>
      </c>
      <c r="F1036">
        <v>0</v>
      </c>
      <c r="G1036">
        <v>38</v>
      </c>
      <c r="H1036">
        <v>0</v>
      </c>
      <c r="I1036">
        <v>0</v>
      </c>
      <c r="J1036">
        <v>0</v>
      </c>
      <c r="K1036">
        <v>0</v>
      </c>
    </row>
    <row r="1037" spans="1:11" x14ac:dyDescent="0.25">
      <c r="A1037" s="4" t="s">
        <v>118</v>
      </c>
      <c r="B1037">
        <v>7172031004001200</v>
      </c>
      <c r="C1037">
        <v>58</v>
      </c>
      <c r="D1037">
        <v>56</v>
      </c>
      <c r="E1037">
        <v>1</v>
      </c>
      <c r="F1037">
        <v>0</v>
      </c>
      <c r="G1037">
        <v>1</v>
      </c>
      <c r="H1037">
        <v>0</v>
      </c>
      <c r="I1037">
        <v>0</v>
      </c>
      <c r="J1037">
        <v>0</v>
      </c>
      <c r="K1037">
        <v>0</v>
      </c>
    </row>
    <row r="1038" spans="1:11" x14ac:dyDescent="0.25">
      <c r="A1038" s="4" t="s">
        <v>118</v>
      </c>
      <c r="B1038">
        <v>7172031004001600</v>
      </c>
      <c r="C1038">
        <v>47</v>
      </c>
      <c r="D1038">
        <v>0</v>
      </c>
      <c r="E1038">
        <v>0</v>
      </c>
      <c r="F1038">
        <v>0</v>
      </c>
      <c r="G1038">
        <v>47</v>
      </c>
      <c r="H1038">
        <v>0</v>
      </c>
      <c r="I1038">
        <v>0</v>
      </c>
      <c r="J1038">
        <v>0</v>
      </c>
      <c r="K1038">
        <v>0</v>
      </c>
    </row>
    <row r="1039" spans="1:11" x14ac:dyDescent="0.25">
      <c r="A1039" s="4" t="s">
        <v>118</v>
      </c>
      <c r="B1039">
        <v>7172031004001500</v>
      </c>
      <c r="C1039">
        <v>28</v>
      </c>
      <c r="D1039">
        <v>0</v>
      </c>
      <c r="E1039">
        <v>0</v>
      </c>
      <c r="F1039">
        <v>0</v>
      </c>
      <c r="G1039">
        <v>28</v>
      </c>
      <c r="H1039">
        <v>0</v>
      </c>
      <c r="I1039">
        <v>0</v>
      </c>
      <c r="J1039">
        <v>0</v>
      </c>
      <c r="K1039">
        <v>0</v>
      </c>
    </row>
    <row r="1040" spans="1:11" x14ac:dyDescent="0.25">
      <c r="A1040" s="4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</row>
    <row r="1041" spans="1:11" x14ac:dyDescent="0.25">
      <c r="A1041" s="4" t="s">
        <v>36</v>
      </c>
      <c r="B1041">
        <v>7172011003002401</v>
      </c>
      <c r="C1041">
        <v>192</v>
      </c>
      <c r="D1041">
        <v>17</v>
      </c>
      <c r="E1041">
        <v>10</v>
      </c>
      <c r="F1041">
        <v>0</v>
      </c>
      <c r="G1041">
        <v>13</v>
      </c>
      <c r="H1041">
        <v>0</v>
      </c>
      <c r="I1041">
        <v>0</v>
      </c>
      <c r="J1041">
        <v>152</v>
      </c>
      <c r="K1041">
        <v>0</v>
      </c>
    </row>
    <row r="1042" spans="1:11" x14ac:dyDescent="0.25">
      <c r="A1042" s="4" t="s">
        <v>36</v>
      </c>
      <c r="B1042">
        <v>7172011003002100</v>
      </c>
      <c r="C1042">
        <v>116</v>
      </c>
      <c r="D1042">
        <v>0</v>
      </c>
      <c r="E1042">
        <v>0</v>
      </c>
      <c r="F1042">
        <v>0</v>
      </c>
      <c r="G1042">
        <v>116</v>
      </c>
      <c r="H1042">
        <v>0</v>
      </c>
      <c r="I1042">
        <v>0</v>
      </c>
      <c r="J1042">
        <v>0</v>
      </c>
      <c r="K1042">
        <v>0</v>
      </c>
    </row>
    <row r="1043" spans="1:11" x14ac:dyDescent="0.25">
      <c r="A1043" s="4" t="s">
        <v>36</v>
      </c>
      <c r="B1043">
        <v>7172011003002000</v>
      </c>
      <c r="C1043">
        <v>115</v>
      </c>
      <c r="D1043">
        <v>0</v>
      </c>
      <c r="E1043">
        <v>7</v>
      </c>
      <c r="F1043">
        <v>0</v>
      </c>
      <c r="G1043">
        <v>97</v>
      </c>
      <c r="H1043">
        <v>0</v>
      </c>
      <c r="I1043">
        <v>0</v>
      </c>
      <c r="J1043">
        <v>11</v>
      </c>
      <c r="K1043">
        <v>0</v>
      </c>
    </row>
    <row r="1044" spans="1:11" x14ac:dyDescent="0.25">
      <c r="A1044" s="4" t="s">
        <v>36</v>
      </c>
      <c r="B1044">
        <v>7172011003002300</v>
      </c>
      <c r="C1044">
        <v>114</v>
      </c>
      <c r="D1044">
        <v>0</v>
      </c>
      <c r="E1044">
        <v>0</v>
      </c>
      <c r="F1044">
        <v>0</v>
      </c>
      <c r="G1044">
        <v>114</v>
      </c>
      <c r="H1044">
        <v>0</v>
      </c>
      <c r="I1044">
        <v>0</v>
      </c>
      <c r="J1044">
        <v>0</v>
      </c>
      <c r="K1044">
        <v>0</v>
      </c>
    </row>
    <row r="1045" spans="1:11" x14ac:dyDescent="0.25">
      <c r="A1045" s="4" t="s">
        <v>36</v>
      </c>
      <c r="B1045">
        <v>7172011003002402</v>
      </c>
      <c r="C1045">
        <v>67</v>
      </c>
      <c r="D1045">
        <v>0</v>
      </c>
      <c r="E1045">
        <v>17</v>
      </c>
      <c r="F1045">
        <v>0</v>
      </c>
      <c r="G1045">
        <v>15</v>
      </c>
      <c r="H1045">
        <v>0</v>
      </c>
      <c r="I1045">
        <v>0</v>
      </c>
      <c r="J1045">
        <v>35</v>
      </c>
      <c r="K1045">
        <v>0</v>
      </c>
    </row>
    <row r="1046" spans="1:11" x14ac:dyDescent="0.25">
      <c r="A1046" s="4" t="s">
        <v>36</v>
      </c>
      <c r="B1046">
        <v>7172011003002200</v>
      </c>
      <c r="C1046">
        <v>55</v>
      </c>
      <c r="D1046">
        <v>0</v>
      </c>
      <c r="E1046">
        <v>0</v>
      </c>
      <c r="F1046">
        <v>0</v>
      </c>
      <c r="G1046">
        <v>55</v>
      </c>
      <c r="H1046">
        <v>0</v>
      </c>
      <c r="I1046">
        <v>0</v>
      </c>
      <c r="J1046">
        <v>0</v>
      </c>
      <c r="K1046">
        <v>0</v>
      </c>
    </row>
    <row r="1047" spans="1:11" x14ac:dyDescent="0.25">
      <c r="A1047" s="4" t="s">
        <v>389</v>
      </c>
      <c r="B1047">
        <v>7172012004001600</v>
      </c>
      <c r="C1047">
        <v>148</v>
      </c>
      <c r="D1047">
        <v>0</v>
      </c>
      <c r="E1047">
        <v>0</v>
      </c>
      <c r="F1047">
        <v>0</v>
      </c>
      <c r="G1047">
        <v>148</v>
      </c>
      <c r="H1047">
        <v>0</v>
      </c>
      <c r="I1047">
        <v>0</v>
      </c>
      <c r="J1047">
        <v>0</v>
      </c>
      <c r="K1047">
        <v>0</v>
      </c>
    </row>
    <row r="1048" spans="1:11" x14ac:dyDescent="0.25">
      <c r="A1048" s="4" t="s">
        <v>389</v>
      </c>
      <c r="B1048">
        <v>7172012004001801</v>
      </c>
      <c r="C1048">
        <v>134</v>
      </c>
      <c r="D1048">
        <v>0</v>
      </c>
      <c r="E1048">
        <v>0</v>
      </c>
      <c r="F1048">
        <v>0</v>
      </c>
      <c r="G1048">
        <v>134</v>
      </c>
      <c r="H1048">
        <v>0</v>
      </c>
      <c r="I1048">
        <v>0</v>
      </c>
      <c r="J1048">
        <v>0</v>
      </c>
      <c r="K1048">
        <v>0</v>
      </c>
    </row>
    <row r="1049" spans="1:11" x14ac:dyDescent="0.25">
      <c r="A1049" s="4" t="s">
        <v>389</v>
      </c>
      <c r="B1049">
        <v>7172012004001702</v>
      </c>
      <c r="C1049">
        <v>127</v>
      </c>
      <c r="D1049">
        <v>1</v>
      </c>
      <c r="E1049">
        <v>9</v>
      </c>
      <c r="F1049">
        <v>0</v>
      </c>
      <c r="G1049">
        <v>82</v>
      </c>
      <c r="H1049">
        <v>13</v>
      </c>
      <c r="I1049">
        <v>0</v>
      </c>
      <c r="J1049">
        <v>22</v>
      </c>
      <c r="K1049">
        <v>0</v>
      </c>
    </row>
    <row r="1050" spans="1:11" x14ac:dyDescent="0.25">
      <c r="A1050" s="4" t="s">
        <v>389</v>
      </c>
      <c r="B1050">
        <v>7172012004001500</v>
      </c>
      <c r="C1050">
        <v>106</v>
      </c>
      <c r="D1050">
        <v>0</v>
      </c>
      <c r="E1050">
        <v>0</v>
      </c>
      <c r="F1050">
        <v>0</v>
      </c>
      <c r="G1050">
        <v>106</v>
      </c>
      <c r="H1050">
        <v>0</v>
      </c>
      <c r="I1050">
        <v>0</v>
      </c>
      <c r="J1050">
        <v>0</v>
      </c>
      <c r="K1050">
        <v>0</v>
      </c>
    </row>
    <row r="1051" spans="1:11" x14ac:dyDescent="0.25">
      <c r="A1051" s="4" t="s">
        <v>389</v>
      </c>
      <c r="B1051">
        <v>7172012004001300</v>
      </c>
      <c r="C1051">
        <v>86</v>
      </c>
      <c r="D1051">
        <v>22</v>
      </c>
      <c r="E1051">
        <v>8</v>
      </c>
      <c r="F1051">
        <v>0</v>
      </c>
      <c r="G1051">
        <v>32</v>
      </c>
      <c r="H1051">
        <v>0</v>
      </c>
      <c r="I1051">
        <v>0</v>
      </c>
      <c r="J1051">
        <v>24</v>
      </c>
      <c r="K1051">
        <v>0</v>
      </c>
    </row>
    <row r="1052" spans="1:11" x14ac:dyDescent="0.25">
      <c r="A1052" s="4" t="s">
        <v>389</v>
      </c>
      <c r="B1052">
        <v>7172012004001203</v>
      </c>
      <c r="C1052">
        <v>55</v>
      </c>
      <c r="D1052">
        <v>0</v>
      </c>
      <c r="E1052">
        <v>0</v>
      </c>
      <c r="F1052">
        <v>0</v>
      </c>
      <c r="G1052">
        <v>55</v>
      </c>
      <c r="H1052">
        <v>0</v>
      </c>
      <c r="I1052">
        <v>0</v>
      </c>
      <c r="J1052">
        <v>0</v>
      </c>
      <c r="K1052">
        <v>0</v>
      </c>
    </row>
    <row r="1053" spans="1:11" x14ac:dyDescent="0.25">
      <c r="A1053" s="4" t="s">
        <v>390</v>
      </c>
      <c r="B1053">
        <v>7172040003001501</v>
      </c>
      <c r="C1053">
        <v>182</v>
      </c>
      <c r="D1053">
        <v>0</v>
      </c>
      <c r="E1053">
        <v>0</v>
      </c>
      <c r="F1053">
        <v>0</v>
      </c>
      <c r="G1053">
        <v>182</v>
      </c>
      <c r="H1053">
        <v>0</v>
      </c>
      <c r="I1053">
        <v>0</v>
      </c>
      <c r="J1053">
        <v>0</v>
      </c>
      <c r="K1053">
        <v>0</v>
      </c>
    </row>
    <row r="1054" spans="1:11" x14ac:dyDescent="0.25">
      <c r="A1054" s="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0</v>
      </c>
      <c r="G1054">
        <v>136</v>
      </c>
      <c r="H1054">
        <v>0</v>
      </c>
      <c r="I1054">
        <v>0</v>
      </c>
      <c r="J1054">
        <v>0</v>
      </c>
      <c r="K1054">
        <v>0</v>
      </c>
    </row>
    <row r="1055" spans="1:11" x14ac:dyDescent="0.25">
      <c r="A1055" s="4" t="s">
        <v>390</v>
      </c>
      <c r="B1055">
        <v>7172040003001400</v>
      </c>
      <c r="C1055">
        <v>91</v>
      </c>
      <c r="D1055">
        <v>0</v>
      </c>
      <c r="E1055">
        <v>0</v>
      </c>
      <c r="F1055">
        <v>0</v>
      </c>
      <c r="G1055">
        <v>91</v>
      </c>
      <c r="H1055">
        <v>0</v>
      </c>
      <c r="I1055">
        <v>0</v>
      </c>
      <c r="J1055">
        <v>0</v>
      </c>
      <c r="K1055">
        <v>0</v>
      </c>
    </row>
    <row r="1056" spans="1:11" x14ac:dyDescent="0.25">
      <c r="A1056" s="4" t="s">
        <v>390</v>
      </c>
      <c r="B1056">
        <v>7172040003000800</v>
      </c>
      <c r="C1056">
        <v>79</v>
      </c>
      <c r="D1056">
        <v>0</v>
      </c>
      <c r="E1056">
        <v>40</v>
      </c>
      <c r="F1056">
        <v>0</v>
      </c>
      <c r="G1056">
        <v>17</v>
      </c>
      <c r="H1056">
        <v>0</v>
      </c>
      <c r="I1056">
        <v>3</v>
      </c>
      <c r="J1056">
        <v>19</v>
      </c>
      <c r="K1056">
        <v>0</v>
      </c>
    </row>
    <row r="1057" spans="1:11" x14ac:dyDescent="0.25">
      <c r="A1057" s="4" t="s">
        <v>390</v>
      </c>
      <c r="B1057">
        <v>7172040003001302</v>
      </c>
      <c r="C1057">
        <v>52</v>
      </c>
      <c r="D1057">
        <v>0</v>
      </c>
      <c r="E1057">
        <v>0</v>
      </c>
      <c r="F1057">
        <v>0</v>
      </c>
      <c r="G1057">
        <v>52</v>
      </c>
      <c r="H1057">
        <v>0</v>
      </c>
      <c r="I1057">
        <v>0</v>
      </c>
      <c r="J1057">
        <v>0</v>
      </c>
      <c r="K1057">
        <v>0</v>
      </c>
    </row>
    <row r="1058" spans="1:11" x14ac:dyDescent="0.25">
      <c r="A1058" s="4" t="s">
        <v>390</v>
      </c>
      <c r="B1058">
        <v>7172040003001502</v>
      </c>
      <c r="C1058">
        <v>28</v>
      </c>
      <c r="D1058">
        <v>0</v>
      </c>
      <c r="E1058">
        <v>0</v>
      </c>
      <c r="F1058">
        <v>0</v>
      </c>
      <c r="G1058">
        <v>28</v>
      </c>
      <c r="H1058">
        <v>0</v>
      </c>
      <c r="I1058">
        <v>0</v>
      </c>
      <c r="J1058">
        <v>0</v>
      </c>
      <c r="K105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F13" sqref="F13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156</v>
      </c>
      <c r="F2">
        <v>179</v>
      </c>
      <c r="G2">
        <f>VLOOKUP(A2,PPL!B:M,12,0)</f>
        <v>190</v>
      </c>
      <c r="H2">
        <f>G2-F2</f>
        <v>11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115</v>
      </c>
      <c r="F3">
        <v>130</v>
      </c>
      <c r="G3">
        <f>VLOOKUP(A3,PPL!B:M,12,0)</f>
        <v>135</v>
      </c>
      <c r="H3">
        <f t="shared" ref="H3:H65" si="0">G3-F3</f>
        <v>5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263</v>
      </c>
      <c r="F4">
        <v>275</v>
      </c>
      <c r="G4">
        <f>VLOOKUP(A4,PPL!B:M,12,0)</f>
        <v>304</v>
      </c>
      <c r="H4">
        <f t="shared" si="0"/>
        <v>29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168</v>
      </c>
      <c r="F5">
        <v>191</v>
      </c>
      <c r="G5">
        <f>VLOOKUP(A5,PPL!B:M,12,0)</f>
        <v>200</v>
      </c>
      <c r="H5">
        <f t="shared" si="0"/>
        <v>9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135</v>
      </c>
      <c r="F6">
        <v>141</v>
      </c>
      <c r="G6">
        <f>VLOOKUP(A6,PPL!B:M,12,0)</f>
        <v>158</v>
      </c>
      <c r="H6">
        <f t="shared" si="0"/>
        <v>17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133</v>
      </c>
      <c r="F7">
        <v>150</v>
      </c>
      <c r="G7">
        <f>VLOOKUP(A7,PPL!B:M,12,0)</f>
        <v>161</v>
      </c>
      <c r="H7">
        <f t="shared" si="0"/>
        <v>11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146</v>
      </c>
      <c r="F8">
        <v>168</v>
      </c>
      <c r="G8">
        <f>VLOOKUP(A8,PPL!B:M,12,0)</f>
        <v>171</v>
      </c>
      <c r="H8">
        <f t="shared" si="0"/>
        <v>3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118</v>
      </c>
      <c r="F9">
        <v>125</v>
      </c>
      <c r="G9">
        <f>VLOOKUP(A9,PPL!B:M,12,0)</f>
        <v>142</v>
      </c>
      <c r="H9">
        <f t="shared" si="0"/>
        <v>17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146</v>
      </c>
      <c r="F10">
        <v>171</v>
      </c>
      <c r="G10">
        <f>VLOOKUP(A10,PPL!B:M,12,0)</f>
        <v>179</v>
      </c>
      <c r="H10">
        <f t="shared" si="0"/>
        <v>8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164</v>
      </c>
      <c r="F11">
        <v>176</v>
      </c>
      <c r="G11">
        <f>VLOOKUP(A11,PPL!B:M,12,0)</f>
        <v>178</v>
      </c>
      <c r="H11">
        <f t="shared" si="0"/>
        <v>2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228</v>
      </c>
      <c r="F12">
        <v>235</v>
      </c>
      <c r="G12">
        <f>VLOOKUP(A12,PPL!B:M,12,0)</f>
        <v>251</v>
      </c>
      <c r="H12">
        <f t="shared" si="0"/>
        <v>16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124</v>
      </c>
      <c r="F13">
        <v>134</v>
      </c>
      <c r="G13">
        <f>VLOOKUP(A13,PPL!B:M,12,0)</f>
        <v>144</v>
      </c>
      <c r="H13">
        <f t="shared" si="0"/>
        <v>10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159</v>
      </c>
      <c r="F14">
        <v>184</v>
      </c>
      <c r="G14">
        <f>VLOOKUP(A14,PPL!B:M,12,0)</f>
        <v>184</v>
      </c>
      <c r="H14">
        <f t="shared" si="0"/>
        <v>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226</v>
      </c>
      <c r="F15">
        <v>271</v>
      </c>
      <c r="G15">
        <f>VLOOKUP(A15,PPL!B:M,12,0)</f>
        <v>271</v>
      </c>
      <c r="H15">
        <f t="shared" si="0"/>
        <v>0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177</v>
      </c>
      <c r="F16">
        <v>178</v>
      </c>
      <c r="G16">
        <f>VLOOKUP(A16,PPL!B:M,12,0)</f>
        <v>178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140</v>
      </c>
      <c r="F17">
        <v>146</v>
      </c>
      <c r="G17">
        <f>VLOOKUP(A17,PPL!B:M,12,0)</f>
        <v>177</v>
      </c>
      <c r="H17">
        <f t="shared" si="0"/>
        <v>31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143</v>
      </c>
      <c r="F18">
        <v>152</v>
      </c>
      <c r="G18">
        <f>VLOOKUP(A18,PPL!B:M,12,0)</f>
        <v>161</v>
      </c>
      <c r="H18">
        <f t="shared" si="0"/>
        <v>9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173</v>
      </c>
      <c r="F19">
        <v>191</v>
      </c>
      <c r="G19">
        <f>VLOOKUP(A19,PPL!B:M,12,0)</f>
        <v>201</v>
      </c>
      <c r="H19">
        <f t="shared" si="0"/>
        <v>10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154</v>
      </c>
      <c r="F20">
        <v>169</v>
      </c>
      <c r="G20">
        <f>VLOOKUP(A20,PPL!B:M,12,0)</f>
        <v>180</v>
      </c>
      <c r="H20">
        <f t="shared" si="0"/>
        <v>11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121</v>
      </c>
      <c r="F21">
        <v>139</v>
      </c>
      <c r="G21">
        <f>VLOOKUP(A21,PPL!B:M,12,0)</f>
        <v>147</v>
      </c>
      <c r="H21">
        <f t="shared" si="0"/>
        <v>8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152</v>
      </c>
      <c r="F22">
        <v>164</v>
      </c>
      <c r="G22">
        <f>VLOOKUP(A22,PPL!B:M,12,0)</f>
        <v>170</v>
      </c>
      <c r="H22">
        <f t="shared" si="0"/>
        <v>6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183</v>
      </c>
      <c r="F23">
        <v>223</v>
      </c>
      <c r="G23">
        <f>VLOOKUP(A23,PPL!B:M,12,0)</f>
        <v>224</v>
      </c>
      <c r="H23">
        <f t="shared" si="0"/>
        <v>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166</v>
      </c>
      <c r="F24">
        <v>196</v>
      </c>
      <c r="G24">
        <f>VLOOKUP(A24,PPL!B:M,12,0)</f>
        <v>204</v>
      </c>
      <c r="H24">
        <f t="shared" si="0"/>
        <v>8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127</v>
      </c>
      <c r="F25">
        <v>146</v>
      </c>
      <c r="G25">
        <f>VLOOKUP(A25,PPL!B:M,12,0)</f>
        <v>149</v>
      </c>
      <c r="H25">
        <f t="shared" si="0"/>
        <v>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160</v>
      </c>
      <c r="F26">
        <v>180</v>
      </c>
      <c r="G26">
        <f>VLOOKUP(A26,PPL!B:M,12,0)</f>
        <v>187</v>
      </c>
      <c r="H26">
        <f t="shared" si="0"/>
        <v>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103</v>
      </c>
      <c r="F27">
        <v>111</v>
      </c>
      <c r="G27">
        <f>VLOOKUP(A27,PPL!B:M,12,0)</f>
        <v>139</v>
      </c>
      <c r="H27">
        <f t="shared" si="0"/>
        <v>28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135</v>
      </c>
      <c r="F28">
        <v>144</v>
      </c>
      <c r="G28">
        <f>VLOOKUP(A28,PPL!B:M,12,0)</f>
        <v>152</v>
      </c>
      <c r="H28">
        <f t="shared" si="0"/>
        <v>8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94</v>
      </c>
      <c r="F29">
        <v>94</v>
      </c>
      <c r="G29">
        <f>VLOOKUP(A29,PPL!B:M,12,0)</f>
        <v>99</v>
      </c>
      <c r="H29">
        <f t="shared" si="0"/>
        <v>5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135</v>
      </c>
      <c r="F30">
        <v>152</v>
      </c>
      <c r="G30">
        <f>VLOOKUP(A30,PPL!B:M,12,0)</f>
        <v>160</v>
      </c>
      <c r="H30">
        <f t="shared" si="0"/>
        <v>8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147</v>
      </c>
      <c r="F31">
        <v>156</v>
      </c>
      <c r="G31">
        <f>VLOOKUP(A31,PPL!B:M,12,0)</f>
        <v>173</v>
      </c>
      <c r="H31">
        <f t="shared" si="0"/>
        <v>17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76</v>
      </c>
      <c r="F32">
        <v>119</v>
      </c>
      <c r="G32">
        <f>VLOOKUP(A32,PPL!B:M,12,0)</f>
        <v>133</v>
      </c>
      <c r="H32">
        <f t="shared" si="0"/>
        <v>14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123</v>
      </c>
      <c r="F33">
        <v>192</v>
      </c>
      <c r="G33">
        <f>VLOOKUP(A33,PPL!B:M,12,0)</f>
        <v>249</v>
      </c>
      <c r="H33">
        <f t="shared" si="0"/>
        <v>57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150</v>
      </c>
      <c r="F34">
        <v>169</v>
      </c>
      <c r="G34">
        <f>VLOOKUP(A34,PPL!B:M,12,0)</f>
        <v>182</v>
      </c>
      <c r="H34">
        <f t="shared" si="0"/>
        <v>13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144</v>
      </c>
      <c r="F35">
        <v>159</v>
      </c>
      <c r="G35">
        <f>VLOOKUP(A35,PPL!B:M,12,0)</f>
        <v>208</v>
      </c>
      <c r="H35">
        <f t="shared" si="0"/>
        <v>49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142</v>
      </c>
      <c r="F36">
        <v>183</v>
      </c>
      <c r="G36">
        <f>VLOOKUP(A36,PPL!B:M,12,0)</f>
        <v>184</v>
      </c>
      <c r="H36">
        <f t="shared" si="0"/>
        <v>1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117</v>
      </c>
      <c r="F37">
        <v>133</v>
      </c>
      <c r="G37">
        <f>VLOOKUP(A37,PPL!B:M,12,0)</f>
        <v>147</v>
      </c>
      <c r="H37">
        <f t="shared" si="0"/>
        <v>14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256</v>
      </c>
      <c r="F38">
        <v>282</v>
      </c>
      <c r="G38">
        <f>VLOOKUP(A38,PPL!B:M,12,0)</f>
        <v>296</v>
      </c>
      <c r="H38">
        <f t="shared" si="0"/>
        <v>14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144</v>
      </c>
      <c r="F39">
        <v>156</v>
      </c>
      <c r="G39">
        <f>VLOOKUP(A39,PPL!B:M,12,0)</f>
        <v>170</v>
      </c>
      <c r="H39">
        <f t="shared" si="0"/>
        <v>14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148</v>
      </c>
      <c r="F40">
        <v>164</v>
      </c>
      <c r="G40">
        <f>VLOOKUP(A40,PPL!B:M,12,0)</f>
        <v>164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95</v>
      </c>
      <c r="F41">
        <v>99</v>
      </c>
      <c r="G41">
        <f>VLOOKUP(A41,PPL!B:M,12,0)</f>
        <v>117</v>
      </c>
      <c r="H41">
        <f t="shared" si="0"/>
        <v>18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101</v>
      </c>
      <c r="F42">
        <v>130</v>
      </c>
      <c r="G42">
        <f>VLOOKUP(A42,PPL!B:M,12,0)</f>
        <v>130</v>
      </c>
      <c r="H42">
        <f t="shared" si="0"/>
        <v>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92</v>
      </c>
      <c r="F43">
        <v>108</v>
      </c>
      <c r="G43">
        <f>VLOOKUP(A43,PPL!B:M,12,0)</f>
        <v>110</v>
      </c>
      <c r="H43">
        <f t="shared" si="0"/>
        <v>2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101</v>
      </c>
      <c r="F44">
        <v>128</v>
      </c>
      <c r="G44">
        <f>VLOOKUP(A44,PPL!B:M,12,0)</f>
        <v>166</v>
      </c>
      <c r="H44">
        <f t="shared" si="0"/>
        <v>38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170</v>
      </c>
      <c r="F45">
        <v>179</v>
      </c>
      <c r="G45">
        <f>VLOOKUP(A45,PPL!B:M,12,0)</f>
        <v>202</v>
      </c>
      <c r="H45">
        <f t="shared" si="0"/>
        <v>23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77</v>
      </c>
      <c r="F46">
        <v>90</v>
      </c>
      <c r="G46">
        <f>VLOOKUP(A46,PPL!B:M,12,0)</f>
        <v>100</v>
      </c>
      <c r="H46">
        <f t="shared" si="0"/>
        <v>10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157</v>
      </c>
      <c r="F47">
        <v>172</v>
      </c>
      <c r="G47">
        <f>VLOOKUP(A47,PPL!B:M,12,0)</f>
        <v>174</v>
      </c>
      <c r="H47">
        <f t="shared" si="0"/>
        <v>2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136</v>
      </c>
      <c r="F48">
        <v>156</v>
      </c>
      <c r="G48">
        <f>VLOOKUP(A48,PPL!B:M,12,0)</f>
        <v>164</v>
      </c>
      <c r="H48">
        <f t="shared" si="0"/>
        <v>8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147</v>
      </c>
      <c r="F49">
        <v>169</v>
      </c>
      <c r="G49">
        <f>VLOOKUP(A49,PPL!B:M,12,0)</f>
        <v>177</v>
      </c>
      <c r="H49">
        <f t="shared" si="0"/>
        <v>8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121</v>
      </c>
      <c r="F50">
        <v>155</v>
      </c>
      <c r="G50">
        <f>VLOOKUP(A50,PPL!B:M,12,0)</f>
        <v>167</v>
      </c>
      <c r="H50">
        <f t="shared" si="0"/>
        <v>12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139</v>
      </c>
      <c r="F51">
        <v>161</v>
      </c>
      <c r="G51">
        <f>VLOOKUP(A51,PPL!B:M,12,0)</f>
        <v>168</v>
      </c>
      <c r="H51">
        <f t="shared" si="0"/>
        <v>7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125</v>
      </c>
      <c r="F52">
        <v>148</v>
      </c>
      <c r="G52">
        <f>VLOOKUP(A52,PPL!B:M,12,0)</f>
        <v>160</v>
      </c>
      <c r="H52">
        <f t="shared" si="0"/>
        <v>12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120</v>
      </c>
      <c r="F53">
        <v>143</v>
      </c>
      <c r="G53">
        <f>VLOOKUP(A53,PPL!B:M,12,0)</f>
        <v>150</v>
      </c>
      <c r="H53">
        <f t="shared" si="0"/>
        <v>7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145</v>
      </c>
      <c r="F54">
        <v>168</v>
      </c>
      <c r="G54">
        <f>VLOOKUP(A54,PPL!B:M,12,0)</f>
        <v>169</v>
      </c>
      <c r="H54">
        <f t="shared" si="0"/>
        <v>1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143</v>
      </c>
      <c r="F55">
        <v>163</v>
      </c>
      <c r="G55">
        <f>VLOOKUP(A55,PPL!B:M,12,0)</f>
        <v>165</v>
      </c>
      <c r="H55">
        <f t="shared" si="0"/>
        <v>2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162</v>
      </c>
      <c r="F56">
        <v>242</v>
      </c>
      <c r="G56">
        <f>VLOOKUP(A56,PPL!B:M,12,0)</f>
        <v>242</v>
      </c>
      <c r="H56">
        <f t="shared" si="0"/>
        <v>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122</v>
      </c>
      <c r="F57">
        <v>151</v>
      </c>
      <c r="G57">
        <f>VLOOKUP(A57,PPL!B:M,12,0)</f>
        <v>161</v>
      </c>
      <c r="H57">
        <f t="shared" si="0"/>
        <v>10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120</v>
      </c>
      <c r="F58">
        <v>141</v>
      </c>
      <c r="G58">
        <f>VLOOKUP(A58,PPL!B:M,12,0)</f>
        <v>147</v>
      </c>
      <c r="H58">
        <f t="shared" si="0"/>
        <v>6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99</v>
      </c>
      <c r="F59">
        <v>106</v>
      </c>
      <c r="G59">
        <f>VLOOKUP(A59,PPL!B:M,12,0)</f>
        <v>106</v>
      </c>
      <c r="H59">
        <f t="shared" si="0"/>
        <v>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139</v>
      </c>
      <c r="F60">
        <v>195</v>
      </c>
      <c r="G60">
        <f>VLOOKUP(A60,PPL!B:M,12,0)</f>
        <v>204</v>
      </c>
      <c r="H60">
        <f t="shared" si="0"/>
        <v>9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120</v>
      </c>
      <c r="F61">
        <v>141</v>
      </c>
      <c r="G61">
        <f>VLOOKUP(A61,PPL!B:M,12,0)</f>
        <v>153</v>
      </c>
      <c r="H61">
        <f t="shared" si="0"/>
        <v>12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130</v>
      </c>
      <c r="F62">
        <v>143</v>
      </c>
      <c r="G62">
        <f>VLOOKUP(A62,PPL!B:M,12,0)</f>
        <v>151</v>
      </c>
      <c r="H62">
        <f t="shared" si="0"/>
        <v>8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195</v>
      </c>
      <c r="F63">
        <v>234</v>
      </c>
      <c r="G63">
        <f>VLOOKUP(A63,PPL!B:M,12,0)</f>
        <v>240</v>
      </c>
      <c r="H63">
        <f t="shared" si="0"/>
        <v>6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134</v>
      </c>
      <c r="F64">
        <v>154</v>
      </c>
      <c r="G64">
        <f>VLOOKUP(A64,PPL!B:M,12,0)</f>
        <v>163</v>
      </c>
      <c r="H64">
        <f t="shared" si="0"/>
        <v>9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136</v>
      </c>
      <c r="F65">
        <v>139</v>
      </c>
      <c r="G65">
        <f>VLOOKUP(A65,PPL!B:M,12,0)</f>
        <v>150</v>
      </c>
      <c r="H65">
        <f t="shared" si="0"/>
        <v>11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127</v>
      </c>
      <c r="F66">
        <v>152</v>
      </c>
      <c r="G66">
        <f>VLOOKUP(A66,PPL!B:M,12,0)</f>
        <v>167</v>
      </c>
      <c r="H66">
        <f t="shared" ref="H66:H129" si="2">G66-F66</f>
        <v>15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126</v>
      </c>
      <c r="F67">
        <v>128</v>
      </c>
      <c r="G67">
        <f>VLOOKUP(A67,PPL!B:M,12,0)</f>
        <v>144</v>
      </c>
      <c r="H67">
        <f t="shared" si="2"/>
        <v>16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142</v>
      </c>
      <c r="F68">
        <v>163</v>
      </c>
      <c r="G68">
        <f>VLOOKUP(A68,PPL!B:M,12,0)</f>
        <v>173</v>
      </c>
      <c r="H68">
        <f t="shared" si="2"/>
        <v>10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89</v>
      </c>
      <c r="F69">
        <v>108</v>
      </c>
      <c r="G69">
        <f>VLOOKUP(A69,PPL!B:M,12,0)</f>
        <v>109</v>
      </c>
      <c r="H69">
        <f t="shared" si="2"/>
        <v>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98</v>
      </c>
      <c r="F70">
        <v>127</v>
      </c>
      <c r="G70">
        <f>VLOOKUP(A70,PPL!B:M,12,0)</f>
        <v>135</v>
      </c>
      <c r="H70">
        <f t="shared" si="2"/>
        <v>8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97</v>
      </c>
      <c r="F71">
        <v>124</v>
      </c>
      <c r="G71">
        <f>VLOOKUP(A71,PPL!B:M,12,0)</f>
        <v>145</v>
      </c>
      <c r="H71">
        <f t="shared" si="2"/>
        <v>21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80</v>
      </c>
      <c r="F72">
        <v>137</v>
      </c>
      <c r="G72">
        <f>VLOOKUP(A72,PPL!B:M,12,0)</f>
        <v>154</v>
      </c>
      <c r="H72">
        <f t="shared" si="2"/>
        <v>17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121</v>
      </c>
      <c r="F73">
        <v>123</v>
      </c>
      <c r="G73">
        <f>VLOOKUP(A73,PPL!B:M,12,0)</f>
        <v>146</v>
      </c>
      <c r="H73">
        <f t="shared" si="2"/>
        <v>23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91</v>
      </c>
      <c r="F74">
        <v>106</v>
      </c>
      <c r="G74">
        <f>VLOOKUP(A74,PPL!B:M,12,0)</f>
        <v>132</v>
      </c>
      <c r="H74">
        <f t="shared" si="2"/>
        <v>26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96</v>
      </c>
      <c r="F75">
        <v>113</v>
      </c>
      <c r="G75">
        <f>VLOOKUP(A75,PPL!B:M,12,0)</f>
        <v>148</v>
      </c>
      <c r="H75">
        <f t="shared" si="2"/>
        <v>35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64</v>
      </c>
      <c r="F76">
        <v>107</v>
      </c>
      <c r="G76">
        <f>VLOOKUP(A76,PPL!B:M,12,0)</f>
        <v>107</v>
      </c>
      <c r="H76">
        <f t="shared" si="2"/>
        <v>0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99</v>
      </c>
      <c r="F77">
        <v>127</v>
      </c>
      <c r="G77">
        <f>VLOOKUP(A77,PPL!B:M,12,0)</f>
        <v>137</v>
      </c>
      <c r="H77">
        <f t="shared" si="2"/>
        <v>10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85</v>
      </c>
      <c r="F78">
        <v>117</v>
      </c>
      <c r="G78">
        <f>VLOOKUP(A78,PPL!B:M,12,0)</f>
        <v>122</v>
      </c>
      <c r="H78">
        <f t="shared" si="2"/>
        <v>5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65</v>
      </c>
      <c r="F79">
        <v>69</v>
      </c>
      <c r="G79">
        <f>VLOOKUP(A79,PPL!B:M,12,0)</f>
        <v>79</v>
      </c>
      <c r="H79">
        <f t="shared" si="2"/>
        <v>10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43</v>
      </c>
      <c r="F80">
        <v>46</v>
      </c>
      <c r="G80">
        <f>VLOOKUP(A80,PPL!B:M,12,0)</f>
        <v>49</v>
      </c>
      <c r="H80">
        <f t="shared" si="2"/>
        <v>3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89</v>
      </c>
      <c r="F81">
        <v>113</v>
      </c>
      <c r="G81">
        <f>VLOOKUP(A81,PPL!B:M,12,0)</f>
        <v>118</v>
      </c>
      <c r="H81">
        <f t="shared" si="2"/>
        <v>5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88</v>
      </c>
      <c r="F82">
        <v>99</v>
      </c>
      <c r="G82">
        <f>VLOOKUP(A82,PPL!B:M,12,0)</f>
        <v>100</v>
      </c>
      <c r="H82">
        <f t="shared" si="2"/>
        <v>1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89</v>
      </c>
      <c r="F83">
        <v>109</v>
      </c>
      <c r="G83">
        <f>VLOOKUP(A83,PPL!B:M,12,0)</f>
        <v>110</v>
      </c>
      <c r="H83">
        <f t="shared" si="2"/>
        <v>1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94</v>
      </c>
      <c r="F84">
        <v>117</v>
      </c>
      <c r="G84">
        <f>VLOOKUP(A84,PPL!B:M,12,0)</f>
        <v>120</v>
      </c>
      <c r="H84">
        <f t="shared" si="2"/>
        <v>3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97</v>
      </c>
      <c r="F85">
        <v>116</v>
      </c>
      <c r="G85">
        <f>VLOOKUP(A85,PPL!B:M,12,0)</f>
        <v>132</v>
      </c>
      <c r="H85">
        <f t="shared" si="2"/>
        <v>16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118</v>
      </c>
      <c r="F86">
        <v>164</v>
      </c>
      <c r="G86">
        <f>VLOOKUP(A86,PPL!B:M,12,0)</f>
        <v>169</v>
      </c>
      <c r="H86">
        <f t="shared" si="2"/>
        <v>5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128</v>
      </c>
      <c r="F87">
        <v>148</v>
      </c>
      <c r="G87">
        <f>VLOOKUP(A87,PPL!B:M,12,0)</f>
        <v>168</v>
      </c>
      <c r="H87">
        <f t="shared" si="2"/>
        <v>20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130</v>
      </c>
      <c r="F88">
        <v>142</v>
      </c>
      <c r="G88">
        <f>VLOOKUP(A88,PPL!B:M,12,0)</f>
        <v>154</v>
      </c>
      <c r="H88">
        <f t="shared" si="2"/>
        <v>12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132</v>
      </c>
      <c r="F89">
        <v>153</v>
      </c>
      <c r="G89">
        <f>VLOOKUP(A89,PPL!B:M,12,0)</f>
        <v>158</v>
      </c>
      <c r="H89">
        <f t="shared" si="2"/>
        <v>5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95</v>
      </c>
      <c r="F90">
        <v>128</v>
      </c>
      <c r="G90">
        <f>VLOOKUP(A90,PPL!B:M,12,0)</f>
        <v>133</v>
      </c>
      <c r="H90">
        <f t="shared" si="2"/>
        <v>5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161</v>
      </c>
      <c r="F91">
        <v>170</v>
      </c>
      <c r="G91">
        <f>VLOOKUP(A91,PPL!B:M,12,0)</f>
        <v>182</v>
      </c>
      <c r="H91">
        <f t="shared" si="2"/>
        <v>12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120</v>
      </c>
      <c r="F92">
        <v>136</v>
      </c>
      <c r="G92">
        <f>VLOOKUP(A92,PPL!B:M,12,0)</f>
        <v>142</v>
      </c>
      <c r="H92">
        <f t="shared" si="2"/>
        <v>6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120</v>
      </c>
      <c r="F93">
        <v>122</v>
      </c>
      <c r="G93">
        <f>VLOOKUP(A93,PPL!B:M,12,0)</f>
        <v>127</v>
      </c>
      <c r="H93">
        <f t="shared" si="2"/>
        <v>5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150</v>
      </c>
      <c r="F94">
        <v>163</v>
      </c>
      <c r="G94">
        <f>VLOOKUP(A94,PPL!B:M,12,0)</f>
        <v>171</v>
      </c>
      <c r="H94">
        <f t="shared" si="2"/>
        <v>8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120</v>
      </c>
      <c r="F95">
        <v>127</v>
      </c>
      <c r="G95">
        <f>VLOOKUP(A95,PPL!B:M,12,0)</f>
        <v>133</v>
      </c>
      <c r="H95">
        <f t="shared" si="2"/>
        <v>6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132</v>
      </c>
      <c r="F96">
        <v>151</v>
      </c>
      <c r="G96">
        <f>VLOOKUP(A96,PPL!B:M,12,0)</f>
        <v>151</v>
      </c>
      <c r="H96">
        <f t="shared" si="2"/>
        <v>0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173</v>
      </c>
      <c r="F97">
        <v>186</v>
      </c>
      <c r="G97">
        <f>VLOOKUP(A97,PPL!B:M,12,0)</f>
        <v>202</v>
      </c>
      <c r="H97">
        <f t="shared" si="2"/>
        <v>16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108</v>
      </c>
      <c r="F98">
        <v>121</v>
      </c>
      <c r="G98">
        <f>VLOOKUP(A98,PPL!B:M,12,0)</f>
        <v>129</v>
      </c>
      <c r="H98">
        <f t="shared" si="2"/>
        <v>8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190</v>
      </c>
      <c r="F99">
        <v>218</v>
      </c>
      <c r="G99">
        <f>VLOOKUP(A99,PPL!B:M,12,0)</f>
        <v>226</v>
      </c>
      <c r="H99">
        <f t="shared" si="2"/>
        <v>8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165</v>
      </c>
      <c r="F100">
        <v>172</v>
      </c>
      <c r="G100">
        <f>VLOOKUP(A100,PPL!B:M,12,0)</f>
        <v>185</v>
      </c>
      <c r="H100">
        <f t="shared" si="2"/>
        <v>13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128</v>
      </c>
      <c r="F101">
        <v>139</v>
      </c>
      <c r="G101">
        <f>VLOOKUP(A101,PPL!B:M,12,0)</f>
        <v>156</v>
      </c>
      <c r="H101">
        <f t="shared" si="2"/>
        <v>17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110</v>
      </c>
      <c r="F102">
        <v>122</v>
      </c>
      <c r="G102">
        <f>VLOOKUP(A102,PPL!B:M,12,0)</f>
        <v>129</v>
      </c>
      <c r="H102">
        <f t="shared" si="2"/>
        <v>7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139</v>
      </c>
      <c r="F103">
        <v>161</v>
      </c>
      <c r="G103">
        <f>VLOOKUP(A103,PPL!B:M,12,0)</f>
        <v>162</v>
      </c>
      <c r="H103">
        <f t="shared" si="2"/>
        <v>1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110</v>
      </c>
      <c r="F104">
        <v>129</v>
      </c>
      <c r="G104">
        <f>VLOOKUP(A104,PPL!B:M,12,0)</f>
        <v>136</v>
      </c>
      <c r="H104">
        <f t="shared" si="2"/>
        <v>7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137</v>
      </c>
      <c r="F105">
        <v>154</v>
      </c>
      <c r="G105">
        <f>VLOOKUP(A105,PPL!B:M,12,0)</f>
        <v>166</v>
      </c>
      <c r="H105">
        <f t="shared" si="2"/>
        <v>12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190</v>
      </c>
      <c r="F106">
        <v>212</v>
      </c>
      <c r="G106">
        <f>VLOOKUP(A106,PPL!B:M,12,0)</f>
        <v>259</v>
      </c>
      <c r="H106">
        <f t="shared" si="2"/>
        <v>47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130</v>
      </c>
      <c r="F107">
        <v>147</v>
      </c>
      <c r="G107">
        <f>VLOOKUP(A107,PPL!B:M,12,0)</f>
        <v>148</v>
      </c>
      <c r="H107">
        <f t="shared" si="2"/>
        <v>1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144</v>
      </c>
      <c r="F108">
        <v>179</v>
      </c>
      <c r="G108">
        <f>VLOOKUP(A108,PPL!B:M,12,0)</f>
        <v>179</v>
      </c>
      <c r="H108">
        <f t="shared" si="2"/>
        <v>0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119</v>
      </c>
      <c r="F109">
        <v>142</v>
      </c>
      <c r="G109">
        <f>VLOOKUP(A109,PPL!B:M,12,0)</f>
        <v>159</v>
      </c>
      <c r="H109">
        <f t="shared" si="2"/>
        <v>17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121</v>
      </c>
      <c r="F110">
        <v>165</v>
      </c>
      <c r="G110">
        <f>VLOOKUP(A110,PPL!B:M,12,0)</f>
        <v>165</v>
      </c>
      <c r="H110">
        <f t="shared" si="2"/>
        <v>0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131</v>
      </c>
      <c r="F111">
        <v>154</v>
      </c>
      <c r="G111">
        <f>VLOOKUP(A111,PPL!B:M,12,0)</f>
        <v>155</v>
      </c>
      <c r="H111">
        <f t="shared" si="2"/>
        <v>1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185</v>
      </c>
      <c r="F112">
        <v>227</v>
      </c>
      <c r="G112">
        <f>VLOOKUP(A112,PPL!B:M,12,0)</f>
        <v>229</v>
      </c>
      <c r="H112">
        <f t="shared" si="2"/>
        <v>2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117</v>
      </c>
      <c r="F113">
        <v>137</v>
      </c>
      <c r="G113">
        <f>VLOOKUP(A113,PPL!B:M,12,0)</f>
        <v>138</v>
      </c>
      <c r="H113">
        <f t="shared" si="2"/>
        <v>1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88</v>
      </c>
      <c r="F114">
        <v>111</v>
      </c>
      <c r="G114">
        <f>VLOOKUP(A114,PPL!B:M,12,0)</f>
        <v>111</v>
      </c>
      <c r="H114">
        <f t="shared" si="2"/>
        <v>0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71</v>
      </c>
      <c r="F115">
        <v>83</v>
      </c>
      <c r="G115">
        <f>VLOOKUP(A115,PPL!B:M,12,0)</f>
        <v>90</v>
      </c>
      <c r="H115">
        <f t="shared" si="2"/>
        <v>7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90</v>
      </c>
      <c r="F116">
        <v>112</v>
      </c>
      <c r="G116">
        <f>VLOOKUP(A116,PPL!B:M,12,0)</f>
        <v>123</v>
      </c>
      <c r="H116">
        <f t="shared" si="2"/>
        <v>11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114</v>
      </c>
      <c r="F117">
        <v>199</v>
      </c>
      <c r="G117">
        <f>VLOOKUP(A117,PPL!B:M,12,0)</f>
        <v>217</v>
      </c>
      <c r="H117">
        <f t="shared" si="2"/>
        <v>18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148</v>
      </c>
      <c r="F118">
        <v>158</v>
      </c>
      <c r="G118">
        <f>VLOOKUP(A118,PPL!B:M,12,0)</f>
        <v>158</v>
      </c>
      <c r="H118">
        <f t="shared" si="2"/>
        <v>0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184</v>
      </c>
      <c r="F119">
        <v>191</v>
      </c>
      <c r="G119">
        <f>VLOOKUP(A119,PPL!B:M,12,0)</f>
        <v>191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242</v>
      </c>
      <c r="F120">
        <v>274</v>
      </c>
      <c r="G120">
        <f>VLOOKUP(A120,PPL!B:M,12,0)</f>
        <v>287</v>
      </c>
      <c r="H120">
        <f t="shared" si="2"/>
        <v>13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203</v>
      </c>
      <c r="F121">
        <v>229</v>
      </c>
      <c r="G121">
        <f>VLOOKUP(A121,PPL!B:M,12,0)</f>
        <v>229</v>
      </c>
      <c r="H121">
        <f t="shared" si="2"/>
        <v>0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158</v>
      </c>
      <c r="F122">
        <v>185</v>
      </c>
      <c r="G122">
        <f>VLOOKUP(A122,PPL!B:M,12,0)</f>
        <v>214</v>
      </c>
      <c r="H122">
        <f t="shared" si="2"/>
        <v>29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153</v>
      </c>
      <c r="F123">
        <v>171</v>
      </c>
      <c r="G123">
        <f>VLOOKUP(A123,PPL!B:M,12,0)</f>
        <v>202</v>
      </c>
      <c r="H123">
        <f t="shared" si="2"/>
        <v>31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84</v>
      </c>
      <c r="F124">
        <v>109</v>
      </c>
      <c r="G124">
        <f>VLOOKUP(A124,PPL!B:M,12,0)</f>
        <v>123</v>
      </c>
      <c r="H124">
        <f t="shared" si="2"/>
        <v>14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97</v>
      </c>
      <c r="F125">
        <v>118</v>
      </c>
      <c r="G125">
        <f>VLOOKUP(A125,PPL!B:M,12,0)</f>
        <v>122</v>
      </c>
      <c r="H125">
        <f t="shared" si="2"/>
        <v>4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89</v>
      </c>
      <c r="F126">
        <v>91</v>
      </c>
      <c r="G126">
        <f>VLOOKUP(A126,PPL!B:M,12,0)</f>
        <v>100</v>
      </c>
      <c r="H126">
        <f t="shared" si="2"/>
        <v>9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115</v>
      </c>
      <c r="F127">
        <v>134</v>
      </c>
      <c r="G127">
        <f>VLOOKUP(A127,PPL!B:M,12,0)</f>
        <v>143</v>
      </c>
      <c r="H127">
        <f t="shared" si="2"/>
        <v>9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100</v>
      </c>
      <c r="F128">
        <v>106</v>
      </c>
      <c r="G128">
        <f>VLOOKUP(A128,PPL!B:M,12,0)</f>
        <v>113</v>
      </c>
      <c r="H128">
        <f t="shared" si="2"/>
        <v>7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105</v>
      </c>
      <c r="F129">
        <v>113</v>
      </c>
      <c r="G129">
        <f>VLOOKUP(A129,PPL!B:M,12,0)</f>
        <v>123</v>
      </c>
      <c r="H129">
        <f t="shared" si="2"/>
        <v>10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110</v>
      </c>
      <c r="F130">
        <v>128</v>
      </c>
      <c r="G130">
        <f>VLOOKUP(A130,PPL!B:M,12,0)</f>
        <v>144</v>
      </c>
      <c r="H130">
        <f t="shared" ref="H130:H158" si="4">G130-F130</f>
        <v>16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109</v>
      </c>
      <c r="F131">
        <v>127</v>
      </c>
      <c r="G131">
        <f>VLOOKUP(A131,PPL!B:M,12,0)</f>
        <v>129</v>
      </c>
      <c r="H131">
        <f t="shared" si="4"/>
        <v>2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140</v>
      </c>
      <c r="F132">
        <v>160</v>
      </c>
      <c r="G132">
        <f>VLOOKUP(A132,PPL!B:M,12,0)</f>
        <v>160</v>
      </c>
      <c r="H132">
        <f t="shared" si="4"/>
        <v>0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77</v>
      </c>
      <c r="F133">
        <v>84</v>
      </c>
      <c r="G133">
        <f>VLOOKUP(A133,PPL!B:M,12,0)</f>
        <v>91</v>
      </c>
      <c r="H133">
        <f t="shared" si="4"/>
        <v>7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96</v>
      </c>
      <c r="F134">
        <v>108</v>
      </c>
      <c r="G134">
        <f>VLOOKUP(A134,PPL!B:M,12,0)</f>
        <v>115</v>
      </c>
      <c r="H134">
        <f t="shared" si="4"/>
        <v>7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143</v>
      </c>
      <c r="F135">
        <v>167</v>
      </c>
      <c r="G135">
        <f>VLOOKUP(A135,PPL!B:M,12,0)</f>
        <v>179</v>
      </c>
      <c r="H135">
        <f t="shared" si="4"/>
        <v>12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308</v>
      </c>
      <c r="F136">
        <v>310</v>
      </c>
      <c r="G136">
        <f>VLOOKUP(A136,PPL!B:M,12,0)</f>
        <v>310</v>
      </c>
      <c r="H136">
        <f t="shared" si="4"/>
        <v>0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129</v>
      </c>
      <c r="F137">
        <v>141</v>
      </c>
      <c r="G137">
        <f>VLOOKUP(A137,PPL!B:M,12,0)</f>
        <v>148</v>
      </c>
      <c r="H137">
        <f t="shared" si="4"/>
        <v>7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85</v>
      </c>
      <c r="F138">
        <v>97</v>
      </c>
      <c r="G138">
        <f>VLOOKUP(A138,PPL!B:M,12,0)</f>
        <v>99</v>
      </c>
      <c r="H138">
        <f t="shared" si="4"/>
        <v>2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32</v>
      </c>
      <c r="F139">
        <v>51</v>
      </c>
      <c r="G139">
        <f>VLOOKUP(A139,PPL!B:M,12,0)</f>
        <v>62</v>
      </c>
      <c r="H139">
        <f t="shared" si="4"/>
        <v>11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165</v>
      </c>
      <c r="F140">
        <v>263</v>
      </c>
      <c r="G140">
        <f>VLOOKUP(A140,PML!A:K,11,0)</f>
        <v>551</v>
      </c>
      <c r="H140">
        <f t="shared" si="4"/>
        <v>288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288</v>
      </c>
      <c r="F141">
        <v>323</v>
      </c>
      <c r="G141">
        <f>VLOOKUP(A141,PML!A:K,11,0)</f>
        <v>332</v>
      </c>
      <c r="H141">
        <f t="shared" si="4"/>
        <v>9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209</v>
      </c>
      <c r="F142">
        <v>285</v>
      </c>
      <c r="G142">
        <f>VLOOKUP(A142,PML!A:K,11,0)</f>
        <v>344</v>
      </c>
      <c r="H142">
        <f t="shared" si="4"/>
        <v>59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488</v>
      </c>
      <c r="F143">
        <v>499</v>
      </c>
      <c r="G143">
        <f>VLOOKUP(A143,PML!A:K,11,0)</f>
        <v>556</v>
      </c>
      <c r="H143">
        <f t="shared" si="4"/>
        <v>57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252</v>
      </c>
      <c r="F144">
        <v>288</v>
      </c>
      <c r="G144">
        <f>VLOOKUP(A144,PML!A:K,11,0)</f>
        <v>364</v>
      </c>
      <c r="H144">
        <f t="shared" si="4"/>
        <v>76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79</v>
      </c>
      <c r="F145">
        <v>160</v>
      </c>
      <c r="G145">
        <f>VLOOKUP(A145,PML!A:K,11,0)</f>
        <v>208</v>
      </c>
      <c r="H145">
        <f t="shared" si="4"/>
        <v>48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174</v>
      </c>
      <c r="F146">
        <v>209</v>
      </c>
      <c r="G146">
        <f>VLOOKUP(A146,PML!A:K,11,0)</f>
        <v>191</v>
      </c>
      <c r="H146">
        <f t="shared" si="4"/>
        <v>-18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161</v>
      </c>
      <c r="F147">
        <v>156</v>
      </c>
      <c r="G147">
        <f>VLOOKUP(A147,PML!A:K,11,0)</f>
        <v>177</v>
      </c>
      <c r="H147">
        <f t="shared" si="4"/>
        <v>21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331</v>
      </c>
      <c r="F148">
        <v>457</v>
      </c>
      <c r="G148">
        <f>VLOOKUP(A148,PML!A:K,11,0)</f>
        <v>531</v>
      </c>
      <c r="H148">
        <f t="shared" si="4"/>
        <v>74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205</v>
      </c>
      <c r="F149">
        <v>337</v>
      </c>
      <c r="G149">
        <f>VLOOKUP(A149,PML!A:K,11,0)</f>
        <v>428</v>
      </c>
      <c r="H149">
        <f t="shared" si="4"/>
        <v>91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103</v>
      </c>
      <c r="F150">
        <v>102</v>
      </c>
      <c r="G150">
        <f>VLOOKUP(A150,PML!A:K,11,0)</f>
        <v>202</v>
      </c>
      <c r="H150">
        <f t="shared" si="4"/>
        <v>100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258</v>
      </c>
      <c r="F151">
        <v>323</v>
      </c>
      <c r="G151">
        <f>VLOOKUP(A151,PML!A:K,11,0)</f>
        <v>335</v>
      </c>
      <c r="H151">
        <f t="shared" si="4"/>
        <v>12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100</v>
      </c>
      <c r="F152">
        <v>103</v>
      </c>
      <c r="G152">
        <f>VLOOKUP(A152,PML!A:K,11,0)</f>
        <v>161</v>
      </c>
      <c r="H152">
        <f t="shared" si="4"/>
        <v>58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261</v>
      </c>
      <c r="F153">
        <v>308</v>
      </c>
      <c r="G153">
        <f>VLOOKUP(A153,PML!A:K,11,0)</f>
        <v>378</v>
      </c>
      <c r="H153">
        <f t="shared" si="4"/>
        <v>70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293</v>
      </c>
      <c r="F154">
        <v>409</v>
      </c>
      <c r="G154">
        <f>VLOOKUP(A154,PML!A:K,11,0)</f>
        <v>477</v>
      </c>
      <c r="H154">
        <f t="shared" si="4"/>
        <v>68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557</v>
      </c>
      <c r="F155">
        <v>746</v>
      </c>
      <c r="G155">
        <f>VLOOKUP(A155,PML!A:K,11,0)</f>
        <v>730</v>
      </c>
      <c r="H155">
        <f t="shared" si="4"/>
        <v>-16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727</v>
      </c>
      <c r="F156">
        <v>884</v>
      </c>
      <c r="G156">
        <f>VLOOKUP(A156,PML!A:K,11,0)</f>
        <v>932</v>
      </c>
      <c r="H156">
        <f t="shared" si="4"/>
        <v>48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76</v>
      </c>
      <c r="F157">
        <v>140</v>
      </c>
      <c r="G157">
        <f>VLOOKUP(A157,PML!A:K,11,0)</f>
        <v>247</v>
      </c>
      <c r="H157">
        <f t="shared" si="4"/>
        <v>107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268</v>
      </c>
      <c r="F158">
        <v>322</v>
      </c>
      <c r="G158">
        <f>VLOOKUP(A158,PML!A:K,11,0)</f>
        <v>321</v>
      </c>
      <c r="H158">
        <f t="shared" si="4"/>
        <v>-1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G108" workbookViewId="0">
      <selection activeCell="N2" sqref="N2:N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608</v>
      </c>
      <c r="F2">
        <f>SUMIF(DATA!$A:$A,PPL!$A2,DATA!D:D)</f>
        <v>42</v>
      </c>
      <c r="G2">
        <f>SUMIF(DATA!$A:$A,PPL!$A2,DATA!E:E)</f>
        <v>37</v>
      </c>
      <c r="H2">
        <f>SUMIF(DATA!$A:$A,PPL!$A2,DATA!F:F)</f>
        <v>418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110</v>
      </c>
      <c r="L2">
        <f>SUMIF(DATA!$A:$A,PPL!$A2,DATA!J:J)</f>
        <v>0</v>
      </c>
      <c r="M2">
        <f>F2+G2+I2+J2+K2+L2</f>
        <v>190</v>
      </c>
      <c r="N2" s="3">
        <f>(SUM(F2,K2)/E2)*100</f>
        <v>25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590</v>
      </c>
      <c r="F3">
        <f>SUMIF(DATA!$A:$A,PPL!$A3,DATA!D:D)</f>
        <v>45</v>
      </c>
      <c r="G3">
        <f>SUMIF(DATA!$A:$A,PPL!$A3,DATA!E:E)</f>
        <v>11</v>
      </c>
      <c r="H3">
        <f>SUMIF(DATA!$A:$A,PPL!$A3,DATA!F:F)</f>
        <v>455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79</v>
      </c>
      <c r="L3">
        <f>SUMIF(DATA!$A:$A,PPL!$A3,DATA!J:J)</f>
        <v>0</v>
      </c>
      <c r="M3">
        <f t="shared" ref="M3:M65" si="0">F3+G3+I3+J3+K3+L3</f>
        <v>135</v>
      </c>
      <c r="N3" s="3">
        <f t="shared" ref="N3:N66" si="1">(SUM(F3,K3)/E3)*100</f>
        <v>21.01694915254237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644</v>
      </c>
      <c r="F4">
        <f>SUMIF(DATA!$A:$A,PPL!$A4,DATA!D:D)</f>
        <v>107</v>
      </c>
      <c r="G4">
        <f>SUMIF(DATA!$A:$A,PPL!$A4,DATA!E:E)</f>
        <v>7</v>
      </c>
      <c r="H4">
        <f>SUMIF(DATA!$A:$A,PPL!$A4,DATA!F:F)</f>
        <v>340</v>
      </c>
      <c r="I4">
        <f>SUMIF(DATA!$A:$A,PPL!$A4,DATA!G:G)</f>
        <v>172</v>
      </c>
      <c r="J4">
        <f>SUMIF(DATA!$A:$A,PPL!$A4,DATA!H:H)</f>
        <v>0</v>
      </c>
      <c r="K4">
        <f>SUMIF(DATA!$A:$A,PPL!$A4,DATA!I:I)</f>
        <v>18</v>
      </c>
      <c r="L4">
        <f>SUMIF(DATA!$A:$A,PPL!$A4,DATA!J:J)</f>
        <v>0</v>
      </c>
      <c r="M4">
        <f t="shared" si="0"/>
        <v>304</v>
      </c>
      <c r="N4" s="3">
        <f t="shared" si="1"/>
        <v>19.409937888198758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615</v>
      </c>
      <c r="F5">
        <f>SUMIF(DATA!$A:$A,PPL!$A5,DATA!D:D)</f>
        <v>85</v>
      </c>
      <c r="G5">
        <f>SUMIF(DATA!$A:$A,PPL!$A5,DATA!E:E)</f>
        <v>1</v>
      </c>
      <c r="H5">
        <f>SUMIF(DATA!$A:$A,PPL!$A5,DATA!F:F)</f>
        <v>415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114</v>
      </c>
      <c r="L5">
        <f>SUMIF(DATA!$A:$A,PPL!$A5,DATA!J:J)</f>
        <v>0</v>
      </c>
      <c r="M5">
        <f t="shared" si="0"/>
        <v>200</v>
      </c>
      <c r="N5" s="3">
        <f t="shared" si="1"/>
        <v>32.357723577235767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644</v>
      </c>
      <c r="F6">
        <f>SUMIF(DATA!$A:$A,PPL!$A6,DATA!D:D)</f>
        <v>5</v>
      </c>
      <c r="G6">
        <f>SUMIF(DATA!$A:$A,PPL!$A6,DATA!E:E)</f>
        <v>25</v>
      </c>
      <c r="H6">
        <f>SUMIF(DATA!$A:$A,PPL!$A6,DATA!F:F)</f>
        <v>486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127</v>
      </c>
      <c r="L6">
        <f>SUMIF(DATA!$A:$A,PPL!$A6,DATA!J:J)</f>
        <v>0</v>
      </c>
      <c r="M6">
        <f t="shared" si="0"/>
        <v>158</v>
      </c>
      <c r="N6" s="3">
        <f t="shared" si="1"/>
        <v>20.496894409937887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595</v>
      </c>
      <c r="F7">
        <f>SUMIF(DATA!$A:$A,PPL!$A7,DATA!D:D)</f>
        <v>22</v>
      </c>
      <c r="G7">
        <f>SUMIF(DATA!$A:$A,PPL!$A7,DATA!E:E)</f>
        <v>25</v>
      </c>
      <c r="H7">
        <f>SUMIF(DATA!$A:$A,PPL!$A7,DATA!F:F)</f>
        <v>434</v>
      </c>
      <c r="I7">
        <f>SUMIF(DATA!$A:$A,PPL!$A7,DATA!G:G)</f>
        <v>64</v>
      </c>
      <c r="J7">
        <f>SUMIF(DATA!$A:$A,PPL!$A7,DATA!H:H)</f>
        <v>0</v>
      </c>
      <c r="K7">
        <f>SUMIF(DATA!$A:$A,PPL!$A7,DATA!I:I)</f>
        <v>50</v>
      </c>
      <c r="L7">
        <f>SUMIF(DATA!$A:$A,PPL!$A7,DATA!J:J)</f>
        <v>0</v>
      </c>
      <c r="M7">
        <f t="shared" si="0"/>
        <v>161</v>
      </c>
      <c r="N7" s="3">
        <f t="shared" si="1"/>
        <v>12.100840336134453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620</v>
      </c>
      <c r="F8">
        <f>SUMIF(DATA!$A:$A,PPL!$A8,DATA!D:D)</f>
        <v>41</v>
      </c>
      <c r="G8">
        <f>SUMIF(DATA!$A:$A,PPL!$A8,DATA!E:E)</f>
        <v>17</v>
      </c>
      <c r="H8">
        <f>SUMIF(DATA!$A:$A,PPL!$A8,DATA!F:F)</f>
        <v>449</v>
      </c>
      <c r="I8">
        <f>SUMIF(DATA!$A:$A,PPL!$A8,DATA!G:G)</f>
        <v>0</v>
      </c>
      <c r="J8">
        <f>SUMIF(DATA!$A:$A,PPL!$A8,DATA!H:H)</f>
        <v>1</v>
      </c>
      <c r="K8">
        <f>SUMIF(DATA!$A:$A,PPL!$A8,DATA!I:I)</f>
        <v>112</v>
      </c>
      <c r="L8">
        <f>SUMIF(DATA!$A:$A,PPL!$A8,DATA!J:J)</f>
        <v>0</v>
      </c>
      <c r="M8">
        <f t="shared" si="0"/>
        <v>171</v>
      </c>
      <c r="N8" s="3">
        <f t="shared" si="1"/>
        <v>24.677419354838708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561</v>
      </c>
      <c r="F9">
        <f>SUMIF(DATA!$A:$A,PPL!$A9,DATA!D:D)</f>
        <v>44</v>
      </c>
      <c r="G9">
        <f>SUMIF(DATA!$A:$A,PPL!$A9,DATA!E:E)</f>
        <v>3</v>
      </c>
      <c r="H9">
        <f>SUMIF(DATA!$A:$A,PPL!$A9,DATA!F:F)</f>
        <v>419</v>
      </c>
      <c r="I9">
        <f>SUMIF(DATA!$A:$A,PPL!$A9,DATA!G:G)</f>
        <v>2</v>
      </c>
      <c r="J9">
        <f>SUMIF(DATA!$A:$A,PPL!$A9,DATA!H:H)</f>
        <v>0</v>
      </c>
      <c r="K9">
        <f>SUMIF(DATA!$A:$A,PPL!$A9,DATA!I:I)</f>
        <v>93</v>
      </c>
      <c r="L9">
        <f>SUMIF(DATA!$A:$A,PPL!$A9,DATA!J:J)</f>
        <v>0</v>
      </c>
      <c r="M9">
        <f t="shared" si="0"/>
        <v>142</v>
      </c>
      <c r="N9" s="3">
        <f t="shared" si="1"/>
        <v>24.420677361853834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622</v>
      </c>
      <c r="F10">
        <f>SUMIF(DATA!$A:$A,PPL!$A10,DATA!D:D)</f>
        <v>30</v>
      </c>
      <c r="G10">
        <f>SUMIF(DATA!$A:$A,PPL!$A10,DATA!E:E)</f>
        <v>15</v>
      </c>
      <c r="H10">
        <f>SUMIF(DATA!$A:$A,PPL!$A10,DATA!F:F)</f>
        <v>443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134</v>
      </c>
      <c r="L10">
        <f>SUMIF(DATA!$A:$A,PPL!$A10,DATA!J:J)</f>
        <v>0</v>
      </c>
      <c r="M10">
        <f t="shared" si="0"/>
        <v>179</v>
      </c>
      <c r="N10" s="3">
        <f t="shared" si="1"/>
        <v>26.366559485530544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632</v>
      </c>
      <c r="F11">
        <f>SUMIF(DATA!$A:$A,PPL!$A11,DATA!D:D)</f>
        <v>47</v>
      </c>
      <c r="G11">
        <f>SUMIF(DATA!$A:$A,PPL!$A11,DATA!E:E)</f>
        <v>2</v>
      </c>
      <c r="H11">
        <f>SUMIF(DATA!$A:$A,PPL!$A11,DATA!F:F)</f>
        <v>454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129</v>
      </c>
      <c r="L11">
        <f>SUMIF(DATA!$A:$A,PPL!$A11,DATA!J:J)</f>
        <v>0</v>
      </c>
      <c r="M11">
        <f t="shared" si="0"/>
        <v>178</v>
      </c>
      <c r="N11" s="3">
        <f t="shared" si="1"/>
        <v>27.848101265822784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642</v>
      </c>
      <c r="F12">
        <f>SUMIF(DATA!$A:$A,PPL!$A12,DATA!D:D)</f>
        <v>70</v>
      </c>
      <c r="G12">
        <f>SUMIF(DATA!$A:$A,PPL!$A12,DATA!E:E)</f>
        <v>25</v>
      </c>
      <c r="H12">
        <f>SUMIF(DATA!$A:$A,PPL!$A12,DATA!F:F)</f>
        <v>391</v>
      </c>
      <c r="I12">
        <f>SUMIF(DATA!$A:$A,PPL!$A12,DATA!G:G)</f>
        <v>6</v>
      </c>
      <c r="J12">
        <f>SUMIF(DATA!$A:$A,PPL!$A12,DATA!H:H)</f>
        <v>0</v>
      </c>
      <c r="K12">
        <f>SUMIF(DATA!$A:$A,PPL!$A12,DATA!I:I)</f>
        <v>150</v>
      </c>
      <c r="L12">
        <f>SUMIF(DATA!$A:$A,PPL!$A12,DATA!J:J)</f>
        <v>0</v>
      </c>
      <c r="M12">
        <f t="shared" si="0"/>
        <v>251</v>
      </c>
      <c r="N12" s="3">
        <f t="shared" si="1"/>
        <v>34.267912772585667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590</v>
      </c>
      <c r="F13">
        <f>SUMIF(DATA!$A:$A,PPL!$A13,DATA!D:D)</f>
        <v>39</v>
      </c>
      <c r="G13">
        <f>SUMIF(DATA!$A:$A,PPL!$A13,DATA!E:E)</f>
        <v>8</v>
      </c>
      <c r="H13">
        <f>SUMIF(DATA!$A:$A,PPL!$A13,DATA!F:F)</f>
        <v>446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97</v>
      </c>
      <c r="L13">
        <f>SUMIF(DATA!$A:$A,PPL!$A13,DATA!J:J)</f>
        <v>0</v>
      </c>
      <c r="M13">
        <f t="shared" si="0"/>
        <v>144</v>
      </c>
      <c r="N13" s="3">
        <f t="shared" si="1"/>
        <v>23.050847457627118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659</v>
      </c>
      <c r="F14">
        <f>SUMIF(DATA!$A:$A,PPL!$A14,DATA!D:D)</f>
        <v>22</v>
      </c>
      <c r="G14">
        <f>SUMIF(DATA!$A:$A,PPL!$A14,DATA!E:E)</f>
        <v>31</v>
      </c>
      <c r="H14">
        <f>SUMIF(DATA!$A:$A,PPL!$A14,DATA!F:F)</f>
        <v>475</v>
      </c>
      <c r="I14">
        <f>SUMIF(DATA!$A:$A,PPL!$A14,DATA!G:G)</f>
        <v>8</v>
      </c>
      <c r="J14">
        <f>SUMIF(DATA!$A:$A,PPL!$A14,DATA!H:H)</f>
        <v>0</v>
      </c>
      <c r="K14">
        <f>SUMIF(DATA!$A:$A,PPL!$A14,DATA!I:I)</f>
        <v>123</v>
      </c>
      <c r="L14">
        <f>SUMIF(DATA!$A:$A,PPL!$A14,DATA!J:J)</f>
        <v>0</v>
      </c>
      <c r="M14">
        <f t="shared" si="0"/>
        <v>184</v>
      </c>
      <c r="N14" s="3">
        <f t="shared" si="1"/>
        <v>22.003034901365705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649</v>
      </c>
      <c r="F15">
        <f>SUMIF(DATA!$A:$A,PPL!$A15,DATA!D:D)</f>
        <v>72</v>
      </c>
      <c r="G15">
        <f>SUMIF(DATA!$A:$A,PPL!$A15,DATA!E:E)</f>
        <v>36</v>
      </c>
      <c r="H15">
        <f>SUMIF(DATA!$A:$A,PPL!$A15,DATA!F:F)</f>
        <v>378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163</v>
      </c>
      <c r="L15">
        <f>SUMIF(DATA!$A:$A,PPL!$A15,DATA!J:J)</f>
        <v>0</v>
      </c>
      <c r="M15">
        <f t="shared" si="0"/>
        <v>271</v>
      </c>
      <c r="N15" s="3">
        <f t="shared" si="1"/>
        <v>36.209553158705695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627</v>
      </c>
      <c r="F16">
        <f>SUMIF(DATA!$A:$A,PPL!$A16,DATA!D:D)</f>
        <v>42</v>
      </c>
      <c r="G16">
        <f>SUMIF(DATA!$A:$A,PPL!$A16,DATA!E:E)</f>
        <v>0</v>
      </c>
      <c r="H16">
        <f>SUMIF(DATA!$A:$A,PPL!$A16,DATA!F:F)</f>
        <v>449</v>
      </c>
      <c r="I16">
        <f>SUMIF(DATA!$A:$A,PPL!$A16,DATA!G:G)</f>
        <v>7</v>
      </c>
      <c r="J16">
        <f>SUMIF(DATA!$A:$A,PPL!$A16,DATA!H:H)</f>
        <v>0</v>
      </c>
      <c r="K16">
        <f>SUMIF(DATA!$A:$A,PPL!$A16,DATA!I:I)</f>
        <v>128</v>
      </c>
      <c r="L16">
        <f>SUMIF(DATA!$A:$A,PPL!$A16,DATA!J:J)</f>
        <v>1</v>
      </c>
      <c r="M16">
        <f t="shared" si="0"/>
        <v>178</v>
      </c>
      <c r="N16" s="3">
        <f t="shared" si="1"/>
        <v>27.113237639553429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649</v>
      </c>
      <c r="F17">
        <f>SUMIF(DATA!$A:$A,PPL!$A17,DATA!D:D)</f>
        <v>22</v>
      </c>
      <c r="G17">
        <f>SUMIF(DATA!$A:$A,PPL!$A17,DATA!E:E)</f>
        <v>14</v>
      </c>
      <c r="H17">
        <f>SUMIF(DATA!$A:$A,PPL!$A17,DATA!F:F)</f>
        <v>472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141</v>
      </c>
      <c r="L17">
        <f>SUMIF(DATA!$A:$A,PPL!$A17,DATA!J:J)</f>
        <v>0</v>
      </c>
      <c r="M17">
        <f t="shared" si="0"/>
        <v>177</v>
      </c>
      <c r="N17" s="3">
        <f t="shared" si="1"/>
        <v>25.115562403698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629</v>
      </c>
      <c r="F18">
        <f>SUMIF(DATA!$A:$A,PPL!$A18,DATA!D:D)</f>
        <v>61</v>
      </c>
      <c r="G18">
        <f>SUMIF(DATA!$A:$A,PPL!$A18,DATA!E:E)</f>
        <v>0</v>
      </c>
      <c r="H18">
        <f>SUMIF(DATA!$A:$A,PPL!$A18,DATA!F:F)</f>
        <v>468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100</v>
      </c>
      <c r="L18">
        <f>SUMIF(DATA!$A:$A,PPL!$A18,DATA!J:J)</f>
        <v>0</v>
      </c>
      <c r="M18">
        <f t="shared" si="0"/>
        <v>161</v>
      </c>
      <c r="N18" s="3">
        <f t="shared" si="1"/>
        <v>25.596184419713829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636</v>
      </c>
      <c r="F19">
        <f>SUMIF(DATA!$A:$A,PPL!$A19,DATA!D:D)</f>
        <v>54</v>
      </c>
      <c r="G19">
        <f>SUMIF(DATA!$A:$A,PPL!$A19,DATA!E:E)</f>
        <v>13</v>
      </c>
      <c r="H19">
        <f>SUMIF(DATA!$A:$A,PPL!$A19,DATA!F:F)</f>
        <v>435</v>
      </c>
      <c r="I19">
        <f>SUMIF(DATA!$A:$A,PPL!$A19,DATA!G:G)</f>
        <v>6</v>
      </c>
      <c r="J19">
        <f>SUMIF(DATA!$A:$A,PPL!$A19,DATA!H:H)</f>
        <v>0</v>
      </c>
      <c r="K19">
        <f>SUMIF(DATA!$A:$A,PPL!$A19,DATA!I:I)</f>
        <v>128</v>
      </c>
      <c r="L19">
        <f>SUMIF(DATA!$A:$A,PPL!$A19,DATA!J:J)</f>
        <v>0</v>
      </c>
      <c r="M19">
        <f t="shared" si="0"/>
        <v>201</v>
      </c>
      <c r="N19" s="3">
        <f t="shared" si="1"/>
        <v>28.616352201257861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611</v>
      </c>
      <c r="F20">
        <f>SUMIF(DATA!$A:$A,PPL!$A20,DATA!D:D)</f>
        <v>19</v>
      </c>
      <c r="G20">
        <f>SUMIF(DATA!$A:$A,PPL!$A20,DATA!E:E)</f>
        <v>55</v>
      </c>
      <c r="H20">
        <f>SUMIF(DATA!$A:$A,PPL!$A20,DATA!F:F)</f>
        <v>431</v>
      </c>
      <c r="I20">
        <f>SUMIF(DATA!$A:$A,PPL!$A20,DATA!G:G)</f>
        <v>4</v>
      </c>
      <c r="J20">
        <f>SUMIF(DATA!$A:$A,PPL!$A20,DATA!H:H)</f>
        <v>0</v>
      </c>
      <c r="K20">
        <f>SUMIF(DATA!$A:$A,PPL!$A20,DATA!I:I)</f>
        <v>102</v>
      </c>
      <c r="L20">
        <f>SUMIF(DATA!$A:$A,PPL!$A20,DATA!J:J)</f>
        <v>0</v>
      </c>
      <c r="M20">
        <f t="shared" si="0"/>
        <v>180</v>
      </c>
      <c r="N20" s="3">
        <f t="shared" si="1"/>
        <v>19.803600654664486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617</v>
      </c>
      <c r="F21">
        <f>SUMIF(DATA!$A:$A,PPL!$A21,DATA!D:D)</f>
        <v>20</v>
      </c>
      <c r="G21">
        <f>SUMIF(DATA!$A:$A,PPL!$A21,DATA!E:E)</f>
        <v>33</v>
      </c>
      <c r="H21">
        <f>SUMIF(DATA!$A:$A,PPL!$A21,DATA!F:F)</f>
        <v>470</v>
      </c>
      <c r="I21">
        <f>SUMIF(DATA!$A:$A,PPL!$A21,DATA!G:G)</f>
        <v>17</v>
      </c>
      <c r="J21">
        <f>SUMIF(DATA!$A:$A,PPL!$A21,DATA!H:H)</f>
        <v>0</v>
      </c>
      <c r="K21">
        <f>SUMIF(DATA!$A:$A,PPL!$A21,DATA!I:I)</f>
        <v>77</v>
      </c>
      <c r="L21">
        <f>SUMIF(DATA!$A:$A,PPL!$A21,DATA!J:J)</f>
        <v>0</v>
      </c>
      <c r="M21">
        <f t="shared" si="0"/>
        <v>147</v>
      </c>
      <c r="N21" s="3">
        <f t="shared" si="1"/>
        <v>15.721231766612643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603</v>
      </c>
      <c r="F22">
        <f>SUMIF(DATA!$A:$A,PPL!$A22,DATA!D:D)</f>
        <v>39</v>
      </c>
      <c r="G22">
        <f>SUMIF(DATA!$A:$A,PPL!$A22,DATA!E:E)</f>
        <v>26</v>
      </c>
      <c r="H22">
        <f>SUMIF(DATA!$A:$A,PPL!$A22,DATA!F:F)</f>
        <v>433</v>
      </c>
      <c r="I22">
        <f>SUMIF(DATA!$A:$A,PPL!$A22,DATA!G:G)</f>
        <v>10</v>
      </c>
      <c r="J22">
        <f>SUMIF(DATA!$A:$A,PPL!$A22,DATA!H:H)</f>
        <v>0</v>
      </c>
      <c r="K22">
        <f>SUMIF(DATA!$A:$A,PPL!$A22,DATA!I:I)</f>
        <v>95</v>
      </c>
      <c r="L22">
        <f>SUMIF(DATA!$A:$A,PPL!$A22,DATA!J:J)</f>
        <v>0</v>
      </c>
      <c r="M22">
        <f t="shared" si="0"/>
        <v>170</v>
      </c>
      <c r="N22" s="3">
        <f t="shared" si="1"/>
        <v>22.222222222222221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668</v>
      </c>
      <c r="F23">
        <f>SUMIF(DATA!$A:$A,PPL!$A23,DATA!D:D)</f>
        <v>95</v>
      </c>
      <c r="G23">
        <f>SUMIF(DATA!$A:$A,PPL!$A23,DATA!E:E)</f>
        <v>106</v>
      </c>
      <c r="H23">
        <f>SUMIF(DATA!$A:$A,PPL!$A23,DATA!F:F)</f>
        <v>444</v>
      </c>
      <c r="I23">
        <f>SUMIF(DATA!$A:$A,PPL!$A23,DATA!G:G)</f>
        <v>14</v>
      </c>
      <c r="J23">
        <f>SUMIF(DATA!$A:$A,PPL!$A23,DATA!H:H)</f>
        <v>0</v>
      </c>
      <c r="K23">
        <f>SUMIF(DATA!$A:$A,PPL!$A23,DATA!I:I)</f>
        <v>9</v>
      </c>
      <c r="L23">
        <f>SUMIF(DATA!$A:$A,PPL!$A23,DATA!J:J)</f>
        <v>0</v>
      </c>
      <c r="M23">
        <f t="shared" si="0"/>
        <v>224</v>
      </c>
      <c r="N23" s="3">
        <f t="shared" si="1"/>
        <v>15.568862275449103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668</v>
      </c>
      <c r="F24">
        <f>SUMIF(DATA!$A:$A,PPL!$A24,DATA!D:D)</f>
        <v>62</v>
      </c>
      <c r="G24">
        <f>SUMIF(DATA!$A:$A,PPL!$A24,DATA!E:E)</f>
        <v>12</v>
      </c>
      <c r="H24">
        <f>SUMIF(DATA!$A:$A,PPL!$A24,DATA!F:F)</f>
        <v>464</v>
      </c>
      <c r="I24">
        <f>SUMIF(DATA!$A:$A,PPL!$A24,DATA!G:G)</f>
        <v>10</v>
      </c>
      <c r="J24">
        <f>SUMIF(DATA!$A:$A,PPL!$A24,DATA!H:H)</f>
        <v>0</v>
      </c>
      <c r="K24">
        <f>SUMIF(DATA!$A:$A,PPL!$A24,DATA!I:I)</f>
        <v>120</v>
      </c>
      <c r="L24">
        <f>SUMIF(DATA!$A:$A,PPL!$A24,DATA!J:J)</f>
        <v>0</v>
      </c>
      <c r="M24">
        <f t="shared" si="0"/>
        <v>204</v>
      </c>
      <c r="N24" s="3">
        <f t="shared" si="1"/>
        <v>27.245508982035926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653</v>
      </c>
      <c r="F25">
        <f>SUMIF(DATA!$A:$A,PPL!$A25,DATA!D:D)</f>
        <v>36</v>
      </c>
      <c r="G25">
        <f>SUMIF(DATA!$A:$A,PPL!$A25,DATA!E:E)</f>
        <v>31</v>
      </c>
      <c r="H25">
        <f>SUMIF(DATA!$A:$A,PPL!$A25,DATA!F:F)</f>
        <v>504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64</v>
      </c>
      <c r="L25">
        <f>SUMIF(DATA!$A:$A,PPL!$A25,DATA!J:J)</f>
        <v>0</v>
      </c>
      <c r="M25">
        <f t="shared" si="0"/>
        <v>149</v>
      </c>
      <c r="N25" s="3">
        <f t="shared" si="1"/>
        <v>15.313935681470136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700</v>
      </c>
      <c r="F26">
        <f>SUMIF(DATA!$A:$A,PPL!$A26,DATA!D:D)</f>
        <v>81</v>
      </c>
      <c r="G26">
        <f>SUMIF(DATA!$A:$A,PPL!$A26,DATA!E:E)</f>
        <v>29</v>
      </c>
      <c r="H26">
        <f>SUMIF(DATA!$A:$A,PPL!$A26,DATA!F:F)</f>
        <v>513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75</v>
      </c>
      <c r="L26">
        <f>SUMIF(DATA!$A:$A,PPL!$A26,DATA!J:J)</f>
        <v>0</v>
      </c>
      <c r="M26">
        <f t="shared" si="0"/>
        <v>187</v>
      </c>
      <c r="N26" s="3">
        <f t="shared" si="1"/>
        <v>22.285714285714285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621</v>
      </c>
      <c r="F27">
        <f>SUMIF(DATA!$A:$A,PPL!$A27,DATA!D:D)</f>
        <v>17</v>
      </c>
      <c r="G27">
        <f>SUMIF(DATA!$A:$A,PPL!$A27,DATA!E:E)</f>
        <v>52</v>
      </c>
      <c r="H27">
        <f>SUMIF(DATA!$A:$A,PPL!$A27,DATA!F:F)</f>
        <v>482</v>
      </c>
      <c r="I27">
        <f>SUMIF(DATA!$A:$A,PPL!$A27,DATA!G:G)</f>
        <v>7</v>
      </c>
      <c r="J27">
        <f>SUMIF(DATA!$A:$A,PPL!$A27,DATA!H:H)</f>
        <v>0</v>
      </c>
      <c r="K27">
        <f>SUMIF(DATA!$A:$A,PPL!$A27,DATA!I:I)</f>
        <v>63</v>
      </c>
      <c r="L27">
        <f>SUMIF(DATA!$A:$A,PPL!$A27,DATA!J:J)</f>
        <v>0</v>
      </c>
      <c r="M27">
        <f t="shared" si="0"/>
        <v>139</v>
      </c>
      <c r="N27" s="3">
        <f t="shared" si="1"/>
        <v>12.882447665056359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646</v>
      </c>
      <c r="F28">
        <f>SUMIF(DATA!$A:$A,PPL!$A28,DATA!D:D)</f>
        <v>36</v>
      </c>
      <c r="G28">
        <f>SUMIF(DATA!$A:$A,PPL!$A28,DATA!E:E)</f>
        <v>5</v>
      </c>
      <c r="H28">
        <f>SUMIF(DATA!$A:$A,PPL!$A28,DATA!F:F)</f>
        <v>494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111</v>
      </c>
      <c r="L28">
        <f>SUMIF(DATA!$A:$A,PPL!$A28,DATA!J:J)</f>
        <v>0</v>
      </c>
      <c r="M28">
        <f t="shared" si="0"/>
        <v>152</v>
      </c>
      <c r="N28" s="3">
        <f t="shared" si="1"/>
        <v>22.755417956656345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604</v>
      </c>
      <c r="F29">
        <f>SUMIF(DATA!$A:$A,PPL!$A29,DATA!D:D)</f>
        <v>20</v>
      </c>
      <c r="G29">
        <f>SUMIF(DATA!$A:$A,PPL!$A29,DATA!E:E)</f>
        <v>27</v>
      </c>
      <c r="H29">
        <f>SUMIF(DATA!$A:$A,PPL!$A29,DATA!F:F)</f>
        <v>505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52</v>
      </c>
      <c r="L29">
        <f>SUMIF(DATA!$A:$A,PPL!$A29,DATA!J:J)</f>
        <v>0</v>
      </c>
      <c r="M29">
        <f t="shared" si="0"/>
        <v>99</v>
      </c>
      <c r="N29" s="3">
        <f t="shared" si="1"/>
        <v>11.920529801324504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660</v>
      </c>
      <c r="F30">
        <f>SUMIF(DATA!$A:$A,PPL!$A30,DATA!D:D)</f>
        <v>84</v>
      </c>
      <c r="G30">
        <f>SUMIF(DATA!$A:$A,PPL!$A30,DATA!E:E)</f>
        <v>30</v>
      </c>
      <c r="H30">
        <f>SUMIF(DATA!$A:$A,PPL!$A30,DATA!F:F)</f>
        <v>500</v>
      </c>
      <c r="I30">
        <f>SUMIF(DATA!$A:$A,PPL!$A30,DATA!G:G)</f>
        <v>1</v>
      </c>
      <c r="J30">
        <f>SUMIF(DATA!$A:$A,PPL!$A30,DATA!H:H)</f>
        <v>0</v>
      </c>
      <c r="K30">
        <f>SUMIF(DATA!$A:$A,PPL!$A30,DATA!I:I)</f>
        <v>45</v>
      </c>
      <c r="L30">
        <f>SUMIF(DATA!$A:$A,PPL!$A30,DATA!J:J)</f>
        <v>0</v>
      </c>
      <c r="M30">
        <f t="shared" si="0"/>
        <v>160</v>
      </c>
      <c r="N30" s="3">
        <f t="shared" si="1"/>
        <v>19.545454545454547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623</v>
      </c>
      <c r="F31">
        <f>SUMIF(DATA!$A:$A,PPL!$A31,DATA!D:D)</f>
        <v>21</v>
      </c>
      <c r="G31">
        <f>SUMIF(DATA!$A:$A,PPL!$A31,DATA!E:E)</f>
        <v>32</v>
      </c>
      <c r="H31">
        <f>SUMIF(DATA!$A:$A,PPL!$A31,DATA!F:F)</f>
        <v>450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120</v>
      </c>
      <c r="L31">
        <f>SUMIF(DATA!$A:$A,PPL!$A31,DATA!J:J)</f>
        <v>0</v>
      </c>
      <c r="M31">
        <f t="shared" si="0"/>
        <v>173</v>
      </c>
      <c r="N31" s="3">
        <f t="shared" si="1"/>
        <v>22.632423756019264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595</v>
      </c>
      <c r="F32">
        <f>SUMIF(DATA!$A:$A,PPL!$A32,DATA!D:D)</f>
        <v>6</v>
      </c>
      <c r="G32">
        <f>SUMIF(DATA!$A:$A,PPL!$A32,DATA!E:E)</f>
        <v>55</v>
      </c>
      <c r="H32">
        <f>SUMIF(DATA!$A:$A,PPL!$A32,DATA!F:F)</f>
        <v>462</v>
      </c>
      <c r="I32">
        <f>SUMIF(DATA!$A:$A,PPL!$A32,DATA!G:G)</f>
        <v>3</v>
      </c>
      <c r="J32">
        <f>SUMIF(DATA!$A:$A,PPL!$A32,DATA!H:H)</f>
        <v>0</v>
      </c>
      <c r="K32">
        <f>SUMIF(DATA!$A:$A,PPL!$A32,DATA!I:I)</f>
        <v>69</v>
      </c>
      <c r="L32">
        <f>SUMIF(DATA!$A:$A,PPL!$A32,DATA!J:J)</f>
        <v>0</v>
      </c>
      <c r="M32">
        <f t="shared" si="0"/>
        <v>133</v>
      </c>
      <c r="N32" s="3">
        <f t="shared" si="1"/>
        <v>12.605042016806722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659</v>
      </c>
      <c r="F33">
        <f>SUMIF(DATA!$A:$A,PPL!$A33,DATA!D:D)</f>
        <v>17</v>
      </c>
      <c r="G33">
        <f>SUMIF(DATA!$A:$A,PPL!$A33,DATA!E:E)</f>
        <v>34</v>
      </c>
      <c r="H33">
        <f>SUMIF(DATA!$A:$A,PPL!$A33,DATA!F:F)</f>
        <v>410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198</v>
      </c>
      <c r="L33">
        <f>SUMIF(DATA!$A:$A,PPL!$A33,DATA!J:J)</f>
        <v>0</v>
      </c>
      <c r="M33">
        <f t="shared" si="0"/>
        <v>249</v>
      </c>
      <c r="N33" s="3">
        <f t="shared" si="1"/>
        <v>32.625189681335357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639</v>
      </c>
      <c r="F34">
        <f>SUMIF(DATA!$A:$A,PPL!$A34,DATA!D:D)</f>
        <v>42</v>
      </c>
      <c r="G34">
        <f>SUMIF(DATA!$A:$A,PPL!$A34,DATA!E:E)</f>
        <v>56</v>
      </c>
      <c r="H34">
        <f>SUMIF(DATA!$A:$A,PPL!$A34,DATA!F:F)</f>
        <v>457</v>
      </c>
      <c r="I34">
        <f>SUMIF(DATA!$A:$A,PPL!$A34,DATA!G:G)</f>
        <v>7</v>
      </c>
      <c r="J34">
        <f>SUMIF(DATA!$A:$A,PPL!$A34,DATA!H:H)</f>
        <v>1</v>
      </c>
      <c r="K34">
        <f>SUMIF(DATA!$A:$A,PPL!$A34,DATA!I:I)</f>
        <v>76</v>
      </c>
      <c r="L34">
        <f>SUMIF(DATA!$A:$A,PPL!$A34,DATA!J:J)</f>
        <v>0</v>
      </c>
      <c r="M34">
        <f t="shared" si="0"/>
        <v>182</v>
      </c>
      <c r="N34" s="3">
        <f t="shared" si="1"/>
        <v>18.466353677621285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653</v>
      </c>
      <c r="F35">
        <f>SUMIF(DATA!$A:$A,PPL!$A35,DATA!D:D)</f>
        <v>16</v>
      </c>
      <c r="G35">
        <f>SUMIF(DATA!$A:$A,PPL!$A35,DATA!E:E)</f>
        <v>14</v>
      </c>
      <c r="H35">
        <f>SUMIF(DATA!$A:$A,PPL!$A35,DATA!F:F)</f>
        <v>445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178</v>
      </c>
      <c r="L35">
        <f>SUMIF(DATA!$A:$A,PPL!$A35,DATA!J:J)</f>
        <v>0</v>
      </c>
      <c r="M35">
        <f t="shared" si="0"/>
        <v>208</v>
      </c>
      <c r="N35" s="3">
        <f t="shared" si="1"/>
        <v>29.709035222052066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616</v>
      </c>
      <c r="F36">
        <f>SUMIF(DATA!$A:$A,PPL!$A36,DATA!D:D)</f>
        <v>91</v>
      </c>
      <c r="G36">
        <f>SUMIF(DATA!$A:$A,PPL!$A36,DATA!E:E)</f>
        <v>77</v>
      </c>
      <c r="H36">
        <f>SUMIF(DATA!$A:$A,PPL!$A36,DATA!F:F)</f>
        <v>432</v>
      </c>
      <c r="I36">
        <f>SUMIF(DATA!$A:$A,PPL!$A36,DATA!G:G)</f>
        <v>2</v>
      </c>
      <c r="J36">
        <f>SUMIF(DATA!$A:$A,PPL!$A36,DATA!H:H)</f>
        <v>0</v>
      </c>
      <c r="K36">
        <f>SUMIF(DATA!$A:$A,PPL!$A36,DATA!I:I)</f>
        <v>14</v>
      </c>
      <c r="L36">
        <f>SUMIF(DATA!$A:$A,PPL!$A36,DATA!J:J)</f>
        <v>0</v>
      </c>
      <c r="M36">
        <f t="shared" si="0"/>
        <v>184</v>
      </c>
      <c r="N36" s="3">
        <f t="shared" si="1"/>
        <v>17.045454545454543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602</v>
      </c>
      <c r="F37">
        <f>SUMIF(DATA!$A:$A,PPL!$A37,DATA!D:D)</f>
        <v>23</v>
      </c>
      <c r="G37">
        <f>SUMIF(DATA!$A:$A,PPL!$A37,DATA!E:E)</f>
        <v>82</v>
      </c>
      <c r="H37">
        <f>SUMIF(DATA!$A:$A,PPL!$A37,DATA!F:F)</f>
        <v>455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42</v>
      </c>
      <c r="L37">
        <f>SUMIF(DATA!$A:$A,PPL!$A37,DATA!J:J)</f>
        <v>0</v>
      </c>
      <c r="M37">
        <f t="shared" si="0"/>
        <v>147</v>
      </c>
      <c r="N37" s="3">
        <f t="shared" si="1"/>
        <v>10.79734219269103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779</v>
      </c>
      <c r="F38">
        <f>SUMIF(DATA!$A:$A,PPL!$A38,DATA!D:D)</f>
        <v>133</v>
      </c>
      <c r="G38">
        <f>SUMIF(DATA!$A:$A,PPL!$A38,DATA!E:E)</f>
        <v>50</v>
      </c>
      <c r="H38">
        <f>SUMIF(DATA!$A:$A,PPL!$A38,DATA!F:F)</f>
        <v>483</v>
      </c>
      <c r="I38">
        <f>SUMIF(DATA!$A:$A,PPL!$A38,DATA!G:G)</f>
        <v>3</v>
      </c>
      <c r="J38">
        <f>SUMIF(DATA!$A:$A,PPL!$A38,DATA!H:H)</f>
        <v>1</v>
      </c>
      <c r="K38">
        <f>SUMIF(DATA!$A:$A,PPL!$A38,DATA!I:I)</f>
        <v>109</v>
      </c>
      <c r="L38">
        <f>SUMIF(DATA!$A:$A,PPL!$A38,DATA!J:J)</f>
        <v>0</v>
      </c>
      <c r="M38">
        <f t="shared" si="0"/>
        <v>296</v>
      </c>
      <c r="N38" s="3">
        <f t="shared" si="1"/>
        <v>31.065468549422338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624</v>
      </c>
      <c r="F39">
        <f>SUMIF(DATA!$A:$A,PPL!$A39,DATA!D:D)</f>
        <v>51</v>
      </c>
      <c r="G39">
        <f>SUMIF(DATA!$A:$A,PPL!$A39,DATA!E:E)</f>
        <v>80</v>
      </c>
      <c r="H39">
        <f>SUMIF(DATA!$A:$A,PPL!$A39,DATA!F:F)</f>
        <v>454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22</v>
      </c>
      <c r="L39">
        <f>SUMIF(DATA!$A:$A,PPL!$A39,DATA!J:J)</f>
        <v>0</v>
      </c>
      <c r="M39">
        <f t="shared" si="0"/>
        <v>170</v>
      </c>
      <c r="N39" s="3">
        <f t="shared" si="1"/>
        <v>11.698717948717949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679</v>
      </c>
      <c r="F40">
        <f>SUMIF(DATA!$A:$A,PPL!$A40,DATA!D:D)</f>
        <v>59</v>
      </c>
      <c r="G40">
        <f>SUMIF(DATA!$A:$A,PPL!$A40,DATA!E:E)</f>
        <v>47</v>
      </c>
      <c r="H40">
        <f>SUMIF(DATA!$A:$A,PPL!$A40,DATA!F:F)</f>
        <v>515</v>
      </c>
      <c r="I40">
        <f>SUMIF(DATA!$A:$A,PPL!$A40,DATA!G:G)</f>
        <v>6</v>
      </c>
      <c r="J40">
        <f>SUMIF(DATA!$A:$A,PPL!$A40,DATA!H:H)</f>
        <v>0</v>
      </c>
      <c r="K40">
        <f>SUMIF(DATA!$A:$A,PPL!$A40,DATA!I:I)</f>
        <v>52</v>
      </c>
      <c r="L40">
        <f>SUMIF(DATA!$A:$A,PPL!$A40,DATA!J:J)</f>
        <v>0</v>
      </c>
      <c r="M40">
        <f t="shared" si="0"/>
        <v>164</v>
      </c>
      <c r="N40" s="3">
        <f t="shared" si="1"/>
        <v>16.347569955817377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633</v>
      </c>
      <c r="F41">
        <f>SUMIF(DATA!$A:$A,PPL!$A41,DATA!D:D)</f>
        <v>42</v>
      </c>
      <c r="G41">
        <f>SUMIF(DATA!$A:$A,PPL!$A41,DATA!E:E)</f>
        <v>9</v>
      </c>
      <c r="H41">
        <f>SUMIF(DATA!$A:$A,PPL!$A41,DATA!F:F)</f>
        <v>516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66</v>
      </c>
      <c r="L41">
        <f>SUMIF(DATA!$A:$A,PPL!$A41,DATA!J:J)</f>
        <v>0</v>
      </c>
      <c r="M41">
        <f t="shared" si="0"/>
        <v>117</v>
      </c>
      <c r="N41" s="3">
        <f t="shared" si="1"/>
        <v>17.061611374407583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608</v>
      </c>
      <c r="F42">
        <f>SUMIF(DATA!$A:$A,PPL!$A42,DATA!D:D)</f>
        <v>27</v>
      </c>
      <c r="G42">
        <f>SUMIF(DATA!$A:$A,PPL!$A42,DATA!E:E)</f>
        <v>6</v>
      </c>
      <c r="H42">
        <f>SUMIF(DATA!$A:$A,PPL!$A42,DATA!F:F)</f>
        <v>478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97</v>
      </c>
      <c r="L42">
        <f>SUMIF(DATA!$A:$A,PPL!$A42,DATA!J:J)</f>
        <v>0</v>
      </c>
      <c r="M42">
        <f t="shared" si="0"/>
        <v>130</v>
      </c>
      <c r="N42" s="3">
        <f t="shared" si="1"/>
        <v>20.394736842105264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604</v>
      </c>
      <c r="F43">
        <f>SUMIF(DATA!$A:$A,PPL!$A43,DATA!D:D)</f>
        <v>3</v>
      </c>
      <c r="G43">
        <f>SUMIF(DATA!$A:$A,PPL!$A43,DATA!E:E)</f>
        <v>32</v>
      </c>
      <c r="H43">
        <f>SUMIF(DATA!$A:$A,PPL!$A43,DATA!F:F)</f>
        <v>494</v>
      </c>
      <c r="I43">
        <f>SUMIF(DATA!$A:$A,PPL!$A43,DATA!G:G)</f>
        <v>9</v>
      </c>
      <c r="J43">
        <f>SUMIF(DATA!$A:$A,PPL!$A43,DATA!H:H)</f>
        <v>0</v>
      </c>
      <c r="K43">
        <f>SUMIF(DATA!$A:$A,PPL!$A43,DATA!I:I)</f>
        <v>66</v>
      </c>
      <c r="L43">
        <f>SUMIF(DATA!$A:$A,PPL!$A43,DATA!J:J)</f>
        <v>0</v>
      </c>
      <c r="M43">
        <f t="shared" si="0"/>
        <v>110</v>
      </c>
      <c r="N43" s="3">
        <f t="shared" si="1"/>
        <v>11.423841059602649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656</v>
      </c>
      <c r="F44">
        <f>SUMIF(DATA!$A:$A,PPL!$A44,DATA!D:D)</f>
        <v>22</v>
      </c>
      <c r="G44">
        <f>SUMIF(DATA!$A:$A,PPL!$A44,DATA!E:E)</f>
        <v>5</v>
      </c>
      <c r="H44">
        <f>SUMIF(DATA!$A:$A,PPL!$A44,DATA!F:F)</f>
        <v>490</v>
      </c>
      <c r="I44">
        <f>SUMIF(DATA!$A:$A,PPL!$A44,DATA!G:G)</f>
        <v>14</v>
      </c>
      <c r="J44">
        <f>SUMIF(DATA!$A:$A,PPL!$A44,DATA!H:H)</f>
        <v>0</v>
      </c>
      <c r="K44">
        <f>SUMIF(DATA!$A:$A,PPL!$A44,DATA!I:I)</f>
        <v>124</v>
      </c>
      <c r="L44">
        <f>SUMIF(DATA!$A:$A,PPL!$A44,DATA!J:J)</f>
        <v>1</v>
      </c>
      <c r="M44">
        <f t="shared" si="0"/>
        <v>166</v>
      </c>
      <c r="N44" s="3">
        <f t="shared" si="1"/>
        <v>22.256097560975611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680</v>
      </c>
      <c r="F45">
        <f>SUMIF(DATA!$A:$A,PPL!$A45,DATA!D:D)</f>
        <v>29</v>
      </c>
      <c r="G45">
        <f>SUMIF(DATA!$A:$A,PPL!$A45,DATA!E:E)</f>
        <v>26</v>
      </c>
      <c r="H45">
        <f>SUMIF(DATA!$A:$A,PPL!$A45,DATA!F:F)</f>
        <v>478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147</v>
      </c>
      <c r="L45">
        <f>SUMIF(DATA!$A:$A,PPL!$A45,DATA!J:J)</f>
        <v>0</v>
      </c>
      <c r="M45">
        <f t="shared" si="0"/>
        <v>202</v>
      </c>
      <c r="N45" s="3">
        <f t="shared" si="1"/>
        <v>25.882352941176475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626</v>
      </c>
      <c r="F46">
        <f>SUMIF(DATA!$A:$A,PPL!$A46,DATA!D:D)</f>
        <v>5</v>
      </c>
      <c r="G46">
        <f>SUMIF(DATA!$A:$A,PPL!$A46,DATA!E:E)</f>
        <v>29</v>
      </c>
      <c r="H46">
        <f>SUMIF(DATA!$A:$A,PPL!$A46,DATA!F:F)</f>
        <v>526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66</v>
      </c>
      <c r="L46">
        <f>SUMIF(DATA!$A:$A,PPL!$A46,DATA!J:J)</f>
        <v>0</v>
      </c>
      <c r="M46">
        <f t="shared" si="0"/>
        <v>100</v>
      </c>
      <c r="N46" s="3">
        <f t="shared" si="1"/>
        <v>11.341853035143771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620</v>
      </c>
      <c r="F47">
        <f>SUMIF(DATA!$A:$A,PPL!$A47,DATA!D:D)</f>
        <v>11</v>
      </c>
      <c r="G47">
        <f>SUMIF(DATA!$A:$A,PPL!$A47,DATA!E:E)</f>
        <v>20</v>
      </c>
      <c r="H47">
        <f>SUMIF(DATA!$A:$A,PPL!$A47,DATA!F:F)</f>
        <v>446</v>
      </c>
      <c r="I47">
        <f>SUMIF(DATA!$A:$A,PPL!$A47,DATA!G:G)</f>
        <v>2</v>
      </c>
      <c r="J47">
        <f>SUMIF(DATA!$A:$A,PPL!$A47,DATA!H:H)</f>
        <v>0</v>
      </c>
      <c r="K47">
        <f>SUMIF(DATA!$A:$A,PPL!$A47,DATA!I:I)</f>
        <v>141</v>
      </c>
      <c r="L47">
        <f>SUMIF(DATA!$A:$A,PPL!$A47,DATA!J:J)</f>
        <v>0</v>
      </c>
      <c r="M47">
        <f t="shared" si="0"/>
        <v>174</v>
      </c>
      <c r="N47" s="3">
        <f t="shared" si="1"/>
        <v>24.516129032258064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445</v>
      </c>
      <c r="F48">
        <f>SUMIF(DATA!$A:$A,PPL!$A48,DATA!D:D)</f>
        <v>54</v>
      </c>
      <c r="G48">
        <f>SUMIF(DATA!$A:$A,PPL!$A48,DATA!E:E)</f>
        <v>26</v>
      </c>
      <c r="H48">
        <f>SUMIF(DATA!$A:$A,PPL!$A48,DATA!F:F)</f>
        <v>281</v>
      </c>
      <c r="I48">
        <f>SUMIF(DATA!$A:$A,PPL!$A48,DATA!G:G)</f>
        <v>25</v>
      </c>
      <c r="J48">
        <f>SUMIF(DATA!$A:$A,PPL!$A48,DATA!H:H)</f>
        <v>0</v>
      </c>
      <c r="K48">
        <f>SUMIF(DATA!$A:$A,PPL!$A48,DATA!I:I)</f>
        <v>59</v>
      </c>
      <c r="L48">
        <f>SUMIF(DATA!$A:$A,PPL!$A48,DATA!J:J)</f>
        <v>0</v>
      </c>
      <c r="M48">
        <f t="shared" si="0"/>
        <v>164</v>
      </c>
      <c r="N48" s="3">
        <f t="shared" si="1"/>
        <v>25.393258426966291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481</v>
      </c>
      <c r="F49">
        <f>SUMIF(DATA!$A:$A,PPL!$A49,DATA!D:D)</f>
        <v>11</v>
      </c>
      <c r="G49">
        <f>SUMIF(DATA!$A:$A,PPL!$A49,DATA!E:E)</f>
        <v>20</v>
      </c>
      <c r="H49">
        <f>SUMIF(DATA!$A:$A,PPL!$A49,DATA!F:F)</f>
        <v>304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145</v>
      </c>
      <c r="L49">
        <f>SUMIF(DATA!$A:$A,PPL!$A49,DATA!J:J)</f>
        <v>0</v>
      </c>
      <c r="M49">
        <f t="shared" si="0"/>
        <v>177</v>
      </c>
      <c r="N49" s="3">
        <f t="shared" si="1"/>
        <v>32.432432432432435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594</v>
      </c>
      <c r="F50">
        <f>SUMIF(DATA!$A:$A,PPL!$A50,DATA!D:D)</f>
        <v>60</v>
      </c>
      <c r="G50">
        <f>SUMIF(DATA!$A:$A,PPL!$A50,DATA!E:E)</f>
        <v>3</v>
      </c>
      <c r="H50">
        <f>SUMIF(DATA!$A:$A,PPL!$A50,DATA!F:F)</f>
        <v>427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104</v>
      </c>
      <c r="L50">
        <f>SUMIF(DATA!$A:$A,PPL!$A50,DATA!J:J)</f>
        <v>0</v>
      </c>
      <c r="M50">
        <f t="shared" si="0"/>
        <v>167</v>
      </c>
      <c r="N50" s="3">
        <f t="shared" si="1"/>
        <v>27.609427609427613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611</v>
      </c>
      <c r="F51">
        <f>SUMIF(DATA!$A:$A,PPL!$A51,DATA!D:D)</f>
        <v>22</v>
      </c>
      <c r="G51">
        <f>SUMIF(DATA!$A:$A,PPL!$A51,DATA!E:E)</f>
        <v>42</v>
      </c>
      <c r="H51">
        <f>SUMIF(DATA!$A:$A,PPL!$A51,DATA!F:F)</f>
        <v>443</v>
      </c>
      <c r="I51">
        <f>SUMIF(DATA!$A:$A,PPL!$A51,DATA!G:G)</f>
        <v>1</v>
      </c>
      <c r="J51">
        <f>SUMIF(DATA!$A:$A,PPL!$A51,DATA!H:H)</f>
        <v>0</v>
      </c>
      <c r="K51">
        <f>SUMIF(DATA!$A:$A,PPL!$A51,DATA!I:I)</f>
        <v>103</v>
      </c>
      <c r="L51">
        <f>SUMIF(DATA!$A:$A,PPL!$A51,DATA!J:J)</f>
        <v>0</v>
      </c>
      <c r="M51">
        <f t="shared" si="0"/>
        <v>168</v>
      </c>
      <c r="N51" s="3">
        <f t="shared" si="1"/>
        <v>20.458265139116204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587</v>
      </c>
      <c r="F52">
        <f>SUMIF(DATA!$A:$A,PPL!$A52,DATA!D:D)</f>
        <v>2</v>
      </c>
      <c r="G52">
        <f>SUMIF(DATA!$A:$A,PPL!$A52,DATA!E:E)</f>
        <v>11</v>
      </c>
      <c r="H52">
        <f>SUMIF(DATA!$A:$A,PPL!$A52,DATA!F:F)</f>
        <v>427</v>
      </c>
      <c r="I52">
        <f>SUMIF(DATA!$A:$A,PPL!$A52,DATA!G:G)</f>
        <v>1</v>
      </c>
      <c r="J52">
        <f>SUMIF(DATA!$A:$A,PPL!$A52,DATA!H:H)</f>
        <v>0</v>
      </c>
      <c r="K52">
        <f>SUMIF(DATA!$A:$A,PPL!$A52,DATA!I:I)</f>
        <v>146</v>
      </c>
      <c r="L52">
        <f>SUMIF(DATA!$A:$A,PPL!$A52,DATA!J:J)</f>
        <v>0</v>
      </c>
      <c r="M52">
        <f t="shared" si="0"/>
        <v>160</v>
      </c>
      <c r="N52" s="3">
        <f t="shared" si="1"/>
        <v>25.2129471890971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630</v>
      </c>
      <c r="F53">
        <f>SUMIF(DATA!$A:$A,PPL!$A53,DATA!D:D)</f>
        <v>26</v>
      </c>
      <c r="G53">
        <f>SUMIF(DATA!$A:$A,PPL!$A53,DATA!E:E)</f>
        <v>45</v>
      </c>
      <c r="H53">
        <f>SUMIF(DATA!$A:$A,PPL!$A53,DATA!F:F)</f>
        <v>480</v>
      </c>
      <c r="I53">
        <f>SUMIF(DATA!$A:$A,PPL!$A53,DATA!G:G)</f>
        <v>1</v>
      </c>
      <c r="J53">
        <f>SUMIF(DATA!$A:$A,PPL!$A53,DATA!H:H)</f>
        <v>0</v>
      </c>
      <c r="K53">
        <f>SUMIF(DATA!$A:$A,PPL!$A53,DATA!I:I)</f>
        <v>78</v>
      </c>
      <c r="L53">
        <f>SUMIF(DATA!$A:$A,PPL!$A53,DATA!J:J)</f>
        <v>0</v>
      </c>
      <c r="M53">
        <f t="shared" si="0"/>
        <v>150</v>
      </c>
      <c r="N53" s="3">
        <f t="shared" si="1"/>
        <v>16.507936507936506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641</v>
      </c>
      <c r="F54">
        <f>SUMIF(DATA!$A:$A,PPL!$A54,DATA!D:D)</f>
        <v>71</v>
      </c>
      <c r="G54">
        <f>SUMIF(DATA!$A:$A,PPL!$A54,DATA!E:E)</f>
        <v>50</v>
      </c>
      <c r="H54">
        <f>SUMIF(DATA!$A:$A,PPL!$A54,DATA!F:F)</f>
        <v>472</v>
      </c>
      <c r="I54">
        <f>SUMIF(DATA!$A:$A,PPL!$A54,DATA!G:G)</f>
        <v>35</v>
      </c>
      <c r="J54">
        <f>SUMIF(DATA!$A:$A,PPL!$A54,DATA!H:H)</f>
        <v>0</v>
      </c>
      <c r="K54">
        <f>SUMIF(DATA!$A:$A,PPL!$A54,DATA!I:I)</f>
        <v>13</v>
      </c>
      <c r="L54">
        <f>SUMIF(DATA!$A:$A,PPL!$A54,DATA!J:J)</f>
        <v>0</v>
      </c>
      <c r="M54">
        <f t="shared" si="0"/>
        <v>169</v>
      </c>
      <c r="N54" s="3">
        <f t="shared" si="1"/>
        <v>13.104524180967239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594</v>
      </c>
      <c r="F55">
        <f>SUMIF(DATA!$A:$A,PPL!$A55,DATA!D:D)</f>
        <v>41</v>
      </c>
      <c r="G55">
        <f>SUMIF(DATA!$A:$A,PPL!$A55,DATA!E:E)</f>
        <v>70</v>
      </c>
      <c r="H55">
        <f>SUMIF(DATA!$A:$A,PPL!$A55,DATA!F:F)</f>
        <v>429</v>
      </c>
      <c r="I55">
        <f>SUMIF(DATA!$A:$A,PPL!$A55,DATA!G:G)</f>
        <v>2</v>
      </c>
      <c r="J55">
        <f>SUMIF(DATA!$A:$A,PPL!$A55,DATA!H:H)</f>
        <v>0</v>
      </c>
      <c r="K55">
        <f>SUMIF(DATA!$A:$A,PPL!$A55,DATA!I:I)</f>
        <v>52</v>
      </c>
      <c r="L55">
        <f>SUMIF(DATA!$A:$A,PPL!$A55,DATA!J:J)</f>
        <v>0</v>
      </c>
      <c r="M55">
        <f t="shared" si="0"/>
        <v>165</v>
      </c>
      <c r="N55" s="3">
        <f t="shared" si="1"/>
        <v>15.656565656565657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624</v>
      </c>
      <c r="F56">
        <f>SUMIF(DATA!$A:$A,PPL!$A56,DATA!D:D)</f>
        <v>83</v>
      </c>
      <c r="G56">
        <f>SUMIF(DATA!$A:$A,PPL!$A56,DATA!E:E)</f>
        <v>27</v>
      </c>
      <c r="H56">
        <f>SUMIF(DATA!$A:$A,PPL!$A56,DATA!F:F)</f>
        <v>382</v>
      </c>
      <c r="I56">
        <f>SUMIF(DATA!$A:$A,PPL!$A56,DATA!G:G)</f>
        <v>29</v>
      </c>
      <c r="J56">
        <f>SUMIF(DATA!$A:$A,PPL!$A56,DATA!H:H)</f>
        <v>0</v>
      </c>
      <c r="K56">
        <f>SUMIF(DATA!$A:$A,PPL!$A56,DATA!I:I)</f>
        <v>103</v>
      </c>
      <c r="L56">
        <f>SUMIF(DATA!$A:$A,PPL!$A56,DATA!J:J)</f>
        <v>0</v>
      </c>
      <c r="M56">
        <f t="shared" si="0"/>
        <v>242</v>
      </c>
      <c r="N56" s="3">
        <f t="shared" si="1"/>
        <v>29.807692307692307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31</v>
      </c>
      <c r="G57">
        <f>SUMIF(DATA!$A:$A,PPL!$A57,DATA!E:E)</f>
        <v>73</v>
      </c>
      <c r="H57">
        <f>SUMIF(DATA!$A:$A,PPL!$A57,DATA!F:F)</f>
        <v>454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57</v>
      </c>
      <c r="L57">
        <f>SUMIF(DATA!$A:$A,PPL!$A57,DATA!J:J)</f>
        <v>0</v>
      </c>
      <c r="M57">
        <f t="shared" si="0"/>
        <v>161</v>
      </c>
      <c r="N57" s="3">
        <f t="shared" si="1"/>
        <v>14.308943089430896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644</v>
      </c>
      <c r="F58">
        <f>SUMIF(DATA!$A:$A,PPL!$A58,DATA!D:D)</f>
        <v>36</v>
      </c>
      <c r="G58">
        <f>SUMIF(DATA!$A:$A,PPL!$A58,DATA!E:E)</f>
        <v>17</v>
      </c>
      <c r="H58">
        <f>SUMIF(DATA!$A:$A,PPL!$A58,DATA!F:F)</f>
        <v>497</v>
      </c>
      <c r="I58">
        <f>SUMIF(DATA!$A:$A,PPL!$A58,DATA!G:G)</f>
        <v>12</v>
      </c>
      <c r="J58">
        <f>SUMIF(DATA!$A:$A,PPL!$A58,DATA!H:H)</f>
        <v>0</v>
      </c>
      <c r="K58">
        <f>SUMIF(DATA!$A:$A,PPL!$A58,DATA!I:I)</f>
        <v>82</v>
      </c>
      <c r="L58">
        <f>SUMIF(DATA!$A:$A,PPL!$A58,DATA!J:J)</f>
        <v>0</v>
      </c>
      <c r="M58">
        <f t="shared" si="0"/>
        <v>147</v>
      </c>
      <c r="N58" s="3">
        <f t="shared" si="1"/>
        <v>18.322981366459629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563</v>
      </c>
      <c r="F59">
        <f>SUMIF(DATA!$A:$A,PPL!$A59,DATA!D:D)</f>
        <v>1</v>
      </c>
      <c r="G59">
        <f>SUMIF(DATA!$A:$A,PPL!$A59,DATA!E:E)</f>
        <v>28</v>
      </c>
      <c r="H59">
        <f>SUMIF(DATA!$A:$A,PPL!$A59,DATA!F:F)</f>
        <v>457</v>
      </c>
      <c r="I59">
        <f>SUMIF(DATA!$A:$A,PPL!$A59,DATA!G:G)</f>
        <v>16</v>
      </c>
      <c r="J59">
        <f>SUMIF(DATA!$A:$A,PPL!$A59,DATA!H:H)</f>
        <v>0</v>
      </c>
      <c r="K59">
        <f>SUMIF(DATA!$A:$A,PPL!$A59,DATA!I:I)</f>
        <v>61</v>
      </c>
      <c r="L59">
        <f>SUMIF(DATA!$A:$A,PPL!$A59,DATA!J:J)</f>
        <v>0</v>
      </c>
      <c r="M59">
        <f t="shared" si="0"/>
        <v>106</v>
      </c>
      <c r="N59" s="3">
        <f t="shared" si="1"/>
        <v>11.012433392539965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610</v>
      </c>
      <c r="F60">
        <f>SUMIF(DATA!$A:$A,PPL!$A60,DATA!D:D)</f>
        <v>69</v>
      </c>
      <c r="G60">
        <f>SUMIF(DATA!$A:$A,PPL!$A60,DATA!E:E)</f>
        <v>27</v>
      </c>
      <c r="H60">
        <f>SUMIF(DATA!$A:$A,PPL!$A60,DATA!F:F)</f>
        <v>406</v>
      </c>
      <c r="I60">
        <f>SUMIF(DATA!$A:$A,PPL!$A60,DATA!G:G)</f>
        <v>7</v>
      </c>
      <c r="J60">
        <f>SUMIF(DATA!$A:$A,PPL!$A60,DATA!H:H)</f>
        <v>0</v>
      </c>
      <c r="K60">
        <f>SUMIF(DATA!$A:$A,PPL!$A60,DATA!I:I)</f>
        <v>101</v>
      </c>
      <c r="L60">
        <f>SUMIF(DATA!$A:$A,PPL!$A60,DATA!J:J)</f>
        <v>0</v>
      </c>
      <c r="M60">
        <f t="shared" si="0"/>
        <v>204</v>
      </c>
      <c r="N60" s="3">
        <f t="shared" si="1"/>
        <v>27.868852459016392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609</v>
      </c>
      <c r="F61">
        <f>SUMIF(DATA!$A:$A,PPL!$A61,DATA!D:D)</f>
        <v>17</v>
      </c>
      <c r="G61">
        <f>SUMIF(DATA!$A:$A,PPL!$A61,DATA!E:E)</f>
        <v>25</v>
      </c>
      <c r="H61">
        <f>SUMIF(DATA!$A:$A,PPL!$A61,DATA!F:F)</f>
        <v>456</v>
      </c>
      <c r="I61">
        <f>SUMIF(DATA!$A:$A,PPL!$A61,DATA!G:G)</f>
        <v>20</v>
      </c>
      <c r="J61">
        <f>SUMIF(DATA!$A:$A,PPL!$A61,DATA!H:H)</f>
        <v>0</v>
      </c>
      <c r="K61">
        <f>SUMIF(DATA!$A:$A,PPL!$A61,DATA!I:I)</f>
        <v>91</v>
      </c>
      <c r="L61">
        <f>SUMIF(DATA!$A:$A,PPL!$A61,DATA!J:J)</f>
        <v>0</v>
      </c>
      <c r="M61">
        <f t="shared" si="0"/>
        <v>153</v>
      </c>
      <c r="N61" s="3">
        <f t="shared" si="1"/>
        <v>17.733990147783253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617</v>
      </c>
      <c r="F62">
        <f>SUMIF(DATA!$A:$A,PPL!$A62,DATA!D:D)</f>
        <v>34</v>
      </c>
      <c r="G62">
        <f>SUMIF(DATA!$A:$A,PPL!$A62,DATA!E:E)</f>
        <v>1</v>
      </c>
      <c r="H62">
        <f>SUMIF(DATA!$A:$A,PPL!$A62,DATA!F:F)</f>
        <v>465</v>
      </c>
      <c r="I62">
        <f>SUMIF(DATA!$A:$A,PPL!$A62,DATA!G:G)</f>
        <v>3</v>
      </c>
      <c r="J62">
        <f>SUMIF(DATA!$A:$A,PPL!$A62,DATA!H:H)</f>
        <v>1</v>
      </c>
      <c r="K62">
        <f>SUMIF(DATA!$A:$A,PPL!$A62,DATA!I:I)</f>
        <v>112</v>
      </c>
      <c r="L62">
        <f>SUMIF(DATA!$A:$A,PPL!$A62,DATA!J:J)</f>
        <v>0</v>
      </c>
      <c r="M62">
        <f t="shared" si="0"/>
        <v>151</v>
      </c>
      <c r="N62" s="3">
        <f t="shared" si="1"/>
        <v>23.66288492706645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612</v>
      </c>
      <c r="F63">
        <f>SUMIF(DATA!$A:$A,PPL!$A63,DATA!D:D)</f>
        <v>38</v>
      </c>
      <c r="G63">
        <f>SUMIF(DATA!$A:$A,PPL!$A63,DATA!E:E)</f>
        <v>23</v>
      </c>
      <c r="H63">
        <f>SUMIF(DATA!$A:$A,PPL!$A63,DATA!F:F)</f>
        <v>372</v>
      </c>
      <c r="I63">
        <f>SUMIF(DATA!$A:$A,PPL!$A63,DATA!G:G)</f>
        <v>10</v>
      </c>
      <c r="J63">
        <f>SUMIF(DATA!$A:$A,PPL!$A63,DATA!H:H)</f>
        <v>0</v>
      </c>
      <c r="K63">
        <f>SUMIF(DATA!$A:$A,PPL!$A63,DATA!I:I)</f>
        <v>169</v>
      </c>
      <c r="L63">
        <f>SUMIF(DATA!$A:$A,PPL!$A63,DATA!J:J)</f>
        <v>0</v>
      </c>
      <c r="M63">
        <f t="shared" si="0"/>
        <v>240</v>
      </c>
      <c r="N63" s="3">
        <f t="shared" si="1"/>
        <v>33.82352941176471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649</v>
      </c>
      <c r="F64">
        <f>SUMIF(DATA!$A:$A,PPL!$A64,DATA!D:D)</f>
        <v>26</v>
      </c>
      <c r="G64">
        <f>SUMIF(DATA!$A:$A,PPL!$A64,DATA!E:E)</f>
        <v>18</v>
      </c>
      <c r="H64">
        <f>SUMIF(DATA!$A:$A,PPL!$A64,DATA!F:F)</f>
        <v>486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119</v>
      </c>
      <c r="L64">
        <f>SUMIF(DATA!$A:$A,PPL!$A64,DATA!J:J)</f>
        <v>0</v>
      </c>
      <c r="M64">
        <f t="shared" si="0"/>
        <v>163</v>
      </c>
      <c r="N64" s="3">
        <f t="shared" si="1"/>
        <v>22.342064714946073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645</v>
      </c>
      <c r="F65">
        <f>SUMIF(DATA!$A:$A,PPL!$A65,DATA!D:D)</f>
        <v>35</v>
      </c>
      <c r="G65">
        <f>SUMIF(DATA!$A:$A,PPL!$A65,DATA!E:E)</f>
        <v>18</v>
      </c>
      <c r="H65">
        <f>SUMIF(DATA!$A:$A,PPL!$A65,DATA!F:F)</f>
        <v>495</v>
      </c>
      <c r="I65">
        <f>SUMIF(DATA!$A:$A,PPL!$A65,DATA!G:G)</f>
        <v>5</v>
      </c>
      <c r="J65">
        <f>SUMIF(DATA!$A:$A,PPL!$A65,DATA!H:H)</f>
        <v>0</v>
      </c>
      <c r="K65">
        <f>SUMIF(DATA!$A:$A,PPL!$A65,DATA!I:I)</f>
        <v>92</v>
      </c>
      <c r="L65">
        <f>SUMIF(DATA!$A:$A,PPL!$A65,DATA!J:J)</f>
        <v>0</v>
      </c>
      <c r="M65">
        <f t="shared" si="0"/>
        <v>150</v>
      </c>
      <c r="N65" s="3">
        <f t="shared" si="1"/>
        <v>19.689922480620154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608</v>
      </c>
      <c r="F66">
        <f>SUMIF(DATA!$A:$A,PPL!$A66,DATA!D:D)</f>
        <v>8</v>
      </c>
      <c r="G66">
        <f>SUMIF(DATA!$A:$A,PPL!$A66,DATA!E:E)</f>
        <v>48</v>
      </c>
      <c r="H66">
        <f>SUMIF(DATA!$A:$A,PPL!$A66,DATA!F:F)</f>
        <v>441</v>
      </c>
      <c r="I66">
        <f>SUMIF(DATA!$A:$A,PPL!$A66,DATA!G:G)</f>
        <v>2</v>
      </c>
      <c r="J66">
        <f>SUMIF(DATA!$A:$A,PPL!$A66,DATA!H:H)</f>
        <v>0</v>
      </c>
      <c r="K66">
        <f>SUMIF(DATA!$A:$A,PPL!$A66,DATA!I:I)</f>
        <v>109</v>
      </c>
      <c r="L66">
        <f>SUMIF(DATA!$A:$A,PPL!$A66,DATA!J:J)</f>
        <v>0</v>
      </c>
      <c r="M66">
        <f t="shared" ref="M66:M129" si="2">F66+G66+I66+J66+K66+L66</f>
        <v>167</v>
      </c>
      <c r="N66" s="3">
        <f t="shared" si="1"/>
        <v>19.243421052631579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662</v>
      </c>
      <c r="F67">
        <f>SUMIF(DATA!$A:$A,PPL!$A67,DATA!D:D)</f>
        <v>13</v>
      </c>
      <c r="G67">
        <f>SUMIF(DATA!$A:$A,PPL!$A67,DATA!E:E)</f>
        <v>43</v>
      </c>
      <c r="H67">
        <f>SUMIF(DATA!$A:$A,PPL!$A67,DATA!F:F)</f>
        <v>518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88</v>
      </c>
      <c r="L67">
        <f>SUMIF(DATA!$A:$A,PPL!$A67,DATA!J:J)</f>
        <v>0</v>
      </c>
      <c r="M67">
        <f t="shared" si="2"/>
        <v>144</v>
      </c>
      <c r="N67" s="3">
        <f t="shared" ref="N67:N130" si="3">(SUM(F67,K67)/E67)*100</f>
        <v>15.256797583081571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589</v>
      </c>
      <c r="F68">
        <f>SUMIF(DATA!$A:$A,PPL!$A68,DATA!D:D)</f>
        <v>9</v>
      </c>
      <c r="G68">
        <f>SUMIF(DATA!$A:$A,PPL!$A68,DATA!E:E)</f>
        <v>50</v>
      </c>
      <c r="H68">
        <f>SUMIF(DATA!$A:$A,PPL!$A68,DATA!F:F)</f>
        <v>416</v>
      </c>
      <c r="I68">
        <f>SUMIF(DATA!$A:$A,PPL!$A68,DATA!G:G)</f>
        <v>8</v>
      </c>
      <c r="J68">
        <f>SUMIF(DATA!$A:$A,PPL!$A68,DATA!H:H)</f>
        <v>0</v>
      </c>
      <c r="K68">
        <f>SUMIF(DATA!$A:$A,PPL!$A68,DATA!I:I)</f>
        <v>106</v>
      </c>
      <c r="L68">
        <f>SUMIF(DATA!$A:$A,PPL!$A68,DATA!J:J)</f>
        <v>0</v>
      </c>
      <c r="M68">
        <f t="shared" si="2"/>
        <v>173</v>
      </c>
      <c r="N68" s="3">
        <f t="shared" si="3"/>
        <v>19.524617996604416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585</v>
      </c>
      <c r="F69">
        <f>SUMIF(DATA!$A:$A,PPL!$A69,DATA!D:D)</f>
        <v>15</v>
      </c>
      <c r="G69">
        <f>SUMIF(DATA!$A:$A,PPL!$A69,DATA!E:E)</f>
        <v>25</v>
      </c>
      <c r="H69">
        <f>SUMIF(DATA!$A:$A,PPL!$A69,DATA!F:F)</f>
        <v>476</v>
      </c>
      <c r="I69">
        <f>SUMIF(DATA!$A:$A,PPL!$A69,DATA!G:G)</f>
        <v>1</v>
      </c>
      <c r="J69">
        <f>SUMIF(DATA!$A:$A,PPL!$A69,DATA!H:H)</f>
        <v>0</v>
      </c>
      <c r="K69">
        <f>SUMIF(DATA!$A:$A,PPL!$A69,DATA!I:I)</f>
        <v>68</v>
      </c>
      <c r="L69">
        <f>SUMIF(DATA!$A:$A,PPL!$A69,DATA!J:J)</f>
        <v>0</v>
      </c>
      <c r="M69">
        <f t="shared" si="2"/>
        <v>109</v>
      </c>
      <c r="N69" s="3">
        <f t="shared" si="3"/>
        <v>14.188034188034187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481</v>
      </c>
      <c r="F70">
        <f>SUMIF(DATA!$A:$A,PPL!$A70,DATA!D:D)</f>
        <v>70</v>
      </c>
      <c r="G70">
        <f>SUMIF(DATA!$A:$A,PPL!$A70,DATA!E:E)</f>
        <v>44</v>
      </c>
      <c r="H70">
        <f>SUMIF(DATA!$A:$A,PPL!$A70,DATA!F:F)</f>
        <v>346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21</v>
      </c>
      <c r="L70">
        <f>SUMIF(DATA!$A:$A,PPL!$A70,DATA!J:J)</f>
        <v>0</v>
      </c>
      <c r="M70">
        <f t="shared" si="2"/>
        <v>135</v>
      </c>
      <c r="N70" s="3">
        <f t="shared" si="3"/>
        <v>18.918918918918919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462</v>
      </c>
      <c r="F71">
        <f>SUMIF(DATA!$A:$A,PPL!$A71,DATA!D:D)</f>
        <v>51</v>
      </c>
      <c r="G71">
        <f>SUMIF(DATA!$A:$A,PPL!$A71,DATA!E:E)</f>
        <v>53</v>
      </c>
      <c r="H71">
        <f>SUMIF(DATA!$A:$A,PPL!$A71,DATA!F:F)</f>
        <v>317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40</v>
      </c>
      <c r="L71">
        <f>SUMIF(DATA!$A:$A,PPL!$A71,DATA!J:J)</f>
        <v>0</v>
      </c>
      <c r="M71">
        <f t="shared" si="2"/>
        <v>145</v>
      </c>
      <c r="N71" s="3">
        <f t="shared" si="3"/>
        <v>19.696969696969695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482</v>
      </c>
      <c r="F72">
        <f>SUMIF(DATA!$A:$A,PPL!$A72,DATA!D:D)</f>
        <v>78</v>
      </c>
      <c r="G72">
        <f>SUMIF(DATA!$A:$A,PPL!$A72,DATA!E:E)</f>
        <v>19</v>
      </c>
      <c r="H72">
        <f>SUMIF(DATA!$A:$A,PPL!$A72,DATA!F:F)</f>
        <v>328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57</v>
      </c>
      <c r="L72">
        <f>SUMIF(DATA!$A:$A,PPL!$A72,DATA!J:J)</f>
        <v>0</v>
      </c>
      <c r="M72">
        <f t="shared" si="2"/>
        <v>154</v>
      </c>
      <c r="N72" s="3">
        <f t="shared" si="3"/>
        <v>28.008298755186722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438</v>
      </c>
      <c r="F73">
        <f>SUMIF(DATA!$A:$A,PPL!$A73,DATA!D:D)</f>
        <v>59</v>
      </c>
      <c r="G73">
        <f>SUMIF(DATA!$A:$A,PPL!$A73,DATA!E:E)</f>
        <v>24</v>
      </c>
      <c r="H73">
        <f>SUMIF(DATA!$A:$A,PPL!$A73,DATA!F:F)</f>
        <v>292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63</v>
      </c>
      <c r="L73">
        <f>SUMIF(DATA!$A:$A,PPL!$A73,DATA!J:J)</f>
        <v>0</v>
      </c>
      <c r="M73">
        <f t="shared" si="2"/>
        <v>146</v>
      </c>
      <c r="N73" s="3">
        <f t="shared" si="3"/>
        <v>27.853881278538811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531</v>
      </c>
      <c r="F74">
        <f>SUMIF(DATA!$A:$A,PPL!$A74,DATA!D:D)</f>
        <v>37</v>
      </c>
      <c r="G74">
        <f>SUMIF(DATA!$A:$A,PPL!$A74,DATA!E:E)</f>
        <v>18</v>
      </c>
      <c r="H74">
        <f>SUMIF(DATA!$A:$A,PPL!$A74,DATA!F:F)</f>
        <v>399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77</v>
      </c>
      <c r="L74">
        <f>SUMIF(DATA!$A:$A,PPL!$A74,DATA!J:J)</f>
        <v>0</v>
      </c>
      <c r="M74">
        <f t="shared" si="2"/>
        <v>132</v>
      </c>
      <c r="N74" s="3">
        <f t="shared" si="3"/>
        <v>21.468926553672315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482</v>
      </c>
      <c r="F75">
        <f>SUMIF(DATA!$A:$A,PPL!$A75,DATA!D:D)</f>
        <v>77</v>
      </c>
      <c r="G75">
        <f>SUMIF(DATA!$A:$A,PPL!$A75,DATA!E:E)</f>
        <v>30</v>
      </c>
      <c r="H75">
        <f>SUMIF(DATA!$A:$A,PPL!$A75,DATA!F:F)</f>
        <v>334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41</v>
      </c>
      <c r="L75">
        <f>SUMIF(DATA!$A:$A,PPL!$A75,DATA!J:J)</f>
        <v>0</v>
      </c>
      <c r="M75">
        <f t="shared" si="2"/>
        <v>148</v>
      </c>
      <c r="N75" s="3">
        <f t="shared" si="3"/>
        <v>24.481327800829874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478</v>
      </c>
      <c r="F76">
        <f>SUMIF(DATA!$A:$A,PPL!$A76,DATA!D:D)</f>
        <v>18</v>
      </c>
      <c r="G76">
        <f>SUMIF(DATA!$A:$A,PPL!$A76,DATA!E:E)</f>
        <v>32</v>
      </c>
      <c r="H76">
        <f>SUMIF(DATA!$A:$A,PPL!$A76,DATA!F:F)</f>
        <v>371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57</v>
      </c>
      <c r="L76">
        <f>SUMIF(DATA!$A:$A,PPL!$A76,DATA!J:J)</f>
        <v>0</v>
      </c>
      <c r="M76">
        <f t="shared" si="2"/>
        <v>107</v>
      </c>
      <c r="N76" s="3">
        <f t="shared" si="3"/>
        <v>15.690376569037657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499</v>
      </c>
      <c r="F77">
        <f>SUMIF(DATA!$A:$A,PPL!$A77,DATA!D:D)</f>
        <v>35</v>
      </c>
      <c r="G77">
        <f>SUMIF(DATA!$A:$A,PPL!$A77,DATA!E:E)</f>
        <v>40</v>
      </c>
      <c r="H77">
        <f>SUMIF(DATA!$A:$A,PPL!$A77,DATA!F:F)</f>
        <v>362</v>
      </c>
      <c r="I77">
        <f>SUMIF(DATA!$A:$A,PPL!$A77,DATA!G:G)</f>
        <v>2</v>
      </c>
      <c r="J77">
        <f>SUMIF(DATA!$A:$A,PPL!$A77,DATA!H:H)</f>
        <v>0</v>
      </c>
      <c r="K77">
        <f>SUMIF(DATA!$A:$A,PPL!$A77,DATA!I:I)</f>
        <v>60</v>
      </c>
      <c r="L77">
        <f>SUMIF(DATA!$A:$A,PPL!$A77,DATA!J:J)</f>
        <v>0</v>
      </c>
      <c r="M77">
        <f t="shared" si="2"/>
        <v>137</v>
      </c>
      <c r="N77" s="3">
        <f t="shared" si="3"/>
        <v>19.038076152304608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438</v>
      </c>
      <c r="F78">
        <f>SUMIF(DATA!$A:$A,PPL!$A78,DATA!D:D)</f>
        <v>43</v>
      </c>
      <c r="G78">
        <f>SUMIF(DATA!$A:$A,PPL!$A78,DATA!E:E)</f>
        <v>39</v>
      </c>
      <c r="H78">
        <f>SUMIF(DATA!$A:$A,PPL!$A78,DATA!F:F)</f>
        <v>316</v>
      </c>
      <c r="I78">
        <f>SUMIF(DATA!$A:$A,PPL!$A78,DATA!G:G)</f>
        <v>4</v>
      </c>
      <c r="J78">
        <f>SUMIF(DATA!$A:$A,PPL!$A78,DATA!H:H)</f>
        <v>1</v>
      </c>
      <c r="K78">
        <f>SUMIF(DATA!$A:$A,PPL!$A78,DATA!I:I)</f>
        <v>35</v>
      </c>
      <c r="L78">
        <f>SUMIF(DATA!$A:$A,PPL!$A78,DATA!J:J)</f>
        <v>0</v>
      </c>
      <c r="M78">
        <f t="shared" si="2"/>
        <v>122</v>
      </c>
      <c r="N78" s="3">
        <f t="shared" si="3"/>
        <v>17.80821917808219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421</v>
      </c>
      <c r="F79">
        <f>SUMIF(DATA!$A:$A,PPL!$A79,DATA!D:D)</f>
        <v>17</v>
      </c>
      <c r="G79">
        <f>SUMIF(DATA!$A:$A,PPL!$A79,DATA!E:E)</f>
        <v>7</v>
      </c>
      <c r="H79">
        <f>SUMIF(DATA!$A:$A,PPL!$A79,DATA!F:F)</f>
        <v>342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55</v>
      </c>
      <c r="L79">
        <f>SUMIF(DATA!$A:$A,PPL!$A79,DATA!J:J)</f>
        <v>0</v>
      </c>
      <c r="M79">
        <f t="shared" si="2"/>
        <v>79</v>
      </c>
      <c r="N79" s="3">
        <f t="shared" si="3"/>
        <v>17.102137767220903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451</v>
      </c>
      <c r="F80">
        <f>SUMIF(DATA!$A:$A,PPL!$A80,DATA!D:D)</f>
        <v>2</v>
      </c>
      <c r="G80">
        <f>SUMIF(DATA!$A:$A,PPL!$A80,DATA!E:E)</f>
        <v>5</v>
      </c>
      <c r="H80">
        <f>SUMIF(DATA!$A:$A,PPL!$A80,DATA!F:F)</f>
        <v>402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42</v>
      </c>
      <c r="L80">
        <f>SUMIF(DATA!$A:$A,PPL!$A80,DATA!J:J)</f>
        <v>0</v>
      </c>
      <c r="M80">
        <f t="shared" si="2"/>
        <v>49</v>
      </c>
      <c r="N80" s="3">
        <f t="shared" si="3"/>
        <v>9.7560975609756095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433</v>
      </c>
      <c r="F81">
        <f>SUMIF(DATA!$A:$A,PPL!$A81,DATA!D:D)</f>
        <v>18</v>
      </c>
      <c r="G81">
        <f>SUMIF(DATA!$A:$A,PPL!$A81,DATA!E:E)</f>
        <v>4</v>
      </c>
      <c r="H81">
        <f>SUMIF(DATA!$A:$A,PPL!$A81,DATA!F:F)</f>
        <v>315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96</v>
      </c>
      <c r="L81">
        <f>SUMIF(DATA!$A:$A,PPL!$A81,DATA!J:J)</f>
        <v>0</v>
      </c>
      <c r="M81">
        <f t="shared" si="2"/>
        <v>118</v>
      </c>
      <c r="N81" s="3">
        <f t="shared" si="3"/>
        <v>26.327944572748269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427</v>
      </c>
      <c r="F82">
        <f>SUMIF(DATA!$A:$A,PPL!$A82,DATA!D:D)</f>
        <v>12</v>
      </c>
      <c r="G82">
        <f>SUMIF(DATA!$A:$A,PPL!$A82,DATA!E:E)</f>
        <v>9</v>
      </c>
      <c r="H82">
        <f>SUMIF(DATA!$A:$A,PPL!$A82,DATA!F:F)</f>
        <v>327</v>
      </c>
      <c r="I82">
        <f>SUMIF(DATA!$A:$A,PPL!$A82,DATA!G:G)</f>
        <v>5</v>
      </c>
      <c r="J82">
        <f>SUMIF(DATA!$A:$A,PPL!$A82,DATA!H:H)</f>
        <v>0</v>
      </c>
      <c r="K82">
        <f>SUMIF(DATA!$A:$A,PPL!$A82,DATA!I:I)</f>
        <v>74</v>
      </c>
      <c r="L82">
        <f>SUMIF(DATA!$A:$A,PPL!$A82,DATA!J:J)</f>
        <v>0</v>
      </c>
      <c r="M82">
        <f t="shared" si="2"/>
        <v>100</v>
      </c>
      <c r="N82" s="3">
        <f t="shared" si="3"/>
        <v>20.140515222482435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397</v>
      </c>
      <c r="F83">
        <f>SUMIF(DATA!$A:$A,PPL!$A83,DATA!D:D)</f>
        <v>35</v>
      </c>
      <c r="G83">
        <f>SUMIF(DATA!$A:$A,PPL!$A83,DATA!E:E)</f>
        <v>20</v>
      </c>
      <c r="H83">
        <f>SUMIF(DATA!$A:$A,PPL!$A83,DATA!F:F)</f>
        <v>287</v>
      </c>
      <c r="I83">
        <f>SUMIF(DATA!$A:$A,PPL!$A83,DATA!G:G)</f>
        <v>4</v>
      </c>
      <c r="J83">
        <f>SUMIF(DATA!$A:$A,PPL!$A83,DATA!H:H)</f>
        <v>0</v>
      </c>
      <c r="K83">
        <f>SUMIF(DATA!$A:$A,PPL!$A83,DATA!I:I)</f>
        <v>51</v>
      </c>
      <c r="L83">
        <f>SUMIF(DATA!$A:$A,PPL!$A83,DATA!J:J)</f>
        <v>0</v>
      </c>
      <c r="M83">
        <f t="shared" si="2"/>
        <v>110</v>
      </c>
      <c r="N83" s="3">
        <f t="shared" si="3"/>
        <v>21.662468513853906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422</v>
      </c>
      <c r="F84">
        <f>SUMIF(DATA!$A:$A,PPL!$A84,DATA!D:D)</f>
        <v>24</v>
      </c>
      <c r="G84">
        <f>SUMIF(DATA!$A:$A,PPL!$A84,DATA!E:E)</f>
        <v>15</v>
      </c>
      <c r="H84">
        <f>SUMIF(DATA!$A:$A,PPL!$A84,DATA!F:F)</f>
        <v>302</v>
      </c>
      <c r="I84">
        <f>SUMIF(DATA!$A:$A,PPL!$A84,DATA!G:G)</f>
        <v>6</v>
      </c>
      <c r="J84">
        <f>SUMIF(DATA!$A:$A,PPL!$A84,DATA!H:H)</f>
        <v>0</v>
      </c>
      <c r="K84">
        <f>SUMIF(DATA!$A:$A,PPL!$A84,DATA!I:I)</f>
        <v>75</v>
      </c>
      <c r="L84">
        <f>SUMIF(DATA!$A:$A,PPL!$A84,DATA!J:J)</f>
        <v>0</v>
      </c>
      <c r="M84">
        <f t="shared" si="2"/>
        <v>120</v>
      </c>
      <c r="N84" s="3">
        <f t="shared" si="3"/>
        <v>23.459715639810426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416</v>
      </c>
      <c r="F85">
        <f>SUMIF(DATA!$A:$A,PPL!$A85,DATA!D:D)</f>
        <v>14</v>
      </c>
      <c r="G85">
        <f>SUMIF(DATA!$A:$A,PPL!$A85,DATA!E:E)</f>
        <v>31</v>
      </c>
      <c r="H85">
        <f>SUMIF(DATA!$A:$A,PPL!$A85,DATA!F:F)</f>
        <v>284</v>
      </c>
      <c r="I85">
        <f>SUMIF(DATA!$A:$A,PPL!$A85,DATA!G:G)</f>
        <v>17</v>
      </c>
      <c r="J85">
        <f>SUMIF(DATA!$A:$A,PPL!$A85,DATA!H:H)</f>
        <v>0</v>
      </c>
      <c r="K85">
        <f>SUMIF(DATA!$A:$A,PPL!$A85,DATA!I:I)</f>
        <v>70</v>
      </c>
      <c r="L85">
        <f>SUMIF(DATA!$A:$A,PPL!$A85,DATA!J:J)</f>
        <v>0</v>
      </c>
      <c r="M85">
        <f t="shared" si="2"/>
        <v>132</v>
      </c>
      <c r="N85" s="3">
        <f t="shared" si="3"/>
        <v>20.192307692307693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669</v>
      </c>
      <c r="F86">
        <f>SUMIF(DATA!$A:$A,PPL!$A86,DATA!D:D)</f>
        <v>62</v>
      </c>
      <c r="G86">
        <f>SUMIF(DATA!$A:$A,PPL!$A86,DATA!E:E)</f>
        <v>38</v>
      </c>
      <c r="H86">
        <f>SUMIF(DATA!$A:$A,PPL!$A86,DATA!F:F)</f>
        <v>500</v>
      </c>
      <c r="I86">
        <f>SUMIF(DATA!$A:$A,PPL!$A86,DATA!G:G)</f>
        <v>1</v>
      </c>
      <c r="J86">
        <f>SUMIF(DATA!$A:$A,PPL!$A86,DATA!H:H)</f>
        <v>0</v>
      </c>
      <c r="K86">
        <f>SUMIF(DATA!$A:$A,PPL!$A86,DATA!I:I)</f>
        <v>68</v>
      </c>
      <c r="L86">
        <f>SUMIF(DATA!$A:$A,PPL!$A86,DATA!J:J)</f>
        <v>0</v>
      </c>
      <c r="M86">
        <f t="shared" si="2"/>
        <v>169</v>
      </c>
      <c r="N86" s="3">
        <f t="shared" si="3"/>
        <v>19.431988041853511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622</v>
      </c>
      <c r="F87">
        <f>SUMIF(DATA!$A:$A,PPL!$A87,DATA!D:D)</f>
        <v>62</v>
      </c>
      <c r="G87">
        <f>SUMIF(DATA!$A:$A,PPL!$A87,DATA!E:E)</f>
        <v>15</v>
      </c>
      <c r="H87">
        <f>SUMIF(DATA!$A:$A,PPL!$A87,DATA!F:F)</f>
        <v>454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91</v>
      </c>
      <c r="L87">
        <f>SUMIF(DATA!$A:$A,PPL!$A87,DATA!J:J)</f>
        <v>0</v>
      </c>
      <c r="M87">
        <f t="shared" si="2"/>
        <v>168</v>
      </c>
      <c r="N87" s="3">
        <f t="shared" si="3"/>
        <v>24.59807073954984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581</v>
      </c>
      <c r="F88">
        <f>SUMIF(DATA!$A:$A,PPL!$A88,DATA!D:D)</f>
        <v>28</v>
      </c>
      <c r="G88">
        <f>SUMIF(DATA!$A:$A,PPL!$A88,DATA!E:E)</f>
        <v>36</v>
      </c>
      <c r="H88">
        <f>SUMIF(DATA!$A:$A,PPL!$A88,DATA!F:F)</f>
        <v>426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90</v>
      </c>
      <c r="L88">
        <f>SUMIF(DATA!$A:$A,PPL!$A88,DATA!J:J)</f>
        <v>0</v>
      </c>
      <c r="M88">
        <f t="shared" si="2"/>
        <v>154</v>
      </c>
      <c r="N88" s="3">
        <f t="shared" si="3"/>
        <v>20.309810671256454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595</v>
      </c>
      <c r="F89">
        <f>SUMIF(DATA!$A:$A,PPL!$A89,DATA!D:D)</f>
        <v>31</v>
      </c>
      <c r="G89">
        <f>SUMIF(DATA!$A:$A,PPL!$A89,DATA!E:E)</f>
        <v>86</v>
      </c>
      <c r="H89">
        <f>SUMIF(DATA!$A:$A,PPL!$A89,DATA!F:F)</f>
        <v>437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41</v>
      </c>
      <c r="L89">
        <f>SUMIF(DATA!$A:$A,PPL!$A89,DATA!J:J)</f>
        <v>0</v>
      </c>
      <c r="M89">
        <f t="shared" si="2"/>
        <v>158</v>
      </c>
      <c r="N89" s="3">
        <f t="shared" si="3"/>
        <v>12.100840336134453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555</v>
      </c>
      <c r="F90">
        <f>SUMIF(DATA!$A:$A,PPL!$A90,DATA!D:D)</f>
        <v>24</v>
      </c>
      <c r="G90">
        <f>SUMIF(DATA!$A:$A,PPL!$A90,DATA!E:E)</f>
        <v>73</v>
      </c>
      <c r="H90">
        <f>SUMIF(DATA!$A:$A,PPL!$A90,DATA!F:F)</f>
        <v>422</v>
      </c>
      <c r="I90">
        <f>SUMIF(DATA!$A:$A,PPL!$A90,DATA!G:G)</f>
        <v>1</v>
      </c>
      <c r="J90">
        <f>SUMIF(DATA!$A:$A,PPL!$A90,DATA!H:H)</f>
        <v>0</v>
      </c>
      <c r="K90">
        <f>SUMIF(DATA!$A:$A,PPL!$A90,DATA!I:I)</f>
        <v>35</v>
      </c>
      <c r="L90">
        <f>SUMIF(DATA!$A:$A,PPL!$A90,DATA!J:J)</f>
        <v>0</v>
      </c>
      <c r="M90">
        <f t="shared" si="2"/>
        <v>133</v>
      </c>
      <c r="N90" s="3">
        <f t="shared" si="3"/>
        <v>10.63063063063063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594</v>
      </c>
      <c r="F91">
        <f>SUMIF(DATA!$A:$A,PPL!$A91,DATA!D:D)</f>
        <v>82</v>
      </c>
      <c r="G91">
        <f>SUMIF(DATA!$A:$A,PPL!$A91,DATA!E:E)</f>
        <v>5</v>
      </c>
      <c r="H91">
        <f>SUMIF(DATA!$A:$A,PPL!$A91,DATA!F:F)</f>
        <v>412</v>
      </c>
      <c r="I91">
        <f>SUMIF(DATA!$A:$A,PPL!$A91,DATA!G:G)</f>
        <v>9</v>
      </c>
      <c r="J91">
        <f>SUMIF(DATA!$A:$A,PPL!$A91,DATA!H:H)</f>
        <v>0</v>
      </c>
      <c r="K91">
        <f>SUMIF(DATA!$A:$A,PPL!$A91,DATA!I:I)</f>
        <v>86</v>
      </c>
      <c r="L91">
        <f>SUMIF(DATA!$A:$A,PPL!$A91,DATA!J:J)</f>
        <v>0</v>
      </c>
      <c r="M91">
        <f t="shared" si="2"/>
        <v>182</v>
      </c>
      <c r="N91" s="3">
        <f t="shared" si="3"/>
        <v>28.28282828282828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602</v>
      </c>
      <c r="F92">
        <f>SUMIF(DATA!$A:$A,PPL!$A92,DATA!D:D)</f>
        <v>36</v>
      </c>
      <c r="G92">
        <f>SUMIF(DATA!$A:$A,PPL!$A92,DATA!E:E)</f>
        <v>27</v>
      </c>
      <c r="H92">
        <f>SUMIF(DATA!$A:$A,PPL!$A92,DATA!F:F)</f>
        <v>460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78</v>
      </c>
      <c r="L92">
        <f>SUMIF(DATA!$A:$A,PPL!$A92,DATA!J:J)</f>
        <v>0</v>
      </c>
      <c r="M92">
        <f t="shared" si="2"/>
        <v>142</v>
      </c>
      <c r="N92" s="3">
        <f t="shared" si="3"/>
        <v>18.93687707641196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586</v>
      </c>
      <c r="F93">
        <f>SUMIF(DATA!$A:$A,PPL!$A93,DATA!D:D)</f>
        <v>43</v>
      </c>
      <c r="G93">
        <f>SUMIF(DATA!$A:$A,PPL!$A93,DATA!E:E)</f>
        <v>10</v>
      </c>
      <c r="H93">
        <f>SUMIF(DATA!$A:$A,PPL!$A93,DATA!F:F)</f>
        <v>459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72</v>
      </c>
      <c r="L93">
        <f>SUMIF(DATA!$A:$A,PPL!$A93,DATA!J:J)</f>
        <v>0</v>
      </c>
      <c r="M93">
        <f t="shared" si="2"/>
        <v>127</v>
      </c>
      <c r="N93" s="3">
        <f t="shared" si="3"/>
        <v>19.624573378839592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596</v>
      </c>
      <c r="F94">
        <f>SUMIF(DATA!$A:$A,PPL!$A94,DATA!D:D)</f>
        <v>67</v>
      </c>
      <c r="G94">
        <f>SUMIF(DATA!$A:$A,PPL!$A94,DATA!E:E)</f>
        <v>62</v>
      </c>
      <c r="H94">
        <f>SUMIF(DATA!$A:$A,PPL!$A94,DATA!F:F)</f>
        <v>425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41</v>
      </c>
      <c r="L94">
        <f>SUMIF(DATA!$A:$A,PPL!$A94,DATA!J:J)</f>
        <v>0</v>
      </c>
      <c r="M94">
        <f t="shared" si="2"/>
        <v>171</v>
      </c>
      <c r="N94" s="3">
        <f t="shared" si="3"/>
        <v>18.120805369127517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614</v>
      </c>
      <c r="F95">
        <f>SUMIF(DATA!$A:$A,PPL!$A95,DATA!D:D)</f>
        <v>3</v>
      </c>
      <c r="G95">
        <f>SUMIF(DATA!$A:$A,PPL!$A95,DATA!E:E)</f>
        <v>35</v>
      </c>
      <c r="H95">
        <f>SUMIF(DATA!$A:$A,PPL!$A95,DATA!F:F)</f>
        <v>481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94</v>
      </c>
      <c r="L95">
        <f>SUMIF(DATA!$A:$A,PPL!$A95,DATA!J:J)</f>
        <v>0</v>
      </c>
      <c r="M95">
        <f t="shared" si="2"/>
        <v>133</v>
      </c>
      <c r="N95" s="3">
        <f t="shared" si="3"/>
        <v>15.798045602605862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572</v>
      </c>
      <c r="F96">
        <f>SUMIF(DATA!$A:$A,PPL!$A96,DATA!D:D)</f>
        <v>58</v>
      </c>
      <c r="G96">
        <f>SUMIF(DATA!$A:$A,PPL!$A96,DATA!E:E)</f>
        <v>62</v>
      </c>
      <c r="H96">
        <f>SUMIF(DATA!$A:$A,PPL!$A96,DATA!F:F)</f>
        <v>421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31</v>
      </c>
      <c r="L96">
        <f>SUMIF(DATA!$A:$A,PPL!$A96,DATA!J:J)</f>
        <v>0</v>
      </c>
      <c r="M96">
        <f t="shared" si="2"/>
        <v>151</v>
      </c>
      <c r="N96" s="3">
        <f t="shared" si="3"/>
        <v>15.55944055944056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605</v>
      </c>
      <c r="F97">
        <f>SUMIF(DATA!$A:$A,PPL!$A97,DATA!D:D)</f>
        <v>86</v>
      </c>
      <c r="G97">
        <f>SUMIF(DATA!$A:$A,PPL!$A97,DATA!E:E)</f>
        <v>0</v>
      </c>
      <c r="H97">
        <f>SUMIF(DATA!$A:$A,PPL!$A97,DATA!F:F)</f>
        <v>403</v>
      </c>
      <c r="I97">
        <f>SUMIF(DATA!$A:$A,PPL!$A97,DATA!G:G)</f>
        <v>48</v>
      </c>
      <c r="J97">
        <f>SUMIF(DATA!$A:$A,PPL!$A97,DATA!H:H)</f>
        <v>0</v>
      </c>
      <c r="K97">
        <f>SUMIF(DATA!$A:$A,PPL!$A97,DATA!I:I)</f>
        <v>68</v>
      </c>
      <c r="L97">
        <f>SUMIF(DATA!$A:$A,PPL!$A97,DATA!J:J)</f>
        <v>0</v>
      </c>
      <c r="M97">
        <f t="shared" si="2"/>
        <v>202</v>
      </c>
      <c r="N97" s="3">
        <f t="shared" si="3"/>
        <v>25.454545454545453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602</v>
      </c>
      <c r="F98">
        <f>SUMIF(DATA!$A:$A,PPL!$A98,DATA!D:D)</f>
        <v>46</v>
      </c>
      <c r="G98">
        <f>SUMIF(DATA!$A:$A,PPL!$A98,DATA!E:E)</f>
        <v>30</v>
      </c>
      <c r="H98">
        <f>SUMIF(DATA!$A:$A,PPL!$A98,DATA!F:F)</f>
        <v>473</v>
      </c>
      <c r="I98">
        <f>SUMIF(DATA!$A:$A,PPL!$A98,DATA!G:G)</f>
        <v>5</v>
      </c>
      <c r="J98">
        <f>SUMIF(DATA!$A:$A,PPL!$A98,DATA!H:H)</f>
        <v>0</v>
      </c>
      <c r="K98">
        <f>SUMIF(DATA!$A:$A,PPL!$A98,DATA!I:I)</f>
        <v>48</v>
      </c>
      <c r="L98">
        <f>SUMIF(DATA!$A:$A,PPL!$A98,DATA!J:J)</f>
        <v>0</v>
      </c>
      <c r="M98">
        <f t="shared" si="2"/>
        <v>129</v>
      </c>
      <c r="N98" s="3">
        <f t="shared" si="3"/>
        <v>15.614617940199334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600</v>
      </c>
      <c r="F99">
        <f>SUMIF(DATA!$A:$A,PPL!$A99,DATA!D:D)</f>
        <v>56</v>
      </c>
      <c r="G99">
        <f>SUMIF(DATA!$A:$A,PPL!$A99,DATA!E:E)</f>
        <v>3</v>
      </c>
      <c r="H99">
        <f>SUMIF(DATA!$A:$A,PPL!$A99,DATA!F:F)</f>
        <v>374</v>
      </c>
      <c r="I99">
        <f>SUMIF(DATA!$A:$A,PPL!$A99,DATA!G:G)</f>
        <v>2</v>
      </c>
      <c r="J99">
        <f>SUMIF(DATA!$A:$A,PPL!$A99,DATA!H:H)</f>
        <v>0</v>
      </c>
      <c r="K99">
        <f>SUMIF(DATA!$A:$A,PPL!$A99,DATA!I:I)</f>
        <v>165</v>
      </c>
      <c r="L99">
        <f>SUMIF(DATA!$A:$A,PPL!$A99,DATA!J:J)</f>
        <v>0</v>
      </c>
      <c r="M99">
        <f t="shared" si="2"/>
        <v>226</v>
      </c>
      <c r="N99" s="3">
        <f t="shared" si="3"/>
        <v>36.833333333333336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624</v>
      </c>
      <c r="F100">
        <f>SUMIF(DATA!$A:$A,PPL!$A100,DATA!D:D)</f>
        <v>27</v>
      </c>
      <c r="G100">
        <f>SUMIF(DATA!$A:$A,PPL!$A100,DATA!E:E)</f>
        <v>37</v>
      </c>
      <c r="H100">
        <f>SUMIF(DATA!$A:$A,PPL!$A100,DATA!F:F)</f>
        <v>439</v>
      </c>
      <c r="I100">
        <f>SUMIF(DATA!$A:$A,PPL!$A100,DATA!G:G)</f>
        <v>2</v>
      </c>
      <c r="J100">
        <f>SUMIF(DATA!$A:$A,PPL!$A100,DATA!H:H)</f>
        <v>0</v>
      </c>
      <c r="K100">
        <f>SUMIF(DATA!$A:$A,PPL!$A100,DATA!I:I)</f>
        <v>119</v>
      </c>
      <c r="L100">
        <f>SUMIF(DATA!$A:$A,PPL!$A100,DATA!J:J)</f>
        <v>0</v>
      </c>
      <c r="M100">
        <f t="shared" si="2"/>
        <v>185</v>
      </c>
      <c r="N100" s="3">
        <f t="shared" si="3"/>
        <v>23.397435897435898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401</v>
      </c>
      <c r="F101">
        <f>SUMIF(DATA!$A:$A,PPL!$A101,DATA!D:D)</f>
        <v>25</v>
      </c>
      <c r="G101">
        <f>SUMIF(DATA!$A:$A,PPL!$A101,DATA!E:E)</f>
        <v>31</v>
      </c>
      <c r="H101">
        <f>SUMIF(DATA!$A:$A,PPL!$A101,DATA!F:F)</f>
        <v>245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100</v>
      </c>
      <c r="L101">
        <f>SUMIF(DATA!$A:$A,PPL!$A101,DATA!J:J)</f>
        <v>0</v>
      </c>
      <c r="M101">
        <f t="shared" si="2"/>
        <v>156</v>
      </c>
      <c r="N101" s="3">
        <f t="shared" si="3"/>
        <v>31.172069825436409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532</v>
      </c>
      <c r="F102">
        <f>SUMIF(DATA!$A:$A,PPL!$A102,DATA!D:D)</f>
        <v>0</v>
      </c>
      <c r="G102">
        <f>SUMIF(DATA!$A:$A,PPL!$A102,DATA!E:E)</f>
        <v>16</v>
      </c>
      <c r="H102">
        <f>SUMIF(DATA!$A:$A,PPL!$A102,DATA!F:F)</f>
        <v>403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113</v>
      </c>
      <c r="L102">
        <f>SUMIF(DATA!$A:$A,PPL!$A102,DATA!J:J)</f>
        <v>0</v>
      </c>
      <c r="M102">
        <f t="shared" si="2"/>
        <v>129</v>
      </c>
      <c r="N102" s="3">
        <f t="shared" si="3"/>
        <v>21.2406015037594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610</v>
      </c>
      <c r="F103">
        <f>SUMIF(DATA!$A:$A,PPL!$A103,DATA!D:D)</f>
        <v>47</v>
      </c>
      <c r="G103">
        <f>SUMIF(DATA!$A:$A,PPL!$A103,DATA!E:E)</f>
        <v>58</v>
      </c>
      <c r="H103">
        <f>SUMIF(DATA!$A:$A,PPL!$A103,DATA!F:F)</f>
        <v>448</v>
      </c>
      <c r="I103">
        <f>SUMIF(DATA!$A:$A,PPL!$A103,DATA!G:G)</f>
        <v>16</v>
      </c>
      <c r="J103">
        <f>SUMIF(DATA!$A:$A,PPL!$A103,DATA!H:H)</f>
        <v>0</v>
      </c>
      <c r="K103">
        <f>SUMIF(DATA!$A:$A,PPL!$A103,DATA!I:I)</f>
        <v>41</v>
      </c>
      <c r="L103">
        <f>SUMIF(DATA!$A:$A,PPL!$A103,DATA!J:J)</f>
        <v>0</v>
      </c>
      <c r="M103">
        <f t="shared" si="2"/>
        <v>162</v>
      </c>
      <c r="N103" s="3">
        <f t="shared" si="3"/>
        <v>14.426229508196723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628</v>
      </c>
      <c r="F104">
        <f>SUMIF(DATA!$A:$A,PPL!$A104,DATA!D:D)</f>
        <v>1</v>
      </c>
      <c r="G104">
        <f>SUMIF(DATA!$A:$A,PPL!$A104,DATA!E:E)</f>
        <v>47</v>
      </c>
      <c r="H104">
        <f>SUMIF(DATA!$A:$A,PPL!$A104,DATA!F:F)</f>
        <v>492</v>
      </c>
      <c r="I104">
        <f>SUMIF(DATA!$A:$A,PPL!$A104,DATA!G:G)</f>
        <v>1</v>
      </c>
      <c r="J104">
        <f>SUMIF(DATA!$A:$A,PPL!$A104,DATA!H:H)</f>
        <v>0</v>
      </c>
      <c r="K104">
        <f>SUMIF(DATA!$A:$A,PPL!$A104,DATA!I:I)</f>
        <v>87</v>
      </c>
      <c r="L104">
        <f>SUMIF(DATA!$A:$A,PPL!$A104,DATA!J:J)</f>
        <v>0</v>
      </c>
      <c r="M104">
        <f t="shared" si="2"/>
        <v>136</v>
      </c>
      <c r="N104" s="3">
        <f t="shared" si="3"/>
        <v>14.012738853503185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607</v>
      </c>
      <c r="F105">
        <f>SUMIF(DATA!$A:$A,PPL!$A105,DATA!D:D)</f>
        <v>57</v>
      </c>
      <c r="G105">
        <f>SUMIF(DATA!$A:$A,PPL!$A105,DATA!E:E)</f>
        <v>74</v>
      </c>
      <c r="H105">
        <f>SUMIF(DATA!$A:$A,PPL!$A105,DATA!F:F)</f>
        <v>441</v>
      </c>
      <c r="I105">
        <f>SUMIF(DATA!$A:$A,PPL!$A105,DATA!G:G)</f>
        <v>9</v>
      </c>
      <c r="J105">
        <f>SUMIF(DATA!$A:$A,PPL!$A105,DATA!H:H)</f>
        <v>0</v>
      </c>
      <c r="K105">
        <f>SUMIF(DATA!$A:$A,PPL!$A105,DATA!I:I)</f>
        <v>26</v>
      </c>
      <c r="L105">
        <f>SUMIF(DATA!$A:$A,PPL!$A105,DATA!J:J)</f>
        <v>0</v>
      </c>
      <c r="M105">
        <f t="shared" si="2"/>
        <v>166</v>
      </c>
      <c r="N105" s="3">
        <f t="shared" si="3"/>
        <v>13.673805601317957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621</v>
      </c>
      <c r="F106">
        <f>SUMIF(DATA!$A:$A,PPL!$A106,DATA!D:D)</f>
        <v>121</v>
      </c>
      <c r="G106">
        <f>SUMIF(DATA!$A:$A,PPL!$A106,DATA!E:E)</f>
        <v>45</v>
      </c>
      <c r="H106">
        <f>SUMIF(DATA!$A:$A,PPL!$A106,DATA!F:F)</f>
        <v>362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93</v>
      </c>
      <c r="L106">
        <f>SUMIF(DATA!$A:$A,PPL!$A106,DATA!J:J)</f>
        <v>0</v>
      </c>
      <c r="M106">
        <f t="shared" si="2"/>
        <v>259</v>
      </c>
      <c r="N106" s="3">
        <f t="shared" si="3"/>
        <v>34.460547504025762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605</v>
      </c>
      <c r="F107">
        <f>SUMIF(DATA!$A:$A,PPL!$A107,DATA!D:D)</f>
        <v>51</v>
      </c>
      <c r="G107">
        <f>SUMIF(DATA!$A:$A,PPL!$A107,DATA!E:E)</f>
        <v>5</v>
      </c>
      <c r="H107">
        <f>SUMIF(DATA!$A:$A,PPL!$A107,DATA!F:F)</f>
        <v>457</v>
      </c>
      <c r="I107">
        <f>SUMIF(DATA!$A:$A,PPL!$A107,DATA!G:G)</f>
        <v>9</v>
      </c>
      <c r="J107">
        <f>SUMIF(DATA!$A:$A,PPL!$A107,DATA!H:H)</f>
        <v>0</v>
      </c>
      <c r="K107">
        <f>SUMIF(DATA!$A:$A,PPL!$A107,DATA!I:I)</f>
        <v>83</v>
      </c>
      <c r="L107">
        <f>SUMIF(DATA!$A:$A,PPL!$A107,DATA!J:J)</f>
        <v>0</v>
      </c>
      <c r="M107">
        <f t="shared" si="2"/>
        <v>148</v>
      </c>
      <c r="N107" s="3">
        <f t="shared" si="3"/>
        <v>22.148760330578511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628</v>
      </c>
      <c r="F108">
        <f>SUMIF(DATA!$A:$A,PPL!$A108,DATA!D:D)</f>
        <v>62</v>
      </c>
      <c r="G108">
        <f>SUMIF(DATA!$A:$A,PPL!$A108,DATA!E:E)</f>
        <v>82</v>
      </c>
      <c r="H108">
        <f>SUMIF(DATA!$A:$A,PPL!$A108,DATA!F:F)</f>
        <v>449</v>
      </c>
      <c r="I108">
        <f>SUMIF(DATA!$A:$A,PPL!$A108,DATA!G:G)</f>
        <v>1</v>
      </c>
      <c r="J108">
        <f>SUMIF(DATA!$A:$A,PPL!$A108,DATA!H:H)</f>
        <v>1</v>
      </c>
      <c r="K108">
        <f>SUMIF(DATA!$A:$A,PPL!$A108,DATA!I:I)</f>
        <v>33</v>
      </c>
      <c r="L108">
        <f>SUMIF(DATA!$A:$A,PPL!$A108,DATA!J:J)</f>
        <v>0</v>
      </c>
      <c r="M108">
        <f t="shared" si="2"/>
        <v>179</v>
      </c>
      <c r="N108" s="3">
        <f t="shared" si="3"/>
        <v>15.127388535031846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621</v>
      </c>
      <c r="F109">
        <f>SUMIF(DATA!$A:$A,PPL!$A109,DATA!D:D)</f>
        <v>72</v>
      </c>
      <c r="G109">
        <f>SUMIF(DATA!$A:$A,PPL!$A109,DATA!E:E)</f>
        <v>26</v>
      </c>
      <c r="H109">
        <f>SUMIF(DATA!$A:$A,PPL!$A109,DATA!F:F)</f>
        <v>462</v>
      </c>
      <c r="I109">
        <f>SUMIF(DATA!$A:$A,PPL!$A109,DATA!G:G)</f>
        <v>27</v>
      </c>
      <c r="J109">
        <f>SUMIF(DATA!$A:$A,PPL!$A109,DATA!H:H)</f>
        <v>0</v>
      </c>
      <c r="K109">
        <f>SUMIF(DATA!$A:$A,PPL!$A109,DATA!I:I)</f>
        <v>34</v>
      </c>
      <c r="L109">
        <f>SUMIF(DATA!$A:$A,PPL!$A109,DATA!J:J)</f>
        <v>0</v>
      </c>
      <c r="M109">
        <f t="shared" si="2"/>
        <v>159</v>
      </c>
      <c r="N109" s="3">
        <f t="shared" si="3"/>
        <v>17.069243156199679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627</v>
      </c>
      <c r="F110">
        <f>SUMIF(DATA!$A:$A,PPL!$A110,DATA!D:D)</f>
        <v>147</v>
      </c>
      <c r="G110">
        <f>SUMIF(DATA!$A:$A,PPL!$A110,DATA!E:E)</f>
        <v>17</v>
      </c>
      <c r="H110">
        <f>SUMIF(DATA!$A:$A,PPL!$A110,DATA!F:F)</f>
        <v>462</v>
      </c>
      <c r="I110">
        <f>SUMIF(DATA!$A:$A,PPL!$A110,DATA!G:G)</f>
        <v>1</v>
      </c>
      <c r="J110">
        <f>SUMIF(DATA!$A:$A,PPL!$A110,DATA!H:H)</f>
        <v>0</v>
      </c>
      <c r="K110">
        <f>SUMIF(DATA!$A:$A,PPL!$A110,DATA!I:I)</f>
        <v>0</v>
      </c>
      <c r="L110">
        <f>SUMIF(DATA!$A:$A,PPL!$A110,DATA!J:J)</f>
        <v>0</v>
      </c>
      <c r="M110">
        <f t="shared" si="2"/>
        <v>165</v>
      </c>
      <c r="N110" s="3">
        <f t="shared" si="3"/>
        <v>23.444976076555022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583</v>
      </c>
      <c r="F111">
        <f>SUMIF(DATA!$A:$A,PPL!$A111,DATA!D:D)</f>
        <v>130</v>
      </c>
      <c r="G111">
        <f>SUMIF(DATA!$A:$A,PPL!$A111,DATA!E:E)</f>
        <v>22</v>
      </c>
      <c r="H111">
        <f>SUMIF(DATA!$A:$A,PPL!$A111,DATA!F:F)</f>
        <v>428</v>
      </c>
      <c r="I111">
        <f>SUMIF(DATA!$A:$A,PPL!$A111,DATA!G:G)</f>
        <v>3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155</v>
      </c>
      <c r="N111" s="3">
        <f t="shared" si="3"/>
        <v>22.29845626072041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598</v>
      </c>
      <c r="F112">
        <f>SUMIF(DATA!$A:$A,PPL!$A112,DATA!D:D)</f>
        <v>226</v>
      </c>
      <c r="G112">
        <f>SUMIF(DATA!$A:$A,PPL!$A112,DATA!E:E)</f>
        <v>3</v>
      </c>
      <c r="H112">
        <f>SUMIF(DATA!$A:$A,PPL!$A112,DATA!F:F)</f>
        <v>369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229</v>
      </c>
      <c r="N112" s="3">
        <f t="shared" si="3"/>
        <v>37.792642140468232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604</v>
      </c>
      <c r="F113">
        <f>SUMIF(DATA!$A:$A,PPL!$A113,DATA!D:D)</f>
        <v>64</v>
      </c>
      <c r="G113">
        <f>SUMIF(DATA!$A:$A,PPL!$A113,DATA!E:E)</f>
        <v>69</v>
      </c>
      <c r="H113">
        <f>SUMIF(DATA!$A:$A,PPL!$A113,DATA!F:F)</f>
        <v>466</v>
      </c>
      <c r="I113">
        <f>SUMIF(DATA!$A:$A,PPL!$A113,DATA!G:G)</f>
        <v>5</v>
      </c>
      <c r="J113">
        <f>SUMIF(DATA!$A:$A,PPL!$A113,DATA!H:H)</f>
        <v>0</v>
      </c>
      <c r="K113">
        <f>SUMIF(DATA!$A:$A,PPL!$A113,DATA!I:I)</f>
        <v>0</v>
      </c>
      <c r="L113">
        <f>SUMIF(DATA!$A:$A,PPL!$A113,DATA!J:J)</f>
        <v>0</v>
      </c>
      <c r="M113">
        <f t="shared" si="2"/>
        <v>138</v>
      </c>
      <c r="N113" s="3">
        <f t="shared" si="3"/>
        <v>10.596026490066226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551</v>
      </c>
      <c r="F114">
        <f>SUMIF(DATA!$A:$A,PPL!$A114,DATA!D:D)</f>
        <v>106</v>
      </c>
      <c r="G114">
        <f>SUMIF(DATA!$A:$A,PPL!$A114,DATA!E:E)</f>
        <v>4</v>
      </c>
      <c r="H114">
        <f>SUMIF(DATA!$A:$A,PPL!$A114,DATA!F:F)</f>
        <v>440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1</v>
      </c>
      <c r="L114">
        <f>SUMIF(DATA!$A:$A,PPL!$A114,DATA!J:J)</f>
        <v>0</v>
      </c>
      <c r="M114">
        <f t="shared" si="2"/>
        <v>111</v>
      </c>
      <c r="N114" s="3">
        <f t="shared" si="3"/>
        <v>19.419237749546276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618</v>
      </c>
      <c r="F115">
        <f>SUMIF(DATA!$A:$A,PPL!$A115,DATA!D:D)</f>
        <v>80</v>
      </c>
      <c r="G115">
        <f>SUMIF(DATA!$A:$A,PPL!$A115,DATA!E:E)</f>
        <v>8</v>
      </c>
      <c r="H115">
        <f>SUMIF(DATA!$A:$A,PPL!$A115,DATA!F:F)</f>
        <v>528</v>
      </c>
      <c r="I115">
        <f>SUMIF(DATA!$A:$A,PPL!$A115,DATA!G:G)</f>
        <v>2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2"/>
        <v>90</v>
      </c>
      <c r="N115" s="3">
        <f t="shared" si="3"/>
        <v>12.944983818770226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632</v>
      </c>
      <c r="F116">
        <f>SUMIF(DATA!$A:$A,PPL!$A116,DATA!D:D)</f>
        <v>6</v>
      </c>
      <c r="G116">
        <f>SUMIF(DATA!$A:$A,PPL!$A116,DATA!E:E)</f>
        <v>60</v>
      </c>
      <c r="H116">
        <f>SUMIF(DATA!$A:$A,PPL!$A116,DATA!F:F)</f>
        <v>509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57</v>
      </c>
      <c r="L116">
        <f>SUMIF(DATA!$A:$A,PPL!$A116,DATA!J:J)</f>
        <v>0</v>
      </c>
      <c r="M116">
        <f t="shared" si="2"/>
        <v>123</v>
      </c>
      <c r="N116" s="3">
        <f t="shared" si="3"/>
        <v>9.9683544303797476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638</v>
      </c>
      <c r="F117">
        <f>SUMIF(DATA!$A:$A,PPL!$A117,DATA!D:D)</f>
        <v>71</v>
      </c>
      <c r="G117">
        <f>SUMIF(DATA!$A:$A,PPL!$A117,DATA!E:E)</f>
        <v>57</v>
      </c>
      <c r="H117">
        <f>SUMIF(DATA!$A:$A,PPL!$A117,DATA!F:F)</f>
        <v>421</v>
      </c>
      <c r="I117">
        <f>SUMIF(DATA!$A:$A,PPL!$A117,DATA!G:G)</f>
        <v>46</v>
      </c>
      <c r="J117">
        <f>SUMIF(DATA!$A:$A,PPL!$A117,DATA!H:H)</f>
        <v>0</v>
      </c>
      <c r="K117">
        <f>SUMIF(DATA!$A:$A,PPL!$A117,DATA!I:I)</f>
        <v>43</v>
      </c>
      <c r="L117">
        <f>SUMIF(DATA!$A:$A,PPL!$A117,DATA!J:J)</f>
        <v>0</v>
      </c>
      <c r="M117">
        <f t="shared" si="2"/>
        <v>217</v>
      </c>
      <c r="N117" s="3">
        <f t="shared" si="3"/>
        <v>17.868338557993731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609</v>
      </c>
      <c r="F118">
        <f>SUMIF(DATA!$A:$A,PPL!$A118,DATA!D:D)</f>
        <v>40</v>
      </c>
      <c r="G118">
        <f>SUMIF(DATA!$A:$A,PPL!$A118,DATA!E:E)</f>
        <v>72</v>
      </c>
      <c r="H118">
        <f>SUMIF(DATA!$A:$A,PPL!$A118,DATA!F:F)</f>
        <v>451</v>
      </c>
      <c r="I118">
        <f>SUMIF(DATA!$A:$A,PPL!$A118,DATA!G:G)</f>
        <v>2</v>
      </c>
      <c r="J118">
        <f>SUMIF(DATA!$A:$A,PPL!$A118,DATA!H:H)</f>
        <v>1</v>
      </c>
      <c r="K118">
        <f>SUMIF(DATA!$A:$A,PPL!$A118,DATA!I:I)</f>
        <v>43</v>
      </c>
      <c r="L118">
        <f>SUMIF(DATA!$A:$A,PPL!$A118,DATA!J:J)</f>
        <v>0</v>
      </c>
      <c r="M118">
        <f t="shared" si="2"/>
        <v>158</v>
      </c>
      <c r="N118" s="3">
        <f t="shared" si="3"/>
        <v>13.628899835796387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605</v>
      </c>
      <c r="F119">
        <f>SUMIF(DATA!$A:$A,PPL!$A119,DATA!D:D)</f>
        <v>137</v>
      </c>
      <c r="G119">
        <f>SUMIF(DATA!$A:$A,PPL!$A119,DATA!E:E)</f>
        <v>9</v>
      </c>
      <c r="H119">
        <f>SUMIF(DATA!$A:$A,PPL!$A119,DATA!F:F)</f>
        <v>414</v>
      </c>
      <c r="I119">
        <f>SUMIF(DATA!$A:$A,PPL!$A119,DATA!G:G)</f>
        <v>30</v>
      </c>
      <c r="J119">
        <f>SUMIF(DATA!$A:$A,PPL!$A119,DATA!H:H)</f>
        <v>1</v>
      </c>
      <c r="K119">
        <f>SUMIF(DATA!$A:$A,PPL!$A119,DATA!I:I)</f>
        <v>14</v>
      </c>
      <c r="L119">
        <f>SUMIF(DATA!$A:$A,PPL!$A119,DATA!J:J)</f>
        <v>0</v>
      </c>
      <c r="M119">
        <f t="shared" si="2"/>
        <v>191</v>
      </c>
      <c r="N119" s="3">
        <f t="shared" si="3"/>
        <v>24.958677685950413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615</v>
      </c>
      <c r="F120">
        <f>SUMIF(DATA!$A:$A,PPL!$A120,DATA!D:D)</f>
        <v>163</v>
      </c>
      <c r="G120">
        <f>SUMIF(DATA!$A:$A,PPL!$A120,DATA!E:E)</f>
        <v>28</v>
      </c>
      <c r="H120">
        <f>SUMIF(DATA!$A:$A,PPL!$A120,DATA!F:F)</f>
        <v>328</v>
      </c>
      <c r="I120">
        <f>SUMIF(DATA!$A:$A,PPL!$A120,DATA!G:G)</f>
        <v>4</v>
      </c>
      <c r="J120">
        <f>SUMIF(DATA!$A:$A,PPL!$A120,DATA!H:H)</f>
        <v>0</v>
      </c>
      <c r="K120">
        <f>SUMIF(DATA!$A:$A,PPL!$A120,DATA!I:I)</f>
        <v>92</v>
      </c>
      <c r="L120">
        <f>SUMIF(DATA!$A:$A,PPL!$A120,DATA!J:J)</f>
        <v>0</v>
      </c>
      <c r="M120">
        <f t="shared" si="2"/>
        <v>287</v>
      </c>
      <c r="N120" s="3">
        <f t="shared" si="3"/>
        <v>41.463414634146339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638</v>
      </c>
      <c r="F121">
        <f>SUMIF(DATA!$A:$A,PPL!$A121,DATA!D:D)</f>
        <v>109</v>
      </c>
      <c r="G121">
        <f>SUMIF(DATA!$A:$A,PPL!$A121,DATA!E:E)</f>
        <v>33</v>
      </c>
      <c r="H121">
        <f>SUMIF(DATA!$A:$A,PPL!$A121,DATA!F:F)</f>
        <v>409</v>
      </c>
      <c r="I121">
        <f>SUMIF(DATA!$A:$A,PPL!$A121,DATA!G:G)</f>
        <v>10</v>
      </c>
      <c r="J121">
        <f>SUMIF(DATA!$A:$A,PPL!$A121,DATA!H:H)</f>
        <v>1</v>
      </c>
      <c r="K121">
        <f>SUMIF(DATA!$A:$A,PPL!$A121,DATA!I:I)</f>
        <v>76</v>
      </c>
      <c r="L121">
        <f>SUMIF(DATA!$A:$A,PPL!$A121,DATA!J:J)</f>
        <v>0</v>
      </c>
      <c r="M121">
        <f t="shared" si="2"/>
        <v>229</v>
      </c>
      <c r="N121" s="3">
        <f t="shared" si="3"/>
        <v>28.996865203761757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629</v>
      </c>
      <c r="F122">
        <f>SUMIF(DATA!$A:$A,PPL!$A122,DATA!D:D)</f>
        <v>97</v>
      </c>
      <c r="G122">
        <f>SUMIF(DATA!$A:$A,PPL!$A122,DATA!E:E)</f>
        <v>16</v>
      </c>
      <c r="H122">
        <f>SUMIF(DATA!$A:$A,PPL!$A122,DATA!F:F)</f>
        <v>415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100</v>
      </c>
      <c r="L122">
        <f>SUMIF(DATA!$A:$A,PPL!$A122,DATA!J:J)</f>
        <v>0</v>
      </c>
      <c r="M122">
        <f t="shared" si="2"/>
        <v>214</v>
      </c>
      <c r="N122" s="3">
        <f t="shared" si="3"/>
        <v>31.319554848966614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604</v>
      </c>
      <c r="F123">
        <f>SUMIF(DATA!$A:$A,PPL!$A123,DATA!D:D)</f>
        <v>86</v>
      </c>
      <c r="G123">
        <f>SUMIF(DATA!$A:$A,PPL!$A123,DATA!E:E)</f>
        <v>20</v>
      </c>
      <c r="H123">
        <f>SUMIF(DATA!$A:$A,PPL!$A123,DATA!F:F)</f>
        <v>402</v>
      </c>
      <c r="I123">
        <f>SUMIF(DATA!$A:$A,PPL!$A123,DATA!G:G)</f>
        <v>22</v>
      </c>
      <c r="J123">
        <f>SUMIF(DATA!$A:$A,PPL!$A123,DATA!H:H)</f>
        <v>0</v>
      </c>
      <c r="K123">
        <f>SUMIF(DATA!$A:$A,PPL!$A123,DATA!I:I)</f>
        <v>74</v>
      </c>
      <c r="L123">
        <f>SUMIF(DATA!$A:$A,PPL!$A123,DATA!J:J)</f>
        <v>0</v>
      </c>
      <c r="M123">
        <f t="shared" si="2"/>
        <v>202</v>
      </c>
      <c r="N123" s="3">
        <f t="shared" si="3"/>
        <v>26.490066225165563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594</v>
      </c>
      <c r="F124">
        <f>SUMIF(DATA!$A:$A,PPL!$A124,DATA!D:D)</f>
        <v>33</v>
      </c>
      <c r="G124">
        <f>SUMIF(DATA!$A:$A,PPL!$A124,DATA!E:E)</f>
        <v>36</v>
      </c>
      <c r="H124">
        <f>SUMIF(DATA!$A:$A,PPL!$A124,DATA!F:F)</f>
        <v>471</v>
      </c>
      <c r="I124">
        <f>SUMIF(DATA!$A:$A,PPL!$A124,DATA!G:G)</f>
        <v>13</v>
      </c>
      <c r="J124">
        <f>SUMIF(DATA!$A:$A,PPL!$A124,DATA!H:H)</f>
        <v>0</v>
      </c>
      <c r="K124">
        <f>SUMIF(DATA!$A:$A,PPL!$A124,DATA!I:I)</f>
        <v>41</v>
      </c>
      <c r="L124">
        <f>SUMIF(DATA!$A:$A,PPL!$A124,DATA!J:J)</f>
        <v>0</v>
      </c>
      <c r="M124">
        <f t="shared" si="2"/>
        <v>123</v>
      </c>
      <c r="N124" s="3">
        <f t="shared" si="3"/>
        <v>12.457912457912458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598</v>
      </c>
      <c r="F125">
        <f>SUMIF(DATA!$A:$A,PPL!$A125,DATA!D:D)</f>
        <v>84</v>
      </c>
      <c r="G125">
        <f>SUMIF(DATA!$A:$A,PPL!$A125,DATA!E:E)</f>
        <v>28</v>
      </c>
      <c r="H125">
        <f>SUMIF(DATA!$A:$A,PPL!$A125,DATA!F:F)</f>
        <v>476</v>
      </c>
      <c r="I125">
        <f>SUMIF(DATA!$A:$A,PPL!$A125,DATA!G:G)</f>
        <v>8</v>
      </c>
      <c r="J125">
        <f>SUMIF(DATA!$A:$A,PPL!$A125,DATA!H:H)</f>
        <v>0</v>
      </c>
      <c r="K125">
        <f>SUMIF(DATA!$A:$A,PPL!$A125,DATA!I:I)</f>
        <v>2</v>
      </c>
      <c r="L125">
        <f>SUMIF(DATA!$A:$A,PPL!$A125,DATA!J:J)</f>
        <v>0</v>
      </c>
      <c r="M125">
        <f t="shared" si="2"/>
        <v>122</v>
      </c>
      <c r="N125" s="3">
        <f t="shared" si="3"/>
        <v>14.381270903010032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609</v>
      </c>
      <c r="F126">
        <f>SUMIF(DATA!$A:$A,PPL!$A126,DATA!D:D)</f>
        <v>2</v>
      </c>
      <c r="G126">
        <f>SUMIF(DATA!$A:$A,PPL!$A126,DATA!E:E)</f>
        <v>33</v>
      </c>
      <c r="H126">
        <f>SUMIF(DATA!$A:$A,PPL!$A126,DATA!F:F)</f>
        <v>509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64</v>
      </c>
      <c r="L126">
        <f>SUMIF(DATA!$A:$A,PPL!$A126,DATA!J:J)</f>
        <v>0</v>
      </c>
      <c r="M126">
        <f t="shared" si="2"/>
        <v>100</v>
      </c>
      <c r="N126" s="3">
        <f t="shared" si="3"/>
        <v>10.83743842364532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630</v>
      </c>
      <c r="F127">
        <f>SUMIF(DATA!$A:$A,PPL!$A127,DATA!D:D)</f>
        <v>34</v>
      </c>
      <c r="G127">
        <f>SUMIF(DATA!$A:$A,PPL!$A127,DATA!E:E)</f>
        <v>9</v>
      </c>
      <c r="H127">
        <f>SUMIF(DATA!$A:$A,PPL!$A127,DATA!F:F)</f>
        <v>487</v>
      </c>
      <c r="I127">
        <f>SUMIF(DATA!$A:$A,PPL!$A127,DATA!G:G)</f>
        <v>26</v>
      </c>
      <c r="J127">
        <f>SUMIF(DATA!$A:$A,PPL!$A127,DATA!H:H)</f>
        <v>0</v>
      </c>
      <c r="K127">
        <f>SUMIF(DATA!$A:$A,PPL!$A127,DATA!I:I)</f>
        <v>74</v>
      </c>
      <c r="L127">
        <f>SUMIF(DATA!$A:$A,PPL!$A127,DATA!J:J)</f>
        <v>0</v>
      </c>
      <c r="M127">
        <f t="shared" si="2"/>
        <v>143</v>
      </c>
      <c r="N127" s="3">
        <f t="shared" si="3"/>
        <v>17.142857142857142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578</v>
      </c>
      <c r="F128">
        <f>SUMIF(DATA!$A:$A,PPL!$A128,DATA!D:D)</f>
        <v>54</v>
      </c>
      <c r="G128">
        <f>SUMIF(DATA!$A:$A,PPL!$A128,DATA!E:E)</f>
        <v>36</v>
      </c>
      <c r="H128">
        <f>SUMIF(DATA!$A:$A,PPL!$A128,DATA!F:F)</f>
        <v>465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19</v>
      </c>
      <c r="L128">
        <f>SUMIF(DATA!$A:$A,PPL!$A128,DATA!J:J)</f>
        <v>0</v>
      </c>
      <c r="M128">
        <f t="shared" si="2"/>
        <v>113</v>
      </c>
      <c r="N128" s="3">
        <f t="shared" si="3"/>
        <v>12.629757785467127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590</v>
      </c>
      <c r="F129">
        <f>SUMIF(DATA!$A:$A,PPL!$A129,DATA!D:D)</f>
        <v>45</v>
      </c>
      <c r="G129">
        <f>SUMIF(DATA!$A:$A,PPL!$A129,DATA!E:E)</f>
        <v>2</v>
      </c>
      <c r="H129">
        <f>SUMIF(DATA!$A:$A,PPL!$A129,DATA!F:F)</f>
        <v>467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75</v>
      </c>
      <c r="L129">
        <f>SUMIF(DATA!$A:$A,PPL!$A129,DATA!J:J)</f>
        <v>1</v>
      </c>
      <c r="M129">
        <f t="shared" si="2"/>
        <v>123</v>
      </c>
      <c r="N129" s="3">
        <f t="shared" si="3"/>
        <v>20.33898305084746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604</v>
      </c>
      <c r="F130">
        <f>SUMIF(DATA!$A:$A,PPL!$A130,DATA!D:D)</f>
        <v>79</v>
      </c>
      <c r="G130">
        <f>SUMIF(DATA!$A:$A,PPL!$A130,DATA!E:E)</f>
        <v>4</v>
      </c>
      <c r="H130">
        <f>SUMIF(DATA!$A:$A,PPL!$A130,DATA!F:F)</f>
        <v>460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61</v>
      </c>
      <c r="L130">
        <f>SUMIF(DATA!$A:$A,PPL!$A130,DATA!J:J)</f>
        <v>0</v>
      </c>
      <c r="M130">
        <f t="shared" ref="M130:M137" si="4">F130+G130+I130+J130+K130+L130</f>
        <v>144</v>
      </c>
      <c r="N130" s="3">
        <f t="shared" si="3"/>
        <v>23.178807947019866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607</v>
      </c>
      <c r="F131">
        <f>SUMIF(DATA!$A:$A,PPL!$A131,DATA!D:D)</f>
        <v>15</v>
      </c>
      <c r="G131">
        <f>SUMIF(DATA!$A:$A,PPL!$A131,DATA!E:E)</f>
        <v>64</v>
      </c>
      <c r="H131">
        <f>SUMIF(DATA!$A:$A,PPL!$A131,DATA!F:F)</f>
        <v>478</v>
      </c>
      <c r="I131">
        <f>SUMIF(DATA!$A:$A,PPL!$A131,DATA!G:G)</f>
        <v>6</v>
      </c>
      <c r="J131">
        <f>SUMIF(DATA!$A:$A,PPL!$A131,DATA!H:H)</f>
        <v>0</v>
      </c>
      <c r="K131">
        <f>SUMIF(DATA!$A:$A,PPL!$A131,DATA!I:I)</f>
        <v>44</v>
      </c>
      <c r="L131">
        <f>SUMIF(DATA!$A:$A,PPL!$A131,DATA!J:J)</f>
        <v>0</v>
      </c>
      <c r="M131">
        <f t="shared" si="4"/>
        <v>129</v>
      </c>
      <c r="N131" s="3">
        <f t="shared" ref="N131:N139" si="5">(SUM(F131,K131)/E131)*100</f>
        <v>9.7199341021416803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611</v>
      </c>
      <c r="F132">
        <f>SUMIF(DATA!$A:$A,PPL!$A132,DATA!D:D)</f>
        <v>51</v>
      </c>
      <c r="G132">
        <f>SUMIF(DATA!$A:$A,PPL!$A132,DATA!E:E)</f>
        <v>52</v>
      </c>
      <c r="H132">
        <f>SUMIF(DATA!$A:$A,PPL!$A132,DATA!F:F)</f>
        <v>451</v>
      </c>
      <c r="I132">
        <f>SUMIF(DATA!$A:$A,PPL!$A132,DATA!G:G)</f>
        <v>11</v>
      </c>
      <c r="J132">
        <f>SUMIF(DATA!$A:$A,PPL!$A132,DATA!H:H)</f>
        <v>0</v>
      </c>
      <c r="K132">
        <f>SUMIF(DATA!$A:$A,PPL!$A132,DATA!I:I)</f>
        <v>46</v>
      </c>
      <c r="L132">
        <f>SUMIF(DATA!$A:$A,PPL!$A132,DATA!J:J)</f>
        <v>0</v>
      </c>
      <c r="M132">
        <f t="shared" si="4"/>
        <v>160</v>
      </c>
      <c r="N132" s="3">
        <f t="shared" si="5"/>
        <v>15.875613747954173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593</v>
      </c>
      <c r="F133">
        <f>SUMIF(DATA!$A:$A,PPL!$A133,DATA!D:D)</f>
        <v>8</v>
      </c>
      <c r="G133">
        <f>SUMIF(DATA!$A:$A,PPL!$A133,DATA!E:E)</f>
        <v>47</v>
      </c>
      <c r="H133">
        <f>SUMIF(DATA!$A:$A,PPL!$A133,DATA!F:F)</f>
        <v>502</v>
      </c>
      <c r="I133">
        <f>SUMIF(DATA!$A:$A,PPL!$A133,DATA!G:G)</f>
        <v>10</v>
      </c>
      <c r="J133">
        <f>SUMIF(DATA!$A:$A,PPL!$A133,DATA!H:H)</f>
        <v>0</v>
      </c>
      <c r="K133">
        <f>SUMIF(DATA!$A:$A,PPL!$A133,DATA!I:I)</f>
        <v>26</v>
      </c>
      <c r="L133">
        <f>SUMIF(DATA!$A:$A,PPL!$A133,DATA!J:J)</f>
        <v>0</v>
      </c>
      <c r="M133">
        <f t="shared" si="4"/>
        <v>91</v>
      </c>
      <c r="N133" s="3">
        <f t="shared" si="5"/>
        <v>5.7335581787521077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518</v>
      </c>
      <c r="F134">
        <f>SUMIF(DATA!$A:$A,PPL!$A134,DATA!D:D)</f>
        <v>3</v>
      </c>
      <c r="G134">
        <f>SUMIF(DATA!$A:$A,PPL!$A134,DATA!E:E)</f>
        <v>39</v>
      </c>
      <c r="H134">
        <f>SUMIF(DATA!$A:$A,PPL!$A134,DATA!F:F)</f>
        <v>403</v>
      </c>
      <c r="I134">
        <f>SUMIF(DATA!$A:$A,PPL!$A134,DATA!G:G)</f>
        <v>2</v>
      </c>
      <c r="J134">
        <f>SUMIF(DATA!$A:$A,PPL!$A134,DATA!H:H)</f>
        <v>0</v>
      </c>
      <c r="K134">
        <f>SUMIF(DATA!$A:$A,PPL!$A134,DATA!I:I)</f>
        <v>71</v>
      </c>
      <c r="L134">
        <f>SUMIF(DATA!$A:$A,PPL!$A134,DATA!J:J)</f>
        <v>0</v>
      </c>
      <c r="M134">
        <f t="shared" si="4"/>
        <v>115</v>
      </c>
      <c r="N134" s="3">
        <f t="shared" si="5"/>
        <v>14.285714285714285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589</v>
      </c>
      <c r="F135">
        <f>SUMIF(DATA!$A:$A,PPL!$A135,DATA!D:D)</f>
        <v>39</v>
      </c>
      <c r="G135">
        <f>SUMIF(DATA!$A:$A,PPL!$A135,DATA!E:E)</f>
        <v>62</v>
      </c>
      <c r="H135">
        <f>SUMIF(DATA!$A:$A,PPL!$A135,DATA!F:F)</f>
        <v>410</v>
      </c>
      <c r="I135">
        <f>SUMIF(DATA!$A:$A,PPL!$A135,DATA!G:G)</f>
        <v>1</v>
      </c>
      <c r="J135">
        <f>SUMIF(DATA!$A:$A,PPL!$A135,DATA!H:H)</f>
        <v>0</v>
      </c>
      <c r="K135">
        <f>SUMIF(DATA!$A:$A,PPL!$A135,DATA!I:I)</f>
        <v>77</v>
      </c>
      <c r="L135">
        <f>SUMIF(DATA!$A:$A,PPL!$A135,DATA!J:J)</f>
        <v>0</v>
      </c>
      <c r="M135">
        <f t="shared" si="4"/>
        <v>179</v>
      </c>
      <c r="N135" s="3">
        <f t="shared" si="5"/>
        <v>19.694397283531409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610</v>
      </c>
      <c r="F136">
        <f>SUMIF(DATA!$A:$A,PPL!$A136,DATA!D:D)</f>
        <v>45</v>
      </c>
      <c r="G136">
        <f>SUMIF(DATA!$A:$A,PPL!$A136,DATA!E:E)</f>
        <v>123</v>
      </c>
      <c r="H136">
        <f>SUMIF(DATA!$A:$A,PPL!$A136,DATA!F:F)</f>
        <v>300</v>
      </c>
      <c r="I136">
        <f>SUMIF(DATA!$A:$A,PPL!$A136,DATA!G:G)</f>
        <v>2</v>
      </c>
      <c r="J136">
        <f>SUMIF(DATA!$A:$A,PPL!$A136,DATA!H:H)</f>
        <v>0</v>
      </c>
      <c r="K136">
        <f>SUMIF(DATA!$A:$A,PPL!$A136,DATA!I:I)</f>
        <v>140</v>
      </c>
      <c r="L136">
        <f>SUMIF(DATA!$A:$A,PPL!$A136,DATA!J:J)</f>
        <v>0</v>
      </c>
      <c r="M136">
        <f t="shared" si="4"/>
        <v>310</v>
      </c>
      <c r="N136" s="3">
        <f t="shared" si="5"/>
        <v>30.327868852459016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693</v>
      </c>
      <c r="F137">
        <f>SUMIF(DATA!$A:$A,PPL!$A137,DATA!D:D)</f>
        <v>37</v>
      </c>
      <c r="G137">
        <f>SUMIF(DATA!$A:$A,PPL!$A137,DATA!E:E)</f>
        <v>44</v>
      </c>
      <c r="H137">
        <f>SUMIF(DATA!$A:$A,PPL!$A137,DATA!F:F)</f>
        <v>545</v>
      </c>
      <c r="I137">
        <f>SUMIF(DATA!$A:$A,PPL!$A137,DATA!G:G)</f>
        <v>52</v>
      </c>
      <c r="J137">
        <f>SUMIF(DATA!$A:$A,PPL!$A137,DATA!H:H)</f>
        <v>1</v>
      </c>
      <c r="K137">
        <f>SUMIF(DATA!$A:$A,PPL!$A137,DATA!I:I)</f>
        <v>14</v>
      </c>
      <c r="L137">
        <f>SUMIF(DATA!$A:$A,PPL!$A137,DATA!J:J)</f>
        <v>0</v>
      </c>
      <c r="M137">
        <f t="shared" si="4"/>
        <v>148</v>
      </c>
      <c r="N137" s="3">
        <f t="shared" si="5"/>
        <v>7.3593073593073601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656</v>
      </c>
      <c r="F138">
        <f>SUMIF(DATA!$A:$A,PPL!$A138,DATA!D:D)</f>
        <v>23</v>
      </c>
      <c r="G138">
        <f>SUMIF(DATA!$A:$A,PPL!$A138,DATA!E:E)</f>
        <v>17</v>
      </c>
      <c r="H138">
        <f>SUMIF(DATA!$A:$A,PPL!$A138,DATA!F:F)</f>
        <v>557</v>
      </c>
      <c r="I138">
        <f>SUMIF(DATA!$A:$A,PPL!$A138,DATA!G:G)</f>
        <v>13</v>
      </c>
      <c r="J138">
        <f>SUMIF(DATA!$A:$A,PPL!$A138,DATA!H:H)</f>
        <v>0</v>
      </c>
      <c r="K138">
        <f>SUMIF(DATA!$A:$A,PPL!$A138,DATA!I:I)</f>
        <v>46</v>
      </c>
      <c r="L138">
        <f>SUMIF(DATA!$A:$A,PPL!$A138,DATA!J:J)</f>
        <v>0</v>
      </c>
      <c r="M138">
        <f t="shared" ref="M138:M139" si="6">F138+G138+I138+J138+K138+L138</f>
        <v>99</v>
      </c>
      <c r="N138" s="3">
        <f t="shared" si="5"/>
        <v>10.518292682926829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568</v>
      </c>
      <c r="F139">
        <f>SUMIF(DATA!$A:$A,PPL!$A139,DATA!D:D)</f>
        <v>0</v>
      </c>
      <c r="G139">
        <f>SUMIF(DATA!$A:$A,PPL!$A139,DATA!E:E)</f>
        <v>40</v>
      </c>
      <c r="H139">
        <f>SUMIF(DATA!$A:$A,PPL!$A139,DATA!F:F)</f>
        <v>506</v>
      </c>
      <c r="I139">
        <f>SUMIF(DATA!$A:$A,PPL!$A139,DATA!G:G)</f>
        <v>0</v>
      </c>
      <c r="J139">
        <f>SUMIF(DATA!$A:$A,PPL!$A139,DATA!H:H)</f>
        <v>3</v>
      </c>
      <c r="K139">
        <f>SUMIF(DATA!$A:$A,PPL!$A139,DATA!I:I)</f>
        <v>19</v>
      </c>
      <c r="L139">
        <f>SUMIF(DATA!$A:$A,PPL!$A139,DATA!J:J)</f>
        <v>0</v>
      </c>
      <c r="M139">
        <f t="shared" si="6"/>
        <v>62</v>
      </c>
      <c r="N139" s="3">
        <f t="shared" si="5"/>
        <v>3.345070422535211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L2" sqref="L2:L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4377</v>
      </c>
      <c r="D2">
        <f>SUMIF(PPL!$C:$C,PML!$A2,PPL!F:F)</f>
        <v>313</v>
      </c>
      <c r="E2">
        <f>SUMIF(PPL!$C:$C,PML!$A2,PPL!G:G)</f>
        <v>124</v>
      </c>
      <c r="F2">
        <f>SUMIF(PPL!$C:$C,PML!$A2,PPL!H:H)</f>
        <v>3008</v>
      </c>
      <c r="G2">
        <f>SUMIF(PPL!$C:$C,PML!$A2,PPL!I:I)</f>
        <v>238</v>
      </c>
      <c r="H2">
        <f>SUMIF(PPL!$C:$C,PML!$A2,PPL!J:J)</f>
        <v>0</v>
      </c>
      <c r="I2">
        <f>SUMIF(PPL!$C:$C,PML!$A2,PPL!K:K)</f>
        <v>694</v>
      </c>
      <c r="J2">
        <f>SUMIF(PPL!$C:$C,PML!$A2,PPL!L:L)</f>
        <v>0</v>
      </c>
      <c r="K2">
        <f>D2+G2+H2</f>
        <v>551</v>
      </c>
      <c r="L2" s="3">
        <f>(SUM(D2+G2)/C2)*100</f>
        <v>12.588530957276673</v>
      </c>
    </row>
    <row r="3" spans="1:12" x14ac:dyDescent="0.25">
      <c r="A3" t="s">
        <v>163</v>
      </c>
      <c r="B3" t="s">
        <v>187</v>
      </c>
      <c r="C3">
        <f>SUMIF(PPL!$C:$C,PML!$A3,PPL!E:E)</f>
        <v>4252</v>
      </c>
      <c r="D3">
        <f>SUMIF(PPL!$C:$C,PML!$A3,PPL!F:F)</f>
        <v>306</v>
      </c>
      <c r="E3">
        <f>SUMIF(PPL!$C:$C,PML!$A3,PPL!G:G)</f>
        <v>99</v>
      </c>
      <c r="F3">
        <f>SUMIF(PPL!$C:$C,PML!$A3,PPL!H:H)</f>
        <v>3084</v>
      </c>
      <c r="G3">
        <f>SUMIF(PPL!$C:$C,PML!$A3,PPL!I:I)</f>
        <v>25</v>
      </c>
      <c r="H3">
        <f>SUMIF(PPL!$C:$C,PML!$A3,PPL!J:J)</f>
        <v>1</v>
      </c>
      <c r="I3">
        <f>SUMIF(PPL!$C:$C,PML!$A3,PPL!K:K)</f>
        <v>737</v>
      </c>
      <c r="J3">
        <f>SUMIF(PPL!$C:$C,PML!$A3,PPL!L:L)</f>
        <v>0</v>
      </c>
      <c r="K3">
        <f t="shared" ref="K3:K20" si="0">D3+G3+H3</f>
        <v>332</v>
      </c>
      <c r="L3" s="3">
        <f t="shared" ref="L3:L20" si="1">(SUM(D3+G3)/C3)*100</f>
        <v>7.7845719661335844</v>
      </c>
    </row>
    <row r="4" spans="1:12" x14ac:dyDescent="0.25">
      <c r="A4" t="s">
        <v>164</v>
      </c>
      <c r="B4" t="s">
        <v>190</v>
      </c>
      <c r="C4">
        <f>SUMIF(PPL!$C:$C,PML!$A4,PPL!E:E)</f>
        <v>4414</v>
      </c>
      <c r="D4">
        <f>SUMIF(PPL!$C:$C,PML!$A4,PPL!F:F)</f>
        <v>309</v>
      </c>
      <c r="E4">
        <f>SUMIF(PPL!$C:$C,PML!$A4,PPL!G:G)</f>
        <v>161</v>
      </c>
      <c r="F4">
        <f>SUMIF(PPL!$C:$C,PML!$A4,PPL!H:H)</f>
        <v>3069</v>
      </c>
      <c r="G4">
        <f>SUMIF(PPL!$C:$C,PML!$A4,PPL!I:I)</f>
        <v>35</v>
      </c>
      <c r="H4">
        <f>SUMIF(PPL!$C:$C,PML!$A4,PPL!J:J)</f>
        <v>0</v>
      </c>
      <c r="I4">
        <f>SUMIF(PPL!$C:$C,PML!$A4,PPL!K:K)</f>
        <v>839</v>
      </c>
      <c r="J4">
        <f>SUMIF(PPL!$C:$C,PML!$A4,PPL!L:L)</f>
        <v>1</v>
      </c>
      <c r="K4">
        <f t="shared" si="0"/>
        <v>344</v>
      </c>
      <c r="L4" s="3">
        <f t="shared" si="1"/>
        <v>7.7933846850928852</v>
      </c>
    </row>
    <row r="5" spans="1:12" x14ac:dyDescent="0.25">
      <c r="A5" t="s">
        <v>165</v>
      </c>
      <c r="B5" t="s">
        <v>181</v>
      </c>
      <c r="C5">
        <f>SUMIF(PPL!$C:$C,PML!$A5,PPL!E:E)</f>
        <v>5233</v>
      </c>
      <c r="D5">
        <f>SUMIF(PPL!$C:$C,PML!$A5,PPL!F:F)</f>
        <v>509</v>
      </c>
      <c r="E5">
        <f>SUMIF(PPL!$C:$C,PML!$A5,PPL!G:G)</f>
        <v>483</v>
      </c>
      <c r="F5">
        <f>SUMIF(PPL!$C:$C,PML!$A5,PPL!H:H)</f>
        <v>3740</v>
      </c>
      <c r="G5">
        <f>SUMIF(PPL!$C:$C,PML!$A5,PPL!I:I)</f>
        <v>46</v>
      </c>
      <c r="H5">
        <f>SUMIF(PPL!$C:$C,PML!$A5,PPL!J:J)</f>
        <v>1</v>
      </c>
      <c r="I5">
        <f>SUMIF(PPL!$C:$C,PML!$A5,PPL!K:K)</f>
        <v>454</v>
      </c>
      <c r="J5">
        <f>SUMIF(PPL!$C:$C,PML!$A5,PPL!L:L)</f>
        <v>0</v>
      </c>
      <c r="K5">
        <f t="shared" si="0"/>
        <v>556</v>
      </c>
      <c r="L5" s="3">
        <f t="shared" si="1"/>
        <v>10.605771068220905</v>
      </c>
    </row>
    <row r="6" spans="1:12" x14ac:dyDescent="0.25">
      <c r="A6" t="s">
        <v>166</v>
      </c>
      <c r="B6" t="s">
        <v>189</v>
      </c>
      <c r="C6">
        <f>SUMIF(PPL!$C:$C,PML!$A6,PPL!E:E)</f>
        <v>4564</v>
      </c>
      <c r="D6">
        <f>SUMIF(PPL!$C:$C,PML!$A6,PPL!F:F)</f>
        <v>328</v>
      </c>
      <c r="E6">
        <f>SUMIF(PPL!$C:$C,PML!$A6,PPL!G:G)</f>
        <v>166</v>
      </c>
      <c r="F6">
        <f>SUMIF(PPL!$C:$C,PML!$A6,PPL!H:H)</f>
        <v>3440</v>
      </c>
      <c r="G6">
        <f>SUMIF(PPL!$C:$C,PML!$A6,PPL!I:I)</f>
        <v>36</v>
      </c>
      <c r="H6">
        <f>SUMIF(PPL!$C:$C,PML!$A6,PPL!J:J)</f>
        <v>0</v>
      </c>
      <c r="I6">
        <f>SUMIF(PPL!$C:$C,PML!$A6,PPL!K:K)</f>
        <v>594</v>
      </c>
      <c r="J6">
        <f>SUMIF(PPL!$C:$C,PML!$A6,PPL!L:L)</f>
        <v>0</v>
      </c>
      <c r="K6">
        <f t="shared" si="0"/>
        <v>364</v>
      </c>
      <c r="L6" s="3">
        <f t="shared" si="1"/>
        <v>7.9754601226993866</v>
      </c>
    </row>
    <row r="7" spans="1:12" x14ac:dyDescent="0.25">
      <c r="A7" t="s">
        <v>167</v>
      </c>
      <c r="B7" t="s">
        <v>182</v>
      </c>
      <c r="C7">
        <f>SUMIF(PPL!$C:$C,PML!$A7,PPL!E:E)</f>
        <v>5073</v>
      </c>
      <c r="D7">
        <f>SUMIF(PPL!$C:$C,PML!$A7,PPL!F:F)</f>
        <v>176</v>
      </c>
      <c r="E7">
        <f>SUMIF(PPL!$C:$C,PML!$A7,PPL!G:G)</f>
        <v>248</v>
      </c>
      <c r="F7">
        <f>SUMIF(PPL!$C:$C,PML!$A7,PPL!H:H)</f>
        <v>3745</v>
      </c>
      <c r="G7">
        <f>SUMIF(PPL!$C:$C,PML!$A7,PPL!I:I)</f>
        <v>31</v>
      </c>
      <c r="H7">
        <f>SUMIF(PPL!$C:$C,PML!$A7,PPL!J:J)</f>
        <v>1</v>
      </c>
      <c r="I7">
        <f>SUMIF(PPL!$C:$C,PML!$A7,PPL!K:K)</f>
        <v>871</v>
      </c>
      <c r="J7">
        <f>SUMIF(PPL!$C:$C,PML!$A7,PPL!L:L)</f>
        <v>1</v>
      </c>
      <c r="K7">
        <f t="shared" si="0"/>
        <v>208</v>
      </c>
      <c r="L7" s="3">
        <f t="shared" si="1"/>
        <v>4.0804257835600239</v>
      </c>
    </row>
    <row r="8" spans="1:12" x14ac:dyDescent="0.25">
      <c r="A8" t="s">
        <v>168</v>
      </c>
      <c r="B8" t="s">
        <v>197</v>
      </c>
      <c r="C8">
        <f>SUMIF(PPL!$C:$C,PML!$A8,PPL!E:E)</f>
        <v>4841</v>
      </c>
      <c r="D8">
        <f>SUMIF(PPL!$C:$C,PML!$A8,PPL!F:F)</f>
        <v>166</v>
      </c>
      <c r="E8">
        <f>SUMIF(PPL!$C:$C,PML!$A8,PPL!G:G)</f>
        <v>201</v>
      </c>
      <c r="F8">
        <f>SUMIF(PPL!$C:$C,PML!$A8,PPL!H:H)</f>
        <v>3731</v>
      </c>
      <c r="G8">
        <f>SUMIF(PPL!$C:$C,PML!$A8,PPL!I:I)</f>
        <v>25</v>
      </c>
      <c r="H8">
        <f>SUMIF(PPL!$C:$C,PML!$A8,PPL!J:J)</f>
        <v>0</v>
      </c>
      <c r="I8">
        <f>SUMIF(PPL!$C:$C,PML!$A8,PPL!K:K)</f>
        <v>718</v>
      </c>
      <c r="J8">
        <f>SUMIF(PPL!$C:$C,PML!$A8,PPL!L:L)</f>
        <v>0</v>
      </c>
      <c r="K8">
        <f t="shared" si="0"/>
        <v>191</v>
      </c>
      <c r="L8" s="3">
        <f t="shared" si="1"/>
        <v>3.9454658128485849</v>
      </c>
    </row>
    <row r="9" spans="1:12" x14ac:dyDescent="0.25">
      <c r="A9" t="s">
        <v>169</v>
      </c>
      <c r="B9" t="s">
        <v>199</v>
      </c>
      <c r="C9">
        <f>SUMIF(PPL!$C:$C,PML!$A9,PPL!E:E)</f>
        <v>4838</v>
      </c>
      <c r="D9">
        <f>SUMIF(PPL!$C:$C,PML!$A9,PPL!F:F)</f>
        <v>150</v>
      </c>
      <c r="E9">
        <f>SUMIF(PPL!$C:$C,PML!$A9,PPL!G:G)</f>
        <v>223</v>
      </c>
      <c r="F9">
        <f>SUMIF(PPL!$C:$C,PML!$A9,PPL!H:H)</f>
        <v>3448</v>
      </c>
      <c r="G9">
        <f>SUMIF(PPL!$C:$C,PML!$A9,PPL!I:I)</f>
        <v>26</v>
      </c>
      <c r="H9">
        <f>SUMIF(PPL!$C:$C,PML!$A9,PPL!J:J)</f>
        <v>1</v>
      </c>
      <c r="I9">
        <f>SUMIF(PPL!$C:$C,PML!$A9,PPL!K:K)</f>
        <v>989</v>
      </c>
      <c r="J9">
        <f>SUMIF(PPL!$C:$C,PML!$A9,PPL!L:L)</f>
        <v>0</v>
      </c>
      <c r="K9">
        <f t="shared" si="0"/>
        <v>177</v>
      </c>
      <c r="L9" s="3">
        <f t="shared" si="1"/>
        <v>3.6378668871434474</v>
      </c>
    </row>
    <row r="10" spans="1:12" x14ac:dyDescent="0.25">
      <c r="A10" t="s">
        <v>170</v>
      </c>
      <c r="B10" t="s">
        <v>196</v>
      </c>
      <c r="C10">
        <f>SUMIF(PPL!$C:$C,PML!$A10,PPL!E:E)</f>
        <v>4829</v>
      </c>
      <c r="D10">
        <f>SUMIF(PPL!$C:$C,PML!$A10,PPL!F:F)</f>
        <v>408</v>
      </c>
      <c r="E10">
        <f>SUMIF(PPL!$C:$C,PML!$A10,PPL!G:G)</f>
        <v>307</v>
      </c>
      <c r="F10">
        <f>SUMIF(PPL!$C:$C,PML!$A10,PPL!H:H)</f>
        <v>3478</v>
      </c>
      <c r="G10">
        <f>SUMIF(PPL!$C:$C,PML!$A10,PPL!I:I)</f>
        <v>123</v>
      </c>
      <c r="H10">
        <f>SUMIF(PPL!$C:$C,PML!$A10,PPL!J:J)</f>
        <v>0</v>
      </c>
      <c r="I10">
        <f>SUMIF(PPL!$C:$C,PML!$A10,PPL!K:K)</f>
        <v>513</v>
      </c>
      <c r="J10">
        <f>SUMIF(PPL!$C:$C,PML!$A10,PPL!L:L)</f>
        <v>0</v>
      </c>
      <c r="K10">
        <f t="shared" si="0"/>
        <v>531</v>
      </c>
      <c r="L10" s="3">
        <f t="shared" si="1"/>
        <v>10.996065437978878</v>
      </c>
    </row>
    <row r="11" spans="1:12" x14ac:dyDescent="0.25">
      <c r="A11" t="s">
        <v>171</v>
      </c>
      <c r="B11" t="s">
        <v>195</v>
      </c>
      <c r="C11">
        <f>SUMIF(PPL!$C:$C,PML!$A11,PPL!E:E)</f>
        <v>3853</v>
      </c>
      <c r="D11">
        <f>SUMIF(PPL!$C:$C,PML!$A11,PPL!F:F)</f>
        <v>425</v>
      </c>
      <c r="E11">
        <f>SUMIF(PPL!$C:$C,PML!$A11,PPL!G:G)</f>
        <v>260</v>
      </c>
      <c r="F11">
        <f>SUMIF(PPL!$C:$C,PML!$A11,PPL!H:H)</f>
        <v>2749</v>
      </c>
      <c r="G11">
        <f>SUMIF(PPL!$C:$C,PML!$A11,PPL!I:I)</f>
        <v>3</v>
      </c>
      <c r="H11">
        <f>SUMIF(PPL!$C:$C,PML!$A11,PPL!J:J)</f>
        <v>0</v>
      </c>
      <c r="I11">
        <f>SUMIF(PPL!$C:$C,PML!$A11,PPL!K:K)</f>
        <v>416</v>
      </c>
      <c r="J11">
        <f>SUMIF(PPL!$C:$C,PML!$A11,PPL!L:L)</f>
        <v>0</v>
      </c>
      <c r="K11">
        <f t="shared" si="0"/>
        <v>428</v>
      </c>
      <c r="L11" s="3">
        <f t="shared" si="1"/>
        <v>11.108227355307552</v>
      </c>
    </row>
    <row r="12" spans="1:12" x14ac:dyDescent="0.25">
      <c r="A12" t="s">
        <v>172</v>
      </c>
      <c r="B12" t="s">
        <v>193</v>
      </c>
      <c r="C12">
        <f>SUMIF(PPL!$C:$C,PML!$A12,PPL!E:E)</f>
        <v>3405</v>
      </c>
      <c r="D12">
        <f>SUMIF(PPL!$C:$C,PML!$A12,PPL!F:F)</f>
        <v>165</v>
      </c>
      <c r="E12">
        <f>SUMIF(PPL!$C:$C,PML!$A12,PPL!G:G)</f>
        <v>130</v>
      </c>
      <c r="F12">
        <f>SUMIF(PPL!$C:$C,PML!$A12,PPL!H:H)</f>
        <v>2575</v>
      </c>
      <c r="G12">
        <f>SUMIF(PPL!$C:$C,PML!$A12,PPL!I:I)</f>
        <v>36</v>
      </c>
      <c r="H12">
        <f>SUMIF(PPL!$C:$C,PML!$A12,PPL!J:J)</f>
        <v>1</v>
      </c>
      <c r="I12">
        <f>SUMIF(PPL!$C:$C,PML!$A12,PPL!K:K)</f>
        <v>498</v>
      </c>
      <c r="J12">
        <f>SUMIF(PPL!$C:$C,PML!$A12,PPL!L:L)</f>
        <v>0</v>
      </c>
      <c r="K12">
        <f t="shared" si="0"/>
        <v>202</v>
      </c>
      <c r="L12" s="3">
        <f t="shared" si="1"/>
        <v>5.9030837004405283</v>
      </c>
    </row>
    <row r="13" spans="1:12" x14ac:dyDescent="0.25">
      <c r="A13" t="s">
        <v>173</v>
      </c>
      <c r="B13" t="s">
        <v>186</v>
      </c>
      <c r="C13">
        <f>SUMIF(PPL!$C:$C,PML!$A13,PPL!E:E)</f>
        <v>3692</v>
      </c>
      <c r="D13">
        <f>SUMIF(PPL!$C:$C,PML!$A13,PPL!F:F)</f>
        <v>305</v>
      </c>
      <c r="E13">
        <f>SUMIF(PPL!$C:$C,PML!$A13,PPL!G:G)</f>
        <v>227</v>
      </c>
      <c r="F13">
        <f>SUMIF(PPL!$C:$C,PML!$A13,PPL!H:H)</f>
        <v>2610</v>
      </c>
      <c r="G13">
        <f>SUMIF(PPL!$C:$C,PML!$A13,PPL!I:I)</f>
        <v>30</v>
      </c>
      <c r="H13">
        <f>SUMIF(PPL!$C:$C,PML!$A13,PPL!J:J)</f>
        <v>0</v>
      </c>
      <c r="I13">
        <f>SUMIF(PPL!$C:$C,PML!$A13,PPL!K:K)</f>
        <v>520</v>
      </c>
      <c r="J13">
        <f>SUMIF(PPL!$C:$C,PML!$A13,PPL!L:L)</f>
        <v>0</v>
      </c>
      <c r="K13">
        <f t="shared" si="0"/>
        <v>335</v>
      </c>
      <c r="L13" s="3">
        <f t="shared" si="1"/>
        <v>9.0736728060671723</v>
      </c>
    </row>
    <row r="14" spans="1:12" x14ac:dyDescent="0.25">
      <c r="A14" t="s">
        <v>174</v>
      </c>
      <c r="B14" t="s">
        <v>185</v>
      </c>
      <c r="C14">
        <f>SUMIF(PPL!$C:$C,PML!$A14,PPL!E:E)</f>
        <v>3547</v>
      </c>
      <c r="D14">
        <f>SUMIF(PPL!$C:$C,PML!$A14,PPL!F:F)</f>
        <v>157</v>
      </c>
      <c r="E14">
        <f>SUMIF(PPL!$C:$C,PML!$A14,PPL!G:G)</f>
        <v>248</v>
      </c>
      <c r="F14">
        <f>SUMIF(PPL!$C:$C,PML!$A14,PPL!H:H)</f>
        <v>2677</v>
      </c>
      <c r="G14">
        <f>SUMIF(PPL!$C:$C,PML!$A14,PPL!I:I)</f>
        <v>4</v>
      </c>
      <c r="H14">
        <f>SUMIF(PPL!$C:$C,PML!$A14,PPL!J:J)</f>
        <v>0</v>
      </c>
      <c r="I14">
        <f>SUMIF(PPL!$C:$C,PML!$A14,PPL!K:K)</f>
        <v>461</v>
      </c>
      <c r="J14">
        <f>SUMIF(PPL!$C:$C,PML!$A14,PPL!L:L)</f>
        <v>0</v>
      </c>
      <c r="K14">
        <f t="shared" si="0"/>
        <v>161</v>
      </c>
      <c r="L14" s="3">
        <f t="shared" si="1"/>
        <v>4.5390470820411615</v>
      </c>
    </row>
    <row r="15" spans="1:12" x14ac:dyDescent="0.25">
      <c r="A15" t="s">
        <v>175</v>
      </c>
      <c r="B15" t="s">
        <v>188</v>
      </c>
      <c r="C15">
        <f>SUMIF(PPL!$C:$C,PML!$A15,PPL!E:E)</f>
        <v>3949</v>
      </c>
      <c r="D15">
        <f>SUMIF(PPL!$C:$C,PML!$A15,PPL!F:F)</f>
        <v>322</v>
      </c>
      <c r="E15">
        <f>SUMIF(PPL!$C:$C,PML!$A15,PPL!G:G)</f>
        <v>196</v>
      </c>
      <c r="F15">
        <f>SUMIF(PPL!$C:$C,PML!$A15,PPL!H:H)</f>
        <v>2887</v>
      </c>
      <c r="G15">
        <f>SUMIF(PPL!$C:$C,PML!$A15,PPL!I:I)</f>
        <v>56</v>
      </c>
      <c r="H15">
        <f>SUMIF(PPL!$C:$C,PML!$A15,PPL!J:J)</f>
        <v>0</v>
      </c>
      <c r="I15">
        <f>SUMIF(PPL!$C:$C,PML!$A15,PPL!K:K)</f>
        <v>487</v>
      </c>
      <c r="J15">
        <f>SUMIF(PPL!$C:$C,PML!$A15,PPL!L:L)</f>
        <v>0</v>
      </c>
      <c r="K15">
        <f t="shared" si="0"/>
        <v>378</v>
      </c>
      <c r="L15" s="3">
        <f t="shared" si="1"/>
        <v>9.5720435553304632</v>
      </c>
    </row>
    <row r="16" spans="1:12" x14ac:dyDescent="0.25">
      <c r="A16" t="s">
        <v>176</v>
      </c>
      <c r="B16" t="s">
        <v>194</v>
      </c>
      <c r="C16">
        <f>SUMIF(PPL!$C:$C,PML!$A16,PPL!E:E)</f>
        <v>4340</v>
      </c>
      <c r="D16">
        <f>SUMIF(PPL!$C:$C,PML!$A16,PPL!F:F)</f>
        <v>408</v>
      </c>
      <c r="E16">
        <f>SUMIF(PPL!$C:$C,PML!$A16,PPL!G:G)</f>
        <v>395</v>
      </c>
      <c r="F16">
        <f>SUMIF(PPL!$C:$C,PML!$A16,PPL!H:H)</f>
        <v>3090</v>
      </c>
      <c r="G16">
        <f>SUMIF(PPL!$C:$C,PML!$A16,PPL!I:I)</f>
        <v>67</v>
      </c>
      <c r="H16">
        <f>SUMIF(PPL!$C:$C,PML!$A16,PPL!J:J)</f>
        <v>2</v>
      </c>
      <c r="I16">
        <f>SUMIF(PPL!$C:$C,PML!$A16,PPL!K:K)</f>
        <v>378</v>
      </c>
      <c r="J16">
        <f>SUMIF(PPL!$C:$C,PML!$A16,PPL!L:L)</f>
        <v>0</v>
      </c>
      <c r="K16">
        <f t="shared" si="0"/>
        <v>477</v>
      </c>
      <c r="L16" s="3">
        <f t="shared" si="1"/>
        <v>10.944700460829493</v>
      </c>
    </row>
    <row r="17" spans="1:12" x14ac:dyDescent="0.25">
      <c r="A17" t="s">
        <v>177</v>
      </c>
      <c r="B17" t="s">
        <v>192</v>
      </c>
      <c r="C17">
        <f>SUMIF(PPL!$C:$C,PML!$A17,PPL!E:E)</f>
        <v>4299</v>
      </c>
      <c r="D17">
        <f>SUMIF(PPL!$C:$C,PML!$A17,PPL!F:F)</f>
        <v>644</v>
      </c>
      <c r="E17">
        <f>SUMIF(PPL!$C:$C,PML!$A17,PPL!G:G)</f>
        <v>187</v>
      </c>
      <c r="F17">
        <f>SUMIF(PPL!$C:$C,PML!$A17,PPL!H:H)</f>
        <v>2963</v>
      </c>
      <c r="G17">
        <f>SUMIF(PPL!$C:$C,PML!$A17,PPL!I:I)</f>
        <v>85</v>
      </c>
      <c r="H17">
        <f>SUMIF(PPL!$C:$C,PML!$A17,PPL!J:J)</f>
        <v>1</v>
      </c>
      <c r="I17">
        <f>SUMIF(PPL!$C:$C,PML!$A17,PPL!K:K)</f>
        <v>419</v>
      </c>
      <c r="J17">
        <f>SUMIF(PPL!$C:$C,PML!$A17,PPL!L:L)</f>
        <v>0</v>
      </c>
      <c r="K17">
        <f t="shared" si="0"/>
        <v>730</v>
      </c>
      <c r="L17" s="3">
        <f t="shared" si="1"/>
        <v>16.957431960921141</v>
      </c>
    </row>
    <row r="18" spans="1:12" x14ac:dyDescent="0.25">
      <c r="A18" t="s">
        <v>178</v>
      </c>
      <c r="B18" t="s">
        <v>191</v>
      </c>
      <c r="C18">
        <f>SUMIF(PPL!$C:$C,PML!$A18,PPL!E:E)</f>
        <v>4186</v>
      </c>
      <c r="D18">
        <f>SUMIF(PPL!$C:$C,PML!$A18,PPL!F:F)</f>
        <v>890</v>
      </c>
      <c r="E18">
        <f>SUMIF(PPL!$C:$C,PML!$A18,PPL!G:G)</f>
        <v>132</v>
      </c>
      <c r="F18">
        <f>SUMIF(PPL!$C:$C,PML!$A18,PPL!H:H)</f>
        <v>3107</v>
      </c>
      <c r="G18">
        <f>SUMIF(PPL!$C:$C,PML!$A18,PPL!I:I)</f>
        <v>41</v>
      </c>
      <c r="H18">
        <f>SUMIF(PPL!$C:$C,PML!$A18,PPL!J:J)</f>
        <v>1</v>
      </c>
      <c r="I18">
        <f>SUMIF(PPL!$C:$C,PML!$A18,PPL!K:K)</f>
        <v>15</v>
      </c>
      <c r="J18">
        <f>SUMIF(PPL!$C:$C,PML!$A18,PPL!L:L)</f>
        <v>0</v>
      </c>
      <c r="K18">
        <f t="shared" si="0"/>
        <v>932</v>
      </c>
      <c r="L18" s="3">
        <f t="shared" si="1"/>
        <v>22.240802675585282</v>
      </c>
    </row>
    <row r="19" spans="1:12" x14ac:dyDescent="0.25">
      <c r="A19" t="s">
        <v>179</v>
      </c>
      <c r="B19" t="s">
        <v>184</v>
      </c>
      <c r="C19">
        <f>SUMIF(PPL!$C:$C,PML!$A19,PPL!E:E)</f>
        <v>3630</v>
      </c>
      <c r="D19">
        <f>SUMIF(PPL!$C:$C,PML!$A19,PPL!F:F)</f>
        <v>177</v>
      </c>
      <c r="E19">
        <f>SUMIF(PPL!$C:$C,PML!$A19,PPL!G:G)</f>
        <v>353</v>
      </c>
      <c r="F19">
        <f>SUMIF(PPL!$C:$C,PML!$A19,PPL!H:H)</f>
        <v>2618</v>
      </c>
      <c r="G19">
        <f>SUMIF(PPL!$C:$C,PML!$A19,PPL!I:I)</f>
        <v>69</v>
      </c>
      <c r="H19">
        <f>SUMIF(PPL!$C:$C,PML!$A19,PPL!J:J)</f>
        <v>1</v>
      </c>
      <c r="I19">
        <f>SUMIF(PPL!$C:$C,PML!$A19,PPL!K:K)</f>
        <v>412</v>
      </c>
      <c r="J19">
        <f>SUMIF(PPL!$C:$C,PML!$A19,PPL!L:L)</f>
        <v>0</v>
      </c>
      <c r="K19">
        <f t="shared" si="0"/>
        <v>247</v>
      </c>
      <c r="L19" s="3">
        <f t="shared" si="1"/>
        <v>6.776859504132231</v>
      </c>
    </row>
    <row r="20" spans="1:12" x14ac:dyDescent="0.25">
      <c r="A20" t="s">
        <v>180</v>
      </c>
      <c r="B20" t="s">
        <v>183</v>
      </c>
      <c r="C20">
        <f>SUMIF(PPL!$C:$C,PML!$A20,PPL!E:E)</f>
        <v>4779</v>
      </c>
      <c r="D20">
        <f>SUMIF(PPL!$C:$C,PML!$A20,PPL!F:F)</f>
        <v>252</v>
      </c>
      <c r="E20">
        <f>SUMIF(PPL!$C:$C,PML!$A20,PPL!G:G)</f>
        <v>227</v>
      </c>
      <c r="F20">
        <f>SUMIF(PPL!$C:$C,PML!$A20,PPL!H:H)</f>
        <v>3821</v>
      </c>
      <c r="G20">
        <f>SUMIF(PPL!$C:$C,PML!$A20,PPL!I:I)</f>
        <v>66</v>
      </c>
      <c r="H20">
        <f>SUMIF(PPL!$C:$C,PML!$A20,PPL!J:J)</f>
        <v>3</v>
      </c>
      <c r="I20">
        <f>SUMIF(PPL!$C:$C,PML!$A20,PPL!K:K)</f>
        <v>409</v>
      </c>
      <c r="J20">
        <f>SUMIF(PPL!$C:$C,PML!$A20,PPL!L:L)</f>
        <v>1</v>
      </c>
      <c r="K20">
        <f t="shared" si="0"/>
        <v>321</v>
      </c>
      <c r="L20" s="3">
        <f t="shared" si="1"/>
        <v>6.6541117388575017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I26" sqref="I26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10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20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30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40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50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50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60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70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80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90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100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110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110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120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130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140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150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160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170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170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180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190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200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210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220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230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230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240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250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260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270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280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290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290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300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310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320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330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340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350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350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360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370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380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390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400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410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410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420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430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440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450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460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470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470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480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490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510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520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530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530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540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550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560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570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580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590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590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600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610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620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630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640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650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650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DATA</vt:lpstr>
      <vt:lpstr>region_summary (24)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2026-07-03T01:33:44Z</dcterms:modified>
</cp:coreProperties>
</file>