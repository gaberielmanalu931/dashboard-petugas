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E:\00.Gaberiel\2026\6. Juni\git-dashboard-petugas\"/>
    </mc:Choice>
  </mc:AlternateContent>
  <xr:revisionPtr revIDLastSave="0" documentId="13_ncr:1_{85FB407A-AC75-4BF2-8893-445595C641A5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Sheet1" sheetId="1" r:id="rId1"/>
    <sheet name="region_summary (54)" sheetId="45" r:id="rId2"/>
    <sheet name="DATA" sheetId="2" r:id="rId3"/>
    <sheet name="raw" sheetId="50" r:id="rId4"/>
    <sheet name="TDK" sheetId="51" r:id="rId5"/>
    <sheet name="HARIAN" sheetId="9" r:id="rId6"/>
    <sheet name="UB" sheetId="32" r:id="rId7"/>
    <sheet name="UB-DATA" sheetId="33" r:id="rId8"/>
    <sheet name="PPL" sheetId="4" r:id="rId9"/>
    <sheet name="PML" sheetId="5" r:id="rId10"/>
    <sheet name="TARGET" sheetId="11" r:id="rId11"/>
    <sheet name="INFO" sheetId="28" r:id="rId12"/>
  </sheets>
  <definedNames>
    <definedName name="_xlnm._FilterDatabase" localSheetId="2" hidden="1">DATA!$A$1:$N$1058</definedName>
    <definedName name="_xlnm._FilterDatabase" localSheetId="5" hidden="1">HARIAN!$A$1:$I$158</definedName>
    <definedName name="_xlnm._FilterDatabase" localSheetId="11" hidden="1">INFO!$A$1:$A$2</definedName>
    <definedName name="_xlnm._FilterDatabase" localSheetId="3" hidden="1">raw!$A$1:$L$1062</definedName>
    <definedName name="_xlnm._FilterDatabase" localSheetId="0" hidden="1">Sheet1!$A$1:$E$139</definedName>
    <definedName name="ExternalData_1" localSheetId="1" hidden="1">'region_summary (54)'!$A$1:$L$1056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1" l="1"/>
  <c r="B87" i="11"/>
  <c r="B88" i="11"/>
  <c r="B89" i="11"/>
  <c r="B90" i="11"/>
  <c r="B91" i="11"/>
  <c r="B92" i="11"/>
  <c r="B93" i="11"/>
  <c r="B94" i="11"/>
  <c r="B95" i="11"/>
  <c r="L3" i="50"/>
  <c r="L4" i="50"/>
  <c r="L5" i="50"/>
  <c r="L6" i="50"/>
  <c r="L7" i="50"/>
  <c r="L8" i="50"/>
  <c r="L9" i="50"/>
  <c r="L10" i="50"/>
  <c r="L11" i="50"/>
  <c r="L12" i="50"/>
  <c r="L13" i="50"/>
  <c r="L14" i="50"/>
  <c r="L15" i="50"/>
  <c r="L16" i="50"/>
  <c r="L17" i="50"/>
  <c r="L18" i="50"/>
  <c r="L19" i="50"/>
  <c r="L20" i="50"/>
  <c r="L21" i="50"/>
  <c r="L22" i="50"/>
  <c r="L23" i="50"/>
  <c r="L24" i="50"/>
  <c r="L25" i="50"/>
  <c r="L26" i="50"/>
  <c r="L27" i="50"/>
  <c r="L28" i="50"/>
  <c r="L29" i="50"/>
  <c r="L30" i="50"/>
  <c r="L31" i="50"/>
  <c r="L32" i="50"/>
  <c r="L33" i="50"/>
  <c r="L34" i="50"/>
  <c r="L35" i="50"/>
  <c r="L36" i="50"/>
  <c r="L37" i="50"/>
  <c r="L38" i="50"/>
  <c r="L39" i="50"/>
  <c r="L40" i="50"/>
  <c r="L41" i="50"/>
  <c r="L42" i="50"/>
  <c r="L43" i="50"/>
  <c r="L44" i="50"/>
  <c r="L45" i="50"/>
  <c r="L46" i="50"/>
  <c r="L47" i="50"/>
  <c r="L48" i="50"/>
  <c r="L49" i="50"/>
  <c r="L50" i="50"/>
  <c r="L51" i="50"/>
  <c r="L52" i="50"/>
  <c r="L53" i="50"/>
  <c r="L54" i="50"/>
  <c r="L55" i="50"/>
  <c r="L56" i="50"/>
  <c r="L57" i="50"/>
  <c r="L58" i="50"/>
  <c r="L59" i="50"/>
  <c r="L60" i="50"/>
  <c r="L61" i="50"/>
  <c r="L62" i="50"/>
  <c r="L63" i="50"/>
  <c r="L64" i="50"/>
  <c r="L65" i="50"/>
  <c r="L66" i="50"/>
  <c r="L67" i="50"/>
  <c r="L68" i="50"/>
  <c r="L69" i="50"/>
  <c r="L70" i="50"/>
  <c r="L71" i="50"/>
  <c r="L72" i="50"/>
  <c r="L73" i="50"/>
  <c r="L74" i="50"/>
  <c r="L75" i="50"/>
  <c r="L76" i="50"/>
  <c r="L77" i="50"/>
  <c r="L78" i="50"/>
  <c r="L79" i="50"/>
  <c r="L80" i="50"/>
  <c r="L81" i="50"/>
  <c r="L82" i="50"/>
  <c r="L83" i="50"/>
  <c r="L84" i="50"/>
  <c r="L85" i="50"/>
  <c r="L86" i="50"/>
  <c r="L87" i="50"/>
  <c r="L88" i="50"/>
  <c r="L89" i="50"/>
  <c r="L90" i="50"/>
  <c r="L91" i="50"/>
  <c r="L92" i="50"/>
  <c r="L93" i="50"/>
  <c r="L94" i="50"/>
  <c r="L95" i="50"/>
  <c r="L96" i="50"/>
  <c r="L97" i="50"/>
  <c r="L98" i="50"/>
  <c r="L99" i="50"/>
  <c r="L100" i="50"/>
  <c r="L101" i="50"/>
  <c r="L102" i="50"/>
  <c r="L103" i="50"/>
  <c r="L104" i="50"/>
  <c r="L105" i="50"/>
  <c r="L106" i="50"/>
  <c r="L107" i="50"/>
  <c r="L108" i="50"/>
  <c r="L109" i="50"/>
  <c r="L110" i="50"/>
  <c r="L111" i="50"/>
  <c r="L112" i="50"/>
  <c r="L113" i="50"/>
  <c r="L114" i="50"/>
  <c r="L115" i="50"/>
  <c r="L116" i="50"/>
  <c r="L117" i="50"/>
  <c r="L118" i="50"/>
  <c r="L119" i="50"/>
  <c r="L120" i="50"/>
  <c r="L121" i="50"/>
  <c r="L122" i="50"/>
  <c r="L123" i="50"/>
  <c r="L124" i="50"/>
  <c r="L125" i="50"/>
  <c r="L126" i="50"/>
  <c r="L127" i="50"/>
  <c r="L128" i="50"/>
  <c r="L129" i="50"/>
  <c r="L130" i="50"/>
  <c r="L131" i="50"/>
  <c r="L132" i="50"/>
  <c r="L133" i="50"/>
  <c r="L134" i="50"/>
  <c r="L135" i="50"/>
  <c r="L136" i="50"/>
  <c r="L137" i="50"/>
  <c r="L138" i="50"/>
  <c r="L139" i="50"/>
  <c r="L140" i="50"/>
  <c r="L141" i="50"/>
  <c r="L142" i="50"/>
  <c r="L143" i="50"/>
  <c r="L144" i="50"/>
  <c r="L145" i="50"/>
  <c r="L146" i="50"/>
  <c r="L147" i="50"/>
  <c r="L148" i="50"/>
  <c r="L149" i="50"/>
  <c r="L150" i="50"/>
  <c r="L151" i="50"/>
  <c r="L152" i="50"/>
  <c r="L153" i="50"/>
  <c r="L154" i="50"/>
  <c r="L155" i="50"/>
  <c r="L156" i="50"/>
  <c r="L157" i="50"/>
  <c r="L158" i="50"/>
  <c r="L159" i="50"/>
  <c r="L160" i="50"/>
  <c r="L161" i="50"/>
  <c r="L162" i="50"/>
  <c r="L163" i="50"/>
  <c r="L164" i="50"/>
  <c r="L165" i="50"/>
  <c r="L166" i="50"/>
  <c r="L167" i="50"/>
  <c r="L168" i="50"/>
  <c r="L169" i="50"/>
  <c r="L170" i="50"/>
  <c r="L171" i="50"/>
  <c r="L172" i="50"/>
  <c r="L173" i="50"/>
  <c r="L174" i="50"/>
  <c r="L175" i="50"/>
  <c r="L176" i="50"/>
  <c r="L177" i="50"/>
  <c r="L178" i="50"/>
  <c r="L179" i="50"/>
  <c r="L180" i="50"/>
  <c r="L181" i="50"/>
  <c r="L182" i="50"/>
  <c r="L183" i="50"/>
  <c r="L184" i="50"/>
  <c r="L185" i="50"/>
  <c r="L186" i="50"/>
  <c r="L187" i="50"/>
  <c r="L188" i="50"/>
  <c r="L189" i="50"/>
  <c r="L190" i="50"/>
  <c r="L191" i="50"/>
  <c r="L192" i="50"/>
  <c r="L193" i="50"/>
  <c r="L194" i="50"/>
  <c r="L195" i="50"/>
  <c r="L196" i="50"/>
  <c r="L197" i="50"/>
  <c r="L198" i="50"/>
  <c r="L199" i="50"/>
  <c r="L200" i="50"/>
  <c r="L201" i="50"/>
  <c r="L202" i="50"/>
  <c r="L203" i="50"/>
  <c r="L204" i="50"/>
  <c r="L205" i="50"/>
  <c r="L206" i="50"/>
  <c r="L207" i="50"/>
  <c r="L208" i="50"/>
  <c r="L209" i="50"/>
  <c r="L210" i="50"/>
  <c r="L211" i="50"/>
  <c r="L212" i="50"/>
  <c r="L213" i="50"/>
  <c r="L214" i="50"/>
  <c r="L215" i="50"/>
  <c r="L216" i="50"/>
  <c r="L217" i="50"/>
  <c r="L218" i="50"/>
  <c r="L219" i="50"/>
  <c r="L220" i="50"/>
  <c r="L221" i="50"/>
  <c r="L222" i="50"/>
  <c r="L223" i="50"/>
  <c r="L224" i="50"/>
  <c r="L225" i="50"/>
  <c r="L226" i="50"/>
  <c r="L227" i="50"/>
  <c r="L228" i="50"/>
  <c r="L229" i="50"/>
  <c r="L230" i="50"/>
  <c r="L231" i="50"/>
  <c r="L232" i="50"/>
  <c r="L233" i="50"/>
  <c r="L234" i="50"/>
  <c r="L235" i="50"/>
  <c r="L236" i="50"/>
  <c r="L237" i="50"/>
  <c r="L238" i="50"/>
  <c r="L239" i="50"/>
  <c r="L240" i="50"/>
  <c r="L241" i="50"/>
  <c r="L242" i="50"/>
  <c r="L243" i="50"/>
  <c r="L244" i="50"/>
  <c r="L245" i="50"/>
  <c r="L246" i="50"/>
  <c r="L247" i="50"/>
  <c r="L248" i="50"/>
  <c r="L249" i="50"/>
  <c r="L250" i="50"/>
  <c r="L251" i="50"/>
  <c r="L252" i="50"/>
  <c r="L253" i="50"/>
  <c r="L254" i="50"/>
  <c r="L255" i="50"/>
  <c r="L256" i="50"/>
  <c r="L257" i="50"/>
  <c r="L258" i="50"/>
  <c r="L259" i="50"/>
  <c r="L260" i="50"/>
  <c r="L261" i="50"/>
  <c r="L262" i="50"/>
  <c r="L263" i="50"/>
  <c r="L264" i="50"/>
  <c r="L265" i="50"/>
  <c r="L266" i="50"/>
  <c r="L267" i="50"/>
  <c r="L268" i="50"/>
  <c r="L269" i="50"/>
  <c r="L270" i="50"/>
  <c r="L271" i="50"/>
  <c r="L272" i="50"/>
  <c r="L273" i="50"/>
  <c r="L274" i="50"/>
  <c r="L275" i="50"/>
  <c r="L276" i="50"/>
  <c r="L277" i="50"/>
  <c r="L278" i="50"/>
  <c r="L279" i="50"/>
  <c r="L280" i="50"/>
  <c r="L281" i="50"/>
  <c r="L282" i="50"/>
  <c r="L283" i="50"/>
  <c r="L284" i="50"/>
  <c r="L285" i="50"/>
  <c r="L286" i="50"/>
  <c r="L287" i="50"/>
  <c r="L288" i="50"/>
  <c r="L289" i="50"/>
  <c r="L290" i="50"/>
  <c r="L291" i="50"/>
  <c r="L292" i="50"/>
  <c r="L293" i="50"/>
  <c r="L294" i="50"/>
  <c r="L295" i="50"/>
  <c r="L296" i="50"/>
  <c r="L297" i="50"/>
  <c r="L298" i="50"/>
  <c r="L299" i="50"/>
  <c r="L300" i="50"/>
  <c r="L301" i="50"/>
  <c r="L302" i="50"/>
  <c r="L303" i="50"/>
  <c r="L304" i="50"/>
  <c r="L305" i="50"/>
  <c r="L306" i="50"/>
  <c r="L307" i="50"/>
  <c r="L308" i="50"/>
  <c r="L309" i="50"/>
  <c r="L310" i="50"/>
  <c r="L311" i="50"/>
  <c r="L312" i="50"/>
  <c r="L313" i="50"/>
  <c r="L314" i="50"/>
  <c r="L315" i="50"/>
  <c r="L316" i="50"/>
  <c r="L317" i="50"/>
  <c r="L318" i="50"/>
  <c r="L319" i="50"/>
  <c r="L320" i="50"/>
  <c r="L321" i="50"/>
  <c r="L322" i="50"/>
  <c r="L323" i="50"/>
  <c r="L324" i="50"/>
  <c r="L325" i="50"/>
  <c r="L326" i="50"/>
  <c r="L327" i="50"/>
  <c r="L328" i="50"/>
  <c r="L329" i="50"/>
  <c r="L330" i="50"/>
  <c r="L331" i="50"/>
  <c r="L332" i="50"/>
  <c r="L333" i="50"/>
  <c r="L334" i="50"/>
  <c r="L335" i="50"/>
  <c r="L336" i="50"/>
  <c r="L337" i="50"/>
  <c r="L338" i="50"/>
  <c r="L339" i="50"/>
  <c r="L340" i="50"/>
  <c r="L341" i="50"/>
  <c r="L342" i="50"/>
  <c r="L343" i="50"/>
  <c r="L344" i="50"/>
  <c r="L345" i="50"/>
  <c r="L346" i="50"/>
  <c r="L347" i="50"/>
  <c r="L348" i="50"/>
  <c r="L349" i="50"/>
  <c r="L350" i="50"/>
  <c r="L351" i="50"/>
  <c r="L352" i="50"/>
  <c r="L353" i="50"/>
  <c r="L354" i="50"/>
  <c r="L355" i="50"/>
  <c r="L356" i="50"/>
  <c r="L357" i="50"/>
  <c r="L358" i="50"/>
  <c r="L359" i="50"/>
  <c r="L360" i="50"/>
  <c r="L361" i="50"/>
  <c r="L362" i="50"/>
  <c r="L363" i="50"/>
  <c r="L364" i="50"/>
  <c r="L365" i="50"/>
  <c r="L366" i="50"/>
  <c r="L367" i="50"/>
  <c r="L368" i="50"/>
  <c r="L369" i="50"/>
  <c r="L370" i="50"/>
  <c r="L371" i="50"/>
  <c r="L372" i="50"/>
  <c r="L373" i="50"/>
  <c r="L374" i="50"/>
  <c r="L375" i="50"/>
  <c r="L376" i="50"/>
  <c r="L377" i="50"/>
  <c r="L378" i="50"/>
  <c r="L379" i="50"/>
  <c r="L380" i="50"/>
  <c r="L381" i="50"/>
  <c r="L382" i="50"/>
  <c r="L383" i="50"/>
  <c r="L384" i="50"/>
  <c r="L385" i="50"/>
  <c r="L386" i="50"/>
  <c r="L387" i="50"/>
  <c r="L388" i="50"/>
  <c r="L389" i="50"/>
  <c r="L390" i="50"/>
  <c r="L391" i="50"/>
  <c r="L392" i="50"/>
  <c r="L393" i="50"/>
  <c r="L394" i="50"/>
  <c r="L395" i="50"/>
  <c r="L396" i="50"/>
  <c r="L397" i="50"/>
  <c r="L398" i="50"/>
  <c r="L399" i="50"/>
  <c r="L400" i="50"/>
  <c r="L401" i="50"/>
  <c r="L402" i="50"/>
  <c r="L403" i="50"/>
  <c r="L404" i="50"/>
  <c r="L405" i="50"/>
  <c r="L406" i="50"/>
  <c r="L407" i="50"/>
  <c r="L408" i="50"/>
  <c r="L409" i="50"/>
  <c r="L410" i="50"/>
  <c r="L411" i="50"/>
  <c r="L412" i="50"/>
  <c r="L413" i="50"/>
  <c r="L414" i="50"/>
  <c r="L415" i="50"/>
  <c r="L416" i="50"/>
  <c r="L417" i="50"/>
  <c r="L418" i="50"/>
  <c r="L419" i="50"/>
  <c r="L420" i="50"/>
  <c r="L421" i="50"/>
  <c r="L422" i="50"/>
  <c r="L423" i="50"/>
  <c r="L424" i="50"/>
  <c r="L425" i="50"/>
  <c r="L426" i="50"/>
  <c r="L427" i="50"/>
  <c r="L428" i="50"/>
  <c r="L429" i="50"/>
  <c r="L430" i="50"/>
  <c r="L431" i="50"/>
  <c r="L432" i="50"/>
  <c r="L433" i="50"/>
  <c r="L434" i="50"/>
  <c r="L435" i="50"/>
  <c r="L436" i="50"/>
  <c r="L437" i="50"/>
  <c r="L438" i="50"/>
  <c r="L439" i="50"/>
  <c r="L440" i="50"/>
  <c r="L441" i="50"/>
  <c r="L442" i="50"/>
  <c r="L443" i="50"/>
  <c r="L444" i="50"/>
  <c r="L445" i="50"/>
  <c r="L446" i="50"/>
  <c r="L447" i="50"/>
  <c r="L448" i="50"/>
  <c r="L449" i="50"/>
  <c r="L450" i="50"/>
  <c r="L451" i="50"/>
  <c r="L452" i="50"/>
  <c r="L453" i="50"/>
  <c r="L454" i="50"/>
  <c r="L455" i="50"/>
  <c r="L456" i="50"/>
  <c r="L457" i="50"/>
  <c r="L458" i="50"/>
  <c r="L459" i="50"/>
  <c r="L460" i="50"/>
  <c r="L461" i="50"/>
  <c r="L462" i="50"/>
  <c r="L463" i="50"/>
  <c r="L464" i="50"/>
  <c r="L465" i="50"/>
  <c r="L466" i="50"/>
  <c r="L467" i="50"/>
  <c r="L468" i="50"/>
  <c r="L469" i="50"/>
  <c r="L470" i="50"/>
  <c r="L471" i="50"/>
  <c r="L472" i="50"/>
  <c r="L473" i="50"/>
  <c r="L474" i="50"/>
  <c r="L475" i="50"/>
  <c r="L476" i="50"/>
  <c r="L477" i="50"/>
  <c r="L478" i="50"/>
  <c r="L479" i="50"/>
  <c r="L480" i="50"/>
  <c r="L481" i="50"/>
  <c r="L482" i="50"/>
  <c r="L483" i="50"/>
  <c r="L484" i="50"/>
  <c r="L485" i="50"/>
  <c r="L486" i="50"/>
  <c r="L487" i="50"/>
  <c r="L488" i="50"/>
  <c r="L489" i="50"/>
  <c r="L490" i="50"/>
  <c r="L491" i="50"/>
  <c r="L492" i="50"/>
  <c r="L493" i="50"/>
  <c r="L494" i="50"/>
  <c r="L495" i="50"/>
  <c r="L496" i="50"/>
  <c r="L497" i="50"/>
  <c r="L498" i="50"/>
  <c r="L499" i="50"/>
  <c r="L500" i="50"/>
  <c r="L501" i="50"/>
  <c r="L502" i="50"/>
  <c r="L503" i="50"/>
  <c r="L504" i="50"/>
  <c r="L505" i="50"/>
  <c r="L506" i="50"/>
  <c r="L507" i="50"/>
  <c r="L508" i="50"/>
  <c r="L509" i="50"/>
  <c r="L510" i="50"/>
  <c r="L511" i="50"/>
  <c r="L512" i="50"/>
  <c r="L513" i="50"/>
  <c r="L514" i="50"/>
  <c r="L515" i="50"/>
  <c r="L516" i="50"/>
  <c r="L517" i="50"/>
  <c r="L518" i="50"/>
  <c r="L519" i="50"/>
  <c r="L520" i="50"/>
  <c r="L521" i="50"/>
  <c r="L522" i="50"/>
  <c r="L523" i="50"/>
  <c r="L524" i="50"/>
  <c r="L525" i="50"/>
  <c r="L526" i="50"/>
  <c r="L527" i="50"/>
  <c r="L528" i="50"/>
  <c r="L529" i="50"/>
  <c r="L530" i="50"/>
  <c r="L531" i="50"/>
  <c r="L532" i="50"/>
  <c r="L533" i="50"/>
  <c r="L534" i="50"/>
  <c r="L535" i="50"/>
  <c r="L536" i="50"/>
  <c r="L537" i="50"/>
  <c r="L538" i="50"/>
  <c r="L539" i="50"/>
  <c r="L540" i="50"/>
  <c r="L541" i="50"/>
  <c r="L542" i="50"/>
  <c r="L543" i="50"/>
  <c r="L544" i="50"/>
  <c r="L545" i="50"/>
  <c r="L546" i="50"/>
  <c r="L547" i="50"/>
  <c r="L548" i="50"/>
  <c r="L549" i="50"/>
  <c r="L550" i="50"/>
  <c r="L551" i="50"/>
  <c r="L552" i="50"/>
  <c r="L553" i="50"/>
  <c r="L554" i="50"/>
  <c r="L555" i="50"/>
  <c r="L556" i="50"/>
  <c r="L557" i="50"/>
  <c r="L558" i="50"/>
  <c r="L559" i="50"/>
  <c r="L560" i="50"/>
  <c r="L561" i="50"/>
  <c r="L562" i="50"/>
  <c r="L563" i="50"/>
  <c r="L564" i="50"/>
  <c r="L565" i="50"/>
  <c r="L566" i="50"/>
  <c r="L567" i="50"/>
  <c r="L568" i="50"/>
  <c r="L569" i="50"/>
  <c r="L570" i="50"/>
  <c r="L571" i="50"/>
  <c r="L572" i="50"/>
  <c r="L573" i="50"/>
  <c r="L574" i="50"/>
  <c r="L575" i="50"/>
  <c r="L576" i="50"/>
  <c r="L577" i="50"/>
  <c r="L578" i="50"/>
  <c r="L579" i="50"/>
  <c r="L580" i="50"/>
  <c r="L581" i="50"/>
  <c r="L582" i="50"/>
  <c r="L583" i="50"/>
  <c r="L584" i="50"/>
  <c r="L585" i="50"/>
  <c r="L586" i="50"/>
  <c r="L587" i="50"/>
  <c r="L588" i="50"/>
  <c r="L589" i="50"/>
  <c r="L590" i="50"/>
  <c r="L591" i="50"/>
  <c r="L592" i="50"/>
  <c r="L593" i="50"/>
  <c r="L594" i="50"/>
  <c r="L595" i="50"/>
  <c r="L596" i="50"/>
  <c r="L597" i="50"/>
  <c r="L598" i="50"/>
  <c r="L599" i="50"/>
  <c r="L600" i="50"/>
  <c r="L601" i="50"/>
  <c r="L602" i="50"/>
  <c r="L603" i="50"/>
  <c r="L604" i="50"/>
  <c r="L605" i="50"/>
  <c r="L606" i="50"/>
  <c r="L607" i="50"/>
  <c r="L608" i="50"/>
  <c r="L609" i="50"/>
  <c r="L610" i="50"/>
  <c r="L611" i="50"/>
  <c r="L612" i="50"/>
  <c r="L613" i="50"/>
  <c r="L614" i="50"/>
  <c r="L615" i="50"/>
  <c r="L616" i="50"/>
  <c r="L617" i="50"/>
  <c r="L618" i="50"/>
  <c r="L619" i="50"/>
  <c r="L620" i="50"/>
  <c r="L621" i="50"/>
  <c r="L622" i="50"/>
  <c r="L623" i="50"/>
  <c r="L624" i="50"/>
  <c r="L625" i="50"/>
  <c r="L626" i="50"/>
  <c r="L627" i="50"/>
  <c r="L628" i="50"/>
  <c r="L629" i="50"/>
  <c r="L630" i="50"/>
  <c r="L631" i="50"/>
  <c r="L632" i="50"/>
  <c r="L633" i="50"/>
  <c r="L634" i="50"/>
  <c r="L635" i="50"/>
  <c r="L636" i="50"/>
  <c r="L637" i="50"/>
  <c r="L638" i="50"/>
  <c r="L639" i="50"/>
  <c r="L640" i="50"/>
  <c r="L641" i="50"/>
  <c r="L642" i="50"/>
  <c r="L643" i="50"/>
  <c r="L644" i="50"/>
  <c r="L645" i="50"/>
  <c r="L646" i="50"/>
  <c r="L647" i="50"/>
  <c r="L648" i="50"/>
  <c r="L649" i="50"/>
  <c r="L650" i="50"/>
  <c r="L651" i="50"/>
  <c r="L652" i="50"/>
  <c r="L653" i="50"/>
  <c r="L654" i="50"/>
  <c r="L655" i="50"/>
  <c r="L656" i="50"/>
  <c r="L657" i="50"/>
  <c r="L658" i="50"/>
  <c r="L659" i="50"/>
  <c r="L660" i="50"/>
  <c r="L661" i="50"/>
  <c r="L662" i="50"/>
  <c r="L663" i="50"/>
  <c r="L664" i="50"/>
  <c r="L665" i="50"/>
  <c r="L666" i="50"/>
  <c r="L667" i="50"/>
  <c r="L668" i="50"/>
  <c r="L669" i="50"/>
  <c r="L670" i="50"/>
  <c r="L671" i="50"/>
  <c r="L672" i="50"/>
  <c r="L673" i="50"/>
  <c r="L674" i="50"/>
  <c r="L675" i="50"/>
  <c r="L676" i="50"/>
  <c r="L677" i="50"/>
  <c r="L678" i="50"/>
  <c r="L679" i="50"/>
  <c r="L680" i="50"/>
  <c r="L681" i="50"/>
  <c r="L682" i="50"/>
  <c r="L683" i="50"/>
  <c r="L684" i="50"/>
  <c r="L685" i="50"/>
  <c r="L686" i="50"/>
  <c r="L687" i="50"/>
  <c r="L688" i="50"/>
  <c r="L689" i="50"/>
  <c r="L690" i="50"/>
  <c r="L691" i="50"/>
  <c r="L692" i="50"/>
  <c r="L693" i="50"/>
  <c r="L694" i="50"/>
  <c r="L695" i="50"/>
  <c r="L696" i="50"/>
  <c r="L697" i="50"/>
  <c r="L698" i="50"/>
  <c r="L699" i="50"/>
  <c r="L700" i="50"/>
  <c r="L701" i="50"/>
  <c r="L702" i="50"/>
  <c r="L703" i="50"/>
  <c r="L704" i="50"/>
  <c r="L705" i="50"/>
  <c r="L706" i="50"/>
  <c r="L707" i="50"/>
  <c r="L708" i="50"/>
  <c r="L709" i="50"/>
  <c r="L710" i="50"/>
  <c r="L711" i="50"/>
  <c r="L712" i="50"/>
  <c r="L713" i="50"/>
  <c r="L714" i="50"/>
  <c r="L715" i="50"/>
  <c r="L716" i="50"/>
  <c r="L717" i="50"/>
  <c r="L718" i="50"/>
  <c r="L719" i="50"/>
  <c r="L720" i="50"/>
  <c r="L721" i="50"/>
  <c r="L722" i="50"/>
  <c r="L723" i="50"/>
  <c r="L724" i="50"/>
  <c r="L725" i="50"/>
  <c r="L726" i="50"/>
  <c r="L727" i="50"/>
  <c r="L728" i="50"/>
  <c r="L729" i="50"/>
  <c r="L730" i="50"/>
  <c r="L731" i="50"/>
  <c r="L732" i="50"/>
  <c r="L733" i="50"/>
  <c r="L734" i="50"/>
  <c r="L735" i="50"/>
  <c r="L736" i="50"/>
  <c r="L737" i="50"/>
  <c r="L738" i="50"/>
  <c r="L739" i="50"/>
  <c r="L740" i="50"/>
  <c r="L741" i="50"/>
  <c r="L742" i="50"/>
  <c r="L743" i="50"/>
  <c r="L744" i="50"/>
  <c r="L745" i="50"/>
  <c r="L746" i="50"/>
  <c r="L747" i="50"/>
  <c r="L748" i="50"/>
  <c r="L749" i="50"/>
  <c r="L750" i="50"/>
  <c r="L751" i="50"/>
  <c r="L752" i="50"/>
  <c r="L753" i="50"/>
  <c r="L754" i="50"/>
  <c r="L755" i="50"/>
  <c r="L756" i="50"/>
  <c r="L757" i="50"/>
  <c r="L758" i="50"/>
  <c r="L759" i="50"/>
  <c r="L760" i="50"/>
  <c r="L761" i="50"/>
  <c r="L762" i="50"/>
  <c r="L763" i="50"/>
  <c r="L764" i="50"/>
  <c r="L765" i="50"/>
  <c r="L766" i="50"/>
  <c r="L767" i="50"/>
  <c r="L768" i="50"/>
  <c r="L769" i="50"/>
  <c r="L770" i="50"/>
  <c r="L771" i="50"/>
  <c r="L772" i="50"/>
  <c r="L773" i="50"/>
  <c r="L774" i="50"/>
  <c r="L775" i="50"/>
  <c r="L776" i="50"/>
  <c r="L777" i="50"/>
  <c r="L778" i="50"/>
  <c r="L779" i="50"/>
  <c r="L780" i="50"/>
  <c r="L781" i="50"/>
  <c r="L782" i="50"/>
  <c r="L783" i="50"/>
  <c r="L784" i="50"/>
  <c r="L785" i="50"/>
  <c r="L786" i="50"/>
  <c r="L787" i="50"/>
  <c r="L788" i="50"/>
  <c r="L789" i="50"/>
  <c r="L790" i="50"/>
  <c r="L791" i="50"/>
  <c r="L792" i="50"/>
  <c r="L793" i="50"/>
  <c r="L794" i="50"/>
  <c r="L795" i="50"/>
  <c r="L796" i="50"/>
  <c r="L797" i="50"/>
  <c r="L798" i="50"/>
  <c r="L799" i="50"/>
  <c r="L800" i="50"/>
  <c r="L801" i="50"/>
  <c r="L802" i="50"/>
  <c r="L803" i="50"/>
  <c r="L804" i="50"/>
  <c r="L805" i="50"/>
  <c r="L806" i="50"/>
  <c r="L807" i="50"/>
  <c r="L808" i="50"/>
  <c r="L809" i="50"/>
  <c r="L810" i="50"/>
  <c r="L811" i="50"/>
  <c r="L812" i="50"/>
  <c r="L813" i="50"/>
  <c r="L814" i="50"/>
  <c r="L815" i="50"/>
  <c r="L816" i="50"/>
  <c r="L817" i="50"/>
  <c r="L818" i="50"/>
  <c r="L819" i="50"/>
  <c r="L820" i="50"/>
  <c r="L821" i="50"/>
  <c r="L822" i="50"/>
  <c r="L823" i="50"/>
  <c r="L824" i="50"/>
  <c r="L825" i="50"/>
  <c r="L826" i="50"/>
  <c r="L827" i="50"/>
  <c r="L828" i="50"/>
  <c r="L829" i="50"/>
  <c r="L830" i="50"/>
  <c r="L831" i="50"/>
  <c r="L832" i="50"/>
  <c r="L833" i="50"/>
  <c r="L834" i="50"/>
  <c r="L835" i="50"/>
  <c r="L836" i="50"/>
  <c r="L837" i="50"/>
  <c r="L838" i="50"/>
  <c r="L839" i="50"/>
  <c r="L840" i="50"/>
  <c r="L841" i="50"/>
  <c r="L842" i="50"/>
  <c r="L843" i="50"/>
  <c r="L844" i="50"/>
  <c r="L845" i="50"/>
  <c r="L846" i="50"/>
  <c r="L847" i="50"/>
  <c r="L848" i="50"/>
  <c r="L849" i="50"/>
  <c r="L850" i="50"/>
  <c r="L851" i="50"/>
  <c r="L852" i="50"/>
  <c r="L853" i="50"/>
  <c r="L854" i="50"/>
  <c r="L855" i="50"/>
  <c r="L856" i="50"/>
  <c r="L857" i="50"/>
  <c r="L858" i="50"/>
  <c r="L859" i="50"/>
  <c r="L860" i="50"/>
  <c r="L861" i="50"/>
  <c r="L862" i="50"/>
  <c r="L863" i="50"/>
  <c r="L864" i="50"/>
  <c r="L865" i="50"/>
  <c r="L866" i="50"/>
  <c r="L867" i="50"/>
  <c r="L868" i="50"/>
  <c r="L869" i="50"/>
  <c r="L870" i="50"/>
  <c r="L871" i="50"/>
  <c r="L872" i="50"/>
  <c r="L873" i="50"/>
  <c r="L874" i="50"/>
  <c r="L875" i="50"/>
  <c r="L876" i="50"/>
  <c r="L877" i="50"/>
  <c r="L878" i="50"/>
  <c r="L879" i="50"/>
  <c r="L880" i="50"/>
  <c r="L881" i="50"/>
  <c r="L882" i="50"/>
  <c r="L883" i="50"/>
  <c r="L884" i="50"/>
  <c r="L885" i="50"/>
  <c r="L886" i="50"/>
  <c r="L887" i="50"/>
  <c r="L888" i="50"/>
  <c r="L889" i="50"/>
  <c r="L890" i="50"/>
  <c r="L891" i="50"/>
  <c r="L892" i="50"/>
  <c r="L893" i="50"/>
  <c r="L894" i="50"/>
  <c r="L895" i="50"/>
  <c r="L896" i="50"/>
  <c r="L897" i="50"/>
  <c r="L898" i="50"/>
  <c r="L899" i="50"/>
  <c r="L900" i="50"/>
  <c r="L901" i="50"/>
  <c r="L902" i="50"/>
  <c r="L903" i="50"/>
  <c r="L904" i="50"/>
  <c r="L905" i="50"/>
  <c r="L906" i="50"/>
  <c r="L907" i="50"/>
  <c r="L908" i="50"/>
  <c r="L909" i="50"/>
  <c r="L910" i="50"/>
  <c r="L911" i="50"/>
  <c r="L912" i="50"/>
  <c r="L913" i="50"/>
  <c r="L914" i="50"/>
  <c r="L915" i="50"/>
  <c r="L916" i="50"/>
  <c r="L917" i="50"/>
  <c r="L918" i="50"/>
  <c r="L919" i="50"/>
  <c r="L920" i="50"/>
  <c r="L921" i="50"/>
  <c r="L922" i="50"/>
  <c r="L923" i="50"/>
  <c r="L924" i="50"/>
  <c r="L925" i="50"/>
  <c r="L926" i="50"/>
  <c r="L927" i="50"/>
  <c r="L928" i="50"/>
  <c r="L929" i="50"/>
  <c r="L930" i="50"/>
  <c r="L931" i="50"/>
  <c r="L932" i="50"/>
  <c r="L933" i="50"/>
  <c r="L934" i="50"/>
  <c r="L935" i="50"/>
  <c r="L936" i="50"/>
  <c r="L937" i="50"/>
  <c r="L938" i="50"/>
  <c r="L939" i="50"/>
  <c r="L940" i="50"/>
  <c r="L941" i="50"/>
  <c r="L942" i="50"/>
  <c r="L943" i="50"/>
  <c r="L944" i="50"/>
  <c r="L945" i="50"/>
  <c r="L946" i="50"/>
  <c r="L947" i="50"/>
  <c r="L948" i="50"/>
  <c r="L949" i="50"/>
  <c r="L950" i="50"/>
  <c r="L951" i="50"/>
  <c r="L952" i="50"/>
  <c r="L953" i="50"/>
  <c r="L954" i="50"/>
  <c r="L955" i="50"/>
  <c r="L956" i="50"/>
  <c r="L957" i="50"/>
  <c r="L958" i="50"/>
  <c r="L959" i="50"/>
  <c r="L960" i="50"/>
  <c r="L961" i="50"/>
  <c r="L962" i="50"/>
  <c r="L963" i="50"/>
  <c r="L964" i="50"/>
  <c r="L965" i="50"/>
  <c r="L966" i="50"/>
  <c r="L967" i="50"/>
  <c r="L968" i="50"/>
  <c r="L969" i="50"/>
  <c r="L970" i="50"/>
  <c r="L971" i="50"/>
  <c r="L972" i="50"/>
  <c r="L973" i="50"/>
  <c r="L974" i="50"/>
  <c r="L975" i="50"/>
  <c r="L976" i="50"/>
  <c r="L977" i="50"/>
  <c r="L978" i="50"/>
  <c r="L979" i="50"/>
  <c r="L980" i="50"/>
  <c r="L981" i="50"/>
  <c r="L982" i="50"/>
  <c r="L983" i="50"/>
  <c r="L984" i="50"/>
  <c r="L985" i="50"/>
  <c r="L986" i="50"/>
  <c r="L987" i="50"/>
  <c r="L988" i="50"/>
  <c r="L989" i="50"/>
  <c r="L990" i="50"/>
  <c r="L991" i="50"/>
  <c r="L992" i="50"/>
  <c r="L993" i="50"/>
  <c r="L994" i="50"/>
  <c r="L995" i="50"/>
  <c r="L996" i="50"/>
  <c r="L997" i="50"/>
  <c r="L998" i="50"/>
  <c r="L999" i="50"/>
  <c r="L1000" i="50"/>
  <c r="L1001" i="50"/>
  <c r="L1002" i="50"/>
  <c r="L1003" i="50"/>
  <c r="L1004" i="50"/>
  <c r="L1005" i="50"/>
  <c r="L1006" i="50"/>
  <c r="L1007" i="50"/>
  <c r="L1008" i="50"/>
  <c r="L1009" i="50"/>
  <c r="L1010" i="50"/>
  <c r="L1011" i="50"/>
  <c r="L1012" i="50"/>
  <c r="L1013" i="50"/>
  <c r="L1014" i="50"/>
  <c r="L1015" i="50"/>
  <c r="L1016" i="50"/>
  <c r="L1017" i="50"/>
  <c r="L1018" i="50"/>
  <c r="L1019" i="50"/>
  <c r="L1020" i="50"/>
  <c r="L1021" i="50"/>
  <c r="L1022" i="50"/>
  <c r="L1023" i="50"/>
  <c r="L1024" i="50"/>
  <c r="L1025" i="50"/>
  <c r="L1026" i="50"/>
  <c r="L1027" i="50"/>
  <c r="L1028" i="50"/>
  <c r="L1029" i="50"/>
  <c r="L1030" i="50"/>
  <c r="L1031" i="50"/>
  <c r="L1032" i="50"/>
  <c r="L1033" i="50"/>
  <c r="L1034" i="50"/>
  <c r="L1035" i="50"/>
  <c r="L1036" i="50"/>
  <c r="L1037" i="50"/>
  <c r="L1038" i="50"/>
  <c r="L1039" i="50"/>
  <c r="L1040" i="50"/>
  <c r="L1041" i="50"/>
  <c r="L1042" i="50"/>
  <c r="L1043" i="50"/>
  <c r="L1044" i="50"/>
  <c r="L1045" i="50"/>
  <c r="L1046" i="50"/>
  <c r="L1047" i="50"/>
  <c r="L1048" i="50"/>
  <c r="L1049" i="50"/>
  <c r="L1050" i="50"/>
  <c r="L1051" i="50"/>
  <c r="L1052" i="50"/>
  <c r="L1053" i="50"/>
  <c r="L1054" i="50"/>
  <c r="L1055" i="50"/>
  <c r="L1056" i="50"/>
  <c r="L1057" i="50"/>
  <c r="L1058" i="50"/>
  <c r="L1059" i="50"/>
  <c r="L1060" i="50"/>
  <c r="L1061" i="50"/>
  <c r="L1062" i="50"/>
  <c r="L2" i="50"/>
  <c r="B85" i="11"/>
  <c r="B84" i="11"/>
  <c r="B83" i="11"/>
  <c r="B82" i="11"/>
  <c r="B81" i="11"/>
  <c r="B80" i="11"/>
  <c r="B79" i="11"/>
  <c r="K3" i="2"/>
  <c r="L3" i="2"/>
  <c r="M3" i="2"/>
  <c r="K4" i="2"/>
  <c r="L4" i="2"/>
  <c r="M4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106" i="2"/>
  <c r="L106" i="2"/>
  <c r="M106" i="2"/>
  <c r="K107" i="2"/>
  <c r="L107" i="2"/>
  <c r="M107" i="2"/>
  <c r="K108" i="2"/>
  <c r="L108" i="2"/>
  <c r="M108" i="2"/>
  <c r="K109" i="2"/>
  <c r="L109" i="2"/>
  <c r="M109" i="2"/>
  <c r="K110" i="2"/>
  <c r="L110" i="2"/>
  <c r="M110" i="2"/>
  <c r="K111" i="2"/>
  <c r="L111" i="2"/>
  <c r="M111" i="2"/>
  <c r="K112" i="2"/>
  <c r="L112" i="2"/>
  <c r="M112" i="2"/>
  <c r="K113" i="2"/>
  <c r="L113" i="2"/>
  <c r="M113" i="2"/>
  <c r="K114" i="2"/>
  <c r="L114" i="2"/>
  <c r="M114" i="2"/>
  <c r="K115" i="2"/>
  <c r="L115" i="2"/>
  <c r="M115" i="2"/>
  <c r="K116" i="2"/>
  <c r="L116" i="2"/>
  <c r="M116" i="2"/>
  <c r="K117" i="2"/>
  <c r="L117" i="2"/>
  <c r="M117" i="2"/>
  <c r="K118" i="2"/>
  <c r="L118" i="2"/>
  <c r="M118" i="2"/>
  <c r="K119" i="2"/>
  <c r="L119" i="2"/>
  <c r="M119" i="2"/>
  <c r="K120" i="2"/>
  <c r="L120" i="2"/>
  <c r="M120" i="2"/>
  <c r="K121" i="2"/>
  <c r="L121" i="2"/>
  <c r="M121" i="2"/>
  <c r="K122" i="2"/>
  <c r="L122" i="2"/>
  <c r="M122" i="2"/>
  <c r="K123" i="2"/>
  <c r="L123" i="2"/>
  <c r="M123" i="2"/>
  <c r="K124" i="2"/>
  <c r="L124" i="2"/>
  <c r="M124" i="2"/>
  <c r="K125" i="2"/>
  <c r="L125" i="2"/>
  <c r="M125" i="2"/>
  <c r="K126" i="2"/>
  <c r="L126" i="2"/>
  <c r="M126" i="2"/>
  <c r="K127" i="2"/>
  <c r="L127" i="2"/>
  <c r="M127" i="2"/>
  <c r="K128" i="2"/>
  <c r="L128" i="2"/>
  <c r="M128" i="2"/>
  <c r="K129" i="2"/>
  <c r="L129" i="2"/>
  <c r="M129" i="2"/>
  <c r="K130" i="2"/>
  <c r="L130" i="2"/>
  <c r="M130" i="2"/>
  <c r="K131" i="2"/>
  <c r="L131" i="2"/>
  <c r="M131" i="2"/>
  <c r="K132" i="2"/>
  <c r="L132" i="2"/>
  <c r="M132" i="2"/>
  <c r="K133" i="2"/>
  <c r="L133" i="2"/>
  <c r="M133" i="2"/>
  <c r="K134" i="2"/>
  <c r="L134" i="2"/>
  <c r="M134" i="2"/>
  <c r="K135" i="2"/>
  <c r="L135" i="2"/>
  <c r="M135" i="2"/>
  <c r="K136" i="2"/>
  <c r="L136" i="2"/>
  <c r="M136" i="2"/>
  <c r="K137" i="2"/>
  <c r="L137" i="2"/>
  <c r="M137" i="2"/>
  <c r="K138" i="2"/>
  <c r="L138" i="2"/>
  <c r="M138" i="2"/>
  <c r="K139" i="2"/>
  <c r="L139" i="2"/>
  <c r="M139" i="2"/>
  <c r="K140" i="2"/>
  <c r="L140" i="2"/>
  <c r="M140" i="2"/>
  <c r="K141" i="2"/>
  <c r="L141" i="2"/>
  <c r="M141" i="2"/>
  <c r="K142" i="2"/>
  <c r="L142" i="2"/>
  <c r="M142" i="2"/>
  <c r="K143" i="2"/>
  <c r="L143" i="2"/>
  <c r="M143" i="2"/>
  <c r="K144" i="2"/>
  <c r="L144" i="2"/>
  <c r="M144" i="2"/>
  <c r="K145" i="2"/>
  <c r="L145" i="2"/>
  <c r="M145" i="2"/>
  <c r="K146" i="2"/>
  <c r="L146" i="2"/>
  <c r="M146" i="2"/>
  <c r="K147" i="2"/>
  <c r="L147" i="2"/>
  <c r="M147" i="2"/>
  <c r="K148" i="2"/>
  <c r="L148" i="2"/>
  <c r="M148" i="2"/>
  <c r="K149" i="2"/>
  <c r="L149" i="2"/>
  <c r="M149" i="2"/>
  <c r="K150" i="2"/>
  <c r="L150" i="2"/>
  <c r="M150" i="2"/>
  <c r="K151" i="2"/>
  <c r="L151" i="2"/>
  <c r="M151" i="2"/>
  <c r="K152" i="2"/>
  <c r="L152" i="2"/>
  <c r="M152" i="2"/>
  <c r="K153" i="2"/>
  <c r="L153" i="2"/>
  <c r="M153" i="2"/>
  <c r="K154" i="2"/>
  <c r="L154" i="2"/>
  <c r="M154" i="2"/>
  <c r="K155" i="2"/>
  <c r="L155" i="2"/>
  <c r="M155" i="2"/>
  <c r="K156" i="2"/>
  <c r="L156" i="2"/>
  <c r="M156" i="2"/>
  <c r="K157" i="2"/>
  <c r="L157" i="2"/>
  <c r="M157" i="2"/>
  <c r="K158" i="2"/>
  <c r="L158" i="2"/>
  <c r="M158" i="2"/>
  <c r="K159" i="2"/>
  <c r="L159" i="2"/>
  <c r="M159" i="2"/>
  <c r="K160" i="2"/>
  <c r="L160" i="2"/>
  <c r="M160" i="2"/>
  <c r="K161" i="2"/>
  <c r="L161" i="2"/>
  <c r="M161" i="2"/>
  <c r="K162" i="2"/>
  <c r="L162" i="2"/>
  <c r="M162" i="2"/>
  <c r="K163" i="2"/>
  <c r="L163" i="2"/>
  <c r="M163" i="2"/>
  <c r="K164" i="2"/>
  <c r="L164" i="2"/>
  <c r="M164" i="2"/>
  <c r="K165" i="2"/>
  <c r="L165" i="2"/>
  <c r="M165" i="2"/>
  <c r="K166" i="2"/>
  <c r="L166" i="2"/>
  <c r="M166" i="2"/>
  <c r="K167" i="2"/>
  <c r="L167" i="2"/>
  <c r="M167" i="2"/>
  <c r="K168" i="2"/>
  <c r="L168" i="2"/>
  <c r="M168" i="2"/>
  <c r="K169" i="2"/>
  <c r="L169" i="2"/>
  <c r="M169" i="2"/>
  <c r="K170" i="2"/>
  <c r="L170" i="2"/>
  <c r="M170" i="2"/>
  <c r="K171" i="2"/>
  <c r="L171" i="2"/>
  <c r="M171" i="2"/>
  <c r="K172" i="2"/>
  <c r="L172" i="2"/>
  <c r="M172" i="2"/>
  <c r="K173" i="2"/>
  <c r="L173" i="2"/>
  <c r="M173" i="2"/>
  <c r="K174" i="2"/>
  <c r="L174" i="2"/>
  <c r="M174" i="2"/>
  <c r="K175" i="2"/>
  <c r="L175" i="2"/>
  <c r="M175" i="2"/>
  <c r="K176" i="2"/>
  <c r="L176" i="2"/>
  <c r="M176" i="2"/>
  <c r="K177" i="2"/>
  <c r="L177" i="2"/>
  <c r="M177" i="2"/>
  <c r="K178" i="2"/>
  <c r="L178" i="2"/>
  <c r="M178" i="2"/>
  <c r="K179" i="2"/>
  <c r="L179" i="2"/>
  <c r="M179" i="2"/>
  <c r="K180" i="2"/>
  <c r="L180" i="2"/>
  <c r="M180" i="2"/>
  <c r="K181" i="2"/>
  <c r="L181" i="2"/>
  <c r="M181" i="2"/>
  <c r="K182" i="2"/>
  <c r="L182" i="2"/>
  <c r="M182" i="2"/>
  <c r="K183" i="2"/>
  <c r="L183" i="2"/>
  <c r="M183" i="2"/>
  <c r="K184" i="2"/>
  <c r="L184" i="2"/>
  <c r="M184" i="2"/>
  <c r="K185" i="2"/>
  <c r="L185" i="2"/>
  <c r="M185" i="2"/>
  <c r="K186" i="2"/>
  <c r="L186" i="2"/>
  <c r="M186" i="2"/>
  <c r="K187" i="2"/>
  <c r="L187" i="2"/>
  <c r="M187" i="2"/>
  <c r="K188" i="2"/>
  <c r="L188" i="2"/>
  <c r="M188" i="2"/>
  <c r="K189" i="2"/>
  <c r="L189" i="2"/>
  <c r="M189" i="2"/>
  <c r="K190" i="2"/>
  <c r="L190" i="2"/>
  <c r="M190" i="2"/>
  <c r="K191" i="2"/>
  <c r="L191" i="2"/>
  <c r="M191" i="2"/>
  <c r="K192" i="2"/>
  <c r="L192" i="2"/>
  <c r="M192" i="2"/>
  <c r="K193" i="2"/>
  <c r="L193" i="2"/>
  <c r="M193" i="2"/>
  <c r="K194" i="2"/>
  <c r="L194" i="2"/>
  <c r="M194" i="2"/>
  <c r="K195" i="2"/>
  <c r="L195" i="2"/>
  <c r="M195" i="2"/>
  <c r="K196" i="2"/>
  <c r="L196" i="2"/>
  <c r="M196" i="2"/>
  <c r="K197" i="2"/>
  <c r="L197" i="2"/>
  <c r="M197" i="2"/>
  <c r="K198" i="2"/>
  <c r="L198" i="2"/>
  <c r="M198" i="2"/>
  <c r="K199" i="2"/>
  <c r="L199" i="2"/>
  <c r="M199" i="2"/>
  <c r="K200" i="2"/>
  <c r="L200" i="2"/>
  <c r="M200" i="2"/>
  <c r="K201" i="2"/>
  <c r="L201" i="2"/>
  <c r="M201" i="2"/>
  <c r="K202" i="2"/>
  <c r="L202" i="2"/>
  <c r="M202" i="2"/>
  <c r="K203" i="2"/>
  <c r="L203" i="2"/>
  <c r="M203" i="2"/>
  <c r="K204" i="2"/>
  <c r="L204" i="2"/>
  <c r="M204" i="2"/>
  <c r="K205" i="2"/>
  <c r="L205" i="2"/>
  <c r="M205" i="2"/>
  <c r="K206" i="2"/>
  <c r="L206" i="2"/>
  <c r="M206" i="2"/>
  <c r="K207" i="2"/>
  <c r="L207" i="2"/>
  <c r="M207" i="2"/>
  <c r="K208" i="2"/>
  <c r="L208" i="2"/>
  <c r="M208" i="2"/>
  <c r="K209" i="2"/>
  <c r="L209" i="2"/>
  <c r="M209" i="2"/>
  <c r="K210" i="2"/>
  <c r="L210" i="2"/>
  <c r="M210" i="2"/>
  <c r="K211" i="2"/>
  <c r="L211" i="2"/>
  <c r="M211" i="2"/>
  <c r="K212" i="2"/>
  <c r="L212" i="2"/>
  <c r="M212" i="2"/>
  <c r="K213" i="2"/>
  <c r="L213" i="2"/>
  <c r="M213" i="2"/>
  <c r="K214" i="2"/>
  <c r="L214" i="2"/>
  <c r="M214" i="2"/>
  <c r="K215" i="2"/>
  <c r="L215" i="2"/>
  <c r="M215" i="2"/>
  <c r="K216" i="2"/>
  <c r="L216" i="2"/>
  <c r="M216" i="2"/>
  <c r="K217" i="2"/>
  <c r="L217" i="2"/>
  <c r="M217" i="2"/>
  <c r="K218" i="2"/>
  <c r="L218" i="2"/>
  <c r="M218" i="2"/>
  <c r="K219" i="2"/>
  <c r="L219" i="2"/>
  <c r="M219" i="2"/>
  <c r="K220" i="2"/>
  <c r="L220" i="2"/>
  <c r="M220" i="2"/>
  <c r="K221" i="2"/>
  <c r="L221" i="2"/>
  <c r="M221" i="2"/>
  <c r="K222" i="2"/>
  <c r="L222" i="2"/>
  <c r="M222" i="2"/>
  <c r="K223" i="2"/>
  <c r="L223" i="2"/>
  <c r="M223" i="2"/>
  <c r="K224" i="2"/>
  <c r="L224" i="2"/>
  <c r="M224" i="2"/>
  <c r="K225" i="2"/>
  <c r="L225" i="2"/>
  <c r="M225" i="2"/>
  <c r="K226" i="2"/>
  <c r="L226" i="2"/>
  <c r="M226" i="2"/>
  <c r="K227" i="2"/>
  <c r="L227" i="2"/>
  <c r="M227" i="2"/>
  <c r="K228" i="2"/>
  <c r="L228" i="2"/>
  <c r="M228" i="2"/>
  <c r="K229" i="2"/>
  <c r="L229" i="2"/>
  <c r="M229" i="2"/>
  <c r="K230" i="2"/>
  <c r="L230" i="2"/>
  <c r="M230" i="2"/>
  <c r="K231" i="2"/>
  <c r="L231" i="2"/>
  <c r="M231" i="2"/>
  <c r="K232" i="2"/>
  <c r="L232" i="2"/>
  <c r="M232" i="2"/>
  <c r="K233" i="2"/>
  <c r="L233" i="2"/>
  <c r="M233" i="2"/>
  <c r="K234" i="2"/>
  <c r="L234" i="2"/>
  <c r="M234" i="2"/>
  <c r="K235" i="2"/>
  <c r="L235" i="2"/>
  <c r="M235" i="2"/>
  <c r="K236" i="2"/>
  <c r="L236" i="2"/>
  <c r="M236" i="2"/>
  <c r="K237" i="2"/>
  <c r="L237" i="2"/>
  <c r="M237" i="2"/>
  <c r="K238" i="2"/>
  <c r="L238" i="2"/>
  <c r="M238" i="2"/>
  <c r="K239" i="2"/>
  <c r="L239" i="2"/>
  <c r="M239" i="2"/>
  <c r="K240" i="2"/>
  <c r="L240" i="2"/>
  <c r="M240" i="2"/>
  <c r="K241" i="2"/>
  <c r="L241" i="2"/>
  <c r="M241" i="2"/>
  <c r="K242" i="2"/>
  <c r="L242" i="2"/>
  <c r="M242" i="2"/>
  <c r="K243" i="2"/>
  <c r="L243" i="2"/>
  <c r="M243" i="2"/>
  <c r="K244" i="2"/>
  <c r="L244" i="2"/>
  <c r="M244" i="2"/>
  <c r="K245" i="2"/>
  <c r="L245" i="2"/>
  <c r="M245" i="2"/>
  <c r="K246" i="2"/>
  <c r="L246" i="2"/>
  <c r="M246" i="2"/>
  <c r="K247" i="2"/>
  <c r="L247" i="2"/>
  <c r="M247" i="2"/>
  <c r="K248" i="2"/>
  <c r="L248" i="2"/>
  <c r="M248" i="2"/>
  <c r="K249" i="2"/>
  <c r="L249" i="2"/>
  <c r="M249" i="2"/>
  <c r="K250" i="2"/>
  <c r="L250" i="2"/>
  <c r="M250" i="2"/>
  <c r="K251" i="2"/>
  <c r="L251" i="2"/>
  <c r="M251" i="2"/>
  <c r="K252" i="2"/>
  <c r="L252" i="2"/>
  <c r="M252" i="2"/>
  <c r="K253" i="2"/>
  <c r="L253" i="2"/>
  <c r="M253" i="2"/>
  <c r="K254" i="2"/>
  <c r="L254" i="2"/>
  <c r="M254" i="2"/>
  <c r="K255" i="2"/>
  <c r="L255" i="2"/>
  <c r="M255" i="2"/>
  <c r="K256" i="2"/>
  <c r="L256" i="2"/>
  <c r="M256" i="2"/>
  <c r="K257" i="2"/>
  <c r="L257" i="2"/>
  <c r="M257" i="2"/>
  <c r="K258" i="2"/>
  <c r="L258" i="2"/>
  <c r="M258" i="2"/>
  <c r="K259" i="2"/>
  <c r="L259" i="2"/>
  <c r="M259" i="2"/>
  <c r="K260" i="2"/>
  <c r="L260" i="2"/>
  <c r="M260" i="2"/>
  <c r="K261" i="2"/>
  <c r="L261" i="2"/>
  <c r="M261" i="2"/>
  <c r="K262" i="2"/>
  <c r="L262" i="2"/>
  <c r="M262" i="2"/>
  <c r="K263" i="2"/>
  <c r="L263" i="2"/>
  <c r="M263" i="2"/>
  <c r="K264" i="2"/>
  <c r="L264" i="2"/>
  <c r="M264" i="2"/>
  <c r="K265" i="2"/>
  <c r="L265" i="2"/>
  <c r="M265" i="2"/>
  <c r="K266" i="2"/>
  <c r="L266" i="2"/>
  <c r="M266" i="2"/>
  <c r="K267" i="2"/>
  <c r="L267" i="2"/>
  <c r="M267" i="2"/>
  <c r="K268" i="2"/>
  <c r="L268" i="2"/>
  <c r="M268" i="2"/>
  <c r="K269" i="2"/>
  <c r="L269" i="2"/>
  <c r="M269" i="2"/>
  <c r="K270" i="2"/>
  <c r="L270" i="2"/>
  <c r="M270" i="2"/>
  <c r="K271" i="2"/>
  <c r="L271" i="2"/>
  <c r="M271" i="2"/>
  <c r="K272" i="2"/>
  <c r="L272" i="2"/>
  <c r="M272" i="2"/>
  <c r="K273" i="2"/>
  <c r="L273" i="2"/>
  <c r="M273" i="2"/>
  <c r="K274" i="2"/>
  <c r="L274" i="2"/>
  <c r="M274" i="2"/>
  <c r="K275" i="2"/>
  <c r="L275" i="2"/>
  <c r="M275" i="2"/>
  <c r="K276" i="2"/>
  <c r="L276" i="2"/>
  <c r="M276" i="2"/>
  <c r="K277" i="2"/>
  <c r="L277" i="2"/>
  <c r="M277" i="2"/>
  <c r="K278" i="2"/>
  <c r="L278" i="2"/>
  <c r="M278" i="2"/>
  <c r="K279" i="2"/>
  <c r="L279" i="2"/>
  <c r="M279" i="2"/>
  <c r="K280" i="2"/>
  <c r="L280" i="2"/>
  <c r="M280" i="2"/>
  <c r="K281" i="2"/>
  <c r="L281" i="2"/>
  <c r="M281" i="2"/>
  <c r="K282" i="2"/>
  <c r="L282" i="2"/>
  <c r="M282" i="2"/>
  <c r="K283" i="2"/>
  <c r="L283" i="2"/>
  <c r="M283" i="2"/>
  <c r="K284" i="2"/>
  <c r="L284" i="2"/>
  <c r="M284" i="2"/>
  <c r="K285" i="2"/>
  <c r="L285" i="2"/>
  <c r="M285" i="2"/>
  <c r="K286" i="2"/>
  <c r="L286" i="2"/>
  <c r="M286" i="2"/>
  <c r="K287" i="2"/>
  <c r="L287" i="2"/>
  <c r="M287" i="2"/>
  <c r="K288" i="2"/>
  <c r="L288" i="2"/>
  <c r="M288" i="2"/>
  <c r="K289" i="2"/>
  <c r="L289" i="2"/>
  <c r="M289" i="2"/>
  <c r="K290" i="2"/>
  <c r="L290" i="2"/>
  <c r="M290" i="2"/>
  <c r="K291" i="2"/>
  <c r="L291" i="2"/>
  <c r="M291" i="2"/>
  <c r="K292" i="2"/>
  <c r="L292" i="2"/>
  <c r="M292" i="2"/>
  <c r="K293" i="2"/>
  <c r="L293" i="2"/>
  <c r="M293" i="2"/>
  <c r="K294" i="2"/>
  <c r="L294" i="2"/>
  <c r="M294" i="2"/>
  <c r="K295" i="2"/>
  <c r="L295" i="2"/>
  <c r="M295" i="2"/>
  <c r="K296" i="2"/>
  <c r="L296" i="2"/>
  <c r="M296" i="2"/>
  <c r="K297" i="2"/>
  <c r="L297" i="2"/>
  <c r="M297" i="2"/>
  <c r="K298" i="2"/>
  <c r="L298" i="2"/>
  <c r="M298" i="2"/>
  <c r="K299" i="2"/>
  <c r="L299" i="2"/>
  <c r="M299" i="2"/>
  <c r="K300" i="2"/>
  <c r="L300" i="2"/>
  <c r="M300" i="2"/>
  <c r="K301" i="2"/>
  <c r="L301" i="2"/>
  <c r="M301" i="2"/>
  <c r="K302" i="2"/>
  <c r="L302" i="2"/>
  <c r="M302" i="2"/>
  <c r="K303" i="2"/>
  <c r="L303" i="2"/>
  <c r="M303" i="2"/>
  <c r="K304" i="2"/>
  <c r="L304" i="2"/>
  <c r="M304" i="2"/>
  <c r="K305" i="2"/>
  <c r="L305" i="2"/>
  <c r="M305" i="2"/>
  <c r="K306" i="2"/>
  <c r="L306" i="2"/>
  <c r="M306" i="2"/>
  <c r="K307" i="2"/>
  <c r="L307" i="2"/>
  <c r="M307" i="2"/>
  <c r="K308" i="2"/>
  <c r="L308" i="2"/>
  <c r="M308" i="2"/>
  <c r="K309" i="2"/>
  <c r="L309" i="2"/>
  <c r="M309" i="2"/>
  <c r="K310" i="2"/>
  <c r="L310" i="2"/>
  <c r="M310" i="2"/>
  <c r="K311" i="2"/>
  <c r="L311" i="2"/>
  <c r="M311" i="2"/>
  <c r="K312" i="2"/>
  <c r="L312" i="2"/>
  <c r="M312" i="2"/>
  <c r="K313" i="2"/>
  <c r="L313" i="2"/>
  <c r="M313" i="2"/>
  <c r="K314" i="2"/>
  <c r="L314" i="2"/>
  <c r="M314" i="2"/>
  <c r="K315" i="2"/>
  <c r="L315" i="2"/>
  <c r="M315" i="2"/>
  <c r="K316" i="2"/>
  <c r="L316" i="2"/>
  <c r="M316" i="2"/>
  <c r="K317" i="2"/>
  <c r="L317" i="2"/>
  <c r="M317" i="2"/>
  <c r="K318" i="2"/>
  <c r="L318" i="2"/>
  <c r="M318" i="2"/>
  <c r="K319" i="2"/>
  <c r="L319" i="2"/>
  <c r="M319" i="2"/>
  <c r="K320" i="2"/>
  <c r="L320" i="2"/>
  <c r="M320" i="2"/>
  <c r="K321" i="2"/>
  <c r="L321" i="2"/>
  <c r="M321" i="2"/>
  <c r="K322" i="2"/>
  <c r="L322" i="2"/>
  <c r="M322" i="2"/>
  <c r="K323" i="2"/>
  <c r="L323" i="2"/>
  <c r="M323" i="2"/>
  <c r="K324" i="2"/>
  <c r="L324" i="2"/>
  <c r="M324" i="2"/>
  <c r="K325" i="2"/>
  <c r="L325" i="2"/>
  <c r="M325" i="2"/>
  <c r="K326" i="2"/>
  <c r="L326" i="2"/>
  <c r="M326" i="2"/>
  <c r="K327" i="2"/>
  <c r="L327" i="2"/>
  <c r="M327" i="2"/>
  <c r="K328" i="2"/>
  <c r="L328" i="2"/>
  <c r="M328" i="2"/>
  <c r="K329" i="2"/>
  <c r="L329" i="2"/>
  <c r="M329" i="2"/>
  <c r="K330" i="2"/>
  <c r="L330" i="2"/>
  <c r="M330" i="2"/>
  <c r="K331" i="2"/>
  <c r="L331" i="2"/>
  <c r="M331" i="2"/>
  <c r="K332" i="2"/>
  <c r="L332" i="2"/>
  <c r="M332" i="2"/>
  <c r="K333" i="2"/>
  <c r="L333" i="2"/>
  <c r="M333" i="2"/>
  <c r="K334" i="2"/>
  <c r="L334" i="2"/>
  <c r="M334" i="2"/>
  <c r="K335" i="2"/>
  <c r="L335" i="2"/>
  <c r="M335" i="2"/>
  <c r="K336" i="2"/>
  <c r="L336" i="2"/>
  <c r="M336" i="2"/>
  <c r="K337" i="2"/>
  <c r="L337" i="2"/>
  <c r="M337" i="2"/>
  <c r="K338" i="2"/>
  <c r="L338" i="2"/>
  <c r="M338" i="2"/>
  <c r="K339" i="2"/>
  <c r="L339" i="2"/>
  <c r="M339" i="2"/>
  <c r="K340" i="2"/>
  <c r="L340" i="2"/>
  <c r="M340" i="2"/>
  <c r="K341" i="2"/>
  <c r="L341" i="2"/>
  <c r="M341" i="2"/>
  <c r="K342" i="2"/>
  <c r="L342" i="2"/>
  <c r="M342" i="2"/>
  <c r="K343" i="2"/>
  <c r="L343" i="2"/>
  <c r="M343" i="2"/>
  <c r="K344" i="2"/>
  <c r="L344" i="2"/>
  <c r="M344" i="2"/>
  <c r="K345" i="2"/>
  <c r="L345" i="2"/>
  <c r="M345" i="2"/>
  <c r="K346" i="2"/>
  <c r="L346" i="2"/>
  <c r="M346" i="2"/>
  <c r="K347" i="2"/>
  <c r="L347" i="2"/>
  <c r="M347" i="2"/>
  <c r="K348" i="2"/>
  <c r="L348" i="2"/>
  <c r="M348" i="2"/>
  <c r="K349" i="2"/>
  <c r="L349" i="2"/>
  <c r="M349" i="2"/>
  <c r="K350" i="2"/>
  <c r="L350" i="2"/>
  <c r="M350" i="2"/>
  <c r="K351" i="2"/>
  <c r="L351" i="2"/>
  <c r="M351" i="2"/>
  <c r="K352" i="2"/>
  <c r="L352" i="2"/>
  <c r="M352" i="2"/>
  <c r="K353" i="2"/>
  <c r="L353" i="2"/>
  <c r="M353" i="2"/>
  <c r="K354" i="2"/>
  <c r="L354" i="2"/>
  <c r="M354" i="2"/>
  <c r="K355" i="2"/>
  <c r="L355" i="2"/>
  <c r="M355" i="2"/>
  <c r="K356" i="2"/>
  <c r="L356" i="2"/>
  <c r="M356" i="2"/>
  <c r="K357" i="2"/>
  <c r="L357" i="2"/>
  <c r="M357" i="2"/>
  <c r="K358" i="2"/>
  <c r="L358" i="2"/>
  <c r="M358" i="2"/>
  <c r="K359" i="2"/>
  <c r="L359" i="2"/>
  <c r="M359" i="2"/>
  <c r="K360" i="2"/>
  <c r="L360" i="2"/>
  <c r="M360" i="2"/>
  <c r="K361" i="2"/>
  <c r="L361" i="2"/>
  <c r="M361" i="2"/>
  <c r="K362" i="2"/>
  <c r="L362" i="2"/>
  <c r="M362" i="2"/>
  <c r="K363" i="2"/>
  <c r="L363" i="2"/>
  <c r="M363" i="2"/>
  <c r="K364" i="2"/>
  <c r="L364" i="2"/>
  <c r="M364" i="2"/>
  <c r="K365" i="2"/>
  <c r="L365" i="2"/>
  <c r="M365" i="2"/>
  <c r="K366" i="2"/>
  <c r="L366" i="2"/>
  <c r="M366" i="2"/>
  <c r="K367" i="2"/>
  <c r="L367" i="2"/>
  <c r="M367" i="2"/>
  <c r="K368" i="2"/>
  <c r="L368" i="2"/>
  <c r="M368" i="2"/>
  <c r="K369" i="2"/>
  <c r="L369" i="2"/>
  <c r="M369" i="2"/>
  <c r="K370" i="2"/>
  <c r="L370" i="2"/>
  <c r="M370" i="2"/>
  <c r="K371" i="2"/>
  <c r="L371" i="2"/>
  <c r="M371" i="2"/>
  <c r="K372" i="2"/>
  <c r="L372" i="2"/>
  <c r="M372" i="2"/>
  <c r="K373" i="2"/>
  <c r="L373" i="2"/>
  <c r="M373" i="2"/>
  <c r="K374" i="2"/>
  <c r="L374" i="2"/>
  <c r="M374" i="2"/>
  <c r="K375" i="2"/>
  <c r="L375" i="2"/>
  <c r="M375" i="2"/>
  <c r="K376" i="2"/>
  <c r="L376" i="2"/>
  <c r="M376" i="2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K382" i="2"/>
  <c r="L382" i="2"/>
  <c r="M382" i="2"/>
  <c r="K383" i="2"/>
  <c r="L383" i="2"/>
  <c r="M383" i="2"/>
  <c r="K384" i="2"/>
  <c r="L384" i="2"/>
  <c r="M384" i="2"/>
  <c r="K385" i="2"/>
  <c r="L385" i="2"/>
  <c r="M385" i="2"/>
  <c r="K386" i="2"/>
  <c r="L386" i="2"/>
  <c r="M386" i="2"/>
  <c r="K387" i="2"/>
  <c r="L387" i="2"/>
  <c r="M387" i="2"/>
  <c r="K388" i="2"/>
  <c r="L388" i="2"/>
  <c r="M388" i="2"/>
  <c r="K389" i="2"/>
  <c r="L389" i="2"/>
  <c r="M389" i="2"/>
  <c r="K390" i="2"/>
  <c r="L390" i="2"/>
  <c r="M390" i="2"/>
  <c r="K391" i="2"/>
  <c r="L391" i="2"/>
  <c r="M391" i="2"/>
  <c r="K392" i="2"/>
  <c r="L392" i="2"/>
  <c r="M392" i="2"/>
  <c r="K393" i="2"/>
  <c r="L393" i="2"/>
  <c r="M393" i="2"/>
  <c r="K394" i="2"/>
  <c r="L394" i="2"/>
  <c r="M394" i="2"/>
  <c r="K395" i="2"/>
  <c r="L395" i="2"/>
  <c r="M395" i="2"/>
  <c r="K396" i="2"/>
  <c r="L396" i="2"/>
  <c r="M396" i="2"/>
  <c r="K397" i="2"/>
  <c r="L397" i="2"/>
  <c r="M397" i="2"/>
  <c r="K398" i="2"/>
  <c r="L398" i="2"/>
  <c r="M398" i="2"/>
  <c r="K399" i="2"/>
  <c r="L399" i="2"/>
  <c r="M399" i="2"/>
  <c r="K400" i="2"/>
  <c r="L400" i="2"/>
  <c r="M400" i="2"/>
  <c r="K401" i="2"/>
  <c r="L401" i="2"/>
  <c r="M401" i="2"/>
  <c r="K402" i="2"/>
  <c r="L402" i="2"/>
  <c r="M402" i="2"/>
  <c r="K403" i="2"/>
  <c r="L403" i="2"/>
  <c r="M403" i="2"/>
  <c r="K404" i="2"/>
  <c r="L404" i="2"/>
  <c r="M404" i="2"/>
  <c r="K405" i="2"/>
  <c r="L405" i="2"/>
  <c r="M405" i="2"/>
  <c r="K406" i="2"/>
  <c r="L406" i="2"/>
  <c r="M406" i="2"/>
  <c r="K407" i="2"/>
  <c r="L407" i="2"/>
  <c r="M407" i="2"/>
  <c r="K408" i="2"/>
  <c r="L408" i="2"/>
  <c r="M408" i="2"/>
  <c r="K409" i="2"/>
  <c r="L409" i="2"/>
  <c r="M409" i="2"/>
  <c r="K410" i="2"/>
  <c r="L410" i="2"/>
  <c r="M410" i="2"/>
  <c r="K411" i="2"/>
  <c r="L411" i="2"/>
  <c r="M411" i="2"/>
  <c r="K412" i="2"/>
  <c r="L412" i="2"/>
  <c r="M412" i="2"/>
  <c r="K413" i="2"/>
  <c r="L413" i="2"/>
  <c r="M413" i="2"/>
  <c r="K414" i="2"/>
  <c r="L414" i="2"/>
  <c r="M414" i="2"/>
  <c r="K415" i="2"/>
  <c r="L415" i="2"/>
  <c r="M415" i="2"/>
  <c r="K416" i="2"/>
  <c r="L416" i="2"/>
  <c r="M416" i="2"/>
  <c r="K417" i="2"/>
  <c r="L417" i="2"/>
  <c r="M417" i="2"/>
  <c r="K418" i="2"/>
  <c r="L418" i="2"/>
  <c r="M418" i="2"/>
  <c r="K419" i="2"/>
  <c r="L419" i="2"/>
  <c r="M419" i="2"/>
  <c r="K420" i="2"/>
  <c r="L420" i="2"/>
  <c r="M420" i="2"/>
  <c r="K421" i="2"/>
  <c r="L421" i="2"/>
  <c r="M421" i="2"/>
  <c r="K422" i="2"/>
  <c r="L422" i="2"/>
  <c r="M422" i="2"/>
  <c r="K423" i="2"/>
  <c r="L423" i="2"/>
  <c r="M423" i="2"/>
  <c r="K424" i="2"/>
  <c r="L424" i="2"/>
  <c r="M424" i="2"/>
  <c r="K425" i="2"/>
  <c r="L425" i="2"/>
  <c r="M425" i="2"/>
  <c r="K426" i="2"/>
  <c r="L426" i="2"/>
  <c r="M426" i="2"/>
  <c r="K427" i="2"/>
  <c r="L427" i="2"/>
  <c r="M427" i="2"/>
  <c r="K428" i="2"/>
  <c r="L428" i="2"/>
  <c r="M428" i="2"/>
  <c r="K429" i="2"/>
  <c r="L429" i="2"/>
  <c r="M429" i="2"/>
  <c r="K430" i="2"/>
  <c r="L430" i="2"/>
  <c r="M430" i="2"/>
  <c r="K431" i="2"/>
  <c r="L431" i="2"/>
  <c r="M431" i="2"/>
  <c r="K432" i="2"/>
  <c r="L432" i="2"/>
  <c r="M432" i="2"/>
  <c r="K433" i="2"/>
  <c r="L433" i="2"/>
  <c r="M433" i="2"/>
  <c r="K434" i="2"/>
  <c r="L434" i="2"/>
  <c r="M434" i="2"/>
  <c r="K435" i="2"/>
  <c r="L435" i="2"/>
  <c r="M435" i="2"/>
  <c r="K436" i="2"/>
  <c r="L436" i="2"/>
  <c r="M436" i="2"/>
  <c r="K437" i="2"/>
  <c r="L437" i="2"/>
  <c r="M437" i="2"/>
  <c r="K438" i="2"/>
  <c r="L438" i="2"/>
  <c r="M438" i="2"/>
  <c r="K439" i="2"/>
  <c r="L439" i="2"/>
  <c r="M439" i="2"/>
  <c r="K440" i="2"/>
  <c r="L440" i="2"/>
  <c r="M440" i="2"/>
  <c r="K441" i="2"/>
  <c r="L441" i="2"/>
  <c r="M441" i="2"/>
  <c r="K442" i="2"/>
  <c r="L442" i="2"/>
  <c r="M442" i="2"/>
  <c r="K443" i="2"/>
  <c r="L443" i="2"/>
  <c r="M443" i="2"/>
  <c r="K444" i="2"/>
  <c r="L444" i="2"/>
  <c r="M444" i="2"/>
  <c r="K445" i="2"/>
  <c r="L445" i="2"/>
  <c r="M445" i="2"/>
  <c r="K446" i="2"/>
  <c r="L446" i="2"/>
  <c r="M446" i="2"/>
  <c r="K447" i="2"/>
  <c r="L447" i="2"/>
  <c r="M447" i="2"/>
  <c r="K448" i="2"/>
  <c r="L448" i="2"/>
  <c r="M448" i="2"/>
  <c r="K449" i="2"/>
  <c r="L449" i="2"/>
  <c r="M449" i="2"/>
  <c r="K450" i="2"/>
  <c r="L450" i="2"/>
  <c r="M450" i="2"/>
  <c r="K451" i="2"/>
  <c r="L451" i="2"/>
  <c r="M451" i="2"/>
  <c r="K452" i="2"/>
  <c r="L452" i="2"/>
  <c r="M452" i="2"/>
  <c r="K453" i="2"/>
  <c r="L453" i="2"/>
  <c r="M453" i="2"/>
  <c r="K454" i="2"/>
  <c r="L454" i="2"/>
  <c r="M454" i="2"/>
  <c r="K455" i="2"/>
  <c r="L455" i="2"/>
  <c r="M455" i="2"/>
  <c r="K456" i="2"/>
  <c r="L456" i="2"/>
  <c r="M456" i="2"/>
  <c r="K457" i="2"/>
  <c r="L457" i="2"/>
  <c r="M457" i="2"/>
  <c r="K458" i="2"/>
  <c r="L458" i="2"/>
  <c r="M458" i="2"/>
  <c r="K459" i="2"/>
  <c r="L459" i="2"/>
  <c r="M459" i="2"/>
  <c r="K460" i="2"/>
  <c r="L460" i="2"/>
  <c r="M460" i="2"/>
  <c r="K461" i="2"/>
  <c r="L461" i="2"/>
  <c r="M461" i="2"/>
  <c r="K462" i="2"/>
  <c r="L462" i="2"/>
  <c r="M462" i="2"/>
  <c r="K463" i="2"/>
  <c r="L463" i="2"/>
  <c r="M463" i="2"/>
  <c r="K464" i="2"/>
  <c r="L464" i="2"/>
  <c r="M464" i="2"/>
  <c r="K465" i="2"/>
  <c r="L465" i="2"/>
  <c r="M465" i="2"/>
  <c r="K466" i="2"/>
  <c r="L466" i="2"/>
  <c r="M466" i="2"/>
  <c r="K467" i="2"/>
  <c r="L467" i="2"/>
  <c r="M467" i="2"/>
  <c r="K468" i="2"/>
  <c r="L468" i="2"/>
  <c r="M468" i="2"/>
  <c r="K469" i="2"/>
  <c r="L469" i="2"/>
  <c r="M469" i="2"/>
  <c r="K470" i="2"/>
  <c r="L470" i="2"/>
  <c r="M470" i="2"/>
  <c r="K471" i="2"/>
  <c r="L471" i="2"/>
  <c r="M471" i="2"/>
  <c r="K472" i="2"/>
  <c r="L472" i="2"/>
  <c r="M472" i="2"/>
  <c r="K473" i="2"/>
  <c r="L473" i="2"/>
  <c r="M473" i="2"/>
  <c r="K474" i="2"/>
  <c r="L474" i="2"/>
  <c r="M474" i="2"/>
  <c r="K475" i="2"/>
  <c r="L475" i="2"/>
  <c r="M475" i="2"/>
  <c r="K476" i="2"/>
  <c r="L476" i="2"/>
  <c r="M476" i="2"/>
  <c r="K477" i="2"/>
  <c r="L477" i="2"/>
  <c r="M477" i="2"/>
  <c r="K478" i="2"/>
  <c r="L478" i="2"/>
  <c r="M478" i="2"/>
  <c r="K479" i="2"/>
  <c r="L479" i="2"/>
  <c r="M479" i="2"/>
  <c r="K480" i="2"/>
  <c r="L480" i="2"/>
  <c r="M480" i="2"/>
  <c r="K481" i="2"/>
  <c r="L481" i="2"/>
  <c r="M481" i="2"/>
  <c r="K482" i="2"/>
  <c r="L482" i="2"/>
  <c r="M482" i="2"/>
  <c r="K483" i="2"/>
  <c r="L483" i="2"/>
  <c r="M483" i="2"/>
  <c r="K484" i="2"/>
  <c r="L484" i="2"/>
  <c r="M484" i="2"/>
  <c r="K485" i="2"/>
  <c r="L485" i="2"/>
  <c r="M485" i="2"/>
  <c r="K486" i="2"/>
  <c r="L486" i="2"/>
  <c r="M486" i="2"/>
  <c r="K487" i="2"/>
  <c r="L487" i="2"/>
  <c r="M487" i="2"/>
  <c r="K488" i="2"/>
  <c r="L488" i="2"/>
  <c r="M488" i="2"/>
  <c r="K489" i="2"/>
  <c r="L489" i="2"/>
  <c r="M489" i="2"/>
  <c r="K490" i="2"/>
  <c r="L490" i="2"/>
  <c r="M490" i="2"/>
  <c r="K491" i="2"/>
  <c r="L491" i="2"/>
  <c r="M491" i="2"/>
  <c r="K492" i="2"/>
  <c r="L492" i="2"/>
  <c r="M492" i="2"/>
  <c r="K493" i="2"/>
  <c r="L493" i="2"/>
  <c r="M493" i="2"/>
  <c r="K494" i="2"/>
  <c r="L494" i="2"/>
  <c r="M494" i="2"/>
  <c r="K495" i="2"/>
  <c r="L495" i="2"/>
  <c r="M495" i="2"/>
  <c r="K496" i="2"/>
  <c r="L496" i="2"/>
  <c r="M496" i="2"/>
  <c r="K497" i="2"/>
  <c r="L497" i="2"/>
  <c r="M497" i="2"/>
  <c r="K498" i="2"/>
  <c r="L498" i="2"/>
  <c r="M498" i="2"/>
  <c r="K499" i="2"/>
  <c r="L499" i="2"/>
  <c r="M499" i="2"/>
  <c r="K500" i="2"/>
  <c r="L500" i="2"/>
  <c r="M500" i="2"/>
  <c r="K501" i="2"/>
  <c r="L501" i="2"/>
  <c r="M501" i="2"/>
  <c r="K502" i="2"/>
  <c r="L502" i="2"/>
  <c r="M502" i="2"/>
  <c r="K503" i="2"/>
  <c r="L503" i="2"/>
  <c r="M503" i="2"/>
  <c r="K504" i="2"/>
  <c r="L504" i="2"/>
  <c r="M504" i="2"/>
  <c r="K505" i="2"/>
  <c r="L505" i="2"/>
  <c r="M505" i="2"/>
  <c r="K506" i="2"/>
  <c r="L506" i="2"/>
  <c r="M506" i="2"/>
  <c r="K507" i="2"/>
  <c r="L507" i="2"/>
  <c r="M507" i="2"/>
  <c r="K508" i="2"/>
  <c r="L508" i="2"/>
  <c r="M508" i="2"/>
  <c r="K509" i="2"/>
  <c r="L509" i="2"/>
  <c r="M509" i="2"/>
  <c r="K510" i="2"/>
  <c r="L510" i="2"/>
  <c r="M510" i="2"/>
  <c r="K511" i="2"/>
  <c r="L511" i="2"/>
  <c r="M511" i="2"/>
  <c r="K512" i="2"/>
  <c r="L512" i="2"/>
  <c r="M512" i="2"/>
  <c r="K513" i="2"/>
  <c r="L513" i="2"/>
  <c r="M513" i="2"/>
  <c r="K514" i="2"/>
  <c r="L514" i="2"/>
  <c r="M514" i="2"/>
  <c r="K515" i="2"/>
  <c r="L515" i="2"/>
  <c r="M515" i="2"/>
  <c r="K516" i="2"/>
  <c r="L516" i="2"/>
  <c r="M516" i="2"/>
  <c r="K517" i="2"/>
  <c r="L517" i="2"/>
  <c r="M517" i="2"/>
  <c r="K518" i="2"/>
  <c r="L518" i="2"/>
  <c r="M518" i="2"/>
  <c r="K519" i="2"/>
  <c r="L519" i="2"/>
  <c r="M519" i="2"/>
  <c r="K520" i="2"/>
  <c r="L520" i="2"/>
  <c r="M520" i="2"/>
  <c r="K521" i="2"/>
  <c r="L521" i="2"/>
  <c r="M521" i="2"/>
  <c r="K522" i="2"/>
  <c r="L522" i="2"/>
  <c r="M522" i="2"/>
  <c r="K523" i="2"/>
  <c r="L523" i="2"/>
  <c r="M523" i="2"/>
  <c r="K524" i="2"/>
  <c r="L524" i="2"/>
  <c r="M524" i="2"/>
  <c r="K525" i="2"/>
  <c r="L525" i="2"/>
  <c r="M525" i="2"/>
  <c r="K526" i="2"/>
  <c r="L526" i="2"/>
  <c r="M526" i="2"/>
  <c r="K527" i="2"/>
  <c r="L527" i="2"/>
  <c r="M527" i="2"/>
  <c r="K528" i="2"/>
  <c r="L528" i="2"/>
  <c r="M528" i="2"/>
  <c r="K529" i="2"/>
  <c r="L529" i="2"/>
  <c r="M529" i="2"/>
  <c r="K530" i="2"/>
  <c r="L530" i="2"/>
  <c r="M530" i="2"/>
  <c r="K531" i="2"/>
  <c r="L531" i="2"/>
  <c r="M531" i="2"/>
  <c r="K532" i="2"/>
  <c r="L532" i="2"/>
  <c r="M532" i="2"/>
  <c r="K533" i="2"/>
  <c r="L533" i="2"/>
  <c r="M533" i="2"/>
  <c r="K534" i="2"/>
  <c r="L534" i="2"/>
  <c r="M534" i="2"/>
  <c r="K535" i="2"/>
  <c r="L535" i="2"/>
  <c r="M535" i="2"/>
  <c r="K536" i="2"/>
  <c r="L536" i="2"/>
  <c r="M536" i="2"/>
  <c r="K537" i="2"/>
  <c r="L537" i="2"/>
  <c r="M537" i="2"/>
  <c r="K538" i="2"/>
  <c r="L538" i="2"/>
  <c r="M538" i="2"/>
  <c r="K539" i="2"/>
  <c r="L539" i="2"/>
  <c r="M539" i="2"/>
  <c r="K540" i="2"/>
  <c r="L540" i="2"/>
  <c r="M540" i="2"/>
  <c r="K541" i="2"/>
  <c r="L541" i="2"/>
  <c r="M541" i="2"/>
  <c r="K542" i="2"/>
  <c r="L542" i="2"/>
  <c r="M542" i="2"/>
  <c r="K543" i="2"/>
  <c r="L543" i="2"/>
  <c r="M543" i="2"/>
  <c r="K544" i="2"/>
  <c r="L544" i="2"/>
  <c r="M544" i="2"/>
  <c r="K545" i="2"/>
  <c r="L545" i="2"/>
  <c r="M545" i="2"/>
  <c r="K546" i="2"/>
  <c r="L546" i="2"/>
  <c r="M546" i="2"/>
  <c r="K547" i="2"/>
  <c r="L547" i="2"/>
  <c r="M547" i="2"/>
  <c r="K548" i="2"/>
  <c r="L548" i="2"/>
  <c r="M548" i="2"/>
  <c r="K549" i="2"/>
  <c r="L549" i="2"/>
  <c r="M549" i="2"/>
  <c r="K550" i="2"/>
  <c r="L550" i="2"/>
  <c r="M550" i="2"/>
  <c r="K551" i="2"/>
  <c r="L551" i="2"/>
  <c r="M551" i="2"/>
  <c r="K552" i="2"/>
  <c r="L552" i="2"/>
  <c r="M552" i="2"/>
  <c r="K553" i="2"/>
  <c r="L553" i="2"/>
  <c r="M553" i="2"/>
  <c r="K554" i="2"/>
  <c r="L554" i="2"/>
  <c r="M554" i="2"/>
  <c r="K555" i="2"/>
  <c r="L555" i="2"/>
  <c r="M555" i="2"/>
  <c r="K556" i="2"/>
  <c r="L556" i="2"/>
  <c r="M556" i="2"/>
  <c r="K557" i="2"/>
  <c r="L557" i="2"/>
  <c r="M557" i="2"/>
  <c r="K558" i="2"/>
  <c r="L558" i="2"/>
  <c r="M558" i="2"/>
  <c r="K559" i="2"/>
  <c r="L559" i="2"/>
  <c r="M559" i="2"/>
  <c r="K560" i="2"/>
  <c r="L560" i="2"/>
  <c r="M560" i="2"/>
  <c r="K561" i="2"/>
  <c r="L561" i="2"/>
  <c r="M561" i="2"/>
  <c r="K562" i="2"/>
  <c r="L562" i="2"/>
  <c r="M562" i="2"/>
  <c r="K563" i="2"/>
  <c r="L563" i="2"/>
  <c r="M563" i="2"/>
  <c r="K564" i="2"/>
  <c r="L564" i="2"/>
  <c r="M564" i="2"/>
  <c r="K565" i="2"/>
  <c r="L565" i="2"/>
  <c r="M565" i="2"/>
  <c r="K566" i="2"/>
  <c r="L566" i="2"/>
  <c r="M566" i="2"/>
  <c r="K567" i="2"/>
  <c r="L567" i="2"/>
  <c r="M567" i="2"/>
  <c r="K568" i="2"/>
  <c r="L568" i="2"/>
  <c r="M568" i="2"/>
  <c r="K569" i="2"/>
  <c r="L569" i="2"/>
  <c r="M569" i="2"/>
  <c r="K570" i="2"/>
  <c r="L570" i="2"/>
  <c r="M570" i="2"/>
  <c r="K571" i="2"/>
  <c r="L571" i="2"/>
  <c r="M571" i="2"/>
  <c r="K572" i="2"/>
  <c r="L572" i="2"/>
  <c r="M572" i="2"/>
  <c r="K573" i="2"/>
  <c r="L573" i="2"/>
  <c r="M573" i="2"/>
  <c r="K574" i="2"/>
  <c r="L574" i="2"/>
  <c r="M574" i="2"/>
  <c r="K575" i="2"/>
  <c r="L575" i="2"/>
  <c r="M575" i="2"/>
  <c r="K576" i="2"/>
  <c r="L576" i="2"/>
  <c r="M576" i="2"/>
  <c r="K577" i="2"/>
  <c r="L577" i="2"/>
  <c r="M577" i="2"/>
  <c r="K578" i="2"/>
  <c r="L578" i="2"/>
  <c r="M578" i="2"/>
  <c r="K579" i="2"/>
  <c r="L579" i="2"/>
  <c r="M579" i="2"/>
  <c r="K580" i="2"/>
  <c r="L580" i="2"/>
  <c r="M580" i="2"/>
  <c r="K581" i="2"/>
  <c r="L581" i="2"/>
  <c r="M581" i="2"/>
  <c r="K582" i="2"/>
  <c r="L582" i="2"/>
  <c r="M582" i="2"/>
  <c r="K583" i="2"/>
  <c r="L583" i="2"/>
  <c r="M583" i="2"/>
  <c r="K584" i="2"/>
  <c r="L584" i="2"/>
  <c r="M584" i="2"/>
  <c r="K585" i="2"/>
  <c r="L585" i="2"/>
  <c r="M585" i="2"/>
  <c r="K586" i="2"/>
  <c r="L586" i="2"/>
  <c r="M586" i="2"/>
  <c r="K587" i="2"/>
  <c r="L587" i="2"/>
  <c r="M587" i="2"/>
  <c r="K588" i="2"/>
  <c r="L588" i="2"/>
  <c r="M588" i="2"/>
  <c r="K589" i="2"/>
  <c r="L589" i="2"/>
  <c r="M589" i="2"/>
  <c r="K590" i="2"/>
  <c r="L590" i="2"/>
  <c r="M590" i="2"/>
  <c r="K591" i="2"/>
  <c r="L591" i="2"/>
  <c r="M591" i="2"/>
  <c r="K592" i="2"/>
  <c r="L592" i="2"/>
  <c r="M592" i="2"/>
  <c r="K593" i="2"/>
  <c r="L593" i="2"/>
  <c r="M593" i="2"/>
  <c r="K594" i="2"/>
  <c r="L594" i="2"/>
  <c r="M594" i="2"/>
  <c r="K595" i="2"/>
  <c r="L595" i="2"/>
  <c r="M595" i="2"/>
  <c r="K596" i="2"/>
  <c r="L596" i="2"/>
  <c r="M596" i="2"/>
  <c r="K597" i="2"/>
  <c r="L597" i="2"/>
  <c r="M597" i="2"/>
  <c r="K598" i="2"/>
  <c r="L598" i="2"/>
  <c r="M598" i="2"/>
  <c r="K599" i="2"/>
  <c r="L599" i="2"/>
  <c r="M599" i="2"/>
  <c r="K600" i="2"/>
  <c r="L600" i="2"/>
  <c r="M600" i="2"/>
  <c r="K601" i="2"/>
  <c r="L601" i="2"/>
  <c r="M601" i="2"/>
  <c r="K602" i="2"/>
  <c r="L602" i="2"/>
  <c r="M602" i="2"/>
  <c r="K603" i="2"/>
  <c r="L603" i="2"/>
  <c r="M603" i="2"/>
  <c r="K604" i="2"/>
  <c r="L604" i="2"/>
  <c r="M604" i="2"/>
  <c r="K605" i="2"/>
  <c r="L605" i="2"/>
  <c r="M605" i="2"/>
  <c r="K606" i="2"/>
  <c r="L606" i="2"/>
  <c r="M606" i="2"/>
  <c r="K607" i="2"/>
  <c r="L607" i="2"/>
  <c r="M607" i="2"/>
  <c r="K608" i="2"/>
  <c r="L608" i="2"/>
  <c r="M608" i="2"/>
  <c r="K609" i="2"/>
  <c r="L609" i="2"/>
  <c r="M609" i="2"/>
  <c r="K610" i="2"/>
  <c r="L610" i="2"/>
  <c r="M610" i="2"/>
  <c r="K611" i="2"/>
  <c r="L611" i="2"/>
  <c r="M611" i="2"/>
  <c r="K612" i="2"/>
  <c r="L612" i="2"/>
  <c r="M612" i="2"/>
  <c r="K613" i="2"/>
  <c r="L613" i="2"/>
  <c r="M613" i="2"/>
  <c r="K614" i="2"/>
  <c r="L614" i="2"/>
  <c r="M614" i="2"/>
  <c r="K615" i="2"/>
  <c r="L615" i="2"/>
  <c r="M615" i="2"/>
  <c r="K616" i="2"/>
  <c r="L616" i="2"/>
  <c r="M616" i="2"/>
  <c r="K617" i="2"/>
  <c r="L617" i="2"/>
  <c r="M617" i="2"/>
  <c r="K618" i="2"/>
  <c r="L618" i="2"/>
  <c r="M618" i="2"/>
  <c r="K619" i="2"/>
  <c r="L619" i="2"/>
  <c r="M619" i="2"/>
  <c r="K620" i="2"/>
  <c r="L620" i="2"/>
  <c r="M620" i="2"/>
  <c r="K621" i="2"/>
  <c r="L621" i="2"/>
  <c r="M621" i="2"/>
  <c r="K622" i="2"/>
  <c r="L622" i="2"/>
  <c r="M622" i="2"/>
  <c r="K623" i="2"/>
  <c r="L623" i="2"/>
  <c r="M623" i="2"/>
  <c r="K624" i="2"/>
  <c r="L624" i="2"/>
  <c r="M624" i="2"/>
  <c r="K625" i="2"/>
  <c r="L625" i="2"/>
  <c r="M625" i="2"/>
  <c r="K626" i="2"/>
  <c r="L626" i="2"/>
  <c r="M626" i="2"/>
  <c r="K627" i="2"/>
  <c r="L627" i="2"/>
  <c r="M627" i="2"/>
  <c r="K628" i="2"/>
  <c r="L628" i="2"/>
  <c r="M628" i="2"/>
  <c r="K629" i="2"/>
  <c r="L629" i="2"/>
  <c r="M629" i="2"/>
  <c r="K630" i="2"/>
  <c r="L630" i="2"/>
  <c r="M630" i="2"/>
  <c r="K631" i="2"/>
  <c r="L631" i="2"/>
  <c r="M631" i="2"/>
  <c r="K632" i="2"/>
  <c r="L632" i="2"/>
  <c r="M632" i="2"/>
  <c r="K633" i="2"/>
  <c r="L633" i="2"/>
  <c r="M633" i="2"/>
  <c r="K634" i="2"/>
  <c r="L634" i="2"/>
  <c r="M634" i="2"/>
  <c r="K635" i="2"/>
  <c r="L635" i="2"/>
  <c r="M635" i="2"/>
  <c r="K636" i="2"/>
  <c r="L636" i="2"/>
  <c r="M636" i="2"/>
  <c r="K637" i="2"/>
  <c r="L637" i="2"/>
  <c r="M637" i="2"/>
  <c r="K638" i="2"/>
  <c r="L638" i="2"/>
  <c r="M638" i="2"/>
  <c r="K639" i="2"/>
  <c r="L639" i="2"/>
  <c r="M639" i="2"/>
  <c r="K640" i="2"/>
  <c r="L640" i="2"/>
  <c r="M640" i="2"/>
  <c r="K641" i="2"/>
  <c r="L641" i="2"/>
  <c r="M641" i="2"/>
  <c r="K642" i="2"/>
  <c r="L642" i="2"/>
  <c r="M642" i="2"/>
  <c r="K643" i="2"/>
  <c r="L643" i="2"/>
  <c r="M643" i="2"/>
  <c r="K644" i="2"/>
  <c r="L644" i="2"/>
  <c r="M644" i="2"/>
  <c r="K645" i="2"/>
  <c r="L645" i="2"/>
  <c r="M645" i="2"/>
  <c r="K646" i="2"/>
  <c r="L646" i="2"/>
  <c r="M646" i="2"/>
  <c r="K647" i="2"/>
  <c r="L647" i="2"/>
  <c r="M647" i="2"/>
  <c r="K648" i="2"/>
  <c r="L648" i="2"/>
  <c r="M648" i="2"/>
  <c r="K649" i="2"/>
  <c r="L649" i="2"/>
  <c r="M649" i="2"/>
  <c r="K650" i="2"/>
  <c r="L650" i="2"/>
  <c r="M650" i="2"/>
  <c r="K651" i="2"/>
  <c r="L651" i="2"/>
  <c r="M651" i="2"/>
  <c r="K652" i="2"/>
  <c r="L652" i="2"/>
  <c r="M652" i="2"/>
  <c r="K653" i="2"/>
  <c r="L653" i="2"/>
  <c r="M653" i="2"/>
  <c r="K654" i="2"/>
  <c r="L654" i="2"/>
  <c r="M654" i="2"/>
  <c r="K655" i="2"/>
  <c r="L655" i="2"/>
  <c r="M655" i="2"/>
  <c r="K656" i="2"/>
  <c r="L656" i="2"/>
  <c r="M656" i="2"/>
  <c r="K657" i="2"/>
  <c r="L657" i="2"/>
  <c r="M657" i="2"/>
  <c r="K658" i="2"/>
  <c r="L658" i="2"/>
  <c r="M658" i="2"/>
  <c r="K659" i="2"/>
  <c r="L659" i="2"/>
  <c r="M659" i="2"/>
  <c r="K660" i="2"/>
  <c r="L660" i="2"/>
  <c r="M660" i="2"/>
  <c r="K661" i="2"/>
  <c r="L661" i="2"/>
  <c r="M661" i="2"/>
  <c r="K662" i="2"/>
  <c r="L662" i="2"/>
  <c r="M662" i="2"/>
  <c r="K663" i="2"/>
  <c r="L663" i="2"/>
  <c r="M663" i="2"/>
  <c r="K664" i="2"/>
  <c r="L664" i="2"/>
  <c r="M664" i="2"/>
  <c r="K665" i="2"/>
  <c r="L665" i="2"/>
  <c r="M665" i="2"/>
  <c r="K666" i="2"/>
  <c r="L666" i="2"/>
  <c r="M666" i="2"/>
  <c r="K667" i="2"/>
  <c r="L667" i="2"/>
  <c r="M667" i="2"/>
  <c r="K668" i="2"/>
  <c r="L668" i="2"/>
  <c r="M668" i="2"/>
  <c r="K669" i="2"/>
  <c r="L669" i="2"/>
  <c r="M669" i="2"/>
  <c r="K670" i="2"/>
  <c r="L670" i="2"/>
  <c r="M670" i="2"/>
  <c r="K671" i="2"/>
  <c r="L671" i="2"/>
  <c r="M671" i="2"/>
  <c r="K672" i="2"/>
  <c r="L672" i="2"/>
  <c r="M672" i="2"/>
  <c r="K673" i="2"/>
  <c r="L673" i="2"/>
  <c r="M673" i="2"/>
  <c r="K674" i="2"/>
  <c r="L674" i="2"/>
  <c r="M674" i="2"/>
  <c r="K675" i="2"/>
  <c r="L675" i="2"/>
  <c r="M675" i="2"/>
  <c r="K676" i="2"/>
  <c r="L676" i="2"/>
  <c r="M676" i="2"/>
  <c r="K677" i="2"/>
  <c r="L677" i="2"/>
  <c r="M677" i="2"/>
  <c r="K678" i="2"/>
  <c r="L678" i="2"/>
  <c r="M678" i="2"/>
  <c r="K679" i="2"/>
  <c r="L679" i="2"/>
  <c r="M679" i="2"/>
  <c r="K680" i="2"/>
  <c r="L680" i="2"/>
  <c r="M680" i="2"/>
  <c r="K681" i="2"/>
  <c r="L681" i="2"/>
  <c r="M681" i="2"/>
  <c r="K682" i="2"/>
  <c r="L682" i="2"/>
  <c r="M682" i="2"/>
  <c r="K683" i="2"/>
  <c r="L683" i="2"/>
  <c r="M683" i="2"/>
  <c r="K684" i="2"/>
  <c r="L684" i="2"/>
  <c r="M684" i="2"/>
  <c r="K685" i="2"/>
  <c r="L685" i="2"/>
  <c r="M685" i="2"/>
  <c r="K686" i="2"/>
  <c r="L686" i="2"/>
  <c r="M686" i="2"/>
  <c r="K687" i="2"/>
  <c r="L687" i="2"/>
  <c r="M687" i="2"/>
  <c r="K688" i="2"/>
  <c r="L688" i="2"/>
  <c r="M688" i="2"/>
  <c r="K689" i="2"/>
  <c r="L689" i="2"/>
  <c r="M689" i="2"/>
  <c r="K690" i="2"/>
  <c r="L690" i="2"/>
  <c r="M690" i="2"/>
  <c r="K691" i="2"/>
  <c r="L691" i="2"/>
  <c r="M691" i="2"/>
  <c r="K692" i="2"/>
  <c r="L692" i="2"/>
  <c r="M692" i="2"/>
  <c r="K693" i="2"/>
  <c r="L693" i="2"/>
  <c r="M693" i="2"/>
  <c r="K694" i="2"/>
  <c r="L694" i="2"/>
  <c r="M694" i="2"/>
  <c r="K695" i="2"/>
  <c r="L695" i="2"/>
  <c r="M695" i="2"/>
  <c r="K696" i="2"/>
  <c r="L696" i="2"/>
  <c r="M696" i="2"/>
  <c r="K697" i="2"/>
  <c r="L697" i="2"/>
  <c r="M697" i="2"/>
  <c r="K698" i="2"/>
  <c r="L698" i="2"/>
  <c r="M698" i="2"/>
  <c r="K699" i="2"/>
  <c r="L699" i="2"/>
  <c r="M699" i="2"/>
  <c r="K700" i="2"/>
  <c r="L700" i="2"/>
  <c r="M700" i="2"/>
  <c r="K701" i="2"/>
  <c r="L701" i="2"/>
  <c r="M701" i="2"/>
  <c r="K702" i="2"/>
  <c r="L702" i="2"/>
  <c r="M702" i="2"/>
  <c r="K703" i="2"/>
  <c r="L703" i="2"/>
  <c r="M703" i="2"/>
  <c r="K704" i="2"/>
  <c r="L704" i="2"/>
  <c r="M704" i="2"/>
  <c r="K705" i="2"/>
  <c r="L705" i="2"/>
  <c r="M705" i="2"/>
  <c r="K706" i="2"/>
  <c r="L706" i="2"/>
  <c r="M706" i="2"/>
  <c r="K707" i="2"/>
  <c r="L707" i="2"/>
  <c r="M707" i="2"/>
  <c r="K708" i="2"/>
  <c r="L708" i="2"/>
  <c r="M708" i="2"/>
  <c r="K709" i="2"/>
  <c r="L709" i="2"/>
  <c r="M709" i="2"/>
  <c r="K710" i="2"/>
  <c r="L710" i="2"/>
  <c r="M710" i="2"/>
  <c r="K711" i="2"/>
  <c r="L711" i="2"/>
  <c r="M711" i="2"/>
  <c r="K712" i="2"/>
  <c r="L712" i="2"/>
  <c r="M712" i="2"/>
  <c r="K713" i="2"/>
  <c r="L713" i="2"/>
  <c r="M713" i="2"/>
  <c r="K714" i="2"/>
  <c r="L714" i="2"/>
  <c r="M714" i="2"/>
  <c r="K715" i="2"/>
  <c r="L715" i="2"/>
  <c r="M715" i="2"/>
  <c r="K716" i="2"/>
  <c r="L716" i="2"/>
  <c r="M716" i="2"/>
  <c r="K717" i="2"/>
  <c r="L717" i="2"/>
  <c r="M717" i="2"/>
  <c r="K718" i="2"/>
  <c r="L718" i="2"/>
  <c r="M718" i="2"/>
  <c r="K719" i="2"/>
  <c r="L719" i="2"/>
  <c r="M719" i="2"/>
  <c r="K720" i="2"/>
  <c r="L720" i="2"/>
  <c r="M720" i="2"/>
  <c r="K721" i="2"/>
  <c r="L721" i="2"/>
  <c r="M721" i="2"/>
  <c r="K722" i="2"/>
  <c r="L722" i="2"/>
  <c r="M722" i="2"/>
  <c r="K723" i="2"/>
  <c r="L723" i="2"/>
  <c r="M723" i="2"/>
  <c r="K724" i="2"/>
  <c r="L724" i="2"/>
  <c r="M724" i="2"/>
  <c r="K725" i="2"/>
  <c r="L725" i="2"/>
  <c r="M725" i="2"/>
  <c r="K726" i="2"/>
  <c r="L726" i="2"/>
  <c r="M726" i="2"/>
  <c r="K727" i="2"/>
  <c r="L727" i="2"/>
  <c r="M727" i="2"/>
  <c r="K728" i="2"/>
  <c r="L728" i="2"/>
  <c r="M728" i="2"/>
  <c r="K729" i="2"/>
  <c r="L729" i="2"/>
  <c r="M729" i="2"/>
  <c r="K730" i="2"/>
  <c r="L730" i="2"/>
  <c r="M730" i="2"/>
  <c r="K731" i="2"/>
  <c r="L731" i="2"/>
  <c r="M731" i="2"/>
  <c r="K732" i="2"/>
  <c r="L732" i="2"/>
  <c r="M732" i="2"/>
  <c r="K733" i="2"/>
  <c r="L733" i="2"/>
  <c r="M733" i="2"/>
  <c r="K734" i="2"/>
  <c r="L734" i="2"/>
  <c r="M734" i="2"/>
  <c r="K735" i="2"/>
  <c r="L735" i="2"/>
  <c r="M735" i="2"/>
  <c r="K736" i="2"/>
  <c r="L736" i="2"/>
  <c r="M736" i="2"/>
  <c r="K737" i="2"/>
  <c r="L737" i="2"/>
  <c r="M737" i="2"/>
  <c r="K738" i="2"/>
  <c r="L738" i="2"/>
  <c r="M738" i="2"/>
  <c r="K739" i="2"/>
  <c r="L739" i="2"/>
  <c r="M739" i="2"/>
  <c r="K740" i="2"/>
  <c r="L740" i="2"/>
  <c r="M740" i="2"/>
  <c r="K741" i="2"/>
  <c r="L741" i="2"/>
  <c r="M741" i="2"/>
  <c r="K742" i="2"/>
  <c r="L742" i="2"/>
  <c r="M742" i="2"/>
  <c r="K743" i="2"/>
  <c r="L743" i="2"/>
  <c r="M743" i="2"/>
  <c r="K744" i="2"/>
  <c r="L744" i="2"/>
  <c r="M744" i="2"/>
  <c r="K745" i="2"/>
  <c r="L745" i="2"/>
  <c r="M745" i="2"/>
  <c r="K746" i="2"/>
  <c r="L746" i="2"/>
  <c r="M746" i="2"/>
  <c r="K747" i="2"/>
  <c r="L747" i="2"/>
  <c r="M747" i="2"/>
  <c r="K748" i="2"/>
  <c r="L748" i="2"/>
  <c r="M748" i="2"/>
  <c r="K749" i="2"/>
  <c r="L749" i="2"/>
  <c r="M749" i="2"/>
  <c r="K750" i="2"/>
  <c r="L750" i="2"/>
  <c r="M750" i="2"/>
  <c r="K751" i="2"/>
  <c r="L751" i="2"/>
  <c r="M751" i="2"/>
  <c r="K752" i="2"/>
  <c r="L752" i="2"/>
  <c r="M752" i="2"/>
  <c r="K753" i="2"/>
  <c r="L753" i="2"/>
  <c r="M753" i="2"/>
  <c r="K754" i="2"/>
  <c r="L754" i="2"/>
  <c r="M754" i="2"/>
  <c r="K755" i="2"/>
  <c r="L755" i="2"/>
  <c r="M755" i="2"/>
  <c r="K756" i="2"/>
  <c r="L756" i="2"/>
  <c r="M756" i="2"/>
  <c r="K757" i="2"/>
  <c r="L757" i="2"/>
  <c r="M757" i="2"/>
  <c r="K758" i="2"/>
  <c r="L758" i="2"/>
  <c r="M758" i="2"/>
  <c r="K759" i="2"/>
  <c r="L759" i="2"/>
  <c r="M759" i="2"/>
  <c r="K760" i="2"/>
  <c r="L760" i="2"/>
  <c r="M760" i="2"/>
  <c r="K761" i="2"/>
  <c r="L761" i="2"/>
  <c r="M761" i="2"/>
  <c r="K762" i="2"/>
  <c r="L762" i="2"/>
  <c r="M762" i="2"/>
  <c r="K763" i="2"/>
  <c r="L763" i="2"/>
  <c r="M763" i="2"/>
  <c r="K764" i="2"/>
  <c r="L764" i="2"/>
  <c r="M764" i="2"/>
  <c r="K765" i="2"/>
  <c r="L765" i="2"/>
  <c r="M765" i="2"/>
  <c r="K766" i="2"/>
  <c r="L766" i="2"/>
  <c r="M766" i="2"/>
  <c r="K767" i="2"/>
  <c r="L767" i="2"/>
  <c r="M767" i="2"/>
  <c r="K768" i="2"/>
  <c r="L768" i="2"/>
  <c r="M768" i="2"/>
  <c r="K769" i="2"/>
  <c r="L769" i="2"/>
  <c r="M769" i="2"/>
  <c r="K770" i="2"/>
  <c r="L770" i="2"/>
  <c r="M770" i="2"/>
  <c r="K771" i="2"/>
  <c r="L771" i="2"/>
  <c r="M771" i="2"/>
  <c r="K772" i="2"/>
  <c r="L772" i="2"/>
  <c r="M772" i="2"/>
  <c r="K773" i="2"/>
  <c r="L773" i="2"/>
  <c r="M773" i="2"/>
  <c r="K774" i="2"/>
  <c r="L774" i="2"/>
  <c r="M774" i="2"/>
  <c r="K775" i="2"/>
  <c r="L775" i="2"/>
  <c r="M775" i="2"/>
  <c r="K776" i="2"/>
  <c r="L776" i="2"/>
  <c r="M776" i="2"/>
  <c r="K777" i="2"/>
  <c r="L777" i="2"/>
  <c r="M777" i="2"/>
  <c r="K778" i="2"/>
  <c r="L778" i="2"/>
  <c r="M778" i="2"/>
  <c r="K779" i="2"/>
  <c r="L779" i="2"/>
  <c r="M779" i="2"/>
  <c r="K780" i="2"/>
  <c r="L780" i="2"/>
  <c r="M780" i="2"/>
  <c r="K781" i="2"/>
  <c r="L781" i="2"/>
  <c r="M781" i="2"/>
  <c r="K782" i="2"/>
  <c r="L782" i="2"/>
  <c r="M782" i="2"/>
  <c r="K783" i="2"/>
  <c r="L783" i="2"/>
  <c r="M783" i="2"/>
  <c r="K784" i="2"/>
  <c r="L784" i="2"/>
  <c r="M784" i="2"/>
  <c r="K785" i="2"/>
  <c r="L785" i="2"/>
  <c r="M785" i="2"/>
  <c r="K786" i="2"/>
  <c r="L786" i="2"/>
  <c r="M786" i="2"/>
  <c r="K787" i="2"/>
  <c r="L787" i="2"/>
  <c r="M787" i="2"/>
  <c r="K788" i="2"/>
  <c r="L788" i="2"/>
  <c r="M788" i="2"/>
  <c r="K789" i="2"/>
  <c r="L789" i="2"/>
  <c r="M789" i="2"/>
  <c r="K790" i="2"/>
  <c r="L790" i="2"/>
  <c r="M790" i="2"/>
  <c r="K791" i="2"/>
  <c r="L791" i="2"/>
  <c r="M791" i="2"/>
  <c r="K792" i="2"/>
  <c r="L792" i="2"/>
  <c r="M792" i="2"/>
  <c r="K793" i="2"/>
  <c r="L793" i="2"/>
  <c r="M793" i="2"/>
  <c r="K794" i="2"/>
  <c r="L794" i="2"/>
  <c r="M794" i="2"/>
  <c r="K795" i="2"/>
  <c r="L795" i="2"/>
  <c r="M795" i="2"/>
  <c r="K796" i="2"/>
  <c r="L796" i="2"/>
  <c r="M796" i="2"/>
  <c r="K797" i="2"/>
  <c r="L797" i="2"/>
  <c r="M797" i="2"/>
  <c r="K798" i="2"/>
  <c r="L798" i="2"/>
  <c r="M798" i="2"/>
  <c r="K799" i="2"/>
  <c r="L799" i="2"/>
  <c r="M799" i="2"/>
  <c r="K800" i="2"/>
  <c r="L800" i="2"/>
  <c r="M800" i="2"/>
  <c r="K801" i="2"/>
  <c r="L801" i="2"/>
  <c r="M801" i="2"/>
  <c r="K802" i="2"/>
  <c r="L802" i="2"/>
  <c r="M802" i="2"/>
  <c r="K803" i="2"/>
  <c r="L803" i="2"/>
  <c r="M803" i="2"/>
  <c r="K804" i="2"/>
  <c r="L804" i="2"/>
  <c r="M804" i="2"/>
  <c r="K805" i="2"/>
  <c r="L805" i="2"/>
  <c r="M805" i="2"/>
  <c r="K806" i="2"/>
  <c r="L806" i="2"/>
  <c r="M806" i="2"/>
  <c r="K807" i="2"/>
  <c r="L807" i="2"/>
  <c r="M807" i="2"/>
  <c r="K808" i="2"/>
  <c r="L808" i="2"/>
  <c r="M808" i="2"/>
  <c r="K809" i="2"/>
  <c r="L809" i="2"/>
  <c r="M809" i="2"/>
  <c r="K810" i="2"/>
  <c r="L810" i="2"/>
  <c r="M810" i="2"/>
  <c r="K811" i="2"/>
  <c r="L811" i="2"/>
  <c r="M811" i="2"/>
  <c r="K812" i="2"/>
  <c r="L812" i="2"/>
  <c r="M812" i="2"/>
  <c r="K813" i="2"/>
  <c r="L813" i="2"/>
  <c r="M813" i="2"/>
  <c r="K814" i="2"/>
  <c r="L814" i="2"/>
  <c r="M814" i="2"/>
  <c r="K815" i="2"/>
  <c r="L815" i="2"/>
  <c r="M815" i="2"/>
  <c r="K816" i="2"/>
  <c r="L816" i="2"/>
  <c r="M816" i="2"/>
  <c r="K817" i="2"/>
  <c r="L817" i="2"/>
  <c r="M817" i="2"/>
  <c r="K818" i="2"/>
  <c r="L818" i="2"/>
  <c r="M818" i="2"/>
  <c r="K819" i="2"/>
  <c r="L819" i="2"/>
  <c r="M819" i="2"/>
  <c r="K820" i="2"/>
  <c r="L820" i="2"/>
  <c r="M820" i="2"/>
  <c r="K821" i="2"/>
  <c r="L821" i="2"/>
  <c r="M821" i="2"/>
  <c r="K822" i="2"/>
  <c r="L822" i="2"/>
  <c r="M822" i="2"/>
  <c r="K823" i="2"/>
  <c r="L823" i="2"/>
  <c r="M823" i="2"/>
  <c r="K824" i="2"/>
  <c r="L824" i="2"/>
  <c r="M824" i="2"/>
  <c r="K825" i="2"/>
  <c r="L825" i="2"/>
  <c r="M825" i="2"/>
  <c r="K826" i="2"/>
  <c r="L826" i="2"/>
  <c r="M826" i="2"/>
  <c r="K827" i="2"/>
  <c r="L827" i="2"/>
  <c r="M827" i="2"/>
  <c r="K828" i="2"/>
  <c r="L828" i="2"/>
  <c r="M828" i="2"/>
  <c r="K829" i="2"/>
  <c r="L829" i="2"/>
  <c r="M829" i="2"/>
  <c r="K830" i="2"/>
  <c r="L830" i="2"/>
  <c r="M830" i="2"/>
  <c r="K831" i="2"/>
  <c r="L831" i="2"/>
  <c r="M831" i="2"/>
  <c r="K832" i="2"/>
  <c r="L832" i="2"/>
  <c r="M832" i="2"/>
  <c r="K833" i="2"/>
  <c r="L833" i="2"/>
  <c r="M833" i="2"/>
  <c r="K834" i="2"/>
  <c r="L834" i="2"/>
  <c r="M834" i="2"/>
  <c r="K835" i="2"/>
  <c r="L835" i="2"/>
  <c r="M835" i="2"/>
  <c r="K836" i="2"/>
  <c r="L836" i="2"/>
  <c r="M836" i="2"/>
  <c r="K837" i="2"/>
  <c r="L837" i="2"/>
  <c r="M837" i="2"/>
  <c r="K838" i="2"/>
  <c r="L838" i="2"/>
  <c r="M838" i="2"/>
  <c r="K839" i="2"/>
  <c r="L839" i="2"/>
  <c r="M839" i="2"/>
  <c r="K840" i="2"/>
  <c r="L840" i="2"/>
  <c r="M840" i="2"/>
  <c r="K841" i="2"/>
  <c r="L841" i="2"/>
  <c r="M841" i="2"/>
  <c r="K842" i="2"/>
  <c r="L842" i="2"/>
  <c r="M842" i="2"/>
  <c r="K843" i="2"/>
  <c r="L843" i="2"/>
  <c r="M843" i="2"/>
  <c r="K844" i="2"/>
  <c r="L844" i="2"/>
  <c r="M844" i="2"/>
  <c r="K845" i="2"/>
  <c r="L845" i="2"/>
  <c r="M845" i="2"/>
  <c r="K846" i="2"/>
  <c r="L846" i="2"/>
  <c r="M846" i="2"/>
  <c r="K847" i="2"/>
  <c r="L847" i="2"/>
  <c r="M847" i="2"/>
  <c r="K848" i="2"/>
  <c r="L848" i="2"/>
  <c r="M848" i="2"/>
  <c r="K849" i="2"/>
  <c r="L849" i="2"/>
  <c r="M849" i="2"/>
  <c r="K850" i="2"/>
  <c r="L850" i="2"/>
  <c r="M850" i="2"/>
  <c r="K851" i="2"/>
  <c r="L851" i="2"/>
  <c r="M851" i="2"/>
  <c r="K852" i="2"/>
  <c r="L852" i="2"/>
  <c r="M852" i="2"/>
  <c r="K853" i="2"/>
  <c r="L853" i="2"/>
  <c r="M853" i="2"/>
  <c r="K854" i="2"/>
  <c r="L854" i="2"/>
  <c r="M854" i="2"/>
  <c r="K855" i="2"/>
  <c r="L855" i="2"/>
  <c r="M855" i="2"/>
  <c r="K856" i="2"/>
  <c r="L856" i="2"/>
  <c r="M856" i="2"/>
  <c r="K857" i="2"/>
  <c r="L857" i="2"/>
  <c r="M857" i="2"/>
  <c r="K858" i="2"/>
  <c r="L858" i="2"/>
  <c r="M858" i="2"/>
  <c r="K859" i="2"/>
  <c r="L859" i="2"/>
  <c r="M859" i="2"/>
  <c r="K860" i="2"/>
  <c r="L860" i="2"/>
  <c r="M860" i="2"/>
  <c r="K861" i="2"/>
  <c r="L861" i="2"/>
  <c r="M861" i="2"/>
  <c r="K862" i="2"/>
  <c r="L862" i="2"/>
  <c r="M862" i="2"/>
  <c r="K863" i="2"/>
  <c r="L863" i="2"/>
  <c r="M863" i="2"/>
  <c r="K864" i="2"/>
  <c r="L864" i="2"/>
  <c r="M864" i="2"/>
  <c r="K865" i="2"/>
  <c r="L865" i="2"/>
  <c r="M865" i="2"/>
  <c r="K866" i="2"/>
  <c r="L866" i="2"/>
  <c r="M866" i="2"/>
  <c r="K867" i="2"/>
  <c r="L867" i="2"/>
  <c r="M867" i="2"/>
  <c r="K868" i="2"/>
  <c r="L868" i="2"/>
  <c r="M868" i="2"/>
  <c r="K869" i="2"/>
  <c r="L869" i="2"/>
  <c r="M869" i="2"/>
  <c r="K870" i="2"/>
  <c r="L870" i="2"/>
  <c r="M870" i="2"/>
  <c r="K871" i="2"/>
  <c r="L871" i="2"/>
  <c r="M871" i="2"/>
  <c r="K872" i="2"/>
  <c r="L872" i="2"/>
  <c r="M872" i="2"/>
  <c r="K873" i="2"/>
  <c r="L873" i="2"/>
  <c r="M873" i="2"/>
  <c r="K874" i="2"/>
  <c r="L874" i="2"/>
  <c r="M874" i="2"/>
  <c r="K875" i="2"/>
  <c r="L875" i="2"/>
  <c r="M875" i="2"/>
  <c r="K876" i="2"/>
  <c r="L876" i="2"/>
  <c r="M876" i="2"/>
  <c r="K877" i="2"/>
  <c r="L877" i="2"/>
  <c r="M877" i="2"/>
  <c r="K878" i="2"/>
  <c r="L878" i="2"/>
  <c r="M878" i="2"/>
  <c r="K879" i="2"/>
  <c r="L879" i="2"/>
  <c r="M879" i="2"/>
  <c r="K880" i="2"/>
  <c r="L880" i="2"/>
  <c r="M880" i="2"/>
  <c r="K881" i="2"/>
  <c r="L881" i="2"/>
  <c r="M881" i="2"/>
  <c r="K882" i="2"/>
  <c r="L882" i="2"/>
  <c r="M882" i="2"/>
  <c r="K883" i="2"/>
  <c r="L883" i="2"/>
  <c r="M883" i="2"/>
  <c r="K884" i="2"/>
  <c r="L884" i="2"/>
  <c r="M884" i="2"/>
  <c r="K885" i="2"/>
  <c r="L885" i="2"/>
  <c r="M885" i="2"/>
  <c r="K886" i="2"/>
  <c r="L886" i="2"/>
  <c r="M886" i="2"/>
  <c r="K887" i="2"/>
  <c r="L887" i="2"/>
  <c r="M887" i="2"/>
  <c r="K888" i="2"/>
  <c r="L888" i="2"/>
  <c r="M888" i="2"/>
  <c r="K889" i="2"/>
  <c r="L889" i="2"/>
  <c r="M889" i="2"/>
  <c r="K890" i="2"/>
  <c r="L890" i="2"/>
  <c r="M890" i="2"/>
  <c r="K891" i="2"/>
  <c r="L891" i="2"/>
  <c r="M891" i="2"/>
  <c r="K892" i="2"/>
  <c r="L892" i="2"/>
  <c r="M892" i="2"/>
  <c r="K893" i="2"/>
  <c r="L893" i="2"/>
  <c r="M893" i="2"/>
  <c r="K894" i="2"/>
  <c r="L894" i="2"/>
  <c r="M894" i="2"/>
  <c r="K895" i="2"/>
  <c r="L895" i="2"/>
  <c r="M895" i="2"/>
  <c r="K896" i="2"/>
  <c r="L896" i="2"/>
  <c r="M896" i="2"/>
  <c r="K897" i="2"/>
  <c r="L897" i="2"/>
  <c r="M897" i="2"/>
  <c r="K898" i="2"/>
  <c r="L898" i="2"/>
  <c r="M898" i="2"/>
  <c r="K899" i="2"/>
  <c r="L899" i="2"/>
  <c r="M899" i="2"/>
  <c r="K900" i="2"/>
  <c r="L900" i="2"/>
  <c r="M900" i="2"/>
  <c r="K901" i="2"/>
  <c r="L901" i="2"/>
  <c r="M901" i="2"/>
  <c r="K902" i="2"/>
  <c r="L902" i="2"/>
  <c r="M902" i="2"/>
  <c r="K903" i="2"/>
  <c r="L903" i="2"/>
  <c r="M903" i="2"/>
  <c r="K904" i="2"/>
  <c r="L904" i="2"/>
  <c r="M904" i="2"/>
  <c r="K905" i="2"/>
  <c r="L905" i="2"/>
  <c r="M905" i="2"/>
  <c r="K906" i="2"/>
  <c r="L906" i="2"/>
  <c r="M906" i="2"/>
  <c r="K907" i="2"/>
  <c r="L907" i="2"/>
  <c r="M907" i="2"/>
  <c r="K908" i="2"/>
  <c r="L908" i="2"/>
  <c r="M908" i="2"/>
  <c r="K909" i="2"/>
  <c r="L909" i="2"/>
  <c r="M909" i="2"/>
  <c r="K910" i="2"/>
  <c r="L910" i="2"/>
  <c r="M910" i="2"/>
  <c r="K911" i="2"/>
  <c r="L911" i="2"/>
  <c r="M911" i="2"/>
  <c r="K912" i="2"/>
  <c r="L912" i="2"/>
  <c r="M912" i="2"/>
  <c r="K913" i="2"/>
  <c r="L913" i="2"/>
  <c r="M913" i="2"/>
  <c r="K914" i="2"/>
  <c r="L914" i="2"/>
  <c r="M914" i="2"/>
  <c r="K915" i="2"/>
  <c r="L915" i="2"/>
  <c r="M915" i="2"/>
  <c r="K916" i="2"/>
  <c r="L916" i="2"/>
  <c r="M916" i="2"/>
  <c r="K917" i="2"/>
  <c r="L917" i="2"/>
  <c r="M917" i="2"/>
  <c r="K918" i="2"/>
  <c r="L918" i="2"/>
  <c r="M918" i="2"/>
  <c r="K919" i="2"/>
  <c r="L919" i="2"/>
  <c r="M919" i="2"/>
  <c r="K920" i="2"/>
  <c r="L920" i="2"/>
  <c r="M920" i="2"/>
  <c r="K921" i="2"/>
  <c r="L921" i="2"/>
  <c r="M921" i="2"/>
  <c r="K922" i="2"/>
  <c r="L922" i="2"/>
  <c r="M922" i="2"/>
  <c r="K923" i="2"/>
  <c r="L923" i="2"/>
  <c r="M923" i="2"/>
  <c r="K924" i="2"/>
  <c r="L924" i="2"/>
  <c r="M924" i="2"/>
  <c r="K925" i="2"/>
  <c r="L925" i="2"/>
  <c r="M925" i="2"/>
  <c r="K926" i="2"/>
  <c r="L926" i="2"/>
  <c r="M926" i="2"/>
  <c r="K927" i="2"/>
  <c r="L927" i="2"/>
  <c r="M927" i="2"/>
  <c r="K928" i="2"/>
  <c r="L928" i="2"/>
  <c r="M928" i="2"/>
  <c r="K929" i="2"/>
  <c r="L929" i="2"/>
  <c r="M929" i="2"/>
  <c r="K930" i="2"/>
  <c r="L930" i="2"/>
  <c r="M930" i="2"/>
  <c r="K931" i="2"/>
  <c r="L931" i="2"/>
  <c r="M931" i="2"/>
  <c r="K932" i="2"/>
  <c r="L932" i="2"/>
  <c r="M932" i="2"/>
  <c r="K933" i="2"/>
  <c r="L933" i="2"/>
  <c r="M933" i="2"/>
  <c r="K934" i="2"/>
  <c r="L934" i="2"/>
  <c r="M934" i="2"/>
  <c r="K935" i="2"/>
  <c r="L935" i="2"/>
  <c r="M935" i="2"/>
  <c r="K936" i="2"/>
  <c r="L936" i="2"/>
  <c r="M936" i="2"/>
  <c r="K937" i="2"/>
  <c r="L937" i="2"/>
  <c r="M937" i="2"/>
  <c r="K938" i="2"/>
  <c r="L938" i="2"/>
  <c r="M938" i="2"/>
  <c r="K939" i="2"/>
  <c r="L939" i="2"/>
  <c r="M939" i="2"/>
  <c r="K940" i="2"/>
  <c r="L940" i="2"/>
  <c r="M940" i="2"/>
  <c r="K941" i="2"/>
  <c r="L941" i="2"/>
  <c r="M941" i="2"/>
  <c r="K942" i="2"/>
  <c r="L942" i="2"/>
  <c r="M942" i="2"/>
  <c r="K943" i="2"/>
  <c r="L943" i="2"/>
  <c r="M943" i="2"/>
  <c r="K944" i="2"/>
  <c r="L944" i="2"/>
  <c r="M944" i="2"/>
  <c r="K945" i="2"/>
  <c r="L945" i="2"/>
  <c r="M945" i="2"/>
  <c r="K946" i="2"/>
  <c r="L946" i="2"/>
  <c r="M946" i="2"/>
  <c r="K947" i="2"/>
  <c r="L947" i="2"/>
  <c r="M947" i="2"/>
  <c r="K948" i="2"/>
  <c r="L948" i="2"/>
  <c r="M948" i="2"/>
  <c r="K949" i="2"/>
  <c r="L949" i="2"/>
  <c r="M949" i="2"/>
  <c r="K950" i="2"/>
  <c r="L950" i="2"/>
  <c r="M950" i="2"/>
  <c r="K951" i="2"/>
  <c r="L951" i="2"/>
  <c r="M951" i="2"/>
  <c r="K952" i="2"/>
  <c r="L952" i="2"/>
  <c r="M952" i="2"/>
  <c r="K953" i="2"/>
  <c r="L953" i="2"/>
  <c r="M953" i="2"/>
  <c r="K954" i="2"/>
  <c r="L954" i="2"/>
  <c r="M954" i="2"/>
  <c r="K955" i="2"/>
  <c r="L955" i="2"/>
  <c r="M955" i="2"/>
  <c r="K956" i="2"/>
  <c r="L956" i="2"/>
  <c r="M956" i="2"/>
  <c r="K957" i="2"/>
  <c r="L957" i="2"/>
  <c r="M957" i="2"/>
  <c r="K958" i="2"/>
  <c r="L958" i="2"/>
  <c r="M958" i="2"/>
  <c r="K959" i="2"/>
  <c r="L959" i="2"/>
  <c r="M959" i="2"/>
  <c r="K960" i="2"/>
  <c r="L960" i="2"/>
  <c r="M960" i="2"/>
  <c r="K961" i="2"/>
  <c r="L961" i="2"/>
  <c r="M961" i="2"/>
  <c r="K962" i="2"/>
  <c r="L962" i="2"/>
  <c r="M962" i="2"/>
  <c r="K963" i="2"/>
  <c r="L963" i="2"/>
  <c r="M963" i="2"/>
  <c r="K964" i="2"/>
  <c r="L964" i="2"/>
  <c r="M964" i="2"/>
  <c r="K965" i="2"/>
  <c r="L965" i="2"/>
  <c r="M965" i="2"/>
  <c r="K966" i="2"/>
  <c r="L966" i="2"/>
  <c r="M966" i="2"/>
  <c r="K967" i="2"/>
  <c r="L967" i="2"/>
  <c r="M967" i="2"/>
  <c r="K968" i="2"/>
  <c r="L968" i="2"/>
  <c r="M968" i="2"/>
  <c r="K969" i="2"/>
  <c r="L969" i="2"/>
  <c r="M969" i="2"/>
  <c r="K970" i="2"/>
  <c r="L970" i="2"/>
  <c r="M970" i="2"/>
  <c r="K971" i="2"/>
  <c r="L971" i="2"/>
  <c r="M971" i="2"/>
  <c r="K972" i="2"/>
  <c r="L972" i="2"/>
  <c r="M972" i="2"/>
  <c r="K973" i="2"/>
  <c r="L973" i="2"/>
  <c r="M973" i="2"/>
  <c r="K974" i="2"/>
  <c r="L974" i="2"/>
  <c r="M974" i="2"/>
  <c r="K975" i="2"/>
  <c r="L975" i="2"/>
  <c r="M975" i="2"/>
  <c r="K976" i="2"/>
  <c r="L976" i="2"/>
  <c r="M976" i="2"/>
  <c r="K977" i="2"/>
  <c r="L977" i="2"/>
  <c r="M977" i="2"/>
  <c r="K978" i="2"/>
  <c r="L978" i="2"/>
  <c r="M978" i="2"/>
  <c r="K979" i="2"/>
  <c r="L979" i="2"/>
  <c r="M979" i="2"/>
  <c r="K980" i="2"/>
  <c r="L980" i="2"/>
  <c r="M980" i="2"/>
  <c r="K981" i="2"/>
  <c r="L981" i="2"/>
  <c r="M981" i="2"/>
  <c r="K982" i="2"/>
  <c r="L982" i="2"/>
  <c r="M982" i="2"/>
  <c r="K983" i="2"/>
  <c r="L983" i="2"/>
  <c r="M983" i="2"/>
  <c r="K984" i="2"/>
  <c r="L984" i="2"/>
  <c r="M984" i="2"/>
  <c r="K985" i="2"/>
  <c r="L985" i="2"/>
  <c r="M985" i="2"/>
  <c r="K986" i="2"/>
  <c r="L986" i="2"/>
  <c r="M986" i="2"/>
  <c r="K987" i="2"/>
  <c r="L987" i="2"/>
  <c r="M987" i="2"/>
  <c r="K988" i="2"/>
  <c r="L988" i="2"/>
  <c r="M988" i="2"/>
  <c r="K989" i="2"/>
  <c r="L989" i="2"/>
  <c r="M989" i="2"/>
  <c r="K990" i="2"/>
  <c r="L990" i="2"/>
  <c r="M990" i="2"/>
  <c r="K991" i="2"/>
  <c r="L991" i="2"/>
  <c r="M991" i="2"/>
  <c r="K992" i="2"/>
  <c r="L992" i="2"/>
  <c r="M992" i="2"/>
  <c r="K993" i="2"/>
  <c r="L993" i="2"/>
  <c r="M993" i="2"/>
  <c r="K994" i="2"/>
  <c r="L994" i="2"/>
  <c r="M994" i="2"/>
  <c r="K995" i="2"/>
  <c r="L995" i="2"/>
  <c r="M995" i="2"/>
  <c r="K996" i="2"/>
  <c r="L996" i="2"/>
  <c r="M996" i="2"/>
  <c r="K997" i="2"/>
  <c r="L997" i="2"/>
  <c r="M997" i="2"/>
  <c r="K998" i="2"/>
  <c r="L998" i="2"/>
  <c r="M998" i="2"/>
  <c r="K999" i="2"/>
  <c r="L999" i="2"/>
  <c r="M999" i="2"/>
  <c r="K1000" i="2"/>
  <c r="L1000" i="2"/>
  <c r="M1000" i="2"/>
  <c r="K1001" i="2"/>
  <c r="L1001" i="2"/>
  <c r="M1001" i="2"/>
  <c r="K1002" i="2"/>
  <c r="L1002" i="2"/>
  <c r="M1002" i="2"/>
  <c r="K1003" i="2"/>
  <c r="L1003" i="2"/>
  <c r="M1003" i="2"/>
  <c r="K1004" i="2"/>
  <c r="L1004" i="2"/>
  <c r="M1004" i="2"/>
  <c r="K1005" i="2"/>
  <c r="L1005" i="2"/>
  <c r="M1005" i="2"/>
  <c r="K1006" i="2"/>
  <c r="L1006" i="2"/>
  <c r="M1006" i="2"/>
  <c r="K1007" i="2"/>
  <c r="L1007" i="2"/>
  <c r="M1007" i="2"/>
  <c r="K1008" i="2"/>
  <c r="L1008" i="2"/>
  <c r="M1008" i="2"/>
  <c r="K1009" i="2"/>
  <c r="L1009" i="2"/>
  <c r="M1009" i="2"/>
  <c r="K1010" i="2"/>
  <c r="L1010" i="2"/>
  <c r="M1010" i="2"/>
  <c r="K1011" i="2"/>
  <c r="L1011" i="2"/>
  <c r="M1011" i="2"/>
  <c r="K1012" i="2"/>
  <c r="L1012" i="2"/>
  <c r="M1012" i="2"/>
  <c r="K1013" i="2"/>
  <c r="L1013" i="2"/>
  <c r="M1013" i="2"/>
  <c r="K1014" i="2"/>
  <c r="L1014" i="2"/>
  <c r="M1014" i="2"/>
  <c r="K1015" i="2"/>
  <c r="L1015" i="2"/>
  <c r="M1015" i="2"/>
  <c r="K1016" i="2"/>
  <c r="L1016" i="2"/>
  <c r="M1016" i="2"/>
  <c r="K1017" i="2"/>
  <c r="L1017" i="2"/>
  <c r="M1017" i="2"/>
  <c r="K1018" i="2"/>
  <c r="L1018" i="2"/>
  <c r="M1018" i="2"/>
  <c r="K1019" i="2"/>
  <c r="L1019" i="2"/>
  <c r="M1019" i="2"/>
  <c r="K1020" i="2"/>
  <c r="L1020" i="2"/>
  <c r="M1020" i="2"/>
  <c r="K1021" i="2"/>
  <c r="L1021" i="2"/>
  <c r="M1021" i="2"/>
  <c r="K1022" i="2"/>
  <c r="L1022" i="2"/>
  <c r="M1022" i="2"/>
  <c r="K1023" i="2"/>
  <c r="L1023" i="2"/>
  <c r="M1023" i="2"/>
  <c r="K1024" i="2"/>
  <c r="L1024" i="2"/>
  <c r="M1024" i="2"/>
  <c r="K1025" i="2"/>
  <c r="L1025" i="2"/>
  <c r="M1025" i="2"/>
  <c r="K1026" i="2"/>
  <c r="L1026" i="2"/>
  <c r="M1026" i="2"/>
  <c r="K1027" i="2"/>
  <c r="L1027" i="2"/>
  <c r="M1027" i="2"/>
  <c r="K1028" i="2"/>
  <c r="L1028" i="2"/>
  <c r="M1028" i="2"/>
  <c r="K1029" i="2"/>
  <c r="L1029" i="2"/>
  <c r="M1029" i="2"/>
  <c r="K1030" i="2"/>
  <c r="L1030" i="2"/>
  <c r="M1030" i="2"/>
  <c r="K1031" i="2"/>
  <c r="L1031" i="2"/>
  <c r="M1031" i="2"/>
  <c r="K1032" i="2"/>
  <c r="L1032" i="2"/>
  <c r="M1032" i="2"/>
  <c r="K1033" i="2"/>
  <c r="L1033" i="2"/>
  <c r="M1033" i="2"/>
  <c r="K1034" i="2"/>
  <c r="L1034" i="2"/>
  <c r="M1034" i="2"/>
  <c r="K1035" i="2"/>
  <c r="L1035" i="2"/>
  <c r="M1035" i="2"/>
  <c r="K1036" i="2"/>
  <c r="L1036" i="2"/>
  <c r="M1036" i="2"/>
  <c r="K1037" i="2"/>
  <c r="L1037" i="2"/>
  <c r="M1037" i="2"/>
  <c r="K1038" i="2"/>
  <c r="L1038" i="2"/>
  <c r="M1038" i="2"/>
  <c r="K1039" i="2"/>
  <c r="L1039" i="2"/>
  <c r="M1039" i="2"/>
  <c r="K1040" i="2"/>
  <c r="L1040" i="2"/>
  <c r="M1040" i="2"/>
  <c r="K1041" i="2"/>
  <c r="L1041" i="2"/>
  <c r="M1041" i="2"/>
  <c r="K1042" i="2"/>
  <c r="L1042" i="2"/>
  <c r="M1042" i="2"/>
  <c r="K1043" i="2"/>
  <c r="L1043" i="2"/>
  <c r="M1043" i="2"/>
  <c r="K1044" i="2"/>
  <c r="L1044" i="2"/>
  <c r="M1044" i="2"/>
  <c r="K1045" i="2"/>
  <c r="L1045" i="2"/>
  <c r="M1045" i="2"/>
  <c r="K1046" i="2"/>
  <c r="L1046" i="2"/>
  <c r="M1046" i="2"/>
  <c r="K1047" i="2"/>
  <c r="L1047" i="2"/>
  <c r="M1047" i="2"/>
  <c r="K1048" i="2"/>
  <c r="L1048" i="2"/>
  <c r="M1048" i="2"/>
  <c r="K1049" i="2"/>
  <c r="L1049" i="2"/>
  <c r="M1049" i="2"/>
  <c r="K1050" i="2"/>
  <c r="L1050" i="2"/>
  <c r="M1050" i="2"/>
  <c r="K1051" i="2"/>
  <c r="L1051" i="2"/>
  <c r="M1051" i="2"/>
  <c r="K1052" i="2"/>
  <c r="L1052" i="2"/>
  <c r="M1052" i="2"/>
  <c r="K1053" i="2"/>
  <c r="L1053" i="2"/>
  <c r="M1053" i="2"/>
  <c r="K1054" i="2"/>
  <c r="L1054" i="2"/>
  <c r="M1054" i="2"/>
  <c r="K1055" i="2"/>
  <c r="L1055" i="2"/>
  <c r="M1055" i="2"/>
  <c r="K1056" i="2"/>
  <c r="L1056" i="2"/>
  <c r="M1056" i="2"/>
  <c r="K1057" i="2"/>
  <c r="L1057" i="2"/>
  <c r="M1057" i="2"/>
  <c r="K1058" i="2"/>
  <c r="L1058" i="2"/>
  <c r="M1058" i="2"/>
  <c r="M2" i="2"/>
  <c r="L2" i="2"/>
  <c r="K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2" i="2"/>
  <c r="M2" i="45"/>
  <c r="M3" i="45"/>
  <c r="M4" i="45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74" i="45"/>
  <c r="M75" i="45"/>
  <c r="M76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M90" i="45"/>
  <c r="M91" i="45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127" i="45"/>
  <c r="M128" i="45"/>
  <c r="M129" i="45"/>
  <c r="M130" i="45"/>
  <c r="M131" i="45"/>
  <c r="M132" i="45"/>
  <c r="M133" i="45"/>
  <c r="M134" i="45"/>
  <c r="M135" i="45"/>
  <c r="M136" i="45"/>
  <c r="M137" i="45"/>
  <c r="M138" i="45"/>
  <c r="M139" i="45"/>
  <c r="M140" i="45"/>
  <c r="M141" i="45"/>
  <c r="M142" i="45"/>
  <c r="M143" i="45"/>
  <c r="M144" i="45"/>
  <c r="M145" i="45"/>
  <c r="M146" i="45"/>
  <c r="M147" i="45"/>
  <c r="M148" i="45"/>
  <c r="M149" i="45"/>
  <c r="M150" i="45"/>
  <c r="M151" i="45"/>
  <c r="M152" i="45"/>
  <c r="M153" i="45"/>
  <c r="M154" i="45"/>
  <c r="M155" i="45"/>
  <c r="M156" i="45"/>
  <c r="M157" i="45"/>
  <c r="M158" i="45"/>
  <c r="M159" i="45"/>
  <c r="M160" i="45"/>
  <c r="M161" i="45"/>
  <c r="M162" i="45"/>
  <c r="M163" i="45"/>
  <c r="M164" i="45"/>
  <c r="M165" i="45"/>
  <c r="M166" i="45"/>
  <c r="M167" i="45"/>
  <c r="M168" i="45"/>
  <c r="M169" i="45"/>
  <c r="M170" i="45"/>
  <c r="M171" i="45"/>
  <c r="M172" i="45"/>
  <c r="M173" i="45"/>
  <c r="M174" i="45"/>
  <c r="M175" i="45"/>
  <c r="M176" i="45"/>
  <c r="M177" i="45"/>
  <c r="M178" i="45"/>
  <c r="M179" i="45"/>
  <c r="M180" i="45"/>
  <c r="M181" i="45"/>
  <c r="M182" i="45"/>
  <c r="M183" i="45"/>
  <c r="M184" i="45"/>
  <c r="M185" i="45"/>
  <c r="M186" i="45"/>
  <c r="M187" i="45"/>
  <c r="M188" i="45"/>
  <c r="M189" i="45"/>
  <c r="M190" i="45"/>
  <c r="M191" i="45"/>
  <c r="M192" i="45"/>
  <c r="M193" i="45"/>
  <c r="M194" i="45"/>
  <c r="M195" i="45"/>
  <c r="M196" i="45"/>
  <c r="M197" i="45"/>
  <c r="M198" i="45"/>
  <c r="M199" i="45"/>
  <c r="M200" i="45"/>
  <c r="M201" i="45"/>
  <c r="M202" i="45"/>
  <c r="M203" i="45"/>
  <c r="M204" i="45"/>
  <c r="M205" i="45"/>
  <c r="M206" i="45"/>
  <c r="M207" i="45"/>
  <c r="M208" i="45"/>
  <c r="M209" i="45"/>
  <c r="M210" i="45"/>
  <c r="M211" i="45"/>
  <c r="M212" i="45"/>
  <c r="M213" i="45"/>
  <c r="M214" i="45"/>
  <c r="M215" i="45"/>
  <c r="M216" i="45"/>
  <c r="M217" i="45"/>
  <c r="M218" i="45"/>
  <c r="M219" i="45"/>
  <c r="M220" i="45"/>
  <c r="M221" i="45"/>
  <c r="M222" i="45"/>
  <c r="M223" i="45"/>
  <c r="M224" i="45"/>
  <c r="M225" i="45"/>
  <c r="M226" i="45"/>
  <c r="M227" i="45"/>
  <c r="M228" i="45"/>
  <c r="M229" i="45"/>
  <c r="M230" i="45"/>
  <c r="M231" i="45"/>
  <c r="M232" i="45"/>
  <c r="M233" i="45"/>
  <c r="M234" i="45"/>
  <c r="M235" i="45"/>
  <c r="M236" i="45"/>
  <c r="M237" i="45"/>
  <c r="M238" i="45"/>
  <c r="M239" i="45"/>
  <c r="M240" i="45"/>
  <c r="M241" i="45"/>
  <c r="M242" i="45"/>
  <c r="M243" i="45"/>
  <c r="M244" i="45"/>
  <c r="M245" i="45"/>
  <c r="M246" i="45"/>
  <c r="M247" i="45"/>
  <c r="M248" i="45"/>
  <c r="M249" i="45"/>
  <c r="M250" i="45"/>
  <c r="M251" i="45"/>
  <c r="M252" i="45"/>
  <c r="M253" i="45"/>
  <c r="M254" i="45"/>
  <c r="M255" i="45"/>
  <c r="M256" i="45"/>
  <c r="M257" i="45"/>
  <c r="M258" i="45"/>
  <c r="M259" i="45"/>
  <c r="M260" i="45"/>
  <c r="M261" i="45"/>
  <c r="M262" i="45"/>
  <c r="M263" i="45"/>
  <c r="M264" i="45"/>
  <c r="M265" i="45"/>
  <c r="M266" i="45"/>
  <c r="M267" i="45"/>
  <c r="M268" i="45"/>
  <c r="M269" i="45"/>
  <c r="M270" i="45"/>
  <c r="M271" i="45"/>
  <c r="M272" i="45"/>
  <c r="M273" i="45"/>
  <c r="M274" i="45"/>
  <c r="M275" i="45"/>
  <c r="M276" i="45"/>
  <c r="M277" i="45"/>
  <c r="M278" i="45"/>
  <c r="M279" i="45"/>
  <c r="M280" i="45"/>
  <c r="M281" i="45"/>
  <c r="M282" i="45"/>
  <c r="M283" i="45"/>
  <c r="M284" i="45"/>
  <c r="M285" i="45"/>
  <c r="M286" i="45"/>
  <c r="M287" i="45"/>
  <c r="M288" i="45"/>
  <c r="M289" i="45"/>
  <c r="M290" i="45"/>
  <c r="M291" i="45"/>
  <c r="M292" i="45"/>
  <c r="M293" i="45"/>
  <c r="M294" i="45"/>
  <c r="M295" i="45"/>
  <c r="M296" i="45"/>
  <c r="M297" i="45"/>
  <c r="M298" i="45"/>
  <c r="M299" i="45"/>
  <c r="M300" i="45"/>
  <c r="M301" i="45"/>
  <c r="M302" i="45"/>
  <c r="M303" i="45"/>
  <c r="M304" i="45"/>
  <c r="M305" i="45"/>
  <c r="M306" i="45"/>
  <c r="M307" i="45"/>
  <c r="M308" i="45"/>
  <c r="M309" i="45"/>
  <c r="M310" i="45"/>
  <c r="M311" i="45"/>
  <c r="M312" i="45"/>
  <c r="M313" i="45"/>
  <c r="M314" i="45"/>
  <c r="M315" i="45"/>
  <c r="M316" i="45"/>
  <c r="M317" i="45"/>
  <c r="M318" i="45"/>
  <c r="M319" i="45"/>
  <c r="M320" i="45"/>
  <c r="M321" i="45"/>
  <c r="M322" i="45"/>
  <c r="M323" i="45"/>
  <c r="M324" i="45"/>
  <c r="M325" i="45"/>
  <c r="M326" i="45"/>
  <c r="M327" i="45"/>
  <c r="M328" i="45"/>
  <c r="M329" i="45"/>
  <c r="M330" i="45"/>
  <c r="M331" i="45"/>
  <c r="M332" i="45"/>
  <c r="M333" i="45"/>
  <c r="M334" i="45"/>
  <c r="M335" i="45"/>
  <c r="M336" i="45"/>
  <c r="M337" i="45"/>
  <c r="M338" i="45"/>
  <c r="M339" i="45"/>
  <c r="M340" i="45"/>
  <c r="M341" i="45"/>
  <c r="M342" i="45"/>
  <c r="M343" i="45"/>
  <c r="M344" i="45"/>
  <c r="M345" i="45"/>
  <c r="M346" i="45"/>
  <c r="M347" i="45"/>
  <c r="M348" i="45"/>
  <c r="M349" i="45"/>
  <c r="M350" i="45"/>
  <c r="M351" i="45"/>
  <c r="M352" i="45"/>
  <c r="M353" i="45"/>
  <c r="M354" i="45"/>
  <c r="M355" i="45"/>
  <c r="M356" i="45"/>
  <c r="M357" i="45"/>
  <c r="M358" i="45"/>
  <c r="M359" i="45"/>
  <c r="M360" i="45"/>
  <c r="M361" i="45"/>
  <c r="M362" i="45"/>
  <c r="M363" i="45"/>
  <c r="M364" i="45"/>
  <c r="M365" i="45"/>
  <c r="M366" i="45"/>
  <c r="M367" i="45"/>
  <c r="M368" i="45"/>
  <c r="M369" i="45"/>
  <c r="M370" i="45"/>
  <c r="M371" i="45"/>
  <c r="M372" i="45"/>
  <c r="M373" i="45"/>
  <c r="M374" i="45"/>
  <c r="M375" i="45"/>
  <c r="M376" i="45"/>
  <c r="M377" i="45"/>
  <c r="M378" i="45"/>
  <c r="M379" i="45"/>
  <c r="M380" i="45"/>
  <c r="M381" i="45"/>
  <c r="M382" i="45"/>
  <c r="M383" i="45"/>
  <c r="M384" i="45"/>
  <c r="M385" i="45"/>
  <c r="M386" i="45"/>
  <c r="M387" i="45"/>
  <c r="M388" i="45"/>
  <c r="M389" i="45"/>
  <c r="M390" i="45"/>
  <c r="M391" i="45"/>
  <c r="M392" i="45"/>
  <c r="M393" i="45"/>
  <c r="M394" i="45"/>
  <c r="M395" i="45"/>
  <c r="M396" i="45"/>
  <c r="M397" i="45"/>
  <c r="M398" i="45"/>
  <c r="M399" i="45"/>
  <c r="M400" i="45"/>
  <c r="M401" i="45"/>
  <c r="M402" i="45"/>
  <c r="M403" i="45"/>
  <c r="M404" i="45"/>
  <c r="M405" i="45"/>
  <c r="M406" i="45"/>
  <c r="M407" i="45"/>
  <c r="M408" i="45"/>
  <c r="M409" i="45"/>
  <c r="M410" i="45"/>
  <c r="M411" i="45"/>
  <c r="M412" i="45"/>
  <c r="M413" i="45"/>
  <c r="M414" i="45"/>
  <c r="M415" i="45"/>
  <c r="M416" i="45"/>
  <c r="M417" i="45"/>
  <c r="M418" i="45"/>
  <c r="M419" i="45"/>
  <c r="M420" i="45"/>
  <c r="M421" i="45"/>
  <c r="M422" i="45"/>
  <c r="M423" i="45"/>
  <c r="M424" i="45"/>
  <c r="M425" i="45"/>
  <c r="M426" i="45"/>
  <c r="M427" i="45"/>
  <c r="M428" i="45"/>
  <c r="M429" i="45"/>
  <c r="M430" i="45"/>
  <c r="M431" i="45"/>
  <c r="M432" i="45"/>
  <c r="M433" i="45"/>
  <c r="M434" i="45"/>
  <c r="M435" i="45"/>
  <c r="M436" i="45"/>
  <c r="M437" i="45"/>
  <c r="M438" i="45"/>
  <c r="M439" i="45"/>
  <c r="M440" i="45"/>
  <c r="M441" i="45"/>
  <c r="M442" i="45"/>
  <c r="M443" i="45"/>
  <c r="M444" i="45"/>
  <c r="M445" i="45"/>
  <c r="M446" i="45"/>
  <c r="M447" i="45"/>
  <c r="M448" i="45"/>
  <c r="M449" i="45"/>
  <c r="M450" i="45"/>
  <c r="M451" i="45"/>
  <c r="M452" i="45"/>
  <c r="M453" i="45"/>
  <c r="M454" i="45"/>
  <c r="M455" i="45"/>
  <c r="M456" i="45"/>
  <c r="M457" i="45"/>
  <c r="M458" i="45"/>
  <c r="M459" i="45"/>
  <c r="M460" i="45"/>
  <c r="M461" i="45"/>
  <c r="M462" i="45"/>
  <c r="M463" i="45"/>
  <c r="M464" i="45"/>
  <c r="M465" i="45"/>
  <c r="M466" i="45"/>
  <c r="M467" i="45"/>
  <c r="M468" i="45"/>
  <c r="M469" i="45"/>
  <c r="M470" i="45"/>
  <c r="M471" i="45"/>
  <c r="M472" i="45"/>
  <c r="M473" i="45"/>
  <c r="M474" i="45"/>
  <c r="M475" i="45"/>
  <c r="M476" i="45"/>
  <c r="M477" i="45"/>
  <c r="M478" i="45"/>
  <c r="M479" i="45"/>
  <c r="M480" i="45"/>
  <c r="M481" i="45"/>
  <c r="M482" i="45"/>
  <c r="M483" i="45"/>
  <c r="M484" i="45"/>
  <c r="M485" i="45"/>
  <c r="M486" i="45"/>
  <c r="M487" i="45"/>
  <c r="M488" i="45"/>
  <c r="M489" i="45"/>
  <c r="M490" i="45"/>
  <c r="M491" i="45"/>
  <c r="M492" i="45"/>
  <c r="M493" i="45"/>
  <c r="M494" i="45"/>
  <c r="M495" i="45"/>
  <c r="M496" i="45"/>
  <c r="M497" i="45"/>
  <c r="M498" i="45"/>
  <c r="M499" i="45"/>
  <c r="M500" i="45"/>
  <c r="M501" i="45"/>
  <c r="M502" i="45"/>
  <c r="M503" i="45"/>
  <c r="M504" i="45"/>
  <c r="M505" i="45"/>
  <c r="M506" i="45"/>
  <c r="M507" i="45"/>
  <c r="M508" i="45"/>
  <c r="M509" i="45"/>
  <c r="M510" i="45"/>
  <c r="M511" i="45"/>
  <c r="M512" i="45"/>
  <c r="M513" i="45"/>
  <c r="M514" i="45"/>
  <c r="M515" i="45"/>
  <c r="M516" i="45"/>
  <c r="M517" i="45"/>
  <c r="M518" i="45"/>
  <c r="M519" i="45"/>
  <c r="M520" i="45"/>
  <c r="M521" i="45"/>
  <c r="M522" i="45"/>
  <c r="M523" i="45"/>
  <c r="M524" i="45"/>
  <c r="M525" i="45"/>
  <c r="M526" i="45"/>
  <c r="M527" i="45"/>
  <c r="M528" i="45"/>
  <c r="M529" i="45"/>
  <c r="M530" i="45"/>
  <c r="M531" i="45"/>
  <c r="M532" i="45"/>
  <c r="M533" i="45"/>
  <c r="M534" i="45"/>
  <c r="M535" i="45"/>
  <c r="M536" i="45"/>
  <c r="M537" i="45"/>
  <c r="M538" i="45"/>
  <c r="M539" i="45"/>
  <c r="M540" i="45"/>
  <c r="M541" i="45"/>
  <c r="M542" i="45"/>
  <c r="M543" i="45"/>
  <c r="M544" i="45"/>
  <c r="M545" i="45"/>
  <c r="M546" i="45"/>
  <c r="M547" i="45"/>
  <c r="M548" i="45"/>
  <c r="M549" i="45"/>
  <c r="M550" i="45"/>
  <c r="M551" i="45"/>
  <c r="M552" i="45"/>
  <c r="M553" i="45"/>
  <c r="M554" i="45"/>
  <c r="M555" i="45"/>
  <c r="M556" i="45"/>
  <c r="M557" i="45"/>
  <c r="M558" i="45"/>
  <c r="M559" i="45"/>
  <c r="M560" i="45"/>
  <c r="M561" i="45"/>
  <c r="M562" i="45"/>
  <c r="M563" i="45"/>
  <c r="M564" i="45"/>
  <c r="M565" i="45"/>
  <c r="M566" i="45"/>
  <c r="M567" i="45"/>
  <c r="M568" i="45"/>
  <c r="M569" i="45"/>
  <c r="M570" i="45"/>
  <c r="M571" i="45"/>
  <c r="M572" i="45"/>
  <c r="M573" i="45"/>
  <c r="M574" i="45"/>
  <c r="M575" i="45"/>
  <c r="M576" i="45"/>
  <c r="M577" i="45"/>
  <c r="M578" i="45"/>
  <c r="M579" i="45"/>
  <c r="M580" i="45"/>
  <c r="M581" i="45"/>
  <c r="M582" i="45"/>
  <c r="M583" i="45"/>
  <c r="M584" i="45"/>
  <c r="M585" i="45"/>
  <c r="M586" i="45"/>
  <c r="M587" i="45"/>
  <c r="M588" i="45"/>
  <c r="M589" i="45"/>
  <c r="M590" i="45"/>
  <c r="M591" i="45"/>
  <c r="M592" i="45"/>
  <c r="M593" i="45"/>
  <c r="M594" i="45"/>
  <c r="M595" i="45"/>
  <c r="M596" i="45"/>
  <c r="M597" i="45"/>
  <c r="M598" i="45"/>
  <c r="M599" i="45"/>
  <c r="M600" i="45"/>
  <c r="M601" i="45"/>
  <c r="M602" i="45"/>
  <c r="M603" i="45"/>
  <c r="M604" i="45"/>
  <c r="M605" i="45"/>
  <c r="M606" i="45"/>
  <c r="M607" i="45"/>
  <c r="M608" i="45"/>
  <c r="M609" i="45"/>
  <c r="M610" i="45"/>
  <c r="M611" i="45"/>
  <c r="M612" i="45"/>
  <c r="M613" i="45"/>
  <c r="M614" i="45"/>
  <c r="M615" i="45"/>
  <c r="M616" i="45"/>
  <c r="M617" i="45"/>
  <c r="M618" i="45"/>
  <c r="M619" i="45"/>
  <c r="M620" i="45"/>
  <c r="M621" i="45"/>
  <c r="M622" i="45"/>
  <c r="M623" i="45"/>
  <c r="M624" i="45"/>
  <c r="M625" i="45"/>
  <c r="M626" i="45"/>
  <c r="M627" i="45"/>
  <c r="M628" i="45"/>
  <c r="M629" i="45"/>
  <c r="M630" i="45"/>
  <c r="M631" i="45"/>
  <c r="M632" i="45"/>
  <c r="M633" i="45"/>
  <c r="M634" i="45"/>
  <c r="M635" i="45"/>
  <c r="M636" i="45"/>
  <c r="M637" i="45"/>
  <c r="M638" i="45"/>
  <c r="M639" i="45"/>
  <c r="M640" i="45"/>
  <c r="M641" i="45"/>
  <c r="M642" i="45"/>
  <c r="M643" i="45"/>
  <c r="M644" i="45"/>
  <c r="M645" i="45"/>
  <c r="M646" i="45"/>
  <c r="M647" i="45"/>
  <c r="M648" i="45"/>
  <c r="M649" i="45"/>
  <c r="M650" i="45"/>
  <c r="M651" i="45"/>
  <c r="M652" i="45"/>
  <c r="M653" i="45"/>
  <c r="M654" i="45"/>
  <c r="M655" i="45"/>
  <c r="M656" i="45"/>
  <c r="M657" i="45"/>
  <c r="M658" i="45"/>
  <c r="M659" i="45"/>
  <c r="M660" i="45"/>
  <c r="M661" i="45"/>
  <c r="M662" i="45"/>
  <c r="M663" i="45"/>
  <c r="M664" i="45"/>
  <c r="M665" i="45"/>
  <c r="M666" i="45"/>
  <c r="M667" i="45"/>
  <c r="M668" i="45"/>
  <c r="M669" i="45"/>
  <c r="M670" i="45"/>
  <c r="M671" i="45"/>
  <c r="M672" i="45"/>
  <c r="M673" i="45"/>
  <c r="M674" i="45"/>
  <c r="M675" i="45"/>
  <c r="M676" i="45"/>
  <c r="M677" i="45"/>
  <c r="M678" i="45"/>
  <c r="M679" i="45"/>
  <c r="M680" i="45"/>
  <c r="M681" i="45"/>
  <c r="M682" i="45"/>
  <c r="M683" i="45"/>
  <c r="M684" i="45"/>
  <c r="M685" i="45"/>
  <c r="M686" i="45"/>
  <c r="M687" i="45"/>
  <c r="M688" i="45"/>
  <c r="M689" i="45"/>
  <c r="M690" i="45"/>
  <c r="M691" i="45"/>
  <c r="M692" i="45"/>
  <c r="M693" i="45"/>
  <c r="M694" i="45"/>
  <c r="M695" i="45"/>
  <c r="M696" i="45"/>
  <c r="M697" i="45"/>
  <c r="M698" i="45"/>
  <c r="M699" i="45"/>
  <c r="M700" i="45"/>
  <c r="M701" i="45"/>
  <c r="M702" i="45"/>
  <c r="M703" i="45"/>
  <c r="M704" i="45"/>
  <c r="M705" i="45"/>
  <c r="M706" i="45"/>
  <c r="M707" i="45"/>
  <c r="M708" i="45"/>
  <c r="M709" i="45"/>
  <c r="M710" i="45"/>
  <c r="M711" i="45"/>
  <c r="M712" i="45"/>
  <c r="M713" i="45"/>
  <c r="M714" i="45"/>
  <c r="M715" i="45"/>
  <c r="M716" i="45"/>
  <c r="M717" i="45"/>
  <c r="M718" i="45"/>
  <c r="M719" i="45"/>
  <c r="M720" i="45"/>
  <c r="M721" i="45"/>
  <c r="M722" i="45"/>
  <c r="M723" i="45"/>
  <c r="M724" i="45"/>
  <c r="M725" i="45"/>
  <c r="M726" i="45"/>
  <c r="M727" i="45"/>
  <c r="M728" i="45"/>
  <c r="M729" i="45"/>
  <c r="M730" i="45"/>
  <c r="M731" i="45"/>
  <c r="M732" i="45"/>
  <c r="M733" i="45"/>
  <c r="M734" i="45"/>
  <c r="M735" i="45"/>
  <c r="M736" i="45"/>
  <c r="M737" i="45"/>
  <c r="M738" i="45"/>
  <c r="M739" i="45"/>
  <c r="M740" i="45"/>
  <c r="M741" i="45"/>
  <c r="M742" i="45"/>
  <c r="M743" i="45"/>
  <c r="M744" i="45"/>
  <c r="M745" i="45"/>
  <c r="M746" i="45"/>
  <c r="M747" i="45"/>
  <c r="M748" i="45"/>
  <c r="M749" i="45"/>
  <c r="M750" i="45"/>
  <c r="M751" i="45"/>
  <c r="M752" i="45"/>
  <c r="M753" i="45"/>
  <c r="M754" i="45"/>
  <c r="M755" i="45"/>
  <c r="M756" i="45"/>
  <c r="M757" i="45"/>
  <c r="M758" i="45"/>
  <c r="M759" i="45"/>
  <c r="M760" i="45"/>
  <c r="M761" i="45"/>
  <c r="M762" i="45"/>
  <c r="M763" i="45"/>
  <c r="M764" i="45"/>
  <c r="M765" i="45"/>
  <c r="M766" i="45"/>
  <c r="M767" i="45"/>
  <c r="M768" i="45"/>
  <c r="M769" i="45"/>
  <c r="M770" i="45"/>
  <c r="M771" i="45"/>
  <c r="M772" i="45"/>
  <c r="M773" i="45"/>
  <c r="M774" i="45"/>
  <c r="M775" i="45"/>
  <c r="M776" i="45"/>
  <c r="M777" i="45"/>
  <c r="M778" i="45"/>
  <c r="M779" i="45"/>
  <c r="M780" i="45"/>
  <c r="M781" i="45"/>
  <c r="M782" i="45"/>
  <c r="M783" i="45"/>
  <c r="M784" i="45"/>
  <c r="M785" i="45"/>
  <c r="M786" i="45"/>
  <c r="M787" i="45"/>
  <c r="M788" i="45"/>
  <c r="M789" i="45"/>
  <c r="M790" i="45"/>
  <c r="M791" i="45"/>
  <c r="M792" i="45"/>
  <c r="M793" i="45"/>
  <c r="M794" i="45"/>
  <c r="M795" i="45"/>
  <c r="M796" i="45"/>
  <c r="M797" i="45"/>
  <c r="M798" i="45"/>
  <c r="M799" i="45"/>
  <c r="M800" i="45"/>
  <c r="M801" i="45"/>
  <c r="M802" i="45"/>
  <c r="M803" i="45"/>
  <c r="M804" i="45"/>
  <c r="M805" i="45"/>
  <c r="M806" i="45"/>
  <c r="M807" i="45"/>
  <c r="M808" i="45"/>
  <c r="M809" i="45"/>
  <c r="M810" i="45"/>
  <c r="M811" i="45"/>
  <c r="M812" i="45"/>
  <c r="M813" i="45"/>
  <c r="M814" i="45"/>
  <c r="M815" i="45"/>
  <c r="M816" i="45"/>
  <c r="M817" i="45"/>
  <c r="M818" i="45"/>
  <c r="M819" i="45"/>
  <c r="M820" i="45"/>
  <c r="M821" i="45"/>
  <c r="M822" i="45"/>
  <c r="M823" i="45"/>
  <c r="M824" i="45"/>
  <c r="M825" i="45"/>
  <c r="M826" i="45"/>
  <c r="M827" i="45"/>
  <c r="M828" i="45"/>
  <c r="M829" i="45"/>
  <c r="M830" i="45"/>
  <c r="M831" i="45"/>
  <c r="M832" i="45"/>
  <c r="M833" i="45"/>
  <c r="M834" i="45"/>
  <c r="M835" i="45"/>
  <c r="M836" i="45"/>
  <c r="M837" i="45"/>
  <c r="M838" i="45"/>
  <c r="M839" i="45"/>
  <c r="M840" i="45"/>
  <c r="M841" i="45"/>
  <c r="M842" i="45"/>
  <c r="M843" i="45"/>
  <c r="M844" i="45"/>
  <c r="M845" i="45"/>
  <c r="M846" i="45"/>
  <c r="M847" i="45"/>
  <c r="M848" i="45"/>
  <c r="M849" i="45"/>
  <c r="M850" i="45"/>
  <c r="M851" i="45"/>
  <c r="M852" i="45"/>
  <c r="M853" i="45"/>
  <c r="M854" i="45"/>
  <c r="M855" i="45"/>
  <c r="M856" i="45"/>
  <c r="M857" i="45"/>
  <c r="M858" i="45"/>
  <c r="M859" i="45"/>
  <c r="M860" i="45"/>
  <c r="M861" i="45"/>
  <c r="M862" i="45"/>
  <c r="M863" i="45"/>
  <c r="M864" i="45"/>
  <c r="M865" i="45"/>
  <c r="M866" i="45"/>
  <c r="M867" i="45"/>
  <c r="M868" i="45"/>
  <c r="M869" i="45"/>
  <c r="M870" i="45"/>
  <c r="M871" i="45"/>
  <c r="M872" i="45"/>
  <c r="M873" i="45"/>
  <c r="M874" i="45"/>
  <c r="M875" i="45"/>
  <c r="M876" i="45"/>
  <c r="M877" i="45"/>
  <c r="M878" i="45"/>
  <c r="M879" i="45"/>
  <c r="M880" i="45"/>
  <c r="M881" i="45"/>
  <c r="M882" i="45"/>
  <c r="M883" i="45"/>
  <c r="M884" i="45"/>
  <c r="M885" i="45"/>
  <c r="M886" i="45"/>
  <c r="M887" i="45"/>
  <c r="M888" i="45"/>
  <c r="M889" i="45"/>
  <c r="M890" i="45"/>
  <c r="M891" i="45"/>
  <c r="M892" i="45"/>
  <c r="M893" i="45"/>
  <c r="M894" i="45"/>
  <c r="M895" i="45"/>
  <c r="M896" i="45"/>
  <c r="M897" i="45"/>
  <c r="M898" i="45"/>
  <c r="M899" i="45"/>
  <c r="M900" i="45"/>
  <c r="M901" i="45"/>
  <c r="M902" i="45"/>
  <c r="M903" i="45"/>
  <c r="M904" i="45"/>
  <c r="M905" i="45"/>
  <c r="M906" i="45"/>
  <c r="M907" i="45"/>
  <c r="M908" i="45"/>
  <c r="M909" i="45"/>
  <c r="M910" i="45"/>
  <c r="M911" i="45"/>
  <c r="M912" i="45"/>
  <c r="M913" i="45"/>
  <c r="M914" i="45"/>
  <c r="M915" i="45"/>
  <c r="M916" i="45"/>
  <c r="M917" i="45"/>
  <c r="M918" i="45"/>
  <c r="M919" i="45"/>
  <c r="M920" i="45"/>
  <c r="M921" i="45"/>
  <c r="M922" i="45"/>
  <c r="M923" i="45"/>
  <c r="M924" i="45"/>
  <c r="M925" i="45"/>
  <c r="M926" i="45"/>
  <c r="M927" i="45"/>
  <c r="M928" i="45"/>
  <c r="M929" i="45"/>
  <c r="M930" i="45"/>
  <c r="M931" i="45"/>
  <c r="M932" i="45"/>
  <c r="M933" i="45"/>
  <c r="M934" i="45"/>
  <c r="M935" i="45"/>
  <c r="M936" i="45"/>
  <c r="M937" i="45"/>
  <c r="M938" i="45"/>
  <c r="M939" i="45"/>
  <c r="M940" i="45"/>
  <c r="M941" i="45"/>
  <c r="M942" i="45"/>
  <c r="M943" i="45"/>
  <c r="M944" i="45"/>
  <c r="M945" i="45"/>
  <c r="M946" i="45"/>
  <c r="M947" i="45"/>
  <c r="M948" i="45"/>
  <c r="M949" i="45"/>
  <c r="M950" i="45"/>
  <c r="M951" i="45"/>
  <c r="M952" i="45"/>
  <c r="M953" i="45"/>
  <c r="M954" i="45"/>
  <c r="M955" i="45"/>
  <c r="M956" i="45"/>
  <c r="M957" i="45"/>
  <c r="M958" i="45"/>
  <c r="M959" i="45"/>
  <c r="M960" i="45"/>
  <c r="M961" i="45"/>
  <c r="M962" i="45"/>
  <c r="M963" i="45"/>
  <c r="M964" i="45"/>
  <c r="M965" i="45"/>
  <c r="M966" i="45"/>
  <c r="M967" i="45"/>
  <c r="M968" i="45"/>
  <c r="M969" i="45"/>
  <c r="M970" i="45"/>
  <c r="M971" i="45"/>
  <c r="M972" i="45"/>
  <c r="M973" i="45"/>
  <c r="M974" i="45"/>
  <c r="M975" i="45"/>
  <c r="M976" i="45"/>
  <c r="M977" i="45"/>
  <c r="M978" i="45"/>
  <c r="M979" i="45"/>
  <c r="M980" i="45"/>
  <c r="M981" i="45"/>
  <c r="M982" i="45"/>
  <c r="M983" i="45"/>
  <c r="M984" i="45"/>
  <c r="M985" i="45"/>
  <c r="M986" i="45"/>
  <c r="M987" i="45"/>
  <c r="M988" i="45"/>
  <c r="M989" i="45"/>
  <c r="M990" i="45"/>
  <c r="M991" i="45"/>
  <c r="M992" i="45"/>
  <c r="M993" i="45"/>
  <c r="M994" i="45"/>
  <c r="M995" i="45"/>
  <c r="M996" i="45"/>
  <c r="M997" i="45"/>
  <c r="M998" i="45"/>
  <c r="M999" i="45"/>
  <c r="M1000" i="45"/>
  <c r="M1001" i="45"/>
  <c r="M1002" i="45"/>
  <c r="M1003" i="45"/>
  <c r="M1004" i="45"/>
  <c r="M1005" i="45"/>
  <c r="M1006" i="45"/>
  <c r="M1007" i="45"/>
  <c r="M1008" i="45"/>
  <c r="M1009" i="45"/>
  <c r="M1010" i="45"/>
  <c r="M1011" i="45"/>
  <c r="M1012" i="45"/>
  <c r="M1013" i="45"/>
  <c r="M1014" i="45"/>
  <c r="M1015" i="45"/>
  <c r="M1016" i="45"/>
  <c r="M1017" i="45"/>
  <c r="M1018" i="45"/>
  <c r="M1019" i="45"/>
  <c r="M1020" i="45"/>
  <c r="M1021" i="45"/>
  <c r="M1022" i="45"/>
  <c r="M1023" i="45"/>
  <c r="M1024" i="45"/>
  <c r="M1025" i="45"/>
  <c r="M1026" i="45"/>
  <c r="M1027" i="45"/>
  <c r="M1028" i="45"/>
  <c r="M1029" i="45"/>
  <c r="M1030" i="45"/>
  <c r="M1031" i="45"/>
  <c r="M1032" i="45"/>
  <c r="M1033" i="45"/>
  <c r="M1034" i="45"/>
  <c r="M1035" i="45"/>
  <c r="M1036" i="45"/>
  <c r="M1037" i="45"/>
  <c r="M1038" i="45"/>
  <c r="M1039" i="45"/>
  <c r="M1040" i="45"/>
  <c r="M1041" i="45"/>
  <c r="M1042" i="45"/>
  <c r="M1043" i="45"/>
  <c r="M1044" i="45"/>
  <c r="M1045" i="45"/>
  <c r="M1046" i="45"/>
  <c r="M1047" i="45"/>
  <c r="M1048" i="45"/>
  <c r="M1049" i="45"/>
  <c r="M1050" i="45"/>
  <c r="M1051" i="45"/>
  <c r="M1052" i="45"/>
  <c r="M1053" i="45"/>
  <c r="M1054" i="45"/>
  <c r="M1055" i="45"/>
  <c r="M1056" i="45"/>
  <c r="N13" i="2" l="1"/>
  <c r="N25" i="2"/>
  <c r="N44" i="2"/>
  <c r="N32" i="2"/>
  <c r="N20" i="2"/>
  <c r="N58" i="2"/>
  <c r="N46" i="2"/>
  <c r="N34" i="2"/>
  <c r="N59" i="2"/>
  <c r="N10" i="2"/>
  <c r="N37" i="2"/>
  <c r="N56" i="2"/>
  <c r="N1056" i="2"/>
  <c r="N1052" i="2"/>
  <c r="N1048" i="2"/>
  <c r="N1044" i="2"/>
  <c r="N1040" i="2"/>
  <c r="N1036" i="2"/>
  <c r="N1032" i="2"/>
  <c r="N1028" i="2"/>
  <c r="N1024" i="2"/>
  <c r="N1020" i="2"/>
  <c r="N1016" i="2"/>
  <c r="N1012" i="2"/>
  <c r="N1008" i="2"/>
  <c r="N1004" i="2"/>
  <c r="N1000" i="2"/>
  <c r="N996" i="2"/>
  <c r="N992" i="2"/>
  <c r="N988" i="2"/>
  <c r="N984" i="2"/>
  <c r="N980" i="2"/>
  <c r="N976" i="2"/>
  <c r="N972" i="2"/>
  <c r="N968" i="2"/>
  <c r="N964" i="2"/>
  <c r="N960" i="2"/>
  <c r="N956" i="2"/>
  <c r="N952" i="2"/>
  <c r="N948" i="2"/>
  <c r="N944" i="2"/>
  <c r="N940" i="2"/>
  <c r="N936" i="2"/>
  <c r="N932" i="2"/>
  <c r="N928" i="2"/>
  <c r="N924" i="2"/>
  <c r="N920" i="2"/>
  <c r="N916" i="2"/>
  <c r="N912" i="2"/>
  <c r="N908" i="2"/>
  <c r="N35" i="2"/>
  <c r="N23" i="2"/>
  <c r="N673" i="2"/>
  <c r="N669" i="2"/>
  <c r="N665" i="2"/>
  <c r="N661" i="2"/>
  <c r="N657" i="2"/>
  <c r="N653" i="2"/>
  <c r="N649" i="2"/>
  <c r="N645" i="2"/>
  <c r="N641" i="2"/>
  <c r="N637" i="2"/>
  <c r="N633" i="2"/>
  <c r="N629" i="2"/>
  <c r="N625" i="2"/>
  <c r="N621" i="2"/>
  <c r="N617" i="2"/>
  <c r="N613" i="2"/>
  <c r="N609" i="2"/>
  <c r="N605" i="2"/>
  <c r="N601" i="2"/>
  <c r="N597" i="2"/>
  <c r="N593" i="2"/>
  <c r="N589" i="2"/>
  <c r="N585" i="2"/>
  <c r="N581" i="2"/>
  <c r="N577" i="2"/>
  <c r="N573" i="2"/>
  <c r="N569" i="2"/>
  <c r="N565" i="2"/>
  <c r="N561" i="2"/>
  <c r="N557" i="2"/>
  <c r="N553" i="2"/>
  <c r="N549" i="2"/>
  <c r="N545" i="2"/>
  <c r="N541" i="2"/>
  <c r="N537" i="2"/>
  <c r="N533" i="2"/>
  <c r="N529" i="2"/>
  <c r="N525" i="2"/>
  <c r="N521" i="2"/>
  <c r="N517" i="2"/>
  <c r="N513" i="2"/>
  <c r="N509" i="2"/>
  <c r="N505" i="2"/>
  <c r="N501" i="2"/>
  <c r="N497" i="2"/>
  <c r="N493" i="2"/>
  <c r="N489" i="2"/>
  <c r="N485" i="2"/>
  <c r="N481" i="2"/>
  <c r="N477" i="2"/>
  <c r="N473" i="2"/>
  <c r="N469" i="2"/>
  <c r="N465" i="2"/>
  <c r="N461" i="2"/>
  <c r="N457" i="2"/>
  <c r="N453" i="2"/>
  <c r="N449" i="2"/>
  <c r="N445" i="2"/>
  <c r="N441" i="2"/>
  <c r="N437" i="2"/>
  <c r="N433" i="2"/>
  <c r="N429" i="2"/>
  <c r="N425" i="2"/>
  <c r="N421" i="2"/>
  <c r="N417" i="2"/>
  <c r="N413" i="2"/>
  <c r="N409" i="2"/>
  <c r="N405" i="2"/>
  <c r="N401" i="2"/>
  <c r="N397" i="2"/>
  <c r="N393" i="2"/>
  <c r="N389" i="2"/>
  <c r="N385" i="2"/>
  <c r="N1055" i="2"/>
  <c r="N1051" i="2"/>
  <c r="N1047" i="2"/>
  <c r="N1043" i="2"/>
  <c r="N1039" i="2"/>
  <c r="N1035" i="2"/>
  <c r="N1031" i="2"/>
  <c r="N1027" i="2"/>
  <c r="N1023" i="2"/>
  <c r="N1019" i="2"/>
  <c r="N1015" i="2"/>
  <c r="N1011" i="2"/>
  <c r="N1007" i="2"/>
  <c r="N1003" i="2"/>
  <c r="N999" i="2"/>
  <c r="N995" i="2"/>
  <c r="N991" i="2"/>
  <c r="N987" i="2"/>
  <c r="N983" i="2"/>
  <c r="N979" i="2"/>
  <c r="N975" i="2"/>
  <c r="N971" i="2"/>
  <c r="N967" i="2"/>
  <c r="N963" i="2"/>
  <c r="N959" i="2"/>
  <c r="N955" i="2"/>
  <c r="N951" i="2"/>
  <c r="N947" i="2"/>
  <c r="N943" i="2"/>
  <c r="N939" i="2"/>
  <c r="N935" i="2"/>
  <c r="N931" i="2"/>
  <c r="N927" i="2"/>
  <c r="N923" i="2"/>
  <c r="N919" i="2"/>
  <c r="N915" i="2"/>
  <c r="N911" i="2"/>
  <c r="N907" i="2"/>
  <c r="N903" i="2"/>
  <c r="N899" i="2"/>
  <c r="N895" i="2"/>
  <c r="N891" i="2"/>
  <c r="N887" i="2"/>
  <c r="N883" i="2"/>
  <c r="N879" i="2"/>
  <c r="N875" i="2"/>
  <c r="N871" i="2"/>
  <c r="N867" i="2"/>
  <c r="N863" i="2"/>
  <c r="N859" i="2"/>
  <c r="N855" i="2"/>
  <c r="N851" i="2"/>
  <c r="N847" i="2"/>
  <c r="N843" i="2"/>
  <c r="N839" i="2"/>
  <c r="N835" i="2"/>
  <c r="N831" i="2"/>
  <c r="N827" i="2"/>
  <c r="N823" i="2"/>
  <c r="N819" i="2"/>
  <c r="N815" i="2"/>
  <c r="N811" i="2"/>
  <c r="N807" i="2"/>
  <c r="N803" i="2"/>
  <c r="N799" i="2"/>
  <c r="N795" i="2"/>
  <c r="N791" i="2"/>
  <c r="N787" i="2"/>
  <c r="N783" i="2"/>
  <c r="N779" i="2"/>
  <c r="N775" i="2"/>
  <c r="N771" i="2"/>
  <c r="N767" i="2"/>
  <c r="N763" i="2"/>
  <c r="N759" i="2"/>
  <c r="N755" i="2"/>
  <c r="N751" i="2"/>
  <c r="N747" i="2"/>
  <c r="N743" i="2"/>
  <c r="N739" i="2"/>
  <c r="N735" i="2"/>
  <c r="N731" i="2"/>
  <c r="N727" i="2"/>
  <c r="N723" i="2"/>
  <c r="N719" i="2"/>
  <c r="N715" i="2"/>
  <c r="N711" i="2"/>
  <c r="N707" i="2"/>
  <c r="N703" i="2"/>
  <c r="N699" i="2"/>
  <c r="N695" i="2"/>
  <c r="N691" i="2"/>
  <c r="N687" i="2"/>
  <c r="N683" i="2"/>
  <c r="N679" i="2"/>
  <c r="N675" i="2"/>
  <c r="N671" i="2"/>
  <c r="N667" i="2"/>
  <c r="N663" i="2"/>
  <c r="N659" i="2"/>
  <c r="N655" i="2"/>
  <c r="N651" i="2"/>
  <c r="N647" i="2"/>
  <c r="N643" i="2"/>
  <c r="N639" i="2"/>
  <c r="N635" i="2"/>
  <c r="N631" i="2"/>
  <c r="N627" i="2"/>
  <c r="N623" i="2"/>
  <c r="N619" i="2"/>
  <c r="N615" i="2"/>
  <c r="N611" i="2"/>
  <c r="N607" i="2"/>
  <c r="N603" i="2"/>
  <c r="N599" i="2"/>
  <c r="N595" i="2"/>
  <c r="N591" i="2"/>
  <c r="N587" i="2"/>
  <c r="N583" i="2"/>
  <c r="N579" i="2"/>
  <c r="N575" i="2"/>
  <c r="N571" i="2"/>
  <c r="N567" i="2"/>
  <c r="N563" i="2"/>
  <c r="N559" i="2"/>
  <c r="N555" i="2"/>
  <c r="N551" i="2"/>
  <c r="N547" i="2"/>
  <c r="N543" i="2"/>
  <c r="N539" i="2"/>
  <c r="N535" i="2"/>
  <c r="N531" i="2"/>
  <c r="N527" i="2"/>
  <c r="N523" i="2"/>
  <c r="N519" i="2"/>
  <c r="N515" i="2"/>
  <c r="N511" i="2"/>
  <c r="N507" i="2"/>
  <c r="N503" i="2"/>
  <c r="N499" i="2"/>
  <c r="N495" i="2"/>
  <c r="N491" i="2"/>
  <c r="N487" i="2"/>
  <c r="N483" i="2"/>
  <c r="N479" i="2"/>
  <c r="N475" i="2"/>
  <c r="N471" i="2"/>
  <c r="N467" i="2"/>
  <c r="N463" i="2"/>
  <c r="N459" i="2"/>
  <c r="N455" i="2"/>
  <c r="N451" i="2"/>
  <c r="N447" i="2"/>
  <c r="N443" i="2"/>
  <c r="N439" i="2"/>
  <c r="N435" i="2"/>
  <c r="N431" i="2"/>
  <c r="N427" i="2"/>
  <c r="N423" i="2"/>
  <c r="N419" i="2"/>
  <c r="N415" i="2"/>
  <c r="N411" i="2"/>
  <c r="N407" i="2"/>
  <c r="N403" i="2"/>
  <c r="N399" i="2"/>
  <c r="N395" i="2"/>
  <c r="N391" i="2"/>
  <c r="N387" i="2"/>
  <c r="N383" i="2"/>
  <c r="N379" i="2"/>
  <c r="N375" i="2"/>
  <c r="N371" i="2"/>
  <c r="N367" i="2"/>
  <c r="N363" i="2"/>
  <c r="N359" i="2"/>
  <c r="N355" i="2"/>
  <c r="N351" i="2"/>
  <c r="N347" i="2"/>
  <c r="N343" i="2"/>
  <c r="N339" i="2"/>
  <c r="N335" i="2"/>
  <c r="N331" i="2"/>
  <c r="N327" i="2"/>
  <c r="N22" i="2"/>
  <c r="N33" i="2"/>
  <c r="N21" i="2"/>
  <c r="N381" i="2"/>
  <c r="N377" i="2"/>
  <c r="N373" i="2"/>
  <c r="N369" i="2"/>
  <c r="N365" i="2"/>
  <c r="N361" i="2"/>
  <c r="N357" i="2"/>
  <c r="N353" i="2"/>
  <c r="N349" i="2"/>
  <c r="N345" i="2"/>
  <c r="N341" i="2"/>
  <c r="N337" i="2"/>
  <c r="N333" i="2"/>
  <c r="N329" i="2"/>
  <c r="N325" i="2"/>
  <c r="N321" i="2"/>
  <c r="N317" i="2"/>
  <c r="N313" i="2"/>
  <c r="N309" i="2"/>
  <c r="N305" i="2"/>
  <c r="N301" i="2"/>
  <c r="N297" i="2"/>
  <c r="N293" i="2"/>
  <c r="N289" i="2"/>
  <c r="N285" i="2"/>
  <c r="N281" i="2"/>
  <c r="N277" i="2"/>
  <c r="N273" i="2"/>
  <c r="N269" i="2"/>
  <c r="N265" i="2"/>
  <c r="N261" i="2"/>
  <c r="N257" i="2"/>
  <c r="N253" i="2"/>
  <c r="N249" i="2"/>
  <c r="N245" i="2"/>
  <c r="N241" i="2"/>
  <c r="N237" i="2"/>
  <c r="N233" i="2"/>
  <c r="N229" i="2"/>
  <c r="N225" i="2"/>
  <c r="N221" i="2"/>
  <c r="N217" i="2"/>
  <c r="N213" i="2"/>
  <c r="N209" i="2"/>
  <c r="N205" i="2"/>
  <c r="N201" i="2"/>
  <c r="N197" i="2"/>
  <c r="N193" i="2"/>
  <c r="N189" i="2"/>
  <c r="N185" i="2"/>
  <c r="N181" i="2"/>
  <c r="N177" i="2"/>
  <c r="N173" i="2"/>
  <c r="N169" i="2"/>
  <c r="N165" i="2"/>
  <c r="N161" i="2"/>
  <c r="N157" i="2"/>
  <c r="N153" i="2"/>
  <c r="N149" i="2"/>
  <c r="N145" i="2"/>
  <c r="N141" i="2"/>
  <c r="N137" i="2"/>
  <c r="N133" i="2"/>
  <c r="N129" i="2"/>
  <c r="N125" i="2"/>
  <c r="N121" i="2"/>
  <c r="N117" i="2"/>
  <c r="N113" i="2"/>
  <c r="N109" i="2"/>
  <c r="N105" i="2"/>
  <c r="N101" i="2"/>
  <c r="N97" i="2"/>
  <c r="N93" i="2"/>
  <c r="N89" i="2"/>
  <c r="N85" i="2"/>
  <c r="N81" i="2"/>
  <c r="N77" i="2"/>
  <c r="N73" i="2"/>
  <c r="N69" i="2"/>
  <c r="N65" i="2"/>
  <c r="N61" i="2"/>
  <c r="N57" i="2"/>
  <c r="N49" i="2"/>
  <c r="N45" i="2"/>
  <c r="N9" i="2"/>
  <c r="N8" i="2"/>
  <c r="N47" i="2"/>
  <c r="N323" i="2"/>
  <c r="N319" i="2"/>
  <c r="N315" i="2"/>
  <c r="N311" i="2"/>
  <c r="N307" i="2"/>
  <c r="N303" i="2"/>
  <c r="N299" i="2"/>
  <c r="N295" i="2"/>
  <c r="N291" i="2"/>
  <c r="N287" i="2"/>
  <c r="N283" i="2"/>
  <c r="N279" i="2"/>
  <c r="N275" i="2"/>
  <c r="N271" i="2"/>
  <c r="N267" i="2"/>
  <c r="N263" i="2"/>
  <c r="N259" i="2"/>
  <c r="N255" i="2"/>
  <c r="N251" i="2"/>
  <c r="N247" i="2"/>
  <c r="N243" i="2"/>
  <c r="N239" i="2"/>
  <c r="N235" i="2"/>
  <c r="N231" i="2"/>
  <c r="N227" i="2"/>
  <c r="N223" i="2"/>
  <c r="N219" i="2"/>
  <c r="N215" i="2"/>
  <c r="N211" i="2"/>
  <c r="N207" i="2"/>
  <c r="N203" i="2"/>
  <c r="N199" i="2"/>
  <c r="N195" i="2"/>
  <c r="N191" i="2"/>
  <c r="N187" i="2"/>
  <c r="N183" i="2"/>
  <c r="N179" i="2"/>
  <c r="N175" i="2"/>
  <c r="N171" i="2"/>
  <c r="N167" i="2"/>
  <c r="N163" i="2"/>
  <c r="N159" i="2"/>
  <c r="N155" i="2"/>
  <c r="N151" i="2"/>
  <c r="N147" i="2"/>
  <c r="N143" i="2"/>
  <c r="N139" i="2"/>
  <c r="N135" i="2"/>
  <c r="N131" i="2"/>
  <c r="N127" i="2"/>
  <c r="N123" i="2"/>
  <c r="N119" i="2"/>
  <c r="N115" i="2"/>
  <c r="N111" i="2"/>
  <c r="N107" i="2"/>
  <c r="N103" i="2"/>
  <c r="N99" i="2"/>
  <c r="N95" i="2"/>
  <c r="N91" i="2"/>
  <c r="N87" i="2"/>
  <c r="N83" i="2"/>
  <c r="N79" i="2"/>
  <c r="N75" i="2"/>
  <c r="N71" i="2"/>
  <c r="N67" i="2"/>
  <c r="N63" i="2"/>
  <c r="N11" i="2"/>
  <c r="N1057" i="2"/>
  <c r="N1053" i="2"/>
  <c r="N1049" i="2"/>
  <c r="N1045" i="2"/>
  <c r="N1041" i="2"/>
  <c r="N1037" i="2"/>
  <c r="N1033" i="2"/>
  <c r="N1029" i="2"/>
  <c r="N1025" i="2"/>
  <c r="N1021" i="2"/>
  <c r="N1017" i="2"/>
  <c r="N1013" i="2"/>
  <c r="N1009" i="2"/>
  <c r="N1005" i="2"/>
  <c r="N1001" i="2"/>
  <c r="N997" i="2"/>
  <c r="N993" i="2"/>
  <c r="N989" i="2"/>
  <c r="N985" i="2"/>
  <c r="N981" i="2"/>
  <c r="N977" i="2"/>
  <c r="N973" i="2"/>
  <c r="N969" i="2"/>
  <c r="Q124" i="4" s="1"/>
  <c r="N965" i="2"/>
  <c r="N961" i="2"/>
  <c r="N957" i="2"/>
  <c r="N953" i="2"/>
  <c r="N1058" i="2"/>
  <c r="N1054" i="2"/>
  <c r="N1050" i="2"/>
  <c r="N1046" i="2"/>
  <c r="N1042" i="2"/>
  <c r="N1038" i="2"/>
  <c r="N1034" i="2"/>
  <c r="N1030" i="2"/>
  <c r="Q129" i="4" s="1"/>
  <c r="N1026" i="2"/>
  <c r="N1022" i="2"/>
  <c r="N1018" i="2"/>
  <c r="N1014" i="2"/>
  <c r="Q125" i="4" s="1"/>
  <c r="N1010" i="2"/>
  <c r="N1006" i="2"/>
  <c r="N1002" i="2"/>
  <c r="N998" i="2"/>
  <c r="N994" i="2"/>
  <c r="N990" i="2"/>
  <c r="N986" i="2"/>
  <c r="N982" i="2"/>
  <c r="N978" i="2"/>
  <c r="N974" i="2"/>
  <c r="N970" i="2"/>
  <c r="N966" i="2"/>
  <c r="N962" i="2"/>
  <c r="N958" i="2"/>
  <c r="N954" i="2"/>
  <c r="N950" i="2"/>
  <c r="N946" i="2"/>
  <c r="N942" i="2"/>
  <c r="N938" i="2"/>
  <c r="N934" i="2"/>
  <c r="N930" i="2"/>
  <c r="N926" i="2"/>
  <c r="N922" i="2"/>
  <c r="N918" i="2"/>
  <c r="Q117" i="4" s="1"/>
  <c r="N914" i="2"/>
  <c r="N910" i="2"/>
  <c r="N906" i="2"/>
  <c r="N902" i="2"/>
  <c r="N898" i="2"/>
  <c r="N894" i="2"/>
  <c r="N890" i="2"/>
  <c r="N886" i="2"/>
  <c r="N882" i="2"/>
  <c r="N878" i="2"/>
  <c r="N874" i="2"/>
  <c r="N870" i="2"/>
  <c r="N866" i="2"/>
  <c r="N862" i="2"/>
  <c r="N858" i="2"/>
  <c r="N854" i="2"/>
  <c r="N850" i="2"/>
  <c r="N846" i="2"/>
  <c r="N842" i="2"/>
  <c r="N838" i="2"/>
  <c r="N834" i="2"/>
  <c r="N830" i="2"/>
  <c r="N826" i="2"/>
  <c r="N822" i="2"/>
  <c r="N818" i="2"/>
  <c r="N814" i="2"/>
  <c r="N810" i="2"/>
  <c r="N806" i="2"/>
  <c r="N802" i="2"/>
  <c r="N798" i="2"/>
  <c r="N794" i="2"/>
  <c r="N790" i="2"/>
  <c r="N786" i="2"/>
  <c r="N782" i="2"/>
  <c r="N778" i="2"/>
  <c r="N774" i="2"/>
  <c r="N770" i="2"/>
  <c r="N766" i="2"/>
  <c r="N762" i="2"/>
  <c r="N758" i="2"/>
  <c r="N754" i="2"/>
  <c r="N750" i="2"/>
  <c r="N746" i="2"/>
  <c r="N742" i="2"/>
  <c r="N738" i="2"/>
  <c r="N734" i="2"/>
  <c r="N730" i="2"/>
  <c r="N726" i="2"/>
  <c r="N722" i="2"/>
  <c r="N718" i="2"/>
  <c r="N714" i="2"/>
  <c r="N710" i="2"/>
  <c r="N706" i="2"/>
  <c r="N702" i="2"/>
  <c r="N698" i="2"/>
  <c r="N694" i="2"/>
  <c r="N690" i="2"/>
  <c r="N686" i="2"/>
  <c r="N682" i="2"/>
  <c r="N678" i="2"/>
  <c r="N674" i="2"/>
  <c r="N670" i="2"/>
  <c r="N666" i="2"/>
  <c r="N662" i="2"/>
  <c r="N658" i="2"/>
  <c r="N654" i="2"/>
  <c r="N650" i="2"/>
  <c r="N646" i="2"/>
  <c r="N642" i="2"/>
  <c r="N638" i="2"/>
  <c r="N634" i="2"/>
  <c r="N630" i="2"/>
  <c r="N626" i="2"/>
  <c r="N622" i="2"/>
  <c r="N618" i="2"/>
  <c r="N614" i="2"/>
  <c r="N610" i="2"/>
  <c r="N606" i="2"/>
  <c r="N602" i="2"/>
  <c r="N598" i="2"/>
  <c r="N594" i="2"/>
  <c r="N590" i="2"/>
  <c r="N586" i="2"/>
  <c r="N582" i="2"/>
  <c r="N578" i="2"/>
  <c r="N574" i="2"/>
  <c r="N570" i="2"/>
  <c r="N566" i="2"/>
  <c r="N562" i="2"/>
  <c r="N558" i="2"/>
  <c r="N554" i="2"/>
  <c r="N550" i="2"/>
  <c r="N546" i="2"/>
  <c r="N542" i="2"/>
  <c r="N538" i="2"/>
  <c r="N534" i="2"/>
  <c r="N530" i="2"/>
  <c r="N526" i="2"/>
  <c r="N522" i="2"/>
  <c r="N518" i="2"/>
  <c r="N514" i="2"/>
  <c r="N510" i="2"/>
  <c r="N506" i="2"/>
  <c r="N502" i="2"/>
  <c r="N498" i="2"/>
  <c r="N494" i="2"/>
  <c r="N490" i="2"/>
  <c r="N486" i="2"/>
  <c r="Q48" i="4" s="1"/>
  <c r="N482" i="2"/>
  <c r="N478" i="2"/>
  <c r="N474" i="2"/>
  <c r="N470" i="2"/>
  <c r="N466" i="2"/>
  <c r="N949" i="2"/>
  <c r="Q120" i="4" s="1"/>
  <c r="N945" i="2"/>
  <c r="N941" i="2"/>
  <c r="N937" i="2"/>
  <c r="N933" i="2"/>
  <c r="N929" i="2"/>
  <c r="N925" i="2"/>
  <c r="N921" i="2"/>
  <c r="N917" i="2"/>
  <c r="N913" i="2"/>
  <c r="N909" i="2"/>
  <c r="N905" i="2"/>
  <c r="N901" i="2"/>
  <c r="N897" i="2"/>
  <c r="N893" i="2"/>
  <c r="N889" i="2"/>
  <c r="N885" i="2"/>
  <c r="N881" i="2"/>
  <c r="N877" i="2"/>
  <c r="N873" i="2"/>
  <c r="N869" i="2"/>
  <c r="N865" i="2"/>
  <c r="N861" i="2"/>
  <c r="N857" i="2"/>
  <c r="N853" i="2"/>
  <c r="N849" i="2"/>
  <c r="N845" i="2"/>
  <c r="N841" i="2"/>
  <c r="N837" i="2"/>
  <c r="N833" i="2"/>
  <c r="N829" i="2"/>
  <c r="N825" i="2"/>
  <c r="N821" i="2"/>
  <c r="N817" i="2"/>
  <c r="N813" i="2"/>
  <c r="N809" i="2"/>
  <c r="N805" i="2"/>
  <c r="N801" i="2"/>
  <c r="N797" i="2"/>
  <c r="N793" i="2"/>
  <c r="N789" i="2"/>
  <c r="N785" i="2"/>
  <c r="N781" i="2"/>
  <c r="N777" i="2"/>
  <c r="N773" i="2"/>
  <c r="N769" i="2"/>
  <c r="N765" i="2"/>
  <c r="N761" i="2"/>
  <c r="N757" i="2"/>
  <c r="N753" i="2"/>
  <c r="N749" i="2"/>
  <c r="N745" i="2"/>
  <c r="N741" i="2"/>
  <c r="N737" i="2"/>
  <c r="N733" i="2"/>
  <c r="N729" i="2"/>
  <c r="N725" i="2"/>
  <c r="N721" i="2"/>
  <c r="N717" i="2"/>
  <c r="N713" i="2"/>
  <c r="N709" i="2"/>
  <c r="N705" i="2"/>
  <c r="N701" i="2"/>
  <c r="N697" i="2"/>
  <c r="N693" i="2"/>
  <c r="N689" i="2"/>
  <c r="N685" i="2"/>
  <c r="N681" i="2"/>
  <c r="N677" i="2"/>
  <c r="Q63" i="4"/>
  <c r="N904" i="2"/>
  <c r="N900" i="2"/>
  <c r="N896" i="2"/>
  <c r="N892" i="2"/>
  <c r="N888" i="2"/>
  <c r="N884" i="2"/>
  <c r="N880" i="2"/>
  <c r="N876" i="2"/>
  <c r="N872" i="2"/>
  <c r="N868" i="2"/>
  <c r="N864" i="2"/>
  <c r="N860" i="2"/>
  <c r="N856" i="2"/>
  <c r="N852" i="2"/>
  <c r="N848" i="2"/>
  <c r="N844" i="2"/>
  <c r="N840" i="2"/>
  <c r="N836" i="2"/>
  <c r="N832" i="2"/>
  <c r="N828" i="2"/>
  <c r="N824" i="2"/>
  <c r="N820" i="2"/>
  <c r="N816" i="2"/>
  <c r="N812" i="2"/>
  <c r="N808" i="2"/>
  <c r="N804" i="2"/>
  <c r="N800" i="2"/>
  <c r="N796" i="2"/>
  <c r="N792" i="2"/>
  <c r="N788" i="2"/>
  <c r="N784" i="2"/>
  <c r="N780" i="2"/>
  <c r="N776" i="2"/>
  <c r="N772" i="2"/>
  <c r="N768" i="2"/>
  <c r="N764" i="2"/>
  <c r="N760" i="2"/>
  <c r="N756" i="2"/>
  <c r="N752" i="2"/>
  <c r="N748" i="2"/>
  <c r="N744" i="2"/>
  <c r="N740" i="2"/>
  <c r="N736" i="2"/>
  <c r="N732" i="2"/>
  <c r="N728" i="2"/>
  <c r="N724" i="2"/>
  <c r="N720" i="2"/>
  <c r="N716" i="2"/>
  <c r="N712" i="2"/>
  <c r="N708" i="2"/>
  <c r="N704" i="2"/>
  <c r="N700" i="2"/>
  <c r="N696" i="2"/>
  <c r="N692" i="2"/>
  <c r="N688" i="2"/>
  <c r="N684" i="2"/>
  <c r="N680" i="2"/>
  <c r="N676" i="2"/>
  <c r="N672" i="2"/>
  <c r="N668" i="2"/>
  <c r="N664" i="2"/>
  <c r="N660" i="2"/>
  <c r="N656" i="2"/>
  <c r="N652" i="2"/>
  <c r="N648" i="2"/>
  <c r="N644" i="2"/>
  <c r="N640" i="2"/>
  <c r="N636" i="2"/>
  <c r="N632" i="2"/>
  <c r="N628" i="2"/>
  <c r="N624" i="2"/>
  <c r="N620" i="2"/>
  <c r="N616" i="2"/>
  <c r="N612" i="2"/>
  <c r="N608" i="2"/>
  <c r="N604" i="2"/>
  <c r="N600" i="2"/>
  <c r="N596" i="2"/>
  <c r="N592" i="2"/>
  <c r="N588" i="2"/>
  <c r="N584" i="2"/>
  <c r="N580" i="2"/>
  <c r="N576" i="2"/>
  <c r="Q73" i="4" s="1"/>
  <c r="N572" i="2"/>
  <c r="N568" i="2"/>
  <c r="N564" i="2"/>
  <c r="N560" i="2"/>
  <c r="N556" i="2"/>
  <c r="N552" i="2"/>
  <c r="N548" i="2"/>
  <c r="N544" i="2"/>
  <c r="N540" i="2"/>
  <c r="N536" i="2"/>
  <c r="N532" i="2"/>
  <c r="N528" i="2"/>
  <c r="N524" i="2"/>
  <c r="N520" i="2"/>
  <c r="N516" i="2"/>
  <c r="N512" i="2"/>
  <c r="N508" i="2"/>
  <c r="N504" i="2"/>
  <c r="N500" i="2"/>
  <c r="N496" i="2"/>
  <c r="N492" i="2"/>
  <c r="N488" i="2"/>
  <c r="N484" i="2"/>
  <c r="N480" i="2"/>
  <c r="N476" i="2"/>
  <c r="N472" i="2"/>
  <c r="N468" i="2"/>
  <c r="N464" i="2"/>
  <c r="N460" i="2"/>
  <c r="N456" i="2"/>
  <c r="N452" i="2"/>
  <c r="N448" i="2"/>
  <c r="N444" i="2"/>
  <c r="N440" i="2"/>
  <c r="N436" i="2"/>
  <c r="N432" i="2"/>
  <c r="N428" i="2"/>
  <c r="N424" i="2"/>
  <c r="N420" i="2"/>
  <c r="N416" i="2"/>
  <c r="N412" i="2"/>
  <c r="N408" i="2"/>
  <c r="N404" i="2"/>
  <c r="N400" i="2"/>
  <c r="N396" i="2"/>
  <c r="N392" i="2"/>
  <c r="N388" i="2"/>
  <c r="N384" i="2"/>
  <c r="N380" i="2"/>
  <c r="N376" i="2"/>
  <c r="N372" i="2"/>
  <c r="Q45" i="4" s="1"/>
  <c r="N368" i="2"/>
  <c r="N364" i="2"/>
  <c r="N360" i="2"/>
  <c r="N356" i="2"/>
  <c r="N352" i="2"/>
  <c r="N348" i="2"/>
  <c r="N344" i="2"/>
  <c r="N340" i="2"/>
  <c r="N2" i="2"/>
  <c r="N462" i="2"/>
  <c r="N458" i="2"/>
  <c r="N454" i="2"/>
  <c r="N450" i="2"/>
  <c r="N446" i="2"/>
  <c r="N442" i="2"/>
  <c r="N438" i="2"/>
  <c r="N434" i="2"/>
  <c r="N430" i="2"/>
  <c r="N426" i="2"/>
  <c r="N422" i="2"/>
  <c r="Q54" i="4" s="1"/>
  <c r="N418" i="2"/>
  <c r="N414" i="2"/>
  <c r="N410" i="2"/>
  <c r="N406" i="2"/>
  <c r="N402" i="2"/>
  <c r="N398" i="2"/>
  <c r="N394" i="2"/>
  <c r="N390" i="2"/>
  <c r="N386" i="2"/>
  <c r="N382" i="2"/>
  <c r="N378" i="2"/>
  <c r="N374" i="2"/>
  <c r="N370" i="2"/>
  <c r="Q44" i="4" s="1"/>
  <c r="N366" i="2"/>
  <c r="N362" i="2"/>
  <c r="N358" i="2"/>
  <c r="N354" i="2"/>
  <c r="N350" i="2"/>
  <c r="N346" i="2"/>
  <c r="N342" i="2"/>
  <c r="N338" i="2"/>
  <c r="N334" i="2"/>
  <c r="N330" i="2"/>
  <c r="N326" i="2"/>
  <c r="Q39" i="4" s="1"/>
  <c r="N322" i="2"/>
  <c r="N318" i="2"/>
  <c r="N314" i="2"/>
  <c r="N310" i="2"/>
  <c r="N306" i="2"/>
  <c r="N302" i="2"/>
  <c r="N298" i="2"/>
  <c r="N294" i="2"/>
  <c r="N290" i="2"/>
  <c r="N286" i="2"/>
  <c r="N282" i="2"/>
  <c r="N278" i="2"/>
  <c r="Q34" i="4" s="1"/>
  <c r="N274" i="2"/>
  <c r="N270" i="2"/>
  <c r="N266" i="2"/>
  <c r="N262" i="2"/>
  <c r="N258" i="2"/>
  <c r="N254" i="2"/>
  <c r="N250" i="2"/>
  <c r="N246" i="2"/>
  <c r="N242" i="2"/>
  <c r="N238" i="2"/>
  <c r="N234" i="2"/>
  <c r="N230" i="2"/>
  <c r="N226" i="2"/>
  <c r="N222" i="2"/>
  <c r="N218" i="2"/>
  <c r="N214" i="2"/>
  <c r="N210" i="2"/>
  <c r="N206" i="2"/>
  <c r="N202" i="2"/>
  <c r="N198" i="2"/>
  <c r="N194" i="2"/>
  <c r="N190" i="2"/>
  <c r="N186" i="2"/>
  <c r="N182" i="2"/>
  <c r="N178" i="2"/>
  <c r="N174" i="2"/>
  <c r="N170" i="2"/>
  <c r="N166" i="2"/>
  <c r="N162" i="2"/>
  <c r="N158" i="2"/>
  <c r="N154" i="2"/>
  <c r="N142" i="2"/>
  <c r="N130" i="2"/>
  <c r="N118" i="2"/>
  <c r="N106" i="2"/>
  <c r="N94" i="2"/>
  <c r="N82" i="2"/>
  <c r="N70" i="2"/>
  <c r="N92" i="2"/>
  <c r="N80" i="2"/>
  <c r="N336" i="2"/>
  <c r="N332" i="2"/>
  <c r="N328" i="2"/>
  <c r="N324" i="2"/>
  <c r="N320" i="2"/>
  <c r="N316" i="2"/>
  <c r="N312" i="2"/>
  <c r="N308" i="2"/>
  <c r="N304" i="2"/>
  <c r="N300" i="2"/>
  <c r="N296" i="2"/>
  <c r="N292" i="2"/>
  <c r="N288" i="2"/>
  <c r="N284" i="2"/>
  <c r="N280" i="2"/>
  <c r="N276" i="2"/>
  <c r="N272" i="2"/>
  <c r="N268" i="2"/>
  <c r="N264" i="2"/>
  <c r="N260" i="2"/>
  <c r="Q32" i="4" s="1"/>
  <c r="N256" i="2"/>
  <c r="N252" i="2"/>
  <c r="N248" i="2"/>
  <c r="N244" i="2"/>
  <c r="N240" i="2"/>
  <c r="N236" i="2"/>
  <c r="N232" i="2"/>
  <c r="N228" i="2"/>
  <c r="N224" i="2"/>
  <c r="N220" i="2"/>
  <c r="N216" i="2"/>
  <c r="N212" i="2"/>
  <c r="N208" i="2"/>
  <c r="N204" i="2"/>
  <c r="N200" i="2"/>
  <c r="N196" i="2"/>
  <c r="N192" i="2"/>
  <c r="N188" i="2"/>
  <c r="N184" i="2"/>
  <c r="N180" i="2"/>
  <c r="N176" i="2"/>
  <c r="N172" i="2"/>
  <c r="N168" i="2"/>
  <c r="N164" i="2"/>
  <c r="N160" i="2"/>
  <c r="N156" i="2"/>
  <c r="N152" i="2"/>
  <c r="N148" i="2"/>
  <c r="N144" i="2"/>
  <c r="N140" i="2"/>
  <c r="N136" i="2"/>
  <c r="N132" i="2"/>
  <c r="N128" i="2"/>
  <c r="N124" i="2"/>
  <c r="N120" i="2"/>
  <c r="N116" i="2"/>
  <c r="N104" i="2"/>
  <c r="N68" i="2"/>
  <c r="N53" i="2"/>
  <c r="N41" i="2"/>
  <c r="N29" i="2"/>
  <c r="N17" i="2"/>
  <c r="N5" i="2"/>
  <c r="N112" i="2"/>
  <c r="N108" i="2"/>
  <c r="N100" i="2"/>
  <c r="N96" i="2"/>
  <c r="N88" i="2"/>
  <c r="N84" i="2"/>
  <c r="N76" i="2"/>
  <c r="N72" i="2"/>
  <c r="N64" i="2"/>
  <c r="N60" i="2"/>
  <c r="N52" i="2"/>
  <c r="N48" i="2"/>
  <c r="N40" i="2"/>
  <c r="N36" i="2"/>
  <c r="N28" i="2"/>
  <c r="N24" i="2"/>
  <c r="N16" i="2"/>
  <c r="N12" i="2"/>
  <c r="N4" i="2"/>
  <c r="N55" i="2"/>
  <c r="N51" i="2"/>
  <c r="N43" i="2"/>
  <c r="N39" i="2"/>
  <c r="N31" i="2"/>
  <c r="N27" i="2"/>
  <c r="N19" i="2"/>
  <c r="N15" i="2"/>
  <c r="N7" i="2"/>
  <c r="N3" i="2"/>
  <c r="N150" i="2"/>
  <c r="N146" i="2"/>
  <c r="N138" i="2"/>
  <c r="N134" i="2"/>
  <c r="N126" i="2"/>
  <c r="N122" i="2"/>
  <c r="N114" i="2"/>
  <c r="N110" i="2"/>
  <c r="N102" i="2"/>
  <c r="N98" i="2"/>
  <c r="N90" i="2"/>
  <c r="N86" i="2"/>
  <c r="N78" i="2"/>
  <c r="N74" i="2"/>
  <c r="N66" i="2"/>
  <c r="N62" i="2"/>
  <c r="N54" i="2"/>
  <c r="N50" i="2"/>
  <c r="N42" i="2"/>
  <c r="N38" i="2"/>
  <c r="N30" i="2"/>
  <c r="N26" i="2"/>
  <c r="N18" i="2"/>
  <c r="N14" i="2"/>
  <c r="N6" i="2"/>
  <c r="B156" i="9"/>
  <c r="B157" i="9"/>
  <c r="B158" i="9"/>
  <c r="E137" i="4"/>
  <c r="F137" i="4"/>
  <c r="G137" i="4"/>
  <c r="H137" i="4"/>
  <c r="I137" i="4"/>
  <c r="J137" i="4"/>
  <c r="K137" i="4"/>
  <c r="L137" i="4"/>
  <c r="E138" i="4"/>
  <c r="F138" i="4"/>
  <c r="G138" i="4"/>
  <c r="H138" i="4"/>
  <c r="I138" i="4"/>
  <c r="J138" i="4"/>
  <c r="K138" i="4"/>
  <c r="L138" i="4"/>
  <c r="E139" i="4"/>
  <c r="F139" i="4"/>
  <c r="G139" i="4"/>
  <c r="H139" i="4"/>
  <c r="I139" i="4"/>
  <c r="J139" i="4"/>
  <c r="K139" i="4"/>
  <c r="L139" i="4"/>
  <c r="D137" i="4"/>
  <c r="C156" i="9" s="1"/>
  <c r="D138" i="4"/>
  <c r="C157" i="9" s="1"/>
  <c r="D139" i="4"/>
  <c r="C158" i="9" s="1"/>
  <c r="B153" i="9"/>
  <c r="B154" i="9"/>
  <c r="B155" i="9"/>
  <c r="B152" i="9"/>
  <c r="D133" i="4"/>
  <c r="C152" i="9" s="1"/>
  <c r="E133" i="4"/>
  <c r="F133" i="4"/>
  <c r="G133" i="4"/>
  <c r="H133" i="4"/>
  <c r="I133" i="4"/>
  <c r="J133" i="4"/>
  <c r="K133" i="4"/>
  <c r="L133" i="4"/>
  <c r="D134" i="4"/>
  <c r="C153" i="9" s="1"/>
  <c r="E134" i="4"/>
  <c r="F134" i="4"/>
  <c r="G134" i="4"/>
  <c r="H134" i="4"/>
  <c r="I134" i="4"/>
  <c r="J134" i="4"/>
  <c r="K134" i="4"/>
  <c r="L134" i="4"/>
  <c r="D135" i="4"/>
  <c r="C154" i="9" s="1"/>
  <c r="E135" i="4"/>
  <c r="F135" i="4"/>
  <c r="G135" i="4"/>
  <c r="H135" i="4"/>
  <c r="I135" i="4"/>
  <c r="J135" i="4"/>
  <c r="K135" i="4"/>
  <c r="L135" i="4"/>
  <c r="D136" i="4"/>
  <c r="C155" i="9" s="1"/>
  <c r="E136" i="4"/>
  <c r="F136" i="4"/>
  <c r="G136" i="4"/>
  <c r="H136" i="4"/>
  <c r="I136" i="4"/>
  <c r="J136" i="4"/>
  <c r="K136" i="4"/>
  <c r="L136" i="4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2" i="32"/>
  <c r="N38" i="33"/>
  <c r="N40" i="33"/>
  <c r="N42" i="33"/>
  <c r="N43" i="33"/>
  <c r="N44" i="33"/>
  <c r="N45" i="33"/>
  <c r="N46" i="33"/>
  <c r="N47" i="33"/>
  <c r="N48" i="33"/>
  <c r="N49" i="33"/>
  <c r="N50" i="33"/>
  <c r="N51" i="33"/>
  <c r="N52" i="33"/>
  <c r="N53" i="33"/>
  <c r="N54" i="33"/>
  <c r="N55" i="33"/>
  <c r="N56" i="33"/>
  <c r="N57" i="33"/>
  <c r="N58" i="33"/>
  <c r="N59" i="33"/>
  <c r="N60" i="33"/>
  <c r="N61" i="33"/>
  <c r="N62" i="33"/>
  <c r="N63" i="33"/>
  <c r="N64" i="33"/>
  <c r="N65" i="33"/>
  <c r="N66" i="33"/>
  <c r="N67" i="33"/>
  <c r="N68" i="33"/>
  <c r="N69" i="33"/>
  <c r="N70" i="33"/>
  <c r="N71" i="33"/>
  <c r="N72" i="33"/>
  <c r="N73" i="33"/>
  <c r="N74" i="33"/>
  <c r="N75" i="33"/>
  <c r="N76" i="33"/>
  <c r="N77" i="33"/>
  <c r="N78" i="33"/>
  <c r="N79" i="33"/>
  <c r="N80" i="33"/>
  <c r="N81" i="33"/>
  <c r="N82" i="33"/>
  <c r="N83" i="33"/>
  <c r="N84" i="33"/>
  <c r="N85" i="33"/>
  <c r="N86" i="33"/>
  <c r="N87" i="33"/>
  <c r="N88" i="33"/>
  <c r="N89" i="33"/>
  <c r="N90" i="33"/>
  <c r="N91" i="33"/>
  <c r="N92" i="33"/>
  <c r="N93" i="33"/>
  <c r="N94" i="33"/>
  <c r="N95" i="33"/>
  <c r="N96" i="33"/>
  <c r="N97" i="33"/>
  <c r="N98" i="33"/>
  <c r="N99" i="33"/>
  <c r="N100" i="33"/>
  <c r="N101" i="33"/>
  <c r="N102" i="33"/>
  <c r="N103" i="33"/>
  <c r="N104" i="33"/>
  <c r="N105" i="33"/>
  <c r="N106" i="33"/>
  <c r="N107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8" i="33"/>
  <c r="N129" i="33"/>
  <c r="N130" i="33"/>
  <c r="N131" i="33"/>
  <c r="N132" i="33"/>
  <c r="N133" i="33"/>
  <c r="N134" i="33"/>
  <c r="N135" i="33"/>
  <c r="N136" i="33"/>
  <c r="N137" i="33"/>
  <c r="N138" i="33"/>
  <c r="N139" i="33"/>
  <c r="N140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58" i="33"/>
  <c r="N159" i="33"/>
  <c r="N160" i="33"/>
  <c r="N161" i="33"/>
  <c r="N162" i="33"/>
  <c r="N163" i="33"/>
  <c r="N164" i="33"/>
  <c r="N165" i="33"/>
  <c r="N166" i="33"/>
  <c r="N167" i="33"/>
  <c r="N168" i="33"/>
  <c r="N169" i="33"/>
  <c r="N170" i="33"/>
  <c r="N171" i="33"/>
  <c r="N172" i="33"/>
  <c r="N173" i="33"/>
  <c r="N174" i="33"/>
  <c r="N175" i="33"/>
  <c r="N176" i="33"/>
  <c r="N177" i="33"/>
  <c r="N178" i="33"/>
  <c r="N179" i="33"/>
  <c r="N180" i="33"/>
  <c r="N181" i="33"/>
  <c r="N182" i="33"/>
  <c r="N183" i="33"/>
  <c r="N184" i="33"/>
  <c r="N185" i="33"/>
  <c r="N186" i="33"/>
  <c r="N187" i="33"/>
  <c r="N188" i="33"/>
  <c r="N189" i="33"/>
  <c r="N190" i="33"/>
  <c r="N191" i="33"/>
  <c r="N192" i="33"/>
  <c r="N193" i="33"/>
  <c r="N194" i="33"/>
  <c r="N195" i="33"/>
  <c r="N196" i="33"/>
  <c r="N197" i="33"/>
  <c r="N198" i="33"/>
  <c r="N199" i="33"/>
  <c r="N200" i="33"/>
  <c r="N201" i="33"/>
  <c r="N202" i="33"/>
  <c r="N203" i="33"/>
  <c r="N204" i="33"/>
  <c r="N205" i="33"/>
  <c r="N206" i="33"/>
  <c r="N207" i="33"/>
  <c r="N208" i="33"/>
  <c r="N209" i="33"/>
  <c r="N210" i="33"/>
  <c r="N211" i="33"/>
  <c r="N212" i="33"/>
  <c r="N213" i="33"/>
  <c r="N214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45" i="33"/>
  <c r="N246" i="33"/>
  <c r="N247" i="33"/>
  <c r="N248" i="33"/>
  <c r="N249" i="33"/>
  <c r="N250" i="33"/>
  <c r="N251" i="33"/>
  <c r="N252" i="33"/>
  <c r="N253" i="33"/>
  <c r="N254" i="33"/>
  <c r="N255" i="33"/>
  <c r="N256" i="33"/>
  <c r="N257" i="33"/>
  <c r="N258" i="33"/>
  <c r="N259" i="33"/>
  <c r="N260" i="33"/>
  <c r="N261" i="33"/>
  <c r="N262" i="33"/>
  <c r="N263" i="33"/>
  <c r="N264" i="33"/>
  <c r="N265" i="33"/>
  <c r="N266" i="33"/>
  <c r="N267" i="33"/>
  <c r="N268" i="33"/>
  <c r="N269" i="33"/>
  <c r="N270" i="33"/>
  <c r="N271" i="33"/>
  <c r="N272" i="33"/>
  <c r="N273" i="33"/>
  <c r="N274" i="33"/>
  <c r="N275" i="33"/>
  <c r="N276" i="33"/>
  <c r="N277" i="33"/>
  <c r="N278" i="33"/>
  <c r="N279" i="33"/>
  <c r="N280" i="33"/>
  <c r="N281" i="33"/>
  <c r="N282" i="33"/>
  <c r="N283" i="33"/>
  <c r="N284" i="33"/>
  <c r="N285" i="33"/>
  <c r="N286" i="33"/>
  <c r="N287" i="33"/>
  <c r="N288" i="33"/>
  <c r="N289" i="33"/>
  <c r="N290" i="33"/>
  <c r="N291" i="33"/>
  <c r="N292" i="33"/>
  <c r="N293" i="33"/>
  <c r="N294" i="33"/>
  <c r="N295" i="33"/>
  <c r="N296" i="33"/>
  <c r="N297" i="33"/>
  <c r="N298" i="33"/>
  <c r="N299" i="33"/>
  <c r="N300" i="33"/>
  <c r="N301" i="33"/>
  <c r="N302" i="33"/>
  <c r="N303" i="33"/>
  <c r="N304" i="33"/>
  <c r="N305" i="33"/>
  <c r="N306" i="33"/>
  <c r="N307" i="33"/>
  <c r="N308" i="33"/>
  <c r="N309" i="33"/>
  <c r="N310" i="33"/>
  <c r="N311" i="33"/>
  <c r="N312" i="33"/>
  <c r="N313" i="33"/>
  <c r="N314" i="33"/>
  <c r="N315" i="33"/>
  <c r="N316" i="33"/>
  <c r="N317" i="33"/>
  <c r="N318" i="33"/>
  <c r="N319" i="33"/>
  <c r="N320" i="33"/>
  <c r="N321" i="33"/>
  <c r="N322" i="33"/>
  <c r="N323" i="33"/>
  <c r="N324" i="33"/>
  <c r="N325" i="33"/>
  <c r="N326" i="33"/>
  <c r="N327" i="33"/>
  <c r="N328" i="33"/>
  <c r="N329" i="33"/>
  <c r="N330" i="33"/>
  <c r="N331" i="33"/>
  <c r="N332" i="33"/>
  <c r="N333" i="33"/>
  <c r="N334" i="33"/>
  <c r="N335" i="33"/>
  <c r="N336" i="33"/>
  <c r="N337" i="33"/>
  <c r="N338" i="33"/>
  <c r="N339" i="33"/>
  <c r="N340" i="33"/>
  <c r="N341" i="33"/>
  <c r="N342" i="33"/>
  <c r="N343" i="33"/>
  <c r="N344" i="33"/>
  <c r="N345" i="33"/>
  <c r="N346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62" i="33"/>
  <c r="N363" i="33"/>
  <c r="N364" i="33"/>
  <c r="N365" i="33"/>
  <c r="N366" i="33"/>
  <c r="N367" i="33"/>
  <c r="N368" i="33"/>
  <c r="N369" i="33"/>
  <c r="N370" i="33"/>
  <c r="N371" i="33"/>
  <c r="N372" i="33"/>
  <c r="N373" i="33"/>
  <c r="N374" i="33"/>
  <c r="N375" i="33"/>
  <c r="N376" i="33"/>
  <c r="N377" i="33"/>
  <c r="N378" i="33"/>
  <c r="N379" i="33"/>
  <c r="N380" i="33"/>
  <c r="N381" i="33"/>
  <c r="N382" i="33"/>
  <c r="N383" i="33"/>
  <c r="N384" i="33"/>
  <c r="N385" i="33"/>
  <c r="N386" i="33"/>
  <c r="N387" i="33"/>
  <c r="N388" i="33"/>
  <c r="N36" i="33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2" i="11"/>
  <c r="A2" i="28"/>
  <c r="F12" i="4"/>
  <c r="F9" i="4"/>
  <c r="F3" i="4"/>
  <c r="F7" i="4"/>
  <c r="B3" i="11"/>
  <c r="B4" i="11"/>
  <c r="B5" i="11"/>
  <c r="B6" i="11"/>
  <c r="B7" i="11"/>
  <c r="B9" i="11"/>
  <c r="B10" i="11"/>
  <c r="B11" i="11"/>
  <c r="B12" i="11"/>
  <c r="B13" i="11"/>
  <c r="B14" i="11"/>
  <c r="B16" i="11"/>
  <c r="B17" i="11"/>
  <c r="B18" i="11"/>
  <c r="B19" i="11"/>
  <c r="B20" i="11"/>
  <c r="B21" i="11"/>
  <c r="B23" i="11"/>
  <c r="B24" i="11"/>
  <c r="B25" i="11"/>
  <c r="B26" i="11"/>
  <c r="B27" i="11"/>
  <c r="B28" i="11"/>
  <c r="B30" i="11"/>
  <c r="B31" i="11"/>
  <c r="B32" i="11"/>
  <c r="B33" i="11"/>
  <c r="B34" i="11"/>
  <c r="B35" i="11"/>
  <c r="B37" i="11"/>
  <c r="B38" i="11"/>
  <c r="B39" i="11"/>
  <c r="B40" i="11"/>
  <c r="B41" i="11"/>
  <c r="B42" i="11"/>
  <c r="B44" i="11"/>
  <c r="B45" i="11"/>
  <c r="B46" i="11"/>
  <c r="B47" i="11"/>
  <c r="B48" i="11"/>
  <c r="B49" i="11"/>
  <c r="B51" i="11"/>
  <c r="B52" i="11"/>
  <c r="B53" i="11"/>
  <c r="B54" i="11"/>
  <c r="B55" i="11"/>
  <c r="B56" i="11"/>
  <c r="B58" i="11"/>
  <c r="B59" i="11"/>
  <c r="B60" i="11"/>
  <c r="B61" i="11"/>
  <c r="B62" i="11"/>
  <c r="B63" i="11"/>
  <c r="B65" i="11"/>
  <c r="B66" i="11"/>
  <c r="B67" i="11"/>
  <c r="B68" i="11"/>
  <c r="B69" i="11"/>
  <c r="B70" i="11"/>
  <c r="B72" i="11"/>
  <c r="B73" i="11"/>
  <c r="B74" i="11"/>
  <c r="B75" i="11"/>
  <c r="B76" i="11"/>
  <c r="B77" i="11"/>
  <c r="B2" i="11"/>
  <c r="B132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33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2" i="9"/>
  <c r="E132" i="4"/>
  <c r="F132" i="4"/>
  <c r="G132" i="4"/>
  <c r="H132" i="4"/>
  <c r="I132" i="4"/>
  <c r="J132" i="4"/>
  <c r="K132" i="4"/>
  <c r="L132" i="4"/>
  <c r="D132" i="4"/>
  <c r="C132" i="9" s="1"/>
  <c r="D3" i="4"/>
  <c r="C3" i="9" s="1"/>
  <c r="D4" i="4"/>
  <c r="C4" i="9" s="1"/>
  <c r="D5" i="4"/>
  <c r="C5" i="9" s="1"/>
  <c r="D6" i="4"/>
  <c r="C6" i="9" s="1"/>
  <c r="D7" i="4"/>
  <c r="C7" i="9" s="1"/>
  <c r="D8" i="4"/>
  <c r="C8" i="9" s="1"/>
  <c r="D9" i="4"/>
  <c r="C9" i="9" s="1"/>
  <c r="D10" i="4"/>
  <c r="C10" i="9" s="1"/>
  <c r="D11" i="4"/>
  <c r="C11" i="9" s="1"/>
  <c r="D12" i="4"/>
  <c r="C12" i="9" s="1"/>
  <c r="D13" i="4"/>
  <c r="C13" i="9" s="1"/>
  <c r="D14" i="4"/>
  <c r="C14" i="9" s="1"/>
  <c r="D15" i="4"/>
  <c r="C15" i="9" s="1"/>
  <c r="D16" i="4"/>
  <c r="C16" i="9" s="1"/>
  <c r="D17" i="4"/>
  <c r="C17" i="9" s="1"/>
  <c r="D18" i="4"/>
  <c r="C18" i="9" s="1"/>
  <c r="D19" i="4"/>
  <c r="C19" i="9" s="1"/>
  <c r="D20" i="4"/>
  <c r="C20" i="9" s="1"/>
  <c r="D21" i="4"/>
  <c r="C21" i="9" s="1"/>
  <c r="D22" i="4"/>
  <c r="C22" i="9" s="1"/>
  <c r="D23" i="4"/>
  <c r="C23" i="9" s="1"/>
  <c r="D24" i="4"/>
  <c r="C24" i="9" s="1"/>
  <c r="D25" i="4"/>
  <c r="C25" i="9" s="1"/>
  <c r="D26" i="4"/>
  <c r="C26" i="9" s="1"/>
  <c r="D27" i="4"/>
  <c r="C27" i="9" s="1"/>
  <c r="D28" i="4"/>
  <c r="C28" i="9" s="1"/>
  <c r="D29" i="4"/>
  <c r="C29" i="9" s="1"/>
  <c r="D30" i="4"/>
  <c r="C30" i="9" s="1"/>
  <c r="D31" i="4"/>
  <c r="C31" i="9" s="1"/>
  <c r="D32" i="4"/>
  <c r="C32" i="9" s="1"/>
  <c r="D33" i="4"/>
  <c r="C33" i="9" s="1"/>
  <c r="D34" i="4"/>
  <c r="C34" i="9" s="1"/>
  <c r="D35" i="4"/>
  <c r="C35" i="9" s="1"/>
  <c r="D36" i="4"/>
  <c r="C36" i="9" s="1"/>
  <c r="D37" i="4"/>
  <c r="C37" i="9" s="1"/>
  <c r="D38" i="4"/>
  <c r="C38" i="9" s="1"/>
  <c r="D39" i="4"/>
  <c r="C39" i="9" s="1"/>
  <c r="D40" i="4"/>
  <c r="C40" i="9" s="1"/>
  <c r="D41" i="4"/>
  <c r="C41" i="9" s="1"/>
  <c r="D42" i="4"/>
  <c r="C42" i="9" s="1"/>
  <c r="D43" i="4"/>
  <c r="C43" i="9" s="1"/>
  <c r="D44" i="4"/>
  <c r="C44" i="9" s="1"/>
  <c r="D45" i="4"/>
  <c r="C45" i="9" s="1"/>
  <c r="D46" i="4"/>
  <c r="C46" i="9" s="1"/>
  <c r="D47" i="4"/>
  <c r="C47" i="9" s="1"/>
  <c r="D48" i="4"/>
  <c r="C48" i="9" s="1"/>
  <c r="D49" i="4"/>
  <c r="C49" i="9" s="1"/>
  <c r="D50" i="4"/>
  <c r="C50" i="9" s="1"/>
  <c r="D51" i="4"/>
  <c r="C51" i="9" s="1"/>
  <c r="D52" i="4"/>
  <c r="C52" i="9" s="1"/>
  <c r="D53" i="4"/>
  <c r="C53" i="9" s="1"/>
  <c r="D54" i="4"/>
  <c r="C54" i="9" s="1"/>
  <c r="D55" i="4"/>
  <c r="C55" i="9" s="1"/>
  <c r="D56" i="4"/>
  <c r="C56" i="9" s="1"/>
  <c r="D57" i="4"/>
  <c r="C57" i="9" s="1"/>
  <c r="D58" i="4"/>
  <c r="C58" i="9" s="1"/>
  <c r="D59" i="4"/>
  <c r="C59" i="9" s="1"/>
  <c r="D60" i="4"/>
  <c r="C60" i="9" s="1"/>
  <c r="D61" i="4"/>
  <c r="C61" i="9" s="1"/>
  <c r="D62" i="4"/>
  <c r="C62" i="9" s="1"/>
  <c r="D63" i="4"/>
  <c r="C63" i="9" s="1"/>
  <c r="D64" i="4"/>
  <c r="C64" i="9" s="1"/>
  <c r="D65" i="4"/>
  <c r="C65" i="9" s="1"/>
  <c r="D66" i="4"/>
  <c r="C66" i="9" s="1"/>
  <c r="D67" i="4"/>
  <c r="C67" i="9" s="1"/>
  <c r="D68" i="4"/>
  <c r="C68" i="9" s="1"/>
  <c r="D69" i="4"/>
  <c r="C69" i="9" s="1"/>
  <c r="D70" i="4"/>
  <c r="C70" i="9" s="1"/>
  <c r="D71" i="4"/>
  <c r="C71" i="9" s="1"/>
  <c r="D72" i="4"/>
  <c r="C72" i="9" s="1"/>
  <c r="D73" i="4"/>
  <c r="C73" i="9" s="1"/>
  <c r="D74" i="4"/>
  <c r="C74" i="9" s="1"/>
  <c r="D75" i="4"/>
  <c r="C75" i="9" s="1"/>
  <c r="D76" i="4"/>
  <c r="C76" i="9" s="1"/>
  <c r="D77" i="4"/>
  <c r="C77" i="9" s="1"/>
  <c r="D78" i="4"/>
  <c r="C78" i="9" s="1"/>
  <c r="D79" i="4"/>
  <c r="C79" i="9" s="1"/>
  <c r="D80" i="4"/>
  <c r="C80" i="9" s="1"/>
  <c r="D81" i="4"/>
  <c r="C81" i="9" s="1"/>
  <c r="D82" i="4"/>
  <c r="C82" i="9" s="1"/>
  <c r="D83" i="4"/>
  <c r="C83" i="9" s="1"/>
  <c r="D84" i="4"/>
  <c r="C84" i="9" s="1"/>
  <c r="D85" i="4"/>
  <c r="C85" i="9" s="1"/>
  <c r="D86" i="4"/>
  <c r="C86" i="9" s="1"/>
  <c r="D87" i="4"/>
  <c r="C87" i="9" s="1"/>
  <c r="D88" i="4"/>
  <c r="C88" i="9" s="1"/>
  <c r="D89" i="4"/>
  <c r="C89" i="9" s="1"/>
  <c r="D90" i="4"/>
  <c r="C90" i="9" s="1"/>
  <c r="D91" i="4"/>
  <c r="C91" i="9" s="1"/>
  <c r="D92" i="4"/>
  <c r="C92" i="9" s="1"/>
  <c r="D93" i="4"/>
  <c r="C93" i="9" s="1"/>
  <c r="D94" i="4"/>
  <c r="C94" i="9" s="1"/>
  <c r="D95" i="4"/>
  <c r="C95" i="9" s="1"/>
  <c r="D96" i="4"/>
  <c r="C96" i="9" s="1"/>
  <c r="D97" i="4"/>
  <c r="C97" i="9" s="1"/>
  <c r="D98" i="4"/>
  <c r="C98" i="9" s="1"/>
  <c r="D99" i="4"/>
  <c r="C99" i="9" s="1"/>
  <c r="D100" i="4"/>
  <c r="C100" i="9" s="1"/>
  <c r="D101" i="4"/>
  <c r="C101" i="9" s="1"/>
  <c r="D102" i="4"/>
  <c r="C102" i="9" s="1"/>
  <c r="D103" i="4"/>
  <c r="C103" i="9" s="1"/>
  <c r="D104" i="4"/>
  <c r="C104" i="9" s="1"/>
  <c r="D105" i="4"/>
  <c r="C105" i="9" s="1"/>
  <c r="D106" i="4"/>
  <c r="C106" i="9" s="1"/>
  <c r="D107" i="4"/>
  <c r="C107" i="9" s="1"/>
  <c r="D108" i="4"/>
  <c r="C108" i="9" s="1"/>
  <c r="D109" i="4"/>
  <c r="C109" i="9" s="1"/>
  <c r="D110" i="4"/>
  <c r="C110" i="9" s="1"/>
  <c r="D111" i="4"/>
  <c r="C111" i="9" s="1"/>
  <c r="D112" i="4"/>
  <c r="C112" i="9" s="1"/>
  <c r="D113" i="4"/>
  <c r="C113" i="9" s="1"/>
  <c r="D114" i="4"/>
  <c r="C114" i="9" s="1"/>
  <c r="D115" i="4"/>
  <c r="C115" i="9" s="1"/>
  <c r="D116" i="4"/>
  <c r="C116" i="9" s="1"/>
  <c r="D117" i="4"/>
  <c r="C117" i="9" s="1"/>
  <c r="D118" i="4"/>
  <c r="C118" i="9" s="1"/>
  <c r="D119" i="4"/>
  <c r="C119" i="9" s="1"/>
  <c r="D120" i="4"/>
  <c r="C120" i="9" s="1"/>
  <c r="D121" i="4"/>
  <c r="C121" i="9" s="1"/>
  <c r="D122" i="4"/>
  <c r="C122" i="9" s="1"/>
  <c r="D123" i="4"/>
  <c r="C123" i="9" s="1"/>
  <c r="D124" i="4"/>
  <c r="C124" i="9" s="1"/>
  <c r="D125" i="4"/>
  <c r="C125" i="9" s="1"/>
  <c r="D126" i="4"/>
  <c r="C126" i="9" s="1"/>
  <c r="D127" i="4"/>
  <c r="C127" i="9" s="1"/>
  <c r="D128" i="4"/>
  <c r="C128" i="9" s="1"/>
  <c r="D129" i="4"/>
  <c r="C129" i="9" s="1"/>
  <c r="D130" i="4"/>
  <c r="C130" i="9" s="1"/>
  <c r="D131" i="4"/>
  <c r="C131" i="9" s="1"/>
  <c r="D2" i="4"/>
  <c r="C2" i="9" s="1"/>
  <c r="E3" i="4"/>
  <c r="G3" i="4"/>
  <c r="H3" i="4"/>
  <c r="I3" i="4"/>
  <c r="J3" i="4"/>
  <c r="K3" i="4"/>
  <c r="L3" i="4"/>
  <c r="E4" i="4"/>
  <c r="F4" i="4"/>
  <c r="G4" i="4"/>
  <c r="H4" i="4"/>
  <c r="I4" i="4"/>
  <c r="J4" i="4"/>
  <c r="K4" i="4"/>
  <c r="L4" i="4"/>
  <c r="E5" i="4"/>
  <c r="F5" i="4"/>
  <c r="G5" i="4"/>
  <c r="H5" i="4"/>
  <c r="I5" i="4"/>
  <c r="J5" i="4"/>
  <c r="K5" i="4"/>
  <c r="L5" i="4"/>
  <c r="E6" i="4"/>
  <c r="F6" i="4"/>
  <c r="G6" i="4"/>
  <c r="H6" i="4"/>
  <c r="I6" i="4"/>
  <c r="J6" i="4"/>
  <c r="K6" i="4"/>
  <c r="L6" i="4"/>
  <c r="E7" i="4"/>
  <c r="G7" i="4"/>
  <c r="H7" i="4"/>
  <c r="I7" i="4"/>
  <c r="J7" i="4"/>
  <c r="K7" i="4"/>
  <c r="L7" i="4"/>
  <c r="E8" i="4"/>
  <c r="F8" i="4"/>
  <c r="G8" i="4"/>
  <c r="H8" i="4"/>
  <c r="I8" i="4"/>
  <c r="J8" i="4"/>
  <c r="K8" i="4"/>
  <c r="L8" i="4"/>
  <c r="E9" i="4"/>
  <c r="G9" i="4"/>
  <c r="H9" i="4"/>
  <c r="I9" i="4"/>
  <c r="J9" i="4"/>
  <c r="K9" i="4"/>
  <c r="L9" i="4"/>
  <c r="E10" i="4"/>
  <c r="F10" i="4"/>
  <c r="G10" i="4"/>
  <c r="H10" i="4"/>
  <c r="I10" i="4"/>
  <c r="J10" i="4"/>
  <c r="K10" i="4"/>
  <c r="L10" i="4"/>
  <c r="E11" i="4"/>
  <c r="F11" i="4"/>
  <c r="G11" i="4"/>
  <c r="H11" i="4"/>
  <c r="I11" i="4"/>
  <c r="J11" i="4"/>
  <c r="K11" i="4"/>
  <c r="L11" i="4"/>
  <c r="E12" i="4"/>
  <c r="G12" i="4"/>
  <c r="H12" i="4"/>
  <c r="I12" i="4"/>
  <c r="J12" i="4"/>
  <c r="K12" i="4"/>
  <c r="L12" i="4"/>
  <c r="E13" i="4"/>
  <c r="F13" i="4"/>
  <c r="G13" i="4"/>
  <c r="H13" i="4"/>
  <c r="I13" i="4"/>
  <c r="J13" i="4"/>
  <c r="K13" i="4"/>
  <c r="L13" i="4"/>
  <c r="E14" i="4"/>
  <c r="F14" i="4"/>
  <c r="G14" i="4"/>
  <c r="H14" i="4"/>
  <c r="I14" i="4"/>
  <c r="J14" i="4"/>
  <c r="K14" i="4"/>
  <c r="L14" i="4"/>
  <c r="E15" i="4"/>
  <c r="F15" i="4"/>
  <c r="G15" i="4"/>
  <c r="H15" i="4"/>
  <c r="I15" i="4"/>
  <c r="J15" i="4"/>
  <c r="K15" i="4"/>
  <c r="L15" i="4"/>
  <c r="E16" i="4"/>
  <c r="F16" i="4"/>
  <c r="G16" i="4"/>
  <c r="H16" i="4"/>
  <c r="I16" i="4"/>
  <c r="J16" i="4"/>
  <c r="K16" i="4"/>
  <c r="L16" i="4"/>
  <c r="E17" i="4"/>
  <c r="F17" i="4"/>
  <c r="G17" i="4"/>
  <c r="H17" i="4"/>
  <c r="I17" i="4"/>
  <c r="J17" i="4"/>
  <c r="K17" i="4"/>
  <c r="L17" i="4"/>
  <c r="E18" i="4"/>
  <c r="F18" i="4"/>
  <c r="G18" i="4"/>
  <c r="H18" i="4"/>
  <c r="I18" i="4"/>
  <c r="J18" i="4"/>
  <c r="K18" i="4"/>
  <c r="L18" i="4"/>
  <c r="E19" i="4"/>
  <c r="F19" i="4"/>
  <c r="G19" i="4"/>
  <c r="H19" i="4"/>
  <c r="I19" i="4"/>
  <c r="J19" i="4"/>
  <c r="K19" i="4"/>
  <c r="L19" i="4"/>
  <c r="E20" i="4"/>
  <c r="F20" i="4"/>
  <c r="G20" i="4"/>
  <c r="H20" i="4"/>
  <c r="I20" i="4"/>
  <c r="J20" i="4"/>
  <c r="K20" i="4"/>
  <c r="L20" i="4"/>
  <c r="E21" i="4"/>
  <c r="F21" i="4"/>
  <c r="G21" i="4"/>
  <c r="H21" i="4"/>
  <c r="I21" i="4"/>
  <c r="J21" i="4"/>
  <c r="K21" i="4"/>
  <c r="L21" i="4"/>
  <c r="E22" i="4"/>
  <c r="F22" i="4"/>
  <c r="G22" i="4"/>
  <c r="H22" i="4"/>
  <c r="I22" i="4"/>
  <c r="J22" i="4"/>
  <c r="K22" i="4"/>
  <c r="L22" i="4"/>
  <c r="E23" i="4"/>
  <c r="F23" i="4"/>
  <c r="G23" i="4"/>
  <c r="H23" i="4"/>
  <c r="I23" i="4"/>
  <c r="J23" i="4"/>
  <c r="K23" i="4"/>
  <c r="L23" i="4"/>
  <c r="E24" i="4"/>
  <c r="F24" i="4"/>
  <c r="G24" i="4"/>
  <c r="H24" i="4"/>
  <c r="I24" i="4"/>
  <c r="J24" i="4"/>
  <c r="K24" i="4"/>
  <c r="L24" i="4"/>
  <c r="E25" i="4"/>
  <c r="F25" i="4"/>
  <c r="G25" i="4"/>
  <c r="H25" i="4"/>
  <c r="I25" i="4"/>
  <c r="J25" i="4"/>
  <c r="K25" i="4"/>
  <c r="L25" i="4"/>
  <c r="E26" i="4"/>
  <c r="F26" i="4"/>
  <c r="G26" i="4"/>
  <c r="H26" i="4"/>
  <c r="I26" i="4"/>
  <c r="J26" i="4"/>
  <c r="K26" i="4"/>
  <c r="L26" i="4"/>
  <c r="E27" i="4"/>
  <c r="F27" i="4"/>
  <c r="G27" i="4"/>
  <c r="H27" i="4"/>
  <c r="I27" i="4"/>
  <c r="J27" i="4"/>
  <c r="K27" i="4"/>
  <c r="L27" i="4"/>
  <c r="E28" i="4"/>
  <c r="F28" i="4"/>
  <c r="G28" i="4"/>
  <c r="H28" i="4"/>
  <c r="I28" i="4"/>
  <c r="J28" i="4"/>
  <c r="K28" i="4"/>
  <c r="L28" i="4"/>
  <c r="E29" i="4"/>
  <c r="F29" i="4"/>
  <c r="G29" i="4"/>
  <c r="H29" i="4"/>
  <c r="I29" i="4"/>
  <c r="J29" i="4"/>
  <c r="K29" i="4"/>
  <c r="L29" i="4"/>
  <c r="E30" i="4"/>
  <c r="F30" i="4"/>
  <c r="G30" i="4"/>
  <c r="H30" i="4"/>
  <c r="I30" i="4"/>
  <c r="J30" i="4"/>
  <c r="K30" i="4"/>
  <c r="L30" i="4"/>
  <c r="E31" i="4"/>
  <c r="F31" i="4"/>
  <c r="G31" i="4"/>
  <c r="H31" i="4"/>
  <c r="I31" i="4"/>
  <c r="J31" i="4"/>
  <c r="K31" i="4"/>
  <c r="L31" i="4"/>
  <c r="E32" i="4"/>
  <c r="F32" i="4"/>
  <c r="G32" i="4"/>
  <c r="H32" i="4"/>
  <c r="I32" i="4"/>
  <c r="J32" i="4"/>
  <c r="K32" i="4"/>
  <c r="L32" i="4"/>
  <c r="E33" i="4"/>
  <c r="F33" i="4"/>
  <c r="G33" i="4"/>
  <c r="H33" i="4"/>
  <c r="I33" i="4"/>
  <c r="J33" i="4"/>
  <c r="K33" i="4"/>
  <c r="L33" i="4"/>
  <c r="E34" i="4"/>
  <c r="F34" i="4"/>
  <c r="G34" i="4"/>
  <c r="H34" i="4"/>
  <c r="I34" i="4"/>
  <c r="J34" i="4"/>
  <c r="K34" i="4"/>
  <c r="L34" i="4"/>
  <c r="E35" i="4"/>
  <c r="F35" i="4"/>
  <c r="G35" i="4"/>
  <c r="H35" i="4"/>
  <c r="I35" i="4"/>
  <c r="J35" i="4"/>
  <c r="K35" i="4"/>
  <c r="L35" i="4"/>
  <c r="E36" i="4"/>
  <c r="F36" i="4"/>
  <c r="G36" i="4"/>
  <c r="H36" i="4"/>
  <c r="I36" i="4"/>
  <c r="J36" i="4"/>
  <c r="K36" i="4"/>
  <c r="L36" i="4"/>
  <c r="E37" i="4"/>
  <c r="F37" i="4"/>
  <c r="G37" i="4"/>
  <c r="H37" i="4"/>
  <c r="I37" i="4"/>
  <c r="J37" i="4"/>
  <c r="K37" i="4"/>
  <c r="L37" i="4"/>
  <c r="E38" i="4"/>
  <c r="F38" i="4"/>
  <c r="G38" i="4"/>
  <c r="H38" i="4"/>
  <c r="I38" i="4"/>
  <c r="J38" i="4"/>
  <c r="K38" i="4"/>
  <c r="L38" i="4"/>
  <c r="E39" i="4"/>
  <c r="F39" i="4"/>
  <c r="G39" i="4"/>
  <c r="H39" i="4"/>
  <c r="I39" i="4"/>
  <c r="J39" i="4"/>
  <c r="K39" i="4"/>
  <c r="L39" i="4"/>
  <c r="E40" i="4"/>
  <c r="F40" i="4"/>
  <c r="G40" i="4"/>
  <c r="H40" i="4"/>
  <c r="I40" i="4"/>
  <c r="J40" i="4"/>
  <c r="K40" i="4"/>
  <c r="L40" i="4"/>
  <c r="E41" i="4"/>
  <c r="F41" i="4"/>
  <c r="G41" i="4"/>
  <c r="H41" i="4"/>
  <c r="I41" i="4"/>
  <c r="J41" i="4"/>
  <c r="K41" i="4"/>
  <c r="L41" i="4"/>
  <c r="E42" i="4"/>
  <c r="F42" i="4"/>
  <c r="G42" i="4"/>
  <c r="H42" i="4"/>
  <c r="I42" i="4"/>
  <c r="J42" i="4"/>
  <c r="K42" i="4"/>
  <c r="L42" i="4"/>
  <c r="E43" i="4"/>
  <c r="F43" i="4"/>
  <c r="G43" i="4"/>
  <c r="H43" i="4"/>
  <c r="I43" i="4"/>
  <c r="J43" i="4"/>
  <c r="K43" i="4"/>
  <c r="L43" i="4"/>
  <c r="E44" i="4"/>
  <c r="F44" i="4"/>
  <c r="G44" i="4"/>
  <c r="H44" i="4"/>
  <c r="I44" i="4"/>
  <c r="J44" i="4"/>
  <c r="K44" i="4"/>
  <c r="L44" i="4"/>
  <c r="E45" i="4"/>
  <c r="F45" i="4"/>
  <c r="G45" i="4"/>
  <c r="H45" i="4"/>
  <c r="I45" i="4"/>
  <c r="J45" i="4"/>
  <c r="K45" i="4"/>
  <c r="L45" i="4"/>
  <c r="E46" i="4"/>
  <c r="F46" i="4"/>
  <c r="G46" i="4"/>
  <c r="H46" i="4"/>
  <c r="I46" i="4"/>
  <c r="J46" i="4"/>
  <c r="K46" i="4"/>
  <c r="L46" i="4"/>
  <c r="E47" i="4"/>
  <c r="F47" i="4"/>
  <c r="G47" i="4"/>
  <c r="H47" i="4"/>
  <c r="I47" i="4"/>
  <c r="J47" i="4"/>
  <c r="K47" i="4"/>
  <c r="L47" i="4"/>
  <c r="E48" i="4"/>
  <c r="F48" i="4"/>
  <c r="G48" i="4"/>
  <c r="H48" i="4"/>
  <c r="I48" i="4"/>
  <c r="J48" i="4"/>
  <c r="K48" i="4"/>
  <c r="L48" i="4"/>
  <c r="E49" i="4"/>
  <c r="F49" i="4"/>
  <c r="G49" i="4"/>
  <c r="H49" i="4"/>
  <c r="I49" i="4"/>
  <c r="J49" i="4"/>
  <c r="K49" i="4"/>
  <c r="L49" i="4"/>
  <c r="E50" i="4"/>
  <c r="F50" i="4"/>
  <c r="G50" i="4"/>
  <c r="H50" i="4"/>
  <c r="I50" i="4"/>
  <c r="J50" i="4"/>
  <c r="K50" i="4"/>
  <c r="L50" i="4"/>
  <c r="E51" i="4"/>
  <c r="F51" i="4"/>
  <c r="G51" i="4"/>
  <c r="H51" i="4"/>
  <c r="I51" i="4"/>
  <c r="J51" i="4"/>
  <c r="K51" i="4"/>
  <c r="L51" i="4"/>
  <c r="E52" i="4"/>
  <c r="F52" i="4"/>
  <c r="G52" i="4"/>
  <c r="H52" i="4"/>
  <c r="I52" i="4"/>
  <c r="J52" i="4"/>
  <c r="K52" i="4"/>
  <c r="L52" i="4"/>
  <c r="E53" i="4"/>
  <c r="F53" i="4"/>
  <c r="G53" i="4"/>
  <c r="H53" i="4"/>
  <c r="I53" i="4"/>
  <c r="J53" i="4"/>
  <c r="K53" i="4"/>
  <c r="L53" i="4"/>
  <c r="E54" i="4"/>
  <c r="F54" i="4"/>
  <c r="G54" i="4"/>
  <c r="H54" i="4"/>
  <c r="I54" i="4"/>
  <c r="J54" i="4"/>
  <c r="K54" i="4"/>
  <c r="L54" i="4"/>
  <c r="E55" i="4"/>
  <c r="F55" i="4"/>
  <c r="G55" i="4"/>
  <c r="H55" i="4"/>
  <c r="I55" i="4"/>
  <c r="J55" i="4"/>
  <c r="K55" i="4"/>
  <c r="L55" i="4"/>
  <c r="E56" i="4"/>
  <c r="F56" i="4"/>
  <c r="G56" i="4"/>
  <c r="H56" i="4"/>
  <c r="I56" i="4"/>
  <c r="J56" i="4"/>
  <c r="K56" i="4"/>
  <c r="L56" i="4"/>
  <c r="E57" i="4"/>
  <c r="F57" i="4"/>
  <c r="G57" i="4"/>
  <c r="H57" i="4"/>
  <c r="I57" i="4"/>
  <c r="J57" i="4"/>
  <c r="K57" i="4"/>
  <c r="L57" i="4"/>
  <c r="E58" i="4"/>
  <c r="F58" i="4"/>
  <c r="G58" i="4"/>
  <c r="H58" i="4"/>
  <c r="I58" i="4"/>
  <c r="J58" i="4"/>
  <c r="K58" i="4"/>
  <c r="L58" i="4"/>
  <c r="E59" i="4"/>
  <c r="F59" i="4"/>
  <c r="G59" i="4"/>
  <c r="H59" i="4"/>
  <c r="I59" i="4"/>
  <c r="J59" i="4"/>
  <c r="K59" i="4"/>
  <c r="L59" i="4"/>
  <c r="E60" i="4"/>
  <c r="F60" i="4"/>
  <c r="G60" i="4"/>
  <c r="H60" i="4"/>
  <c r="I60" i="4"/>
  <c r="J60" i="4"/>
  <c r="K60" i="4"/>
  <c r="L60" i="4"/>
  <c r="E61" i="4"/>
  <c r="F61" i="4"/>
  <c r="G61" i="4"/>
  <c r="H61" i="4"/>
  <c r="I61" i="4"/>
  <c r="J61" i="4"/>
  <c r="K61" i="4"/>
  <c r="L61" i="4"/>
  <c r="E62" i="4"/>
  <c r="F62" i="4"/>
  <c r="G62" i="4"/>
  <c r="H62" i="4"/>
  <c r="I62" i="4"/>
  <c r="J62" i="4"/>
  <c r="K62" i="4"/>
  <c r="L62" i="4"/>
  <c r="E63" i="4"/>
  <c r="F63" i="4"/>
  <c r="G63" i="4"/>
  <c r="H63" i="4"/>
  <c r="I63" i="4"/>
  <c r="J63" i="4"/>
  <c r="K63" i="4"/>
  <c r="L63" i="4"/>
  <c r="E64" i="4"/>
  <c r="F64" i="4"/>
  <c r="G64" i="4"/>
  <c r="H64" i="4"/>
  <c r="I64" i="4"/>
  <c r="J64" i="4"/>
  <c r="K64" i="4"/>
  <c r="L64" i="4"/>
  <c r="E65" i="4"/>
  <c r="F65" i="4"/>
  <c r="G65" i="4"/>
  <c r="H65" i="4"/>
  <c r="I65" i="4"/>
  <c r="J65" i="4"/>
  <c r="K65" i="4"/>
  <c r="L65" i="4"/>
  <c r="E66" i="4"/>
  <c r="F66" i="4"/>
  <c r="G66" i="4"/>
  <c r="H66" i="4"/>
  <c r="I66" i="4"/>
  <c r="J66" i="4"/>
  <c r="K66" i="4"/>
  <c r="L66" i="4"/>
  <c r="E67" i="4"/>
  <c r="F67" i="4"/>
  <c r="G67" i="4"/>
  <c r="H67" i="4"/>
  <c r="I67" i="4"/>
  <c r="J67" i="4"/>
  <c r="K67" i="4"/>
  <c r="L67" i="4"/>
  <c r="E68" i="4"/>
  <c r="F68" i="4"/>
  <c r="G68" i="4"/>
  <c r="H68" i="4"/>
  <c r="I68" i="4"/>
  <c r="J68" i="4"/>
  <c r="K68" i="4"/>
  <c r="L68" i="4"/>
  <c r="E69" i="4"/>
  <c r="F69" i="4"/>
  <c r="G69" i="4"/>
  <c r="H69" i="4"/>
  <c r="I69" i="4"/>
  <c r="J69" i="4"/>
  <c r="K69" i="4"/>
  <c r="L69" i="4"/>
  <c r="E70" i="4"/>
  <c r="F70" i="4"/>
  <c r="G70" i="4"/>
  <c r="H70" i="4"/>
  <c r="I70" i="4"/>
  <c r="J70" i="4"/>
  <c r="K70" i="4"/>
  <c r="L70" i="4"/>
  <c r="E71" i="4"/>
  <c r="F71" i="4"/>
  <c r="G71" i="4"/>
  <c r="H71" i="4"/>
  <c r="I71" i="4"/>
  <c r="J71" i="4"/>
  <c r="K71" i="4"/>
  <c r="L71" i="4"/>
  <c r="E72" i="4"/>
  <c r="F72" i="4"/>
  <c r="G72" i="4"/>
  <c r="H72" i="4"/>
  <c r="I72" i="4"/>
  <c r="J72" i="4"/>
  <c r="K72" i="4"/>
  <c r="L72" i="4"/>
  <c r="E73" i="4"/>
  <c r="F73" i="4"/>
  <c r="G73" i="4"/>
  <c r="H73" i="4"/>
  <c r="I73" i="4"/>
  <c r="J73" i="4"/>
  <c r="K73" i="4"/>
  <c r="L73" i="4"/>
  <c r="E74" i="4"/>
  <c r="F74" i="4"/>
  <c r="G74" i="4"/>
  <c r="H74" i="4"/>
  <c r="I74" i="4"/>
  <c r="J74" i="4"/>
  <c r="K74" i="4"/>
  <c r="L74" i="4"/>
  <c r="E75" i="4"/>
  <c r="F75" i="4"/>
  <c r="G75" i="4"/>
  <c r="H75" i="4"/>
  <c r="I75" i="4"/>
  <c r="J75" i="4"/>
  <c r="K75" i="4"/>
  <c r="L75" i="4"/>
  <c r="E76" i="4"/>
  <c r="F76" i="4"/>
  <c r="G76" i="4"/>
  <c r="H76" i="4"/>
  <c r="I76" i="4"/>
  <c r="J76" i="4"/>
  <c r="K76" i="4"/>
  <c r="L76" i="4"/>
  <c r="E77" i="4"/>
  <c r="F77" i="4"/>
  <c r="G77" i="4"/>
  <c r="H77" i="4"/>
  <c r="I77" i="4"/>
  <c r="J77" i="4"/>
  <c r="K77" i="4"/>
  <c r="L77" i="4"/>
  <c r="E78" i="4"/>
  <c r="F78" i="4"/>
  <c r="G78" i="4"/>
  <c r="H78" i="4"/>
  <c r="I78" i="4"/>
  <c r="J78" i="4"/>
  <c r="K78" i="4"/>
  <c r="L78" i="4"/>
  <c r="E79" i="4"/>
  <c r="F79" i="4"/>
  <c r="G79" i="4"/>
  <c r="H79" i="4"/>
  <c r="I79" i="4"/>
  <c r="J79" i="4"/>
  <c r="K79" i="4"/>
  <c r="L79" i="4"/>
  <c r="E80" i="4"/>
  <c r="F80" i="4"/>
  <c r="G80" i="4"/>
  <c r="H80" i="4"/>
  <c r="I80" i="4"/>
  <c r="J80" i="4"/>
  <c r="K80" i="4"/>
  <c r="L80" i="4"/>
  <c r="E81" i="4"/>
  <c r="F81" i="4"/>
  <c r="G81" i="4"/>
  <c r="H81" i="4"/>
  <c r="I81" i="4"/>
  <c r="J81" i="4"/>
  <c r="K81" i="4"/>
  <c r="L81" i="4"/>
  <c r="E82" i="4"/>
  <c r="F82" i="4"/>
  <c r="G82" i="4"/>
  <c r="H82" i="4"/>
  <c r="I82" i="4"/>
  <c r="J82" i="4"/>
  <c r="K82" i="4"/>
  <c r="L82" i="4"/>
  <c r="E83" i="4"/>
  <c r="F83" i="4"/>
  <c r="G83" i="4"/>
  <c r="H83" i="4"/>
  <c r="I83" i="4"/>
  <c r="J83" i="4"/>
  <c r="K83" i="4"/>
  <c r="L83" i="4"/>
  <c r="E84" i="4"/>
  <c r="F84" i="4"/>
  <c r="G84" i="4"/>
  <c r="H84" i="4"/>
  <c r="I84" i="4"/>
  <c r="J84" i="4"/>
  <c r="K84" i="4"/>
  <c r="L84" i="4"/>
  <c r="E85" i="4"/>
  <c r="F85" i="4"/>
  <c r="G85" i="4"/>
  <c r="H85" i="4"/>
  <c r="I85" i="4"/>
  <c r="J85" i="4"/>
  <c r="K85" i="4"/>
  <c r="L85" i="4"/>
  <c r="E86" i="4"/>
  <c r="F86" i="4"/>
  <c r="G86" i="4"/>
  <c r="H86" i="4"/>
  <c r="I86" i="4"/>
  <c r="J86" i="4"/>
  <c r="K86" i="4"/>
  <c r="L86" i="4"/>
  <c r="E87" i="4"/>
  <c r="F87" i="4"/>
  <c r="G87" i="4"/>
  <c r="H87" i="4"/>
  <c r="I87" i="4"/>
  <c r="J87" i="4"/>
  <c r="K87" i="4"/>
  <c r="L87" i="4"/>
  <c r="E88" i="4"/>
  <c r="F88" i="4"/>
  <c r="G88" i="4"/>
  <c r="H88" i="4"/>
  <c r="I88" i="4"/>
  <c r="J88" i="4"/>
  <c r="K88" i="4"/>
  <c r="L88" i="4"/>
  <c r="E89" i="4"/>
  <c r="F89" i="4"/>
  <c r="G89" i="4"/>
  <c r="H89" i="4"/>
  <c r="I89" i="4"/>
  <c r="J89" i="4"/>
  <c r="K89" i="4"/>
  <c r="L89" i="4"/>
  <c r="E90" i="4"/>
  <c r="F90" i="4"/>
  <c r="G90" i="4"/>
  <c r="H90" i="4"/>
  <c r="I90" i="4"/>
  <c r="J90" i="4"/>
  <c r="K90" i="4"/>
  <c r="L90" i="4"/>
  <c r="E91" i="4"/>
  <c r="F91" i="4"/>
  <c r="G91" i="4"/>
  <c r="H91" i="4"/>
  <c r="I91" i="4"/>
  <c r="J91" i="4"/>
  <c r="K91" i="4"/>
  <c r="L91" i="4"/>
  <c r="E92" i="4"/>
  <c r="F92" i="4"/>
  <c r="G92" i="4"/>
  <c r="H92" i="4"/>
  <c r="I92" i="4"/>
  <c r="J92" i="4"/>
  <c r="K92" i="4"/>
  <c r="L92" i="4"/>
  <c r="E93" i="4"/>
  <c r="F93" i="4"/>
  <c r="G93" i="4"/>
  <c r="H93" i="4"/>
  <c r="I93" i="4"/>
  <c r="J93" i="4"/>
  <c r="K93" i="4"/>
  <c r="L93" i="4"/>
  <c r="E94" i="4"/>
  <c r="F94" i="4"/>
  <c r="G94" i="4"/>
  <c r="H94" i="4"/>
  <c r="I94" i="4"/>
  <c r="J94" i="4"/>
  <c r="K94" i="4"/>
  <c r="L94" i="4"/>
  <c r="E95" i="4"/>
  <c r="F95" i="4"/>
  <c r="G95" i="4"/>
  <c r="H95" i="4"/>
  <c r="I95" i="4"/>
  <c r="J95" i="4"/>
  <c r="K95" i="4"/>
  <c r="L95" i="4"/>
  <c r="E96" i="4"/>
  <c r="F96" i="4"/>
  <c r="G96" i="4"/>
  <c r="H96" i="4"/>
  <c r="I96" i="4"/>
  <c r="J96" i="4"/>
  <c r="K96" i="4"/>
  <c r="L96" i="4"/>
  <c r="E97" i="4"/>
  <c r="F97" i="4"/>
  <c r="G97" i="4"/>
  <c r="H97" i="4"/>
  <c r="I97" i="4"/>
  <c r="J97" i="4"/>
  <c r="K97" i="4"/>
  <c r="L97" i="4"/>
  <c r="E98" i="4"/>
  <c r="F98" i="4"/>
  <c r="G98" i="4"/>
  <c r="H98" i="4"/>
  <c r="I98" i="4"/>
  <c r="J98" i="4"/>
  <c r="K98" i="4"/>
  <c r="L98" i="4"/>
  <c r="E99" i="4"/>
  <c r="F99" i="4"/>
  <c r="G99" i="4"/>
  <c r="H99" i="4"/>
  <c r="I99" i="4"/>
  <c r="J99" i="4"/>
  <c r="K99" i="4"/>
  <c r="L99" i="4"/>
  <c r="E100" i="4"/>
  <c r="F100" i="4"/>
  <c r="G100" i="4"/>
  <c r="H100" i="4"/>
  <c r="I100" i="4"/>
  <c r="J100" i="4"/>
  <c r="K100" i="4"/>
  <c r="L100" i="4"/>
  <c r="E101" i="4"/>
  <c r="F101" i="4"/>
  <c r="G101" i="4"/>
  <c r="H101" i="4"/>
  <c r="I101" i="4"/>
  <c r="J101" i="4"/>
  <c r="K101" i="4"/>
  <c r="L101" i="4"/>
  <c r="E102" i="4"/>
  <c r="F102" i="4"/>
  <c r="G102" i="4"/>
  <c r="H102" i="4"/>
  <c r="I102" i="4"/>
  <c r="J102" i="4"/>
  <c r="K102" i="4"/>
  <c r="L102" i="4"/>
  <c r="E103" i="4"/>
  <c r="F103" i="4"/>
  <c r="G103" i="4"/>
  <c r="H103" i="4"/>
  <c r="I103" i="4"/>
  <c r="J103" i="4"/>
  <c r="K103" i="4"/>
  <c r="L103" i="4"/>
  <c r="E104" i="4"/>
  <c r="F104" i="4"/>
  <c r="G104" i="4"/>
  <c r="H104" i="4"/>
  <c r="I104" i="4"/>
  <c r="J104" i="4"/>
  <c r="K104" i="4"/>
  <c r="L104" i="4"/>
  <c r="E105" i="4"/>
  <c r="F105" i="4"/>
  <c r="G105" i="4"/>
  <c r="H105" i="4"/>
  <c r="I105" i="4"/>
  <c r="J105" i="4"/>
  <c r="K105" i="4"/>
  <c r="L105" i="4"/>
  <c r="E106" i="4"/>
  <c r="F106" i="4"/>
  <c r="G106" i="4"/>
  <c r="H106" i="4"/>
  <c r="I106" i="4"/>
  <c r="J106" i="4"/>
  <c r="K106" i="4"/>
  <c r="L106" i="4"/>
  <c r="E107" i="4"/>
  <c r="F107" i="4"/>
  <c r="G107" i="4"/>
  <c r="H107" i="4"/>
  <c r="I107" i="4"/>
  <c r="J107" i="4"/>
  <c r="K107" i="4"/>
  <c r="L107" i="4"/>
  <c r="E108" i="4"/>
  <c r="F108" i="4"/>
  <c r="G108" i="4"/>
  <c r="H108" i="4"/>
  <c r="I108" i="4"/>
  <c r="J108" i="4"/>
  <c r="K108" i="4"/>
  <c r="L108" i="4"/>
  <c r="E109" i="4"/>
  <c r="F109" i="4"/>
  <c r="G109" i="4"/>
  <c r="H109" i="4"/>
  <c r="I109" i="4"/>
  <c r="J109" i="4"/>
  <c r="K109" i="4"/>
  <c r="L109" i="4"/>
  <c r="E110" i="4"/>
  <c r="F110" i="4"/>
  <c r="G110" i="4"/>
  <c r="H110" i="4"/>
  <c r="I110" i="4"/>
  <c r="J110" i="4"/>
  <c r="K110" i="4"/>
  <c r="L110" i="4"/>
  <c r="E111" i="4"/>
  <c r="F111" i="4"/>
  <c r="G111" i="4"/>
  <c r="H111" i="4"/>
  <c r="I111" i="4"/>
  <c r="J111" i="4"/>
  <c r="K111" i="4"/>
  <c r="L111" i="4"/>
  <c r="E112" i="4"/>
  <c r="F112" i="4"/>
  <c r="G112" i="4"/>
  <c r="H112" i="4"/>
  <c r="I112" i="4"/>
  <c r="J112" i="4"/>
  <c r="K112" i="4"/>
  <c r="L112" i="4"/>
  <c r="E113" i="4"/>
  <c r="F113" i="4"/>
  <c r="G113" i="4"/>
  <c r="H113" i="4"/>
  <c r="I113" i="4"/>
  <c r="J113" i="4"/>
  <c r="K113" i="4"/>
  <c r="L113" i="4"/>
  <c r="E114" i="4"/>
  <c r="F114" i="4"/>
  <c r="G114" i="4"/>
  <c r="H114" i="4"/>
  <c r="I114" i="4"/>
  <c r="J114" i="4"/>
  <c r="K114" i="4"/>
  <c r="L114" i="4"/>
  <c r="E115" i="4"/>
  <c r="F115" i="4"/>
  <c r="G115" i="4"/>
  <c r="H115" i="4"/>
  <c r="I115" i="4"/>
  <c r="J115" i="4"/>
  <c r="K115" i="4"/>
  <c r="L115" i="4"/>
  <c r="E116" i="4"/>
  <c r="F116" i="4"/>
  <c r="G116" i="4"/>
  <c r="H116" i="4"/>
  <c r="I116" i="4"/>
  <c r="J116" i="4"/>
  <c r="K116" i="4"/>
  <c r="L116" i="4"/>
  <c r="E117" i="4"/>
  <c r="F117" i="4"/>
  <c r="G117" i="4"/>
  <c r="H117" i="4"/>
  <c r="I117" i="4"/>
  <c r="J117" i="4"/>
  <c r="K117" i="4"/>
  <c r="L117" i="4"/>
  <c r="E118" i="4"/>
  <c r="F118" i="4"/>
  <c r="G118" i="4"/>
  <c r="H118" i="4"/>
  <c r="I118" i="4"/>
  <c r="J118" i="4"/>
  <c r="K118" i="4"/>
  <c r="L118" i="4"/>
  <c r="E119" i="4"/>
  <c r="F119" i="4"/>
  <c r="G119" i="4"/>
  <c r="H119" i="4"/>
  <c r="I119" i="4"/>
  <c r="J119" i="4"/>
  <c r="K119" i="4"/>
  <c r="L119" i="4"/>
  <c r="E120" i="4"/>
  <c r="F120" i="4"/>
  <c r="G120" i="4"/>
  <c r="H120" i="4"/>
  <c r="I120" i="4"/>
  <c r="J120" i="4"/>
  <c r="K120" i="4"/>
  <c r="L120" i="4"/>
  <c r="E121" i="4"/>
  <c r="F121" i="4"/>
  <c r="G121" i="4"/>
  <c r="H121" i="4"/>
  <c r="I121" i="4"/>
  <c r="J121" i="4"/>
  <c r="K121" i="4"/>
  <c r="L121" i="4"/>
  <c r="E122" i="4"/>
  <c r="F122" i="4"/>
  <c r="G122" i="4"/>
  <c r="H122" i="4"/>
  <c r="I122" i="4"/>
  <c r="J122" i="4"/>
  <c r="K122" i="4"/>
  <c r="L122" i="4"/>
  <c r="E123" i="4"/>
  <c r="F123" i="4"/>
  <c r="G123" i="4"/>
  <c r="H123" i="4"/>
  <c r="I123" i="4"/>
  <c r="J123" i="4"/>
  <c r="K123" i="4"/>
  <c r="L123" i="4"/>
  <c r="E124" i="4"/>
  <c r="F124" i="4"/>
  <c r="G124" i="4"/>
  <c r="H124" i="4"/>
  <c r="I124" i="4"/>
  <c r="J124" i="4"/>
  <c r="K124" i="4"/>
  <c r="L124" i="4"/>
  <c r="E125" i="4"/>
  <c r="F125" i="4"/>
  <c r="G125" i="4"/>
  <c r="H125" i="4"/>
  <c r="I125" i="4"/>
  <c r="J125" i="4"/>
  <c r="K125" i="4"/>
  <c r="L125" i="4"/>
  <c r="E126" i="4"/>
  <c r="F126" i="4"/>
  <c r="G126" i="4"/>
  <c r="H126" i="4"/>
  <c r="I126" i="4"/>
  <c r="J126" i="4"/>
  <c r="K126" i="4"/>
  <c r="L126" i="4"/>
  <c r="E127" i="4"/>
  <c r="F127" i="4"/>
  <c r="G127" i="4"/>
  <c r="H127" i="4"/>
  <c r="I127" i="4"/>
  <c r="J127" i="4"/>
  <c r="K127" i="4"/>
  <c r="L127" i="4"/>
  <c r="E128" i="4"/>
  <c r="F128" i="4"/>
  <c r="G128" i="4"/>
  <c r="H128" i="4"/>
  <c r="I128" i="4"/>
  <c r="J128" i="4"/>
  <c r="K128" i="4"/>
  <c r="L128" i="4"/>
  <c r="E129" i="4"/>
  <c r="F129" i="4"/>
  <c r="G129" i="4"/>
  <c r="H129" i="4"/>
  <c r="I129" i="4"/>
  <c r="J129" i="4"/>
  <c r="K129" i="4"/>
  <c r="L129" i="4"/>
  <c r="E130" i="4"/>
  <c r="F130" i="4"/>
  <c r="G130" i="4"/>
  <c r="H130" i="4"/>
  <c r="I130" i="4"/>
  <c r="J130" i="4"/>
  <c r="K130" i="4"/>
  <c r="L130" i="4"/>
  <c r="E131" i="4"/>
  <c r="F131" i="4"/>
  <c r="G131" i="4"/>
  <c r="H131" i="4"/>
  <c r="I131" i="4"/>
  <c r="J131" i="4"/>
  <c r="K131" i="4"/>
  <c r="L131" i="4"/>
  <c r="L2" i="4"/>
  <c r="F2" i="4"/>
  <c r="G2" i="4"/>
  <c r="H2" i="4"/>
  <c r="I2" i="4"/>
  <c r="J2" i="4"/>
  <c r="K2" i="4"/>
  <c r="E2" i="4"/>
  <c r="Q29" i="4" l="1"/>
  <c r="Q83" i="4"/>
  <c r="Q116" i="4"/>
  <c r="Q56" i="4"/>
  <c r="Q35" i="4"/>
  <c r="Q84" i="4"/>
  <c r="Q66" i="4"/>
  <c r="Q128" i="4"/>
  <c r="Q70" i="4"/>
  <c r="Q3" i="4"/>
  <c r="Q97" i="4"/>
  <c r="Q121" i="4"/>
  <c r="Q132" i="4"/>
  <c r="Q130" i="4"/>
  <c r="Q33" i="4"/>
  <c r="Q37" i="4"/>
  <c r="Q53" i="4"/>
  <c r="Q78" i="4"/>
  <c r="Q31" i="4"/>
  <c r="Q57" i="4"/>
  <c r="Q107" i="4"/>
  <c r="Q23" i="4"/>
  <c r="Q67" i="4"/>
  <c r="Q135" i="4"/>
  <c r="Q47" i="4"/>
  <c r="Q17" i="4"/>
  <c r="Q15" i="4"/>
  <c r="Q27" i="4"/>
  <c r="Q55" i="4"/>
  <c r="Q82" i="4"/>
  <c r="Q110" i="4"/>
  <c r="Q102" i="4"/>
  <c r="Q62" i="4"/>
  <c r="Q12" i="4"/>
  <c r="Q7" i="4"/>
  <c r="Q13" i="4"/>
  <c r="Q139" i="4"/>
  <c r="Q76" i="4"/>
  <c r="Q87" i="4"/>
  <c r="Q21" i="4"/>
  <c r="Q136" i="4"/>
  <c r="Q36" i="4"/>
  <c r="Q138" i="4"/>
  <c r="Q40" i="4"/>
  <c r="Q51" i="4"/>
  <c r="Q64" i="4"/>
  <c r="Q94" i="4"/>
  <c r="Q75" i="4"/>
  <c r="Q50" i="4"/>
  <c r="Q98" i="4"/>
  <c r="Q77" i="4"/>
  <c r="Q18" i="4"/>
  <c r="Q65" i="4"/>
  <c r="Q4" i="4"/>
  <c r="Q10" i="4"/>
  <c r="Q30" i="4"/>
  <c r="Q113" i="4"/>
  <c r="Q20" i="4"/>
  <c r="Q22" i="4"/>
  <c r="Q38" i="4"/>
  <c r="Q9" i="4"/>
  <c r="Q43" i="4"/>
  <c r="Q52" i="4"/>
  <c r="Q100" i="4"/>
  <c r="Q112" i="4"/>
  <c r="Q25" i="4"/>
  <c r="Q42" i="4"/>
  <c r="Q79" i="4"/>
  <c r="Q85" i="4"/>
  <c r="Q91" i="4"/>
  <c r="Q101" i="4"/>
  <c r="Q115" i="4"/>
  <c r="Q5" i="4"/>
  <c r="Q58" i="4"/>
  <c r="Q90" i="4"/>
  <c r="Q96" i="4"/>
  <c r="Q11" i="4"/>
  <c r="Q26" i="4"/>
  <c r="Q59" i="4"/>
  <c r="Q88" i="4"/>
  <c r="Q114" i="4"/>
  <c r="Q127" i="4"/>
  <c r="Q137" i="4"/>
  <c r="Q134" i="4"/>
  <c r="Q60" i="4"/>
  <c r="Q131" i="4"/>
  <c r="Q28" i="4"/>
  <c r="Q92" i="4"/>
  <c r="Q61" i="4"/>
  <c r="Q68" i="4"/>
  <c r="Q108" i="4"/>
  <c r="Q6" i="4"/>
  <c r="Q16" i="4"/>
  <c r="Q72" i="4"/>
  <c r="Q118" i="4"/>
  <c r="Q123" i="4"/>
  <c r="Q8" i="4"/>
  <c r="Q93" i="4"/>
  <c r="Q74" i="4"/>
  <c r="Q109" i="4"/>
  <c r="Q104" i="4"/>
  <c r="Q19" i="4"/>
  <c r="Q41" i="4"/>
  <c r="Q46" i="4"/>
  <c r="Q69" i="4"/>
  <c r="Q80" i="4"/>
  <c r="Q105" i="4"/>
  <c r="Q81" i="4"/>
  <c r="Q2" i="4"/>
  <c r="Q86" i="4"/>
  <c r="Q103" i="4"/>
  <c r="Q95" i="4"/>
  <c r="Q99" i="4"/>
  <c r="Q106" i="4"/>
  <c r="Q71" i="4"/>
  <c r="Q133" i="4"/>
  <c r="Q24" i="4"/>
  <c r="Q89" i="4"/>
  <c r="Q111" i="4"/>
  <c r="Q14" i="4"/>
  <c r="Q49" i="4"/>
  <c r="Q119" i="4"/>
  <c r="Q126" i="4"/>
  <c r="Q122" i="4"/>
  <c r="N138" i="4"/>
  <c r="G157" i="9" s="1"/>
  <c r="N139" i="4"/>
  <c r="G158" i="9" s="1"/>
  <c r="N137" i="4"/>
  <c r="G156" i="9" s="1"/>
  <c r="N136" i="4"/>
  <c r="G155" i="9" s="1"/>
  <c r="N134" i="4"/>
  <c r="G153" i="9" s="1"/>
  <c r="N135" i="4"/>
  <c r="G154" i="9" s="1"/>
  <c r="N133" i="4"/>
  <c r="G152" i="9" s="1"/>
  <c r="N5" i="4"/>
  <c r="G5" i="9" s="1"/>
  <c r="N131" i="4"/>
  <c r="G131" i="9" s="1"/>
  <c r="N2" i="4"/>
  <c r="G2" i="9" s="1"/>
  <c r="N129" i="4"/>
  <c r="G129" i="9" s="1"/>
  <c r="N126" i="4"/>
  <c r="G126" i="9" s="1"/>
  <c r="N123" i="4"/>
  <c r="G123" i="9" s="1"/>
  <c r="N120" i="4"/>
  <c r="G120" i="9" s="1"/>
  <c r="N117" i="4"/>
  <c r="G117" i="9" s="1"/>
  <c r="N114" i="4"/>
  <c r="G114" i="9" s="1"/>
  <c r="N111" i="4"/>
  <c r="G111" i="9" s="1"/>
  <c r="N108" i="4"/>
  <c r="G108" i="9" s="1"/>
  <c r="N105" i="4"/>
  <c r="G105" i="9" s="1"/>
  <c r="N102" i="4"/>
  <c r="G102" i="9" s="1"/>
  <c r="N99" i="4"/>
  <c r="G99" i="9" s="1"/>
  <c r="N97" i="4"/>
  <c r="G97" i="9" s="1"/>
  <c r="N94" i="4"/>
  <c r="G94" i="9" s="1"/>
  <c r="N91" i="4"/>
  <c r="G91" i="9" s="1"/>
  <c r="N88" i="4"/>
  <c r="G88" i="9" s="1"/>
  <c r="N85" i="4"/>
  <c r="G85" i="9" s="1"/>
  <c r="N82" i="4"/>
  <c r="G82" i="9" s="1"/>
  <c r="N79" i="4"/>
  <c r="G79" i="9" s="1"/>
  <c r="N76" i="4"/>
  <c r="G76" i="9" s="1"/>
  <c r="N73" i="4"/>
  <c r="G73" i="9" s="1"/>
  <c r="N71" i="4"/>
  <c r="G71" i="9" s="1"/>
  <c r="N68" i="4"/>
  <c r="G68" i="9" s="1"/>
  <c r="N65" i="4"/>
  <c r="G65" i="9" s="1"/>
  <c r="N62" i="4"/>
  <c r="G62" i="9" s="1"/>
  <c r="N59" i="4"/>
  <c r="G59" i="9" s="1"/>
  <c r="N56" i="4"/>
  <c r="G56" i="9" s="1"/>
  <c r="N53" i="4"/>
  <c r="G53" i="9" s="1"/>
  <c r="N50" i="4"/>
  <c r="G50" i="9" s="1"/>
  <c r="N47" i="4"/>
  <c r="G47" i="9" s="1"/>
  <c r="N44" i="4"/>
  <c r="G44" i="9" s="1"/>
  <c r="N41" i="4"/>
  <c r="G41" i="9" s="1"/>
  <c r="N39" i="4"/>
  <c r="G39" i="9" s="1"/>
  <c r="N37" i="4"/>
  <c r="G37" i="9" s="1"/>
  <c r="N34" i="4"/>
  <c r="G34" i="9" s="1"/>
  <c r="N31" i="4"/>
  <c r="G31" i="9" s="1"/>
  <c r="N28" i="4"/>
  <c r="G28" i="9" s="1"/>
  <c r="N26" i="4"/>
  <c r="G26" i="9" s="1"/>
  <c r="N23" i="4"/>
  <c r="G23" i="9" s="1"/>
  <c r="N20" i="4"/>
  <c r="G20" i="9" s="1"/>
  <c r="N17" i="4"/>
  <c r="G17" i="9" s="1"/>
  <c r="N14" i="4"/>
  <c r="G14" i="9" s="1"/>
  <c r="N11" i="4"/>
  <c r="G11" i="9" s="1"/>
  <c r="N6" i="4"/>
  <c r="G6" i="9" s="1"/>
  <c r="N3" i="4"/>
  <c r="G3" i="9" s="1"/>
  <c r="N132" i="4"/>
  <c r="G132" i="9" s="1"/>
  <c r="N130" i="4"/>
  <c r="G130" i="9" s="1"/>
  <c r="N127" i="4"/>
  <c r="G127" i="9" s="1"/>
  <c r="N124" i="4"/>
  <c r="G124" i="9" s="1"/>
  <c r="N121" i="4"/>
  <c r="G121" i="9" s="1"/>
  <c r="N118" i="4"/>
  <c r="G118" i="9" s="1"/>
  <c r="N115" i="4"/>
  <c r="G115" i="9" s="1"/>
  <c r="N112" i="4"/>
  <c r="N109" i="4"/>
  <c r="G109" i="9" s="1"/>
  <c r="N106" i="4"/>
  <c r="G106" i="9" s="1"/>
  <c r="N103" i="4"/>
  <c r="G103" i="9" s="1"/>
  <c r="N100" i="4"/>
  <c r="G100" i="9" s="1"/>
  <c r="N95" i="4"/>
  <c r="G95" i="9" s="1"/>
  <c r="N92" i="4"/>
  <c r="G92" i="9" s="1"/>
  <c r="N89" i="4"/>
  <c r="G89" i="9" s="1"/>
  <c r="N86" i="4"/>
  <c r="G86" i="9" s="1"/>
  <c r="N83" i="4"/>
  <c r="G83" i="9" s="1"/>
  <c r="N80" i="4"/>
  <c r="G80" i="9" s="1"/>
  <c r="N77" i="4"/>
  <c r="G77" i="9" s="1"/>
  <c r="N74" i="4"/>
  <c r="G74" i="9" s="1"/>
  <c r="N69" i="4"/>
  <c r="G69" i="9" s="1"/>
  <c r="N66" i="4"/>
  <c r="G66" i="9" s="1"/>
  <c r="N63" i="4"/>
  <c r="G63" i="9" s="1"/>
  <c r="N60" i="4"/>
  <c r="G60" i="9" s="1"/>
  <c r="N57" i="4"/>
  <c r="G57" i="9" s="1"/>
  <c r="N54" i="4"/>
  <c r="G54" i="9" s="1"/>
  <c r="N51" i="4"/>
  <c r="G51" i="9" s="1"/>
  <c r="N48" i="4"/>
  <c r="G48" i="9" s="1"/>
  <c r="N45" i="4"/>
  <c r="G45" i="9" s="1"/>
  <c r="N42" i="4"/>
  <c r="G42" i="9" s="1"/>
  <c r="N38" i="4"/>
  <c r="G38" i="9" s="1"/>
  <c r="N35" i="4"/>
  <c r="G35" i="9" s="1"/>
  <c r="N32" i="4"/>
  <c r="G32" i="9" s="1"/>
  <c r="N29" i="4"/>
  <c r="G29" i="9" s="1"/>
  <c r="N27" i="4"/>
  <c r="G27" i="9" s="1"/>
  <c r="N24" i="4"/>
  <c r="G24" i="9" s="1"/>
  <c r="N21" i="4"/>
  <c r="G21" i="9" s="1"/>
  <c r="N18" i="4"/>
  <c r="G18" i="9" s="1"/>
  <c r="N15" i="4"/>
  <c r="G15" i="9" s="1"/>
  <c r="N12" i="4"/>
  <c r="G12" i="9" s="1"/>
  <c r="N9" i="4"/>
  <c r="G9" i="9" s="1"/>
  <c r="N7" i="4"/>
  <c r="G7" i="9" s="1"/>
  <c r="N4" i="4"/>
  <c r="G4" i="9" s="1"/>
  <c r="N128" i="4"/>
  <c r="G128" i="9" s="1"/>
  <c r="N125" i="4"/>
  <c r="G125" i="9" s="1"/>
  <c r="N122" i="4"/>
  <c r="G122" i="9" s="1"/>
  <c r="N119" i="4"/>
  <c r="G119" i="9" s="1"/>
  <c r="N116" i="4"/>
  <c r="G116" i="9" s="1"/>
  <c r="N113" i="4"/>
  <c r="G113" i="9" s="1"/>
  <c r="N110" i="4"/>
  <c r="G110" i="9" s="1"/>
  <c r="N107" i="4"/>
  <c r="G107" i="9" s="1"/>
  <c r="N104" i="4"/>
  <c r="G104" i="9" s="1"/>
  <c r="N101" i="4"/>
  <c r="G101" i="9" s="1"/>
  <c r="N98" i="4"/>
  <c r="G98" i="9" s="1"/>
  <c r="N96" i="4"/>
  <c r="G96" i="9" s="1"/>
  <c r="N93" i="4"/>
  <c r="G93" i="9" s="1"/>
  <c r="N90" i="4"/>
  <c r="G90" i="9" s="1"/>
  <c r="N87" i="4"/>
  <c r="G87" i="9" s="1"/>
  <c r="N84" i="4"/>
  <c r="G84" i="9" s="1"/>
  <c r="N81" i="4"/>
  <c r="G81" i="9" s="1"/>
  <c r="N78" i="4"/>
  <c r="G78" i="9" s="1"/>
  <c r="N75" i="4"/>
  <c r="G75" i="9" s="1"/>
  <c r="N72" i="4"/>
  <c r="G72" i="9" s="1"/>
  <c r="N70" i="4"/>
  <c r="G70" i="9" s="1"/>
  <c r="N67" i="4"/>
  <c r="G67" i="9" s="1"/>
  <c r="N64" i="4"/>
  <c r="G64" i="9" s="1"/>
  <c r="N61" i="4"/>
  <c r="G61" i="9" s="1"/>
  <c r="N58" i="4"/>
  <c r="G58" i="9" s="1"/>
  <c r="N55" i="4"/>
  <c r="G55" i="9" s="1"/>
  <c r="N52" i="4"/>
  <c r="G52" i="9" s="1"/>
  <c r="N49" i="4"/>
  <c r="G49" i="9" s="1"/>
  <c r="N46" i="4"/>
  <c r="G46" i="9" s="1"/>
  <c r="N43" i="4"/>
  <c r="G43" i="9" s="1"/>
  <c r="N40" i="4"/>
  <c r="G40" i="9" s="1"/>
  <c r="N36" i="4"/>
  <c r="G36" i="9" s="1"/>
  <c r="N33" i="4"/>
  <c r="G33" i="9" s="1"/>
  <c r="N30" i="4"/>
  <c r="G30" i="9" s="1"/>
  <c r="N25" i="4"/>
  <c r="G25" i="9" s="1"/>
  <c r="N22" i="4"/>
  <c r="G22" i="9" s="1"/>
  <c r="N19" i="4"/>
  <c r="G19" i="9" s="1"/>
  <c r="N16" i="4"/>
  <c r="G16" i="9" s="1"/>
  <c r="N13" i="4"/>
  <c r="G13" i="9" s="1"/>
  <c r="N10" i="4"/>
  <c r="G10" i="9" s="1"/>
  <c r="N8" i="4"/>
  <c r="G8" i="9" s="1"/>
  <c r="I2" i="5"/>
  <c r="G2" i="5"/>
  <c r="C2" i="5"/>
  <c r="H2" i="5"/>
  <c r="F2" i="5"/>
  <c r="D2" i="5"/>
  <c r="K2" i="5" s="1"/>
  <c r="J2" i="5"/>
  <c r="I20" i="5"/>
  <c r="G20" i="5"/>
  <c r="E2" i="5"/>
  <c r="J20" i="5"/>
  <c r="F19" i="5"/>
  <c r="J17" i="5"/>
  <c r="F16" i="5"/>
  <c r="J15" i="5"/>
  <c r="F14" i="5"/>
  <c r="F12" i="5"/>
  <c r="J11" i="5"/>
  <c r="J9" i="5"/>
  <c r="F8" i="5"/>
  <c r="J5" i="5"/>
  <c r="J4" i="5"/>
  <c r="I17" i="5"/>
  <c r="E16" i="5"/>
  <c r="I15" i="5"/>
  <c r="E14" i="5"/>
  <c r="E12" i="5"/>
  <c r="I11" i="5"/>
  <c r="I9" i="5"/>
  <c r="E8" i="5"/>
  <c r="I5" i="5"/>
  <c r="I4" i="5"/>
  <c r="E19" i="5"/>
  <c r="H20" i="5"/>
  <c r="H17" i="5"/>
  <c r="H15" i="5"/>
  <c r="D14" i="5"/>
  <c r="K14" i="5" s="1"/>
  <c r="H11" i="5"/>
  <c r="H9" i="5"/>
  <c r="H5" i="5"/>
  <c r="H4" i="5"/>
  <c r="C16" i="5"/>
  <c r="G15" i="5"/>
  <c r="C14" i="5"/>
  <c r="C12" i="5"/>
  <c r="G11" i="5"/>
  <c r="G9" i="5"/>
  <c r="C8" i="5"/>
  <c r="G5" i="5"/>
  <c r="G4" i="5"/>
  <c r="F20" i="5"/>
  <c r="J18" i="5"/>
  <c r="F17" i="5"/>
  <c r="F15" i="5"/>
  <c r="J13" i="5"/>
  <c r="F11" i="5"/>
  <c r="J10" i="5"/>
  <c r="F9" i="5"/>
  <c r="J7" i="5"/>
  <c r="J6" i="5"/>
  <c r="F5" i="5"/>
  <c r="F4" i="5"/>
  <c r="J3" i="5"/>
  <c r="G17" i="5"/>
  <c r="E20" i="5"/>
  <c r="I18" i="5"/>
  <c r="E17" i="5"/>
  <c r="E15" i="5"/>
  <c r="I13" i="5"/>
  <c r="E11" i="5"/>
  <c r="I10" i="5"/>
  <c r="E9" i="5"/>
  <c r="I7" i="5"/>
  <c r="I6" i="5"/>
  <c r="E5" i="5"/>
  <c r="E4" i="5"/>
  <c r="I3" i="5"/>
  <c r="C19" i="5"/>
  <c r="H18" i="5"/>
  <c r="D17" i="5"/>
  <c r="K17" i="5" s="1"/>
  <c r="H13" i="5"/>
  <c r="H10" i="5"/>
  <c r="D9" i="5"/>
  <c r="K9" i="5" s="1"/>
  <c r="H7" i="5"/>
  <c r="H6" i="5"/>
  <c r="H3" i="5"/>
  <c r="C20" i="5"/>
  <c r="G18" i="5"/>
  <c r="C17" i="5"/>
  <c r="C15" i="5"/>
  <c r="G13" i="5"/>
  <c r="C11" i="5"/>
  <c r="G10" i="5"/>
  <c r="C9" i="5"/>
  <c r="G7" i="5"/>
  <c r="G6" i="5"/>
  <c r="C5" i="5"/>
  <c r="C4" i="5"/>
  <c r="G3" i="5"/>
  <c r="J19" i="5"/>
  <c r="F18" i="5"/>
  <c r="J16" i="5"/>
  <c r="J14" i="5"/>
  <c r="F13" i="5"/>
  <c r="J12" i="5"/>
  <c r="F10" i="5"/>
  <c r="J8" i="5"/>
  <c r="F7" i="5"/>
  <c r="F6" i="5"/>
  <c r="F3" i="5"/>
  <c r="I19" i="5"/>
  <c r="E18" i="5"/>
  <c r="I16" i="5"/>
  <c r="I14" i="5"/>
  <c r="E13" i="5"/>
  <c r="I12" i="5"/>
  <c r="E10" i="5"/>
  <c r="I8" i="5"/>
  <c r="E7" i="5"/>
  <c r="E6" i="5"/>
  <c r="E3" i="5"/>
  <c r="H19" i="5"/>
  <c r="D18" i="5"/>
  <c r="K18" i="5" s="1"/>
  <c r="H16" i="5"/>
  <c r="H14" i="5"/>
  <c r="H12" i="5"/>
  <c r="H8" i="5"/>
  <c r="D6" i="5"/>
  <c r="K6" i="5" s="1"/>
  <c r="D3" i="5"/>
  <c r="K3" i="5" s="1"/>
  <c r="G19" i="5"/>
  <c r="C18" i="5"/>
  <c r="G16" i="5"/>
  <c r="G14" i="5"/>
  <c r="C13" i="5"/>
  <c r="G12" i="5"/>
  <c r="C10" i="5"/>
  <c r="G8" i="5"/>
  <c r="C7" i="5"/>
  <c r="C6" i="5"/>
  <c r="C3" i="5"/>
  <c r="D19" i="5"/>
  <c r="K19" i="5" s="1"/>
  <c r="D16" i="5"/>
  <c r="K16" i="5" s="1"/>
  <c r="D13" i="5"/>
  <c r="K13" i="5" s="1"/>
  <c r="D10" i="5"/>
  <c r="K10" i="5" s="1"/>
  <c r="D7" i="5"/>
  <c r="K7" i="5" s="1"/>
  <c r="D4" i="5"/>
  <c r="K4" i="5" s="1"/>
  <c r="D20" i="5"/>
  <c r="K20" i="5" s="1"/>
  <c r="D11" i="5"/>
  <c r="K11" i="5" s="1"/>
  <c r="D8" i="5"/>
  <c r="K8" i="5" s="1"/>
  <c r="D5" i="5"/>
  <c r="K5" i="5" s="1"/>
  <c r="D15" i="5"/>
  <c r="K15" i="5" s="1"/>
  <c r="D12" i="5"/>
  <c r="K12" i="5" s="1"/>
  <c r="P112" i="4" l="1"/>
  <c r="G112" i="9"/>
  <c r="I112" i="9" s="1"/>
  <c r="P87" i="4"/>
  <c r="P137" i="4"/>
  <c r="P9" i="4"/>
  <c r="P11" i="4"/>
  <c r="P12" i="4"/>
  <c r="P133" i="4"/>
  <c r="P139" i="4"/>
  <c r="P15" i="4"/>
  <c r="P46" i="4"/>
  <c r="P45" i="4"/>
  <c r="P82" i="4"/>
  <c r="P48" i="4"/>
  <c r="P118" i="4"/>
  <c r="P51" i="4"/>
  <c r="P14" i="4"/>
  <c r="P84" i="4"/>
  <c r="P120" i="4"/>
  <c r="P43" i="4"/>
  <c r="P79" i="4"/>
  <c r="P115" i="4"/>
  <c r="P4" i="4"/>
  <c r="P18" i="4"/>
  <c r="P54" i="4"/>
  <c r="P90" i="4"/>
  <c r="P126" i="4"/>
  <c r="P20" i="4"/>
  <c r="P26" i="4"/>
  <c r="P29" i="4"/>
  <c r="P13" i="4"/>
  <c r="P49" i="4"/>
  <c r="P85" i="4"/>
  <c r="P121" i="4"/>
  <c r="P123" i="4"/>
  <c r="P7" i="4"/>
  <c r="P21" i="4"/>
  <c r="P57" i="4"/>
  <c r="P93" i="4"/>
  <c r="P129" i="4"/>
  <c r="P68" i="4"/>
  <c r="P47" i="4"/>
  <c r="P136" i="4"/>
  <c r="P35" i="4"/>
  <c r="P16" i="4"/>
  <c r="P52" i="4"/>
  <c r="P88" i="4"/>
  <c r="P124" i="4"/>
  <c r="P134" i="4"/>
  <c r="P89" i="4"/>
  <c r="P24" i="4"/>
  <c r="P60" i="4"/>
  <c r="P96" i="4"/>
  <c r="P44" i="4"/>
  <c r="P107" i="4"/>
  <c r="P53" i="4"/>
  <c r="P6" i="4"/>
  <c r="P41" i="4"/>
  <c r="P19" i="4"/>
  <c r="P55" i="4"/>
  <c r="P91" i="4"/>
  <c r="P127" i="4"/>
  <c r="P132" i="4"/>
  <c r="P104" i="4"/>
  <c r="P27" i="4"/>
  <c r="P63" i="4"/>
  <c r="P99" i="4"/>
  <c r="P65" i="4"/>
  <c r="P122" i="4"/>
  <c r="P59" i="4"/>
  <c r="P3" i="4"/>
  <c r="P50" i="4"/>
  <c r="P5" i="4"/>
  <c r="P22" i="4"/>
  <c r="P58" i="4"/>
  <c r="P94" i="4"/>
  <c r="P130" i="4"/>
  <c r="P10" i="4"/>
  <c r="P30" i="4"/>
  <c r="P66" i="4"/>
  <c r="P102" i="4"/>
  <c r="P80" i="4"/>
  <c r="P71" i="4"/>
  <c r="P17" i="4"/>
  <c r="P56" i="4"/>
  <c r="P2" i="4"/>
  <c r="P25" i="4"/>
  <c r="P61" i="4"/>
  <c r="P97" i="4"/>
  <c r="P62" i="4"/>
  <c r="P86" i="4"/>
  <c r="P33" i="4"/>
  <c r="P69" i="4"/>
  <c r="P105" i="4"/>
  <c r="P92" i="4"/>
  <c r="P116" i="4"/>
  <c r="P23" i="4"/>
  <c r="P77" i="4"/>
  <c r="P135" i="4"/>
  <c r="P98" i="4"/>
  <c r="P28" i="4"/>
  <c r="P64" i="4"/>
  <c r="P100" i="4"/>
  <c r="P101" i="4"/>
  <c r="P131" i="4"/>
  <c r="P36" i="4"/>
  <c r="P72" i="4"/>
  <c r="P108" i="4"/>
  <c r="P32" i="4"/>
  <c r="P119" i="4"/>
  <c r="P8" i="4"/>
  <c r="P113" i="4"/>
  <c r="P31" i="4"/>
  <c r="P67" i="4"/>
  <c r="P103" i="4"/>
  <c r="P128" i="4"/>
  <c r="P39" i="4"/>
  <c r="P75" i="4"/>
  <c r="P111" i="4"/>
  <c r="P38" i="4"/>
  <c r="P74" i="4"/>
  <c r="P34" i="4"/>
  <c r="P70" i="4"/>
  <c r="P106" i="4"/>
  <c r="P42" i="4"/>
  <c r="P78" i="4"/>
  <c r="P114" i="4"/>
  <c r="P83" i="4"/>
  <c r="P95" i="4"/>
  <c r="P37" i="4"/>
  <c r="P73" i="4"/>
  <c r="P109" i="4"/>
  <c r="P138" i="4"/>
  <c r="P81" i="4"/>
  <c r="P117" i="4"/>
  <c r="P110" i="4"/>
  <c r="P125" i="4"/>
  <c r="P40" i="4"/>
  <c r="P76" i="4"/>
  <c r="O25" i="4"/>
  <c r="M25" i="4"/>
  <c r="O64" i="4"/>
  <c r="M64" i="4"/>
  <c r="O98" i="4"/>
  <c r="M98" i="4"/>
  <c r="O7" i="4"/>
  <c r="M7" i="4"/>
  <c r="O42" i="4"/>
  <c r="M42" i="4"/>
  <c r="H42" i="9" s="1"/>
  <c r="O80" i="4"/>
  <c r="M80" i="4"/>
  <c r="O118" i="4"/>
  <c r="M118" i="4"/>
  <c r="O23" i="4"/>
  <c r="M23" i="4"/>
  <c r="O56" i="4"/>
  <c r="M56" i="4"/>
  <c r="O91" i="4"/>
  <c r="M91" i="4"/>
  <c r="O126" i="4"/>
  <c r="M126" i="4"/>
  <c r="H126" i="9" s="1"/>
  <c r="O30" i="4"/>
  <c r="M30" i="4"/>
  <c r="O67" i="4"/>
  <c r="M67" i="4"/>
  <c r="O101" i="4"/>
  <c r="M101" i="4"/>
  <c r="O9" i="4"/>
  <c r="M9" i="4"/>
  <c r="O45" i="4"/>
  <c r="M45" i="4"/>
  <c r="O83" i="4"/>
  <c r="M83" i="4"/>
  <c r="I83" i="9" s="1"/>
  <c r="O121" i="4"/>
  <c r="M121" i="4"/>
  <c r="O26" i="4"/>
  <c r="M26" i="4"/>
  <c r="O59" i="4"/>
  <c r="M59" i="4"/>
  <c r="O94" i="4"/>
  <c r="M94" i="4"/>
  <c r="O129" i="4"/>
  <c r="M129" i="4"/>
  <c r="O33" i="4"/>
  <c r="M33" i="4"/>
  <c r="O70" i="4"/>
  <c r="M70" i="4"/>
  <c r="O104" i="4"/>
  <c r="M104" i="4"/>
  <c r="O12" i="4"/>
  <c r="M12" i="4"/>
  <c r="O48" i="4"/>
  <c r="M48" i="4"/>
  <c r="O86" i="4"/>
  <c r="M86" i="4"/>
  <c r="O124" i="4"/>
  <c r="M124" i="4"/>
  <c r="I124" i="9" s="1"/>
  <c r="O28" i="4"/>
  <c r="M28" i="4"/>
  <c r="O62" i="4"/>
  <c r="M62" i="4"/>
  <c r="O97" i="4"/>
  <c r="M97" i="4"/>
  <c r="O2" i="4"/>
  <c r="M2" i="4"/>
  <c r="O36" i="4"/>
  <c r="M36" i="4"/>
  <c r="O72" i="4"/>
  <c r="M72" i="4"/>
  <c r="I72" i="9" s="1"/>
  <c r="O107" i="4"/>
  <c r="M107" i="4"/>
  <c r="O15" i="4"/>
  <c r="M15" i="4"/>
  <c r="O51" i="4"/>
  <c r="M51" i="4"/>
  <c r="O89" i="4"/>
  <c r="M89" i="4"/>
  <c r="O127" i="4"/>
  <c r="M127" i="4"/>
  <c r="O31" i="4"/>
  <c r="M31" i="4"/>
  <c r="H31" i="9" s="1"/>
  <c r="O65" i="4"/>
  <c r="M65" i="4"/>
  <c r="O99" i="4"/>
  <c r="M99" i="4"/>
  <c r="O131" i="4"/>
  <c r="M131" i="4"/>
  <c r="O40" i="4"/>
  <c r="M40" i="4"/>
  <c r="O75" i="4"/>
  <c r="M75" i="4"/>
  <c r="O110" i="4"/>
  <c r="M110" i="4"/>
  <c r="H110" i="9" s="1"/>
  <c r="O18" i="4"/>
  <c r="M18" i="4"/>
  <c r="O54" i="4"/>
  <c r="M54" i="4"/>
  <c r="O92" i="4"/>
  <c r="M92" i="4"/>
  <c r="O130" i="4"/>
  <c r="M130" i="4"/>
  <c r="O34" i="4"/>
  <c r="M34" i="4"/>
  <c r="O68" i="4"/>
  <c r="M68" i="4"/>
  <c r="H68" i="9" s="1"/>
  <c r="O102" i="4"/>
  <c r="M102" i="4"/>
  <c r="O5" i="4"/>
  <c r="M5" i="4"/>
  <c r="O43" i="4"/>
  <c r="M43" i="4"/>
  <c r="O78" i="4"/>
  <c r="M78" i="4"/>
  <c r="O113" i="4"/>
  <c r="M113" i="4"/>
  <c r="O21" i="4"/>
  <c r="M21" i="4"/>
  <c r="H21" i="9" s="1"/>
  <c r="O57" i="4"/>
  <c r="M57" i="4"/>
  <c r="O95" i="4"/>
  <c r="M95" i="4"/>
  <c r="O132" i="4"/>
  <c r="M132" i="4"/>
  <c r="O37" i="4"/>
  <c r="M37" i="4"/>
  <c r="O71" i="4"/>
  <c r="M71" i="4"/>
  <c r="O105" i="4"/>
  <c r="M105" i="4"/>
  <c r="H105" i="9" s="1"/>
  <c r="M133" i="4"/>
  <c r="O8" i="4"/>
  <c r="M8" i="4"/>
  <c r="O46" i="4"/>
  <c r="M46" i="4"/>
  <c r="O81" i="4"/>
  <c r="M81" i="4"/>
  <c r="O116" i="4"/>
  <c r="M116" i="4"/>
  <c r="O24" i="4"/>
  <c r="M24" i="4"/>
  <c r="H24" i="9" s="1"/>
  <c r="O60" i="4"/>
  <c r="M60" i="4"/>
  <c r="O100" i="4"/>
  <c r="M100" i="4"/>
  <c r="O3" i="4"/>
  <c r="M3" i="4"/>
  <c r="O39" i="4"/>
  <c r="M39" i="4"/>
  <c r="O73" i="4"/>
  <c r="M73" i="4"/>
  <c r="O108" i="4"/>
  <c r="M108" i="4"/>
  <c r="H108" i="9" s="1"/>
  <c r="M135" i="4"/>
  <c r="O10" i="4"/>
  <c r="M10" i="4"/>
  <c r="O49" i="4"/>
  <c r="M49" i="4"/>
  <c r="O84" i="4"/>
  <c r="M84" i="4"/>
  <c r="O119" i="4"/>
  <c r="M119" i="4"/>
  <c r="O27" i="4"/>
  <c r="M27" i="4"/>
  <c r="I27" i="9" s="1"/>
  <c r="O63" i="4"/>
  <c r="M63" i="4"/>
  <c r="O103" i="4"/>
  <c r="M103" i="4"/>
  <c r="O6" i="4"/>
  <c r="M6" i="4"/>
  <c r="O41" i="4"/>
  <c r="M41" i="4"/>
  <c r="O76" i="4"/>
  <c r="M76" i="4"/>
  <c r="O111" i="4"/>
  <c r="M111" i="4"/>
  <c r="I111" i="9" s="1"/>
  <c r="M134" i="4"/>
  <c r="O13" i="4"/>
  <c r="M13" i="4"/>
  <c r="O52" i="4"/>
  <c r="M52" i="4"/>
  <c r="O87" i="4"/>
  <c r="M87" i="4"/>
  <c r="O122" i="4"/>
  <c r="M122" i="4"/>
  <c r="O29" i="4"/>
  <c r="M29" i="4"/>
  <c r="I29" i="9" s="1"/>
  <c r="O66" i="4"/>
  <c r="M66" i="4"/>
  <c r="O106" i="4"/>
  <c r="M106" i="4"/>
  <c r="O11" i="4"/>
  <c r="M11" i="4"/>
  <c r="O44" i="4"/>
  <c r="M44" i="4"/>
  <c r="O79" i="4"/>
  <c r="M79" i="4"/>
  <c r="O114" i="4"/>
  <c r="M114" i="4"/>
  <c r="I114" i="9" s="1"/>
  <c r="O136" i="4"/>
  <c r="M136" i="4"/>
  <c r="O16" i="4"/>
  <c r="M16" i="4"/>
  <c r="O55" i="4"/>
  <c r="M55" i="4"/>
  <c r="O90" i="4"/>
  <c r="M90" i="4"/>
  <c r="O125" i="4"/>
  <c r="M125" i="4"/>
  <c r="O32" i="4"/>
  <c r="M32" i="4"/>
  <c r="H32" i="9" s="1"/>
  <c r="O69" i="4"/>
  <c r="M69" i="4"/>
  <c r="O109" i="4"/>
  <c r="M109" i="4"/>
  <c r="O14" i="4"/>
  <c r="M14" i="4"/>
  <c r="O47" i="4"/>
  <c r="M47" i="4"/>
  <c r="O82" i="4"/>
  <c r="M82" i="4"/>
  <c r="O117" i="4"/>
  <c r="M117" i="4"/>
  <c r="H117" i="9" s="1"/>
  <c r="M137" i="4"/>
  <c r="O19" i="4"/>
  <c r="M19" i="4"/>
  <c r="O58" i="4"/>
  <c r="M58" i="4"/>
  <c r="O93" i="4"/>
  <c r="M93" i="4"/>
  <c r="O128" i="4"/>
  <c r="M128" i="4"/>
  <c r="O35" i="4"/>
  <c r="M35" i="4"/>
  <c r="H35" i="9" s="1"/>
  <c r="O74" i="4"/>
  <c r="M74" i="4"/>
  <c r="O112" i="4"/>
  <c r="M112" i="4"/>
  <c r="O17" i="4"/>
  <c r="M17" i="4"/>
  <c r="O50" i="4"/>
  <c r="M50" i="4"/>
  <c r="O85" i="4"/>
  <c r="M85" i="4"/>
  <c r="O120" i="4"/>
  <c r="M120" i="4"/>
  <c r="M139" i="4"/>
  <c r="O22" i="4"/>
  <c r="M22" i="4"/>
  <c r="O61" i="4"/>
  <c r="M61" i="4"/>
  <c r="O96" i="4"/>
  <c r="M96" i="4"/>
  <c r="O4" i="4"/>
  <c r="M4" i="4"/>
  <c r="O38" i="4"/>
  <c r="M38" i="4"/>
  <c r="O77" i="4"/>
  <c r="M77" i="4"/>
  <c r="O115" i="4"/>
  <c r="M115" i="4"/>
  <c r="O20" i="4"/>
  <c r="M20" i="4"/>
  <c r="O53" i="4"/>
  <c r="M53" i="4"/>
  <c r="O88" i="4"/>
  <c r="M88" i="4"/>
  <c r="O123" i="4"/>
  <c r="M123" i="4"/>
  <c r="H123" i="9" s="1"/>
  <c r="M138" i="4"/>
  <c r="I10" i="9"/>
  <c r="H55" i="9"/>
  <c r="I43" i="9"/>
  <c r="I78" i="9"/>
  <c r="H113" i="9"/>
  <c r="H5" i="9"/>
  <c r="H71" i="9"/>
  <c r="I87" i="9"/>
  <c r="H122" i="9"/>
  <c r="H37" i="9"/>
  <c r="O137" i="4"/>
  <c r="O139" i="4"/>
  <c r="O138" i="4"/>
  <c r="I26" i="9"/>
  <c r="I54" i="9"/>
  <c r="I59" i="9"/>
  <c r="H89" i="9"/>
  <c r="H155" i="9"/>
  <c r="H28" i="9"/>
  <c r="H81" i="9"/>
  <c r="I2" i="9"/>
  <c r="I92" i="9"/>
  <c r="H116" i="9"/>
  <c r="O133" i="4"/>
  <c r="O135" i="4"/>
  <c r="O134" i="4"/>
  <c r="I129" i="9"/>
  <c r="I94" i="9"/>
  <c r="H22" i="9"/>
  <c r="I52" i="9"/>
  <c r="H13" i="9"/>
  <c r="H46" i="9"/>
  <c r="H100" i="9"/>
  <c r="H34" i="9"/>
  <c r="H40" i="9"/>
  <c r="H75" i="9"/>
  <c r="I127" i="9"/>
  <c r="I57" i="9"/>
  <c r="I64" i="9"/>
  <c r="I66" i="9"/>
  <c r="H84" i="9"/>
  <c r="H125" i="9"/>
  <c r="I16" i="9"/>
  <c r="I80" i="9"/>
  <c r="H50" i="9"/>
  <c r="I19" i="9"/>
  <c r="H119" i="9"/>
  <c r="H115" i="9"/>
  <c r="H60" i="9"/>
  <c r="I36" i="9"/>
  <c r="H95" i="9"/>
  <c r="H49" i="9"/>
  <c r="H77" i="9"/>
  <c r="I99" i="9"/>
  <c r="H102" i="9"/>
  <c r="H120" i="9"/>
  <c r="I131" i="9"/>
  <c r="I97" i="9"/>
  <c r="I11" i="9"/>
  <c r="H109" i="9"/>
  <c r="H30" i="9"/>
  <c r="H74" i="9"/>
  <c r="I79" i="9"/>
  <c r="H130" i="9"/>
  <c r="I44" i="9"/>
  <c r="H98" i="9"/>
  <c r="H62" i="9"/>
  <c r="H90" i="9"/>
  <c r="I8" i="9"/>
  <c r="H65" i="9"/>
  <c r="I63" i="9"/>
  <c r="L8" i="5"/>
  <c r="I82" i="9"/>
  <c r="H47" i="9"/>
  <c r="I33" i="9"/>
  <c r="I14" i="9"/>
  <c r="H17" i="9"/>
  <c r="H67" i="9"/>
  <c r="H85" i="9"/>
  <c r="I104" i="9"/>
  <c r="H70" i="9"/>
  <c r="H101" i="9"/>
  <c r="I45" i="9"/>
  <c r="H9" i="9"/>
  <c r="H12" i="9"/>
  <c r="H132" i="9"/>
  <c r="L2" i="5"/>
  <c r="L14" i="5"/>
  <c r="I103" i="9"/>
  <c r="L18" i="5"/>
  <c r="L17" i="5"/>
  <c r="L10" i="5"/>
  <c r="L11" i="5"/>
  <c r="L15" i="5"/>
  <c r="H107" i="9"/>
  <c r="I15" i="9"/>
  <c r="H118" i="9"/>
  <c r="H86" i="9"/>
  <c r="H121" i="9"/>
  <c r="H88" i="9"/>
  <c r="I48" i="9"/>
  <c r="H41" i="9"/>
  <c r="H18" i="9"/>
  <c r="H51" i="9"/>
  <c r="H23" i="9"/>
  <c r="I56" i="9"/>
  <c r="I91" i="9"/>
  <c r="I20" i="9"/>
  <c r="H53" i="9"/>
  <c r="H69" i="9"/>
  <c r="H4" i="9"/>
  <c r="H7" i="9"/>
  <c r="H6" i="9"/>
  <c r="H39" i="9"/>
  <c r="I106" i="9"/>
  <c r="H38" i="9"/>
  <c r="H128" i="9"/>
  <c r="H73" i="9"/>
  <c r="H58" i="9"/>
  <c r="H25" i="9"/>
  <c r="H76" i="9"/>
  <c r="H61" i="9"/>
  <c r="H93" i="9"/>
  <c r="H96" i="9"/>
  <c r="L20" i="5"/>
  <c r="L12" i="5"/>
  <c r="L4" i="5"/>
  <c r="L3" i="5"/>
  <c r="L5" i="5"/>
  <c r="L6" i="5"/>
  <c r="L19" i="5"/>
  <c r="L16" i="5"/>
  <c r="L7" i="5"/>
  <c r="L9" i="5"/>
  <c r="L13" i="5"/>
  <c r="G133" i="9"/>
  <c r="G137" i="9"/>
  <c r="H3" i="9"/>
  <c r="I3" i="9"/>
  <c r="G146" i="9"/>
  <c r="G144" i="9"/>
  <c r="G139" i="9"/>
  <c r="G135" i="9"/>
  <c r="G149" i="9"/>
  <c r="G151" i="9"/>
  <c r="G141" i="9"/>
  <c r="G136" i="9"/>
  <c r="G147" i="9"/>
  <c r="G148" i="9"/>
  <c r="G143" i="9"/>
  <c r="G138" i="9"/>
  <c r="G150" i="9"/>
  <c r="G142" i="9"/>
  <c r="G134" i="9"/>
  <c r="G145" i="9"/>
  <c r="G140" i="9"/>
  <c r="I32" i="9" l="1"/>
  <c r="H78" i="9"/>
  <c r="H10" i="9"/>
  <c r="I5" i="9"/>
  <c r="H43" i="9"/>
  <c r="I55" i="9"/>
  <c r="I122" i="9"/>
  <c r="H59" i="9"/>
  <c r="H87" i="9"/>
  <c r="H54" i="9"/>
  <c r="H72" i="9"/>
  <c r="I37" i="9"/>
  <c r="I71" i="9"/>
  <c r="I113" i="9"/>
  <c r="H124" i="9"/>
  <c r="H92" i="9"/>
  <c r="I116" i="9"/>
  <c r="H26" i="9"/>
  <c r="I28" i="9"/>
  <c r="I89" i="9"/>
  <c r="I157" i="9"/>
  <c r="H157" i="9"/>
  <c r="H158" i="9"/>
  <c r="I158" i="9"/>
  <c r="H156" i="9"/>
  <c r="I156" i="9"/>
  <c r="H2" i="9"/>
  <c r="I22" i="9"/>
  <c r="I155" i="9"/>
  <c r="I81" i="9"/>
  <c r="H153" i="9"/>
  <c r="I153" i="9"/>
  <c r="H154" i="9"/>
  <c r="I154" i="9"/>
  <c r="I152" i="9"/>
  <c r="H152" i="9"/>
  <c r="H129" i="9"/>
  <c r="H52" i="9"/>
  <c r="I21" i="9"/>
  <c r="H94" i="9"/>
  <c r="I125" i="9"/>
  <c r="I75" i="9"/>
  <c r="I13" i="9"/>
  <c r="I126" i="9"/>
  <c r="I100" i="9"/>
  <c r="I110" i="9"/>
  <c r="I31" i="9"/>
  <c r="H19" i="9"/>
  <c r="I46" i="9"/>
  <c r="H80" i="9"/>
  <c r="I34" i="9"/>
  <c r="I84" i="9"/>
  <c r="H16" i="9"/>
  <c r="H27" i="9"/>
  <c r="H127" i="9"/>
  <c r="I115" i="9"/>
  <c r="H57" i="9"/>
  <c r="H64" i="9"/>
  <c r="I77" i="9"/>
  <c r="H66" i="9"/>
  <c r="I40" i="9"/>
  <c r="I50" i="9"/>
  <c r="H97" i="9"/>
  <c r="I119" i="9"/>
  <c r="I60" i="9"/>
  <c r="I49" i="9"/>
  <c r="H36" i="9"/>
  <c r="I120" i="9"/>
  <c r="I95" i="9"/>
  <c r="H131" i="9"/>
  <c r="H79" i="9"/>
  <c r="H63" i="9"/>
  <c r="I102" i="9"/>
  <c r="H99" i="9"/>
  <c r="I85" i="9"/>
  <c r="I74" i="9"/>
  <c r="I30" i="9"/>
  <c r="I130" i="9"/>
  <c r="I98" i="9"/>
  <c r="I67" i="9"/>
  <c r="I35" i="9"/>
  <c r="H8" i="9"/>
  <c r="I24" i="9"/>
  <c r="H11" i="9"/>
  <c r="H14" i="9"/>
  <c r="H29" i="9"/>
  <c r="I109" i="9"/>
  <c r="H44" i="9"/>
  <c r="I117" i="9"/>
  <c r="H48" i="9"/>
  <c r="H114" i="9"/>
  <c r="H45" i="9"/>
  <c r="I62" i="9"/>
  <c r="I65" i="9"/>
  <c r="I17" i="9"/>
  <c r="H91" i="9"/>
  <c r="I90" i="9"/>
  <c r="I68" i="9"/>
  <c r="I51" i="9"/>
  <c r="H83" i="9"/>
  <c r="I47" i="9"/>
  <c r="I105" i="9"/>
  <c r="I42" i="9"/>
  <c r="H103" i="9"/>
  <c r="H20" i="9"/>
  <c r="H33" i="9"/>
  <c r="I70" i="9"/>
  <c r="H112" i="9"/>
  <c r="H82" i="9"/>
  <c r="I9" i="9"/>
  <c r="I23" i="9"/>
  <c r="H15" i="9"/>
  <c r="I118" i="9"/>
  <c r="I12" i="9"/>
  <c r="I101" i="9"/>
  <c r="H106" i="9"/>
  <c r="H56" i="9"/>
  <c r="I132" i="9"/>
  <c r="H104" i="9"/>
  <c r="I41" i="9"/>
  <c r="I128" i="9"/>
  <c r="I6" i="9"/>
  <c r="I96" i="9"/>
  <c r="I107" i="9"/>
  <c r="H111" i="9"/>
  <c r="I93" i="9"/>
  <c r="I4" i="9"/>
  <c r="I76" i="9"/>
  <c r="I123" i="9"/>
  <c r="I38" i="9"/>
  <c r="I88" i="9"/>
  <c r="I86" i="9"/>
  <c r="I53" i="9"/>
  <c r="I121" i="9"/>
  <c r="I69" i="9"/>
  <c r="I7" i="9"/>
  <c r="I73" i="9"/>
  <c r="I18" i="9"/>
  <c r="I108" i="9"/>
  <c r="I61" i="9"/>
  <c r="I58" i="9"/>
  <c r="I25" i="9"/>
  <c r="I39" i="9"/>
  <c r="H136" i="9"/>
  <c r="I136" i="9"/>
  <c r="H151" i="9"/>
  <c r="I151" i="9"/>
  <c r="H148" i="9"/>
  <c r="I148" i="9"/>
  <c r="H149" i="9"/>
  <c r="I149" i="9"/>
  <c r="H135" i="9"/>
  <c r="I135" i="9"/>
  <c r="H134" i="9"/>
  <c r="I134" i="9"/>
  <c r="H137" i="9"/>
  <c r="I137" i="9"/>
  <c r="H140" i="9"/>
  <c r="I140" i="9"/>
  <c r="H145" i="9"/>
  <c r="I145" i="9"/>
  <c r="H139" i="9"/>
  <c r="I139" i="9"/>
  <c r="H142" i="9"/>
  <c r="I142" i="9"/>
  <c r="H133" i="9"/>
  <c r="I133" i="9"/>
  <c r="H147" i="9"/>
  <c r="I147" i="9"/>
  <c r="H150" i="9"/>
  <c r="I150" i="9"/>
  <c r="H138" i="9"/>
  <c r="I138" i="9"/>
  <c r="H146" i="9"/>
  <c r="I146" i="9"/>
  <c r="H141" i="9"/>
  <c r="I141" i="9"/>
  <c r="H144" i="9"/>
  <c r="I144" i="9"/>
  <c r="H143" i="9"/>
  <c r="I14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920A4-DB1E-442D-A987-BBAC9DFC4C74}" keepAlive="1" name="Query - region_summary (10)" description="Connection to the 'region_summary (10)' query in the workbook." type="5" refreshedVersion="8" background="1" saveData="1">
    <dbPr connection="Provider=Microsoft.Mashup.OleDb.1;Data Source=$Workbook$;Location=&quot;region_summary (10)&quot;;Extended Properties=&quot;&quot;" command="SELECT * FROM [region_summary (10)]"/>
  </connection>
  <connection id="2" xr16:uid="{09CEA636-A114-48B1-A7C4-77DEAB992DFC}" keepAlive="1" name="Query - region_summary (11)" description="Connection to the 'region_summary (11)' query in the workbook." type="5" refreshedVersion="8" background="1" saveData="1">
    <dbPr connection="Provider=Microsoft.Mashup.OleDb.1;Data Source=$Workbook$;Location=&quot;region_summary (11)&quot;;Extended Properties=&quot;&quot;" command="SELECT * FROM [region_summary (11)]"/>
  </connection>
  <connection id="3" xr16:uid="{B2B91B98-FD53-4923-B295-4EFC58B1623A}" keepAlive="1" name="Query - region_summary (18)" description="Connection to the 'region_summary (18)' query in the workbook." type="5" refreshedVersion="8" background="1" saveData="1">
    <dbPr connection="Provider=Microsoft.Mashup.OleDb.1;Data Source=$Workbook$;Location=&quot;region_summary (18)&quot;;Extended Properties=&quot;&quot;" command="SELECT * FROM [region_summary (18)]"/>
  </connection>
  <connection id="4" xr16:uid="{245E8D0A-B94B-4F9B-BCE0-3725173BA09C}" keepAlive="1" name="Query - region_summary (19)" description="Connection to the 'region_summary (19)' query in the workbook." type="5" refreshedVersion="8" background="1" saveData="1">
    <dbPr connection="Provider=Microsoft.Mashup.OleDb.1;Data Source=$Workbook$;Location=&quot;region_summary (19)&quot;;Extended Properties=&quot;&quot;" command="SELECT * FROM [region_summary (19)]"/>
  </connection>
  <connection id="5" xr16:uid="{8B784883-B64A-498D-9E8A-4AEB2CDFFD54}" keepAlive="1" name="Query - region_summary (2)" description="Connection to the 'region_summary (2)' query in the workbook." type="5" refreshedVersion="8" background="1" saveData="1">
    <dbPr connection="Provider=Microsoft.Mashup.OleDb.1;Data Source=$Workbook$;Location=&quot;region_summary (2)&quot;;Extended Properties=&quot;&quot;" command="SELECT * FROM [region_summary (2)]"/>
  </connection>
  <connection id="6" xr16:uid="{F838D92F-1DDF-43C4-9963-FB49591D312C}" keepAlive="1" name="Query - region_summary (20)" description="Connection to the 'region_summary (20)' query in the workbook." type="5" refreshedVersion="8" background="1" saveData="1">
    <dbPr connection="Provider=Microsoft.Mashup.OleDb.1;Data Source=$Workbook$;Location=&quot;region_summary (20)&quot;;Extended Properties=&quot;&quot;" command="SELECT * FROM [region_summary (20)]"/>
  </connection>
  <connection id="7" xr16:uid="{D484234A-DC50-44FF-BB8F-D179870AD353}" keepAlive="1" name="Query - region_summary (21)" description="Connection to the 'region_summary (21)' query in the workbook." type="5" refreshedVersion="8" background="1" saveData="1">
    <dbPr connection="Provider=Microsoft.Mashup.OleDb.1;Data Source=$Workbook$;Location=&quot;region_summary (21)&quot;;Extended Properties=&quot;&quot;" command="SELECT * FROM [region_summary (21)]"/>
  </connection>
  <connection id="8" xr16:uid="{22E5E689-5864-4FD5-B5EF-9812CCDB080E}" keepAlive="1" name="Query - region_summary (24)" description="Connection to the 'region_summary (24)' query in the workbook." type="5" refreshedVersion="8" background="1" saveData="1">
    <dbPr connection="Provider=Microsoft.Mashup.OleDb.1;Data Source=$Workbook$;Location=&quot;region_summary (24)&quot;;Extended Properties=&quot;&quot;" command="SELECT * FROM [region_summary (24)]"/>
  </connection>
  <connection id="9" xr16:uid="{9B46FA77-11AE-452E-80D8-FDEEB06DD87C}" keepAlive="1" name="Query - region_summary (25)" description="Connection to the 'region_summary (25)' query in the workbook." type="5" refreshedVersion="8" background="1" saveData="1">
    <dbPr connection="Provider=Microsoft.Mashup.OleDb.1;Data Source=$Workbook$;Location=&quot;region_summary (25)&quot;;Extended Properties=&quot;&quot;" command="SELECT * FROM [region_summary (25)]"/>
  </connection>
  <connection id="10" xr16:uid="{31806423-D619-4569-9A8C-69CCACBD8E92}" keepAlive="1" name="Query - region_summary (29)" description="Connection to the 'region_summary (29)' query in the workbook." type="5" refreshedVersion="8" background="1" saveData="1">
    <dbPr connection="Provider=Microsoft.Mashup.OleDb.1;Data Source=$Workbook$;Location=&quot;region_summary (29)&quot;;Extended Properties=&quot;&quot;" command="SELECT * FROM [region_summary (29)]"/>
  </connection>
  <connection id="11" xr16:uid="{04D3F6A5-92EF-407F-84BA-EFBD61D382D2}" keepAlive="1" name="Query - region_summary (3)" description="Connection to the 'region_summary (3)' query in the workbook." type="5" refreshedVersion="8" background="1" saveData="1">
    <dbPr connection="Provider=Microsoft.Mashup.OleDb.1;Data Source=$Workbook$;Location=&quot;region_summary (3)&quot;;Extended Properties=&quot;&quot;" command="SELECT * FROM [region_summary (3)]"/>
  </connection>
  <connection id="12" xr16:uid="{B47F80A4-EEF5-4DE8-9316-86048C7E0CD8}" keepAlive="1" name="Query - region_summary (31)" description="Connection to the 'region_summary (31)' query in the workbook." type="5" refreshedVersion="8" background="1" saveData="1">
    <dbPr connection="Provider=Microsoft.Mashup.OleDb.1;Data Source=$Workbook$;Location=&quot;region_summary (31)&quot;;Extended Properties=&quot;&quot;" command="SELECT * FROM [region_summary (31)]"/>
  </connection>
  <connection id="13" xr16:uid="{DB4D2A38-A6F7-4CBB-91EB-1BFD191F2FDF}" keepAlive="1" name="Query - region_summary (32)" description="Connection to the 'region_summary (32)' query in the workbook." type="5" refreshedVersion="8" background="1" saveData="1">
    <dbPr connection="Provider=Microsoft.Mashup.OleDb.1;Data Source=$Workbook$;Location=&quot;region_summary (32)&quot;;Extended Properties=&quot;&quot;" command="SELECT * FROM [region_summary (32)]"/>
  </connection>
  <connection id="14" xr16:uid="{E575B3FD-737F-465C-84AD-DD17FDC60B37}" keepAlive="1" name="Query - region_summary (33)" description="Connection to the 'region_summary (33)' query in the workbook." type="5" refreshedVersion="8" background="1" saveData="1">
    <dbPr connection="Provider=Microsoft.Mashup.OleDb.1;Data Source=$Workbook$;Location=&quot;region_summary (33)&quot;;Extended Properties=&quot;&quot;" command="SELECT * FROM [region_summary (33)]"/>
  </connection>
  <connection id="15" xr16:uid="{0403113C-F6FD-4529-9CCC-3441BA0A35F8}" keepAlive="1" name="Query - region_summary (34)" description="Connection to the 'region_summary (34)' query in the workbook." type="5" refreshedVersion="8" background="1" saveData="1">
    <dbPr connection="Provider=Microsoft.Mashup.OleDb.1;Data Source=$Workbook$;Location=&quot;region_summary (34)&quot;;Extended Properties=&quot;&quot;" command="SELECT * FROM [region_summary (34)]"/>
  </connection>
  <connection id="16" xr16:uid="{2DD875F7-14CA-48FF-A0FC-D5F36D6603FD}" keepAlive="1" name="Query - region_summary (35)" description="Connection to the 'region_summary (35)' query in the workbook." type="5" refreshedVersion="8" background="1" saveData="1">
    <dbPr connection="Provider=Microsoft.Mashup.OleDb.1;Data Source=$Workbook$;Location=&quot;region_summary (35)&quot;;Extended Properties=&quot;&quot;" command="SELECT * FROM [region_summary (35)]"/>
  </connection>
  <connection id="17" xr16:uid="{448D13F4-391A-4436-B28E-4DFEC9383C43}" keepAlive="1" name="Query - region_summary (36)" description="Connection to the 'region_summary (36)' query in the workbook." type="5" refreshedVersion="8" background="1" saveData="1">
    <dbPr connection="Provider=Microsoft.Mashup.OleDb.1;Data Source=$Workbook$;Location=&quot;region_summary (36)&quot;;Extended Properties=&quot;&quot;" command="SELECT * FROM [region_summary (36)]"/>
  </connection>
  <connection id="18" xr16:uid="{DF557DA1-A728-4008-BFD4-99FF0E595AA6}" keepAlive="1" name="Query - region_summary (37)" description="Connection to the 'region_summary (37)' query in the workbook." type="5" refreshedVersion="8" background="1" saveData="1">
    <dbPr connection="Provider=Microsoft.Mashup.OleDb.1;Data Source=$Workbook$;Location=&quot;region_summary (37)&quot;;Extended Properties=&quot;&quot;" command="SELECT * FROM [region_summary (37)]"/>
  </connection>
  <connection id="19" xr16:uid="{07DA22CF-A0B6-4FF4-85D3-364F2C577776}" keepAlive="1" name="Query - region_summary (38)" description="Connection to the 'region_summary (38)' query in the workbook." type="5" refreshedVersion="8" background="1" saveData="1">
    <dbPr connection="Provider=Microsoft.Mashup.OleDb.1;Data Source=$Workbook$;Location=&quot;region_summary (38)&quot;;Extended Properties=&quot;&quot;" command="SELECT * FROM [region_summary (38)]"/>
  </connection>
  <connection id="20" xr16:uid="{1B25BF38-71D6-46C0-98D5-BBAA55F5B11E}" keepAlive="1" name="Query - region_summary (39)" description="Connection to the 'region_summary (39)' query in the workbook." type="5" refreshedVersion="8" background="1" saveData="1">
    <dbPr connection="Provider=Microsoft.Mashup.OleDb.1;Data Source=$Workbook$;Location=&quot;region_summary (39)&quot;;Extended Properties=&quot;&quot;" command="SELECT * FROM [region_summary (39)]"/>
  </connection>
  <connection id="21" xr16:uid="{FAEE568E-66FB-47AE-8969-4006A44664FF}" keepAlive="1" name="Query - region_summary (40)" description="Connection to the 'region_summary (40)' query in the workbook." type="5" refreshedVersion="8" background="1" saveData="1">
    <dbPr connection="Provider=Microsoft.Mashup.OleDb.1;Data Source=$Workbook$;Location=&quot;region_summary (40)&quot;;Extended Properties=&quot;&quot;" command="SELECT * FROM [region_summary (40)]"/>
  </connection>
  <connection id="22" xr16:uid="{7CA3519B-2629-41D6-B6F9-00EDF0F718CA}" keepAlive="1" name="Query - region_summary (41)" description="Connection to the 'region_summary (41)' query in the workbook." type="5" refreshedVersion="8" background="1" saveData="1">
    <dbPr connection="Provider=Microsoft.Mashup.OleDb.1;Data Source=$Workbook$;Location=&quot;region_summary (41)&quot;;Extended Properties=&quot;&quot;" command="SELECT * FROM [region_summary (41)]"/>
  </connection>
  <connection id="23" xr16:uid="{432AA62D-7D0A-4D89-8622-B137D325D619}" keepAlive="1" name="Query - region_summary (42)" description="Connection to the 'region_summary (42)' query in the workbook." type="5" refreshedVersion="8" background="1" saveData="1">
    <dbPr connection="Provider=Microsoft.Mashup.OleDb.1;Data Source=$Workbook$;Location=&quot;region_summary (42)&quot;;Extended Properties=&quot;&quot;" command="SELECT * FROM [region_summary (42)]"/>
  </connection>
  <connection id="24" xr16:uid="{8603D3A7-9B6D-4A90-8486-159390713188}" keepAlive="1" name="Query - region_summary (43)" description="Connection to the 'region_summary (43)' query in the workbook." type="5" refreshedVersion="8" background="1" saveData="1">
    <dbPr connection="Provider=Microsoft.Mashup.OleDb.1;Data Source=$Workbook$;Location=&quot;region_summary (43)&quot;;Extended Properties=&quot;&quot;" command="SELECT * FROM [region_summary (43)]"/>
  </connection>
  <connection id="25" xr16:uid="{61989E0B-48E7-44D2-B945-8E32E37AF194}" keepAlive="1" name="Query - region_summary (44)" description="Connection to the 'region_summary (44)' query in the workbook." type="5" refreshedVersion="8" background="1" saveData="1">
    <dbPr connection="Provider=Microsoft.Mashup.OleDb.1;Data Source=$Workbook$;Location=&quot;region_summary (44)&quot;;Extended Properties=&quot;&quot;" command="SELECT * FROM [region_summary (44)]"/>
  </connection>
  <connection id="26" xr16:uid="{98EAA767-0781-4950-BC6B-A1598C345D53}" keepAlive="1" name="Query - region_summary (45)" description="Connection to the 'region_summary (45)' query in the workbook." type="5" refreshedVersion="8" background="1" saveData="1">
    <dbPr connection="Provider=Microsoft.Mashup.OleDb.1;Data Source=$Workbook$;Location=&quot;region_summary (45)&quot;;Extended Properties=&quot;&quot;" command="SELECT * FROM [region_summary (45)]"/>
  </connection>
  <connection id="27" xr16:uid="{CC32E817-B072-4D7A-ABBB-B9ED893FBB39}" keepAlive="1" name="Query - region_summary (46)" description="Connection to the 'region_summary (46)' query in the workbook." type="5" refreshedVersion="8" background="1" saveData="1">
    <dbPr connection="Provider=Microsoft.Mashup.OleDb.1;Data Source=$Workbook$;Location=&quot;region_summary (46)&quot;;Extended Properties=&quot;&quot;" command="SELECT * FROM [region_summary (46)]"/>
  </connection>
  <connection id="28" xr16:uid="{7BC0428A-94C0-422B-9762-2104AE63C158}" keepAlive="1" name="Query - region_summary (47)" description="Connection to the 'region_summary (47)' query in the workbook." type="5" refreshedVersion="8" background="1" saveData="1">
    <dbPr connection="Provider=Microsoft.Mashup.OleDb.1;Data Source=$Workbook$;Location=&quot;region_summary (47)&quot;;Extended Properties=&quot;&quot;" command="SELECT * FROM [region_summary (47)]"/>
  </connection>
  <connection id="29" xr16:uid="{8958C000-F488-4C10-AE0F-52E6C2C49868}" keepAlive="1" name="Query - region_summary (50)" description="Connection to the 'region_summary (50)' query in the workbook." type="5" refreshedVersion="8" background="1" saveData="1">
    <dbPr connection="Provider=Microsoft.Mashup.OleDb.1;Data Source=$Workbook$;Location=&quot;region_summary (50)&quot;;Extended Properties=&quot;&quot;" command="SELECT * FROM [region_summary (50)]"/>
  </connection>
  <connection id="30" xr16:uid="{011D4DEC-A187-4883-A17B-6ED870087BDF}" keepAlive="1" name="Query - region_summary (51)" description="Connection to the 'region_summary (51)' query in the workbook." type="5" refreshedVersion="0" background="1">
    <dbPr connection="Provider=Microsoft.Mashup.OleDb.1;Data Source=$Workbook$;Location=&quot;region_summary (51)&quot;;Extended Properties=&quot;&quot;" command="SELECT * FROM [region_summary (51)]"/>
  </connection>
  <connection id="31" xr16:uid="{F776C29D-A5A0-42AB-A716-10759DA09390}" keepAlive="1" name="Query - region_summary (52)" description="Connection to the 'region_summary (52)' query in the workbook." type="5" refreshedVersion="8" background="1" saveData="1">
    <dbPr connection="Provider=Microsoft.Mashup.OleDb.1;Data Source=$Workbook$;Location=&quot;region_summary (52)&quot;;Extended Properties=&quot;&quot;" command="SELECT * FROM [region_summary (52)]"/>
  </connection>
  <connection id="32" xr16:uid="{493E7B4A-0FDD-4B02-BDCA-845BA829F9D4}" keepAlive="1" name="Query - region_summary (53)" description="Connection to the 'region_summary (53)' query in the workbook." type="5" refreshedVersion="0" background="1">
    <dbPr connection="Provider=Microsoft.Mashup.OleDb.1;Data Source=$Workbook$;Location=&quot;region_summary (53)&quot;;Extended Properties=&quot;&quot;" command="SELECT * FROM [region_summary (53)]"/>
  </connection>
  <connection id="33" xr16:uid="{C2538214-71B0-48FA-9D02-1D6CA746F581}" keepAlive="1" name="Query - region_summary (54)" description="Connection to the 'region_summary (54)' query in the workbook." type="5" refreshedVersion="8" background="1" saveData="1">
    <dbPr connection="Provider=Microsoft.Mashup.OleDb.1;Data Source=$Workbook$;Location=&quot;region_summary (54)&quot;;Extended Properties=&quot;&quot;" command="SELECT * FROM [region_summary (54)]"/>
  </connection>
  <connection id="34" xr16:uid="{8080E646-B07B-4175-A18F-149437287A1F}" keepAlive="1" name="Query - region_summary (55)" description="Connection to the 'region_summary (55)' query in the workbook." type="5" refreshedVersion="8" background="1" saveData="1">
    <dbPr connection="Provider=Microsoft.Mashup.OleDb.1;Data Source=$Workbook$;Location=&quot;region_summary (55)&quot;;Extended Properties=&quot;&quot;" command="SELECT * FROM [region_summary (55)]"/>
  </connection>
  <connection id="35" xr16:uid="{2903D112-E0AF-4B8D-A5DD-1ADD76061490}" keepAlive="1" name="Query - region_summary (56)" description="Connection to the 'region_summary (56)' query in the workbook." type="5" refreshedVersion="8" background="1" saveData="1">
    <dbPr connection="Provider=Microsoft.Mashup.OleDb.1;Data Source=$Workbook$;Location=&quot;region_summary (56)&quot;;Extended Properties=&quot;&quot;" command="SELECT * FROM [region_summary (56)]"/>
  </connection>
  <connection id="36" xr16:uid="{A925FC24-85D0-4390-AC53-13D80E64AFC6}" keepAlive="1" name="Query - region_summary (6)" description="Connection to the 'region_summary (6)' query in the workbook." type="5" refreshedVersion="8" background="1" saveData="1">
    <dbPr connection="Provider=Microsoft.Mashup.OleDb.1;Data Source=$Workbook$;Location=&quot;region_summary (6)&quot;;Extended Properties=&quot;&quot;" command="SELECT * FROM [region_summary (6)]"/>
  </connection>
  <connection id="37" xr16:uid="{9A8BD65F-1E6F-48BD-8E44-7D33FAB1C11D}" keepAlive="1" name="Query - region_summary (8)" description="Connection to the 'region_summary (8)' query in the workbook." type="5" refreshedVersion="8" background="1" saveData="1">
    <dbPr connection="Provider=Microsoft.Mashup.OleDb.1;Data Source=$Workbook$;Location=&quot;region_summary (8)&quot;;Extended Properties=&quot;&quot;" command="SELECT * FROM [region_summary (8)]"/>
  </connection>
  <connection id="38" xr16:uid="{3A49C8A4-269A-41F0-A273-33C60FA49794}" keepAlive="1" name="Query - region_summary (9)" description="Connection to the 'region_summary (9)' query in the workbook." type="5" refreshedVersion="8" background="1" saveData="1">
    <dbPr connection="Provider=Microsoft.Mashup.OleDb.1;Data Source=$Workbook$;Location=&quot;region_summary (9)&quot;;Extended Properties=&quot;&quot;" command="SELECT * FROM [region_summary (9)]"/>
  </connection>
  <connection id="39" xr16:uid="{04ABF872-08DF-47F0-936B-B0EBBA5DCCE5}" keepAlive="1" name="Query - sqllab_copy_of_untitled_query_1_20260801T142618" description="Connection to the 'sqllab_copy_of_untitled_query_1_20260801T142618' query in the workbook." type="5" refreshedVersion="0" background="1">
    <dbPr connection="Provider=Microsoft.Mashup.OleDb.1;Data Source=$Workbook$;Location=sqllab_copy_of_untitled_query_1_20260801T142618;Extended Properties=&quot;&quot;" command="SELECT * FROM [sqllab_copy_of_untitled_query_1_20260801T142618]"/>
  </connection>
  <connection id="40" xr16:uid="{18150556-F337-4EA2-8F59-A0ECAC9B4312}" keepAlive="1" name="Query - sqllab_copy_of_untitled_query_1_20260801T142618 (2)" description="Connection to the 'sqllab_copy_of_untitled_query_1_20260801T142618 (2)' query in the workbook." type="5" refreshedVersion="0" background="1">
    <dbPr connection="Provider=Microsoft.Mashup.OleDb.1;Data Source=$Workbook$;Location=&quot;sqllab_copy_of_untitled_query_1_20260801T142618 (2)&quot;;Extended Properties=&quot;&quot;" command="SELECT * FROM [sqllab_copy_of_untitled_query_1_20260801T142618 (2)]"/>
  </connection>
  <connection id="41" xr16:uid="{F95B6F04-1B5F-4813-8D90-F3D36C1B628B}" keepAlive="1" name="Query - sqllab_copy_of_untitled_query_1_20260801T143459" description="Connection to the 'sqllab_copy_of_untitled_query_1_20260801T143459' query in the workbook." type="5" refreshedVersion="8" background="1" saveData="1">
    <dbPr connection="Provider=Microsoft.Mashup.OleDb.1;Data Source=$Workbook$;Location=sqllab_copy_of_untitled_query_1_20260801T143459;Extended Properties=&quot;&quot;" command="SELECT * FROM [sqllab_copy_of_untitled_query_1_20260801T143459]"/>
  </connection>
</connections>
</file>

<file path=xl/sharedStrings.xml><?xml version="1.0" encoding="utf-8"?>
<sst xmlns="http://schemas.openxmlformats.org/spreadsheetml/2006/main" count="9662" uniqueCount="2070">
  <si>
    <t>email_petugas_lapangan</t>
  </si>
  <si>
    <t>petugas_pemeriksa</t>
  </si>
  <si>
    <t>email_pemeriksa</t>
  </si>
  <si>
    <t>petugas_taskforce</t>
  </si>
  <si>
    <t>email_taskforce</t>
  </si>
  <si>
    <t>devitasimpaen11@gmail.com</t>
  </si>
  <si>
    <t>glaudiasasindua@gmail.com</t>
  </si>
  <si>
    <t>shyntiamangosa@gmail.com</t>
  </si>
  <si>
    <t>brigithaelorapetiunaung@gmail.com</t>
  </si>
  <si>
    <t>malinytumandung@gmail.com</t>
  </si>
  <si>
    <t>zairastudio26@gmail.com</t>
  </si>
  <si>
    <t>ingkiriwangmey76@gmail.com</t>
  </si>
  <si>
    <t>theogivepaulina@gmail.com</t>
  </si>
  <si>
    <t>mimimustamin@gmail.com</t>
  </si>
  <si>
    <t>adelheitsadara9@gmail.com</t>
  </si>
  <si>
    <t>elsadaylohigee@gmail.com</t>
  </si>
  <si>
    <t>reynoldsamandi01@gmail.com</t>
  </si>
  <si>
    <t>nurotulsalsa@gmail.com</t>
  </si>
  <si>
    <t>ebhymandak4@gmail.com</t>
  </si>
  <si>
    <t>jeneverbidure@gmail.com</t>
  </si>
  <si>
    <t>mercykampong61@gmail.com</t>
  </si>
  <si>
    <t>getruida.lambey21@gmail.com</t>
  </si>
  <si>
    <t>dahliahe@gmail.com</t>
  </si>
  <si>
    <t>salsabilabilondatu43@gmail.com</t>
  </si>
  <si>
    <t>laka28278@gmail.com</t>
  </si>
  <si>
    <t>Pascawatihijrahmeylanlihawa@gmail.com</t>
  </si>
  <si>
    <t>septianimanueke458@gmail.com</t>
  </si>
  <si>
    <t>juwitadaud11@gmail.com</t>
  </si>
  <si>
    <t>kesyapuidee@gmail.com</t>
  </si>
  <si>
    <t>kumenitdeysi@gmail.com</t>
  </si>
  <si>
    <t>dhearuwayda86@gmail.com</t>
  </si>
  <si>
    <t>indah.tangkudung@gmail.com</t>
  </si>
  <si>
    <t>rideliolipoeto1108@gmail.com</t>
  </si>
  <si>
    <t>gabriellam810@gmail.com</t>
  </si>
  <si>
    <t>nevallio.kere01@gmail.com</t>
  </si>
  <si>
    <t>gideonfiam@gmail.com</t>
  </si>
  <si>
    <t>petiunaungjenny5@gmail.com</t>
  </si>
  <si>
    <t>nayla.lincewas@gmail.com</t>
  </si>
  <si>
    <t>apriliaadewii19@gmail.com</t>
  </si>
  <si>
    <t>normanabir640@gmail.com</t>
  </si>
  <si>
    <t>victoriagreimar21@gmail.com</t>
  </si>
  <si>
    <t>sridadi1203@gmail.com</t>
  </si>
  <si>
    <t>cindikansil@gmail.com</t>
  </si>
  <si>
    <t>januariusbudianto@gmail.com</t>
  </si>
  <si>
    <t>stevanypolii30@gmail.com</t>
  </si>
  <si>
    <t>mukhliskarim1801@gmail.com</t>
  </si>
  <si>
    <t>ayunfauziah126@gmail.com</t>
  </si>
  <si>
    <t>lreziska@gmail.com</t>
  </si>
  <si>
    <t>sianelegi2024@gmail.com</t>
  </si>
  <si>
    <t>monicrompas@gmail.com</t>
  </si>
  <si>
    <t>nurhayati19790813@gmail.com</t>
  </si>
  <si>
    <t>daudyulianti76@gmail.com</t>
  </si>
  <si>
    <t>limonunurlaila8@gmail.com</t>
  </si>
  <si>
    <t>fryniew@gmail.com</t>
  </si>
  <si>
    <t>yohanaangreinelambayang@gmail.com</t>
  </si>
  <si>
    <t>jarvizangkouw@gmail.com</t>
  </si>
  <si>
    <t>Caturhidayah377@gmail.com</t>
  </si>
  <si>
    <t>florenstefannygaus@gmail.com</t>
  </si>
  <si>
    <t>verenvkatego99@gmail.com</t>
  </si>
  <si>
    <t>Nindychristiani17@gmail.com</t>
  </si>
  <si>
    <t>mfeibyola@gmail.com</t>
  </si>
  <si>
    <t>intanmakaoho13@gmail.com</t>
  </si>
  <si>
    <t>dianatambanaung2@gmail.com</t>
  </si>
  <si>
    <t>tadengahyovi@gmail.com</t>
  </si>
  <si>
    <t>allenfebyr@gmail.com</t>
  </si>
  <si>
    <t>helmytumimbang@gmail.com</t>
  </si>
  <si>
    <t>eki.sarante@gmail.com</t>
  </si>
  <si>
    <t>alvritstaturu424@gmail.com</t>
  </si>
  <si>
    <t>takarenguangyunike@gmail.com</t>
  </si>
  <si>
    <t>evhatheodora@gmail.com</t>
  </si>
  <si>
    <t>havacarmela@gmail.com</t>
  </si>
  <si>
    <t>Randimatheos@gmail.com</t>
  </si>
  <si>
    <t>gabriellacindy29@gmail.com</t>
  </si>
  <si>
    <t>amandaaprilya55@gmail.com</t>
  </si>
  <si>
    <t>dedyindra002@gmail.com</t>
  </si>
  <si>
    <t>putriprastyca@gmail.com</t>
  </si>
  <si>
    <t>Jeinariotiangbanera@gmail.com</t>
  </si>
  <si>
    <t>rosdamus03@gmail.com</t>
  </si>
  <si>
    <t>yuniusmuasa@gmail.com</t>
  </si>
  <si>
    <t>charityadil28@gmail.com</t>
  </si>
  <si>
    <t>cinthyaheidydganap@gmail.com</t>
  </si>
  <si>
    <t>Meriatisaselah@gmail.com</t>
  </si>
  <si>
    <t>yavialuminuhe029@gmail.com</t>
  </si>
  <si>
    <t>Deitymangaweng09@gmail.com</t>
  </si>
  <si>
    <t>kahiubeolvianus@gmail.com</t>
  </si>
  <si>
    <t>walvanola@gmail.com</t>
  </si>
  <si>
    <t>yulianamaameah24@gmail.com</t>
  </si>
  <si>
    <t>johnlengkong7@gmail.com</t>
  </si>
  <si>
    <t>Hengkengsiska@gmail.com</t>
  </si>
  <si>
    <t>marlithasamakasenda@gmail.com</t>
  </si>
  <si>
    <t>margaretrepi6@gmail.com</t>
  </si>
  <si>
    <t>rifnisikome452@gmail.com</t>
  </si>
  <si>
    <t>oveliasahoa6@gmail.com</t>
  </si>
  <si>
    <t>Hestialelo86@gmail.com</t>
  </si>
  <si>
    <t>tegarsani544@gmail.com</t>
  </si>
  <si>
    <t>Masaelpusung@gmail.com</t>
  </si>
  <si>
    <t>makikehang10@gmail.com</t>
  </si>
  <si>
    <t>animonster023@gmail.com</t>
  </si>
  <si>
    <t>maurisiolungkang750@gmail.com</t>
  </si>
  <si>
    <t>albertangaghunting@gmail.com</t>
  </si>
  <si>
    <t>SAFITRIAMIN7@GMAIL.COM</t>
  </si>
  <si>
    <t>Mellymark90@gmail.com</t>
  </si>
  <si>
    <t>sagitha.pascal@gmail.com</t>
  </si>
  <si>
    <t>Rachmatiadia2403@gmail.com</t>
  </si>
  <si>
    <t>Vhivifreysi29@gmail.com</t>
  </si>
  <si>
    <t>novasampul6@gmail.com</t>
  </si>
  <si>
    <t>adrianussandil04@gmail.com</t>
  </si>
  <si>
    <t>cindymakatempuge26@gmail.com</t>
  </si>
  <si>
    <t>savitriusman4@gmail.com</t>
  </si>
  <si>
    <t>masrianty23@gmail.com</t>
  </si>
  <si>
    <t>sintaadityabasri@gmail.com</t>
  </si>
  <si>
    <t>claudioparaeng6@gmail.com</t>
  </si>
  <si>
    <t>deflinpetiunaung23@gmail.com</t>
  </si>
  <si>
    <t>mariakarambut@gmail.com</t>
  </si>
  <si>
    <t>jefrimarkus29@gmail.com</t>
  </si>
  <si>
    <t>nurkhumaerahali0@gmail.com</t>
  </si>
  <si>
    <t>Lanietamuntuan@gmail.com</t>
  </si>
  <si>
    <t>bpricilya@gmail.com</t>
  </si>
  <si>
    <t>stevanytampeno27@gmail.com</t>
  </si>
  <si>
    <t>rahmawatirahim867@gmail.com</t>
  </si>
  <si>
    <t>liosojeyfer@gmail.com</t>
  </si>
  <si>
    <t>elianakatriela@gmail.com</t>
  </si>
  <si>
    <t>charismagratia02@gmail.com</t>
  </si>
  <si>
    <t>hunowfitria76@gmail.com</t>
  </si>
  <si>
    <t>meychamahmud@gmail.com</t>
  </si>
  <si>
    <t>mothywenas29@gmail.com</t>
  </si>
  <si>
    <t>priscilliamamesah42@gmail.com</t>
  </si>
  <si>
    <t>tiabalu69@gmail.com</t>
  </si>
  <si>
    <t>marlinatulung3087@gmail.com</t>
  </si>
  <si>
    <t>rinaanggraina108@gmail.com</t>
  </si>
  <si>
    <t>pongayowp@gmail.com</t>
  </si>
  <si>
    <t>astried.sompotan31@gmail.com</t>
  </si>
  <si>
    <t>joymamuaja3@gmail.com</t>
  </si>
  <si>
    <t>wawanolii123@gmail.com</t>
  </si>
  <si>
    <t>christiantonaalinsong@gmail.com</t>
  </si>
  <si>
    <t>bayupr90@gmail.com</t>
  </si>
  <si>
    <t>vctrnapnth@gmail.com</t>
  </si>
  <si>
    <t>devipapia07@gmail.com</t>
  </si>
  <si>
    <t>astridlianip@gmail.com</t>
  </si>
  <si>
    <t>pingkanolivia16@gmail.com</t>
  </si>
  <si>
    <t>faujiasahempa7@gmail.com</t>
  </si>
  <si>
    <t>yunlicemugawe88@gmail.com</t>
  </si>
  <si>
    <t>marsitaamala@gmail.com</t>
  </si>
  <si>
    <t>erfinalamadju60@gmail.com</t>
  </si>
  <si>
    <t>Matiune26@gmail.com</t>
  </si>
  <si>
    <t>hkhotimahhasri@gmail.com</t>
  </si>
  <si>
    <t>retnowathy.sumelung@gmail.com</t>
  </si>
  <si>
    <t>mariskalangi32@gmail.com</t>
  </si>
  <si>
    <t>aprilialina0489@gmail.com</t>
  </si>
  <si>
    <t>bellvaniaderel23@gmail.com</t>
  </si>
  <si>
    <t>emysyah1073@gmail.com</t>
  </si>
  <si>
    <t>Syivafsuleman@gmail.com</t>
  </si>
  <si>
    <t>ramlysunday93@gmail.com</t>
  </si>
  <si>
    <t>welmintjelawendatu72@gmail.com</t>
  </si>
  <si>
    <t>youtjelahay5@gmail.com</t>
  </si>
  <si>
    <t>nurainentengo@yahoo.com</t>
  </si>
  <si>
    <t>erlindakirojan83@gmail.com</t>
  </si>
  <si>
    <t>bertelemiuskuemba@gmail.com</t>
  </si>
  <si>
    <t>gracesenduk55@gmail.com</t>
  </si>
  <si>
    <t>lannycarolina1404@gmail.com</t>
  </si>
  <si>
    <t>lidiabawonte10@gmail.com</t>
  </si>
  <si>
    <t>deasyhengkeng05@gmail.com</t>
  </si>
  <si>
    <t>Erfina K. Lamaju</t>
  </si>
  <si>
    <t>Marsila Mayanti Matiune</t>
  </si>
  <si>
    <t>Husnul Khotimah Hasri</t>
  </si>
  <si>
    <t>Retnowati Sumelung</t>
  </si>
  <si>
    <t>Mariska Langi</t>
  </si>
  <si>
    <t>Lina Aprilia</t>
  </si>
  <si>
    <t>Syerel Sinta Tulus</t>
  </si>
  <si>
    <t>Emy Oktaviani Syah</t>
  </si>
  <si>
    <t>Syifa Fauziah Suleman</t>
  </si>
  <si>
    <t>Ramli Minggu</t>
  </si>
  <si>
    <t>Welmintje Lawendatu</t>
  </si>
  <si>
    <t>Yuche Lahay</t>
  </si>
  <si>
    <t>Nur Ain Entengo</t>
  </si>
  <si>
    <t>Erlinda Kirojan</t>
  </si>
  <si>
    <t>Jayanty Indrianna Gaghansa</t>
  </si>
  <si>
    <t>Grace Marchel Theresia Senduk</t>
  </si>
  <si>
    <t>Yolani Karolinda Djadi</t>
  </si>
  <si>
    <t>Lidia Bawonte</t>
  </si>
  <si>
    <t>Deasy Natalia Hengkeng</t>
  </si>
  <si>
    <t>Vera</t>
  </si>
  <si>
    <t>Firly</t>
  </si>
  <si>
    <t>Alfian</t>
  </si>
  <si>
    <t>Saul</t>
  </si>
  <si>
    <t>Aji</t>
  </si>
  <si>
    <t>Uneth</t>
  </si>
  <si>
    <t>Lasimran</t>
  </si>
  <si>
    <t>Alan</t>
  </si>
  <si>
    <t>NurAlamsyah</t>
  </si>
  <si>
    <t>Oliv</t>
  </si>
  <si>
    <t>Rizky</t>
  </si>
  <si>
    <t>Neivrid</t>
  </si>
  <si>
    <t>Ijan</t>
  </si>
  <si>
    <t>Gabe</t>
  </si>
  <si>
    <t>Puput</t>
  </si>
  <si>
    <t>Iska</t>
  </si>
  <si>
    <t>Handoko</t>
  </si>
  <si>
    <t>Meidy</t>
  </si>
  <si>
    <t>Rudy</t>
  </si>
  <si>
    <t>Meidy@bps.go.id</t>
  </si>
  <si>
    <t>Lasimran@bps.go.id</t>
  </si>
  <si>
    <t>Oliv@bps.go.id</t>
  </si>
  <si>
    <t>Vera@bps.go.id</t>
  </si>
  <si>
    <t>NurAlamsyah@bps.go.id</t>
  </si>
  <si>
    <t>Firly@bps.go.id</t>
  </si>
  <si>
    <t>Rudy@bps.go.id</t>
  </si>
  <si>
    <t>Handoko@bps.go.id</t>
  </si>
  <si>
    <t>Iska@bps.go.id</t>
  </si>
  <si>
    <t>Puput@bps.go.id</t>
  </si>
  <si>
    <t>Ijan@bps.go.id</t>
  </si>
  <si>
    <t>Uneth@bps.go.id</t>
  </si>
  <si>
    <t>Aji@bps.go.id</t>
  </si>
  <si>
    <t>Alan@bps.go.id</t>
  </si>
  <si>
    <t>Gabe@bps.go.id</t>
  </si>
  <si>
    <t>Neivrid@bps.go.id</t>
  </si>
  <si>
    <t>Rizky@bps.go.id</t>
  </si>
  <si>
    <t>Saul@bps.go.id</t>
  </si>
  <si>
    <t>Alfian@bps.go.id</t>
  </si>
  <si>
    <t>email</t>
  </si>
  <si>
    <t>regionCode</t>
  </si>
  <si>
    <t>total</t>
  </si>
  <si>
    <t>APPROVED BY Pengawas</t>
  </si>
  <si>
    <t>DRAFT</t>
  </si>
  <si>
    <t>OPEN</t>
  </si>
  <si>
    <t>REJECTED BY Pengawas</t>
  </si>
  <si>
    <t>REVOKED BY Pengawas</t>
  </si>
  <si>
    <t>SUBMITTED BY Pencacah</t>
  </si>
  <si>
    <t>SUBMITTED RESPONDENT</t>
  </si>
  <si>
    <t>caturhidayah377@gmail.com</t>
  </si>
  <si>
    <t>randimatheos@gmail.com</t>
  </si>
  <si>
    <t>jeinariotiangbanera@gmail.com</t>
  </si>
  <si>
    <t>deitymangaweng09@gmail.com</t>
  </si>
  <si>
    <t>hestialelo86@gmail.com</t>
  </si>
  <si>
    <t>masaelpusung@gmail.com</t>
  </si>
  <si>
    <t>vhivifreysi29@gmail.com</t>
  </si>
  <si>
    <t>rachmatiadia2403@gmail.com</t>
  </si>
  <si>
    <t>pascawatihijrahmeylanlihawa@gmail.com</t>
  </si>
  <si>
    <t>nindychristiani17@gmail.com</t>
  </si>
  <si>
    <t>meriatisaselah@gmail.com</t>
  </si>
  <si>
    <t>hengkengsiska@gmail.com</t>
  </si>
  <si>
    <t>safitriamin7@gmail.com</t>
  </si>
  <si>
    <t>mellymark90@gmail.com</t>
  </si>
  <si>
    <t>lanietamuntuan@gmail.com</t>
  </si>
  <si>
    <t>PPL</t>
  </si>
  <si>
    <t>PML</t>
  </si>
  <si>
    <t>TASKFORCE</t>
  </si>
  <si>
    <t>Devita Maria Kristi Simpaen</t>
  </si>
  <si>
    <t>Glaudia Enjela Sasindua</t>
  </si>
  <si>
    <t>Yunita Shyntia Mangosa</t>
  </si>
  <si>
    <t>Rini Yani Aalung</t>
  </si>
  <si>
    <t>Maliny Ocnelia Tumandung</t>
  </si>
  <si>
    <t>Sumirani Gude</t>
  </si>
  <si>
    <t>Meily Ingkiriwang</t>
  </si>
  <si>
    <t>Misnawati Mustamin</t>
  </si>
  <si>
    <t>Gersony Sirus Kakondo</t>
  </si>
  <si>
    <t>Tesalonika Lohige</t>
  </si>
  <si>
    <t>Reynold Samandi</t>
  </si>
  <si>
    <t>Aini Nurotul Salsa</t>
  </si>
  <si>
    <t>Vebrianti Mandak</t>
  </si>
  <si>
    <t>Marsella Jenever Bidure</t>
  </si>
  <si>
    <t>Mercy Grace Kampong</t>
  </si>
  <si>
    <t>Getruida Reity Rolly Lambey</t>
  </si>
  <si>
    <t>Herce Dahlia</t>
  </si>
  <si>
    <t>Salsabila Bilondatu</t>
  </si>
  <si>
    <t>Dinda Pricilia Lestari Alelo</t>
  </si>
  <si>
    <t>Pascawati Hijrah Meylan Lihawa</t>
  </si>
  <si>
    <t>Septiani Manueke</t>
  </si>
  <si>
    <t>Juwita Daud</t>
  </si>
  <si>
    <t>Kesya Puide</t>
  </si>
  <si>
    <t>Deysi Kumenit</t>
  </si>
  <si>
    <t>Dhea Ruwayda</t>
  </si>
  <si>
    <t>Indah Permata Tangkudung</t>
  </si>
  <si>
    <t>Gabriella Jessica Mamuaja</t>
  </si>
  <si>
    <t>Nevallio Agimat Kere</t>
  </si>
  <si>
    <t>Kevin Alfaraldo Valeri Tendean</t>
  </si>
  <si>
    <t>Jenny Petiunaung</t>
  </si>
  <si>
    <t>Nayla Valen Lincewas</t>
  </si>
  <si>
    <t>Aprilia Dewi Bulangkaehe</t>
  </si>
  <si>
    <t>Normawati Nabir</t>
  </si>
  <si>
    <t>Victoria Greimar Sopacua</t>
  </si>
  <si>
    <t>Nanda Novita Hidayahti</t>
  </si>
  <si>
    <t>Septiani Cindy Grasela Lolaro</t>
  </si>
  <si>
    <t>Januarius</t>
  </si>
  <si>
    <t>Mukhlis Karim</t>
  </si>
  <si>
    <t>Juliana Tangdilian</t>
  </si>
  <si>
    <t>Siane Karolina Legi</t>
  </si>
  <si>
    <t>Monica Aprilia Rompas</t>
  </si>
  <si>
    <t>Nurhayati Entengo</t>
  </si>
  <si>
    <t>Yulianti Daud</t>
  </si>
  <si>
    <t>Nurlaila Limonu</t>
  </si>
  <si>
    <t>Frynie Dewi Mercuria Waworundeng</t>
  </si>
  <si>
    <t>Yohana Angreine Lambayang</t>
  </si>
  <si>
    <t>Christo Angkouw</t>
  </si>
  <si>
    <t>Catur Hidayah Katili</t>
  </si>
  <si>
    <t>Floren Stefanny Gaus</t>
  </si>
  <si>
    <t>Veren Veronica Katego</t>
  </si>
  <si>
    <t>Nindy Christiani Tambanaung</t>
  </si>
  <si>
    <t>Maria Feibyola Katoronang</t>
  </si>
  <si>
    <t>Intan Makaoho</t>
  </si>
  <si>
    <t>Maria Yovita Dengah</t>
  </si>
  <si>
    <t>Allen Feby Ruitang</t>
  </si>
  <si>
    <t>Helmy Tumimbang</t>
  </si>
  <si>
    <t>Melki Sarante</t>
  </si>
  <si>
    <t>Jesika Arianti Rakinaung</t>
  </si>
  <si>
    <t>Yunike Takarenguang</t>
  </si>
  <si>
    <t>Josefa Theodora Tumimbang</t>
  </si>
  <si>
    <t>Alvionita D Handayani Pemberian</t>
  </si>
  <si>
    <t>Kristin Lilien Warouw</t>
  </si>
  <si>
    <t>Cindy Gabriella Jebe Tukan</t>
  </si>
  <si>
    <t>Amanda Aprilia Ambat</t>
  </si>
  <si>
    <t>Deddy Indra Lahete</t>
  </si>
  <si>
    <t>Amelia Irene Prastyca Putri Nanna</t>
  </si>
  <si>
    <t>Jeinario Tiangbanera</t>
  </si>
  <si>
    <t>Rosdayanty Dwi Ningsih Mustakim</t>
  </si>
  <si>
    <t>Yunius Muasa</t>
  </si>
  <si>
    <t>Anastasia Caristi Ayu Rakinaung</t>
  </si>
  <si>
    <t>Yavia Luminuhe</t>
  </si>
  <si>
    <t>Alva Nola Stri Santi Wagiu</t>
  </si>
  <si>
    <t>Yuliana Maaameah</t>
  </si>
  <si>
    <t>John Willy Lengkong</t>
  </si>
  <si>
    <t>Siska Nofia Hengkeng</t>
  </si>
  <si>
    <t>Marlitha Sintia Ayu Makasenda</t>
  </si>
  <si>
    <t>Ariyantji Margaret Euodia Repi</t>
  </si>
  <si>
    <t>Rifni Sikome</t>
  </si>
  <si>
    <t>Ovelia Sahoa</t>
  </si>
  <si>
    <t>Hesti Alelo</t>
  </si>
  <si>
    <t>Tegar Surya Kelana Sani</t>
  </si>
  <si>
    <t>Merlin Arianty Pusung</t>
  </si>
  <si>
    <t>Prisilia Vania Makikehang</t>
  </si>
  <si>
    <t>Onponius Paulus</t>
  </si>
  <si>
    <t>Maurisio Rafael Lungkang</t>
  </si>
  <si>
    <t>Erlis Oktaviani Gaghunting</t>
  </si>
  <si>
    <t>Safitri Dewi Bin Amin</t>
  </si>
  <si>
    <t>Meylona Paula Bong</t>
  </si>
  <si>
    <t>Juhuria Sambayang</t>
  </si>
  <si>
    <t>Rachmatia Dia</t>
  </si>
  <si>
    <t>Viny Alfionita Sinsu</t>
  </si>
  <si>
    <t>Nova Sampul</t>
  </si>
  <si>
    <t>Adrianus Corneles Sandil</t>
  </si>
  <si>
    <t>Savitri Usman</t>
  </si>
  <si>
    <t>Masrianty Patilima</t>
  </si>
  <si>
    <t>Sinta Aditia Basri</t>
  </si>
  <si>
    <t>Claudio Mitchel Marcelino Paraeng</t>
  </si>
  <si>
    <t>Deflin Petiunaung</t>
  </si>
  <si>
    <t>Maria Karambut</t>
  </si>
  <si>
    <t>Susdianti Dalellgi</t>
  </si>
  <si>
    <t>Nur Khumaerah Ali</t>
  </si>
  <si>
    <t>Meilanie Maria Chintanie Tamuntuan</t>
  </si>
  <si>
    <t>Brigita Pricilya Tetto</t>
  </si>
  <si>
    <t>MEYVI S LAHIMADE</t>
  </si>
  <si>
    <t>Jeyfer Victori Lioso</t>
  </si>
  <si>
    <t>Mutiara Mokoginta</t>
  </si>
  <si>
    <t>Kharisma Gratia Miranda Parera</t>
  </si>
  <si>
    <t>Fitria Srimulyati Hunow</t>
  </si>
  <si>
    <t>Meycha Mahmud</t>
  </si>
  <si>
    <t>Olivia Brigita Batukarang</t>
  </si>
  <si>
    <t>Priscillia Andriane Mamesah</t>
  </si>
  <si>
    <t>Rahmatia Balu</t>
  </si>
  <si>
    <t>Marlina Yovita Tulung</t>
  </si>
  <si>
    <t>Anggraina Kahiking</t>
  </si>
  <si>
    <t>Patricia Veronica</t>
  </si>
  <si>
    <t>Astried Ega Coroline Sompotan</t>
  </si>
  <si>
    <t>Joy Jeremi Mamuaja</t>
  </si>
  <si>
    <t>Ali Kurniawan Olii</t>
  </si>
  <si>
    <t>Christianto Geraldi Naalinsong</t>
  </si>
  <si>
    <t>Victorina Aurelia Miracle Pontoh</t>
  </si>
  <si>
    <t>Defi Papia</t>
  </si>
  <si>
    <t>Astri Liani Patiro</t>
  </si>
  <si>
    <t>Pingkan Cindy Olivia</t>
  </si>
  <si>
    <t>Faujia Sahempa</t>
  </si>
  <si>
    <t>Yunlice Mugawe</t>
  </si>
  <si>
    <t>Marsita Melania Sarci Amala</t>
  </si>
  <si>
    <t>PROGRESS</t>
  </si>
  <si>
    <t>NAMA PETUGAS</t>
  </si>
  <si>
    <t>JABATAN</t>
  </si>
  <si>
    <t>KEMARIN</t>
  </si>
  <si>
    <t>HARI INI</t>
  </si>
  <si>
    <t>-</t>
  </si>
  <si>
    <t>muchsinlatif340@gmail.com</t>
  </si>
  <si>
    <t>Muchsin Latif</t>
  </si>
  <si>
    <t>TARGET</t>
  </si>
  <si>
    <t>TANGGAL</t>
  </si>
  <si>
    <t>HARI</t>
  </si>
  <si>
    <t>2 HARI LALU</t>
  </si>
  <si>
    <t>STATUS</t>
  </si>
  <si>
    <t>PERSENTASE</t>
  </si>
  <si>
    <t>EDITED BY Admin Kabupaten</t>
  </si>
  <si>
    <t>Column1</t>
  </si>
  <si>
    <t>REJECTED BY Admin Kabupaten</t>
  </si>
  <si>
    <t>TANGGAL_DATA</t>
  </si>
  <si>
    <t>Mariati Saselah</t>
  </si>
  <si>
    <t>NAMA PERUSAHAAN</t>
  </si>
  <si>
    <t>Email</t>
  </si>
  <si>
    <t>UB</t>
  </si>
  <si>
    <t>Tim 1 Alfian</t>
  </si>
  <si>
    <t>MEMBANGUN SULUT MAJU PERSERODA DISINGKAT MESMA</t>
  </si>
  <si>
    <t>Bitung</t>
  </si>
  <si>
    <t>Tim 2 Uneth</t>
  </si>
  <si>
    <t>AGEN JUAL BERAS &lt;RAIS&gt;</t>
  </si>
  <si>
    <t>PATETEN SATU</t>
  </si>
  <si>
    <t>Tim 3 Prih</t>
  </si>
  <si>
    <t>TEMPAT JUAL PAKAN TERNAK</t>
  </si>
  <si>
    <t>JL WOLTER MONGINSIDI</t>
  </si>
  <si>
    <t>Tim 4 Handoko</t>
  </si>
  <si>
    <t>SAMUDRA MANDIRI SENTOSA PT</t>
  </si>
  <si>
    <t>JL.WOLTER MONGINSIDI WANGURER TIMUR</t>
  </si>
  <si>
    <t>MADIDIR</t>
  </si>
  <si>
    <t>WANGURER TIMUR</t>
  </si>
  <si>
    <t>JASA ANGKUTAN</t>
  </si>
  <si>
    <t>KAMPUNG BUTON KOMP PESANTREN RT: 9</t>
  </si>
  <si>
    <t>BANK MANDIRI TASPEN</t>
  </si>
  <si>
    <t>JL GIRIAN WERU DUA</t>
  </si>
  <si>
    <t>MANEMBO NEMBO</t>
  </si>
  <si>
    <t>AWILTON NYIUR INTERNASIONAL</t>
  </si>
  <si>
    <t>KAWASAN EKONOMI KHUSUS JL.SAGERAT LINGKUNGAN III</t>
  </si>
  <si>
    <t>TANJUNG MERAH</t>
  </si>
  <si>
    <t>MAPALUS MAKAWANUA CHARCOAL -INDUSTRY, PT</t>
  </si>
  <si>
    <t>PT Adira Dinamika Multi Finance Tbk, Kantor Representative Office Sulawesi</t>
  </si>
  <si>
    <t>Jl. Raya Madidir Kel. Paceda Kec. Madidir Kota Bitung 95517 Sulawesi Utara</t>
  </si>
  <si>
    <t>DWI MATRA SAKTI, PT</t>
  </si>
  <si>
    <t>JALAN RAYA BITUNG MANADO DEPAN PATUNG KUDA</t>
  </si>
  <si>
    <t>PT Sari Usaha Mandiri</t>
  </si>
  <si>
    <t>jalan efraim lengkong, namembo nembo</t>
  </si>
  <si>
    <t>pt. bANK rAKYAT iNDONESIA UNIT SAGERAT</t>
  </si>
  <si>
    <t>SINAR KARYA MEGA PERSADA</t>
  </si>
  <si>
    <t>JL MANEMBO-NEMBO ATAS LINGK.I, MATUARI</t>
  </si>
  <si>
    <t>PT Pegadaian Persero UPC MANEMBO NEMBO</t>
  </si>
  <si>
    <t>Jl. Stadion Dua Saudara</t>
  </si>
  <si>
    <t>WARUNG SEMBAKO (OCHA)</t>
  </si>
  <si>
    <t>KAMPUNG BUTON KOMP PESANTREN</t>
  </si>
  <si>
    <t>JL LINGK V, KOMP RUKO SARI PLAZA B 1 DAN 2</t>
  </si>
  <si>
    <t>ULAM LAUT NUSANTARA</t>
  </si>
  <si>
    <t>Lingkungan II, Kelurahan Sagerat, Kecamatan Matuari, Kota Bitung</t>
  </si>
  <si>
    <t>TONG BITUNG JAYA</t>
  </si>
  <si>
    <t>Kota Bitung</t>
  </si>
  <si>
    <t>NUTRINDO FRESHFOOD, PT</t>
  </si>
  <si>
    <t>JL. KEMA BITUNG</t>
  </si>
  <si>
    <t>PEGADAIAN, PT</t>
  </si>
  <si>
    <t>JLN RAYA PINOKALAN</t>
  </si>
  <si>
    <t>SAMPING KANTOR LURAH WINENET SATU</t>
  </si>
  <si>
    <t>JUAL DAGING SAPI &lt;HJ.RINTO&gt;</t>
  </si>
  <si>
    <t>PASAR WINENET</t>
  </si>
  <si>
    <t>WINENET DUA</t>
  </si>
  <si>
    <t>CARVINNA TRIJAYA MAKMUR, PT</t>
  </si>
  <si>
    <t>JLN ARNOLDUS SOMPOTAN RT: 001 RW: 001</t>
  </si>
  <si>
    <t>BINTANG MANDIRI BERSAUDARA, PT</t>
  </si>
  <si>
    <t>JLN RAYA TANDURUSA</t>
  </si>
  <si>
    <t>BUDI SENTOSA ABADI, PT</t>
  </si>
  <si>
    <t>JL. Samuel Lunguyu No. 10 Aertembaga Satu</t>
  </si>
  <si>
    <t>JLN XAVERIUS DOTULONG NO 29</t>
  </si>
  <si>
    <t>ABADI NUSANTARA UTAMA</t>
  </si>
  <si>
    <t>JL XAVERIUS DOTULONG LINGKUNGAN II</t>
  </si>
  <si>
    <t>PT PELINDO 4 &lt;PERSERO&gt; TERMINAL PETIKEMAS BITUNG</t>
  </si>
  <si>
    <t>KELURAHAN PATETEN SATU LINGKUNGAN 02 RT 05</t>
  </si>
  <si>
    <t>SAMUDERA PURANABILE ABADI</t>
  </si>
  <si>
    <t>JL SAMUEL LANGUYU LINGK.I BITUNG, WINENET SATU</t>
  </si>
  <si>
    <t>SARI TUNA MAKMUR</t>
  </si>
  <si>
    <t>JL KOMPLEKS PELABUHAN PERIKANAN NUSANTARA, AERTEMBAGA SATU</t>
  </si>
  <si>
    <t>PEDAGANG REMPAH &lt;SULEMAN&gt;</t>
  </si>
  <si>
    <t>PATETEN DUA</t>
  </si>
  <si>
    <t>BANK SYARIAH MEGA INDONESIA</t>
  </si>
  <si>
    <t>JL SAMUEL LANGUYU, KOMPLEKS RUKO PATETEN BLOK A6, PATETEN DUA</t>
  </si>
  <si>
    <t>BRI UNIT PATETEN</t>
  </si>
  <si>
    <t>ETMIECO MAKMUR ABADI</t>
  </si>
  <si>
    <t>JL. AERTEMABAGA</t>
  </si>
  <si>
    <t>Djakarta Lloyd PT Persero</t>
  </si>
  <si>
    <t>Jl FX Dotulong Lingk II 145</t>
  </si>
  <si>
    <t>MADIDIR URE</t>
  </si>
  <si>
    <t>Dharma Lautan Nusantara PT</t>
  </si>
  <si>
    <t>Grapari Bitung, TELEKOMUNIKASI INDONESIA SELULER, PT</t>
  </si>
  <si>
    <t>JL.RAYA MADIDIR NO. 42</t>
  </si>
  <si>
    <t>PT. Salim Ivomas Pratama, Tbk., Pabrik Kopra Provinsi Sulawesi Utara</t>
  </si>
  <si>
    <t>madidir kota bitung</t>
  </si>
  <si>
    <t>JL.XAVERIUS DOTULONG MADIDIR WERU</t>
  </si>
  <si>
    <t>INDOFOOD CBP SUKSES MAKMUR, PT</t>
  </si>
  <si>
    <t>JL. WALANDA MARAMIS KELURAHAN MADIDIR WERU</t>
  </si>
  <si>
    <t>MANADO MINA CITRA TARUNA PT</t>
  </si>
  <si>
    <t>SINAR PURE FOODS INTERNATION,pt</t>
  </si>
  <si>
    <t>JL.BABE PALAR</t>
  </si>
  <si>
    <t>DEHO CANNING COMPANY, PT</t>
  </si>
  <si>
    <t>JL. MADIDIR-BITUNG KEL PACEDA</t>
  </si>
  <si>
    <t>RD PACIFIK INTERNATIONAL, PT</t>
  </si>
  <si>
    <t>JL. RAYA MADIDIR KELURAHAN PACEDA</t>
  </si>
  <si>
    <t>WOLTER MONGINSIDI LINGKUNGAN III</t>
  </si>
  <si>
    <t>WANGURER BARAT</t>
  </si>
  <si>
    <t>KERISMAS WITIKCO MAKMUR, PT</t>
  </si>
  <si>
    <t>JL. WALANDA MARAMIS NO 18 KEL MADIDIR WERU BITUNG</t>
  </si>
  <si>
    <t>TOWER BERSAMA, PT</t>
  </si>
  <si>
    <t>LINGKUNGAN 3, WANGURER UTARA, MADIDIR</t>
  </si>
  <si>
    <t>TOKO SEMBAKO REGION</t>
  </si>
  <si>
    <t>JL. SAM RATULANGI NO 51, MADIDIR WERU, MADIDIR</t>
  </si>
  <si>
    <t>15003@bankmandiri.co.id</t>
  </si>
  <si>
    <t>CAHAYA KADOODAN</t>
  </si>
  <si>
    <t>SALIM IVOMAS PRATAMA, PT</t>
  </si>
  <si>
    <t>JL. WALANDA MARAMIS RT: RW: KODEPOS: 95513</t>
  </si>
  <si>
    <t>JLN XAVERIUS DOTULONG</t>
  </si>
  <si>
    <t>TIGA BERLIAN ASIANA . PT</t>
  </si>
  <si>
    <t>MULTI NABATI SULAWESI PT</t>
  </si>
  <si>
    <t>JALAN BABE PALAR</t>
  </si>
  <si>
    <t>BANK BRI pt</t>
  </si>
  <si>
    <t>KELURAHAN PACED A</t>
  </si>
  <si>
    <t>BANK MANDIRI (PERSERO) TBK CABANG GIRIAN</t>
  </si>
  <si>
    <t>JL WOLTER MONGINSIDI KOMPLEKS RUKO RIZKY INDAH</t>
  </si>
  <si>
    <t>PT BANK MANDIRI &lt;SEPTIAN BAGUS&gt;</t>
  </si>
  <si>
    <t>Jl. Wolter Monginsidi Girian Weru Dua</t>
  </si>
  <si>
    <t>POS INDONESIA (PERSERO), PT</t>
  </si>
  <si>
    <t>JL WOLTER MONGINSIDI NO 161</t>
  </si>
  <si>
    <t>CATALIST INTEGRA PRIMA SUKSES, PT</t>
  </si>
  <si>
    <t>JL. WOLTER MONGINSIDI</t>
  </si>
  <si>
    <t>KIOS SEMBAKO &lt;NOVAL&gt;</t>
  </si>
  <si>
    <t>WINENET DUA RT: PASAR WINENET RW: LINGKUNGAN 2</t>
  </si>
  <si>
    <t>CAHAYA SIDRAP HJ AL</t>
  </si>
  <si>
    <t>JUAL IKAN SEGAR (NURDIN)</t>
  </si>
  <si>
    <t>TWO FISH DIVERS</t>
  </si>
  <si>
    <t>MAWALI LIN II</t>
  </si>
  <si>
    <t>PT. DAYAMITRA TELEKOMUNIKASI</t>
  </si>
  <si>
    <t>LING.III, GUNUNG WOKA, LEMBEH UTARA</t>
  </si>
  <si>
    <t>PT BANK SYARIAH MANDIRI/BANK Syariah Indonesia</t>
  </si>
  <si>
    <t>BITUNG TENGAH LINGKUNGAN 02</t>
  </si>
  <si>
    <t>BANK CENTRAL ASIA TBK.</t>
  </si>
  <si>
    <t>JALAN BITUNG TENGAH</t>
  </si>
  <si>
    <t>PT. Bank Mega Tbk, Kantor Cabang BITUNG</t>
  </si>
  <si>
    <t>Jl. Yos Sudarso No. 1</t>
  </si>
  <si>
    <t>TOKO ALVIN JAYA</t>
  </si>
  <si>
    <t>KOMP ANGKATAN LAUT</t>
  </si>
  <si>
    <t>PT Bank Danamon Tbk., Kantor Cabang Bitung-Yos Sudarso</t>
  </si>
  <si>
    <t>JL. YOS SUDARSO NO. 76, KEL. BITUNG TENGAH, KOTA BITUNG, SULAWESI UTARA, 95522</t>
  </si>
  <si>
    <t>BANK RAKYAT INDONESIA (PERSERO) TBK, PT</t>
  </si>
  <si>
    <t>JL SUDIRMAN</t>
  </si>
  <si>
    <t>Bancaasurance BNI Life Sulawesi Utara VII</t>
  </si>
  <si>
    <t>Jl. Komplek Pasar Sentral Dan Stasiun Bus Bitung</t>
  </si>
  <si>
    <t>BITUNG TIMUR</t>
  </si>
  <si>
    <t>BANK OCBC N I S P TBK</t>
  </si>
  <si>
    <t>JL SAMRATULANGI</t>
  </si>
  <si>
    <t>BANK NEGARA INDONESIA</t>
  </si>
  <si>
    <t>JL KOMP.PASAR SENTRAL, BITUNG BARAT SATU</t>
  </si>
  <si>
    <t>GEMBIRA, UD</t>
  </si>
  <si>
    <t>BANK BRI PT</t>
  </si>
  <si>
    <t>JL YOS SUDARSO</t>
  </si>
  <si>
    <t>PT. Bank Tabungan Negara Persero Tbk. Kantor Cabang Pembantu Bitung</t>
  </si>
  <si>
    <t>Jl. Sam Ratulangi No. 3</t>
  </si>
  <si>
    <t>PERDAGANGAN IKAN KERING &lt;HJ DARAKI&gt;</t>
  </si>
  <si>
    <t>PATETEN TIGA</t>
  </si>
  <si>
    <t>SINAR MAROS</t>
  </si>
  <si>
    <t>PT BANK NEGARA INDONESIA CABANG BITUNG</t>
  </si>
  <si>
    <t>JL. SAMRATULANGI NO.12</t>
  </si>
  <si>
    <t>PT Pegadaian (Persero), UPS Bitung</t>
  </si>
  <si>
    <t>JL. SAMRATULANGI KOMPLEKS PERTOKOAN BITUNG</t>
  </si>
  <si>
    <t>PT Panin Bank Tbk, cabang Bitung</t>
  </si>
  <si>
    <t>Jl. Yos Sudarso No.52, Bitung</t>
  </si>
  <si>
    <t>Sarana Bandar Nasional, Kantor Cabang Bitung</t>
  </si>
  <si>
    <t>Jl. Desa Sumolang No. 4, Bitung</t>
  </si>
  <si>
    <t>PERTAMINA TRANS KONTINENTAL, SUBCABANG MAKASSAR (BITUNG)</t>
  </si>
  <si>
    <t>Jl. Yos Sudarso No. 1 Bitung - Sulawesi Utara</t>
  </si>
  <si>
    <t>BANK ARTHA GRAHA INTERNASIONAL TBK PT</t>
  </si>
  <si>
    <t>JL IR SOEKARNO BITUNG</t>
  </si>
  <si>
    <t>BANK SULUT GO PT</t>
  </si>
  <si>
    <t>JL. YOS SUDARSO NO. 13/12 TELP. (0438) 21011,21218 FAX (0438) 30492 (PASAR TUA LINGKUNGAN 4)</t>
  </si>
  <si>
    <t>DOK KELAPA DUA PERMAI, PT</t>
  </si>
  <si>
    <t>JL. YOS SIDARSO NO 47</t>
  </si>
  <si>
    <t>dokkelapadua@gmail.com</t>
  </si>
  <si>
    <t>AGRO MAKMUR RAYA, PT</t>
  </si>
  <si>
    <t>JL. IR. SOEKARNO NO. 1, KECAMATAN MAESA</t>
  </si>
  <si>
    <t>BANK TABUNGAN NEGARA KCP BITUNG</t>
  </si>
  <si>
    <t>Jl. Sam Ratulangi No.83, Bitung Bar. Dua, Kec. Maesa, Kota Bitung, Sulawesi Utara 95521</t>
  </si>
  <si>
    <t>PATHEMAANG RAYA, PT</t>
  </si>
  <si>
    <t>PERTOKOAN , JL YOS SUDARSO , NO. 02, RT. 008, RW. 003</t>
  </si>
  <si>
    <t>CELEBES MINAPRATAMA</t>
  </si>
  <si>
    <t>JL WOLTER MONGINSIDI KM 5 WANGURER TIMUR LINGKUNGAN 01</t>
  </si>
  <si>
    <t>WARUNG SEMBAKO &lt;YOAN&gt;</t>
  </si>
  <si>
    <t>JL PASAR GIRIAN</t>
  </si>
  <si>
    <t>JL. WOLTER MONGINSIDI NO. 3</t>
  </si>
  <si>
    <t>FAST FOOD INDONESIA, PT</t>
  </si>
  <si>
    <t>JL. WOLTER MONGINSIDI, GIRIAN INDAH, KEC. GIRIAN, KOTA BITUNG</t>
  </si>
  <si>
    <t>BANK BNI KANTOR KAS</t>
  </si>
  <si>
    <t>PT. BANK BTPN &lt;SADRAK AMTOR&gt;</t>
  </si>
  <si>
    <t>Lingkungan 3 RT 1</t>
  </si>
  <si>
    <t>WARUNG SEMBAKO &lt;HENI&gt;</t>
  </si>
  <si>
    <t>JLN TAYEB</t>
  </si>
  <si>
    <t>GIRIAN BAWAH</t>
  </si>
  <si>
    <t>BANK KUMAPAN</t>
  </si>
  <si>
    <t>PABRIK TEMPE TAHU</t>
  </si>
  <si>
    <t>KEMBAR JAYA BITUNG, CV</t>
  </si>
  <si>
    <t>PERUM EDELWEIS BLOK A NO 32</t>
  </si>
  <si>
    <t>JL S.H SARUNDAJANG</t>
  </si>
  <si>
    <t>DHARMABHAKTI EKAPERDANA, PT</t>
  </si>
  <si>
    <t>Lingkungan 2</t>
  </si>
  <si>
    <t>DELTA PASIFIC INDOTUNA, PT</t>
  </si>
  <si>
    <t>JL VETERAN GIRIAN BAWAH</t>
  </si>
  <si>
    <t>WARUNG SEMBAKO &lt;SALIM&gt;</t>
  </si>
  <si>
    <t>DAUR ULANG BAN BEKAS</t>
  </si>
  <si>
    <t>JL ASIA AFRIKA</t>
  </si>
  <si>
    <t>LAUT BIRU SEAFOOD, PT</t>
  </si>
  <si>
    <t>JL LUMBA-LUMBA GIRIAN BAWAH</t>
  </si>
  <si>
    <t>BANK BRI (TERAS)</t>
  </si>
  <si>
    <t>JUAL AYAM &lt;SARTON&gt;</t>
  </si>
  <si>
    <t>PASAR GIRIAN</t>
  </si>
  <si>
    <t>RIZKY KURNIA ABADI JAYA</t>
  </si>
  <si>
    <t>LINGKUNGAN 3 RT. 004 RW. 003</t>
  </si>
  <si>
    <t>BANK BRI</t>
  </si>
  <si>
    <t>BANK PERKREDITAN RAKYAT DANAKU MAPAN LESTARI</t>
  </si>
  <si>
    <t>JL CH TAULU</t>
  </si>
  <si>
    <t>BANK SULUT</t>
  </si>
  <si>
    <t>PASAR TRADISIONAL</t>
  </si>
  <si>
    <t>K2 LEMBEH DIVE RESORT</t>
  </si>
  <si>
    <t>PT Sinar Mas Multifinance, Kantor Cabang Bitung</t>
  </si>
  <si>
    <t>Jl. Raya Wangurer Gedung Bank Sinarmas Lt. 2 Bitung</t>
  </si>
  <si>
    <t>IKAN SAMUDERA INDONESIA</t>
  </si>
  <si>
    <t>anpingsf.ind@gmail.com</t>
  </si>
  <si>
    <t>INDO LAUTAN MAS, PT</t>
  </si>
  <si>
    <t>MARINA NUSANTARA SELARAS, PT</t>
  </si>
  <si>
    <t>MANEMBO-NEMBO</t>
  </si>
  <si>
    <t>ANPING SEAFOOD INDONESIA</t>
  </si>
  <si>
    <t>PALMA MARINAIO NUSANTARA, pt</t>
  </si>
  <si>
    <t>LINGKUNGAN III</t>
  </si>
  <si>
    <t>FUTAI SULAWESI UTARA PT</t>
  </si>
  <si>
    <t>CITRA SAMUDRA NUSANTARA</t>
  </si>
  <si>
    <t>PT Multi Duta Cipta</t>
  </si>
  <si>
    <t>KEK Bitung</t>
  </si>
  <si>
    <t>PT. IKAN SAMUDRA INDONESIA</t>
  </si>
  <si>
    <t>Jln Efram Lengkong, Manembo-Nembo Bawah</t>
  </si>
  <si>
    <t>PT. TONG BITUNG JAYA</t>
  </si>
  <si>
    <t>Kel. Manembo-Nembo, Kec. Matuari, Kota Bitung, Sulawesi Utara</t>
  </si>
  <si>
    <t>PT. KABASARAN TRITIS INTERNASIONAL</t>
  </si>
  <si>
    <t>Kecamatan Matuari, Kota Bitung</t>
  </si>
  <si>
    <t>SAMUDRA ULAM NUSANTARA</t>
  </si>
  <si>
    <t>INDO JAYA FORTUNA, PT</t>
  </si>
  <si>
    <t>Fasih Logo</t>
  </si>
  <si>
    <t>Surveys</t>
  </si>
  <si>
    <t>SENSUS EKONOMI 2026 - UB</t>
  </si>
  <si>
    <t>pencacahan</t>
  </si>
  <si>
    <t>PENDATAAN</t>
  </si>
  <si>
    <t>9 Mei 2026 s.d 31 Agu 2026</t>
  </si>
  <si>
    <t>43 hari tersisa</t>
  </si>
  <si>
    <t>Kembali ke Aplikasi LamaDocumentation</t>
  </si>
  <si>
    <t>UMUM</t>
  </si>
  <si>
    <t>Ringkasan</t>
  </si>
  <si>
    <t>Lookup</t>
  </si>
  <si>
    <t>PERIODE</t>
  </si>
  <si>
    <t>Ctrl+B</t>
  </si>
  <si>
    <t>09 Mei 2026 - 31 Agt 2026</t>
  </si>
  <si>
    <t>Dasbor</t>
  </si>
  <si>
    <t>Data</t>
  </si>
  <si>
    <t>MANAJEMEN SAMPEL</t>
  </si>
  <si>
    <t>Tarik Sampel</t>
  </si>
  <si>
    <t>MANAJEMEN AKSES</t>
  </si>
  <si>
    <t>Petugas</t>
  </si>
  <si>
    <t>Ctrl+S</t>
  </si>
  <si>
    <t>Data hasil pendataan</t>
  </si>
  <si>
    <t>Status Assignment</t>
  </si>
  <si>
    <t>Semua</t>
  </si>
  <si>
    <t>Tipe: Target</t>
  </si>
  <si>
    <t>Penugasan: Semua</t>
  </si>
  <si>
    <t>Aksi Lainnya</t>
  </si>
  <si>
    <t>Kolom</t>
  </si>
  <si>
    <t>Kode Identitas</t>
  </si>
  <si>
    <t>Nama Perusahaan</t>
  </si>
  <si>
    <t>Nama Komersial</t>
  </si>
  <si>
    <t>Alamat</t>
  </si>
  <si>
    <t>ID SBR</t>
  </si>
  <si>
    <t>NIB</t>
  </si>
  <si>
    <t>Kategori 2025</t>
  </si>
  <si>
    <t>Status</t>
  </si>
  <si>
    <t>Mode</t>
  </si>
  <si>
    <t>Petugas Saat Ini</t>
  </si>
  <si>
    <t>Keterangan</t>
  </si>
  <si>
    <t>7172000000000000 - UB - 79</t>
  </si>
  <si>
    <t>7172000000000000 - UB - 797172000000000000 - UB - 79</t>
  </si>
  <si>
    <t>open</t>
  </si>
  <si>
    <t>CAWI</t>
  </si>
  <si>
    <t>ahlipoeto</t>
  </si>
  <si>
    <t>Pencacah</t>
  </si>
  <si>
    <t>7172000000000000 - UB - 74</t>
  </si>
  <si>
    <t>L</t>
  </si>
  <si>
    <t>submitted by pencacah</t>
  </si>
  <si>
    <t>CAPI</t>
  </si>
  <si>
    <t>meidy</t>
  </si>
  <si>
    <t>Pengawas</t>
  </si>
  <si>
    <t>7172000000000000 - UB - 77</t>
  </si>
  <si>
    <t>7172000000000000 - UB - 7</t>
  </si>
  <si>
    <t>fcd.tax@ocbcnisp.com</t>
  </si>
  <si>
    <t>7172000000000000 - UB - 32</t>
  </si>
  <si>
    <t>7172000000000000 - UB - 25</t>
  </si>
  <si>
    <t>etmieco.ma@yahoo.com</t>
  </si>
  <si>
    <t>7172000000000000 - UB - 50</t>
  </si>
  <si>
    <t>kcp.bitung@btn.co.id</t>
  </si>
  <si>
    <t>7172000000000000 - UB - 8</t>
  </si>
  <si>
    <t>BANK MANDIRI (PERSERO) TBK</t>
  </si>
  <si>
    <t>NIB DARI KANTOR PUSAT DI JAKARTA</t>
  </si>
  <si>
    <t>draft</t>
  </si>
  <si>
    <t>7172000000000000 - UB - 85</t>
  </si>
  <si>
    <t>WARUNG SEMBAKO (OCHA) [WARUNG SEMBAKO (OCHA)]</t>
  </si>
  <si>
    <t>7172000000000000 - UB - 52</t>
  </si>
  <si>
    <t>GEMBIRA, UD [GEMBIRA, UD]</t>
  </si>
  <si>
    <t>7172000000000000 - UB - 100</t>
  </si>
  <si>
    <t>KEMBAR JAYA BITUNG, CV [CV KEMBAR JAYA BITUNG]</t>
  </si>
  <si>
    <t>G</t>
  </si>
  <si>
    <t>7172000000000000 - UB - 43</t>
  </si>
  <si>
    <t>PT. IKAN SAMUDRA INDONESIA [PT. IKAN SAMUDRA INDONESIA]</t>
  </si>
  <si>
    <t>7172000000000000 - UB - 20</t>
  </si>
  <si>
    <t>samuderapuranabileabadi.bitung@gmail.com</t>
  </si>
  <si>
    <t>7172000000000000 - UB - 51</t>
  </si>
  <si>
    <t>SINAR MAROS [SINAR MAROS BENGKEL]</t>
  </si>
  <si>
    <t>7172000000000000 - UB - 95</t>
  </si>
  <si>
    <t>7172000000000000 - UB - 96</t>
  </si>
  <si>
    <t>PERDAGANGAN IKAN KERING &lt;HJ DARAKI&gt; [IKAN KERING (SULA)]</t>
  </si>
  <si>
    <t>7172000000000000 - UB - 1</t>
  </si>
  <si>
    <t>7172000000000000 - UB - 18</t>
  </si>
  <si>
    <t>saritmakmur@gmail.com</t>
  </si>
  <si>
    <t>7172000000000000 - UB - 75</t>
  </si>
  <si>
    <t>7172000000000000 - UB - 63</t>
  </si>
  <si>
    <t>7172000000000000 - UB - 9</t>
  </si>
  <si>
    <t>n0168@corp.bri.co.id</t>
  </si>
  <si>
    <t>7172000000000000 - UB - 90</t>
  </si>
  <si>
    <t>WARUNG SEMBAKO &lt;YOAN&gt; [TOKO SEMBAKO YOAN]</t>
  </si>
  <si>
    <t>7172000000000000 - UB - 47</t>
  </si>
  <si>
    <t>7172000000000000 - UB - 88</t>
  </si>
  <si>
    <t>CAHAYA SIDRAP HJ AL [CAHAYA SIDRAP]</t>
  </si>
  <si>
    <t>7172000000000000 - UB - 91</t>
  </si>
  <si>
    <t>7172000000000000 - UB - 101</t>
  </si>
  <si>
    <t>7172000000000000 - UB - 76</t>
  </si>
  <si>
    <t>BGR LOGISTIK INDONESIA, PT</t>
  </si>
  <si>
    <t>PT BGR LOGISTIK INDONESIA</t>
  </si>
  <si>
    <t>bgr_bitung@yahoo.co.id</t>
  </si>
  <si>
    <t>H</t>
  </si>
  <si>
    <t>7172000000000000 - UB - 35</t>
  </si>
  <si>
    <t>7172000000000000 - UB - 99</t>
  </si>
  <si>
    <t>AGEN JUAL BERAS &lt;RAIS&gt; [WARUNG HAJI RAIS]</t>
  </si>
  <si>
    <t>7172000000000000 - UB - 97</t>
  </si>
  <si>
    <t>TOKO ALVIN JAYA [TOKO ALVIN JAYA]</t>
  </si>
  <si>
    <t>7172000000000000 - UB - 5</t>
  </si>
  <si>
    <t>ptabadinusantarautama@gmail.com</t>
  </si>
  <si>
    <t>7172000000000000 - UB - 61</t>
  </si>
  <si>
    <t>7172000000000000 - UB - 33</t>
  </si>
  <si>
    <t>7172000000000000 - UB - 68</t>
  </si>
  <si>
    <t>tbabitung@gmail.com</t>
  </si>
  <si>
    <t>7172000000000000 - UB - 19</t>
  </si>
  <si>
    <t>sinarkaryamegapersada@yahoo.com</t>
  </si>
  <si>
    <t>7172000000000000 - UB - 49</t>
  </si>
  <si>
    <t>7172000000000000 - UB - 14</t>
  </si>
  <si>
    <t>7172000000000000 - UB - 81</t>
  </si>
  <si>
    <t>BRI UNIT PATETEN [BRI PATETEN]</t>
  </si>
  <si>
    <t>7172000000000000 - UB - 89</t>
  </si>
  <si>
    <t>7172000000000000 - UB - 59</t>
  </si>
  <si>
    <t>POS INDONESIA (PERSERO), PT [KANTOR POS GIRIAN]</t>
  </si>
  <si>
    <t>7172000000000000 - UB - 23</t>
  </si>
  <si>
    <t>spbu95311@gmail.com</t>
  </si>
  <si>
    <t>7172000000000000 - UB - 36</t>
  </si>
  <si>
    <t>7172000000000000 - UB - 27</t>
  </si>
  <si>
    <t>CAHAYA KADOODAN [SPBU CAHAYA KADOODAN]</t>
  </si>
  <si>
    <t>spbu95512@yahoo.co.id</t>
  </si>
  <si>
    <t>7172000000000000 - UB - 94</t>
  </si>
  <si>
    <t>PABRIK TEMPE TAHU [PABRIK TEMPE RAMDAN HARUNA]</t>
  </si>
  <si>
    <t>7172000000000000 - UB - 53</t>
  </si>
  <si>
    <t>PEGADAIAN, PT [PT PEGADAIAN PERSERO UPC PAGAR WINENET]</t>
  </si>
  <si>
    <t>7172000000000000 - UB - 44</t>
  </si>
  <si>
    <t>PT. KABASARAN TRITIS INTERNASIONAL [PT. KABASARAN TRITIS INTERNASIONAL]</t>
  </si>
  <si>
    <t>kabasarantritisinternasional@gmail.com</t>
  </si>
  <si>
    <t>7172000000000000 - UB - 71</t>
  </si>
  <si>
    <t>7172000000000000 - UB - 92</t>
  </si>
  <si>
    <t>JUAL AYAM &lt;SARTON&gt; [JUAL AYAM (SARTON ANO)]</t>
  </si>
  <si>
    <t>7172000000000000 - UB - 60</t>
  </si>
  <si>
    <t>CATALIST INTEGRA PRIMA SUKSES, PT [CATALIST INTEGRA PRIMA SUKSES]</t>
  </si>
  <si>
    <t>7172000000000000 - UB - 11</t>
  </si>
  <si>
    <t>veidy_nelwan@bca.co.id</t>
  </si>
  <si>
    <t>7172000000000000 - UB - 3</t>
  </si>
  <si>
    <t>transaksi@bsmi.co.id</t>
  </si>
  <si>
    <t>7172000000000000 - UB - 56</t>
  </si>
  <si>
    <t>PEGADAIAN, PT [PEGADAIAN (PERSERO), UPC PINOKALAN]</t>
  </si>
  <si>
    <t>cpp.girian@pegadaian.co.id</t>
  </si>
  <si>
    <t>7172000000000000 - UB - 6</t>
  </si>
  <si>
    <t>celebesmina2017@gmail.com</t>
  </si>
  <si>
    <t>7172000000000000 - UB - 17</t>
  </si>
  <si>
    <t>MAPALUS MAKAWANUA CHARCOAL -INDUSTRY, PT [WANUA CHARCOAL]</t>
  </si>
  <si>
    <t>mmci.efin@gmail.com</t>
  </si>
  <si>
    <t>7172000000000000 - UB - 66</t>
  </si>
  <si>
    <t>kwmbtg@yahoo.com</t>
  </si>
  <si>
    <t>7172000000000000 - UB - 22</t>
  </si>
  <si>
    <t>kumapanbank@yahoo.com</t>
  </si>
  <si>
    <t>7172000000000000 - UB - 46</t>
  </si>
  <si>
    <t>7172000000000000 - UB - 83</t>
  </si>
  <si>
    <t>7172000000000000 - UB - 45</t>
  </si>
  <si>
    <t>PT. TONG BITUNG JAYA [PT. TONG BITUNG JAYA]</t>
  </si>
  <si>
    <t>pttongbitungjayabtg@gmail.com</t>
  </si>
  <si>
    <t>7172000000000000 - UB - 57</t>
  </si>
  <si>
    <t>PEGADAIAN, PT [PEGADAIAN UPS PASAR SENTRAL BITUNG]</t>
  </si>
  <si>
    <t>7172000000000000 - UB - 84</t>
  </si>
  <si>
    <t>TOKO SEMBAKO REGION [GION]</t>
  </si>
  <si>
    <t>7172000000000000 - UB - 12</t>
  </si>
  <si>
    <t>PEDAGANG REMPAH &lt;SULEMAN&gt; [AGEN BARITO]</t>
  </si>
  <si>
    <t>cv.multirempahsulawesi@gmail.com</t>
  </si>
  <si>
    <t>7172000000000000 - UB - 69</t>
  </si>
  <si>
    <t>mktg_sms@yahoo.com</t>
  </si>
  <si>
    <t>7172000000000000 - UB - 39</t>
  </si>
  <si>
    <t>7172000000000000 - UB - 93</t>
  </si>
  <si>
    <t>WARUNG SEMBAKO &lt;HENI&gt; [WARUNG SEMBAKO]</t>
  </si>
  <si>
    <t>7172000000000000 - UB - 30</t>
  </si>
  <si>
    <t>7172000000000000 - UB - 37</t>
  </si>
  <si>
    <t>7172000000000000 - UB - 55</t>
  </si>
  <si>
    <t>PEGADAIAN, PT [PEGADAIAN UPC PASAR GIRIAN]</t>
  </si>
  <si>
    <t>cpp.giriann@pegadaian.co.id</t>
  </si>
  <si>
    <t>7172000000000000 - UB - 62</t>
  </si>
  <si>
    <t>lolitarombang@wilmar.co.id</t>
  </si>
  <si>
    <t>7172000000000000 - UB - 87</t>
  </si>
  <si>
    <t>TEMPAT JUAL PAKAN TERNAK [TOKO PAKAN BORNEO]</t>
  </si>
  <si>
    <t>7172000000000000 - UB - 29</t>
  </si>
  <si>
    <t>INDO JAYA FORTUNA, PT [PT IJF]</t>
  </si>
  <si>
    <t>7172000000000000 - UB - 82</t>
  </si>
  <si>
    <t>7172000000000000 - UB - 54</t>
  </si>
  <si>
    <t>7172000000000000 - UB - 2</t>
  </si>
  <si>
    <t>mauliadyafry@gmail.com</t>
  </si>
  <si>
    <t>7172000000000000 - UB - 40</t>
  </si>
  <si>
    <t>7172000000000000 - UB - 98</t>
  </si>
  <si>
    <t>JUAL DAGING SAPI &lt;HJ.RINTO&gt; [JUAL DAGING SAPI]</t>
  </si>
  <si>
    <t>7172000000000000 - UB - 86</t>
  </si>
  <si>
    <t>JUAL IKAN SEGAR (NURDIN) [NURDIN BANDU]</t>
  </si>
  <si>
    <t>7172000000000000 - UB - 28</t>
  </si>
  <si>
    <t>PT AMAN KELAPA DUA LEMBEH DIVE RESORT</t>
  </si>
  <si>
    <t>K2 LEMBEH DIVE RESORT LINGKUNGAN 2</t>
  </si>
  <si>
    <t>k2lembeh010@gmail.com</t>
  </si>
  <si>
    <t>I</t>
  </si>
  <si>
    <t>7172000000000000 - UB - 58</t>
  </si>
  <si>
    <t>7172000000000000 - UB - 48</t>
  </si>
  <si>
    <t>7172000000000000 - UB - 72</t>
  </si>
  <si>
    <t>DWI MATRA SAKTI, PT [SPBU TANGKOKO]</t>
  </si>
  <si>
    <t>spbu_95522@yahoo.com</t>
  </si>
  <si>
    <t>7172000000000000 - UB - 80</t>
  </si>
  <si>
    <t>7172000000000000 - UB - 4</t>
  </si>
  <si>
    <t>BANK PEMBANGUNAN DAERAH SULAWESI UTARA GORONTALO PT</t>
  </si>
  <si>
    <t>bsmanembonembo@gmail.com</t>
  </si>
  <si>
    <t>submitted respondent</t>
  </si>
  <si>
    <t>7172000000000000 - UB - 38</t>
  </si>
  <si>
    <t>SARI USAHA MANDIRI, PT</t>
  </si>
  <si>
    <t>sariusahamandiri01@yahoo.com</t>
  </si>
  <si>
    <t>C</t>
  </si>
  <si>
    <t>7172000000000000 - UB - 24</t>
  </si>
  <si>
    <t>YOEZHADASSAH, PT</t>
  </si>
  <si>
    <t>yoezhadassah@gmail.com</t>
  </si>
  <si>
    <t>edited by admin kabupaten</t>
  </si>
  <si>
    <t>7172000000000000 - UB - 78</t>
  </si>
  <si>
    <t>BANK SULUTGO BITUNG</t>
  </si>
  <si>
    <t>JL YOS SUDARSO NO 12 KELURAHAN BITUNG TENGAH KECAMATAN MAESA</t>
  </si>
  <si>
    <t>cabang.bitung@banksulutgo.co.id</t>
  </si>
  <si>
    <t>7172000000000000 - UB - 41</t>
  </si>
  <si>
    <t>MEMBANGUN SULUT MAJU PERSERODA, PT</t>
  </si>
  <si>
    <t>PT MEMBANGUN SULUT MAJU PERSERODA</t>
  </si>
  <si>
    <t>JLN. P. M TANGKILISAN NO. 25, KEL. BUMI BERINGIN LINGKUNGAN III, KEC. WENANG, KOTA MANADO</t>
  </si>
  <si>
    <t>ptmesma@gmail.com</t>
  </si>
  <si>
    <t>F</t>
  </si>
  <si>
    <t>7172000000000000 - UB - 13</t>
  </si>
  <si>
    <t>BANK SMBCI, PT TBK</t>
  </si>
  <si>
    <t>BANK SMBCI BITUNG</t>
  </si>
  <si>
    <t>JL.WOLTER MONGINSIDI RUKO NO.4</t>
  </si>
  <si>
    <t>meilany.najoan@btpn.com</t>
  </si>
  <si>
    <t>7172012005001500 - UB - 3</t>
  </si>
  <si>
    <t>BNI GIRIAN</t>
  </si>
  <si>
    <t>JL. WOLTER MONGINSIDI, WANGURER BAR., GIRIAN, KOTA BITUNG, SULAWESI UTARA</t>
  </si>
  <si>
    <t>7172000000000000 - UB - 64</t>
  </si>
  <si>
    <t>PLN ULP BITUNG, PT PERSERO</t>
  </si>
  <si>
    <t>pln123@pln.co.id</t>
  </si>
  <si>
    <t>7172000000000000 - UB - 65</t>
  </si>
  <si>
    <t>DUTA ADRI PERSADA PT</t>
  </si>
  <si>
    <t>DUTAAGRIPERSADAPT@YAHOO.COM</t>
  </si>
  <si>
    <t>7172011004000800 - UB - 1</t>
  </si>
  <si>
    <t>TRIDJAYA GEMILANG SUKSES, CV</t>
  </si>
  <si>
    <t>TRIDJAYA MOTOR GIRIAN</t>
  </si>
  <si>
    <t>7172000000000000 - UB - 26</t>
  </si>
  <si>
    <t>DELTA PASIFIC INDOTUNA</t>
  </si>
  <si>
    <t>ptdeltapasific@gmail.com</t>
  </si>
  <si>
    <t>7172010010000800 - UB - 1</t>
  </si>
  <si>
    <t>JL FX DOTULONG LINGK II 281 MADIDIR URE, BITUNG TENGAH BITUNG 95515 SULAWESI UTARA</t>
  </si>
  <si>
    <t>info@ptdln.co.id</t>
  </si>
  <si>
    <t>7172031006000800 - UB - 1</t>
  </si>
  <si>
    <t>7172000000000000 - UB - 16</t>
  </si>
  <si>
    <t>LAUT BIRU SEAFOOD, PT LBS</t>
  </si>
  <si>
    <t>lautbiruseafood1@gmail.com</t>
  </si>
  <si>
    <t>7172010008002100 - UB - 3</t>
  </si>
  <si>
    <t>SINAR PURE FOODS INTERNATION,PT</t>
  </si>
  <si>
    <t>alfret.lano@ptsinarpurefoods.com</t>
  </si>
  <si>
    <t>7172000000000000 - UB - 67</t>
  </si>
  <si>
    <t>BANK MANDIRI, PT TBK</t>
  </si>
  <si>
    <t>BANK MANDIRI KCP BITUNG</t>
  </si>
  <si>
    <t>15003.mgr@bankmandiri.co.id</t>
  </si>
  <si>
    <t>7172012005001500 - UB - 2</t>
  </si>
  <si>
    <t>BANK MANDIRI KCP GIRIAN</t>
  </si>
  <si>
    <t>girian@bankmandiri.co.id</t>
  </si>
  <si>
    <t>7172011001000900 - UB - 1</t>
  </si>
  <si>
    <t>INDOMINA GRASIA, PT</t>
  </si>
  <si>
    <t>LINGKUNGAN III, KELURAHAN TANJUNG MERAH, KEC. MATUARI</t>
  </si>
  <si>
    <t>pt.indominagrasia@gmail.com</t>
  </si>
  <si>
    <t>Rows per page</t>
  </si>
  <si>
    <t>7172000000000000 - UB - 73</t>
  </si>
  <si>
    <t>UPTD RUMAH SAKIT MANEMBO-NEMBO TIPE C BITUNG</t>
  </si>
  <si>
    <t>UPTD RS MANEMBO-NEMBO TIPE C BITUNG</t>
  </si>
  <si>
    <t>JL. SH. SARUNDAJANG</t>
  </si>
  <si>
    <t>UPTD.RSMNBITUNG@GMAIL.COM</t>
  </si>
  <si>
    <t>R</t>
  </si>
  <si>
    <t>7172012006000100 - UB - 1</t>
  </si>
  <si>
    <t>DANAKU MAPAN LESTARI, PT</t>
  </si>
  <si>
    <t>JL. CH. TAULU NO. 15 KEL. GIRIAN ATAS, KEC. GIRIAN KOTA BITUNG PROVINSI SULAWESI UTARA</t>
  </si>
  <si>
    <t>7172000000000000 - UB - 42</t>
  </si>
  <si>
    <t>ANUGRAH SEJATI BERSAMA, PT</t>
  </si>
  <si>
    <t>anugerahsejatibersama@gmail.com</t>
  </si>
  <si>
    <t>7172011004001800 - UB - 1</t>
  </si>
  <si>
    <t>JL. TANJUNG MERAH, KEL MANEMBO NEMBO, KEC. MATUARI, KOTA BITUNG SULAWESI UTARA</t>
  </si>
  <si>
    <t>info@indolautanmas.com</t>
  </si>
  <si>
    <t>7172011004001500 - UB - 1</t>
  </si>
  <si>
    <t>info@tunamarina.com</t>
  </si>
  <si>
    <t>7172000000000000 - UB - 70</t>
  </si>
  <si>
    <t>BANK SINARMAS PT</t>
  </si>
  <si>
    <t>JL WOLTER MONGINSIDI NO 14D</t>
  </si>
  <si>
    <t>7172000000000000 - UB - 31</t>
  </si>
  <si>
    <t>PT.IKAN SAMUDERA INDONESI</t>
  </si>
  <si>
    <t>ikansamuderaindonesia@gmail.com</t>
  </si>
  <si>
    <t>7172000000000000 - UB - 34</t>
  </si>
  <si>
    <t>JALAN PIERE TENDEAN</t>
  </si>
  <si>
    <t>samudraulamnusantara@gmail.com</t>
  </si>
  <si>
    <t>7172000000000000 - UB - 10</t>
  </si>
  <si>
    <t>mutiarabarauntu@gmail.com</t>
  </si>
  <si>
    <t>7172000000000000 - UB - 21</t>
  </si>
  <si>
    <t>Jl efraim lengkong</t>
  </si>
  <si>
    <t>7172000000000000 - UB - 15</t>
  </si>
  <si>
    <t>TANJUNG MERAH KAWASAN EKONOMI KHUSUS</t>
  </si>
  <si>
    <t>liendaaseng.kja@gmail.com</t>
  </si>
  <si>
    <t>7172031007000100 - UB - 3</t>
  </si>
  <si>
    <t>7172031007000100 - UB - 2</t>
  </si>
  <si>
    <t>7172031007000100 - UB - 1</t>
  </si>
  <si>
    <t>Sarana Bandar Nasional, Kantor Cabang Bitung [Sarana Bandar Nasional, Kantor Cabang Bitung]</t>
  </si>
  <si>
    <t>cab.bitung@ptsbn.co.id</t>
  </si>
  <si>
    <t>7172031006000900 - UB - 2</t>
  </si>
  <si>
    <t>7172031006000900 - UB - 1</t>
  </si>
  <si>
    <t>7172031006000600 - UB - 1</t>
  </si>
  <si>
    <t>7172031001000500 - UB - 1</t>
  </si>
  <si>
    <t>fianita.maniagasi@btn.co.id</t>
  </si>
  <si>
    <t>7172030017000900 - UB - 1</t>
  </si>
  <si>
    <t>7172030017000400 - UB - 1</t>
  </si>
  <si>
    <t>CARVINNA TRIJAYA MAKMUR, PT [CARVINNA TRIJAYA MAKMUR, PT]</t>
  </si>
  <si>
    <t>7172031002001400 - UB - 1</t>
  </si>
  <si>
    <t>PERTAMINA TRANS KONTINENTAL, SUBCABANG MAKASSAR (BITUNG) [PERTAMINA TRANS KONTINENTAL, SUBCABANG MAKASSAR (BITUNG)]</t>
  </si>
  <si>
    <t>7172030015000800 - UB - 1</t>
  </si>
  <si>
    <t>KIOS SEMBAKO &lt;NOVAL&gt; [KIOS SEMBAKO &lt;NOVAL&gt;]</t>
  </si>
  <si>
    <t>7172030006001400 - UB - 1</t>
  </si>
  <si>
    <t>pt_budisentosabadi@yahoo.co.id</t>
  </si>
  <si>
    <t>7172011012000900 - UB - 1</t>
  </si>
  <si>
    <t>JASA ANGKUTAN [JASA ANGKUTAN (RIDWAN)]</t>
  </si>
  <si>
    <t>7172012005001500 - UB - 1</t>
  </si>
  <si>
    <t>7172012001000700 - UB - 1</t>
  </si>
  <si>
    <t>sadrak.amtor@yahoo.com</t>
  </si>
  <si>
    <t>7172011004000100 - UB - 1</t>
  </si>
  <si>
    <t>mantapkkbitung@yopmail.com</t>
  </si>
  <si>
    <t>7172010016002300 - UB - 1</t>
  </si>
  <si>
    <t>MANADO MINA CITRA TARUNA PT [MANADO MINA]</t>
  </si>
  <si>
    <t>7172011001000100 - UB - 1</t>
  </si>
  <si>
    <t>nfibitung@gmail.com</t>
  </si>
  <si>
    <t>7172012005001500 - UB - 4</t>
  </si>
  <si>
    <t>FAST FOOD INDONESIA, PT [KFC]</t>
  </si>
  <si>
    <t>btu@ffi.co.id</t>
  </si>
  <si>
    <t>7172010012000800 - UB - 1</t>
  </si>
  <si>
    <t>7172010010001300 - UB - 1</t>
  </si>
  <si>
    <t>7172010011001100 - UB - 1</t>
  </si>
  <si>
    <t>INDOFOOD CBP SUKSES MAKMUR, PT [INDOFOOD]</t>
  </si>
  <si>
    <t>7172010008002100 - UB - 2</t>
  </si>
  <si>
    <t>dchoancke@gmail.com</t>
  </si>
  <si>
    <t>7172010011000200 - UB - 1</t>
  </si>
  <si>
    <t>PEGADAIAN, PT [PEGADAIAN UPC PACEDA]</t>
  </si>
  <si>
    <t>7172010008000400 - UB - 1</t>
  </si>
  <si>
    <t>Grapari Bitung, TELEKOMUNIKASI INDONESIA SELULER, PT [Grapari Bitung]</t>
  </si>
  <si>
    <t>7172010008002100 - UB - 1</t>
  </si>
  <si>
    <t>JL. RAYA MADIDIR KELURAHAN PACEDAJL. RAYA MADIDIR KELURAHAN PACEDA</t>
  </si>
  <si>
    <t>37 row(s)</t>
  </si>
  <si>
    <t>Page 2of2</t>
  </si>
  <si>
    <t>PJ</t>
  </si>
  <si>
    <t>pulungpisomichaila@gmail.com</t>
  </si>
  <si>
    <t>Joniver Pulungpaso</t>
  </si>
  <si>
    <t>entengoputra5@gmail.com</t>
  </si>
  <si>
    <t>zyldansyahelgefra@gmail.com</t>
  </si>
  <si>
    <t>mundiahitrivani@gmail.com</t>
  </si>
  <si>
    <t>elvirawuntuan65651@gmail.com</t>
  </si>
  <si>
    <t>MOHAMAD GOFAR</t>
  </si>
  <si>
    <t>Trivani Mundiahi</t>
  </si>
  <si>
    <t>Syaputra Nurhermawan Entengo</t>
  </si>
  <si>
    <t>Elvira Nathania Wuntuan</t>
  </si>
  <si>
    <t>noviantotopit@gmail.com</t>
  </si>
  <si>
    <t>meysmaelissa4@gmail.com</t>
  </si>
  <si>
    <t>kvnkshe10jni@gmail.com</t>
  </si>
  <si>
    <t>Rahmiyati Paramata</t>
  </si>
  <si>
    <t>Meyske Helen maelissa</t>
  </si>
  <si>
    <t>Jullia Sarah Esmeralda Sandil</t>
  </si>
  <si>
    <t>TARGET HARIAN</t>
  </si>
  <si>
    <t>level_6_full_code</t>
  </si>
  <si>
    <t>REJECTED_Admin_Kabupaten</t>
  </si>
  <si>
    <t>APPROVED_Pengawas</t>
  </si>
  <si>
    <t>REVOKED_Pengawas</t>
  </si>
  <si>
    <t>EDITED_Admin_Kabupaten</t>
  </si>
  <si>
    <t>SUBMITTED_RESPONDENT</t>
  </si>
  <si>
    <t>SUBMITTED_Pencacah</t>
  </si>
  <si>
    <t>REJECTED_Pengawas</t>
  </si>
  <si>
    <t>total_semua</t>
  </si>
  <si>
    <t>7172010008000100</t>
  </si>
  <si>
    <t>7172010008000200</t>
  </si>
  <si>
    <t>7172010008000300</t>
  </si>
  <si>
    <t>7172010008000400</t>
  </si>
  <si>
    <t>7172010008000500</t>
  </si>
  <si>
    <t>7172010008000600</t>
  </si>
  <si>
    <t>7172010008000700</t>
  </si>
  <si>
    <t>7172010008000800</t>
  </si>
  <si>
    <t>7172010008000900</t>
  </si>
  <si>
    <t>7172010008001000</t>
  </si>
  <si>
    <t>7172010008001101</t>
  </si>
  <si>
    <t>7172010008001102</t>
  </si>
  <si>
    <t>7172010008001200</t>
  </si>
  <si>
    <t>7172010008001300</t>
  </si>
  <si>
    <t>7172010008001400</t>
  </si>
  <si>
    <t>7172010008001500</t>
  </si>
  <si>
    <t>7172010008001600</t>
  </si>
  <si>
    <t>7172010008001700</t>
  </si>
  <si>
    <t>7172010008001800</t>
  </si>
  <si>
    <t>7172010008001900</t>
  </si>
  <si>
    <t>7172010008002000</t>
  </si>
  <si>
    <t>7172010008002100</t>
  </si>
  <si>
    <t>7172010009000100</t>
  </si>
  <si>
    <t>7172010009000200</t>
  </si>
  <si>
    <t>7172010009000300</t>
  </si>
  <si>
    <t>7172010009000400</t>
  </si>
  <si>
    <t>7172010009000500</t>
  </si>
  <si>
    <t>7172010009000600</t>
  </si>
  <si>
    <t>7172010009000700</t>
  </si>
  <si>
    <t>7172010009000800</t>
  </si>
  <si>
    <t>7172010009000900</t>
  </si>
  <si>
    <t>7172010009001000</t>
  </si>
  <si>
    <t>7172010009001100</t>
  </si>
  <si>
    <t>7172010009001200</t>
  </si>
  <si>
    <t>7172010009001300</t>
  </si>
  <si>
    <t>7172010009001400</t>
  </si>
  <si>
    <t>7172010009001500</t>
  </si>
  <si>
    <t>7172010009001600</t>
  </si>
  <si>
    <t>7172010009001700</t>
  </si>
  <si>
    <t>7172010009001800</t>
  </si>
  <si>
    <t>7172010009001900</t>
  </si>
  <si>
    <t>7172010009002000</t>
  </si>
  <si>
    <t>7172010009002100</t>
  </si>
  <si>
    <t>7172010009002200</t>
  </si>
  <si>
    <t>7172010009002300</t>
  </si>
  <si>
    <t>7172010009002400</t>
  </si>
  <si>
    <t>7172010009002500</t>
  </si>
  <si>
    <t>7172010009002600</t>
  </si>
  <si>
    <t>7172010009002700</t>
  </si>
  <si>
    <t>7172010009002800</t>
  </si>
  <si>
    <t>7172010009002900</t>
  </si>
  <si>
    <t>7172010009003000</t>
  </si>
  <si>
    <t>7172010009003100</t>
  </si>
  <si>
    <t>7172010010000100</t>
  </si>
  <si>
    <t>7172010010000200</t>
  </si>
  <si>
    <t>7172010010000300</t>
  </si>
  <si>
    <t>7172010010000400</t>
  </si>
  <si>
    <t>7172010010000500</t>
  </si>
  <si>
    <t>7172010010000600</t>
  </si>
  <si>
    <t>7172010010000700</t>
  </si>
  <si>
    <t>7172010010000800</t>
  </si>
  <si>
    <t>7172010010000900</t>
  </si>
  <si>
    <t>7172010010001000</t>
  </si>
  <si>
    <t>7172010010001100</t>
  </si>
  <si>
    <t>7172010010001200</t>
  </si>
  <si>
    <t>7172010010001300</t>
  </si>
  <si>
    <t>7172010010001400</t>
  </si>
  <si>
    <t>7172010010001500</t>
  </si>
  <si>
    <t>7172010010001600</t>
  </si>
  <si>
    <t>7172010010001700</t>
  </si>
  <si>
    <t>7172010010001800</t>
  </si>
  <si>
    <t>7172010010001900</t>
  </si>
  <si>
    <t>7172010010002000</t>
  </si>
  <si>
    <t>7172010010002100</t>
  </si>
  <si>
    <t>7172010010002200</t>
  </si>
  <si>
    <t>7172010011000100</t>
  </si>
  <si>
    <t>7172010011000200</t>
  </si>
  <si>
    <t>7172010011000300</t>
  </si>
  <si>
    <t>7172010011000400</t>
  </si>
  <si>
    <t>7172010011000500</t>
  </si>
  <si>
    <t>7172010011000600</t>
  </si>
  <si>
    <t>7172010011000700</t>
  </si>
  <si>
    <t>7172010011000800</t>
  </si>
  <si>
    <t>7172010011000900</t>
  </si>
  <si>
    <t>7172010011001000</t>
  </si>
  <si>
    <t>7172010011001100</t>
  </si>
  <si>
    <t>7172010011001200</t>
  </si>
  <si>
    <t>7172010011001300</t>
  </si>
  <si>
    <t>7172010011001400</t>
  </si>
  <si>
    <t>7172010011001500</t>
  </si>
  <si>
    <t>7172010011001600</t>
  </si>
  <si>
    <t>7172010011001700</t>
  </si>
  <si>
    <t>7172010011001800</t>
  </si>
  <si>
    <t>7172010011001900</t>
  </si>
  <si>
    <t>7172010011002000</t>
  </si>
  <si>
    <t>7172010011002100</t>
  </si>
  <si>
    <t>7172010011002200</t>
  </si>
  <si>
    <t>7172010012000100</t>
  </si>
  <si>
    <t>7172010012000200</t>
  </si>
  <si>
    <t>7172010012000300</t>
  </si>
  <si>
    <t>7172010012000400</t>
  </si>
  <si>
    <t>7172010012000500</t>
  </si>
  <si>
    <t>7172010012000600</t>
  </si>
  <si>
    <t>7172010012000700</t>
  </si>
  <si>
    <t>7172010012000800</t>
  </si>
  <si>
    <t>7172010012000900</t>
  </si>
  <si>
    <t>7172010012001000</t>
  </si>
  <si>
    <t>7172010012001100</t>
  </si>
  <si>
    <t>7172010012001200</t>
  </si>
  <si>
    <t>7172010012001300</t>
  </si>
  <si>
    <t>7172010012001400</t>
  </si>
  <si>
    <t>7172010012001500</t>
  </si>
  <si>
    <t>7172010012001600</t>
  </si>
  <si>
    <t>7172010012001700</t>
  </si>
  <si>
    <t>7172010012001800</t>
  </si>
  <si>
    <t>7172010012001900</t>
  </si>
  <si>
    <t>7172010012002000</t>
  </si>
  <si>
    <t>7172010012002100</t>
  </si>
  <si>
    <t>7172010012002200</t>
  </si>
  <si>
    <t>7172010012002300</t>
  </si>
  <si>
    <t>7172010012002400</t>
  </si>
  <si>
    <t>7172010015000100</t>
  </si>
  <si>
    <t>7172010015000200</t>
  </si>
  <si>
    <t>7172010015000300</t>
  </si>
  <si>
    <t>7172010015000400</t>
  </si>
  <si>
    <t>7172010015000500</t>
  </si>
  <si>
    <t>7172010015000600</t>
  </si>
  <si>
    <t>7172010015000700</t>
  </si>
  <si>
    <t>7172010015000800</t>
  </si>
  <si>
    <t>7172010015000900</t>
  </si>
  <si>
    <t>7172010015001000</t>
  </si>
  <si>
    <t>7172010015001100</t>
  </si>
  <si>
    <t>7172010015001200</t>
  </si>
  <si>
    <t>7172010015001400</t>
  </si>
  <si>
    <t>7172010015001500</t>
  </si>
  <si>
    <t>7172010015001600</t>
  </si>
  <si>
    <t>7172010015001700</t>
  </si>
  <si>
    <t>7172010015001800</t>
  </si>
  <si>
    <t>7172010015001900</t>
  </si>
  <si>
    <t>7172010015002000</t>
  </si>
  <si>
    <t>7172010015002100</t>
  </si>
  <si>
    <t>7172010015002200</t>
  </si>
  <si>
    <t>7172010015002301</t>
  </si>
  <si>
    <t>7172010015002302</t>
  </si>
  <si>
    <t>7172010015002400</t>
  </si>
  <si>
    <t>7172010015002500</t>
  </si>
  <si>
    <t>7172010015002601</t>
  </si>
  <si>
    <t>7172010015002602</t>
  </si>
  <si>
    <t>7172010015002700</t>
  </si>
  <si>
    <t>7172010015002800</t>
  </si>
  <si>
    <t>7172010015002900</t>
  </si>
  <si>
    <t>7172010015003000</t>
  </si>
  <si>
    <t>7172010015003100</t>
  </si>
  <si>
    <t>7172010015003200</t>
  </si>
  <si>
    <t>7172010015003300</t>
  </si>
  <si>
    <t>7172010015003400</t>
  </si>
  <si>
    <t>7172010016000100</t>
  </si>
  <si>
    <t>7172010016000200</t>
  </si>
  <si>
    <t>7172010016000300</t>
  </si>
  <si>
    <t>7172010016000400</t>
  </si>
  <si>
    <t>7172010016000500</t>
  </si>
  <si>
    <t>7172010016000600</t>
  </si>
  <si>
    <t>7172010016000700</t>
  </si>
  <si>
    <t>7172010016000800</t>
  </si>
  <si>
    <t>7172010016000900</t>
  </si>
  <si>
    <t>7172010016001000</t>
  </si>
  <si>
    <t>7172010016001100</t>
  </si>
  <si>
    <t>7172010016001200</t>
  </si>
  <si>
    <t>7172010016001300</t>
  </si>
  <si>
    <t>7172010016001400</t>
  </si>
  <si>
    <t>7172010016001500</t>
  </si>
  <si>
    <t>7172010016001600</t>
  </si>
  <si>
    <t>7172010016001700</t>
  </si>
  <si>
    <t>7172010016001800</t>
  </si>
  <si>
    <t>7172010016001900</t>
  </si>
  <si>
    <t>7172010016002000</t>
  </si>
  <si>
    <t>7172010016002100</t>
  </si>
  <si>
    <t>7172010016002200</t>
  </si>
  <si>
    <t>7172010016002300</t>
  </si>
  <si>
    <t>7172010016002400</t>
  </si>
  <si>
    <t>7172010016002500</t>
  </si>
  <si>
    <t>7172010016002600</t>
  </si>
  <si>
    <t>7172010017000100</t>
  </si>
  <si>
    <t>7172010017000200</t>
  </si>
  <si>
    <t>7172010017000300</t>
  </si>
  <si>
    <t>7172010017000400</t>
  </si>
  <si>
    <t>7172010017000500</t>
  </si>
  <si>
    <t>7172010017000600</t>
  </si>
  <si>
    <t>7172010017000700</t>
  </si>
  <si>
    <t>7172010017000800</t>
  </si>
  <si>
    <t>7172010017000900</t>
  </si>
  <si>
    <t>7172010017001000</t>
  </si>
  <si>
    <t>7172010017001100</t>
  </si>
  <si>
    <t>7172010017001200</t>
  </si>
  <si>
    <t>7172010017001300</t>
  </si>
  <si>
    <t>7172010017001400</t>
  </si>
  <si>
    <t>7172010017001500</t>
  </si>
  <si>
    <t>7172010017001600</t>
  </si>
  <si>
    <t>7172010017001700</t>
  </si>
  <si>
    <t>7172010017001800</t>
  </si>
  <si>
    <t>7172010017001900</t>
  </si>
  <si>
    <t>7172010017002000</t>
  </si>
  <si>
    <t>7172010017002100</t>
  </si>
  <si>
    <t>7172011001000100</t>
  </si>
  <si>
    <t>7172011001000200</t>
  </si>
  <si>
    <t>7172011001000300</t>
  </si>
  <si>
    <t>7172011001000400</t>
  </si>
  <si>
    <t>7172011001000500</t>
  </si>
  <si>
    <t>7172011001000600</t>
  </si>
  <si>
    <t>7172011001000700</t>
  </si>
  <si>
    <t>7172011001000800</t>
  </si>
  <si>
    <t>7172011001000900</t>
  </si>
  <si>
    <t>7172011002000100</t>
  </si>
  <si>
    <t>7172011002000200</t>
  </si>
  <si>
    <t>7172011002000300</t>
  </si>
  <si>
    <t>7172011002000400</t>
  </si>
  <si>
    <t>7172011002000500</t>
  </si>
  <si>
    <t>7172011002000600</t>
  </si>
  <si>
    <t>7172011002000700</t>
  </si>
  <si>
    <t>7172011002000800</t>
  </si>
  <si>
    <t>7172011002000900</t>
  </si>
  <si>
    <t>7172011002001000</t>
  </si>
  <si>
    <t>7172011002001100</t>
  </si>
  <si>
    <t>7172011002001200</t>
  </si>
  <si>
    <t>7172011002001300</t>
  </si>
  <si>
    <t>7172011002001400</t>
  </si>
  <si>
    <t>7172011002001500</t>
  </si>
  <si>
    <t>7172011002001600</t>
  </si>
  <si>
    <t>7172011003000100</t>
  </si>
  <si>
    <t>7172011003000201</t>
  </si>
  <si>
    <t>7172011003000202</t>
  </si>
  <si>
    <t>7172011003000300</t>
  </si>
  <si>
    <t>7172011003000400</t>
  </si>
  <si>
    <t>7172011003000500</t>
  </si>
  <si>
    <t>7172011003000600</t>
  </si>
  <si>
    <t>7172011003000700</t>
  </si>
  <si>
    <t>7172011003000800</t>
  </si>
  <si>
    <t>7172011003000900</t>
  </si>
  <si>
    <t>7172011003001001</t>
  </si>
  <si>
    <t>7172011003001002</t>
  </si>
  <si>
    <t>7172011003001100</t>
  </si>
  <si>
    <t>7172011003001200</t>
  </si>
  <si>
    <t>7172011003001300</t>
  </si>
  <si>
    <t>7172011003001400</t>
  </si>
  <si>
    <t>7172011003001500</t>
  </si>
  <si>
    <t>7172011003001600</t>
  </si>
  <si>
    <t>7172011003001700</t>
  </si>
  <si>
    <t>7172011003001801</t>
  </si>
  <si>
    <t>7172011003001802</t>
  </si>
  <si>
    <t>7172011003001803</t>
  </si>
  <si>
    <t>7172011003001900</t>
  </si>
  <si>
    <t>7172011003002000</t>
  </si>
  <si>
    <t>7172011003002100</t>
  </si>
  <si>
    <t>7172011003002200</t>
  </si>
  <si>
    <t>7172011003002300</t>
  </si>
  <si>
    <t>7172011003002401</t>
  </si>
  <si>
    <t>7172011003002402</t>
  </si>
  <si>
    <t>7172011003002403</t>
  </si>
  <si>
    <t>7172011003002500</t>
  </si>
  <si>
    <t>7172011003002601</t>
  </si>
  <si>
    <t>7172011003002602</t>
  </si>
  <si>
    <t>7172011003002603</t>
  </si>
  <si>
    <t>7172011003002700</t>
  </si>
  <si>
    <t>7172011003002801</t>
  </si>
  <si>
    <t>7172011003002802</t>
  </si>
  <si>
    <t>7172011003002900</t>
  </si>
  <si>
    <t>7172011003003000</t>
  </si>
  <si>
    <t>7172011003003100</t>
  </si>
  <si>
    <t>7172011003003200</t>
  </si>
  <si>
    <t>7172011003003300</t>
  </si>
  <si>
    <t>7172011003003400</t>
  </si>
  <si>
    <t>7172011003003501</t>
  </si>
  <si>
    <t>7172011003003502</t>
  </si>
  <si>
    <t>7172011003003503</t>
  </si>
  <si>
    <t>7172011003003600</t>
  </si>
  <si>
    <t>7172011004000100</t>
  </si>
  <si>
    <t>7172011004000200</t>
  </si>
  <si>
    <t>7172011004000300</t>
  </si>
  <si>
    <t>7172011004000400</t>
  </si>
  <si>
    <t>7172011004000500</t>
  </si>
  <si>
    <t>7172011004000600</t>
  </si>
  <si>
    <t>7172011004000700</t>
  </si>
  <si>
    <t>7172011004000800</t>
  </si>
  <si>
    <t>7172011004000900</t>
  </si>
  <si>
    <t>7172011004001000</t>
  </si>
  <si>
    <t>7172011004001100</t>
  </si>
  <si>
    <t>7172011004001200</t>
  </si>
  <si>
    <t>7172011004001300</t>
  </si>
  <si>
    <t>7172011004001400</t>
  </si>
  <si>
    <t>7172011004001500</t>
  </si>
  <si>
    <t>7172011004001600</t>
  </si>
  <si>
    <t>7172011004001700</t>
  </si>
  <si>
    <t>7172011004001800</t>
  </si>
  <si>
    <t>7172011004001900</t>
  </si>
  <si>
    <t>7172011004002000</t>
  </si>
  <si>
    <t>7172011004002100</t>
  </si>
  <si>
    <t>7172011011000100</t>
  </si>
  <si>
    <t>7172011011000200</t>
  </si>
  <si>
    <t>7172011011000300</t>
  </si>
  <si>
    <t>7172011011000400</t>
  </si>
  <si>
    <t>7172011011000500</t>
  </si>
  <si>
    <t>7172011011000600</t>
  </si>
  <si>
    <t>7172011011000700</t>
  </si>
  <si>
    <t>7172011011000800</t>
  </si>
  <si>
    <t>7172011011000900</t>
  </si>
  <si>
    <t>7172011011001000</t>
  </si>
  <si>
    <t>7172011011001100</t>
  </si>
  <si>
    <t>7172011011001200</t>
  </si>
  <si>
    <t>7172011011001300</t>
  </si>
  <si>
    <t>7172011011001400</t>
  </si>
  <si>
    <t>7172011011001500</t>
  </si>
  <si>
    <t>7172011011001600</t>
  </si>
  <si>
    <t>7172011011100200</t>
  </si>
  <si>
    <t>7172011011200100</t>
  </si>
  <si>
    <t>7172011012000100</t>
  </si>
  <si>
    <t>7172011012000200</t>
  </si>
  <si>
    <t>7172011012000300</t>
  </si>
  <si>
    <t>7172011012000400</t>
  </si>
  <si>
    <t>7172011012000500</t>
  </si>
  <si>
    <t>7172011012000600</t>
  </si>
  <si>
    <t>7172011012000700</t>
  </si>
  <si>
    <t>7172011012000800</t>
  </si>
  <si>
    <t>7172011012000900</t>
  </si>
  <si>
    <t>7172011012001000</t>
  </si>
  <si>
    <t>7172011012001100</t>
  </si>
  <si>
    <t>7172011012001200</t>
  </si>
  <si>
    <t>7172011012001300</t>
  </si>
  <si>
    <t>7172011012200100</t>
  </si>
  <si>
    <t>7172011013000100</t>
  </si>
  <si>
    <t>7172011013000200</t>
  </si>
  <si>
    <t>7172011013000300</t>
  </si>
  <si>
    <t>7172011013000400</t>
  </si>
  <si>
    <t>7172011013000500</t>
  </si>
  <si>
    <t>7172011013000600</t>
  </si>
  <si>
    <t>7172011013000700</t>
  </si>
  <si>
    <t>7172011013000800</t>
  </si>
  <si>
    <t>7172011013000900</t>
  </si>
  <si>
    <t>7172011013001000</t>
  </si>
  <si>
    <t>7172011013001100</t>
  </si>
  <si>
    <t>7172011013001200</t>
  </si>
  <si>
    <t>7172011013001300</t>
  </si>
  <si>
    <t>7172011013001400</t>
  </si>
  <si>
    <t>7172011013100100</t>
  </si>
  <si>
    <t>7172011013100200</t>
  </si>
  <si>
    <t>7172011014000100</t>
  </si>
  <si>
    <t>7172011014000200</t>
  </si>
  <si>
    <t>7172011014000300</t>
  </si>
  <si>
    <t>7172011014000400</t>
  </si>
  <si>
    <t>7172011014000500</t>
  </si>
  <si>
    <t>7172011014000600</t>
  </si>
  <si>
    <t>7172011014000700</t>
  </si>
  <si>
    <t>7172011014000800</t>
  </si>
  <si>
    <t>7172011014000900</t>
  </si>
  <si>
    <t>7172011014001000</t>
  </si>
  <si>
    <t>7172011014001100</t>
  </si>
  <si>
    <t>7172011014001200</t>
  </si>
  <si>
    <t>7172011014001300</t>
  </si>
  <si>
    <t>7172011014001400</t>
  </si>
  <si>
    <t>7172011014001500</t>
  </si>
  <si>
    <t>7172011014001600</t>
  </si>
  <si>
    <t>7172011014001701</t>
  </si>
  <si>
    <t>7172011014001702</t>
  </si>
  <si>
    <t>7172011014001703</t>
  </si>
  <si>
    <t>7172012001000100</t>
  </si>
  <si>
    <t>7172012001000200</t>
  </si>
  <si>
    <t>7172012001000300</t>
  </si>
  <si>
    <t>7172012001000400</t>
  </si>
  <si>
    <t>7172012001000500</t>
  </si>
  <si>
    <t>7172012001000601</t>
  </si>
  <si>
    <t>7172012001000602</t>
  </si>
  <si>
    <t>7172012001000700</t>
  </si>
  <si>
    <t>7172012001000800</t>
  </si>
  <si>
    <t>7172012001000900</t>
  </si>
  <si>
    <t>7172012001001001</t>
  </si>
  <si>
    <t>7172012001001002</t>
  </si>
  <si>
    <t>7172012001001100</t>
  </si>
  <si>
    <t>7172012002000101</t>
  </si>
  <si>
    <t>7172012002000102</t>
  </si>
  <si>
    <t>7172012002000200</t>
  </si>
  <si>
    <t>7172012002000300</t>
  </si>
  <si>
    <t>7172012002000401</t>
  </si>
  <si>
    <t>7172012002000402</t>
  </si>
  <si>
    <t>7172012002000500</t>
  </si>
  <si>
    <t>7172012002000600</t>
  </si>
  <si>
    <t>7172012002000700</t>
  </si>
  <si>
    <t>7172012002000800</t>
  </si>
  <si>
    <t>7172012002000900</t>
  </si>
  <si>
    <t>7172012002001000</t>
  </si>
  <si>
    <t>7172012002001100</t>
  </si>
  <si>
    <t>7172012002001200</t>
  </si>
  <si>
    <t>7172012002001301</t>
  </si>
  <si>
    <t>7172012002001302</t>
  </si>
  <si>
    <t>7172012002001400</t>
  </si>
  <si>
    <t>7172012002001500</t>
  </si>
  <si>
    <t>7172012002001600</t>
  </si>
  <si>
    <t>7172012002001700</t>
  </si>
  <si>
    <t>7172012002001800</t>
  </si>
  <si>
    <t>7172012003000100</t>
  </si>
  <si>
    <t>7172012003000200</t>
  </si>
  <si>
    <t>7172012003000300</t>
  </si>
  <si>
    <t>7172012003000400</t>
  </si>
  <si>
    <t>7172012003000500</t>
  </si>
  <si>
    <t>7172012003000600</t>
  </si>
  <si>
    <t>7172012003000700</t>
  </si>
  <si>
    <t>7172012003000800</t>
  </si>
  <si>
    <t>7172012003000900</t>
  </si>
  <si>
    <t>7172012003001000</t>
  </si>
  <si>
    <t>7172012003001100</t>
  </si>
  <si>
    <t>7172012003001200</t>
  </si>
  <si>
    <t>7172012004000100</t>
  </si>
  <si>
    <t>7172012004000200</t>
  </si>
  <si>
    <t>7172012004000300</t>
  </si>
  <si>
    <t>7172012004000400</t>
  </si>
  <si>
    <t>7172012004000500</t>
  </si>
  <si>
    <t>7172012004000600</t>
  </si>
  <si>
    <t>7172012004000700</t>
  </si>
  <si>
    <t>7172012004000800</t>
  </si>
  <si>
    <t>7172012004000900</t>
  </si>
  <si>
    <t>7172012004001001</t>
  </si>
  <si>
    <t>7172012004001002</t>
  </si>
  <si>
    <t>7172012004001003</t>
  </si>
  <si>
    <t>7172012004001100</t>
  </si>
  <si>
    <t>7172012004001201</t>
  </si>
  <si>
    <t>7172012004001202</t>
  </si>
  <si>
    <t>7172012004001203</t>
  </si>
  <si>
    <t>7172012004001300</t>
  </si>
  <si>
    <t>7172012004001400</t>
  </si>
  <si>
    <t>7172012004001500</t>
  </si>
  <si>
    <t>7172012004001600</t>
  </si>
  <si>
    <t>7172012004001701</t>
  </si>
  <si>
    <t>7172012004001702</t>
  </si>
  <si>
    <t>7172012004001801</t>
  </si>
  <si>
    <t>7172012004001802</t>
  </si>
  <si>
    <t>7172012004001900</t>
  </si>
  <si>
    <t>7172012004002000</t>
  </si>
  <si>
    <t>7172012004002101</t>
  </si>
  <si>
    <t>7172012004002102</t>
  </si>
  <si>
    <t>7172012004002200</t>
  </si>
  <si>
    <t>7172012004002300</t>
  </si>
  <si>
    <t>7172012004002401</t>
  </si>
  <si>
    <t>7172012004002402</t>
  </si>
  <si>
    <t>7172012004002403</t>
  </si>
  <si>
    <t>7172012004002500</t>
  </si>
  <si>
    <t>7172012004002600</t>
  </si>
  <si>
    <t>7172012005000100</t>
  </si>
  <si>
    <t>7172012005000200</t>
  </si>
  <si>
    <t>7172012005000300</t>
  </si>
  <si>
    <t>7172012005000400</t>
  </si>
  <si>
    <t>7172012005000500</t>
  </si>
  <si>
    <t>7172012005000600</t>
  </si>
  <si>
    <t>7172012005000700</t>
  </si>
  <si>
    <t>7172012005000800</t>
  </si>
  <si>
    <t>7172012005000900</t>
  </si>
  <si>
    <t>7172012005001000</t>
  </si>
  <si>
    <t>7172012005001100</t>
  </si>
  <si>
    <t>7172012005001200</t>
  </si>
  <si>
    <t>7172012005001300</t>
  </si>
  <si>
    <t>7172012005001400</t>
  </si>
  <si>
    <t>7172012005001500</t>
  </si>
  <si>
    <t>7172012005001600</t>
  </si>
  <si>
    <t>7172012005001700</t>
  </si>
  <si>
    <t>7172012005001800</t>
  </si>
  <si>
    <t>7172012005001900</t>
  </si>
  <si>
    <t>7172012005002000</t>
  </si>
  <si>
    <t>7172012005002100</t>
  </si>
  <si>
    <t>7172012005002200</t>
  </si>
  <si>
    <t>7172012005002300</t>
  </si>
  <si>
    <t>7172012005002400</t>
  </si>
  <si>
    <t>7172012006000100</t>
  </si>
  <si>
    <t>7172012006000200</t>
  </si>
  <si>
    <t>7172012006000300</t>
  </si>
  <si>
    <t>7172012006000400</t>
  </si>
  <si>
    <t>7172012006000500</t>
  </si>
  <si>
    <t>7172012006000600</t>
  </si>
  <si>
    <t>7172012006000700</t>
  </si>
  <si>
    <t>7172012006000801</t>
  </si>
  <si>
    <t>7172012006000802</t>
  </si>
  <si>
    <t>7172012006000901</t>
  </si>
  <si>
    <t>7172012006000902</t>
  </si>
  <si>
    <t>7172012006000903</t>
  </si>
  <si>
    <t>7172012006001000</t>
  </si>
  <si>
    <t>7172012006001100</t>
  </si>
  <si>
    <t>7172012006001200</t>
  </si>
  <si>
    <t>7172012006001300</t>
  </si>
  <si>
    <t>7172012006001400</t>
  </si>
  <si>
    <t>7172012006001500</t>
  </si>
  <si>
    <t>7172012006001600</t>
  </si>
  <si>
    <t>7172012006001700</t>
  </si>
  <si>
    <t>7172012006001800</t>
  </si>
  <si>
    <t>7172012006001900</t>
  </si>
  <si>
    <t>7172012007000100</t>
  </si>
  <si>
    <t>7172012007000200</t>
  </si>
  <si>
    <t>7172012007000300</t>
  </si>
  <si>
    <t>7172012007000400</t>
  </si>
  <si>
    <t>7172012007000500</t>
  </si>
  <si>
    <t>7172012007000600</t>
  </si>
  <si>
    <t>7172012007000700</t>
  </si>
  <si>
    <t>7172012007000800</t>
  </si>
  <si>
    <t>7172012007000900</t>
  </si>
  <si>
    <t>7172012007001000</t>
  </si>
  <si>
    <t>7172012007001100</t>
  </si>
  <si>
    <t>7172012007001200</t>
  </si>
  <si>
    <t>7172012007001300</t>
  </si>
  <si>
    <t>7172012007001400</t>
  </si>
  <si>
    <t>7172012007001500</t>
  </si>
  <si>
    <t>7172012007001600</t>
  </si>
  <si>
    <t>7172012007001700</t>
  </si>
  <si>
    <t>7172012007001800</t>
  </si>
  <si>
    <t>7172012007001900</t>
  </si>
  <si>
    <t>7172012007002000</t>
  </si>
  <si>
    <t>7172012007002100</t>
  </si>
  <si>
    <t>7172021001000100</t>
  </si>
  <si>
    <t>7172021001000200</t>
  </si>
  <si>
    <t>7172021001000300</t>
  </si>
  <si>
    <t>7172021001000400</t>
  </si>
  <si>
    <t>7172021002000100</t>
  </si>
  <si>
    <t>7172021002000200</t>
  </si>
  <si>
    <t>7172021002000300</t>
  </si>
  <si>
    <t>7172021002000400</t>
  </si>
  <si>
    <t>7172021002000500</t>
  </si>
  <si>
    <t>7172021002000600</t>
  </si>
  <si>
    <t>7172021003000100</t>
  </si>
  <si>
    <t>7172021003000200</t>
  </si>
  <si>
    <t>7172021003000300</t>
  </si>
  <si>
    <t>7172021003000400</t>
  </si>
  <si>
    <t>7172021003000500</t>
  </si>
  <si>
    <t>7172021003000600</t>
  </si>
  <si>
    <t>7172021003000700</t>
  </si>
  <si>
    <t>7172021003000800</t>
  </si>
  <si>
    <t>7172021003000900</t>
  </si>
  <si>
    <t>7172021003001000</t>
  </si>
  <si>
    <t>7172021003001100</t>
  </si>
  <si>
    <t>7172021003001200</t>
  </si>
  <si>
    <t>7172021004000100</t>
  </si>
  <si>
    <t>7172021004000200</t>
  </si>
  <si>
    <t>7172021004000300</t>
  </si>
  <si>
    <t>7172021004000400</t>
  </si>
  <si>
    <t>7172021004000500</t>
  </si>
  <si>
    <t>7172021004000600</t>
  </si>
  <si>
    <t>7172021005000100</t>
  </si>
  <si>
    <t>7172021005000200</t>
  </si>
  <si>
    <t>7172021005000300</t>
  </si>
  <si>
    <t>7172021005000400</t>
  </si>
  <si>
    <t>7172021006000100</t>
  </si>
  <si>
    <t>7172021006000200</t>
  </si>
  <si>
    <t>7172021006000300</t>
  </si>
  <si>
    <t>7172021006000400</t>
  </si>
  <si>
    <t>7172021006000500</t>
  </si>
  <si>
    <t>7172021006000600</t>
  </si>
  <si>
    <t>7172021006000700</t>
  </si>
  <si>
    <t>7172021006000800</t>
  </si>
  <si>
    <t>7172021006000900</t>
  </si>
  <si>
    <t>7172021006001000</t>
  </si>
  <si>
    <t>7172021006001100</t>
  </si>
  <si>
    <t>7172021006001200</t>
  </si>
  <si>
    <t>7172021006001300</t>
  </si>
  <si>
    <t>7172021006001400</t>
  </si>
  <si>
    <t>7172021006001500</t>
  </si>
  <si>
    <t>7172021006001600</t>
  </si>
  <si>
    <t>7172021006001700</t>
  </si>
  <si>
    <t>7172021006001800</t>
  </si>
  <si>
    <t>7172021006001900</t>
  </si>
  <si>
    <t>7172021006002000</t>
  </si>
  <si>
    <t>7172021006002100</t>
  </si>
  <si>
    <t>7172021006002200</t>
  </si>
  <si>
    <t>7172021007000100</t>
  </si>
  <si>
    <t>7172021007000200</t>
  </si>
  <si>
    <t>7172021007000300</t>
  </si>
  <si>
    <t>7172021007000400</t>
  </si>
  <si>
    <t>7172021007000500</t>
  </si>
  <si>
    <t>7172021007000600</t>
  </si>
  <si>
    <t>7172022001000100</t>
  </si>
  <si>
    <t>7172022001000200</t>
  </si>
  <si>
    <t>7172022001000300</t>
  </si>
  <si>
    <t>7172022001000400</t>
  </si>
  <si>
    <t>7172022001000500</t>
  </si>
  <si>
    <t>7172022001000600</t>
  </si>
  <si>
    <t>7172022001000700</t>
  </si>
  <si>
    <t>7172022001000800</t>
  </si>
  <si>
    <t>7172022001000900</t>
  </si>
  <si>
    <t>7172022001001000</t>
  </si>
  <si>
    <t>7172022001001100</t>
  </si>
  <si>
    <t>7172022001001200</t>
  </si>
  <si>
    <t>7172022002000100</t>
  </si>
  <si>
    <t>7172022002000200</t>
  </si>
  <si>
    <t>7172022002000300</t>
  </si>
  <si>
    <t>7172022002000400</t>
  </si>
  <si>
    <t>7172022002000500</t>
  </si>
  <si>
    <t>7172022002000600</t>
  </si>
  <si>
    <t>7172022002000700</t>
  </si>
  <si>
    <t>7172022002000800</t>
  </si>
  <si>
    <t>7172022003000100</t>
  </si>
  <si>
    <t>7172022003000200</t>
  </si>
  <si>
    <t>7172022003000300</t>
  </si>
  <si>
    <t>7172022003000400</t>
  </si>
  <si>
    <t>7172022004000100</t>
  </si>
  <si>
    <t>7172022004000200</t>
  </si>
  <si>
    <t>7172022004000300</t>
  </si>
  <si>
    <t>7172022004000400</t>
  </si>
  <si>
    <t>7172022004000500</t>
  </si>
  <si>
    <t>7172022004000600</t>
  </si>
  <si>
    <t>7172022005000100</t>
  </si>
  <si>
    <t>7172022005000200</t>
  </si>
  <si>
    <t>7172022005000300</t>
  </si>
  <si>
    <t>7172022005000400</t>
  </si>
  <si>
    <t>7172022006000100</t>
  </si>
  <si>
    <t>7172022006000200</t>
  </si>
  <si>
    <t>7172022006000300</t>
  </si>
  <si>
    <t>7172022006000400</t>
  </si>
  <si>
    <t>7172022006000500</t>
  </si>
  <si>
    <t>7172022006000600</t>
  </si>
  <si>
    <t>7172022007000100</t>
  </si>
  <si>
    <t>7172022007000200</t>
  </si>
  <si>
    <t>7172022007000300</t>
  </si>
  <si>
    <t>7172022007000400</t>
  </si>
  <si>
    <t>7172022008000100</t>
  </si>
  <si>
    <t>7172022008000200</t>
  </si>
  <si>
    <t>7172022008000300</t>
  </si>
  <si>
    <t>7172022008000400</t>
  </si>
  <si>
    <t>7172022008000500</t>
  </si>
  <si>
    <t>7172022009000100</t>
  </si>
  <si>
    <t>7172022009000200</t>
  </si>
  <si>
    <t>7172022009000300</t>
  </si>
  <si>
    <t>7172022009000400</t>
  </si>
  <si>
    <t>7172022009000500</t>
  </si>
  <si>
    <t>7172022010000100</t>
  </si>
  <si>
    <t>7172022010000200</t>
  </si>
  <si>
    <t>7172022010000300</t>
  </si>
  <si>
    <t>7172022010000400</t>
  </si>
  <si>
    <t>7172022010000500</t>
  </si>
  <si>
    <t>7172022010000600</t>
  </si>
  <si>
    <t>7172022010000700</t>
  </si>
  <si>
    <t>7172030006000100</t>
  </si>
  <si>
    <t>7172030006000200</t>
  </si>
  <si>
    <t>7172030006000300</t>
  </si>
  <si>
    <t>7172030006000400</t>
  </si>
  <si>
    <t>7172030006000500</t>
  </si>
  <si>
    <t>7172030006000600</t>
  </si>
  <si>
    <t>7172030006000700</t>
  </si>
  <si>
    <t>7172030006000800</t>
  </si>
  <si>
    <t>7172030006000900</t>
  </si>
  <si>
    <t>7172030006001000</t>
  </si>
  <si>
    <t>7172030006001100</t>
  </si>
  <si>
    <t>7172030006001200</t>
  </si>
  <si>
    <t>7172030006001300</t>
  </si>
  <si>
    <t>7172030006001400</t>
  </si>
  <si>
    <t>7172030006001500</t>
  </si>
  <si>
    <t>7172030006001600</t>
  </si>
  <si>
    <t>7172030006001700</t>
  </si>
  <si>
    <t>7172030006001800</t>
  </si>
  <si>
    <t>7172030006001900</t>
  </si>
  <si>
    <t>7172030007000100</t>
  </si>
  <si>
    <t>7172030007000200</t>
  </si>
  <si>
    <t>7172030007000300</t>
  </si>
  <si>
    <t>7172030007000400</t>
  </si>
  <si>
    <t>7172030007000500</t>
  </si>
  <si>
    <t>7172030007000600</t>
  </si>
  <si>
    <t>7172030007000700</t>
  </si>
  <si>
    <t>7172030007000800</t>
  </si>
  <si>
    <t>7172030007000900</t>
  </si>
  <si>
    <t>7172030007001000</t>
  </si>
  <si>
    <t>7172030007001100</t>
  </si>
  <si>
    <t>7172030007001200</t>
  </si>
  <si>
    <t>7172030007001300</t>
  </si>
  <si>
    <t>7172030007001400</t>
  </si>
  <si>
    <t>7172030007001500</t>
  </si>
  <si>
    <t>7172030007001600</t>
  </si>
  <si>
    <t>7172030007001700</t>
  </si>
  <si>
    <t>7172030007001800</t>
  </si>
  <si>
    <t>7172030007001900</t>
  </si>
  <si>
    <t>7172030008000100</t>
  </si>
  <si>
    <t>7172030008000200</t>
  </si>
  <si>
    <t>7172030008000300</t>
  </si>
  <si>
    <t>7172030008000400</t>
  </si>
  <si>
    <t>7172030008000500</t>
  </si>
  <si>
    <t>7172030008000600</t>
  </si>
  <si>
    <t>7172030008000700</t>
  </si>
  <si>
    <t>7172030008000800</t>
  </si>
  <si>
    <t>7172030008000901</t>
  </si>
  <si>
    <t>7172030008000902</t>
  </si>
  <si>
    <t>7172030008200100</t>
  </si>
  <si>
    <t>7172030009000100</t>
  </si>
  <si>
    <t>7172030009000200</t>
  </si>
  <si>
    <t>7172030009000300</t>
  </si>
  <si>
    <t>7172030009000400</t>
  </si>
  <si>
    <t>7172030009000500</t>
  </si>
  <si>
    <t>7172030009000600</t>
  </si>
  <si>
    <t>7172030009000700</t>
  </si>
  <si>
    <t>7172030009000800</t>
  </si>
  <si>
    <t>7172030009200100</t>
  </si>
  <si>
    <t>7172030012000100</t>
  </si>
  <si>
    <t>7172030012000200</t>
  </si>
  <si>
    <t>7172030012000300</t>
  </si>
  <si>
    <t>7172030012000400</t>
  </si>
  <si>
    <t>7172030012000500</t>
  </si>
  <si>
    <t>7172030012000600</t>
  </si>
  <si>
    <t>7172030012000700</t>
  </si>
  <si>
    <t>7172030012000800</t>
  </si>
  <si>
    <t>7172030012001000</t>
  </si>
  <si>
    <t>7172030012001100</t>
  </si>
  <si>
    <t>7172030012001200</t>
  </si>
  <si>
    <t>7172030012001300</t>
  </si>
  <si>
    <t>7172030012001400</t>
  </si>
  <si>
    <t>7172030012001500</t>
  </si>
  <si>
    <t>7172030012001600</t>
  </si>
  <si>
    <t>7172030012001700</t>
  </si>
  <si>
    <t>7172030012001800</t>
  </si>
  <si>
    <t>7172030012001900</t>
  </si>
  <si>
    <t>7172030012002000</t>
  </si>
  <si>
    <t>7172030013000100</t>
  </si>
  <si>
    <t>7172030013000200</t>
  </si>
  <si>
    <t>7172030013000300</t>
  </si>
  <si>
    <t>7172030013000400</t>
  </si>
  <si>
    <t>7172030013000500</t>
  </si>
  <si>
    <t>7172030013000600</t>
  </si>
  <si>
    <t>7172030013000700</t>
  </si>
  <si>
    <t>7172030013000800</t>
  </si>
  <si>
    <t>7172030013000900</t>
  </si>
  <si>
    <t>7172030013001000</t>
  </si>
  <si>
    <t>7172030013001100</t>
  </si>
  <si>
    <t>7172030013001200</t>
  </si>
  <si>
    <t>7172030013001300</t>
  </si>
  <si>
    <t>7172030013001400</t>
  </si>
  <si>
    <t>7172030013001500</t>
  </si>
  <si>
    <t>7172030013001600</t>
  </si>
  <si>
    <t>7172030014000100</t>
  </si>
  <si>
    <t>7172030014000200</t>
  </si>
  <si>
    <t>7172030014000300</t>
  </si>
  <si>
    <t>7172030014000400</t>
  </si>
  <si>
    <t>7172030014000500</t>
  </si>
  <si>
    <t>7172030014000600</t>
  </si>
  <si>
    <t>7172030014000700</t>
  </si>
  <si>
    <t>7172030014000800</t>
  </si>
  <si>
    <t>7172030014000900</t>
  </si>
  <si>
    <t>7172030014001000</t>
  </si>
  <si>
    <t>7172030014001100</t>
  </si>
  <si>
    <t>7172030014001200</t>
  </si>
  <si>
    <t>7172030015000100</t>
  </si>
  <si>
    <t>7172030015000200</t>
  </si>
  <si>
    <t>7172030015000300</t>
  </si>
  <si>
    <t>7172030015000400</t>
  </si>
  <si>
    <t>7172030015000500</t>
  </si>
  <si>
    <t>7172030015000600</t>
  </si>
  <si>
    <t>7172030015000700</t>
  </si>
  <si>
    <t>7172030015000800</t>
  </si>
  <si>
    <t>7172030015000900</t>
  </si>
  <si>
    <t>7172030015001000</t>
  </si>
  <si>
    <t>7172030015001100</t>
  </si>
  <si>
    <t>7172030015001200</t>
  </si>
  <si>
    <t>7172030015001300</t>
  </si>
  <si>
    <t>7172030015001400</t>
  </si>
  <si>
    <t>7172030015001500</t>
  </si>
  <si>
    <t>7172030015001600</t>
  </si>
  <si>
    <t>7172030015001701</t>
  </si>
  <si>
    <t>7172030015001702</t>
  </si>
  <si>
    <t>7172030015001703</t>
  </si>
  <si>
    <t>7172030015001800</t>
  </si>
  <si>
    <t>7172030016000100</t>
  </si>
  <si>
    <t>7172030016000200</t>
  </si>
  <si>
    <t>7172030016000300</t>
  </si>
  <si>
    <t>7172030016000400</t>
  </si>
  <si>
    <t>7172030016000500</t>
  </si>
  <si>
    <t>7172030016000600</t>
  </si>
  <si>
    <t>7172030016000700</t>
  </si>
  <si>
    <t>7172030016000800</t>
  </si>
  <si>
    <t>7172030016000900</t>
  </si>
  <si>
    <t>7172030017000100</t>
  </si>
  <si>
    <t>7172030017000200</t>
  </si>
  <si>
    <t>7172030017000300</t>
  </si>
  <si>
    <t>7172030017000400</t>
  </si>
  <si>
    <t>7172030017000500</t>
  </si>
  <si>
    <t>7172030017000600</t>
  </si>
  <si>
    <t>7172030017000700</t>
  </si>
  <si>
    <t>7172030017000800</t>
  </si>
  <si>
    <t>7172030017000900</t>
  </si>
  <si>
    <t>7172030017001000</t>
  </si>
  <si>
    <t>7172030017001100</t>
  </si>
  <si>
    <t>7172030017001200</t>
  </si>
  <si>
    <t>7172030017001300</t>
  </si>
  <si>
    <t>7172030017001400</t>
  </si>
  <si>
    <t>7172030017001500</t>
  </si>
  <si>
    <t>7172030017001600</t>
  </si>
  <si>
    <t>7172030017001700</t>
  </si>
  <si>
    <t>7172030017001800</t>
  </si>
  <si>
    <t>7172030017001900</t>
  </si>
  <si>
    <t>7172030017002001</t>
  </si>
  <si>
    <t>7172030017002002</t>
  </si>
  <si>
    <t>7172031001000100</t>
  </si>
  <si>
    <t>7172031001000200</t>
  </si>
  <si>
    <t>7172031001000300</t>
  </si>
  <si>
    <t>7172031001000400</t>
  </si>
  <si>
    <t>7172031001000500</t>
  </si>
  <si>
    <t>7172031001000600</t>
  </si>
  <si>
    <t>7172031001000700</t>
  </si>
  <si>
    <t>7172031001000800</t>
  </si>
  <si>
    <t>7172031001000900</t>
  </si>
  <si>
    <t>7172031001001000</t>
  </si>
  <si>
    <t>7172031001001100</t>
  </si>
  <si>
    <t>7172031001001200</t>
  </si>
  <si>
    <t>7172031001001300</t>
  </si>
  <si>
    <t>7172031001001400</t>
  </si>
  <si>
    <t>7172031001001500</t>
  </si>
  <si>
    <t>7172031002000100</t>
  </si>
  <si>
    <t>7172031002000200</t>
  </si>
  <si>
    <t>7172031002000300</t>
  </si>
  <si>
    <t>7172031002000400</t>
  </si>
  <si>
    <t>7172031002000500</t>
  </si>
  <si>
    <t>7172031002000600</t>
  </si>
  <si>
    <t>7172031002000700</t>
  </si>
  <si>
    <t>7172031002000800</t>
  </si>
  <si>
    <t>7172031002000900</t>
  </si>
  <si>
    <t>7172031002001000</t>
  </si>
  <si>
    <t>7172031002001101</t>
  </si>
  <si>
    <t>7172031002001102</t>
  </si>
  <si>
    <t>7172031002001200</t>
  </si>
  <si>
    <t>7172031002001300</t>
  </si>
  <si>
    <t>7172031002001400</t>
  </si>
  <si>
    <t>7172031002001500</t>
  </si>
  <si>
    <t>7172031003000100</t>
  </si>
  <si>
    <t>7172031003000200</t>
  </si>
  <si>
    <t>7172031003000300</t>
  </si>
  <si>
    <t>7172031003000400</t>
  </si>
  <si>
    <t>7172031003000500</t>
  </si>
  <si>
    <t>7172031003000600</t>
  </si>
  <si>
    <t>7172031003000700</t>
  </si>
  <si>
    <t>7172031003000800</t>
  </si>
  <si>
    <t>7172031003000900</t>
  </si>
  <si>
    <t>7172031003001000</t>
  </si>
  <si>
    <t>7172031003001100</t>
  </si>
  <si>
    <t>7172031003001200</t>
  </si>
  <si>
    <t>7172031003001300</t>
  </si>
  <si>
    <t>7172031003001400</t>
  </si>
  <si>
    <t>7172031003001500</t>
  </si>
  <si>
    <t>7172031003001600</t>
  </si>
  <si>
    <t>7172031003001700</t>
  </si>
  <si>
    <t>7172031003001800</t>
  </si>
  <si>
    <t>7172031003001900</t>
  </si>
  <si>
    <t>7172031003002000</t>
  </si>
  <si>
    <t>7172031003002100</t>
  </si>
  <si>
    <t>7172031003002200</t>
  </si>
  <si>
    <t>7172031003002300</t>
  </si>
  <si>
    <t>7172031003002400</t>
  </si>
  <si>
    <t>7172031003002500</t>
  </si>
  <si>
    <t>7172031003002600</t>
  </si>
  <si>
    <t>7172031003002700</t>
  </si>
  <si>
    <t>7172031004000100</t>
  </si>
  <si>
    <t>7172031004000200</t>
  </si>
  <si>
    <t>7172031004000300</t>
  </si>
  <si>
    <t>7172031004000400</t>
  </si>
  <si>
    <t>7172031004000500</t>
  </si>
  <si>
    <t>7172031004000600</t>
  </si>
  <si>
    <t>7172031004000700</t>
  </si>
  <si>
    <t>7172031004000800</t>
  </si>
  <si>
    <t>7172031004000900</t>
  </si>
  <si>
    <t>7172031004001000</t>
  </si>
  <si>
    <t>7172031004001100</t>
  </si>
  <si>
    <t>7172031004001200</t>
  </si>
  <si>
    <t>7172031004001300</t>
  </si>
  <si>
    <t>7172031004001400</t>
  </si>
  <si>
    <t>7172031004001500</t>
  </si>
  <si>
    <t>7172031004001600</t>
  </si>
  <si>
    <t>7172031004001700</t>
  </si>
  <si>
    <t>7172031004001800</t>
  </si>
  <si>
    <t>7172031004100200</t>
  </si>
  <si>
    <t>7172031005000100</t>
  </si>
  <si>
    <t>7172031005000200</t>
  </si>
  <si>
    <t>7172031005000300</t>
  </si>
  <si>
    <t>7172031005000400</t>
  </si>
  <si>
    <t>7172031005000500</t>
  </si>
  <si>
    <t>7172031005000600</t>
  </si>
  <si>
    <t>7172031005000700</t>
  </si>
  <si>
    <t>7172031005000800</t>
  </si>
  <si>
    <t>7172031005000900</t>
  </si>
  <si>
    <t>7172031005001000</t>
  </si>
  <si>
    <t>7172031005001100</t>
  </si>
  <si>
    <t>7172031005001200</t>
  </si>
  <si>
    <t>7172031005001300</t>
  </si>
  <si>
    <t>7172031005001400</t>
  </si>
  <si>
    <t>7172031005001500</t>
  </si>
  <si>
    <t>7172031005001600</t>
  </si>
  <si>
    <t>7172031005001700</t>
  </si>
  <si>
    <t>7172031005001800</t>
  </si>
  <si>
    <t>7172031006000101</t>
  </si>
  <si>
    <t>7172031006000102</t>
  </si>
  <si>
    <t>7172031006000200</t>
  </si>
  <si>
    <t>7172031006000300</t>
  </si>
  <si>
    <t>7172031006000400</t>
  </si>
  <si>
    <t>7172031006000500</t>
  </si>
  <si>
    <t>7172031006000600</t>
  </si>
  <si>
    <t>7172031006000700</t>
  </si>
  <si>
    <t>7172031006000800</t>
  </si>
  <si>
    <t>7172031006000900</t>
  </si>
  <si>
    <t>7172031006001000</t>
  </si>
  <si>
    <t>7172031006001100</t>
  </si>
  <si>
    <t>7172031006001200</t>
  </si>
  <si>
    <t>7172031006001300</t>
  </si>
  <si>
    <t>7172031006001400</t>
  </si>
  <si>
    <t>7172031006001500</t>
  </si>
  <si>
    <t>7172031006001600</t>
  </si>
  <si>
    <t>7172031006001700</t>
  </si>
  <si>
    <t>7172031006001800</t>
  </si>
  <si>
    <t>7172031007000100</t>
  </si>
  <si>
    <t>7172031007000200</t>
  </si>
  <si>
    <t>7172031007000300</t>
  </si>
  <si>
    <t>7172031007000400</t>
  </si>
  <si>
    <t>7172031007000500</t>
  </si>
  <si>
    <t>7172031007000600</t>
  </si>
  <si>
    <t>7172031007000700</t>
  </si>
  <si>
    <t>7172031007000800</t>
  </si>
  <si>
    <t>7172031007000900</t>
  </si>
  <si>
    <t>7172031007001000</t>
  </si>
  <si>
    <t>7172031007001100</t>
  </si>
  <si>
    <t>7172031007001200</t>
  </si>
  <si>
    <t>7172031007001300</t>
  </si>
  <si>
    <t>7172031007001400</t>
  </si>
  <si>
    <t>7172031007001500</t>
  </si>
  <si>
    <t>7172031007001600</t>
  </si>
  <si>
    <t>7172031007001700</t>
  </si>
  <si>
    <t>7172031007001800</t>
  </si>
  <si>
    <t>7172031007001900</t>
  </si>
  <si>
    <t>7172031007002000</t>
  </si>
  <si>
    <t>7172031007002100</t>
  </si>
  <si>
    <t>7172031007002200</t>
  </si>
  <si>
    <t>7172031007002300</t>
  </si>
  <si>
    <t>7172031007002400</t>
  </si>
  <si>
    <t>7172031007002500</t>
  </si>
  <si>
    <t>7172031007002600</t>
  </si>
  <si>
    <t>7172031007002700</t>
  </si>
  <si>
    <t>7172031007002800</t>
  </si>
  <si>
    <t>7172031007002900</t>
  </si>
  <si>
    <t>7172031008000100</t>
  </si>
  <si>
    <t>7172031008000200</t>
  </si>
  <si>
    <t>7172031008000300</t>
  </si>
  <si>
    <t>7172031008000400</t>
  </si>
  <si>
    <t>7172031008000500</t>
  </si>
  <si>
    <t>7172031008000600</t>
  </si>
  <si>
    <t>7172031008000700</t>
  </si>
  <si>
    <t>7172031008000800</t>
  </si>
  <si>
    <t>7172031008000900</t>
  </si>
  <si>
    <t>7172031008001000</t>
  </si>
  <si>
    <t>7172031008001100</t>
  </si>
  <si>
    <t>7172031008001200</t>
  </si>
  <si>
    <t>7172031008001300</t>
  </si>
  <si>
    <t>7172031008001400</t>
  </si>
  <si>
    <t>7172031008001500</t>
  </si>
  <si>
    <t>7172031008500100</t>
  </si>
  <si>
    <t>7172040001000100</t>
  </si>
  <si>
    <t>7172040001000200</t>
  </si>
  <si>
    <t>7172040001000300</t>
  </si>
  <si>
    <t>7172040001000400</t>
  </si>
  <si>
    <t>7172040001000500</t>
  </si>
  <si>
    <t>7172040001000600</t>
  </si>
  <si>
    <t>7172040001000700</t>
  </si>
  <si>
    <t>7172040001000800</t>
  </si>
  <si>
    <t>7172040001000900</t>
  </si>
  <si>
    <t>7172040003000101</t>
  </si>
  <si>
    <t>7172040003000102</t>
  </si>
  <si>
    <t>7172040003000200</t>
  </si>
  <si>
    <t>7172040003000300</t>
  </si>
  <si>
    <t>7172040003000400</t>
  </si>
  <si>
    <t>7172040003000500</t>
  </si>
  <si>
    <t>7172040003000601</t>
  </si>
  <si>
    <t>7172040003000602</t>
  </si>
  <si>
    <t>7172040003000700</t>
  </si>
  <si>
    <t>7172040003000800</t>
  </si>
  <si>
    <t>7172040003000900</t>
  </si>
  <si>
    <t>7172040003001000</t>
  </si>
  <si>
    <t>7172040003001100</t>
  </si>
  <si>
    <t>7172040003001200</t>
  </si>
  <si>
    <t>7172040003001301</t>
  </si>
  <si>
    <t>7172040003001302</t>
  </si>
  <si>
    <t>7172040003001400</t>
  </si>
  <si>
    <t>7172040003001501</t>
  </si>
  <si>
    <t>7172040003001502</t>
  </si>
  <si>
    <t>7172040004000100</t>
  </si>
  <si>
    <t>7172040004000200</t>
  </si>
  <si>
    <t>7172040004000300</t>
  </si>
  <si>
    <t>7172040004000400</t>
  </si>
  <si>
    <t>7172040004000500</t>
  </si>
  <si>
    <t>7172040004000600</t>
  </si>
  <si>
    <t>7172040005000100</t>
  </si>
  <si>
    <t>7172040005000200</t>
  </si>
  <si>
    <t>7172040005000300</t>
  </si>
  <si>
    <t>7172040005000400</t>
  </si>
  <si>
    <t>7172040005000500</t>
  </si>
  <si>
    <t>7172040005000600</t>
  </si>
  <si>
    <t>7172040005000700</t>
  </si>
  <si>
    <t>7172040005000800</t>
  </si>
  <si>
    <t>7172040005000900</t>
  </si>
  <si>
    <t>7172040005001000</t>
  </si>
  <si>
    <t>7172040005001100</t>
  </si>
  <si>
    <t>7172040005001200</t>
  </si>
  <si>
    <t>7172040005001300</t>
  </si>
  <si>
    <t>7172040005001401</t>
  </si>
  <si>
    <t>7172040005001402</t>
  </si>
  <si>
    <t>7172040005001500</t>
  </si>
  <si>
    <t>7172040005001600</t>
  </si>
  <si>
    <t>7172040005001700</t>
  </si>
  <si>
    <t>7172040005001800</t>
  </si>
  <si>
    <t>7172040005001900</t>
  </si>
  <si>
    <t>7172040005002001</t>
  </si>
  <si>
    <t>7172040005002002</t>
  </si>
  <si>
    <t>7172040006000100</t>
  </si>
  <si>
    <t>7172040006000200</t>
  </si>
  <si>
    <t>7172040006000300</t>
  </si>
  <si>
    <t>7172040006000400</t>
  </si>
  <si>
    <t>7172040006000500</t>
  </si>
  <si>
    <t>7172040006000600</t>
  </si>
  <si>
    <t>7172040007000100</t>
  </si>
  <si>
    <t>7172040007000200</t>
  </si>
  <si>
    <t>7172040007000300</t>
  </si>
  <si>
    <t>7172040007000400</t>
  </si>
  <si>
    <t>7172040008000100</t>
  </si>
  <si>
    <t>7172040008000200</t>
  </si>
  <si>
    <t>7172040008000300</t>
  </si>
  <si>
    <t>7172040008000400</t>
  </si>
  <si>
    <t>7172040009000100</t>
  </si>
  <si>
    <t>7172040009000200</t>
  </si>
  <si>
    <t>7172040009000300</t>
  </si>
  <si>
    <t>7172040009000400</t>
  </si>
  <si>
    <t>7172040009000500</t>
  </si>
  <si>
    <t>7172040009000600</t>
  </si>
  <si>
    <t>7172040010000100</t>
  </si>
  <si>
    <t>7172040010000200</t>
  </si>
  <si>
    <t>7172040010000300</t>
  </si>
  <si>
    <t>7172040010000400</t>
  </si>
  <si>
    <t>7172040010000500</t>
  </si>
  <si>
    <t>7172040010000600</t>
  </si>
  <si>
    <t>7172040010000700</t>
  </si>
  <si>
    <t>7172040010000800</t>
  </si>
  <si>
    <t>7172040012000100</t>
  </si>
  <si>
    <t>7172040012000200</t>
  </si>
  <si>
    <t>7172040012000300</t>
  </si>
  <si>
    <t>7172040012000400</t>
  </si>
  <si>
    <t>7172040012000500</t>
  </si>
  <si>
    <t>7172040012000600</t>
  </si>
  <si>
    <t>7172040012000700</t>
  </si>
  <si>
    <t>7172040012000800</t>
  </si>
  <si>
    <t>7172040012000900</t>
  </si>
  <si>
    <t>7172040012001000</t>
  </si>
  <si>
    <t>7172040012001100</t>
  </si>
  <si>
    <t>7172040012001200</t>
  </si>
  <si>
    <t>7172040012001300</t>
  </si>
  <si>
    <t>7172040012001400</t>
  </si>
  <si>
    <t>7172040012001500</t>
  </si>
  <si>
    <t>7172040013000100</t>
  </si>
  <si>
    <t>7172040013000200</t>
  </si>
  <si>
    <t>7172040013000300</t>
  </si>
  <si>
    <t>7172040013000400</t>
  </si>
  <si>
    <t>7172040013000500</t>
  </si>
  <si>
    <t>7172040013000600</t>
  </si>
  <si>
    <t>7172040013000700</t>
  </si>
  <si>
    <t>7172040013000800</t>
  </si>
  <si>
    <t>7172040013000900</t>
  </si>
  <si>
    <t>7172040013001000</t>
  </si>
  <si>
    <t>7172040013001100</t>
  </si>
  <si>
    <t>7172040013001200</t>
  </si>
  <si>
    <t>7172000000000000</t>
  </si>
  <si>
    <t>7172031003000000</t>
  </si>
  <si>
    <t>jumlah_keluarga_tidak_ditemukan</t>
  </si>
  <si>
    <t>jumlah_usaha_tidak_ditemukan</t>
  </si>
  <si>
    <t>total_record</t>
  </si>
  <si>
    <t>jumlah_bangunan_kosong</t>
  </si>
  <si>
    <t>DIDATA</t>
  </si>
  <si>
    <t>TDK</t>
  </si>
  <si>
    <t>Syahri Mododahi</t>
  </si>
  <si>
    <t>Yurita Mamile</t>
  </si>
  <si>
    <t>Prih</t>
  </si>
  <si>
    <t>7172011014000000</t>
  </si>
  <si>
    <t>7172012005000000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</si>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</sst>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1" applyNumberFormat="1" applyFont="1"/>
    <xf numFmtId="16" fontId="0" fillId="0" borderId="0" xfId="0" applyNumberFormat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D74A6619-F587-4EF3-913E-CBF4BE737B86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mail" tableColumnId="1"/>
      <queryTableField id="2" name="regionCode" tableColumnId="2"/>
      <queryTableField id="3" name="total" tableColumnId="3"/>
      <queryTableField id="4" name="APPROVED BY Pengawas" tableColumnId="4"/>
      <queryTableField id="5" name="DRAFT" tableColumnId="5"/>
      <queryTableField id="6" name="EDITED BY Admin Kabupaten" tableColumnId="6"/>
      <queryTableField id="7" name="OPEN" tableColumnId="7"/>
      <queryTableField id="8" name="REJECTED BY Admin Kabupaten" tableColumnId="8"/>
      <queryTableField id="9" name="REJECTED BY Pengawas" tableColumnId="9"/>
      <queryTableField id="10" name="REVOKED BY Pengawas" tableColumnId="10"/>
      <queryTableField id="11" name="SUBMITTED BY Pencacah" tableColumnId="11"/>
      <queryTableField id="12" name="SUBMITTED RESPONDENT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C3596-8EDC-4EBE-B0DB-5507C7144B53}" name="region_summary__54" displayName="region_summary__54" ref="A1:M1056" tableType="queryTable" totalsRowShown="0">
  <autoFilter ref="A1:M1056" xr:uid="{EE9C3596-8EDC-4EBE-B0DB-5507C7144B53}"/>
  <tableColumns count="13">
    <tableColumn id="1" xr3:uid="{7354A73B-E14D-46B3-A252-3F3166CF9913}" uniqueName="1" name="email" queryTableFieldId="1" dataDxfId="2"/>
    <tableColumn id="2" xr3:uid="{0F3B570B-224B-4FAD-B258-3EF3BBCC1489}" uniqueName="2" name="regionCode" queryTableFieldId="2"/>
    <tableColumn id="3" xr3:uid="{CB67936F-7F89-40BF-BF35-B81C14E65C1F}" uniqueName="3" name="total" queryTableFieldId="3"/>
    <tableColumn id="4" xr3:uid="{64A8859F-BC8B-4F63-8751-03E03E16071C}" uniqueName="4" name="APPROVED BY Pengawas" queryTableFieldId="4"/>
    <tableColumn id="5" xr3:uid="{3179E123-9658-4CE0-B457-D0F763CDF15C}" uniqueName="5" name="DRAFT" queryTableFieldId="5"/>
    <tableColumn id="6" xr3:uid="{CD25A540-FED6-46CB-A163-C42EA4DB8730}" uniqueName="6" name="EDITED BY Admin Kabupaten" queryTableFieldId="6"/>
    <tableColumn id="7" xr3:uid="{29A05B8A-053D-49B8-B2FC-D3A627C6EB0F}" uniqueName="7" name="OPEN" queryTableFieldId="7"/>
    <tableColumn id="8" xr3:uid="{D2950BAC-76AA-4F2D-B6E9-91CD66C6D3B5}" uniqueName="8" name="REJECTED BY Admin Kabupaten" queryTableFieldId="8"/>
    <tableColumn id="9" xr3:uid="{F3D85B9E-09A7-4B4B-B1DC-791AB98DAA61}" uniqueName="9" name="REJECTED BY Pengawas" queryTableFieldId="9"/>
    <tableColumn id="10" xr3:uid="{1E296DCD-FD18-4FD7-889A-CBE3B352E76B}" uniqueName="10" name="REVOKED BY Pengawas" queryTableFieldId="10"/>
    <tableColumn id="11" xr3:uid="{01F5B151-7066-45A8-8DBB-9120BD0E12D1}" uniqueName="11" name="SUBMITTED BY Pencacah" queryTableFieldId="11"/>
    <tableColumn id="12" xr3:uid="{68128B94-3F00-425A-BB41-48DC4B939430}" uniqueName="12" name="SUBMITTED RESPONDENT" queryTableFieldId="12"/>
    <tableColumn id="13" xr3:uid="{5BB69ABC-09B7-4AD6-AABA-57773ED86FEE}" uniqueName="13" name="Column1" queryTableFieldId="13" dataDxfId="1">
      <calculatedColumnFormula>region_summary__54[[#This Row],[REJECTED BY Admin Kabupaten]]+region_summary__54[[#This Row],[REJECTED BY Pengawas]]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opLeftCell="A28" workbookViewId="0">
      <selection activeCell="C52" sqref="C52"/>
    </sheetView>
  </sheetViews>
  <sheetFormatPr defaultRowHeight="15" x14ac:dyDescent="0.25"/>
  <cols>
    <col min="1" max="1" width="39.28515625" bestFit="1" customWidth="1"/>
    <col min="2" max="2" width="29.140625" bestFit="1" customWidth="1"/>
    <col min="3" max="3" width="33.28515625" bestFit="1" customWidth="1"/>
    <col min="4" max="4" width="17.42578125" bestFit="1" customWidth="1"/>
    <col min="5" max="5" width="16" bestFit="1" customWidth="1"/>
    <col min="9" max="9" width="3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91</v>
      </c>
      <c r="B2" t="s">
        <v>174</v>
      </c>
      <c r="C2" t="s">
        <v>155</v>
      </c>
      <c r="D2" t="s">
        <v>185</v>
      </c>
      <c r="E2" t="s">
        <v>212</v>
      </c>
    </row>
    <row r="3" spans="1:5" x14ac:dyDescent="0.25">
      <c r="A3" t="s">
        <v>94</v>
      </c>
      <c r="B3" t="s">
        <v>174</v>
      </c>
      <c r="C3" t="s">
        <v>155</v>
      </c>
      <c r="D3" t="s">
        <v>185</v>
      </c>
      <c r="E3" t="s">
        <v>212</v>
      </c>
    </row>
    <row r="4" spans="1:5" x14ac:dyDescent="0.25">
      <c r="A4" t="s">
        <v>98</v>
      </c>
      <c r="B4" t="s">
        <v>174</v>
      </c>
      <c r="C4" t="s">
        <v>155</v>
      </c>
      <c r="D4" t="s">
        <v>185</v>
      </c>
      <c r="E4" t="s">
        <v>212</v>
      </c>
    </row>
    <row r="5" spans="1:5" x14ac:dyDescent="0.25">
      <c r="A5" t="s">
        <v>99</v>
      </c>
      <c r="B5" t="s">
        <v>174</v>
      </c>
      <c r="C5" t="s">
        <v>155</v>
      </c>
      <c r="D5" t="s">
        <v>185</v>
      </c>
      <c r="E5" t="s">
        <v>212</v>
      </c>
    </row>
    <row r="6" spans="1:5" x14ac:dyDescent="0.25">
      <c r="A6" t="s">
        <v>106</v>
      </c>
      <c r="B6" t="s">
        <v>174</v>
      </c>
      <c r="C6" t="s">
        <v>155</v>
      </c>
      <c r="D6" t="s">
        <v>185</v>
      </c>
      <c r="E6" t="s">
        <v>212</v>
      </c>
    </row>
    <row r="7" spans="1:5" x14ac:dyDescent="0.25">
      <c r="A7" t="s">
        <v>108</v>
      </c>
      <c r="B7" t="s">
        <v>174</v>
      </c>
      <c r="C7" t="s">
        <v>155</v>
      </c>
      <c r="D7" t="s">
        <v>185</v>
      </c>
      <c r="E7" t="s">
        <v>212</v>
      </c>
    </row>
    <row r="8" spans="1:5" x14ac:dyDescent="0.25">
      <c r="A8" t="s">
        <v>92</v>
      </c>
      <c r="B8" t="s">
        <v>175</v>
      </c>
      <c r="C8" t="s">
        <v>156</v>
      </c>
      <c r="D8" t="s">
        <v>188</v>
      </c>
      <c r="E8" t="s">
        <v>213</v>
      </c>
    </row>
    <row r="9" spans="1:5" x14ac:dyDescent="0.25">
      <c r="A9" t="s">
        <v>96</v>
      </c>
      <c r="B9" t="s">
        <v>175</v>
      </c>
      <c r="C9" t="s">
        <v>156</v>
      </c>
      <c r="D9" t="s">
        <v>188</v>
      </c>
      <c r="E9" t="s">
        <v>213</v>
      </c>
    </row>
    <row r="10" spans="1:5" x14ac:dyDescent="0.25">
      <c r="A10" t="s">
        <v>97</v>
      </c>
      <c r="B10" t="s">
        <v>175</v>
      </c>
      <c r="C10" t="s">
        <v>156</v>
      </c>
      <c r="D10" t="s">
        <v>188</v>
      </c>
      <c r="E10" t="s">
        <v>213</v>
      </c>
    </row>
    <row r="11" spans="1:5" x14ac:dyDescent="0.25">
      <c r="A11" t="s">
        <v>100</v>
      </c>
      <c r="B11" t="s">
        <v>175</v>
      </c>
      <c r="C11" t="s">
        <v>156</v>
      </c>
      <c r="D11" t="s">
        <v>188</v>
      </c>
      <c r="E11" t="s">
        <v>213</v>
      </c>
    </row>
    <row r="12" spans="1:5" x14ac:dyDescent="0.25">
      <c r="A12" t="s">
        <v>101</v>
      </c>
      <c r="B12" t="s">
        <v>175</v>
      </c>
      <c r="C12" t="s">
        <v>156</v>
      </c>
      <c r="D12" t="s">
        <v>188</v>
      </c>
      <c r="E12" t="s">
        <v>213</v>
      </c>
    </row>
    <row r="13" spans="1:5" x14ac:dyDescent="0.25">
      <c r="A13" t="s">
        <v>102</v>
      </c>
      <c r="B13" t="s">
        <v>175</v>
      </c>
      <c r="C13" t="s">
        <v>156</v>
      </c>
      <c r="D13" t="s">
        <v>188</v>
      </c>
      <c r="E13" t="s">
        <v>213</v>
      </c>
    </row>
    <row r="14" spans="1:5" x14ac:dyDescent="0.25">
      <c r="A14" t="s">
        <v>105</v>
      </c>
      <c r="B14" t="s">
        <v>175</v>
      </c>
      <c r="C14" t="s">
        <v>156</v>
      </c>
      <c r="D14" t="s">
        <v>188</v>
      </c>
      <c r="E14" t="s">
        <v>213</v>
      </c>
    </row>
    <row r="15" spans="1:5" x14ac:dyDescent="0.25">
      <c r="A15" t="s">
        <v>131</v>
      </c>
      <c r="B15" t="s">
        <v>180</v>
      </c>
      <c r="C15" t="s">
        <v>161</v>
      </c>
      <c r="D15" t="s">
        <v>183</v>
      </c>
      <c r="E15" t="s">
        <v>218</v>
      </c>
    </row>
    <row r="16" spans="1:5" x14ac:dyDescent="0.25">
      <c r="A16" t="s">
        <v>132</v>
      </c>
      <c r="B16" t="s">
        <v>180</v>
      </c>
      <c r="C16" t="s">
        <v>161</v>
      </c>
      <c r="D16" t="s">
        <v>183</v>
      </c>
      <c r="E16" t="s">
        <v>218</v>
      </c>
    </row>
    <row r="17" spans="1:5" x14ac:dyDescent="0.25">
      <c r="A17" t="s">
        <v>133</v>
      </c>
      <c r="B17" t="s">
        <v>180</v>
      </c>
      <c r="C17" t="s">
        <v>161</v>
      </c>
      <c r="D17" t="s">
        <v>183</v>
      </c>
      <c r="E17" t="s">
        <v>218</v>
      </c>
    </row>
    <row r="18" spans="1:5" x14ac:dyDescent="0.25">
      <c r="A18" t="s">
        <v>134</v>
      </c>
      <c r="B18" t="s">
        <v>180</v>
      </c>
      <c r="C18" t="s">
        <v>161</v>
      </c>
      <c r="D18" t="s">
        <v>183</v>
      </c>
      <c r="E18" t="s">
        <v>218</v>
      </c>
    </row>
    <row r="19" spans="1:5" x14ac:dyDescent="0.25">
      <c r="A19" t="s">
        <v>135</v>
      </c>
      <c r="B19" t="s">
        <v>180</v>
      </c>
      <c r="C19" t="s">
        <v>161</v>
      </c>
      <c r="D19" t="s">
        <v>183</v>
      </c>
      <c r="E19" t="s">
        <v>218</v>
      </c>
    </row>
    <row r="20" spans="1:5" x14ac:dyDescent="0.25">
      <c r="A20" t="s">
        <v>136</v>
      </c>
      <c r="B20" t="s">
        <v>180</v>
      </c>
      <c r="C20" t="s">
        <v>161</v>
      </c>
      <c r="D20" t="s">
        <v>183</v>
      </c>
      <c r="E20" t="s">
        <v>218</v>
      </c>
    </row>
    <row r="21" spans="1:5" x14ac:dyDescent="0.25">
      <c r="A21" t="s">
        <v>138</v>
      </c>
      <c r="B21" t="s">
        <v>180</v>
      </c>
      <c r="C21" t="s">
        <v>161</v>
      </c>
      <c r="D21" t="s">
        <v>183</v>
      </c>
      <c r="E21" t="s">
        <v>218</v>
      </c>
    </row>
    <row r="22" spans="1:5" x14ac:dyDescent="0.25">
      <c r="A22" t="s">
        <v>30</v>
      </c>
      <c r="B22" t="s">
        <v>167</v>
      </c>
      <c r="C22" t="s">
        <v>148</v>
      </c>
      <c r="D22" t="s">
        <v>182</v>
      </c>
      <c r="E22" t="s">
        <v>205</v>
      </c>
    </row>
    <row r="23" spans="1:5" x14ac:dyDescent="0.25">
      <c r="A23" t="s">
        <v>31</v>
      </c>
      <c r="B23" t="s">
        <v>167</v>
      </c>
      <c r="C23" t="s">
        <v>148</v>
      </c>
      <c r="D23" t="s">
        <v>182</v>
      </c>
      <c r="E23" t="s">
        <v>205</v>
      </c>
    </row>
    <row r="24" spans="1:5" x14ac:dyDescent="0.25">
      <c r="A24" t="s">
        <v>32</v>
      </c>
      <c r="B24" t="s">
        <v>167</v>
      </c>
      <c r="C24" t="s">
        <v>148</v>
      </c>
      <c r="D24" t="s">
        <v>182</v>
      </c>
      <c r="E24" t="s">
        <v>205</v>
      </c>
    </row>
    <row r="25" spans="1:5" x14ac:dyDescent="0.25">
      <c r="A25" t="s">
        <v>35</v>
      </c>
      <c r="B25" t="s">
        <v>167</v>
      </c>
      <c r="C25" t="s">
        <v>148</v>
      </c>
      <c r="D25" t="s">
        <v>182</v>
      </c>
      <c r="E25" t="s">
        <v>205</v>
      </c>
    </row>
    <row r="26" spans="1:5" x14ac:dyDescent="0.25">
      <c r="A26" t="s">
        <v>36</v>
      </c>
      <c r="B26" t="s">
        <v>167</v>
      </c>
      <c r="C26" t="s">
        <v>148</v>
      </c>
      <c r="D26" t="s">
        <v>182</v>
      </c>
      <c r="E26" t="s">
        <v>205</v>
      </c>
    </row>
    <row r="27" spans="1:5" x14ac:dyDescent="0.25">
      <c r="A27" t="s">
        <v>37</v>
      </c>
      <c r="B27" t="s">
        <v>167</v>
      </c>
      <c r="C27" t="s">
        <v>148</v>
      </c>
      <c r="D27" t="s">
        <v>182</v>
      </c>
      <c r="E27" t="s">
        <v>205</v>
      </c>
    </row>
    <row r="28" spans="1:5" x14ac:dyDescent="0.25">
      <c r="A28" t="s">
        <v>38</v>
      </c>
      <c r="B28" t="s">
        <v>167</v>
      </c>
      <c r="C28" t="s">
        <v>148</v>
      </c>
      <c r="D28" t="s">
        <v>182</v>
      </c>
      <c r="E28" t="s">
        <v>205</v>
      </c>
    </row>
    <row r="29" spans="1:5" x14ac:dyDescent="0.25">
      <c r="A29" t="s">
        <v>47</v>
      </c>
      <c r="B29" t="s">
        <v>167</v>
      </c>
      <c r="C29" t="s">
        <v>148</v>
      </c>
      <c r="D29" t="s">
        <v>182</v>
      </c>
      <c r="E29" t="s">
        <v>205</v>
      </c>
    </row>
    <row r="30" spans="1:5" x14ac:dyDescent="0.25">
      <c r="A30" t="s">
        <v>109</v>
      </c>
      <c r="B30" t="s">
        <v>176</v>
      </c>
      <c r="C30" t="s">
        <v>157</v>
      </c>
      <c r="D30" t="s">
        <v>194</v>
      </c>
      <c r="E30" t="s">
        <v>214</v>
      </c>
    </row>
    <row r="31" spans="1:5" x14ac:dyDescent="0.25">
      <c r="A31" t="s">
        <v>110</v>
      </c>
      <c r="B31" t="s">
        <v>176</v>
      </c>
      <c r="C31" t="s">
        <v>157</v>
      </c>
      <c r="D31" t="s">
        <v>194</v>
      </c>
      <c r="E31" t="s">
        <v>214</v>
      </c>
    </row>
    <row r="32" spans="1:5" x14ac:dyDescent="0.25">
      <c r="A32" t="s">
        <v>111</v>
      </c>
      <c r="B32" t="s">
        <v>176</v>
      </c>
      <c r="C32" t="s">
        <v>157</v>
      </c>
      <c r="D32" t="s">
        <v>194</v>
      </c>
      <c r="E32" t="s">
        <v>214</v>
      </c>
    </row>
    <row r="33" spans="1:5" x14ac:dyDescent="0.25">
      <c r="A33" t="s">
        <v>112</v>
      </c>
      <c r="B33" t="s">
        <v>176</v>
      </c>
      <c r="C33" t="s">
        <v>157</v>
      </c>
      <c r="D33" t="s">
        <v>194</v>
      </c>
      <c r="E33" t="s">
        <v>214</v>
      </c>
    </row>
    <row r="34" spans="1:5" x14ac:dyDescent="0.25">
      <c r="A34" t="s">
        <v>120</v>
      </c>
      <c r="B34" t="s">
        <v>176</v>
      </c>
      <c r="C34" t="s">
        <v>157</v>
      </c>
      <c r="D34" t="s">
        <v>194</v>
      </c>
      <c r="E34" t="s">
        <v>214</v>
      </c>
    </row>
    <row r="35" spans="1:5" x14ac:dyDescent="0.25">
      <c r="A35" t="s">
        <v>121</v>
      </c>
      <c r="B35" t="s">
        <v>176</v>
      </c>
      <c r="C35" t="s">
        <v>157</v>
      </c>
      <c r="D35" t="s">
        <v>194</v>
      </c>
      <c r="E35" t="s">
        <v>214</v>
      </c>
    </row>
    <row r="36" spans="1:5" x14ac:dyDescent="0.25">
      <c r="A36" t="s">
        <v>122</v>
      </c>
      <c r="B36" t="s">
        <v>176</v>
      </c>
      <c r="C36" t="s">
        <v>157</v>
      </c>
      <c r="D36" t="s">
        <v>194</v>
      </c>
      <c r="E36" t="s">
        <v>214</v>
      </c>
    </row>
    <row r="37" spans="1:5" x14ac:dyDescent="0.25">
      <c r="A37" t="s">
        <v>50</v>
      </c>
      <c r="B37" t="s">
        <v>169</v>
      </c>
      <c r="C37" t="s">
        <v>150</v>
      </c>
      <c r="D37" t="s">
        <v>199</v>
      </c>
      <c r="E37" t="s">
        <v>206</v>
      </c>
    </row>
    <row r="38" spans="1:5" x14ac:dyDescent="0.25">
      <c r="A38" t="s">
        <v>52</v>
      </c>
      <c r="B38" t="s">
        <v>169</v>
      </c>
      <c r="C38" t="s">
        <v>150</v>
      </c>
      <c r="D38" t="s">
        <v>199</v>
      </c>
      <c r="E38" t="s">
        <v>206</v>
      </c>
    </row>
    <row r="39" spans="1:5" x14ac:dyDescent="0.25">
      <c r="A39" t="s">
        <v>65</v>
      </c>
      <c r="B39" t="s">
        <v>169</v>
      </c>
      <c r="C39" t="s">
        <v>150</v>
      </c>
      <c r="D39" t="s">
        <v>199</v>
      </c>
      <c r="E39" t="s">
        <v>206</v>
      </c>
    </row>
    <row r="40" spans="1:5" x14ac:dyDescent="0.25">
      <c r="A40" t="s">
        <v>66</v>
      </c>
      <c r="B40" t="s">
        <v>169</v>
      </c>
      <c r="C40" t="s">
        <v>150</v>
      </c>
      <c r="D40" t="s">
        <v>199</v>
      </c>
      <c r="E40" t="s">
        <v>206</v>
      </c>
    </row>
    <row r="41" spans="1:5" x14ac:dyDescent="0.25">
      <c r="A41" t="s">
        <v>67</v>
      </c>
      <c r="B41" t="s">
        <v>169</v>
      </c>
      <c r="C41" t="s">
        <v>150</v>
      </c>
      <c r="D41" t="s">
        <v>199</v>
      </c>
      <c r="E41" t="s">
        <v>206</v>
      </c>
    </row>
    <row r="42" spans="1:5" x14ac:dyDescent="0.25">
      <c r="A42" t="s">
        <v>68</v>
      </c>
      <c r="B42" t="s">
        <v>169</v>
      </c>
      <c r="C42" t="s">
        <v>150</v>
      </c>
      <c r="D42" t="s">
        <v>199</v>
      </c>
      <c r="E42" t="s">
        <v>206</v>
      </c>
    </row>
    <row r="43" spans="1:5" x14ac:dyDescent="0.25">
      <c r="A43" t="s">
        <v>70</v>
      </c>
      <c r="B43" t="s">
        <v>169</v>
      </c>
      <c r="C43" t="s">
        <v>150</v>
      </c>
      <c r="D43" t="s">
        <v>199</v>
      </c>
      <c r="E43" t="s">
        <v>206</v>
      </c>
    </row>
    <row r="44" spans="1:5" x14ac:dyDescent="0.25">
      <c r="A44" t="s">
        <v>71</v>
      </c>
      <c r="B44" t="s">
        <v>169</v>
      </c>
      <c r="C44" t="s">
        <v>150</v>
      </c>
      <c r="D44" t="s">
        <v>199</v>
      </c>
      <c r="E44" t="s">
        <v>206</v>
      </c>
    </row>
    <row r="45" spans="1:5" x14ac:dyDescent="0.25">
      <c r="A45" t="s">
        <v>72</v>
      </c>
      <c r="B45" t="s">
        <v>169</v>
      </c>
      <c r="C45" t="s">
        <v>150</v>
      </c>
      <c r="D45" t="s">
        <v>199</v>
      </c>
      <c r="E45" t="s">
        <v>206</v>
      </c>
    </row>
    <row r="46" spans="1:5" x14ac:dyDescent="0.25">
      <c r="A46" t="s">
        <v>82</v>
      </c>
      <c r="B46" t="s">
        <v>172</v>
      </c>
      <c r="C46" t="s">
        <v>153</v>
      </c>
      <c r="D46" t="s">
        <v>193</v>
      </c>
      <c r="E46" t="s">
        <v>210</v>
      </c>
    </row>
    <row r="47" spans="1:5" x14ac:dyDescent="0.25">
      <c r="A47" t="s">
        <v>83</v>
      </c>
      <c r="B47" t="s">
        <v>172</v>
      </c>
      <c r="C47" t="s">
        <v>153</v>
      </c>
      <c r="D47" t="s">
        <v>193</v>
      </c>
      <c r="E47" t="s">
        <v>210</v>
      </c>
    </row>
    <row r="48" spans="1:5" x14ac:dyDescent="0.25">
      <c r="A48" t="s">
        <v>84</v>
      </c>
      <c r="B48" t="s">
        <v>172</v>
      </c>
      <c r="C48" t="s">
        <v>153</v>
      </c>
      <c r="D48" t="s">
        <v>193</v>
      </c>
      <c r="E48" t="s">
        <v>210</v>
      </c>
    </row>
    <row r="49" spans="1:5" x14ac:dyDescent="0.25">
      <c r="A49" t="s">
        <v>85</v>
      </c>
      <c r="B49" t="s">
        <v>172</v>
      </c>
      <c r="C49" t="s">
        <v>153</v>
      </c>
      <c r="D49" t="s">
        <v>193</v>
      </c>
      <c r="E49" t="s">
        <v>210</v>
      </c>
    </row>
    <row r="50" spans="1:5" x14ac:dyDescent="0.25">
      <c r="A50" t="s">
        <v>86</v>
      </c>
      <c r="B50" t="s">
        <v>172</v>
      </c>
      <c r="C50" t="s">
        <v>153</v>
      </c>
      <c r="D50" t="s">
        <v>193</v>
      </c>
      <c r="E50" t="s">
        <v>210</v>
      </c>
    </row>
    <row r="51" spans="1:5" x14ac:dyDescent="0.25">
      <c r="A51" t="s">
        <v>87</v>
      </c>
      <c r="B51" t="s">
        <v>172</v>
      </c>
      <c r="C51" t="s">
        <v>153</v>
      </c>
      <c r="D51" t="s">
        <v>193</v>
      </c>
      <c r="E51" t="s">
        <v>210</v>
      </c>
    </row>
    <row r="52" spans="1:5" x14ac:dyDescent="0.25">
      <c r="A52" t="s">
        <v>88</v>
      </c>
      <c r="B52" t="s">
        <v>172</v>
      </c>
      <c r="C52" t="s">
        <v>153</v>
      </c>
      <c r="D52" t="s">
        <v>193</v>
      </c>
      <c r="E52" t="s">
        <v>210</v>
      </c>
    </row>
    <row r="53" spans="1:5" x14ac:dyDescent="0.25">
      <c r="A53" t="s">
        <v>89</v>
      </c>
      <c r="B53" t="s">
        <v>172</v>
      </c>
      <c r="C53" t="s">
        <v>153</v>
      </c>
      <c r="D53" t="s">
        <v>193</v>
      </c>
      <c r="E53" t="s">
        <v>210</v>
      </c>
    </row>
    <row r="54" spans="1:5" x14ac:dyDescent="0.25">
      <c r="A54" t="s">
        <v>51</v>
      </c>
      <c r="B54" t="s">
        <v>170</v>
      </c>
      <c r="C54" t="s">
        <v>151</v>
      </c>
      <c r="D54" t="s">
        <v>196</v>
      </c>
      <c r="E54" t="s">
        <v>208</v>
      </c>
    </row>
    <row r="55" spans="1:5" x14ac:dyDescent="0.25">
      <c r="A55" t="s">
        <v>57</v>
      </c>
      <c r="B55" t="s">
        <v>170</v>
      </c>
      <c r="C55" t="s">
        <v>151</v>
      </c>
      <c r="D55" t="s">
        <v>196</v>
      </c>
      <c r="E55" t="s">
        <v>208</v>
      </c>
    </row>
    <row r="56" spans="1:5" x14ac:dyDescent="0.25">
      <c r="A56" t="s">
        <v>58</v>
      </c>
      <c r="B56" t="s">
        <v>170</v>
      </c>
      <c r="C56" t="s">
        <v>151</v>
      </c>
      <c r="D56" t="s">
        <v>196</v>
      </c>
      <c r="E56" t="s">
        <v>208</v>
      </c>
    </row>
    <row r="57" spans="1:5" x14ac:dyDescent="0.25">
      <c r="A57" t="s">
        <v>59</v>
      </c>
      <c r="B57" t="s">
        <v>170</v>
      </c>
      <c r="C57" t="s">
        <v>151</v>
      </c>
      <c r="D57" t="s">
        <v>196</v>
      </c>
      <c r="E57" t="s">
        <v>208</v>
      </c>
    </row>
    <row r="58" spans="1:5" x14ac:dyDescent="0.25">
      <c r="A58" t="s">
        <v>60</v>
      </c>
      <c r="B58" t="s">
        <v>170</v>
      </c>
      <c r="C58" t="s">
        <v>151</v>
      </c>
      <c r="D58" t="s">
        <v>196</v>
      </c>
      <c r="E58" t="s">
        <v>208</v>
      </c>
    </row>
    <row r="59" spans="1:5" x14ac:dyDescent="0.25">
      <c r="A59" t="s">
        <v>61</v>
      </c>
      <c r="B59" t="s">
        <v>170</v>
      </c>
      <c r="C59" t="s">
        <v>151</v>
      </c>
      <c r="D59" t="s">
        <v>196</v>
      </c>
      <c r="E59" t="s">
        <v>208</v>
      </c>
    </row>
    <row r="60" spans="1:5" x14ac:dyDescent="0.25">
      <c r="A60" t="s">
        <v>62</v>
      </c>
      <c r="B60" t="s">
        <v>170</v>
      </c>
      <c r="C60" t="s">
        <v>151</v>
      </c>
      <c r="D60" t="s">
        <v>196</v>
      </c>
      <c r="E60" t="s">
        <v>208</v>
      </c>
    </row>
    <row r="61" spans="1:5" x14ac:dyDescent="0.25">
      <c r="A61" t="s">
        <v>64</v>
      </c>
      <c r="B61" t="s">
        <v>170</v>
      </c>
      <c r="C61" t="s">
        <v>151</v>
      </c>
      <c r="D61" t="s">
        <v>196</v>
      </c>
      <c r="E61" t="s">
        <v>208</v>
      </c>
    </row>
    <row r="62" spans="1:5" x14ac:dyDescent="0.25">
      <c r="A62" t="s">
        <v>6</v>
      </c>
      <c r="B62" t="s">
        <v>163</v>
      </c>
      <c r="C62" t="s">
        <v>144</v>
      </c>
      <c r="D62" t="s">
        <v>187</v>
      </c>
      <c r="E62" t="s">
        <v>201</v>
      </c>
    </row>
    <row r="63" spans="1:5" x14ac:dyDescent="0.25">
      <c r="A63" t="s">
        <v>11</v>
      </c>
      <c r="B63" t="s">
        <v>163</v>
      </c>
      <c r="C63" t="s">
        <v>144</v>
      </c>
      <c r="D63" t="s">
        <v>187</v>
      </c>
      <c r="E63" t="s">
        <v>201</v>
      </c>
    </row>
    <row r="64" spans="1:5" x14ac:dyDescent="0.25">
      <c r="A64" t="s">
        <v>12</v>
      </c>
      <c r="B64" t="s">
        <v>163</v>
      </c>
      <c r="C64" t="s">
        <v>144</v>
      </c>
      <c r="D64" t="s">
        <v>187</v>
      </c>
      <c r="E64" t="s">
        <v>201</v>
      </c>
    </row>
    <row r="65" spans="1:5" x14ac:dyDescent="0.25">
      <c r="A65" t="s">
        <v>14</v>
      </c>
      <c r="B65" t="s">
        <v>163</v>
      </c>
      <c r="C65" t="s">
        <v>144</v>
      </c>
      <c r="D65" t="s">
        <v>187</v>
      </c>
      <c r="E65" t="s">
        <v>201</v>
      </c>
    </row>
    <row r="66" spans="1:5" x14ac:dyDescent="0.25">
      <c r="A66" t="s">
        <v>15</v>
      </c>
      <c r="B66" t="s">
        <v>163</v>
      </c>
      <c r="C66" t="s">
        <v>144</v>
      </c>
      <c r="D66" t="s">
        <v>187</v>
      </c>
      <c r="E66" t="s">
        <v>201</v>
      </c>
    </row>
    <row r="67" spans="1:5" x14ac:dyDescent="0.25">
      <c r="A67" t="s">
        <v>16</v>
      </c>
      <c r="B67" t="s">
        <v>163</v>
      </c>
      <c r="C67" t="s">
        <v>144</v>
      </c>
      <c r="D67" t="s">
        <v>187</v>
      </c>
      <c r="E67" t="s">
        <v>201</v>
      </c>
    </row>
    <row r="68" spans="1:5" x14ac:dyDescent="0.25">
      <c r="A68" t="s">
        <v>24</v>
      </c>
      <c r="B68" t="s">
        <v>163</v>
      </c>
      <c r="C68" t="s">
        <v>144</v>
      </c>
      <c r="D68" t="s">
        <v>187</v>
      </c>
      <c r="E68" t="s">
        <v>201</v>
      </c>
    </row>
    <row r="69" spans="1:5" x14ac:dyDescent="0.25">
      <c r="A69" t="s">
        <v>5</v>
      </c>
      <c r="B69" t="s">
        <v>162</v>
      </c>
      <c r="C69" t="s">
        <v>143</v>
      </c>
      <c r="D69" t="s">
        <v>198</v>
      </c>
      <c r="E69" t="s">
        <v>200</v>
      </c>
    </row>
    <row r="70" spans="1:5" x14ac:dyDescent="0.25">
      <c r="A70" t="s">
        <v>7</v>
      </c>
      <c r="B70" t="s">
        <v>162</v>
      </c>
      <c r="C70" t="s">
        <v>143</v>
      </c>
      <c r="D70" t="s">
        <v>198</v>
      </c>
      <c r="E70" t="s">
        <v>200</v>
      </c>
    </row>
    <row r="71" spans="1:5" x14ac:dyDescent="0.25">
      <c r="A71" t="s">
        <v>8</v>
      </c>
      <c r="B71" t="s">
        <v>162</v>
      </c>
      <c r="C71" t="s">
        <v>143</v>
      </c>
      <c r="D71" t="s">
        <v>198</v>
      </c>
      <c r="E71" t="s">
        <v>200</v>
      </c>
    </row>
    <row r="72" spans="1:5" x14ac:dyDescent="0.25">
      <c r="A72" t="s">
        <v>9</v>
      </c>
      <c r="B72" t="s">
        <v>162</v>
      </c>
      <c r="C72" t="s">
        <v>143</v>
      </c>
      <c r="D72" t="s">
        <v>198</v>
      </c>
      <c r="E72" t="s">
        <v>200</v>
      </c>
    </row>
    <row r="73" spans="1:5" x14ac:dyDescent="0.25">
      <c r="A73" t="s">
        <v>10</v>
      </c>
      <c r="B73" t="s">
        <v>162</v>
      </c>
      <c r="C73" t="s">
        <v>143</v>
      </c>
      <c r="D73" t="s">
        <v>198</v>
      </c>
      <c r="E73" t="s">
        <v>200</v>
      </c>
    </row>
    <row r="74" spans="1:5" x14ac:dyDescent="0.25">
      <c r="A74" t="s">
        <v>13</v>
      </c>
      <c r="B74" t="s">
        <v>162</v>
      </c>
      <c r="C74" t="s">
        <v>143</v>
      </c>
      <c r="D74" t="s">
        <v>198</v>
      </c>
      <c r="E74" t="s">
        <v>200</v>
      </c>
    </row>
    <row r="75" spans="1:5" x14ac:dyDescent="0.25">
      <c r="A75" t="s">
        <v>20</v>
      </c>
      <c r="B75" t="s">
        <v>162</v>
      </c>
      <c r="C75" t="s">
        <v>143</v>
      </c>
      <c r="D75" t="s">
        <v>198</v>
      </c>
      <c r="E75" t="s">
        <v>200</v>
      </c>
    </row>
    <row r="76" spans="1:5" x14ac:dyDescent="0.25">
      <c r="A76" t="s">
        <v>113</v>
      </c>
      <c r="B76" t="s">
        <v>177</v>
      </c>
      <c r="C76" t="s">
        <v>158</v>
      </c>
      <c r="D76" t="s">
        <v>192</v>
      </c>
      <c r="E76" t="s">
        <v>215</v>
      </c>
    </row>
    <row r="77" spans="1:5" x14ac:dyDescent="0.25">
      <c r="A77" t="s">
        <v>124</v>
      </c>
      <c r="B77" t="s">
        <v>177</v>
      </c>
      <c r="C77" t="s">
        <v>158</v>
      </c>
      <c r="D77" t="s">
        <v>192</v>
      </c>
      <c r="E77" t="s">
        <v>215</v>
      </c>
    </row>
    <row r="78" spans="1:5" x14ac:dyDescent="0.25">
      <c r="A78" t="s">
        <v>125</v>
      </c>
      <c r="B78" t="s">
        <v>177</v>
      </c>
      <c r="C78" t="s">
        <v>158</v>
      </c>
      <c r="D78" t="s">
        <v>192</v>
      </c>
      <c r="E78" t="s">
        <v>215</v>
      </c>
    </row>
    <row r="79" spans="1:5" x14ac:dyDescent="0.25">
      <c r="A79" t="s">
        <v>126</v>
      </c>
      <c r="B79" t="s">
        <v>177</v>
      </c>
      <c r="C79" t="s">
        <v>158</v>
      </c>
      <c r="D79" t="s">
        <v>192</v>
      </c>
      <c r="E79" t="s">
        <v>215</v>
      </c>
    </row>
    <row r="80" spans="1:5" x14ac:dyDescent="0.25">
      <c r="A80" t="s">
        <v>127</v>
      </c>
      <c r="B80" t="s">
        <v>177</v>
      </c>
      <c r="C80" t="s">
        <v>158</v>
      </c>
      <c r="D80" t="s">
        <v>192</v>
      </c>
      <c r="E80" t="s">
        <v>215</v>
      </c>
    </row>
    <row r="81" spans="1:5" x14ac:dyDescent="0.25">
      <c r="A81" t="s">
        <v>128</v>
      </c>
      <c r="B81" t="s">
        <v>177</v>
      </c>
      <c r="C81" t="s">
        <v>158</v>
      </c>
      <c r="D81" t="s">
        <v>192</v>
      </c>
      <c r="E81" t="s">
        <v>215</v>
      </c>
    </row>
    <row r="82" spans="1:5" x14ac:dyDescent="0.25">
      <c r="A82" t="s">
        <v>129</v>
      </c>
      <c r="B82" t="s">
        <v>177</v>
      </c>
      <c r="C82" t="s">
        <v>158</v>
      </c>
      <c r="D82" t="s">
        <v>192</v>
      </c>
      <c r="E82" t="s">
        <v>215</v>
      </c>
    </row>
    <row r="83" spans="1:5" x14ac:dyDescent="0.25">
      <c r="A83" t="s">
        <v>27</v>
      </c>
      <c r="B83" t="s">
        <v>166</v>
      </c>
      <c r="C83" t="s">
        <v>147</v>
      </c>
      <c r="D83" t="s">
        <v>189</v>
      </c>
      <c r="E83" t="s">
        <v>204</v>
      </c>
    </row>
    <row r="84" spans="1:5" x14ac:dyDescent="0.25">
      <c r="A84" t="s">
        <v>28</v>
      </c>
      <c r="B84" t="s">
        <v>166</v>
      </c>
      <c r="C84" t="s">
        <v>147</v>
      </c>
      <c r="D84" t="s">
        <v>189</v>
      </c>
      <c r="E84" t="s">
        <v>204</v>
      </c>
    </row>
    <row r="85" spans="1:5" x14ac:dyDescent="0.25">
      <c r="A85" t="s">
        <v>29</v>
      </c>
      <c r="B85" t="s">
        <v>166</v>
      </c>
      <c r="C85" t="s">
        <v>147</v>
      </c>
      <c r="D85" t="s">
        <v>189</v>
      </c>
      <c r="E85" t="s">
        <v>204</v>
      </c>
    </row>
    <row r="86" spans="1:5" x14ac:dyDescent="0.25">
      <c r="A86" t="s">
        <v>34</v>
      </c>
      <c r="B86" t="s">
        <v>166</v>
      </c>
      <c r="C86" t="s">
        <v>147</v>
      </c>
      <c r="D86" t="s">
        <v>189</v>
      </c>
      <c r="E86" t="s">
        <v>204</v>
      </c>
    </row>
    <row r="87" spans="1:5" x14ac:dyDescent="0.25">
      <c r="A87" t="s">
        <v>43</v>
      </c>
      <c r="B87" t="s">
        <v>166</v>
      </c>
      <c r="C87" t="s">
        <v>147</v>
      </c>
      <c r="D87" t="s">
        <v>189</v>
      </c>
      <c r="E87" t="s">
        <v>204</v>
      </c>
    </row>
    <row r="88" spans="1:5" x14ac:dyDescent="0.25">
      <c r="A88" t="s">
        <v>44</v>
      </c>
      <c r="B88" t="s">
        <v>166</v>
      </c>
      <c r="C88" t="s">
        <v>147</v>
      </c>
      <c r="D88" t="s">
        <v>189</v>
      </c>
      <c r="E88" t="s">
        <v>204</v>
      </c>
    </row>
    <row r="89" spans="1:5" x14ac:dyDescent="0.25">
      <c r="A89" t="s">
        <v>45</v>
      </c>
      <c r="B89" t="s">
        <v>166</v>
      </c>
      <c r="C89" t="s">
        <v>147</v>
      </c>
      <c r="D89" t="s">
        <v>189</v>
      </c>
      <c r="E89" t="s">
        <v>204</v>
      </c>
    </row>
    <row r="90" spans="1:5" x14ac:dyDescent="0.25">
      <c r="A90" t="s">
        <v>17</v>
      </c>
      <c r="B90" t="s">
        <v>164</v>
      </c>
      <c r="C90" t="s">
        <v>145</v>
      </c>
      <c r="D90" t="s">
        <v>190</v>
      </c>
      <c r="E90" t="s">
        <v>202</v>
      </c>
    </row>
    <row r="91" spans="1:5" x14ac:dyDescent="0.25">
      <c r="A91" t="s">
        <v>18</v>
      </c>
      <c r="B91" t="s">
        <v>164</v>
      </c>
      <c r="C91" t="s">
        <v>145</v>
      </c>
      <c r="D91" t="s">
        <v>190</v>
      </c>
      <c r="E91" t="s">
        <v>202</v>
      </c>
    </row>
    <row r="92" spans="1:5" x14ac:dyDescent="0.25">
      <c r="A92" t="s">
        <v>19</v>
      </c>
      <c r="B92" t="s">
        <v>164</v>
      </c>
      <c r="C92" t="s">
        <v>145</v>
      </c>
      <c r="D92" t="s">
        <v>190</v>
      </c>
      <c r="E92" t="s">
        <v>202</v>
      </c>
    </row>
    <row r="93" spans="1:5" x14ac:dyDescent="0.25">
      <c r="A93" t="s">
        <v>21</v>
      </c>
      <c r="B93" t="s">
        <v>164</v>
      </c>
      <c r="C93" t="s">
        <v>145</v>
      </c>
      <c r="D93" t="s">
        <v>190</v>
      </c>
      <c r="E93" t="s">
        <v>202</v>
      </c>
    </row>
    <row r="94" spans="1:5" x14ac:dyDescent="0.25">
      <c r="A94" t="s">
        <v>22</v>
      </c>
      <c r="B94" t="s">
        <v>164</v>
      </c>
      <c r="C94" t="s">
        <v>145</v>
      </c>
      <c r="D94" t="s">
        <v>190</v>
      </c>
      <c r="E94" t="s">
        <v>202</v>
      </c>
    </row>
    <row r="95" spans="1:5" x14ac:dyDescent="0.25">
      <c r="A95" t="s">
        <v>23</v>
      </c>
      <c r="B95" t="s">
        <v>164</v>
      </c>
      <c r="C95" t="s">
        <v>145</v>
      </c>
      <c r="D95" t="s">
        <v>190</v>
      </c>
      <c r="E95" t="s">
        <v>202</v>
      </c>
    </row>
    <row r="96" spans="1:5" x14ac:dyDescent="0.25">
      <c r="A96" t="s">
        <v>25</v>
      </c>
      <c r="B96" t="s">
        <v>164</v>
      </c>
      <c r="C96" t="s">
        <v>145</v>
      </c>
      <c r="D96" t="s">
        <v>190</v>
      </c>
      <c r="E96" t="s">
        <v>202</v>
      </c>
    </row>
    <row r="97" spans="1:5" x14ac:dyDescent="0.25">
      <c r="A97" t="s">
        <v>74</v>
      </c>
      <c r="B97" t="s">
        <v>171</v>
      </c>
      <c r="C97" t="s">
        <v>152</v>
      </c>
      <c r="D97" t="s">
        <v>195</v>
      </c>
      <c r="E97" t="s">
        <v>209</v>
      </c>
    </row>
    <row r="98" spans="1:5" x14ac:dyDescent="0.25">
      <c r="A98" t="s">
        <v>75</v>
      </c>
      <c r="B98" t="s">
        <v>171</v>
      </c>
      <c r="C98" t="s">
        <v>152</v>
      </c>
      <c r="D98" t="s">
        <v>195</v>
      </c>
      <c r="E98" t="s">
        <v>209</v>
      </c>
    </row>
    <row r="99" spans="1:5" x14ac:dyDescent="0.25">
      <c r="A99" t="s">
        <v>76</v>
      </c>
      <c r="B99" t="s">
        <v>171</v>
      </c>
      <c r="C99" t="s">
        <v>152</v>
      </c>
      <c r="D99" t="s">
        <v>195</v>
      </c>
      <c r="E99" t="s">
        <v>209</v>
      </c>
    </row>
    <row r="100" spans="1:5" x14ac:dyDescent="0.25">
      <c r="A100" t="s">
        <v>77</v>
      </c>
      <c r="B100" t="s">
        <v>171</v>
      </c>
      <c r="C100" t="s">
        <v>152</v>
      </c>
      <c r="D100" t="s">
        <v>195</v>
      </c>
      <c r="E100" t="s">
        <v>209</v>
      </c>
    </row>
    <row r="101" spans="1:5" x14ac:dyDescent="0.25">
      <c r="A101" t="s">
        <v>78</v>
      </c>
      <c r="B101" t="s">
        <v>171</v>
      </c>
      <c r="C101" t="s">
        <v>152</v>
      </c>
      <c r="D101" t="s">
        <v>195</v>
      </c>
      <c r="E101" t="s">
        <v>209</v>
      </c>
    </row>
    <row r="102" spans="1:5" x14ac:dyDescent="0.25">
      <c r="A102" t="s">
        <v>79</v>
      </c>
      <c r="B102" t="s">
        <v>171</v>
      </c>
      <c r="C102" t="s">
        <v>152</v>
      </c>
      <c r="D102" t="s">
        <v>195</v>
      </c>
      <c r="E102" t="s">
        <v>209</v>
      </c>
    </row>
    <row r="103" spans="1:5" x14ac:dyDescent="0.25">
      <c r="A103" t="s">
        <v>80</v>
      </c>
      <c r="B103" t="s">
        <v>171</v>
      </c>
      <c r="C103" t="s">
        <v>152</v>
      </c>
      <c r="D103" t="s">
        <v>195</v>
      </c>
      <c r="E103" t="s">
        <v>209</v>
      </c>
    </row>
    <row r="104" spans="1:5" x14ac:dyDescent="0.25">
      <c r="A104" t="s">
        <v>81</v>
      </c>
      <c r="B104" t="s">
        <v>171</v>
      </c>
      <c r="C104" t="s">
        <v>152</v>
      </c>
      <c r="D104" t="s">
        <v>195</v>
      </c>
      <c r="E104" t="s">
        <v>209</v>
      </c>
    </row>
    <row r="105" spans="1:5" x14ac:dyDescent="0.25">
      <c r="A105" t="s">
        <v>114</v>
      </c>
      <c r="B105" t="s">
        <v>178</v>
      </c>
      <c r="C105" t="s">
        <v>159</v>
      </c>
      <c r="D105" t="s">
        <v>191</v>
      </c>
      <c r="E105" t="s">
        <v>216</v>
      </c>
    </row>
    <row r="106" spans="1:5" x14ac:dyDescent="0.25">
      <c r="A106" t="s">
        <v>115</v>
      </c>
      <c r="B106" t="s">
        <v>178</v>
      </c>
      <c r="C106" t="s">
        <v>159</v>
      </c>
      <c r="D106" t="s">
        <v>191</v>
      </c>
      <c r="E106" t="s">
        <v>216</v>
      </c>
    </row>
    <row r="107" spans="1:5" x14ac:dyDescent="0.25">
      <c r="A107" t="s">
        <v>116</v>
      </c>
      <c r="B107" t="s">
        <v>178</v>
      </c>
      <c r="C107" t="s">
        <v>159</v>
      </c>
      <c r="D107" t="s">
        <v>191</v>
      </c>
      <c r="E107" t="s">
        <v>216</v>
      </c>
    </row>
    <row r="108" spans="1:5" x14ac:dyDescent="0.25">
      <c r="A108" t="s">
        <v>117</v>
      </c>
      <c r="B108" t="s">
        <v>178</v>
      </c>
      <c r="C108" t="s">
        <v>159</v>
      </c>
      <c r="D108" t="s">
        <v>191</v>
      </c>
      <c r="E108" t="s">
        <v>216</v>
      </c>
    </row>
    <row r="109" spans="1:5" x14ac:dyDescent="0.25">
      <c r="A109" t="s">
        <v>118</v>
      </c>
      <c r="B109" t="s">
        <v>178</v>
      </c>
      <c r="C109" t="s">
        <v>159</v>
      </c>
      <c r="D109" t="s">
        <v>191</v>
      </c>
      <c r="E109" t="s">
        <v>216</v>
      </c>
    </row>
    <row r="110" spans="1:5" x14ac:dyDescent="0.25">
      <c r="A110" t="s">
        <v>119</v>
      </c>
      <c r="B110" t="s">
        <v>178</v>
      </c>
      <c r="C110" t="s">
        <v>159</v>
      </c>
      <c r="D110" t="s">
        <v>191</v>
      </c>
      <c r="E110" t="s">
        <v>216</v>
      </c>
    </row>
    <row r="111" spans="1:5" x14ac:dyDescent="0.25">
      <c r="A111" t="s">
        <v>123</v>
      </c>
      <c r="B111" t="s">
        <v>178</v>
      </c>
      <c r="C111" t="s">
        <v>159</v>
      </c>
      <c r="D111" t="s">
        <v>191</v>
      </c>
      <c r="E111" t="s">
        <v>216</v>
      </c>
    </row>
    <row r="112" spans="1:5" x14ac:dyDescent="0.25">
      <c r="A112" t="s">
        <v>49</v>
      </c>
      <c r="B112" t="s">
        <v>168</v>
      </c>
      <c r="C112" t="s">
        <v>149</v>
      </c>
      <c r="D112" t="s">
        <v>197</v>
      </c>
      <c r="E112" t="s">
        <v>207</v>
      </c>
    </row>
    <row r="113" spans="1:5" x14ac:dyDescent="0.25">
      <c r="A113" t="s">
        <v>53</v>
      </c>
      <c r="B113" t="s">
        <v>168</v>
      </c>
      <c r="C113" t="s">
        <v>149</v>
      </c>
      <c r="D113" t="s">
        <v>197</v>
      </c>
      <c r="E113" t="s">
        <v>207</v>
      </c>
    </row>
    <row r="114" spans="1:5" x14ac:dyDescent="0.25">
      <c r="A114" t="s">
        <v>54</v>
      </c>
      <c r="B114" t="s">
        <v>168</v>
      </c>
      <c r="C114" t="s">
        <v>149</v>
      </c>
      <c r="D114" t="s">
        <v>197</v>
      </c>
      <c r="E114" t="s">
        <v>207</v>
      </c>
    </row>
    <row r="115" spans="1:5" x14ac:dyDescent="0.25">
      <c r="A115" t="s">
        <v>55</v>
      </c>
      <c r="B115" t="s">
        <v>168</v>
      </c>
      <c r="C115" t="s">
        <v>149</v>
      </c>
      <c r="D115" t="s">
        <v>197</v>
      </c>
      <c r="E115" t="s">
        <v>207</v>
      </c>
    </row>
    <row r="116" spans="1:5" x14ac:dyDescent="0.25">
      <c r="A116" t="s">
        <v>56</v>
      </c>
      <c r="B116" t="s">
        <v>168</v>
      </c>
      <c r="C116" t="s">
        <v>149</v>
      </c>
      <c r="D116" t="s">
        <v>197</v>
      </c>
      <c r="E116" t="s">
        <v>207</v>
      </c>
    </row>
    <row r="117" spans="1:5" x14ac:dyDescent="0.25">
      <c r="A117" t="s">
        <v>63</v>
      </c>
      <c r="B117" t="s">
        <v>168</v>
      </c>
      <c r="C117" t="s">
        <v>149</v>
      </c>
      <c r="D117" t="s">
        <v>197</v>
      </c>
      <c r="E117" t="s">
        <v>207</v>
      </c>
    </row>
    <row r="118" spans="1:5" x14ac:dyDescent="0.25">
      <c r="A118" t="s">
        <v>69</v>
      </c>
      <c r="B118" t="s">
        <v>168</v>
      </c>
      <c r="C118" t="s">
        <v>149</v>
      </c>
      <c r="D118" t="s">
        <v>197</v>
      </c>
      <c r="E118" t="s">
        <v>207</v>
      </c>
    </row>
    <row r="119" spans="1:5" x14ac:dyDescent="0.25">
      <c r="A119" t="s">
        <v>73</v>
      </c>
      <c r="B119" t="s">
        <v>168</v>
      </c>
      <c r="C119" t="s">
        <v>149</v>
      </c>
      <c r="D119" t="s">
        <v>197</v>
      </c>
      <c r="E119" t="s">
        <v>207</v>
      </c>
    </row>
    <row r="120" spans="1:5" x14ac:dyDescent="0.25">
      <c r="A120" t="s">
        <v>130</v>
      </c>
      <c r="B120" t="s">
        <v>179</v>
      </c>
      <c r="C120" t="s">
        <v>160</v>
      </c>
      <c r="D120" t="s">
        <v>184</v>
      </c>
      <c r="E120" t="s">
        <v>217</v>
      </c>
    </row>
    <row r="121" spans="1:5" x14ac:dyDescent="0.25">
      <c r="A121" t="s">
        <v>137</v>
      </c>
      <c r="B121" t="s">
        <v>179</v>
      </c>
      <c r="C121" t="s">
        <v>160</v>
      </c>
      <c r="D121" t="s">
        <v>184</v>
      </c>
      <c r="E121" t="s">
        <v>217</v>
      </c>
    </row>
    <row r="122" spans="1:5" x14ac:dyDescent="0.25">
      <c r="A122" t="s">
        <v>139</v>
      </c>
      <c r="B122" t="s">
        <v>179</v>
      </c>
      <c r="C122" t="s">
        <v>160</v>
      </c>
      <c r="D122" t="s">
        <v>184</v>
      </c>
      <c r="E122" t="s">
        <v>217</v>
      </c>
    </row>
    <row r="123" spans="1:5" x14ac:dyDescent="0.25">
      <c r="A123" t="s">
        <v>140</v>
      </c>
      <c r="B123" t="s">
        <v>179</v>
      </c>
      <c r="C123" t="s">
        <v>160</v>
      </c>
      <c r="D123" t="s">
        <v>184</v>
      </c>
      <c r="E123" t="s">
        <v>217</v>
      </c>
    </row>
    <row r="124" spans="1:5" x14ac:dyDescent="0.25">
      <c r="A124" t="s">
        <v>141</v>
      </c>
      <c r="B124" t="s">
        <v>179</v>
      </c>
      <c r="C124" t="s">
        <v>160</v>
      </c>
      <c r="D124" t="s">
        <v>184</v>
      </c>
      <c r="E124" t="s">
        <v>217</v>
      </c>
    </row>
    <row r="125" spans="1:5" x14ac:dyDescent="0.25">
      <c r="A125" t="s">
        <v>142</v>
      </c>
      <c r="B125" t="s">
        <v>179</v>
      </c>
      <c r="C125" t="s">
        <v>160</v>
      </c>
      <c r="D125" t="s">
        <v>184</v>
      </c>
      <c r="E125" t="s">
        <v>217</v>
      </c>
    </row>
    <row r="126" spans="1:5" x14ac:dyDescent="0.25">
      <c r="A126" t="s">
        <v>90</v>
      </c>
      <c r="B126" t="s">
        <v>173</v>
      </c>
      <c r="C126" t="s">
        <v>154</v>
      </c>
      <c r="D126" t="s">
        <v>186</v>
      </c>
      <c r="E126" t="s">
        <v>211</v>
      </c>
    </row>
    <row r="127" spans="1:5" x14ac:dyDescent="0.25">
      <c r="A127" t="s">
        <v>93</v>
      </c>
      <c r="B127" t="s">
        <v>173</v>
      </c>
      <c r="C127" t="s">
        <v>154</v>
      </c>
      <c r="D127" t="s">
        <v>186</v>
      </c>
      <c r="E127" t="s">
        <v>211</v>
      </c>
    </row>
    <row r="128" spans="1:5" x14ac:dyDescent="0.25">
      <c r="A128" t="s">
        <v>95</v>
      </c>
      <c r="B128" t="s">
        <v>173</v>
      </c>
      <c r="C128" t="s">
        <v>154</v>
      </c>
      <c r="D128" t="s">
        <v>186</v>
      </c>
      <c r="E128" t="s">
        <v>211</v>
      </c>
    </row>
    <row r="129" spans="1:5" x14ac:dyDescent="0.25">
      <c r="A129" t="s">
        <v>103</v>
      </c>
      <c r="B129" t="s">
        <v>173</v>
      </c>
      <c r="C129" t="s">
        <v>154</v>
      </c>
      <c r="D129" t="s">
        <v>186</v>
      </c>
      <c r="E129" t="s">
        <v>211</v>
      </c>
    </row>
    <row r="130" spans="1:5" x14ac:dyDescent="0.25">
      <c r="A130" t="s">
        <v>104</v>
      </c>
      <c r="B130" t="s">
        <v>173</v>
      </c>
      <c r="C130" t="s">
        <v>154</v>
      </c>
      <c r="D130" t="s">
        <v>186</v>
      </c>
      <c r="E130" t="s">
        <v>211</v>
      </c>
    </row>
    <row r="131" spans="1:5" x14ac:dyDescent="0.25">
      <c r="A131" t="s">
        <v>107</v>
      </c>
      <c r="B131" t="s">
        <v>173</v>
      </c>
      <c r="C131" t="s">
        <v>154</v>
      </c>
      <c r="D131" t="s">
        <v>186</v>
      </c>
      <c r="E131" t="s">
        <v>211</v>
      </c>
    </row>
    <row r="132" spans="1:5" x14ac:dyDescent="0.25">
      <c r="A132" t="s">
        <v>26</v>
      </c>
      <c r="B132" t="s">
        <v>165</v>
      </c>
      <c r="C132" t="s">
        <v>146</v>
      </c>
      <c r="D132" t="s">
        <v>181</v>
      </c>
      <c r="E132" t="s">
        <v>203</v>
      </c>
    </row>
    <row r="133" spans="1:5" x14ac:dyDescent="0.25">
      <c r="A133" t="s">
        <v>33</v>
      </c>
      <c r="B133" t="s">
        <v>165</v>
      </c>
      <c r="C133" t="s">
        <v>146</v>
      </c>
      <c r="D133" t="s">
        <v>181</v>
      </c>
      <c r="E133" t="s">
        <v>203</v>
      </c>
    </row>
    <row r="134" spans="1:5" x14ac:dyDescent="0.25">
      <c r="A134" t="s">
        <v>39</v>
      </c>
      <c r="B134" t="s">
        <v>165</v>
      </c>
      <c r="C134" t="s">
        <v>146</v>
      </c>
      <c r="D134" t="s">
        <v>181</v>
      </c>
      <c r="E134" t="s">
        <v>203</v>
      </c>
    </row>
    <row r="135" spans="1:5" x14ac:dyDescent="0.25">
      <c r="A135" t="s">
        <v>40</v>
      </c>
      <c r="B135" t="s">
        <v>165</v>
      </c>
      <c r="C135" t="s">
        <v>146</v>
      </c>
      <c r="D135" t="s">
        <v>181</v>
      </c>
      <c r="E135" t="s">
        <v>203</v>
      </c>
    </row>
    <row r="136" spans="1:5" x14ac:dyDescent="0.25">
      <c r="A136" t="s">
        <v>41</v>
      </c>
      <c r="B136" t="s">
        <v>165</v>
      </c>
      <c r="C136" t="s">
        <v>146</v>
      </c>
      <c r="D136" t="s">
        <v>181</v>
      </c>
      <c r="E136" t="s">
        <v>203</v>
      </c>
    </row>
    <row r="137" spans="1:5" x14ac:dyDescent="0.25">
      <c r="A137" t="s">
        <v>42</v>
      </c>
      <c r="B137" t="s">
        <v>165</v>
      </c>
      <c r="C137" t="s">
        <v>146</v>
      </c>
      <c r="D137" t="s">
        <v>181</v>
      </c>
      <c r="E137" t="s">
        <v>203</v>
      </c>
    </row>
    <row r="138" spans="1:5" x14ac:dyDescent="0.25">
      <c r="A138" t="s">
        <v>46</v>
      </c>
      <c r="B138" t="s">
        <v>165</v>
      </c>
      <c r="C138" t="s">
        <v>146</v>
      </c>
      <c r="D138" t="s">
        <v>181</v>
      </c>
      <c r="E138" t="s">
        <v>203</v>
      </c>
    </row>
    <row r="139" spans="1:5" x14ac:dyDescent="0.25">
      <c r="A139" t="s">
        <v>48</v>
      </c>
      <c r="B139" t="s">
        <v>165</v>
      </c>
      <c r="C139" t="s">
        <v>146</v>
      </c>
      <c r="D139" t="s">
        <v>181</v>
      </c>
      <c r="E139" t="s">
        <v>203</v>
      </c>
    </row>
  </sheetData>
  <autoFilter ref="A1:E139" xr:uid="{00000000-0001-0000-0000-000000000000}">
    <sortState xmlns:xlrd2="http://schemas.microsoft.com/office/spreadsheetml/2017/richdata2" ref="A2:E139">
      <sortCondition ref="D1:D1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97DE-C66C-4C0D-B7DB-29B464B98C14}">
  <dimension ref="A1:M1056"/>
  <sheetViews>
    <sheetView topLeftCell="B1025" workbookViewId="0">
      <selection activeCell="J2" sqref="J2:L1056"/>
    </sheetView>
  </sheetViews>
  <sheetFormatPr defaultRowHeight="15" x14ac:dyDescent="0.25"/>
  <cols>
    <col min="1" max="1" width="39.28515625" bestFit="1" customWidth="1"/>
    <col min="2" max="2" width="13.5703125" bestFit="1" customWidth="1"/>
    <col min="3" max="3" width="7.42578125" bestFit="1" customWidth="1"/>
    <col min="4" max="4" width="25.42578125" bestFit="1" customWidth="1"/>
    <col min="5" max="5" width="9" bestFit="1" customWidth="1"/>
    <col min="6" max="6" width="29" bestFit="1" customWidth="1"/>
    <col min="7" max="7" width="8.28515625" bestFit="1" customWidth="1"/>
    <col min="8" max="8" width="31.140625" bestFit="1" customWidth="1"/>
    <col min="9" max="10" width="24" bestFit="1" customWidth="1"/>
    <col min="11" max="11" width="25.42578125" bestFit="1" customWidth="1"/>
    <col min="12" max="12" width="26.28515625" bestFit="1" customWidth="1"/>
  </cols>
  <sheetData>
    <row r="1" spans="1:13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387</v>
      </c>
      <c r="G1" t="s">
        <v>224</v>
      </c>
      <c r="H1" t="s">
        <v>389</v>
      </c>
      <c r="I1" t="s">
        <v>225</v>
      </c>
      <c r="J1" t="s">
        <v>226</v>
      </c>
      <c r="K1" t="s">
        <v>227</v>
      </c>
      <c r="L1" t="s">
        <v>228</v>
      </c>
      <c r="M1" t="s">
        <v>388</v>
      </c>
    </row>
    <row r="2" spans="1:13" x14ac:dyDescent="0.25">
      <c r="A2" t="s">
        <v>11</v>
      </c>
      <c r="B2">
        <v>7172010010000200</v>
      </c>
      <c r="C2">
        <v>132</v>
      </c>
      <c r="D2">
        <v>125</v>
      </c>
      <c r="E2">
        <v>1</v>
      </c>
      <c r="F2">
        <v>2</v>
      </c>
      <c r="G2">
        <v>2</v>
      </c>
      <c r="H2">
        <v>0</v>
      </c>
      <c r="I2">
        <v>0</v>
      </c>
      <c r="J2">
        <v>0</v>
      </c>
      <c r="K2">
        <v>2</v>
      </c>
      <c r="L2">
        <v>0</v>
      </c>
      <c r="M2">
        <f>region_summary__54[[#This Row],[REJECTED BY Admin Kabupaten]]+region_summary__54[[#This Row],[REJECTED BY Pengawas]]</f>
        <v>0</v>
      </c>
    </row>
    <row r="3" spans="1:13" x14ac:dyDescent="0.25">
      <c r="A3" t="s">
        <v>11</v>
      </c>
      <c r="B3">
        <v>7172010009002900</v>
      </c>
      <c r="C3">
        <v>104</v>
      </c>
      <c r="D3">
        <v>92</v>
      </c>
      <c r="E3">
        <v>0</v>
      </c>
      <c r="F3">
        <v>3</v>
      </c>
      <c r="G3">
        <v>7</v>
      </c>
      <c r="H3">
        <v>0</v>
      </c>
      <c r="I3">
        <v>0</v>
      </c>
      <c r="J3">
        <v>0</v>
      </c>
      <c r="K3">
        <v>2</v>
      </c>
      <c r="L3">
        <v>0</v>
      </c>
      <c r="M3">
        <f>region_summary__54[[#This Row],[REJECTED BY Admin Kabupaten]]+region_summary__54[[#This Row],[REJECTED BY Pengawas]]</f>
        <v>0</v>
      </c>
    </row>
    <row r="4" spans="1:13" x14ac:dyDescent="0.25">
      <c r="A4" t="s">
        <v>11</v>
      </c>
      <c r="B4">
        <v>7172010009003100</v>
      </c>
      <c r="C4">
        <v>102</v>
      </c>
      <c r="D4">
        <v>99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region_summary__54[[#This Row],[REJECTED BY Admin Kabupaten]]+region_summary__54[[#This Row],[REJECTED BY Pengawas]]</f>
        <v>0</v>
      </c>
    </row>
    <row r="5" spans="1:13" x14ac:dyDescent="0.25">
      <c r="A5" t="s">
        <v>11</v>
      </c>
      <c r="B5">
        <v>7172010009003000</v>
      </c>
      <c r="C5">
        <v>82</v>
      </c>
      <c r="D5">
        <v>39</v>
      </c>
      <c r="E5">
        <v>1</v>
      </c>
      <c r="F5">
        <v>0</v>
      </c>
      <c r="G5">
        <v>13</v>
      </c>
      <c r="H5">
        <v>0</v>
      </c>
      <c r="I5">
        <v>0</v>
      </c>
      <c r="J5">
        <v>0</v>
      </c>
      <c r="K5">
        <v>29</v>
      </c>
      <c r="L5">
        <v>0</v>
      </c>
      <c r="M5">
        <f>region_summary__54[[#This Row],[REJECTED BY Admin Kabupaten]]+region_summary__54[[#This Row],[REJECTED BY Pengawas]]</f>
        <v>0</v>
      </c>
    </row>
    <row r="6" spans="1:13" x14ac:dyDescent="0.25">
      <c r="A6" t="s">
        <v>11</v>
      </c>
      <c r="B6">
        <v>7172010010000100</v>
      </c>
      <c r="C6">
        <v>81</v>
      </c>
      <c r="D6">
        <v>0</v>
      </c>
      <c r="E6">
        <v>20</v>
      </c>
      <c r="F6">
        <v>0</v>
      </c>
      <c r="G6">
        <v>17</v>
      </c>
      <c r="H6">
        <v>0</v>
      </c>
      <c r="I6">
        <v>0</v>
      </c>
      <c r="J6">
        <v>0</v>
      </c>
      <c r="K6">
        <v>44</v>
      </c>
      <c r="L6">
        <v>0</v>
      </c>
      <c r="M6">
        <f>region_summary__54[[#This Row],[REJECTED BY Admin Kabupaten]]+region_summary__54[[#This Row],[REJECTED BY Pengawas]]</f>
        <v>0</v>
      </c>
    </row>
    <row r="7" spans="1:13" x14ac:dyDescent="0.25">
      <c r="A7" t="s">
        <v>11</v>
      </c>
      <c r="B7">
        <v>7172010010000300</v>
      </c>
      <c r="C7">
        <v>67</v>
      </c>
      <c r="D7">
        <v>0</v>
      </c>
      <c r="E7">
        <v>3</v>
      </c>
      <c r="F7">
        <v>0</v>
      </c>
      <c r="G7">
        <v>13</v>
      </c>
      <c r="H7">
        <v>0</v>
      </c>
      <c r="I7">
        <v>0</v>
      </c>
      <c r="J7">
        <v>0</v>
      </c>
      <c r="K7">
        <v>51</v>
      </c>
      <c r="L7">
        <v>0</v>
      </c>
      <c r="M7">
        <f>region_summary__54[[#This Row],[REJECTED BY Admin Kabupaten]]+region_summary__54[[#This Row],[REJECTED BY Pengawas]]</f>
        <v>0</v>
      </c>
    </row>
    <row r="8" spans="1:13" x14ac:dyDescent="0.25">
      <c r="A8" t="s">
        <v>11</v>
      </c>
      <c r="B8">
        <v>7172010010000500</v>
      </c>
      <c r="C8">
        <v>61</v>
      </c>
      <c r="D8">
        <v>0</v>
      </c>
      <c r="E8">
        <v>0</v>
      </c>
      <c r="F8">
        <v>0</v>
      </c>
      <c r="G8">
        <v>61</v>
      </c>
      <c r="H8">
        <v>0</v>
      </c>
      <c r="I8">
        <v>0</v>
      </c>
      <c r="J8">
        <v>0</v>
      </c>
      <c r="K8">
        <v>0</v>
      </c>
      <c r="L8">
        <v>0</v>
      </c>
      <c r="M8">
        <f>region_summary__54[[#This Row],[REJECTED BY Admin Kabupaten]]+region_summary__54[[#This Row],[REJECTED BY Pengawas]]</f>
        <v>0</v>
      </c>
    </row>
    <row r="9" spans="1:13" x14ac:dyDescent="0.25">
      <c r="A9" t="s">
        <v>11</v>
      </c>
      <c r="B9">
        <v>7172010010000400</v>
      </c>
      <c r="C9">
        <v>38</v>
      </c>
      <c r="D9">
        <v>0</v>
      </c>
      <c r="E9">
        <v>0</v>
      </c>
      <c r="F9">
        <v>0</v>
      </c>
      <c r="G9">
        <v>38</v>
      </c>
      <c r="H9">
        <v>0</v>
      </c>
      <c r="I9">
        <v>0</v>
      </c>
      <c r="J9">
        <v>0</v>
      </c>
      <c r="K9">
        <v>0</v>
      </c>
      <c r="L9">
        <v>0</v>
      </c>
      <c r="M9">
        <f>region_summary__54[[#This Row],[REJECTED BY Admin Kabupaten]]+region_summary__54[[#This Row],[REJECTED BY Pengawas]]</f>
        <v>0</v>
      </c>
    </row>
    <row r="10" spans="1:13" x14ac:dyDescent="0.25">
      <c r="A10" t="s">
        <v>7</v>
      </c>
      <c r="B10">
        <v>7172010008001000</v>
      </c>
      <c r="C10">
        <v>198</v>
      </c>
      <c r="D10">
        <v>187</v>
      </c>
      <c r="E10">
        <v>0</v>
      </c>
      <c r="F10">
        <v>4</v>
      </c>
      <c r="G10">
        <v>6</v>
      </c>
      <c r="H10">
        <v>0</v>
      </c>
      <c r="I10">
        <v>0</v>
      </c>
      <c r="J10">
        <v>0</v>
      </c>
      <c r="K10">
        <v>1</v>
      </c>
      <c r="L10">
        <v>0</v>
      </c>
      <c r="M10">
        <f>region_summary__54[[#This Row],[REJECTED BY Admin Kabupaten]]+region_summary__54[[#This Row],[REJECTED BY Pengawas]]</f>
        <v>0</v>
      </c>
    </row>
    <row r="11" spans="1:13" x14ac:dyDescent="0.25">
      <c r="A11" t="s">
        <v>7</v>
      </c>
      <c r="B11">
        <v>7172010008001101</v>
      </c>
      <c r="C11">
        <v>191</v>
      </c>
      <c r="D11">
        <v>32</v>
      </c>
      <c r="E11">
        <v>0</v>
      </c>
      <c r="F11">
        <v>1</v>
      </c>
      <c r="G11">
        <v>37</v>
      </c>
      <c r="H11">
        <v>0</v>
      </c>
      <c r="I11">
        <v>0</v>
      </c>
      <c r="J11">
        <v>0</v>
      </c>
      <c r="K11">
        <v>121</v>
      </c>
      <c r="L11">
        <v>0</v>
      </c>
      <c r="M11">
        <f>region_summary__54[[#This Row],[REJECTED BY Admin Kabupaten]]+region_summary__54[[#This Row],[REJECTED BY Pengawas]]</f>
        <v>0</v>
      </c>
    </row>
    <row r="12" spans="1:13" x14ac:dyDescent="0.25">
      <c r="A12" t="s">
        <v>7</v>
      </c>
      <c r="B12">
        <v>7172010008000800</v>
      </c>
      <c r="C12">
        <v>160</v>
      </c>
      <c r="D12">
        <v>158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f>region_summary__54[[#This Row],[REJECTED BY Admin Kabupaten]]+region_summary__54[[#This Row],[REJECTED BY Pengawas]]</f>
        <v>0</v>
      </c>
    </row>
    <row r="13" spans="1:13" x14ac:dyDescent="0.25">
      <c r="A13" t="s">
        <v>7</v>
      </c>
      <c r="B13">
        <v>7172010008000900</v>
      </c>
      <c r="C13">
        <v>71</v>
      </c>
      <c r="D13">
        <v>0</v>
      </c>
      <c r="E13">
        <v>2</v>
      </c>
      <c r="F13">
        <v>0</v>
      </c>
      <c r="G13">
        <v>44</v>
      </c>
      <c r="H13">
        <v>0</v>
      </c>
      <c r="I13">
        <v>0</v>
      </c>
      <c r="J13">
        <v>0</v>
      </c>
      <c r="K13">
        <v>25</v>
      </c>
      <c r="L13">
        <v>0</v>
      </c>
      <c r="M13">
        <f>region_summary__54[[#This Row],[REJECTED BY Admin Kabupaten]]+region_summary__54[[#This Row],[REJECTED BY Pengawas]]</f>
        <v>0</v>
      </c>
    </row>
    <row r="14" spans="1:13" x14ac:dyDescent="0.25">
      <c r="A14" t="s">
        <v>7</v>
      </c>
      <c r="B14">
        <v>7172010016000200</v>
      </c>
      <c r="C14">
        <v>51</v>
      </c>
      <c r="D14">
        <v>0</v>
      </c>
      <c r="E14">
        <v>0</v>
      </c>
      <c r="F14">
        <v>0</v>
      </c>
      <c r="G14">
        <v>51</v>
      </c>
      <c r="H14">
        <v>0</v>
      </c>
      <c r="I14">
        <v>0</v>
      </c>
      <c r="J14">
        <v>0</v>
      </c>
      <c r="K14">
        <v>0</v>
      </c>
      <c r="L14">
        <v>0</v>
      </c>
      <c r="M14">
        <f>region_summary__54[[#This Row],[REJECTED BY Admin Kabupaten]]+region_summary__54[[#This Row],[REJECTED BY Pengawas]]</f>
        <v>0</v>
      </c>
    </row>
    <row r="15" spans="1:13" x14ac:dyDescent="0.25">
      <c r="A15" t="s">
        <v>7</v>
      </c>
      <c r="B15">
        <v>7172010016000100</v>
      </c>
      <c r="C15">
        <v>23</v>
      </c>
      <c r="D15">
        <v>0</v>
      </c>
      <c r="E15">
        <v>0</v>
      </c>
      <c r="F15">
        <v>0</v>
      </c>
      <c r="G15">
        <v>23</v>
      </c>
      <c r="H15">
        <v>0</v>
      </c>
      <c r="I15">
        <v>0</v>
      </c>
      <c r="J15">
        <v>0</v>
      </c>
      <c r="K15">
        <v>0</v>
      </c>
      <c r="L15">
        <v>0</v>
      </c>
      <c r="M15">
        <f>region_summary__54[[#This Row],[REJECTED BY Admin Kabupaten]]+region_summary__54[[#This Row],[REJECTED BY Pengawas]]</f>
        <v>0</v>
      </c>
    </row>
    <row r="16" spans="1:13" x14ac:dyDescent="0.25">
      <c r="A16" t="s">
        <v>5</v>
      </c>
      <c r="B16">
        <v>7172010008001300</v>
      </c>
      <c r="C16">
        <v>144</v>
      </c>
      <c r="D16">
        <v>95</v>
      </c>
      <c r="E16">
        <v>4</v>
      </c>
      <c r="F16">
        <v>5</v>
      </c>
      <c r="G16">
        <v>36</v>
      </c>
      <c r="H16">
        <v>0</v>
      </c>
      <c r="I16">
        <v>0</v>
      </c>
      <c r="J16">
        <v>0</v>
      </c>
      <c r="K16">
        <v>4</v>
      </c>
      <c r="L16">
        <v>0</v>
      </c>
      <c r="M16">
        <f>region_summary__54[[#This Row],[REJECTED BY Admin Kabupaten]]+region_summary__54[[#This Row],[REJECTED BY Pengawas]]</f>
        <v>0</v>
      </c>
    </row>
    <row r="17" spans="1:13" x14ac:dyDescent="0.25">
      <c r="A17" t="s">
        <v>5</v>
      </c>
      <c r="B17">
        <v>7172010008001102</v>
      </c>
      <c r="C17">
        <v>129</v>
      </c>
      <c r="D17">
        <v>71</v>
      </c>
      <c r="E17">
        <v>6</v>
      </c>
      <c r="F17">
        <v>14</v>
      </c>
      <c r="G17">
        <v>22</v>
      </c>
      <c r="H17">
        <v>0</v>
      </c>
      <c r="I17">
        <v>0</v>
      </c>
      <c r="J17">
        <v>0</v>
      </c>
      <c r="K17">
        <v>16</v>
      </c>
      <c r="L17">
        <v>0</v>
      </c>
      <c r="M17">
        <f>region_summary__54[[#This Row],[REJECTED BY Admin Kabupaten]]+region_summary__54[[#This Row],[REJECTED BY Pengawas]]</f>
        <v>0</v>
      </c>
    </row>
    <row r="18" spans="1:13" x14ac:dyDescent="0.25">
      <c r="A18" t="s">
        <v>5</v>
      </c>
      <c r="B18">
        <v>7172010008001400</v>
      </c>
      <c r="C18">
        <v>116</v>
      </c>
      <c r="D18">
        <v>98</v>
      </c>
      <c r="E18">
        <v>2</v>
      </c>
      <c r="F18">
        <v>8</v>
      </c>
      <c r="G18">
        <v>6</v>
      </c>
      <c r="H18">
        <v>0</v>
      </c>
      <c r="I18">
        <v>0</v>
      </c>
      <c r="J18">
        <v>0</v>
      </c>
      <c r="K18">
        <v>2</v>
      </c>
      <c r="L18">
        <v>0</v>
      </c>
      <c r="M18">
        <f>region_summary__54[[#This Row],[REJECTED BY Admin Kabupaten]]+region_summary__54[[#This Row],[REJECTED BY Pengawas]]</f>
        <v>0</v>
      </c>
    </row>
    <row r="19" spans="1:13" x14ac:dyDescent="0.25">
      <c r="A19" t="s">
        <v>5</v>
      </c>
      <c r="B19">
        <v>7172010008000100</v>
      </c>
      <c r="C19">
        <v>99</v>
      </c>
      <c r="D19">
        <v>0</v>
      </c>
      <c r="E19">
        <v>12</v>
      </c>
      <c r="F19">
        <v>0</v>
      </c>
      <c r="G19">
        <v>60</v>
      </c>
      <c r="H19">
        <v>0</v>
      </c>
      <c r="I19">
        <v>0</v>
      </c>
      <c r="J19">
        <v>0</v>
      </c>
      <c r="K19">
        <v>27</v>
      </c>
      <c r="L19">
        <v>0</v>
      </c>
      <c r="M19">
        <f>region_summary__54[[#This Row],[REJECTED BY Admin Kabupaten]]+region_summary__54[[#This Row],[REJECTED BY Pengawas]]</f>
        <v>0</v>
      </c>
    </row>
    <row r="20" spans="1:13" x14ac:dyDescent="0.25">
      <c r="A20" t="s">
        <v>5</v>
      </c>
      <c r="B20">
        <v>7172010008001500</v>
      </c>
      <c r="C20">
        <v>98</v>
      </c>
      <c r="D20">
        <v>0</v>
      </c>
      <c r="E20">
        <v>0</v>
      </c>
      <c r="F20">
        <v>0</v>
      </c>
      <c r="G20">
        <v>98</v>
      </c>
      <c r="H20">
        <v>0</v>
      </c>
      <c r="I20">
        <v>0</v>
      </c>
      <c r="J20">
        <v>0</v>
      </c>
      <c r="K20">
        <v>0</v>
      </c>
      <c r="L20">
        <v>0</v>
      </c>
      <c r="M20">
        <f>region_summary__54[[#This Row],[REJECTED BY Admin Kabupaten]]+region_summary__54[[#This Row],[REJECTED BY Pengawas]]</f>
        <v>0</v>
      </c>
    </row>
    <row r="21" spans="1:13" x14ac:dyDescent="0.25">
      <c r="A21" t="s">
        <v>5</v>
      </c>
      <c r="B21">
        <v>7172010008001200</v>
      </c>
      <c r="C21">
        <v>61</v>
      </c>
      <c r="D21">
        <v>0</v>
      </c>
      <c r="E21">
        <v>0</v>
      </c>
      <c r="F21">
        <v>0</v>
      </c>
      <c r="G21">
        <v>61</v>
      </c>
      <c r="H21">
        <v>0</v>
      </c>
      <c r="I21">
        <v>0</v>
      </c>
      <c r="J21">
        <v>0</v>
      </c>
      <c r="K21">
        <v>0</v>
      </c>
      <c r="L21">
        <v>0</v>
      </c>
      <c r="M21">
        <f>region_summary__54[[#This Row],[REJECTED BY Admin Kabupaten]]+region_summary__54[[#This Row],[REJECTED BY Pengawas]]</f>
        <v>0</v>
      </c>
    </row>
    <row r="22" spans="1:13" x14ac:dyDescent="0.25">
      <c r="A22" t="s">
        <v>8</v>
      </c>
      <c r="B22">
        <v>7172010009000300</v>
      </c>
      <c r="C22">
        <v>87</v>
      </c>
      <c r="D22">
        <v>83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f>region_summary__54[[#This Row],[REJECTED BY Admin Kabupaten]]+region_summary__54[[#This Row],[REJECTED BY Pengawas]]</f>
        <v>0</v>
      </c>
    </row>
    <row r="23" spans="1:13" x14ac:dyDescent="0.25">
      <c r="A23" t="s">
        <v>8</v>
      </c>
      <c r="B23">
        <v>7172010009000400</v>
      </c>
      <c r="C23">
        <v>75</v>
      </c>
      <c r="D23">
        <v>65</v>
      </c>
      <c r="E23">
        <v>0</v>
      </c>
      <c r="F23">
        <v>4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f>region_summary__54[[#This Row],[REJECTED BY Admin Kabupaten]]+region_summary__54[[#This Row],[REJECTED BY Pengawas]]</f>
        <v>0</v>
      </c>
    </row>
    <row r="24" spans="1:13" x14ac:dyDescent="0.25">
      <c r="A24" t="s">
        <v>8</v>
      </c>
      <c r="B24">
        <v>7172010015002602</v>
      </c>
      <c r="C24">
        <v>65</v>
      </c>
      <c r="D24">
        <v>0</v>
      </c>
      <c r="E24">
        <v>0</v>
      </c>
      <c r="F24">
        <v>0</v>
      </c>
      <c r="G24">
        <v>65</v>
      </c>
      <c r="H24">
        <v>0</v>
      </c>
      <c r="I24">
        <v>0</v>
      </c>
      <c r="J24">
        <v>0</v>
      </c>
      <c r="K24">
        <v>0</v>
      </c>
      <c r="L24">
        <v>0</v>
      </c>
      <c r="M24">
        <f>region_summary__54[[#This Row],[REJECTED BY Admin Kabupaten]]+region_summary__54[[#This Row],[REJECTED BY Pengawas]]</f>
        <v>0</v>
      </c>
    </row>
    <row r="25" spans="1:13" x14ac:dyDescent="0.25">
      <c r="A25" t="s">
        <v>8</v>
      </c>
      <c r="B25">
        <v>7172010009000700</v>
      </c>
      <c r="C25">
        <v>61</v>
      </c>
      <c r="D25">
        <v>0</v>
      </c>
      <c r="E25">
        <v>0</v>
      </c>
      <c r="F25">
        <v>0</v>
      </c>
      <c r="G25">
        <v>32</v>
      </c>
      <c r="H25">
        <v>0</v>
      </c>
      <c r="I25">
        <v>0</v>
      </c>
      <c r="J25">
        <v>0</v>
      </c>
      <c r="K25">
        <v>29</v>
      </c>
      <c r="L25">
        <v>0</v>
      </c>
      <c r="M25">
        <f>region_summary__54[[#This Row],[REJECTED BY Admin Kabupaten]]+region_summary__54[[#This Row],[REJECTED BY Pengawas]]</f>
        <v>0</v>
      </c>
    </row>
    <row r="26" spans="1:13" x14ac:dyDescent="0.25">
      <c r="A26" t="s">
        <v>8</v>
      </c>
      <c r="B26">
        <v>7172010008001700</v>
      </c>
      <c r="C26">
        <v>55</v>
      </c>
      <c r="D26">
        <v>30</v>
      </c>
      <c r="E26">
        <v>1</v>
      </c>
      <c r="F26">
        <v>1</v>
      </c>
      <c r="G26">
        <v>23</v>
      </c>
      <c r="H26">
        <v>0</v>
      </c>
      <c r="I26">
        <v>0</v>
      </c>
      <c r="J26">
        <v>0</v>
      </c>
      <c r="K26">
        <v>0</v>
      </c>
      <c r="L26">
        <v>0</v>
      </c>
      <c r="M26">
        <f>region_summary__54[[#This Row],[REJECTED BY Admin Kabupaten]]+region_summary__54[[#This Row],[REJECTED BY Pengawas]]</f>
        <v>0</v>
      </c>
    </row>
    <row r="27" spans="1:13" x14ac:dyDescent="0.25">
      <c r="A27" t="s">
        <v>8</v>
      </c>
      <c r="B27">
        <v>7172010009000100</v>
      </c>
      <c r="C27">
        <v>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54</v>
      </c>
      <c r="L27">
        <v>0</v>
      </c>
      <c r="M27">
        <f>region_summary__54[[#This Row],[REJECTED BY Admin Kabupaten]]+region_summary__54[[#This Row],[REJECTED BY Pengawas]]</f>
        <v>0</v>
      </c>
    </row>
    <row r="28" spans="1:13" x14ac:dyDescent="0.25">
      <c r="A28" t="s">
        <v>8</v>
      </c>
      <c r="B28">
        <v>7172010008001800</v>
      </c>
      <c r="C28">
        <v>51</v>
      </c>
      <c r="D28">
        <v>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f>region_summary__54[[#This Row],[REJECTED BY Admin Kabupaten]]+region_summary__54[[#This Row],[REJECTED BY Pengawas]]</f>
        <v>0</v>
      </c>
    </row>
    <row r="29" spans="1:13" x14ac:dyDescent="0.25">
      <c r="A29" t="s">
        <v>8</v>
      </c>
      <c r="B29">
        <v>7172010009000600</v>
      </c>
      <c r="C29">
        <v>48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48</v>
      </c>
      <c r="L29">
        <v>0</v>
      </c>
      <c r="M29">
        <f>region_summary__54[[#This Row],[REJECTED BY Admin Kabupaten]]+region_summary__54[[#This Row],[REJECTED BY Pengawas]]</f>
        <v>0</v>
      </c>
    </row>
    <row r="30" spans="1:13" x14ac:dyDescent="0.25">
      <c r="A30" t="s">
        <v>8</v>
      </c>
      <c r="B30">
        <v>7172010009000200</v>
      </c>
      <c r="C30">
        <v>43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42</v>
      </c>
      <c r="L30">
        <v>0</v>
      </c>
      <c r="M30">
        <f>region_summary__54[[#This Row],[REJECTED BY Admin Kabupaten]]+region_summary__54[[#This Row],[REJECTED BY Pengawas]]</f>
        <v>0</v>
      </c>
    </row>
    <row r="31" spans="1:13" x14ac:dyDescent="0.25">
      <c r="A31" t="s">
        <v>8</v>
      </c>
      <c r="B31">
        <v>7172010009000500</v>
      </c>
      <c r="C31">
        <v>34</v>
      </c>
      <c r="D31">
        <v>27</v>
      </c>
      <c r="E31">
        <v>0</v>
      </c>
      <c r="F31">
        <v>1</v>
      </c>
      <c r="G31">
        <v>2</v>
      </c>
      <c r="H31">
        <v>0</v>
      </c>
      <c r="I31">
        <v>0</v>
      </c>
      <c r="J31">
        <v>0</v>
      </c>
      <c r="K31">
        <v>4</v>
      </c>
      <c r="L31">
        <v>0</v>
      </c>
      <c r="M31">
        <f>region_summary__54[[#This Row],[REJECTED BY Admin Kabupaten]]+region_summary__54[[#This Row],[REJECTED BY Pengawas]]</f>
        <v>0</v>
      </c>
    </row>
    <row r="32" spans="1:13" x14ac:dyDescent="0.25">
      <c r="A32" t="s">
        <v>8</v>
      </c>
      <c r="B32">
        <v>7172010008002000</v>
      </c>
      <c r="C32">
        <v>29</v>
      </c>
      <c r="D32">
        <v>0</v>
      </c>
      <c r="E32">
        <v>0</v>
      </c>
      <c r="F32">
        <v>0</v>
      </c>
      <c r="G32">
        <v>29</v>
      </c>
      <c r="H32">
        <v>0</v>
      </c>
      <c r="I32">
        <v>0</v>
      </c>
      <c r="J32">
        <v>0</v>
      </c>
      <c r="K32">
        <v>0</v>
      </c>
      <c r="L32">
        <v>0</v>
      </c>
      <c r="M32">
        <f>region_summary__54[[#This Row],[REJECTED BY Admin Kabupaten]]+region_summary__54[[#This Row],[REJECTED BY Pengawas]]</f>
        <v>0</v>
      </c>
    </row>
    <row r="33" spans="1:13" x14ac:dyDescent="0.25">
      <c r="A33" t="s">
        <v>8</v>
      </c>
      <c r="B33">
        <v>7172010008002100</v>
      </c>
      <c r="C33">
        <v>21</v>
      </c>
      <c r="D33">
        <v>0</v>
      </c>
      <c r="E33">
        <v>0</v>
      </c>
      <c r="F33">
        <v>0</v>
      </c>
      <c r="G33">
        <v>21</v>
      </c>
      <c r="H33">
        <v>0</v>
      </c>
      <c r="I33">
        <v>0</v>
      </c>
      <c r="J33">
        <v>0</v>
      </c>
      <c r="K33">
        <v>0</v>
      </c>
      <c r="L33">
        <v>0</v>
      </c>
      <c r="M33">
        <f>region_summary__54[[#This Row],[REJECTED BY Admin Kabupaten]]+region_summary__54[[#This Row],[REJECTED BY Pengawas]]</f>
        <v>0</v>
      </c>
    </row>
    <row r="34" spans="1:13" x14ac:dyDescent="0.25">
      <c r="A34" t="s">
        <v>8</v>
      </c>
      <c r="B34">
        <v>7172010008001600</v>
      </c>
      <c r="C34">
        <v>12</v>
      </c>
      <c r="D34">
        <v>0</v>
      </c>
      <c r="E34">
        <v>0</v>
      </c>
      <c r="F34">
        <v>0</v>
      </c>
      <c r="G34">
        <v>12</v>
      </c>
      <c r="H34">
        <v>0</v>
      </c>
      <c r="I34">
        <v>0</v>
      </c>
      <c r="J34">
        <v>0</v>
      </c>
      <c r="K34">
        <v>0</v>
      </c>
      <c r="L34">
        <v>0</v>
      </c>
      <c r="M34">
        <f>region_summary__54[[#This Row],[REJECTED BY Admin Kabupaten]]+region_summary__54[[#This Row],[REJECTED BY Pengawas]]</f>
        <v>0</v>
      </c>
    </row>
    <row r="35" spans="1:13" x14ac:dyDescent="0.25">
      <c r="A35" t="s">
        <v>8</v>
      </c>
      <c r="B35">
        <v>7172010008001900</v>
      </c>
      <c r="C35">
        <v>12</v>
      </c>
      <c r="D35">
        <v>0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2</v>
      </c>
      <c r="L35">
        <v>0</v>
      </c>
      <c r="M35">
        <f>region_summary__54[[#This Row],[REJECTED BY Admin Kabupaten]]+region_summary__54[[#This Row],[REJECTED BY Pengawas]]</f>
        <v>0</v>
      </c>
    </row>
    <row r="36" spans="1:13" x14ac:dyDescent="0.25">
      <c r="A36" t="s">
        <v>9</v>
      </c>
      <c r="B36">
        <v>7172010009001100</v>
      </c>
      <c r="C36">
        <v>66</v>
      </c>
      <c r="D36">
        <v>64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f>region_summary__54[[#This Row],[REJECTED BY Admin Kabupaten]]+region_summary__54[[#This Row],[REJECTED BY Pengawas]]</f>
        <v>0</v>
      </c>
    </row>
    <row r="37" spans="1:13" x14ac:dyDescent="0.25">
      <c r="A37" t="s">
        <v>9</v>
      </c>
      <c r="B37">
        <v>7172010009001300</v>
      </c>
      <c r="C37">
        <v>65</v>
      </c>
      <c r="D37">
        <v>30</v>
      </c>
      <c r="E37">
        <v>1</v>
      </c>
      <c r="F37">
        <v>0</v>
      </c>
      <c r="G37">
        <v>8</v>
      </c>
      <c r="H37">
        <v>0</v>
      </c>
      <c r="I37">
        <v>0</v>
      </c>
      <c r="J37">
        <v>0</v>
      </c>
      <c r="K37">
        <v>26</v>
      </c>
      <c r="L37">
        <v>0</v>
      </c>
      <c r="M37">
        <f>region_summary__54[[#This Row],[REJECTED BY Admin Kabupaten]]+region_summary__54[[#This Row],[REJECTED BY Pengawas]]</f>
        <v>0</v>
      </c>
    </row>
    <row r="38" spans="1:13" x14ac:dyDescent="0.25">
      <c r="A38" t="s">
        <v>9</v>
      </c>
      <c r="B38">
        <v>7172010009001000</v>
      </c>
      <c r="C38">
        <v>60</v>
      </c>
      <c r="D38">
        <v>51</v>
      </c>
      <c r="E38">
        <v>0</v>
      </c>
      <c r="F38">
        <v>0</v>
      </c>
      <c r="G38">
        <v>7</v>
      </c>
      <c r="H38">
        <v>0</v>
      </c>
      <c r="I38">
        <v>1</v>
      </c>
      <c r="J38">
        <v>0</v>
      </c>
      <c r="K38">
        <v>1</v>
      </c>
      <c r="L38">
        <v>0</v>
      </c>
      <c r="M38">
        <f>region_summary__54[[#This Row],[REJECTED BY Admin Kabupaten]]+region_summary__54[[#This Row],[REJECTED BY Pengawas]]</f>
        <v>1</v>
      </c>
    </row>
    <row r="39" spans="1:13" x14ac:dyDescent="0.25">
      <c r="A39" t="s">
        <v>9</v>
      </c>
      <c r="B39">
        <v>7172010009001200</v>
      </c>
      <c r="C39">
        <v>60</v>
      </c>
      <c r="D39">
        <v>56</v>
      </c>
      <c r="E39">
        <v>2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f>region_summary__54[[#This Row],[REJECTED BY Admin Kabupaten]]+region_summary__54[[#This Row],[REJECTED BY Pengawas]]</f>
        <v>0</v>
      </c>
    </row>
    <row r="40" spans="1:13" x14ac:dyDescent="0.25">
      <c r="A40" t="s">
        <v>9</v>
      </c>
      <c r="B40">
        <v>7172010009001400</v>
      </c>
      <c r="C40">
        <v>60</v>
      </c>
      <c r="D40">
        <v>0</v>
      </c>
      <c r="E40">
        <v>0</v>
      </c>
      <c r="F40">
        <v>0</v>
      </c>
      <c r="G40">
        <v>12</v>
      </c>
      <c r="H40">
        <v>0</v>
      </c>
      <c r="I40">
        <v>0</v>
      </c>
      <c r="J40">
        <v>0</v>
      </c>
      <c r="K40">
        <v>48</v>
      </c>
      <c r="L40">
        <v>0</v>
      </c>
      <c r="M40">
        <f>region_summary__54[[#This Row],[REJECTED BY Admin Kabupaten]]+region_summary__54[[#This Row],[REJECTED BY Pengawas]]</f>
        <v>0</v>
      </c>
    </row>
    <row r="41" spans="1:13" x14ac:dyDescent="0.25">
      <c r="A41" t="s">
        <v>9</v>
      </c>
      <c r="B41">
        <v>7172010009001900</v>
      </c>
      <c r="C41">
        <v>54</v>
      </c>
      <c r="D41">
        <v>0</v>
      </c>
      <c r="E41">
        <v>0</v>
      </c>
      <c r="F41">
        <v>0</v>
      </c>
      <c r="G41">
        <v>54</v>
      </c>
      <c r="H41">
        <v>0</v>
      </c>
      <c r="I41">
        <v>0</v>
      </c>
      <c r="J41">
        <v>0</v>
      </c>
      <c r="K41">
        <v>0</v>
      </c>
      <c r="L41">
        <v>0</v>
      </c>
      <c r="M41">
        <f>region_summary__54[[#This Row],[REJECTED BY Admin Kabupaten]]+region_summary__54[[#This Row],[REJECTED BY Pengawas]]</f>
        <v>0</v>
      </c>
    </row>
    <row r="42" spans="1:13" x14ac:dyDescent="0.25">
      <c r="A42" t="s">
        <v>9</v>
      </c>
      <c r="B42">
        <v>7172010009001700</v>
      </c>
      <c r="C42">
        <v>51</v>
      </c>
      <c r="D42">
        <v>0</v>
      </c>
      <c r="E42">
        <v>0</v>
      </c>
      <c r="F42">
        <v>0</v>
      </c>
      <c r="G42">
        <v>51</v>
      </c>
      <c r="H42">
        <v>0</v>
      </c>
      <c r="I42">
        <v>0</v>
      </c>
      <c r="J42">
        <v>0</v>
      </c>
      <c r="K42">
        <v>0</v>
      </c>
      <c r="L42">
        <v>0</v>
      </c>
      <c r="M42">
        <f>region_summary__54[[#This Row],[REJECTED BY Admin Kabupaten]]+region_summary__54[[#This Row],[REJECTED BY Pengawas]]</f>
        <v>0</v>
      </c>
    </row>
    <row r="43" spans="1:13" x14ac:dyDescent="0.25">
      <c r="A43" t="s">
        <v>9</v>
      </c>
      <c r="B43">
        <v>7172010009000900</v>
      </c>
      <c r="C43">
        <v>48</v>
      </c>
      <c r="D43">
        <v>42</v>
      </c>
      <c r="E43">
        <v>1</v>
      </c>
      <c r="F43">
        <v>2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f>region_summary__54[[#This Row],[REJECTED BY Admin Kabupaten]]+region_summary__54[[#This Row],[REJECTED BY Pengawas]]</f>
        <v>0</v>
      </c>
    </row>
    <row r="44" spans="1:13" x14ac:dyDescent="0.25">
      <c r="A44" t="s">
        <v>9</v>
      </c>
      <c r="B44">
        <v>7172010009001500</v>
      </c>
      <c r="C44">
        <v>48</v>
      </c>
      <c r="D44">
        <v>0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30</v>
      </c>
      <c r="L44">
        <v>0</v>
      </c>
      <c r="M44">
        <f>region_summary__54[[#This Row],[REJECTED BY Admin Kabupaten]]+region_summary__54[[#This Row],[REJECTED BY Pengawas]]</f>
        <v>0</v>
      </c>
    </row>
    <row r="45" spans="1:13" x14ac:dyDescent="0.25">
      <c r="A45" t="s">
        <v>9</v>
      </c>
      <c r="B45">
        <v>7172010009001600</v>
      </c>
      <c r="C45">
        <v>45</v>
      </c>
      <c r="D45">
        <v>0</v>
      </c>
      <c r="E45">
        <v>0</v>
      </c>
      <c r="F45">
        <v>0</v>
      </c>
      <c r="G45">
        <v>22</v>
      </c>
      <c r="H45">
        <v>0</v>
      </c>
      <c r="I45">
        <v>0</v>
      </c>
      <c r="J45">
        <v>0</v>
      </c>
      <c r="K45">
        <v>23</v>
      </c>
      <c r="L45">
        <v>0</v>
      </c>
      <c r="M45">
        <f>region_summary__54[[#This Row],[REJECTED BY Admin Kabupaten]]+region_summary__54[[#This Row],[REJECTED BY Pengawas]]</f>
        <v>0</v>
      </c>
    </row>
    <row r="46" spans="1:13" x14ac:dyDescent="0.25">
      <c r="A46" t="s">
        <v>9</v>
      </c>
      <c r="B46">
        <v>7172010015000900</v>
      </c>
      <c r="C46">
        <v>42</v>
      </c>
      <c r="D46">
        <v>0</v>
      </c>
      <c r="E46">
        <v>1</v>
      </c>
      <c r="F46">
        <v>0</v>
      </c>
      <c r="G46">
        <v>41</v>
      </c>
      <c r="H46">
        <v>0</v>
      </c>
      <c r="I46">
        <v>0</v>
      </c>
      <c r="J46">
        <v>0</v>
      </c>
      <c r="K46">
        <v>0</v>
      </c>
      <c r="L46">
        <v>0</v>
      </c>
      <c r="M46">
        <f>region_summary__54[[#This Row],[REJECTED BY Admin Kabupaten]]+region_summary__54[[#This Row],[REJECTED BY Pengawas]]</f>
        <v>0</v>
      </c>
    </row>
    <row r="47" spans="1:13" x14ac:dyDescent="0.25">
      <c r="A47" t="s">
        <v>9</v>
      </c>
      <c r="B47">
        <v>7172010009000800</v>
      </c>
      <c r="C47">
        <v>36</v>
      </c>
      <c r="D47">
        <v>33</v>
      </c>
      <c r="E47">
        <v>0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f>region_summary__54[[#This Row],[REJECTED BY Admin Kabupaten]]+region_summary__54[[#This Row],[REJECTED BY Pengawas]]</f>
        <v>0</v>
      </c>
    </row>
    <row r="48" spans="1:13" x14ac:dyDescent="0.25">
      <c r="A48" t="s">
        <v>9</v>
      </c>
      <c r="B48">
        <v>7172010009002000</v>
      </c>
      <c r="C48">
        <v>33</v>
      </c>
      <c r="D48">
        <v>0</v>
      </c>
      <c r="E48">
        <v>0</v>
      </c>
      <c r="F48">
        <v>0</v>
      </c>
      <c r="G48">
        <v>33</v>
      </c>
      <c r="H48">
        <v>0</v>
      </c>
      <c r="I48">
        <v>0</v>
      </c>
      <c r="J48">
        <v>0</v>
      </c>
      <c r="K48">
        <v>0</v>
      </c>
      <c r="L48">
        <v>0</v>
      </c>
      <c r="M48">
        <f>region_summary__54[[#This Row],[REJECTED BY Admin Kabupaten]]+region_summary__54[[#This Row],[REJECTED BY Pengawas]]</f>
        <v>0</v>
      </c>
    </row>
    <row r="49" spans="1:13" x14ac:dyDescent="0.25">
      <c r="A49" t="s">
        <v>9</v>
      </c>
      <c r="B49">
        <v>7172010009001800</v>
      </c>
      <c r="C49">
        <v>18</v>
      </c>
      <c r="D49">
        <v>0</v>
      </c>
      <c r="E49">
        <v>0</v>
      </c>
      <c r="F49">
        <v>0</v>
      </c>
      <c r="G49">
        <v>18</v>
      </c>
      <c r="H49">
        <v>0</v>
      </c>
      <c r="I49">
        <v>0</v>
      </c>
      <c r="J49">
        <v>0</v>
      </c>
      <c r="K49">
        <v>0</v>
      </c>
      <c r="L49">
        <v>0</v>
      </c>
      <c r="M49">
        <f>region_summary__54[[#This Row],[REJECTED BY Admin Kabupaten]]+region_summary__54[[#This Row],[REJECTED BY Pengawas]]</f>
        <v>0</v>
      </c>
    </row>
    <row r="50" spans="1:13" x14ac:dyDescent="0.25">
      <c r="A50" t="s">
        <v>15</v>
      </c>
      <c r="B50">
        <v>7172010011002200</v>
      </c>
      <c r="C50">
        <v>89</v>
      </c>
      <c r="D50">
        <v>84</v>
      </c>
      <c r="E50">
        <v>1</v>
      </c>
      <c r="F50">
        <v>1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f>region_summary__54[[#This Row],[REJECTED BY Admin Kabupaten]]+region_summary__54[[#This Row],[REJECTED BY Pengawas]]</f>
        <v>0</v>
      </c>
    </row>
    <row r="51" spans="1:13" x14ac:dyDescent="0.25">
      <c r="A51" t="s">
        <v>15</v>
      </c>
      <c r="B51">
        <v>7172010012000300</v>
      </c>
      <c r="C51">
        <v>82</v>
      </c>
      <c r="D51">
        <v>76</v>
      </c>
      <c r="E51">
        <v>0</v>
      </c>
      <c r="F51">
        <v>5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f>region_summary__54[[#This Row],[REJECTED BY Admin Kabupaten]]+region_summary__54[[#This Row],[REJECTED BY Pengawas]]</f>
        <v>1</v>
      </c>
    </row>
    <row r="52" spans="1:13" x14ac:dyDescent="0.25">
      <c r="A52" t="s">
        <v>15</v>
      </c>
      <c r="B52">
        <v>7172010012001100</v>
      </c>
      <c r="C52">
        <v>80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80</v>
      </c>
      <c r="L52">
        <v>0</v>
      </c>
      <c r="M52">
        <f>region_summary__54[[#This Row],[REJECTED BY Admin Kabupaten]]+region_summary__54[[#This Row],[REJECTED BY Pengawas]]</f>
        <v>0</v>
      </c>
    </row>
    <row r="53" spans="1:13" x14ac:dyDescent="0.25">
      <c r="A53" t="s">
        <v>15</v>
      </c>
      <c r="B53">
        <v>7172010012001000</v>
      </c>
      <c r="C53">
        <v>79</v>
      </c>
      <c r="D53">
        <v>63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12</v>
      </c>
      <c r="L53">
        <v>0</v>
      </c>
      <c r="M53">
        <f>region_summary__54[[#This Row],[REJECTED BY Admin Kabupaten]]+region_summary__54[[#This Row],[REJECTED BY Pengawas]]</f>
        <v>0</v>
      </c>
    </row>
    <row r="54" spans="1:13" x14ac:dyDescent="0.25">
      <c r="A54" t="s">
        <v>15</v>
      </c>
      <c r="B54">
        <v>7172010012000700</v>
      </c>
      <c r="C54">
        <v>76</v>
      </c>
      <c r="D54">
        <v>70</v>
      </c>
      <c r="E54">
        <v>0</v>
      </c>
      <c r="F54">
        <v>4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f>region_summary__54[[#This Row],[REJECTED BY Admin Kabupaten]]+region_summary__54[[#This Row],[REJECTED BY Pengawas]]</f>
        <v>1</v>
      </c>
    </row>
    <row r="55" spans="1:13" x14ac:dyDescent="0.25">
      <c r="A55" t="s">
        <v>15</v>
      </c>
      <c r="B55">
        <v>7172010012000500</v>
      </c>
      <c r="C55">
        <v>70</v>
      </c>
      <c r="D55">
        <v>47</v>
      </c>
      <c r="E55">
        <v>0</v>
      </c>
      <c r="F55">
        <v>11</v>
      </c>
      <c r="G55">
        <v>11</v>
      </c>
      <c r="H55">
        <v>1</v>
      </c>
      <c r="I55">
        <v>0</v>
      </c>
      <c r="J55">
        <v>0</v>
      </c>
      <c r="K55">
        <v>0</v>
      </c>
      <c r="L55">
        <v>0</v>
      </c>
      <c r="M55">
        <f>region_summary__54[[#This Row],[REJECTED BY Admin Kabupaten]]+region_summary__54[[#This Row],[REJECTED BY Pengawas]]</f>
        <v>1</v>
      </c>
    </row>
    <row r="56" spans="1:13" x14ac:dyDescent="0.25">
      <c r="A56" t="s">
        <v>15</v>
      </c>
      <c r="B56">
        <v>7172010012000100</v>
      </c>
      <c r="C56">
        <v>50</v>
      </c>
      <c r="D56">
        <v>41</v>
      </c>
      <c r="E56">
        <v>0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f>region_summary__54[[#This Row],[REJECTED BY Admin Kabupaten]]+region_summary__54[[#This Row],[REJECTED BY Pengawas]]</f>
        <v>0</v>
      </c>
    </row>
    <row r="57" spans="1:13" x14ac:dyDescent="0.25">
      <c r="A57" t="s">
        <v>15</v>
      </c>
      <c r="B57">
        <v>7172010012000200</v>
      </c>
      <c r="C57">
        <v>48</v>
      </c>
      <c r="D57">
        <v>47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f>region_summary__54[[#This Row],[REJECTED BY Admin Kabupaten]]+region_summary__54[[#This Row],[REJECTED BY Pengawas]]</f>
        <v>0</v>
      </c>
    </row>
    <row r="58" spans="1:13" x14ac:dyDescent="0.25">
      <c r="A58" t="s">
        <v>15</v>
      </c>
      <c r="B58">
        <v>7172010012001200</v>
      </c>
      <c r="C58">
        <v>46</v>
      </c>
      <c r="D58">
        <v>0</v>
      </c>
      <c r="E58">
        <v>0</v>
      </c>
      <c r="F58">
        <v>0</v>
      </c>
      <c r="G58">
        <v>13</v>
      </c>
      <c r="H58">
        <v>0</v>
      </c>
      <c r="I58">
        <v>0</v>
      </c>
      <c r="J58">
        <v>0</v>
      </c>
      <c r="K58">
        <v>33</v>
      </c>
      <c r="L58">
        <v>0</v>
      </c>
      <c r="M58">
        <f>region_summary__54[[#This Row],[REJECTED BY Admin Kabupaten]]+region_summary__54[[#This Row],[REJECTED BY Pengawas]]</f>
        <v>0</v>
      </c>
    </row>
    <row r="59" spans="1:13" x14ac:dyDescent="0.25">
      <c r="A59" t="s">
        <v>15</v>
      </c>
      <c r="B59">
        <v>7172010012000900</v>
      </c>
      <c r="C59">
        <v>40</v>
      </c>
      <c r="D59">
        <v>0</v>
      </c>
      <c r="E59">
        <v>0</v>
      </c>
      <c r="F59">
        <v>0</v>
      </c>
      <c r="G59">
        <v>14</v>
      </c>
      <c r="H59">
        <v>0</v>
      </c>
      <c r="I59">
        <v>0</v>
      </c>
      <c r="J59">
        <v>0</v>
      </c>
      <c r="K59">
        <v>26</v>
      </c>
      <c r="L59">
        <v>0</v>
      </c>
      <c r="M59">
        <f>region_summary__54[[#This Row],[REJECTED BY Admin Kabupaten]]+region_summary__54[[#This Row],[REJECTED BY Pengawas]]</f>
        <v>0</v>
      </c>
    </row>
    <row r="60" spans="1:13" x14ac:dyDescent="0.25">
      <c r="A60" t="s">
        <v>15</v>
      </c>
      <c r="B60">
        <v>7172010012000400</v>
      </c>
      <c r="C60">
        <v>38</v>
      </c>
      <c r="D60">
        <v>21</v>
      </c>
      <c r="E60">
        <v>0</v>
      </c>
      <c r="F60">
        <v>10</v>
      </c>
      <c r="G60">
        <v>7</v>
      </c>
      <c r="H60">
        <v>0</v>
      </c>
      <c r="I60">
        <v>0</v>
      </c>
      <c r="J60">
        <v>0</v>
      </c>
      <c r="K60">
        <v>0</v>
      </c>
      <c r="L60">
        <v>0</v>
      </c>
      <c r="M60">
        <f>region_summary__54[[#This Row],[REJECTED BY Admin Kabupaten]]+region_summary__54[[#This Row],[REJECTED BY Pengawas]]</f>
        <v>0</v>
      </c>
    </row>
    <row r="61" spans="1:13" x14ac:dyDescent="0.25">
      <c r="A61" t="s">
        <v>15</v>
      </c>
      <c r="B61">
        <v>7172010012000600</v>
      </c>
      <c r="C61">
        <v>38</v>
      </c>
      <c r="D61">
        <v>0</v>
      </c>
      <c r="E61">
        <v>0</v>
      </c>
      <c r="F61">
        <v>0</v>
      </c>
      <c r="G61">
        <v>37</v>
      </c>
      <c r="H61">
        <v>0</v>
      </c>
      <c r="I61">
        <v>0</v>
      </c>
      <c r="J61">
        <v>0</v>
      </c>
      <c r="K61">
        <v>1</v>
      </c>
      <c r="L61">
        <v>0</v>
      </c>
      <c r="M61">
        <f>region_summary__54[[#This Row],[REJECTED BY Admin Kabupaten]]+region_summary__54[[#This Row],[REJECTED BY Pengawas]]</f>
        <v>0</v>
      </c>
    </row>
    <row r="62" spans="1:13" x14ac:dyDescent="0.25">
      <c r="A62" t="s">
        <v>15</v>
      </c>
      <c r="B62">
        <v>7172010012000800</v>
      </c>
      <c r="C62">
        <v>25</v>
      </c>
      <c r="D62">
        <v>0</v>
      </c>
      <c r="E62">
        <v>0</v>
      </c>
      <c r="F62">
        <v>0</v>
      </c>
      <c r="G62">
        <v>20</v>
      </c>
      <c r="H62">
        <v>0</v>
      </c>
      <c r="I62">
        <v>0</v>
      </c>
      <c r="J62">
        <v>0</v>
      </c>
      <c r="K62">
        <v>5</v>
      </c>
      <c r="L62">
        <v>0</v>
      </c>
      <c r="M62">
        <f>region_summary__54[[#This Row],[REJECTED BY Admin Kabupaten]]+region_summary__54[[#This Row],[REJECTED BY Pengawas]]</f>
        <v>0</v>
      </c>
    </row>
    <row r="63" spans="1:13" x14ac:dyDescent="0.25">
      <c r="A63" t="s">
        <v>23</v>
      </c>
      <c r="B63">
        <v>7172010015003200</v>
      </c>
      <c r="C63">
        <v>202</v>
      </c>
      <c r="D63">
        <v>13</v>
      </c>
      <c r="E63">
        <v>17</v>
      </c>
      <c r="F63">
        <v>0</v>
      </c>
      <c r="G63">
        <v>90</v>
      </c>
      <c r="H63">
        <v>0</v>
      </c>
      <c r="I63">
        <v>0</v>
      </c>
      <c r="J63">
        <v>0</v>
      </c>
      <c r="K63">
        <v>82</v>
      </c>
      <c r="L63">
        <v>0</v>
      </c>
      <c r="M63">
        <f>region_summary__54[[#This Row],[REJECTED BY Admin Kabupaten]]+region_summary__54[[#This Row],[REJECTED BY Pengawas]]</f>
        <v>0</v>
      </c>
    </row>
    <row r="64" spans="1:13" x14ac:dyDescent="0.25">
      <c r="A64" t="s">
        <v>23</v>
      </c>
      <c r="B64">
        <v>7172010015003100</v>
      </c>
      <c r="C64">
        <v>146</v>
      </c>
      <c r="D64">
        <v>116</v>
      </c>
      <c r="E64">
        <v>4</v>
      </c>
      <c r="F64">
        <v>6</v>
      </c>
      <c r="G64">
        <v>15</v>
      </c>
      <c r="H64">
        <v>2</v>
      </c>
      <c r="I64">
        <v>0</v>
      </c>
      <c r="J64">
        <v>0</v>
      </c>
      <c r="K64">
        <v>3</v>
      </c>
      <c r="L64">
        <v>0</v>
      </c>
      <c r="M64">
        <f>region_summary__54[[#This Row],[REJECTED BY Admin Kabupaten]]+region_summary__54[[#This Row],[REJECTED BY Pengawas]]</f>
        <v>2</v>
      </c>
    </row>
    <row r="65" spans="1:13" x14ac:dyDescent="0.25">
      <c r="A65" t="s">
        <v>23</v>
      </c>
      <c r="B65">
        <v>7172010015002700</v>
      </c>
      <c r="C65">
        <v>101</v>
      </c>
      <c r="D65">
        <v>32</v>
      </c>
      <c r="E65">
        <v>1</v>
      </c>
      <c r="F65">
        <v>0</v>
      </c>
      <c r="G65">
        <v>61</v>
      </c>
      <c r="H65">
        <v>0</v>
      </c>
      <c r="I65">
        <v>0</v>
      </c>
      <c r="J65">
        <v>0</v>
      </c>
      <c r="K65">
        <v>7</v>
      </c>
      <c r="L65">
        <v>0</v>
      </c>
      <c r="M65">
        <f>region_summary__54[[#This Row],[REJECTED BY Admin Kabupaten]]+region_summary__54[[#This Row],[REJECTED BY Pengawas]]</f>
        <v>0</v>
      </c>
    </row>
    <row r="66" spans="1:13" x14ac:dyDescent="0.25">
      <c r="A66" t="s">
        <v>23</v>
      </c>
      <c r="B66">
        <v>7172010015002900</v>
      </c>
      <c r="C66">
        <v>89</v>
      </c>
      <c r="D66">
        <v>59</v>
      </c>
      <c r="E66">
        <v>0</v>
      </c>
      <c r="F66">
        <v>0</v>
      </c>
      <c r="G66">
        <v>22</v>
      </c>
      <c r="H66">
        <v>0</v>
      </c>
      <c r="I66">
        <v>0</v>
      </c>
      <c r="J66">
        <v>0</v>
      </c>
      <c r="K66">
        <v>8</v>
      </c>
      <c r="L66">
        <v>0</v>
      </c>
      <c r="M66">
        <f>region_summary__54[[#This Row],[REJECTED BY Admin Kabupaten]]+region_summary__54[[#This Row],[REJECTED BY Pengawas]]</f>
        <v>0</v>
      </c>
    </row>
    <row r="67" spans="1:13" x14ac:dyDescent="0.25">
      <c r="A67" t="s">
        <v>23</v>
      </c>
      <c r="B67">
        <v>7172010015003000</v>
      </c>
      <c r="C67">
        <v>69</v>
      </c>
      <c r="D67">
        <v>37</v>
      </c>
      <c r="E67">
        <v>5</v>
      </c>
      <c r="F67">
        <v>0</v>
      </c>
      <c r="G67">
        <v>24</v>
      </c>
      <c r="H67">
        <v>0</v>
      </c>
      <c r="I67">
        <v>0</v>
      </c>
      <c r="J67">
        <v>0</v>
      </c>
      <c r="K67">
        <v>3</v>
      </c>
      <c r="L67">
        <v>0</v>
      </c>
      <c r="M67">
        <f>region_summary__54[[#This Row],[REJECTED BY Admin Kabupaten]]+region_summary__54[[#This Row],[REJECTED BY Pengawas]]</f>
        <v>0</v>
      </c>
    </row>
    <row r="68" spans="1:13" x14ac:dyDescent="0.25">
      <c r="A68" t="s">
        <v>23</v>
      </c>
      <c r="B68">
        <v>7172010015002800</v>
      </c>
      <c r="C68">
        <v>60</v>
      </c>
      <c r="D68">
        <v>34</v>
      </c>
      <c r="E68">
        <v>4</v>
      </c>
      <c r="F68">
        <v>2</v>
      </c>
      <c r="G68">
        <v>19</v>
      </c>
      <c r="H68">
        <v>0</v>
      </c>
      <c r="I68">
        <v>0</v>
      </c>
      <c r="J68">
        <v>0</v>
      </c>
      <c r="K68">
        <v>1</v>
      </c>
      <c r="L68">
        <v>0</v>
      </c>
      <c r="M68">
        <f>region_summary__54[[#This Row],[REJECTED BY Admin Kabupaten]]+region_summary__54[[#This Row],[REJECTED BY Pengawas]]</f>
        <v>0</v>
      </c>
    </row>
    <row r="69" spans="1:13" x14ac:dyDescent="0.25">
      <c r="A69" t="s">
        <v>23</v>
      </c>
      <c r="B69">
        <v>7172010015001200</v>
      </c>
      <c r="C69">
        <v>39</v>
      </c>
      <c r="D69">
        <v>19</v>
      </c>
      <c r="E69">
        <v>0</v>
      </c>
      <c r="F69">
        <v>0</v>
      </c>
      <c r="G69">
        <v>20</v>
      </c>
      <c r="H69">
        <v>0</v>
      </c>
      <c r="I69">
        <v>0</v>
      </c>
      <c r="J69">
        <v>0</v>
      </c>
      <c r="K69">
        <v>0</v>
      </c>
      <c r="L69">
        <v>0</v>
      </c>
      <c r="M69">
        <f>region_summary__54[[#This Row],[REJECTED BY Admin Kabupaten]]+region_summary__54[[#This Row],[REJECTED BY Pengawas]]</f>
        <v>0</v>
      </c>
    </row>
    <row r="70" spans="1:13" x14ac:dyDescent="0.25">
      <c r="A70" t="s">
        <v>237</v>
      </c>
      <c r="B70">
        <v>7172010017001200</v>
      </c>
      <c r="C70">
        <v>167</v>
      </c>
      <c r="D70">
        <v>159</v>
      </c>
      <c r="E70">
        <v>2</v>
      </c>
      <c r="F70">
        <v>1</v>
      </c>
      <c r="G70">
        <v>0</v>
      </c>
      <c r="H70">
        <v>3</v>
      </c>
      <c r="I70">
        <v>0</v>
      </c>
      <c r="J70">
        <v>0</v>
      </c>
      <c r="K70">
        <v>2</v>
      </c>
      <c r="L70">
        <v>0</v>
      </c>
      <c r="M70">
        <f>region_summary__54[[#This Row],[REJECTED BY Admin Kabupaten]]+region_summary__54[[#This Row],[REJECTED BY Pengawas]]</f>
        <v>3</v>
      </c>
    </row>
    <row r="71" spans="1:13" x14ac:dyDescent="0.25">
      <c r="A71" t="s">
        <v>237</v>
      </c>
      <c r="B71">
        <v>7172010017000800</v>
      </c>
      <c r="C71">
        <v>98</v>
      </c>
      <c r="D71">
        <v>95</v>
      </c>
      <c r="E7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f>region_summary__54[[#This Row],[REJECTED BY Admin Kabupaten]]+region_summary__54[[#This Row],[REJECTED BY Pengawas]]</f>
        <v>2</v>
      </c>
    </row>
    <row r="72" spans="1:13" x14ac:dyDescent="0.25">
      <c r="A72" t="s">
        <v>237</v>
      </c>
      <c r="B72">
        <v>7172010017001100</v>
      </c>
      <c r="C72">
        <v>90</v>
      </c>
      <c r="D72">
        <v>11</v>
      </c>
      <c r="E72">
        <v>8</v>
      </c>
      <c r="F72">
        <v>0</v>
      </c>
      <c r="G72">
        <v>12</v>
      </c>
      <c r="H72">
        <v>0</v>
      </c>
      <c r="I72">
        <v>0</v>
      </c>
      <c r="J72">
        <v>0</v>
      </c>
      <c r="K72">
        <v>59</v>
      </c>
      <c r="L72">
        <v>0</v>
      </c>
      <c r="M72">
        <f>region_summary__54[[#This Row],[REJECTED BY Admin Kabupaten]]+region_summary__54[[#This Row],[REJECTED BY Pengawas]]</f>
        <v>0</v>
      </c>
    </row>
    <row r="73" spans="1:13" x14ac:dyDescent="0.25">
      <c r="A73" t="s">
        <v>237</v>
      </c>
      <c r="B73">
        <v>7172010017001000</v>
      </c>
      <c r="C73">
        <v>65</v>
      </c>
      <c r="D73">
        <v>19</v>
      </c>
      <c r="E73">
        <v>7</v>
      </c>
      <c r="F73">
        <v>0</v>
      </c>
      <c r="G73">
        <v>7</v>
      </c>
      <c r="H73">
        <v>0</v>
      </c>
      <c r="I73">
        <v>0</v>
      </c>
      <c r="J73">
        <v>0</v>
      </c>
      <c r="K73">
        <v>32</v>
      </c>
      <c r="L73">
        <v>0</v>
      </c>
      <c r="M73">
        <f>region_summary__54[[#This Row],[REJECTED BY Admin Kabupaten]]+region_summary__54[[#This Row],[REJECTED BY Pengawas]]</f>
        <v>0</v>
      </c>
    </row>
    <row r="74" spans="1:13" x14ac:dyDescent="0.25">
      <c r="A74" t="s">
        <v>237</v>
      </c>
      <c r="B74">
        <v>7172010017001400</v>
      </c>
      <c r="C74">
        <v>60</v>
      </c>
      <c r="D74">
        <v>0</v>
      </c>
      <c r="E74">
        <v>0</v>
      </c>
      <c r="F74">
        <v>0</v>
      </c>
      <c r="G74">
        <v>60</v>
      </c>
      <c r="H74">
        <v>0</v>
      </c>
      <c r="I74">
        <v>0</v>
      </c>
      <c r="J74">
        <v>0</v>
      </c>
      <c r="K74">
        <v>0</v>
      </c>
      <c r="L74">
        <v>0</v>
      </c>
      <c r="M74">
        <f>region_summary__54[[#This Row],[REJECTED BY Admin Kabupaten]]+region_summary__54[[#This Row],[REJECTED BY Pengawas]]</f>
        <v>0</v>
      </c>
    </row>
    <row r="75" spans="1:13" x14ac:dyDescent="0.25">
      <c r="A75" t="s">
        <v>237</v>
      </c>
      <c r="B75">
        <v>7172010017000700</v>
      </c>
      <c r="C75">
        <v>55</v>
      </c>
      <c r="D75">
        <v>0</v>
      </c>
      <c r="E75">
        <v>0</v>
      </c>
      <c r="F75">
        <v>0</v>
      </c>
      <c r="G75">
        <v>55</v>
      </c>
      <c r="H75">
        <v>0</v>
      </c>
      <c r="I75">
        <v>0</v>
      </c>
      <c r="J75">
        <v>0</v>
      </c>
      <c r="K75">
        <v>0</v>
      </c>
      <c r="L75">
        <v>0</v>
      </c>
      <c r="M75">
        <f>region_summary__54[[#This Row],[REJECTED BY Admin Kabupaten]]+region_summary__54[[#This Row],[REJECTED BY Pengawas]]</f>
        <v>0</v>
      </c>
    </row>
    <row r="76" spans="1:13" x14ac:dyDescent="0.25">
      <c r="A76" t="s">
        <v>237</v>
      </c>
      <c r="B76">
        <v>7172010017000900</v>
      </c>
      <c r="C76">
        <v>55</v>
      </c>
      <c r="D76">
        <v>0</v>
      </c>
      <c r="E76">
        <v>0</v>
      </c>
      <c r="F76">
        <v>0</v>
      </c>
      <c r="G76">
        <v>55</v>
      </c>
      <c r="H76">
        <v>0</v>
      </c>
      <c r="I76">
        <v>0</v>
      </c>
      <c r="J76">
        <v>0</v>
      </c>
      <c r="K76">
        <v>0</v>
      </c>
      <c r="L76">
        <v>0</v>
      </c>
      <c r="M76">
        <f>region_summary__54[[#This Row],[REJECTED BY Admin Kabupaten]]+region_summary__54[[#This Row],[REJECTED BY Pengawas]]</f>
        <v>0</v>
      </c>
    </row>
    <row r="77" spans="1:13" x14ac:dyDescent="0.25">
      <c r="A77" t="s">
        <v>237</v>
      </c>
      <c r="B77">
        <v>7172010017000500</v>
      </c>
      <c r="C77">
        <v>47</v>
      </c>
      <c r="D77">
        <v>0</v>
      </c>
      <c r="E77">
        <v>0</v>
      </c>
      <c r="F77">
        <v>0</v>
      </c>
      <c r="G77">
        <v>47</v>
      </c>
      <c r="H77">
        <v>0</v>
      </c>
      <c r="I77">
        <v>0</v>
      </c>
      <c r="J77">
        <v>0</v>
      </c>
      <c r="K77">
        <v>0</v>
      </c>
      <c r="L77">
        <v>0</v>
      </c>
      <c r="M77">
        <f>region_summary__54[[#This Row],[REJECTED BY Admin Kabupaten]]+region_summary__54[[#This Row],[REJECTED BY Pengawas]]</f>
        <v>0</v>
      </c>
    </row>
    <row r="78" spans="1:13" x14ac:dyDescent="0.25">
      <c r="A78" t="s">
        <v>237</v>
      </c>
      <c r="B78">
        <v>7172010017000600</v>
      </c>
      <c r="C78">
        <v>38</v>
      </c>
      <c r="D78">
        <v>0</v>
      </c>
      <c r="E78">
        <v>0</v>
      </c>
      <c r="F78">
        <v>0</v>
      </c>
      <c r="G78">
        <v>38</v>
      </c>
      <c r="H78">
        <v>0</v>
      </c>
      <c r="I78">
        <v>0</v>
      </c>
      <c r="J78">
        <v>0</v>
      </c>
      <c r="K78">
        <v>0</v>
      </c>
      <c r="L78">
        <v>0</v>
      </c>
      <c r="M78">
        <f>region_summary__54[[#This Row],[REJECTED BY Admin Kabupaten]]+region_summary__54[[#This Row],[REJECTED BY Pengawas]]</f>
        <v>0</v>
      </c>
    </row>
    <row r="79" spans="1:13" x14ac:dyDescent="0.25">
      <c r="A79" t="s">
        <v>14</v>
      </c>
      <c r="B79">
        <v>7172010011001900</v>
      </c>
      <c r="C79">
        <v>63</v>
      </c>
      <c r="D79">
        <v>0</v>
      </c>
      <c r="E79">
        <v>0</v>
      </c>
      <c r="F79">
        <v>0</v>
      </c>
      <c r="G79">
        <v>63</v>
      </c>
      <c r="H79">
        <v>0</v>
      </c>
      <c r="I79">
        <v>0</v>
      </c>
      <c r="J79">
        <v>0</v>
      </c>
      <c r="K79">
        <v>0</v>
      </c>
      <c r="L79">
        <v>0</v>
      </c>
      <c r="M79">
        <f>region_summary__54[[#This Row],[REJECTED BY Admin Kabupaten]]+region_summary__54[[#This Row],[REJECTED BY Pengawas]]</f>
        <v>0</v>
      </c>
    </row>
    <row r="80" spans="1:13" x14ac:dyDescent="0.25">
      <c r="A80" t="s">
        <v>14</v>
      </c>
      <c r="B80">
        <v>7172010011002000</v>
      </c>
      <c r="C80">
        <v>63</v>
      </c>
      <c r="D80">
        <v>0</v>
      </c>
      <c r="E80">
        <v>0</v>
      </c>
      <c r="F80">
        <v>0</v>
      </c>
      <c r="G80">
        <v>63</v>
      </c>
      <c r="H80">
        <v>0</v>
      </c>
      <c r="I80">
        <v>0</v>
      </c>
      <c r="J80">
        <v>0</v>
      </c>
      <c r="K80">
        <v>0</v>
      </c>
      <c r="L80">
        <v>0</v>
      </c>
      <c r="M80">
        <f>region_summary__54[[#This Row],[REJECTED BY Admin Kabupaten]]+region_summary__54[[#This Row],[REJECTED BY Pengawas]]</f>
        <v>0</v>
      </c>
    </row>
    <row r="81" spans="1:13" x14ac:dyDescent="0.25">
      <c r="A81" t="s">
        <v>14</v>
      </c>
      <c r="B81">
        <v>7172010011000700</v>
      </c>
      <c r="C81">
        <v>61</v>
      </c>
      <c r="D81">
        <v>59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f>region_summary__54[[#This Row],[REJECTED BY Admin Kabupaten]]+region_summary__54[[#This Row],[REJECTED BY Pengawas]]</f>
        <v>0</v>
      </c>
    </row>
    <row r="82" spans="1:13" x14ac:dyDescent="0.25">
      <c r="A82" t="s">
        <v>14</v>
      </c>
      <c r="B82">
        <v>7172010011001800</v>
      </c>
      <c r="C82">
        <v>61</v>
      </c>
      <c r="D82">
        <v>60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f>region_summary__54[[#This Row],[REJECTED BY Admin Kabupaten]]+region_summary__54[[#This Row],[REJECTED BY Pengawas]]</f>
        <v>0</v>
      </c>
    </row>
    <row r="83" spans="1:13" x14ac:dyDescent="0.25">
      <c r="A83" t="s">
        <v>14</v>
      </c>
      <c r="B83">
        <v>7172010011000800</v>
      </c>
      <c r="C83">
        <v>55</v>
      </c>
      <c r="D83">
        <v>55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f>region_summary__54[[#This Row],[REJECTED BY Admin Kabupaten]]+region_summary__54[[#This Row],[REJECTED BY Pengawas]]</f>
        <v>0</v>
      </c>
    </row>
    <row r="84" spans="1:13" x14ac:dyDescent="0.25">
      <c r="A84" t="s">
        <v>14</v>
      </c>
      <c r="B84">
        <v>7172010011001400</v>
      </c>
      <c r="C84">
        <v>46</v>
      </c>
      <c r="D84">
        <v>46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f>region_summary__54[[#This Row],[REJECTED BY Admin Kabupaten]]+region_summary__54[[#This Row],[REJECTED BY Pengawas]]</f>
        <v>0</v>
      </c>
    </row>
    <row r="85" spans="1:13" x14ac:dyDescent="0.25">
      <c r="A85" t="s">
        <v>14</v>
      </c>
      <c r="B85">
        <v>7172010011001500</v>
      </c>
      <c r="C85">
        <v>42</v>
      </c>
      <c r="D85">
        <v>0</v>
      </c>
      <c r="E85">
        <v>1</v>
      </c>
      <c r="F85">
        <v>0</v>
      </c>
      <c r="G85">
        <v>6</v>
      </c>
      <c r="H85">
        <v>0</v>
      </c>
      <c r="I85">
        <v>0</v>
      </c>
      <c r="J85">
        <v>0</v>
      </c>
      <c r="K85">
        <v>35</v>
      </c>
      <c r="L85">
        <v>0</v>
      </c>
      <c r="M85">
        <f>region_summary__54[[#This Row],[REJECTED BY Admin Kabupaten]]+region_summary__54[[#This Row],[REJECTED BY Pengawas]]</f>
        <v>0</v>
      </c>
    </row>
    <row r="86" spans="1:13" x14ac:dyDescent="0.25">
      <c r="A86" t="s">
        <v>14</v>
      </c>
      <c r="B86">
        <v>7172010011001700</v>
      </c>
      <c r="C86">
        <v>40</v>
      </c>
      <c r="D86">
        <v>0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37</v>
      </c>
      <c r="L86">
        <v>0</v>
      </c>
      <c r="M86">
        <f>region_summary__54[[#This Row],[REJECTED BY Admin Kabupaten]]+region_summary__54[[#This Row],[REJECTED BY Pengawas]]</f>
        <v>0</v>
      </c>
    </row>
    <row r="87" spans="1:13" x14ac:dyDescent="0.25">
      <c r="A87" t="s">
        <v>14</v>
      </c>
      <c r="B87">
        <v>7172010011002100</v>
      </c>
      <c r="C87">
        <v>39</v>
      </c>
      <c r="D87">
        <v>0</v>
      </c>
      <c r="E87">
        <v>0</v>
      </c>
      <c r="F87">
        <v>0</v>
      </c>
      <c r="G87">
        <v>39</v>
      </c>
      <c r="H87">
        <v>0</v>
      </c>
      <c r="I87">
        <v>0</v>
      </c>
      <c r="J87">
        <v>0</v>
      </c>
      <c r="K87">
        <v>0</v>
      </c>
      <c r="L87">
        <v>0</v>
      </c>
      <c r="M87">
        <f>region_summary__54[[#This Row],[REJECTED BY Admin Kabupaten]]+region_summary__54[[#This Row],[REJECTED BY Pengawas]]</f>
        <v>0</v>
      </c>
    </row>
    <row r="88" spans="1:13" x14ac:dyDescent="0.25">
      <c r="A88" t="s">
        <v>14</v>
      </c>
      <c r="B88">
        <v>7172010011001200</v>
      </c>
      <c r="C88">
        <v>37</v>
      </c>
      <c r="D88">
        <v>36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f>region_summary__54[[#This Row],[REJECTED BY Admin Kabupaten]]+region_summary__54[[#This Row],[REJECTED BY Pengawas]]</f>
        <v>0</v>
      </c>
    </row>
    <row r="89" spans="1:13" x14ac:dyDescent="0.25">
      <c r="A89" t="s">
        <v>14</v>
      </c>
      <c r="B89">
        <v>7172010011000900</v>
      </c>
      <c r="C89">
        <v>36</v>
      </c>
      <c r="D89">
        <v>21</v>
      </c>
      <c r="E89">
        <v>2</v>
      </c>
      <c r="F89">
        <v>0</v>
      </c>
      <c r="G89">
        <v>2</v>
      </c>
      <c r="H89">
        <v>0</v>
      </c>
      <c r="I89">
        <v>0</v>
      </c>
      <c r="J89">
        <v>0</v>
      </c>
      <c r="K89">
        <v>11</v>
      </c>
      <c r="L89">
        <v>0</v>
      </c>
      <c r="M89">
        <f>region_summary__54[[#This Row],[REJECTED BY Admin Kabupaten]]+region_summary__54[[#This Row],[REJECTED BY Pengawas]]</f>
        <v>0</v>
      </c>
    </row>
    <row r="90" spans="1:13" x14ac:dyDescent="0.25">
      <c r="A90" t="s">
        <v>14</v>
      </c>
      <c r="B90">
        <v>7172010011001000</v>
      </c>
      <c r="C90">
        <v>36</v>
      </c>
      <c r="D90">
        <v>0</v>
      </c>
      <c r="E90">
        <v>0</v>
      </c>
      <c r="F90">
        <v>0</v>
      </c>
      <c r="G90">
        <v>23</v>
      </c>
      <c r="H90">
        <v>0</v>
      </c>
      <c r="I90">
        <v>0</v>
      </c>
      <c r="J90">
        <v>0</v>
      </c>
      <c r="K90">
        <v>13</v>
      </c>
      <c r="L90">
        <v>0</v>
      </c>
      <c r="M90">
        <f>region_summary__54[[#This Row],[REJECTED BY Admin Kabupaten]]+region_summary__54[[#This Row],[REJECTED BY Pengawas]]</f>
        <v>0</v>
      </c>
    </row>
    <row r="91" spans="1:13" x14ac:dyDescent="0.25">
      <c r="A91" t="s">
        <v>14</v>
      </c>
      <c r="B91">
        <v>7172010011001100</v>
      </c>
      <c r="C91">
        <v>31</v>
      </c>
      <c r="D91">
        <v>0</v>
      </c>
      <c r="E91">
        <v>0</v>
      </c>
      <c r="F91">
        <v>0</v>
      </c>
      <c r="G91">
        <v>31</v>
      </c>
      <c r="H91">
        <v>0</v>
      </c>
      <c r="I91">
        <v>0</v>
      </c>
      <c r="J91">
        <v>0</v>
      </c>
      <c r="K91">
        <v>0</v>
      </c>
      <c r="L91">
        <v>0</v>
      </c>
      <c r="M91">
        <f>region_summary__54[[#This Row],[REJECTED BY Admin Kabupaten]]+region_summary__54[[#This Row],[REJECTED BY Pengawas]]</f>
        <v>0</v>
      </c>
    </row>
    <row r="92" spans="1:13" x14ac:dyDescent="0.25">
      <c r="A92" t="s">
        <v>14</v>
      </c>
      <c r="B92">
        <v>7172010011001600</v>
      </c>
      <c r="C92">
        <v>28</v>
      </c>
      <c r="D92">
        <v>0</v>
      </c>
      <c r="E92">
        <v>0</v>
      </c>
      <c r="F92">
        <v>0</v>
      </c>
      <c r="G92">
        <v>24</v>
      </c>
      <c r="H92">
        <v>0</v>
      </c>
      <c r="I92">
        <v>0</v>
      </c>
      <c r="J92">
        <v>0</v>
      </c>
      <c r="K92">
        <v>4</v>
      </c>
      <c r="L92">
        <v>0</v>
      </c>
      <c r="M92">
        <f>region_summary__54[[#This Row],[REJECTED BY Admin Kabupaten]]+region_summary__54[[#This Row],[REJECTED BY Pengawas]]</f>
        <v>0</v>
      </c>
    </row>
    <row r="93" spans="1:13" x14ac:dyDescent="0.25">
      <c r="A93" t="s">
        <v>14</v>
      </c>
      <c r="B93">
        <v>7172010011001300</v>
      </c>
      <c r="C93">
        <v>23</v>
      </c>
      <c r="D93">
        <v>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f>region_summary__54[[#This Row],[REJECTED BY Admin Kabupaten]]+region_summary__54[[#This Row],[REJECTED BY Pengawas]]</f>
        <v>0</v>
      </c>
    </row>
    <row r="94" spans="1:13" x14ac:dyDescent="0.25">
      <c r="A94" t="s">
        <v>21</v>
      </c>
      <c r="B94">
        <v>7172010015001800</v>
      </c>
      <c r="C94">
        <v>185</v>
      </c>
      <c r="D94">
        <v>0</v>
      </c>
      <c r="E94">
        <v>0</v>
      </c>
      <c r="F94">
        <v>0</v>
      </c>
      <c r="G94">
        <v>87</v>
      </c>
      <c r="H94">
        <v>0</v>
      </c>
      <c r="I94">
        <v>0</v>
      </c>
      <c r="J94">
        <v>0</v>
      </c>
      <c r="K94">
        <v>98</v>
      </c>
      <c r="L94">
        <v>0</v>
      </c>
      <c r="M94">
        <f>region_summary__54[[#This Row],[REJECTED BY Admin Kabupaten]]+region_summary__54[[#This Row],[REJECTED BY Pengawas]]</f>
        <v>0</v>
      </c>
    </row>
    <row r="95" spans="1:13" x14ac:dyDescent="0.25">
      <c r="A95" t="s">
        <v>21</v>
      </c>
      <c r="B95">
        <v>7172010015001600</v>
      </c>
      <c r="C95">
        <v>142</v>
      </c>
      <c r="D95">
        <v>131</v>
      </c>
      <c r="E95">
        <v>0</v>
      </c>
      <c r="F95">
        <v>7</v>
      </c>
      <c r="G95">
        <v>3</v>
      </c>
      <c r="H95">
        <v>0</v>
      </c>
      <c r="I95">
        <v>0</v>
      </c>
      <c r="J95">
        <v>0</v>
      </c>
      <c r="K95">
        <v>1</v>
      </c>
      <c r="L95">
        <v>0</v>
      </c>
      <c r="M95">
        <f>region_summary__54[[#This Row],[REJECTED BY Admin Kabupaten]]+region_summary__54[[#This Row],[REJECTED BY Pengawas]]</f>
        <v>0</v>
      </c>
    </row>
    <row r="96" spans="1:13" x14ac:dyDescent="0.25">
      <c r="A96" t="s">
        <v>21</v>
      </c>
      <c r="B96">
        <v>7172010015001500</v>
      </c>
      <c r="C96">
        <v>118</v>
      </c>
      <c r="D96">
        <v>114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f>region_summary__54[[#This Row],[REJECTED BY Admin Kabupaten]]+region_summary__54[[#This Row],[REJECTED BY Pengawas]]</f>
        <v>0</v>
      </c>
    </row>
    <row r="97" spans="1:13" x14ac:dyDescent="0.25">
      <c r="A97" t="s">
        <v>21</v>
      </c>
      <c r="B97">
        <v>7172010015001900</v>
      </c>
      <c r="C97">
        <v>87</v>
      </c>
      <c r="D97">
        <v>0</v>
      </c>
      <c r="E97">
        <v>0</v>
      </c>
      <c r="F97">
        <v>0</v>
      </c>
      <c r="G97">
        <v>87</v>
      </c>
      <c r="H97">
        <v>0</v>
      </c>
      <c r="I97">
        <v>0</v>
      </c>
      <c r="J97">
        <v>0</v>
      </c>
      <c r="K97">
        <v>0</v>
      </c>
      <c r="L97">
        <v>0</v>
      </c>
      <c r="M97">
        <f>region_summary__54[[#This Row],[REJECTED BY Admin Kabupaten]]+region_summary__54[[#This Row],[REJECTED BY Pengawas]]</f>
        <v>0</v>
      </c>
    </row>
    <row r="98" spans="1:13" x14ac:dyDescent="0.25">
      <c r="A98" t="s">
        <v>21</v>
      </c>
      <c r="B98">
        <v>7172010015001700</v>
      </c>
      <c r="C98">
        <v>68</v>
      </c>
      <c r="D98">
        <v>67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f>region_summary__54[[#This Row],[REJECTED BY Admin Kabupaten]]+region_summary__54[[#This Row],[REJECTED BY Pengawas]]</f>
        <v>0</v>
      </c>
    </row>
    <row r="99" spans="1:13" x14ac:dyDescent="0.25">
      <c r="A99" t="s">
        <v>21</v>
      </c>
      <c r="B99">
        <v>7172010015002000</v>
      </c>
      <c r="C99">
        <v>64</v>
      </c>
      <c r="D99">
        <v>0</v>
      </c>
      <c r="E99">
        <v>0</v>
      </c>
      <c r="F99">
        <v>0</v>
      </c>
      <c r="G99">
        <v>64</v>
      </c>
      <c r="H99">
        <v>0</v>
      </c>
      <c r="I99">
        <v>0</v>
      </c>
      <c r="J99">
        <v>0</v>
      </c>
      <c r="K99">
        <v>0</v>
      </c>
      <c r="L99">
        <v>0</v>
      </c>
      <c r="M99">
        <f>region_summary__54[[#This Row],[REJECTED BY Admin Kabupaten]]+region_summary__54[[#This Row],[REJECTED BY Pengawas]]</f>
        <v>0</v>
      </c>
    </row>
    <row r="100" spans="1:13" x14ac:dyDescent="0.25">
      <c r="A100" t="s">
        <v>21</v>
      </c>
      <c r="B100">
        <v>7172010015001000</v>
      </c>
      <c r="C100">
        <v>37</v>
      </c>
      <c r="D100">
        <v>0</v>
      </c>
      <c r="E100">
        <v>0</v>
      </c>
      <c r="F100">
        <v>0</v>
      </c>
      <c r="G100">
        <v>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f>region_summary__54[[#This Row],[REJECTED BY Admin Kabupaten]]+region_summary__54[[#This Row],[REJECTED BY Pengawas]]</f>
        <v>0</v>
      </c>
    </row>
    <row r="101" spans="1:13" x14ac:dyDescent="0.25">
      <c r="A101" t="s">
        <v>27</v>
      </c>
      <c r="B101">
        <v>7172011002000900</v>
      </c>
      <c r="C101">
        <v>188</v>
      </c>
      <c r="D101">
        <v>148</v>
      </c>
      <c r="E101">
        <v>5</v>
      </c>
      <c r="F101">
        <v>4</v>
      </c>
      <c r="G101">
        <v>30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f>region_summary__54[[#This Row],[REJECTED BY Admin Kabupaten]]+region_summary__54[[#This Row],[REJECTED BY Pengawas]]</f>
        <v>0</v>
      </c>
    </row>
    <row r="102" spans="1:13" x14ac:dyDescent="0.25">
      <c r="A102" t="s">
        <v>27</v>
      </c>
      <c r="B102">
        <v>7172011001000700</v>
      </c>
      <c r="C102">
        <v>178</v>
      </c>
      <c r="D102">
        <v>135</v>
      </c>
      <c r="E102">
        <v>1</v>
      </c>
      <c r="F102">
        <v>5</v>
      </c>
      <c r="G102">
        <v>37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f>region_summary__54[[#This Row],[REJECTED BY Admin Kabupaten]]+region_summary__54[[#This Row],[REJECTED BY Pengawas]]</f>
        <v>0</v>
      </c>
    </row>
    <row r="103" spans="1:13" x14ac:dyDescent="0.25">
      <c r="A103" t="s">
        <v>27</v>
      </c>
      <c r="B103">
        <v>7172011002000600</v>
      </c>
      <c r="C103">
        <v>176</v>
      </c>
      <c r="D103">
        <v>141</v>
      </c>
      <c r="E103">
        <v>5</v>
      </c>
      <c r="F103">
        <v>8</v>
      </c>
      <c r="G103">
        <v>21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f>region_summary__54[[#This Row],[REJECTED BY Admin Kabupaten]]+region_summary__54[[#This Row],[REJECTED BY Pengawas]]</f>
        <v>0</v>
      </c>
    </row>
    <row r="104" spans="1:13" x14ac:dyDescent="0.25">
      <c r="A104" t="s">
        <v>27</v>
      </c>
      <c r="B104">
        <v>7172011001000900</v>
      </c>
      <c r="C104">
        <v>76</v>
      </c>
      <c r="D104">
        <v>0</v>
      </c>
      <c r="E104">
        <v>0</v>
      </c>
      <c r="F104">
        <v>0</v>
      </c>
      <c r="G104">
        <v>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f>region_summary__54[[#This Row],[REJECTED BY Admin Kabupaten]]+region_summary__54[[#This Row],[REJECTED BY Pengawas]]</f>
        <v>0</v>
      </c>
    </row>
    <row r="105" spans="1:13" x14ac:dyDescent="0.25">
      <c r="A105" t="s">
        <v>27</v>
      </c>
      <c r="B105">
        <v>7172011001000800</v>
      </c>
      <c r="C105">
        <v>67</v>
      </c>
      <c r="D105">
        <v>0</v>
      </c>
      <c r="E105">
        <v>0</v>
      </c>
      <c r="F105">
        <v>0</v>
      </c>
      <c r="G105">
        <v>67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>region_summary__54[[#This Row],[REJECTED BY Admin Kabupaten]]+region_summary__54[[#This Row],[REJECTED BY Pengawas]]</f>
        <v>0</v>
      </c>
    </row>
    <row r="106" spans="1:13" x14ac:dyDescent="0.25">
      <c r="A106" t="s">
        <v>27</v>
      </c>
      <c r="B106">
        <v>7172011002001000</v>
      </c>
      <c r="C106">
        <v>63</v>
      </c>
      <c r="D106">
        <v>40</v>
      </c>
      <c r="E106">
        <v>2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18</v>
      </c>
      <c r="L106">
        <v>0</v>
      </c>
      <c r="M106">
        <f>region_summary__54[[#This Row],[REJECTED BY Admin Kabupaten]]+region_summary__54[[#This Row],[REJECTED BY Pengawas]]</f>
        <v>0</v>
      </c>
    </row>
    <row r="107" spans="1:13" x14ac:dyDescent="0.25">
      <c r="A107" t="s">
        <v>27</v>
      </c>
      <c r="B107">
        <v>7172011002001100</v>
      </c>
      <c r="C107">
        <v>57</v>
      </c>
      <c r="D107">
        <v>0</v>
      </c>
      <c r="E107">
        <v>2</v>
      </c>
      <c r="F107">
        <v>0</v>
      </c>
      <c r="G107">
        <v>30</v>
      </c>
      <c r="H107">
        <v>0</v>
      </c>
      <c r="I107">
        <v>0</v>
      </c>
      <c r="J107">
        <v>0</v>
      </c>
      <c r="K107">
        <v>25</v>
      </c>
      <c r="L107">
        <v>0</v>
      </c>
      <c r="M107">
        <f>region_summary__54[[#This Row],[REJECTED BY Admin Kabupaten]]+region_summary__54[[#This Row],[REJECTED BY Pengawas]]</f>
        <v>0</v>
      </c>
    </row>
    <row r="108" spans="1:13" x14ac:dyDescent="0.25">
      <c r="A108" t="s">
        <v>29</v>
      </c>
      <c r="B108">
        <v>7172011002001600</v>
      </c>
      <c r="C108">
        <v>138</v>
      </c>
      <c r="D108">
        <v>110</v>
      </c>
      <c r="E108">
        <v>1</v>
      </c>
      <c r="F108">
        <v>3</v>
      </c>
      <c r="G108">
        <v>17</v>
      </c>
      <c r="H108">
        <v>5</v>
      </c>
      <c r="I108">
        <v>2</v>
      </c>
      <c r="J108">
        <v>0</v>
      </c>
      <c r="K108">
        <v>0</v>
      </c>
      <c r="L108">
        <v>0</v>
      </c>
      <c r="M108">
        <f>region_summary__54[[#This Row],[REJECTED BY Admin Kabupaten]]+region_summary__54[[#This Row],[REJECTED BY Pengawas]]</f>
        <v>7</v>
      </c>
    </row>
    <row r="109" spans="1:13" x14ac:dyDescent="0.25">
      <c r="A109" t="s">
        <v>29</v>
      </c>
      <c r="B109">
        <v>7172011002001200</v>
      </c>
      <c r="C109">
        <v>121</v>
      </c>
      <c r="D109">
        <v>84</v>
      </c>
      <c r="E109">
        <v>7</v>
      </c>
      <c r="F109">
        <v>1</v>
      </c>
      <c r="G109">
        <v>26</v>
      </c>
      <c r="H109">
        <v>0</v>
      </c>
      <c r="I109">
        <v>3</v>
      </c>
      <c r="J109">
        <v>0</v>
      </c>
      <c r="K109">
        <v>0</v>
      </c>
      <c r="L109">
        <v>0</v>
      </c>
      <c r="M109">
        <f>region_summary__54[[#This Row],[REJECTED BY Admin Kabupaten]]+region_summary__54[[#This Row],[REJECTED BY Pengawas]]</f>
        <v>3</v>
      </c>
    </row>
    <row r="110" spans="1:13" x14ac:dyDescent="0.25">
      <c r="A110" t="s">
        <v>29</v>
      </c>
      <c r="B110">
        <v>7172011002001400</v>
      </c>
      <c r="C110">
        <v>121</v>
      </c>
      <c r="D110">
        <v>104</v>
      </c>
      <c r="E110">
        <v>1</v>
      </c>
      <c r="F110">
        <v>1</v>
      </c>
      <c r="G110">
        <v>12</v>
      </c>
      <c r="H110">
        <v>0</v>
      </c>
      <c r="I110">
        <v>3</v>
      </c>
      <c r="J110">
        <v>0</v>
      </c>
      <c r="K110">
        <v>0</v>
      </c>
      <c r="L110">
        <v>0</v>
      </c>
      <c r="M110">
        <f>region_summary__54[[#This Row],[REJECTED BY Admin Kabupaten]]+region_summary__54[[#This Row],[REJECTED BY Pengawas]]</f>
        <v>3</v>
      </c>
    </row>
    <row r="111" spans="1:13" x14ac:dyDescent="0.25">
      <c r="A111" t="s">
        <v>29</v>
      </c>
      <c r="B111">
        <v>7172011002001500</v>
      </c>
      <c r="C111">
        <v>102</v>
      </c>
      <c r="D111">
        <v>79</v>
      </c>
      <c r="E111">
        <v>5</v>
      </c>
      <c r="F111">
        <v>0</v>
      </c>
      <c r="G111">
        <v>15</v>
      </c>
      <c r="H111">
        <v>0</v>
      </c>
      <c r="I111">
        <v>3</v>
      </c>
      <c r="J111">
        <v>0</v>
      </c>
      <c r="K111">
        <v>0</v>
      </c>
      <c r="L111">
        <v>0</v>
      </c>
      <c r="M111">
        <f>region_summary__54[[#This Row],[REJECTED BY Admin Kabupaten]]+region_summary__54[[#This Row],[REJECTED BY Pengawas]]</f>
        <v>3</v>
      </c>
    </row>
    <row r="112" spans="1:13" x14ac:dyDescent="0.25">
      <c r="A112" t="s">
        <v>29</v>
      </c>
      <c r="B112">
        <v>7172011011000500</v>
      </c>
      <c r="C112">
        <v>89</v>
      </c>
      <c r="D112">
        <v>77</v>
      </c>
      <c r="E112">
        <v>5</v>
      </c>
      <c r="F112">
        <v>5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f>region_summary__54[[#This Row],[REJECTED BY Admin Kabupaten]]+region_summary__54[[#This Row],[REJECTED BY Pengawas]]</f>
        <v>2</v>
      </c>
    </row>
    <row r="113" spans="1:13" x14ac:dyDescent="0.25">
      <c r="A113" t="s">
        <v>29</v>
      </c>
      <c r="B113">
        <v>7172011002001300</v>
      </c>
      <c r="C113">
        <v>71</v>
      </c>
      <c r="D113">
        <v>7</v>
      </c>
      <c r="E113">
        <v>10</v>
      </c>
      <c r="F113">
        <v>0</v>
      </c>
      <c r="G113">
        <v>31</v>
      </c>
      <c r="H113">
        <v>0</v>
      </c>
      <c r="I113">
        <v>0</v>
      </c>
      <c r="J113">
        <v>0</v>
      </c>
      <c r="K113">
        <v>23</v>
      </c>
      <c r="L113">
        <v>0</v>
      </c>
      <c r="M113">
        <f>region_summary__54[[#This Row],[REJECTED BY Admin Kabupaten]]+region_summary__54[[#This Row],[REJECTED BY Pengawas]]</f>
        <v>0</v>
      </c>
    </row>
    <row r="114" spans="1:13" x14ac:dyDescent="0.25">
      <c r="A114" t="s">
        <v>29</v>
      </c>
      <c r="B114">
        <v>7172011011000400</v>
      </c>
      <c r="C114">
        <v>71</v>
      </c>
      <c r="D114">
        <v>0</v>
      </c>
      <c r="E114">
        <v>0</v>
      </c>
      <c r="F114">
        <v>0</v>
      </c>
      <c r="G114">
        <v>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>region_summary__54[[#This Row],[REJECTED BY Admin Kabupaten]]+region_summary__54[[#This Row],[REJECTED BY Pengawas]]</f>
        <v>0</v>
      </c>
    </row>
    <row r="115" spans="1:13" x14ac:dyDescent="0.25">
      <c r="A115" t="s">
        <v>29</v>
      </c>
      <c r="B115">
        <v>7172011011000300</v>
      </c>
      <c r="C115">
        <v>50</v>
      </c>
      <c r="D115">
        <v>0</v>
      </c>
      <c r="E115">
        <v>0</v>
      </c>
      <c r="F115">
        <v>0</v>
      </c>
      <c r="G115">
        <v>50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f>region_summary__54[[#This Row],[REJECTED BY Admin Kabupaten]]+region_summary__54[[#This Row],[REJECTED BY Pengawas]]</f>
        <v>0</v>
      </c>
    </row>
    <row r="116" spans="1:13" x14ac:dyDescent="0.25">
      <c r="A116" t="s">
        <v>29</v>
      </c>
      <c r="B116">
        <v>7172011011000200</v>
      </c>
      <c r="C116">
        <v>38</v>
      </c>
      <c r="D116">
        <v>1</v>
      </c>
      <c r="E116">
        <v>0</v>
      </c>
      <c r="F116">
        <v>0</v>
      </c>
      <c r="G116">
        <v>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f>region_summary__54[[#This Row],[REJECTED BY Admin Kabupaten]]+region_summary__54[[#This Row],[REJECTED BY Pengawas]]</f>
        <v>0</v>
      </c>
    </row>
    <row r="117" spans="1:13" x14ac:dyDescent="0.25">
      <c r="A117" t="s">
        <v>29</v>
      </c>
      <c r="B117">
        <v>7172011011000100</v>
      </c>
      <c r="C117">
        <v>27</v>
      </c>
      <c r="D117">
        <v>0</v>
      </c>
      <c r="E117">
        <v>0</v>
      </c>
      <c r="F117">
        <v>0</v>
      </c>
      <c r="G117">
        <v>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f>region_summary__54[[#This Row],[REJECTED BY Admin Kabupaten]]+region_summary__54[[#This Row],[REJECTED BY Pengawas]]</f>
        <v>0</v>
      </c>
    </row>
    <row r="118" spans="1:13" x14ac:dyDescent="0.25">
      <c r="A118" t="s">
        <v>30</v>
      </c>
      <c r="B118">
        <v>7172011003001803</v>
      </c>
      <c r="C118">
        <v>166</v>
      </c>
      <c r="D118">
        <v>122</v>
      </c>
      <c r="E118">
        <v>0</v>
      </c>
      <c r="F118">
        <v>3</v>
      </c>
      <c r="G118">
        <v>15</v>
      </c>
      <c r="H118">
        <v>0</v>
      </c>
      <c r="I118">
        <v>0</v>
      </c>
      <c r="J118">
        <v>0</v>
      </c>
      <c r="K118">
        <v>26</v>
      </c>
      <c r="L118">
        <v>0</v>
      </c>
      <c r="M118">
        <f>region_summary__54[[#This Row],[REJECTED BY Admin Kabupaten]]+region_summary__54[[#This Row],[REJECTED BY Pengawas]]</f>
        <v>0</v>
      </c>
    </row>
    <row r="119" spans="1:13" x14ac:dyDescent="0.25">
      <c r="A119" t="s">
        <v>30</v>
      </c>
      <c r="B119">
        <v>7172011003000400</v>
      </c>
      <c r="C119">
        <v>153</v>
      </c>
      <c r="D119">
        <v>69</v>
      </c>
      <c r="E119">
        <v>5</v>
      </c>
      <c r="F119">
        <v>0</v>
      </c>
      <c r="G119">
        <v>57</v>
      </c>
      <c r="H119">
        <v>0</v>
      </c>
      <c r="I119">
        <v>0</v>
      </c>
      <c r="J119">
        <v>0</v>
      </c>
      <c r="K119">
        <v>22</v>
      </c>
      <c r="L119">
        <v>0</v>
      </c>
      <c r="M119">
        <f>region_summary__54[[#This Row],[REJECTED BY Admin Kabupaten]]+region_summary__54[[#This Row],[REJECTED BY Pengawas]]</f>
        <v>0</v>
      </c>
    </row>
    <row r="120" spans="1:13" x14ac:dyDescent="0.25">
      <c r="A120" t="s">
        <v>30</v>
      </c>
      <c r="B120">
        <v>7172011003000700</v>
      </c>
      <c r="C120">
        <v>147</v>
      </c>
      <c r="D120">
        <v>78</v>
      </c>
      <c r="E120">
        <v>10</v>
      </c>
      <c r="F120">
        <v>0</v>
      </c>
      <c r="G120">
        <v>41</v>
      </c>
      <c r="H120">
        <v>0</v>
      </c>
      <c r="I120">
        <v>2</v>
      </c>
      <c r="J120">
        <v>0</v>
      </c>
      <c r="K120">
        <v>16</v>
      </c>
      <c r="L120">
        <v>0</v>
      </c>
      <c r="M120">
        <f>region_summary__54[[#This Row],[REJECTED BY Admin Kabupaten]]+region_summary__54[[#This Row],[REJECTED BY Pengawas]]</f>
        <v>2</v>
      </c>
    </row>
    <row r="121" spans="1:13" x14ac:dyDescent="0.25">
      <c r="A121" t="s">
        <v>30</v>
      </c>
      <c r="B121">
        <v>7172011003000100</v>
      </c>
      <c r="C121">
        <v>128</v>
      </c>
      <c r="D121">
        <v>2</v>
      </c>
      <c r="E121">
        <v>8</v>
      </c>
      <c r="F121">
        <v>0</v>
      </c>
      <c r="G121">
        <v>100</v>
      </c>
      <c r="H121">
        <v>0</v>
      </c>
      <c r="I121">
        <v>0</v>
      </c>
      <c r="J121">
        <v>0</v>
      </c>
      <c r="K121">
        <v>18</v>
      </c>
      <c r="L121">
        <v>0</v>
      </c>
      <c r="M121">
        <f>region_summary__54[[#This Row],[REJECTED BY Admin Kabupaten]]+region_summary__54[[#This Row],[REJECTED BY Pengawas]]</f>
        <v>0</v>
      </c>
    </row>
    <row r="122" spans="1:13" x14ac:dyDescent="0.25">
      <c r="A122" t="s">
        <v>30</v>
      </c>
      <c r="B122">
        <v>7172011003000202</v>
      </c>
      <c r="C122">
        <v>90</v>
      </c>
      <c r="D122">
        <v>0</v>
      </c>
      <c r="E122">
        <v>0</v>
      </c>
      <c r="F122">
        <v>0</v>
      </c>
      <c r="G122">
        <v>90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f>region_summary__54[[#This Row],[REJECTED BY Admin Kabupaten]]+region_summary__54[[#This Row],[REJECTED BY Pengawas]]</f>
        <v>0</v>
      </c>
    </row>
    <row r="123" spans="1:13" x14ac:dyDescent="0.25">
      <c r="A123" t="s">
        <v>33</v>
      </c>
      <c r="B123">
        <v>7172011003003300</v>
      </c>
      <c r="C123">
        <v>124</v>
      </c>
      <c r="D123">
        <v>10</v>
      </c>
      <c r="E123">
        <v>0</v>
      </c>
      <c r="F123">
        <v>0</v>
      </c>
      <c r="G123">
        <v>114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f>region_summary__54[[#This Row],[REJECTED BY Admin Kabupaten]]+region_summary__54[[#This Row],[REJECTED BY Pengawas]]</f>
        <v>0</v>
      </c>
    </row>
    <row r="124" spans="1:13" x14ac:dyDescent="0.25">
      <c r="A124" t="s">
        <v>33</v>
      </c>
      <c r="B124">
        <v>7172011003003503</v>
      </c>
      <c r="C124">
        <v>124</v>
      </c>
      <c r="D124">
        <v>51</v>
      </c>
      <c r="E124">
        <v>11</v>
      </c>
      <c r="F124">
        <v>3</v>
      </c>
      <c r="G124">
        <v>45</v>
      </c>
      <c r="H124">
        <v>0</v>
      </c>
      <c r="I124">
        <v>7</v>
      </c>
      <c r="J124">
        <v>0</v>
      </c>
      <c r="K124">
        <v>7</v>
      </c>
      <c r="L124">
        <v>0</v>
      </c>
      <c r="M124">
        <f>region_summary__54[[#This Row],[REJECTED BY Admin Kabupaten]]+region_summary__54[[#This Row],[REJECTED BY Pengawas]]</f>
        <v>7</v>
      </c>
    </row>
    <row r="125" spans="1:13" x14ac:dyDescent="0.25">
      <c r="A125" t="s">
        <v>33</v>
      </c>
      <c r="B125">
        <v>7172011014001702</v>
      </c>
      <c r="C125">
        <v>119</v>
      </c>
      <c r="D125">
        <v>113</v>
      </c>
      <c r="E125">
        <v>2</v>
      </c>
      <c r="F125">
        <v>3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f>region_summary__54[[#This Row],[REJECTED BY Admin Kabupaten]]+region_summary__54[[#This Row],[REJECTED BY Pengawas]]</f>
        <v>0</v>
      </c>
    </row>
    <row r="126" spans="1:13" x14ac:dyDescent="0.25">
      <c r="A126" t="s">
        <v>33</v>
      </c>
      <c r="B126">
        <v>7172011003003200</v>
      </c>
      <c r="C126">
        <v>116</v>
      </c>
      <c r="D126">
        <v>2</v>
      </c>
      <c r="E126">
        <v>4</v>
      </c>
      <c r="F126">
        <v>0</v>
      </c>
      <c r="G126">
        <v>110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f>region_summary__54[[#This Row],[REJECTED BY Admin Kabupaten]]+region_summary__54[[#This Row],[REJECTED BY Pengawas]]</f>
        <v>0</v>
      </c>
    </row>
    <row r="127" spans="1:13" x14ac:dyDescent="0.25">
      <c r="A127" t="s">
        <v>33</v>
      </c>
      <c r="B127">
        <v>7172011003000800</v>
      </c>
      <c r="C127">
        <v>108</v>
      </c>
      <c r="D127">
        <v>45</v>
      </c>
      <c r="E127">
        <v>6</v>
      </c>
      <c r="F127">
        <v>0</v>
      </c>
      <c r="G127">
        <v>21</v>
      </c>
      <c r="H127">
        <v>0</v>
      </c>
      <c r="I127">
        <v>2</v>
      </c>
      <c r="J127">
        <v>0</v>
      </c>
      <c r="K127">
        <v>34</v>
      </c>
      <c r="L127">
        <v>0</v>
      </c>
      <c r="M127">
        <f>region_summary__54[[#This Row],[REJECTED BY Admin Kabupaten]]+region_summary__54[[#This Row],[REJECTED BY Pengawas]]</f>
        <v>2</v>
      </c>
    </row>
    <row r="128" spans="1:13" x14ac:dyDescent="0.25">
      <c r="A128" t="s">
        <v>33</v>
      </c>
      <c r="B128">
        <v>7172011003003502</v>
      </c>
      <c r="C128">
        <v>73</v>
      </c>
      <c r="D128">
        <v>63</v>
      </c>
      <c r="E128">
        <v>6</v>
      </c>
      <c r="F128">
        <v>1</v>
      </c>
      <c r="G128">
        <v>0</v>
      </c>
      <c r="H128">
        <v>0</v>
      </c>
      <c r="I128">
        <v>3</v>
      </c>
      <c r="J128">
        <v>0</v>
      </c>
      <c r="K128">
        <v>0</v>
      </c>
      <c r="L128">
        <v>0</v>
      </c>
      <c r="M128">
        <f>region_summary__54[[#This Row],[REJECTED BY Admin Kabupaten]]+region_summary__54[[#This Row],[REJECTED BY Pengawas]]</f>
        <v>3</v>
      </c>
    </row>
    <row r="129" spans="1:13" x14ac:dyDescent="0.25">
      <c r="A129" t="s">
        <v>33</v>
      </c>
      <c r="B129">
        <v>7172011003003400</v>
      </c>
      <c r="C129">
        <v>67</v>
      </c>
      <c r="D129">
        <v>50</v>
      </c>
      <c r="E129">
        <v>0</v>
      </c>
      <c r="F129">
        <v>0</v>
      </c>
      <c r="G129">
        <v>15</v>
      </c>
      <c r="H129">
        <v>0</v>
      </c>
      <c r="I129">
        <v>2</v>
      </c>
      <c r="J129">
        <v>0</v>
      </c>
      <c r="K129">
        <v>0</v>
      </c>
      <c r="L129">
        <v>0</v>
      </c>
      <c r="M129">
        <f>region_summary__54[[#This Row],[REJECTED BY Admin Kabupaten]]+region_summary__54[[#This Row],[REJECTED BY Pengawas]]</f>
        <v>2</v>
      </c>
    </row>
    <row r="130" spans="1:13" x14ac:dyDescent="0.25">
      <c r="A130" t="s">
        <v>51</v>
      </c>
      <c r="B130">
        <v>7172012001000500</v>
      </c>
      <c r="C130">
        <v>188</v>
      </c>
      <c r="D130">
        <v>183</v>
      </c>
      <c r="E130">
        <v>3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f>region_summary__54[[#This Row],[REJECTED BY Admin Kabupaten]]+region_summary__54[[#This Row],[REJECTED BY Pengawas]]</f>
        <v>0</v>
      </c>
    </row>
    <row r="131" spans="1:13" x14ac:dyDescent="0.25">
      <c r="A131" t="s">
        <v>51</v>
      </c>
      <c r="B131">
        <v>7172012001001001</v>
      </c>
      <c r="C131">
        <v>176</v>
      </c>
      <c r="D131">
        <v>130</v>
      </c>
      <c r="E131">
        <v>1</v>
      </c>
      <c r="F131">
        <v>0</v>
      </c>
      <c r="G131">
        <v>36</v>
      </c>
      <c r="H131">
        <v>0</v>
      </c>
      <c r="I131">
        <v>0</v>
      </c>
      <c r="J131">
        <v>0</v>
      </c>
      <c r="K131">
        <v>9</v>
      </c>
      <c r="L131">
        <v>0</v>
      </c>
      <c r="M131">
        <f>region_summary__54[[#This Row],[REJECTED BY Admin Kabupaten]]+region_summary__54[[#This Row],[REJECTED BY Pengawas]]</f>
        <v>0</v>
      </c>
    </row>
    <row r="132" spans="1:13" x14ac:dyDescent="0.25">
      <c r="A132" t="s">
        <v>51</v>
      </c>
      <c r="B132">
        <v>7172012001000601</v>
      </c>
      <c r="C132">
        <v>142</v>
      </c>
      <c r="D132">
        <v>2</v>
      </c>
      <c r="E132">
        <v>0</v>
      </c>
      <c r="F132">
        <v>0</v>
      </c>
      <c r="G132">
        <v>140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f>region_summary__54[[#This Row],[REJECTED BY Admin Kabupaten]]+region_summary__54[[#This Row],[REJECTED BY Pengawas]]</f>
        <v>0</v>
      </c>
    </row>
    <row r="133" spans="1:13" x14ac:dyDescent="0.25">
      <c r="A133" t="s">
        <v>55</v>
      </c>
      <c r="B133">
        <v>7172012006001800</v>
      </c>
      <c r="C133">
        <v>163</v>
      </c>
      <c r="D133">
        <v>150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11</v>
      </c>
      <c r="L133">
        <v>0</v>
      </c>
      <c r="M133">
        <f>region_summary__54[[#This Row],[REJECTED BY Admin Kabupaten]]+region_summary__54[[#This Row],[REJECTED BY Pengawas]]</f>
        <v>1</v>
      </c>
    </row>
    <row r="134" spans="1:13" x14ac:dyDescent="0.25">
      <c r="A134" t="s">
        <v>55</v>
      </c>
      <c r="B134">
        <v>7172012006001700</v>
      </c>
      <c r="C134">
        <v>159</v>
      </c>
      <c r="D134">
        <v>20</v>
      </c>
      <c r="E134">
        <v>0</v>
      </c>
      <c r="F134">
        <v>0</v>
      </c>
      <c r="G134">
        <v>103</v>
      </c>
      <c r="H134">
        <v>0</v>
      </c>
      <c r="I134">
        <v>0</v>
      </c>
      <c r="J134">
        <v>0</v>
      </c>
      <c r="K134">
        <v>36</v>
      </c>
      <c r="L134">
        <v>0</v>
      </c>
      <c r="M134">
        <f>region_summary__54[[#This Row],[REJECTED BY Admin Kabupaten]]+region_summary__54[[#This Row],[REJECTED BY Pengawas]]</f>
        <v>0</v>
      </c>
    </row>
    <row r="135" spans="1:13" x14ac:dyDescent="0.25">
      <c r="A135" t="s">
        <v>55</v>
      </c>
      <c r="B135">
        <v>7172012006001900</v>
      </c>
      <c r="C135">
        <v>134</v>
      </c>
      <c r="D135">
        <v>34</v>
      </c>
      <c r="E135">
        <v>0</v>
      </c>
      <c r="F135">
        <v>0</v>
      </c>
      <c r="G135">
        <v>97</v>
      </c>
      <c r="H135">
        <v>0</v>
      </c>
      <c r="I135">
        <v>0</v>
      </c>
      <c r="J135">
        <v>0</v>
      </c>
      <c r="K135">
        <v>3</v>
      </c>
      <c r="L135">
        <v>0</v>
      </c>
      <c r="M135">
        <f>region_summary__54[[#This Row],[REJECTED BY Admin Kabupaten]]+region_summary__54[[#This Row],[REJECTED BY Pengawas]]</f>
        <v>0</v>
      </c>
    </row>
    <row r="136" spans="1:13" x14ac:dyDescent="0.25">
      <c r="A136" t="s">
        <v>55</v>
      </c>
      <c r="B136">
        <v>7172012006001400</v>
      </c>
      <c r="C136">
        <v>107</v>
      </c>
      <c r="D136">
        <v>58</v>
      </c>
      <c r="E136">
        <v>0</v>
      </c>
      <c r="F136">
        <v>1</v>
      </c>
      <c r="G136">
        <v>43</v>
      </c>
      <c r="H136">
        <v>0</v>
      </c>
      <c r="I136">
        <v>0</v>
      </c>
      <c r="J136">
        <v>0</v>
      </c>
      <c r="K136">
        <v>5</v>
      </c>
      <c r="L136">
        <v>0</v>
      </c>
      <c r="M136">
        <f>region_summary__54[[#This Row],[REJECTED BY Admin Kabupaten]]+region_summary__54[[#This Row],[REJECTED BY Pengawas]]</f>
        <v>0</v>
      </c>
    </row>
    <row r="137" spans="1:13" x14ac:dyDescent="0.25">
      <c r="A137" t="s">
        <v>55</v>
      </c>
      <c r="B137">
        <v>7172012002001200</v>
      </c>
      <c r="C137">
        <v>62</v>
      </c>
      <c r="D137">
        <v>7</v>
      </c>
      <c r="E137">
        <v>1</v>
      </c>
      <c r="F137">
        <v>0</v>
      </c>
      <c r="G137">
        <v>38</v>
      </c>
      <c r="H137">
        <v>0</v>
      </c>
      <c r="I137">
        <v>0</v>
      </c>
      <c r="J137">
        <v>1</v>
      </c>
      <c r="K137">
        <v>15</v>
      </c>
      <c r="L137">
        <v>0</v>
      </c>
      <c r="M137">
        <f>region_summary__54[[#This Row],[REJECTED BY Admin Kabupaten]]+region_summary__54[[#This Row],[REJECTED BY Pengawas]]</f>
        <v>0</v>
      </c>
    </row>
    <row r="138" spans="1:13" x14ac:dyDescent="0.25">
      <c r="A138" t="s">
        <v>58</v>
      </c>
      <c r="B138">
        <v>7172012003000400</v>
      </c>
      <c r="C138">
        <v>141</v>
      </c>
      <c r="D138">
        <v>116</v>
      </c>
      <c r="E138">
        <v>5</v>
      </c>
      <c r="F138">
        <v>2</v>
      </c>
      <c r="G138">
        <v>16</v>
      </c>
      <c r="H138">
        <v>0</v>
      </c>
      <c r="I138">
        <v>0</v>
      </c>
      <c r="J138">
        <v>0</v>
      </c>
      <c r="K138">
        <v>2</v>
      </c>
      <c r="L138">
        <v>0</v>
      </c>
      <c r="M138">
        <f>region_summary__54[[#This Row],[REJECTED BY Admin Kabupaten]]+region_summary__54[[#This Row],[REJECTED BY Pengawas]]</f>
        <v>0</v>
      </c>
    </row>
    <row r="139" spans="1:13" x14ac:dyDescent="0.25">
      <c r="A139" t="s">
        <v>58</v>
      </c>
      <c r="B139">
        <v>7172012004000300</v>
      </c>
      <c r="C139">
        <v>109</v>
      </c>
      <c r="D139">
        <v>0</v>
      </c>
      <c r="E139">
        <v>7</v>
      </c>
      <c r="F139">
        <v>0</v>
      </c>
      <c r="G139">
        <v>102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f>region_summary__54[[#This Row],[REJECTED BY Admin Kabupaten]]+region_summary__54[[#This Row],[REJECTED BY Pengawas]]</f>
        <v>0</v>
      </c>
    </row>
    <row r="140" spans="1:13" x14ac:dyDescent="0.25">
      <c r="A140" t="s">
        <v>58</v>
      </c>
      <c r="B140">
        <v>7172012004000100</v>
      </c>
      <c r="C140">
        <v>100</v>
      </c>
      <c r="D140">
        <v>0</v>
      </c>
      <c r="E140">
        <v>0</v>
      </c>
      <c r="F140">
        <v>0</v>
      </c>
      <c r="G140">
        <v>100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f>region_summary__54[[#This Row],[REJECTED BY Admin Kabupaten]]+region_summary__54[[#This Row],[REJECTED BY Pengawas]]</f>
        <v>0</v>
      </c>
    </row>
    <row r="141" spans="1:13" x14ac:dyDescent="0.25">
      <c r="A141" t="s">
        <v>58</v>
      </c>
      <c r="B141">
        <v>7172012003000700</v>
      </c>
      <c r="C141">
        <v>74</v>
      </c>
      <c r="D141">
        <v>57</v>
      </c>
      <c r="E141">
        <v>6</v>
      </c>
      <c r="F141">
        <v>1</v>
      </c>
      <c r="G141">
        <v>8</v>
      </c>
      <c r="H141">
        <v>0</v>
      </c>
      <c r="I141">
        <v>0</v>
      </c>
      <c r="J141">
        <v>0</v>
      </c>
      <c r="K141">
        <v>2</v>
      </c>
      <c r="L141">
        <v>0</v>
      </c>
      <c r="M141">
        <f>region_summary__54[[#This Row],[REJECTED BY Admin Kabupaten]]+region_summary__54[[#This Row],[REJECTED BY Pengawas]]</f>
        <v>0</v>
      </c>
    </row>
    <row r="142" spans="1:13" x14ac:dyDescent="0.25">
      <c r="A142" t="s">
        <v>58</v>
      </c>
      <c r="B142">
        <v>7172012003000300</v>
      </c>
      <c r="C142">
        <v>73</v>
      </c>
      <c r="D142">
        <v>71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f>region_summary__54[[#This Row],[REJECTED BY Admin Kabupaten]]+region_summary__54[[#This Row],[REJECTED BY Pengawas]]</f>
        <v>0</v>
      </c>
    </row>
    <row r="143" spans="1:13" x14ac:dyDescent="0.25">
      <c r="A143" t="s">
        <v>58</v>
      </c>
      <c r="B143">
        <v>7172012003000200</v>
      </c>
      <c r="C143">
        <v>66</v>
      </c>
      <c r="D143">
        <v>61</v>
      </c>
      <c r="E143">
        <v>2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f>region_summary__54[[#This Row],[REJECTED BY Admin Kabupaten]]+region_summary__54[[#This Row],[REJECTED BY Pengawas]]</f>
        <v>0</v>
      </c>
    </row>
    <row r="144" spans="1:13" x14ac:dyDescent="0.25">
      <c r="A144" t="s">
        <v>58</v>
      </c>
      <c r="B144">
        <v>7172012004000200</v>
      </c>
      <c r="C144">
        <v>65</v>
      </c>
      <c r="D144">
        <v>0</v>
      </c>
      <c r="E144">
        <v>0</v>
      </c>
      <c r="F144">
        <v>0</v>
      </c>
      <c r="G144">
        <v>65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f>region_summary__54[[#This Row],[REJECTED BY Admin Kabupaten]]+region_summary__54[[#This Row],[REJECTED BY Pengawas]]</f>
        <v>0</v>
      </c>
    </row>
    <row r="145" spans="1:13" x14ac:dyDescent="0.25">
      <c r="A145" t="s">
        <v>40</v>
      </c>
      <c r="B145">
        <v>7172011004001200</v>
      </c>
      <c r="C145">
        <v>192</v>
      </c>
      <c r="D145">
        <v>68</v>
      </c>
      <c r="E145">
        <v>63</v>
      </c>
      <c r="F145">
        <v>0</v>
      </c>
      <c r="G145">
        <v>7</v>
      </c>
      <c r="H145">
        <v>0</v>
      </c>
      <c r="I145">
        <v>1</v>
      </c>
      <c r="J145">
        <v>0</v>
      </c>
      <c r="K145">
        <v>53</v>
      </c>
      <c r="L145">
        <v>0</v>
      </c>
      <c r="M145">
        <f>region_summary__54[[#This Row],[REJECTED BY Admin Kabupaten]]+region_summary__54[[#This Row],[REJECTED BY Pengawas]]</f>
        <v>1</v>
      </c>
    </row>
    <row r="146" spans="1:13" x14ac:dyDescent="0.25">
      <c r="A146" t="s">
        <v>40</v>
      </c>
      <c r="B146">
        <v>7172011004000900</v>
      </c>
      <c r="C146">
        <v>150</v>
      </c>
      <c r="D146">
        <v>0</v>
      </c>
      <c r="E146">
        <v>4</v>
      </c>
      <c r="F146">
        <v>0</v>
      </c>
      <c r="G146">
        <v>92</v>
      </c>
      <c r="H146">
        <v>0</v>
      </c>
      <c r="I146">
        <v>21</v>
      </c>
      <c r="J146">
        <v>0</v>
      </c>
      <c r="K146">
        <v>33</v>
      </c>
      <c r="L146">
        <v>0</v>
      </c>
      <c r="M146">
        <f>region_summary__54[[#This Row],[REJECTED BY Admin Kabupaten]]+region_summary__54[[#This Row],[REJECTED BY Pengawas]]</f>
        <v>21</v>
      </c>
    </row>
    <row r="147" spans="1:13" x14ac:dyDescent="0.25">
      <c r="A147" t="s">
        <v>40</v>
      </c>
      <c r="B147">
        <v>7172011004000700</v>
      </c>
      <c r="C147">
        <v>141</v>
      </c>
      <c r="D147">
        <v>130</v>
      </c>
      <c r="E147">
        <v>2</v>
      </c>
      <c r="F147">
        <v>5</v>
      </c>
      <c r="G147">
        <v>1</v>
      </c>
      <c r="H147">
        <v>0</v>
      </c>
      <c r="I147">
        <v>0</v>
      </c>
      <c r="J147">
        <v>1</v>
      </c>
      <c r="K147">
        <v>2</v>
      </c>
      <c r="L147">
        <v>0</v>
      </c>
      <c r="M147">
        <f>region_summary__54[[#This Row],[REJECTED BY Admin Kabupaten]]+region_summary__54[[#This Row],[REJECTED BY Pengawas]]</f>
        <v>0</v>
      </c>
    </row>
    <row r="148" spans="1:13" x14ac:dyDescent="0.25">
      <c r="A148" t="s">
        <v>40</v>
      </c>
      <c r="B148">
        <v>7172011004001000</v>
      </c>
      <c r="C148">
        <v>100</v>
      </c>
      <c r="D148">
        <v>0</v>
      </c>
      <c r="E148">
        <v>0</v>
      </c>
      <c r="F148">
        <v>0</v>
      </c>
      <c r="G148">
        <v>52</v>
      </c>
      <c r="H148">
        <v>0</v>
      </c>
      <c r="I148">
        <v>21</v>
      </c>
      <c r="J148">
        <v>0</v>
      </c>
      <c r="K148">
        <v>27</v>
      </c>
      <c r="L148">
        <v>0</v>
      </c>
      <c r="M148">
        <f>region_summary__54[[#This Row],[REJECTED BY Admin Kabupaten]]+region_summary__54[[#This Row],[REJECTED BY Pengawas]]</f>
        <v>21</v>
      </c>
    </row>
    <row r="149" spans="1:13" x14ac:dyDescent="0.25">
      <c r="A149" t="s">
        <v>40</v>
      </c>
      <c r="B149">
        <v>7172011004001100</v>
      </c>
      <c r="C149">
        <v>59</v>
      </c>
      <c r="D149">
        <v>0</v>
      </c>
      <c r="E149">
        <v>0</v>
      </c>
      <c r="F149">
        <v>0</v>
      </c>
      <c r="G149">
        <v>52</v>
      </c>
      <c r="H149">
        <v>0</v>
      </c>
      <c r="I149">
        <v>0</v>
      </c>
      <c r="J149">
        <v>0</v>
      </c>
      <c r="K149">
        <v>7</v>
      </c>
      <c r="L149">
        <v>0</v>
      </c>
      <c r="M149">
        <f>region_summary__54[[#This Row],[REJECTED BY Admin Kabupaten]]+region_summary__54[[#This Row],[REJECTED BY Pengawas]]</f>
        <v>0</v>
      </c>
    </row>
    <row r="150" spans="1:13" x14ac:dyDescent="0.25">
      <c r="A150" t="s">
        <v>43</v>
      </c>
      <c r="B150">
        <v>7172011011001600</v>
      </c>
      <c r="C150">
        <v>262</v>
      </c>
      <c r="D150">
        <v>91</v>
      </c>
      <c r="E150">
        <v>25</v>
      </c>
      <c r="F150">
        <v>0</v>
      </c>
      <c r="G150">
        <v>123</v>
      </c>
      <c r="H150">
        <v>0</v>
      </c>
      <c r="I150">
        <v>0</v>
      </c>
      <c r="J150">
        <v>0</v>
      </c>
      <c r="K150">
        <v>23</v>
      </c>
      <c r="L150">
        <v>0</v>
      </c>
      <c r="M150">
        <f>region_summary__54[[#This Row],[REJECTED BY Admin Kabupaten]]+region_summary__54[[#This Row],[REJECTED BY Pengawas]]</f>
        <v>0</v>
      </c>
    </row>
    <row r="151" spans="1:13" x14ac:dyDescent="0.25">
      <c r="A151" t="s">
        <v>43</v>
      </c>
      <c r="B151">
        <v>7172011011001500</v>
      </c>
      <c r="C151">
        <v>91</v>
      </c>
      <c r="D151">
        <v>3</v>
      </c>
      <c r="E151">
        <v>2</v>
      </c>
      <c r="F151">
        <v>0</v>
      </c>
      <c r="G151">
        <v>86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f>region_summary__54[[#This Row],[REJECTED BY Admin Kabupaten]]+region_summary__54[[#This Row],[REJECTED BY Pengawas]]</f>
        <v>0</v>
      </c>
    </row>
    <row r="152" spans="1:13" x14ac:dyDescent="0.25">
      <c r="A152" t="s">
        <v>43</v>
      </c>
      <c r="B152">
        <v>7172011011000600</v>
      </c>
      <c r="C152">
        <v>70</v>
      </c>
      <c r="D152">
        <v>57</v>
      </c>
      <c r="E152">
        <v>0</v>
      </c>
      <c r="F152">
        <v>0</v>
      </c>
      <c r="G152">
        <v>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f>region_summary__54[[#This Row],[REJECTED BY Admin Kabupaten]]+region_summary__54[[#This Row],[REJECTED BY Pengawas]]</f>
        <v>0</v>
      </c>
    </row>
    <row r="153" spans="1:13" x14ac:dyDescent="0.25">
      <c r="A153" t="s">
        <v>43</v>
      </c>
      <c r="B153">
        <v>7172011011000900</v>
      </c>
      <c r="C153">
        <v>64</v>
      </c>
      <c r="D153">
        <v>51</v>
      </c>
      <c r="E153">
        <v>2</v>
      </c>
      <c r="F153">
        <v>0</v>
      </c>
      <c r="G153">
        <v>10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f>region_summary__54[[#This Row],[REJECTED BY Admin Kabupaten]]+region_summary__54[[#This Row],[REJECTED BY Pengawas]]</f>
        <v>1</v>
      </c>
    </row>
    <row r="154" spans="1:13" x14ac:dyDescent="0.25">
      <c r="A154" t="s">
        <v>43</v>
      </c>
      <c r="B154">
        <v>7172011011000800</v>
      </c>
      <c r="C154">
        <v>60</v>
      </c>
      <c r="D154">
        <v>40</v>
      </c>
      <c r="E154">
        <v>0</v>
      </c>
      <c r="F154">
        <v>0</v>
      </c>
      <c r="G154">
        <v>20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f>region_summary__54[[#This Row],[REJECTED BY Admin Kabupaten]]+region_summary__54[[#This Row],[REJECTED BY Pengawas]]</f>
        <v>0</v>
      </c>
    </row>
    <row r="155" spans="1:13" x14ac:dyDescent="0.25">
      <c r="A155" t="s">
        <v>43</v>
      </c>
      <c r="B155">
        <v>7172011011001400</v>
      </c>
      <c r="C155">
        <v>55</v>
      </c>
      <c r="D155">
        <v>22</v>
      </c>
      <c r="E155">
        <v>1</v>
      </c>
      <c r="F155">
        <v>0</v>
      </c>
      <c r="G155">
        <v>32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f>region_summary__54[[#This Row],[REJECTED BY Admin Kabupaten]]+region_summary__54[[#This Row],[REJECTED BY Pengawas]]</f>
        <v>0</v>
      </c>
    </row>
    <row r="156" spans="1:13" x14ac:dyDescent="0.25">
      <c r="A156" t="s">
        <v>43</v>
      </c>
      <c r="B156">
        <v>7172011011001100</v>
      </c>
      <c r="C156">
        <v>53</v>
      </c>
      <c r="D156">
        <v>19</v>
      </c>
      <c r="E156">
        <v>4</v>
      </c>
      <c r="F156">
        <v>0</v>
      </c>
      <c r="G156">
        <v>30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>region_summary__54[[#This Row],[REJECTED BY Admin Kabupaten]]+region_summary__54[[#This Row],[REJECTED BY Pengawas]]</f>
        <v>0</v>
      </c>
    </row>
    <row r="157" spans="1:13" x14ac:dyDescent="0.25">
      <c r="A157" t="s">
        <v>43</v>
      </c>
      <c r="B157">
        <v>7172011011001300</v>
      </c>
      <c r="C157">
        <v>48</v>
      </c>
      <c r="D157">
        <v>9</v>
      </c>
      <c r="E157">
        <v>1</v>
      </c>
      <c r="F157">
        <v>0</v>
      </c>
      <c r="G157">
        <v>38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f>region_summary__54[[#This Row],[REJECTED BY Admin Kabupaten]]+region_summary__54[[#This Row],[REJECTED BY Pengawas]]</f>
        <v>0</v>
      </c>
    </row>
    <row r="158" spans="1:13" x14ac:dyDescent="0.25">
      <c r="A158" t="s">
        <v>43</v>
      </c>
      <c r="B158">
        <v>7172011011001200</v>
      </c>
      <c r="C158">
        <v>43</v>
      </c>
      <c r="D158">
        <v>15</v>
      </c>
      <c r="E158">
        <v>0</v>
      </c>
      <c r="F158">
        <v>0</v>
      </c>
      <c r="G158">
        <v>28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f>region_summary__54[[#This Row],[REJECTED BY Admin Kabupaten]]+region_summary__54[[#This Row],[REJECTED BY Pengawas]]</f>
        <v>0</v>
      </c>
    </row>
    <row r="159" spans="1:13" x14ac:dyDescent="0.25">
      <c r="A159" t="s">
        <v>43</v>
      </c>
      <c r="B159">
        <v>7172011011001000</v>
      </c>
      <c r="C159">
        <v>37</v>
      </c>
      <c r="D159">
        <v>20</v>
      </c>
      <c r="E159">
        <v>0</v>
      </c>
      <c r="F159">
        <v>0</v>
      </c>
      <c r="G159">
        <v>17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>region_summary__54[[#This Row],[REJECTED BY Admin Kabupaten]]+region_summary__54[[#This Row],[REJECTED BY Pengawas]]</f>
        <v>0</v>
      </c>
    </row>
    <row r="160" spans="1:13" x14ac:dyDescent="0.25">
      <c r="A160" t="s">
        <v>43</v>
      </c>
      <c r="B160">
        <v>7172011011000700</v>
      </c>
      <c r="C160">
        <v>29</v>
      </c>
      <c r="D160">
        <v>22</v>
      </c>
      <c r="E160">
        <v>2</v>
      </c>
      <c r="F160">
        <v>1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f>region_summary__54[[#This Row],[REJECTED BY Admin Kabupaten]]+region_summary__54[[#This Row],[REJECTED BY Pengawas]]</f>
        <v>0</v>
      </c>
    </row>
    <row r="161" spans="1:13" x14ac:dyDescent="0.25">
      <c r="A161" t="s">
        <v>43</v>
      </c>
      <c r="B161">
        <v>7172011011100200</v>
      </c>
      <c r="C161">
        <v>2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>region_summary__54[[#This Row],[REJECTED BY Admin Kabupaten]]+region_summary__54[[#This Row],[REJECTED BY Pengawas]]</f>
        <v>0</v>
      </c>
    </row>
    <row r="162" spans="1:13" x14ac:dyDescent="0.25">
      <c r="A162" t="s">
        <v>43</v>
      </c>
      <c r="B162">
        <v>7172011011200100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>region_summary__54[[#This Row],[REJECTED BY Admin Kabupaten]]+region_summary__54[[#This Row],[REJECTED BY Pengawas]]</f>
        <v>0</v>
      </c>
    </row>
    <row r="163" spans="1:13" x14ac:dyDescent="0.25">
      <c r="A163" t="s">
        <v>34</v>
      </c>
      <c r="B163">
        <v>7172011003000900</v>
      </c>
      <c r="C163">
        <v>161</v>
      </c>
      <c r="D163">
        <v>20</v>
      </c>
      <c r="E163">
        <v>7</v>
      </c>
      <c r="F163">
        <v>0</v>
      </c>
      <c r="G163">
        <v>111</v>
      </c>
      <c r="H163">
        <v>0</v>
      </c>
      <c r="I163">
        <v>1</v>
      </c>
      <c r="J163">
        <v>0</v>
      </c>
      <c r="K163">
        <v>22</v>
      </c>
      <c r="L163">
        <v>0</v>
      </c>
      <c r="M163">
        <f>region_summary__54[[#This Row],[REJECTED BY Admin Kabupaten]]+region_summary__54[[#This Row],[REJECTED BY Pengawas]]</f>
        <v>1</v>
      </c>
    </row>
    <row r="164" spans="1:13" x14ac:dyDescent="0.25">
      <c r="A164" t="s">
        <v>34</v>
      </c>
      <c r="B164">
        <v>7172011003001200</v>
      </c>
      <c r="C164">
        <v>122</v>
      </c>
      <c r="D164">
        <v>64</v>
      </c>
      <c r="E164">
        <v>0</v>
      </c>
      <c r="F164">
        <v>1</v>
      </c>
      <c r="G164">
        <v>56</v>
      </c>
      <c r="H164">
        <v>0</v>
      </c>
      <c r="I164">
        <v>1</v>
      </c>
      <c r="J164">
        <v>0</v>
      </c>
      <c r="K164">
        <v>0</v>
      </c>
      <c r="L164">
        <v>0</v>
      </c>
      <c r="M164">
        <f>region_summary__54[[#This Row],[REJECTED BY Admin Kabupaten]]+region_summary__54[[#This Row],[REJECTED BY Pengawas]]</f>
        <v>1</v>
      </c>
    </row>
    <row r="165" spans="1:13" x14ac:dyDescent="0.25">
      <c r="A165" t="s">
        <v>34</v>
      </c>
      <c r="B165">
        <v>7172011003001400</v>
      </c>
      <c r="C165">
        <v>121</v>
      </c>
      <c r="D165">
        <v>64</v>
      </c>
      <c r="E165">
        <v>4</v>
      </c>
      <c r="F165">
        <v>2</v>
      </c>
      <c r="G165">
        <v>51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>region_summary__54[[#This Row],[REJECTED BY Admin Kabupaten]]+region_summary__54[[#This Row],[REJECTED BY Pengawas]]</f>
        <v>0</v>
      </c>
    </row>
    <row r="166" spans="1:13" x14ac:dyDescent="0.25">
      <c r="A166" t="s">
        <v>34</v>
      </c>
      <c r="B166">
        <v>7172011003001600</v>
      </c>
      <c r="C166">
        <v>121</v>
      </c>
      <c r="D166">
        <v>104</v>
      </c>
      <c r="E166">
        <v>1</v>
      </c>
      <c r="F166">
        <v>2</v>
      </c>
      <c r="G166">
        <v>13</v>
      </c>
      <c r="H166">
        <v>0</v>
      </c>
      <c r="I166">
        <v>0</v>
      </c>
      <c r="J166">
        <v>1</v>
      </c>
      <c r="K166">
        <v>0</v>
      </c>
      <c r="L166">
        <v>0</v>
      </c>
      <c r="M166">
        <f>region_summary__54[[#This Row],[REJECTED BY Admin Kabupaten]]+region_summary__54[[#This Row],[REJECTED BY Pengawas]]</f>
        <v>0</v>
      </c>
    </row>
    <row r="167" spans="1:13" x14ac:dyDescent="0.25">
      <c r="A167" t="s">
        <v>34</v>
      </c>
      <c r="B167">
        <v>7172011003001500</v>
      </c>
      <c r="C167">
        <v>113</v>
      </c>
      <c r="D167">
        <v>88</v>
      </c>
      <c r="E167">
        <v>8</v>
      </c>
      <c r="F167">
        <v>5</v>
      </c>
      <c r="G167">
        <v>11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f>region_summary__54[[#This Row],[REJECTED BY Admin Kabupaten]]+region_summary__54[[#This Row],[REJECTED BY Pengawas]]</f>
        <v>1</v>
      </c>
    </row>
    <row r="168" spans="1:13" x14ac:dyDescent="0.25">
      <c r="A168" t="s">
        <v>34</v>
      </c>
      <c r="B168">
        <v>7172011014000800</v>
      </c>
      <c r="C168">
        <v>68</v>
      </c>
      <c r="D168">
        <v>0</v>
      </c>
      <c r="E168">
        <v>1</v>
      </c>
      <c r="F168">
        <v>0</v>
      </c>
      <c r="G168">
        <v>67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>region_summary__54[[#This Row],[REJECTED BY Admin Kabupaten]]+region_summary__54[[#This Row],[REJECTED BY Pengawas]]</f>
        <v>0</v>
      </c>
    </row>
    <row r="169" spans="1:13" x14ac:dyDescent="0.25">
      <c r="A169" t="s">
        <v>47</v>
      </c>
      <c r="B169">
        <v>7172011014000300</v>
      </c>
      <c r="C169">
        <v>200</v>
      </c>
      <c r="D169">
        <v>28</v>
      </c>
      <c r="E169">
        <v>14</v>
      </c>
      <c r="F169">
        <v>0</v>
      </c>
      <c r="G169">
        <v>72</v>
      </c>
      <c r="H169">
        <v>0</v>
      </c>
      <c r="I169">
        <v>0</v>
      </c>
      <c r="J169">
        <v>0</v>
      </c>
      <c r="K169">
        <v>85</v>
      </c>
      <c r="L169">
        <v>1</v>
      </c>
      <c r="M169">
        <f>region_summary__54[[#This Row],[REJECTED BY Admin Kabupaten]]+region_summary__54[[#This Row],[REJECTED BY Pengawas]]</f>
        <v>0</v>
      </c>
    </row>
    <row r="170" spans="1:13" x14ac:dyDescent="0.25">
      <c r="A170" t="s">
        <v>47</v>
      </c>
      <c r="B170">
        <v>7172011014000600</v>
      </c>
      <c r="C170">
        <v>189</v>
      </c>
      <c r="D170">
        <v>120</v>
      </c>
      <c r="E170">
        <v>0</v>
      </c>
      <c r="F170">
        <v>0</v>
      </c>
      <c r="G170">
        <v>2</v>
      </c>
      <c r="H170">
        <v>0</v>
      </c>
      <c r="I170">
        <v>16</v>
      </c>
      <c r="J170">
        <v>0</v>
      </c>
      <c r="K170">
        <v>51</v>
      </c>
      <c r="L170">
        <v>0</v>
      </c>
      <c r="M170">
        <f>region_summary__54[[#This Row],[REJECTED BY Admin Kabupaten]]+region_summary__54[[#This Row],[REJECTED BY Pengawas]]</f>
        <v>16</v>
      </c>
    </row>
    <row r="171" spans="1:13" x14ac:dyDescent="0.25">
      <c r="A171" t="s">
        <v>47</v>
      </c>
      <c r="B171">
        <v>7172011014000200</v>
      </c>
      <c r="C171">
        <v>148</v>
      </c>
      <c r="D171">
        <v>129</v>
      </c>
      <c r="E171">
        <v>5</v>
      </c>
      <c r="F171">
        <v>0</v>
      </c>
      <c r="G171">
        <v>13</v>
      </c>
      <c r="H171">
        <v>0</v>
      </c>
      <c r="I171">
        <v>0</v>
      </c>
      <c r="J171">
        <v>0</v>
      </c>
      <c r="K171">
        <v>1</v>
      </c>
      <c r="L171">
        <v>0</v>
      </c>
      <c r="M171">
        <f>region_summary__54[[#This Row],[REJECTED BY Admin Kabupaten]]+region_summary__54[[#This Row],[REJECTED BY Pengawas]]</f>
        <v>0</v>
      </c>
    </row>
    <row r="172" spans="1:13" x14ac:dyDescent="0.25">
      <c r="A172" t="s">
        <v>47</v>
      </c>
      <c r="B172">
        <v>7172011014000100</v>
      </c>
      <c r="C172">
        <v>109</v>
      </c>
      <c r="D172">
        <v>0</v>
      </c>
      <c r="E172">
        <v>0</v>
      </c>
      <c r="F172">
        <v>0</v>
      </c>
      <c r="G172">
        <v>95</v>
      </c>
      <c r="H172">
        <v>0</v>
      </c>
      <c r="I172">
        <v>0</v>
      </c>
      <c r="J172">
        <v>0</v>
      </c>
      <c r="K172">
        <v>14</v>
      </c>
      <c r="L172">
        <v>0</v>
      </c>
      <c r="M172">
        <f>region_summary__54[[#This Row],[REJECTED BY Admin Kabupaten]]+region_summary__54[[#This Row],[REJECTED BY Pengawas]]</f>
        <v>0</v>
      </c>
    </row>
    <row r="173" spans="1:13" x14ac:dyDescent="0.25">
      <c r="A173" t="s">
        <v>47</v>
      </c>
      <c r="B173">
        <v>7172011014000400</v>
      </c>
      <c r="C173">
        <v>86</v>
      </c>
      <c r="D173">
        <v>0</v>
      </c>
      <c r="E173">
        <v>2</v>
      </c>
      <c r="F173">
        <v>0</v>
      </c>
      <c r="G173">
        <v>53</v>
      </c>
      <c r="H173">
        <v>0</v>
      </c>
      <c r="I173">
        <v>0</v>
      </c>
      <c r="J173">
        <v>0</v>
      </c>
      <c r="K173">
        <v>31</v>
      </c>
      <c r="L173">
        <v>0</v>
      </c>
      <c r="M173">
        <f>region_summary__54[[#This Row],[REJECTED BY Admin Kabupaten]]+region_summary__54[[#This Row],[REJECTED BY Pengawas]]</f>
        <v>0</v>
      </c>
    </row>
    <row r="174" spans="1:13" x14ac:dyDescent="0.25">
      <c r="A174" t="s">
        <v>53</v>
      </c>
      <c r="B174">
        <v>7172012002000200</v>
      </c>
      <c r="C174">
        <v>186</v>
      </c>
      <c r="D174">
        <v>176</v>
      </c>
      <c r="E174">
        <v>4</v>
      </c>
      <c r="F174">
        <v>1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f>region_summary__54[[#This Row],[REJECTED BY Admin Kabupaten]]+region_summary__54[[#This Row],[REJECTED BY Pengawas]]</f>
        <v>0</v>
      </c>
    </row>
    <row r="175" spans="1:13" x14ac:dyDescent="0.25">
      <c r="A175" t="s">
        <v>53</v>
      </c>
      <c r="B175">
        <v>7172012002000900</v>
      </c>
      <c r="C175">
        <v>144</v>
      </c>
      <c r="D175">
        <v>94</v>
      </c>
      <c r="E175">
        <v>12</v>
      </c>
      <c r="F175">
        <v>1</v>
      </c>
      <c r="G175">
        <v>19</v>
      </c>
      <c r="H175">
        <v>0</v>
      </c>
      <c r="I175">
        <v>0</v>
      </c>
      <c r="J175">
        <v>0</v>
      </c>
      <c r="K175">
        <v>18</v>
      </c>
      <c r="L175">
        <v>0</v>
      </c>
      <c r="M175">
        <f>region_summary__54[[#This Row],[REJECTED BY Admin Kabupaten]]+region_summary__54[[#This Row],[REJECTED BY Pengawas]]</f>
        <v>0</v>
      </c>
    </row>
    <row r="176" spans="1:13" x14ac:dyDescent="0.25">
      <c r="A176" t="s">
        <v>53</v>
      </c>
      <c r="B176">
        <v>7172012002001600</v>
      </c>
      <c r="C176">
        <v>117</v>
      </c>
      <c r="D176">
        <v>42</v>
      </c>
      <c r="E176">
        <v>0</v>
      </c>
      <c r="F176">
        <v>0</v>
      </c>
      <c r="G176">
        <v>24</v>
      </c>
      <c r="H176">
        <v>0</v>
      </c>
      <c r="I176">
        <v>1</v>
      </c>
      <c r="J176">
        <v>0</v>
      </c>
      <c r="K176">
        <v>50</v>
      </c>
      <c r="L176">
        <v>0</v>
      </c>
      <c r="M176">
        <f>region_summary__54[[#This Row],[REJECTED BY Admin Kabupaten]]+region_summary__54[[#This Row],[REJECTED BY Pengawas]]</f>
        <v>1</v>
      </c>
    </row>
    <row r="177" spans="1:13" x14ac:dyDescent="0.25">
      <c r="A177" t="s">
        <v>53</v>
      </c>
      <c r="B177">
        <v>7172012002001000</v>
      </c>
      <c r="C177">
        <v>111</v>
      </c>
      <c r="D177">
        <v>0</v>
      </c>
      <c r="E177">
        <v>1</v>
      </c>
      <c r="F177">
        <v>0</v>
      </c>
      <c r="G177">
        <v>110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f>region_summary__54[[#This Row],[REJECTED BY Admin Kabupaten]]+region_summary__54[[#This Row],[REJECTED BY Pengawas]]</f>
        <v>0</v>
      </c>
    </row>
    <row r="178" spans="1:13" x14ac:dyDescent="0.25">
      <c r="A178" t="s">
        <v>53</v>
      </c>
      <c r="B178">
        <v>7172012002001100</v>
      </c>
      <c r="C178">
        <v>80</v>
      </c>
      <c r="D178">
        <v>0</v>
      </c>
      <c r="E178">
        <v>0</v>
      </c>
      <c r="F178">
        <v>0</v>
      </c>
      <c r="G178">
        <v>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f>region_summary__54[[#This Row],[REJECTED BY Admin Kabupaten]]+region_summary__54[[#This Row],[REJECTED BY Pengawas]]</f>
        <v>0</v>
      </c>
    </row>
    <row r="179" spans="1:13" x14ac:dyDescent="0.25">
      <c r="A179" t="s">
        <v>48</v>
      </c>
      <c r="B179">
        <v>7172011014001200</v>
      </c>
      <c r="C179">
        <v>236</v>
      </c>
      <c r="D179">
        <v>188</v>
      </c>
      <c r="E179">
        <v>11</v>
      </c>
      <c r="F179">
        <v>5</v>
      </c>
      <c r="G179">
        <v>21</v>
      </c>
      <c r="H179">
        <v>0</v>
      </c>
      <c r="I179">
        <v>3</v>
      </c>
      <c r="J179">
        <v>3</v>
      </c>
      <c r="K179">
        <v>5</v>
      </c>
      <c r="L179">
        <v>0</v>
      </c>
      <c r="M179">
        <f>region_summary__54[[#This Row],[REJECTED BY Admin Kabupaten]]+region_summary__54[[#This Row],[REJECTED BY Pengawas]]</f>
        <v>3</v>
      </c>
    </row>
    <row r="180" spans="1:13" x14ac:dyDescent="0.25">
      <c r="A180" t="s">
        <v>48</v>
      </c>
      <c r="B180">
        <v>7172011014001100</v>
      </c>
      <c r="C180">
        <v>202</v>
      </c>
      <c r="D180">
        <v>136</v>
      </c>
      <c r="E180">
        <v>9</v>
      </c>
      <c r="F180">
        <v>3</v>
      </c>
      <c r="G180">
        <v>43</v>
      </c>
      <c r="H180">
        <v>0</v>
      </c>
      <c r="I180">
        <v>3</v>
      </c>
      <c r="J180">
        <v>0</v>
      </c>
      <c r="K180">
        <v>8</v>
      </c>
      <c r="L180">
        <v>0</v>
      </c>
      <c r="M180">
        <f>region_summary__54[[#This Row],[REJECTED BY Admin Kabupaten]]+region_summary__54[[#This Row],[REJECTED BY Pengawas]]</f>
        <v>3</v>
      </c>
    </row>
    <row r="181" spans="1:13" x14ac:dyDescent="0.25">
      <c r="A181" t="s">
        <v>48</v>
      </c>
      <c r="B181">
        <v>7172011014000700</v>
      </c>
      <c r="C181">
        <v>131</v>
      </c>
      <c r="D181">
        <v>15</v>
      </c>
      <c r="E181">
        <v>2</v>
      </c>
      <c r="F181">
        <v>1</v>
      </c>
      <c r="G181">
        <v>106</v>
      </c>
      <c r="H181">
        <v>0</v>
      </c>
      <c r="I181">
        <v>0</v>
      </c>
      <c r="J181">
        <v>0</v>
      </c>
      <c r="K181">
        <v>7</v>
      </c>
      <c r="L181">
        <v>0</v>
      </c>
      <c r="M181">
        <f>region_summary__54[[#This Row],[REJECTED BY Admin Kabupaten]]+region_summary__54[[#This Row],[REJECTED BY Pengawas]]</f>
        <v>0</v>
      </c>
    </row>
    <row r="182" spans="1:13" x14ac:dyDescent="0.25">
      <c r="A182" t="s">
        <v>48</v>
      </c>
      <c r="B182">
        <v>7172011014000900</v>
      </c>
      <c r="C182">
        <v>123</v>
      </c>
      <c r="D182">
        <v>13</v>
      </c>
      <c r="E182">
        <v>7</v>
      </c>
      <c r="F182">
        <v>0</v>
      </c>
      <c r="G182">
        <v>50</v>
      </c>
      <c r="H182">
        <v>0</v>
      </c>
      <c r="I182">
        <v>0</v>
      </c>
      <c r="J182">
        <v>0</v>
      </c>
      <c r="K182">
        <v>53</v>
      </c>
      <c r="L182">
        <v>0</v>
      </c>
      <c r="M182">
        <f>region_summary__54[[#This Row],[REJECTED BY Admin Kabupaten]]+region_summary__54[[#This Row],[REJECTED BY Pengawas]]</f>
        <v>0</v>
      </c>
    </row>
    <row r="183" spans="1:13" x14ac:dyDescent="0.25">
      <c r="A183" t="s">
        <v>48</v>
      </c>
      <c r="B183">
        <v>7172011014000500</v>
      </c>
      <c r="C183">
        <v>111</v>
      </c>
      <c r="D183">
        <v>37</v>
      </c>
      <c r="E183">
        <v>5</v>
      </c>
      <c r="F183">
        <v>0</v>
      </c>
      <c r="G183">
        <v>23</v>
      </c>
      <c r="H183">
        <v>0</v>
      </c>
      <c r="I183">
        <v>0</v>
      </c>
      <c r="J183">
        <v>0</v>
      </c>
      <c r="K183">
        <v>46</v>
      </c>
      <c r="L183">
        <v>0</v>
      </c>
      <c r="M183">
        <f>region_summary__54[[#This Row],[REJECTED BY Admin Kabupaten]]+region_summary__54[[#This Row],[REJECTED BY Pengawas]]</f>
        <v>0</v>
      </c>
    </row>
    <row r="184" spans="1:13" x14ac:dyDescent="0.25">
      <c r="A184" t="s">
        <v>48</v>
      </c>
      <c r="B184">
        <v>7172011014001000</v>
      </c>
      <c r="C184">
        <v>65</v>
      </c>
      <c r="D184">
        <v>8</v>
      </c>
      <c r="E184">
        <v>1</v>
      </c>
      <c r="F184">
        <v>0</v>
      </c>
      <c r="G184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f>region_summary__54[[#This Row],[REJECTED BY Admin Kabupaten]]+region_summary__54[[#This Row],[REJECTED BY Pengawas]]</f>
        <v>0</v>
      </c>
    </row>
    <row r="185" spans="1:13" x14ac:dyDescent="0.25">
      <c r="A185" t="s">
        <v>52</v>
      </c>
      <c r="B185">
        <v>7172012001000700</v>
      </c>
      <c r="C185">
        <v>301</v>
      </c>
      <c r="D185">
        <v>205</v>
      </c>
      <c r="E185">
        <v>6</v>
      </c>
      <c r="F185">
        <v>3</v>
      </c>
      <c r="G185">
        <v>83</v>
      </c>
      <c r="H185">
        <v>0</v>
      </c>
      <c r="I185">
        <v>2</v>
      </c>
      <c r="J185">
        <v>0</v>
      </c>
      <c r="K185">
        <v>2</v>
      </c>
      <c r="L185">
        <v>0</v>
      </c>
      <c r="M185">
        <f>region_summary__54[[#This Row],[REJECTED BY Admin Kabupaten]]+region_summary__54[[#This Row],[REJECTED BY Pengawas]]</f>
        <v>2</v>
      </c>
    </row>
    <row r="186" spans="1:13" x14ac:dyDescent="0.25">
      <c r="A186" t="s">
        <v>52</v>
      </c>
      <c r="B186">
        <v>7172012001000602</v>
      </c>
      <c r="C186">
        <v>268</v>
      </c>
      <c r="D186">
        <v>150</v>
      </c>
      <c r="E186">
        <v>2</v>
      </c>
      <c r="F186">
        <v>1</v>
      </c>
      <c r="G186">
        <v>112</v>
      </c>
      <c r="H186">
        <v>0</v>
      </c>
      <c r="I186">
        <v>0</v>
      </c>
      <c r="J186">
        <v>0</v>
      </c>
      <c r="K186">
        <v>3</v>
      </c>
      <c r="L186">
        <v>0</v>
      </c>
      <c r="M186">
        <f>region_summary__54[[#This Row],[REJECTED BY Admin Kabupaten]]+region_summary__54[[#This Row],[REJECTED BY Pengawas]]</f>
        <v>0</v>
      </c>
    </row>
    <row r="187" spans="1:13" x14ac:dyDescent="0.25">
      <c r="A187" t="s">
        <v>49</v>
      </c>
      <c r="B187">
        <v>7172012002000101</v>
      </c>
      <c r="C187">
        <v>166</v>
      </c>
      <c r="D187">
        <v>83</v>
      </c>
      <c r="E187">
        <v>7</v>
      </c>
      <c r="F187">
        <v>0</v>
      </c>
      <c r="G187">
        <v>31</v>
      </c>
      <c r="H187">
        <v>0</v>
      </c>
      <c r="I187">
        <v>32</v>
      </c>
      <c r="J187">
        <v>0</v>
      </c>
      <c r="K187">
        <v>13</v>
      </c>
      <c r="L187">
        <v>0</v>
      </c>
      <c r="M187">
        <f>region_summary__54[[#This Row],[REJECTED BY Admin Kabupaten]]+region_summary__54[[#This Row],[REJECTED BY Pengawas]]</f>
        <v>32</v>
      </c>
    </row>
    <row r="188" spans="1:13" x14ac:dyDescent="0.25">
      <c r="A188" t="s">
        <v>49</v>
      </c>
      <c r="B188">
        <v>7172012002000500</v>
      </c>
      <c r="C188">
        <v>134</v>
      </c>
      <c r="D188">
        <v>26</v>
      </c>
      <c r="E188">
        <v>0</v>
      </c>
      <c r="F188">
        <v>0</v>
      </c>
      <c r="G188">
        <v>102</v>
      </c>
      <c r="H188">
        <v>0</v>
      </c>
      <c r="I188">
        <v>6</v>
      </c>
      <c r="J188">
        <v>0</v>
      </c>
      <c r="K188">
        <v>0</v>
      </c>
      <c r="L188">
        <v>0</v>
      </c>
      <c r="M188">
        <f>region_summary__54[[#This Row],[REJECTED BY Admin Kabupaten]]+region_summary__54[[#This Row],[REJECTED BY Pengawas]]</f>
        <v>6</v>
      </c>
    </row>
    <row r="189" spans="1:13" x14ac:dyDescent="0.25">
      <c r="A189" t="s">
        <v>49</v>
      </c>
      <c r="B189">
        <v>7172012001000100</v>
      </c>
      <c r="C189">
        <v>125</v>
      </c>
      <c r="D189">
        <v>120</v>
      </c>
      <c r="E189">
        <v>0</v>
      </c>
      <c r="F189">
        <v>1</v>
      </c>
      <c r="G189">
        <v>0</v>
      </c>
      <c r="H189">
        <v>0</v>
      </c>
      <c r="I189">
        <v>4</v>
      </c>
      <c r="J189">
        <v>0</v>
      </c>
      <c r="K189">
        <v>0</v>
      </c>
      <c r="L189">
        <v>0</v>
      </c>
      <c r="M189">
        <f>region_summary__54[[#This Row],[REJECTED BY Admin Kabupaten]]+region_summary__54[[#This Row],[REJECTED BY Pengawas]]</f>
        <v>4</v>
      </c>
    </row>
    <row r="190" spans="1:13" x14ac:dyDescent="0.25">
      <c r="A190" t="s">
        <v>49</v>
      </c>
      <c r="B190">
        <v>7172012001001100</v>
      </c>
      <c r="C190">
        <v>94</v>
      </c>
      <c r="D190">
        <v>15</v>
      </c>
      <c r="E190">
        <v>5</v>
      </c>
      <c r="F190">
        <v>0</v>
      </c>
      <c r="G190">
        <v>74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f>region_summary__54[[#This Row],[REJECTED BY Admin Kabupaten]]+region_summary__54[[#This Row],[REJECTED BY Pengawas]]</f>
        <v>0</v>
      </c>
    </row>
    <row r="191" spans="1:13" x14ac:dyDescent="0.25">
      <c r="A191" t="s">
        <v>49</v>
      </c>
      <c r="B191">
        <v>7172012001001002</v>
      </c>
      <c r="C191">
        <v>81</v>
      </c>
      <c r="D191">
        <v>0</v>
      </c>
      <c r="E191">
        <v>0</v>
      </c>
      <c r="F191">
        <v>0</v>
      </c>
      <c r="G191">
        <v>81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>region_summary__54[[#This Row],[REJECTED BY Admin Kabupaten]]+region_summary__54[[#This Row],[REJECTED BY Pengawas]]</f>
        <v>0</v>
      </c>
    </row>
    <row r="192" spans="1:13" x14ac:dyDescent="0.25">
      <c r="A192" t="s">
        <v>49</v>
      </c>
      <c r="B192">
        <v>7172012002000102</v>
      </c>
      <c r="C192">
        <v>79</v>
      </c>
      <c r="D192">
        <v>4</v>
      </c>
      <c r="E192">
        <v>8</v>
      </c>
      <c r="F192">
        <v>0</v>
      </c>
      <c r="G192">
        <v>50</v>
      </c>
      <c r="H192">
        <v>0</v>
      </c>
      <c r="I192">
        <v>0</v>
      </c>
      <c r="J192">
        <v>0</v>
      </c>
      <c r="K192">
        <v>17</v>
      </c>
      <c r="L192">
        <v>0</v>
      </c>
      <c r="M192">
        <f>region_summary__54[[#This Row],[REJECTED BY Admin Kabupaten]]+region_summary__54[[#This Row],[REJECTED BY Pengawas]]</f>
        <v>0</v>
      </c>
    </row>
    <row r="193" spans="1:13" x14ac:dyDescent="0.25">
      <c r="A193" t="s">
        <v>57</v>
      </c>
      <c r="B193">
        <v>7172012003000800</v>
      </c>
      <c r="C193">
        <v>181</v>
      </c>
      <c r="D193">
        <v>120</v>
      </c>
      <c r="E193">
        <v>12</v>
      </c>
      <c r="F193">
        <v>0</v>
      </c>
      <c r="G193">
        <v>39</v>
      </c>
      <c r="H193">
        <v>0</v>
      </c>
      <c r="I193">
        <v>0</v>
      </c>
      <c r="J193">
        <v>0</v>
      </c>
      <c r="K193">
        <v>10</v>
      </c>
      <c r="L193">
        <v>0</v>
      </c>
      <c r="M193">
        <f>region_summary__54[[#This Row],[REJECTED BY Admin Kabupaten]]+region_summary__54[[#This Row],[REJECTED BY Pengawas]]</f>
        <v>0</v>
      </c>
    </row>
    <row r="194" spans="1:13" x14ac:dyDescent="0.25">
      <c r="A194" t="s">
        <v>57</v>
      </c>
      <c r="B194">
        <v>7172012003001100</v>
      </c>
      <c r="C194">
        <v>123</v>
      </c>
      <c r="D194">
        <v>113</v>
      </c>
      <c r="E194">
        <v>0</v>
      </c>
      <c r="F194">
        <v>1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f>region_summary__54[[#This Row],[REJECTED BY Admin Kabupaten]]+region_summary__54[[#This Row],[REJECTED BY Pengawas]]</f>
        <v>0</v>
      </c>
    </row>
    <row r="195" spans="1:13" x14ac:dyDescent="0.25">
      <c r="A195" t="s">
        <v>57</v>
      </c>
      <c r="B195">
        <v>7172012003000600</v>
      </c>
      <c r="C195">
        <v>90</v>
      </c>
      <c r="D195">
        <v>75</v>
      </c>
      <c r="E195">
        <v>1</v>
      </c>
      <c r="F195">
        <v>0</v>
      </c>
      <c r="G195">
        <v>13</v>
      </c>
      <c r="H195">
        <v>0</v>
      </c>
      <c r="I195">
        <v>0</v>
      </c>
      <c r="J195">
        <v>0</v>
      </c>
      <c r="K195">
        <v>1</v>
      </c>
      <c r="L195">
        <v>0</v>
      </c>
      <c r="M195">
        <f>region_summary__54[[#This Row],[REJECTED BY Admin Kabupaten]]+region_summary__54[[#This Row],[REJECTED BY Pengawas]]</f>
        <v>0</v>
      </c>
    </row>
    <row r="196" spans="1:13" x14ac:dyDescent="0.25">
      <c r="A196" t="s">
        <v>57</v>
      </c>
      <c r="B196">
        <v>7172012003001200</v>
      </c>
      <c r="C196">
        <v>84</v>
      </c>
      <c r="D196">
        <v>14</v>
      </c>
      <c r="E196">
        <v>1</v>
      </c>
      <c r="F196">
        <v>0</v>
      </c>
      <c r="G196">
        <v>69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f>region_summary__54[[#This Row],[REJECTED BY Admin Kabupaten]]+region_summary__54[[#This Row],[REJECTED BY Pengawas]]</f>
        <v>0</v>
      </c>
    </row>
    <row r="197" spans="1:13" x14ac:dyDescent="0.25">
      <c r="A197" t="s">
        <v>57</v>
      </c>
      <c r="B197">
        <v>7172012003001000</v>
      </c>
      <c r="C197">
        <v>64</v>
      </c>
      <c r="D197">
        <v>2</v>
      </c>
      <c r="E197">
        <v>0</v>
      </c>
      <c r="F197">
        <v>0</v>
      </c>
      <c r="G197">
        <v>62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f>region_summary__54[[#This Row],[REJECTED BY Admin Kabupaten]]+region_summary__54[[#This Row],[REJECTED BY Pengawas]]</f>
        <v>0</v>
      </c>
    </row>
    <row r="198" spans="1:13" x14ac:dyDescent="0.25">
      <c r="A198" t="s">
        <v>57</v>
      </c>
      <c r="B198">
        <v>7172012003000500</v>
      </c>
      <c r="C198">
        <v>62</v>
      </c>
      <c r="D198">
        <v>30</v>
      </c>
      <c r="E198">
        <v>1</v>
      </c>
      <c r="F198">
        <v>0</v>
      </c>
      <c r="G198">
        <v>31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f>region_summary__54[[#This Row],[REJECTED BY Admin Kabupaten]]+region_summary__54[[#This Row],[REJECTED BY Pengawas]]</f>
        <v>0</v>
      </c>
    </row>
    <row r="199" spans="1:13" x14ac:dyDescent="0.25">
      <c r="A199" t="s">
        <v>57</v>
      </c>
      <c r="B199">
        <v>7172012003000900</v>
      </c>
      <c r="C199">
        <v>60</v>
      </c>
      <c r="D199">
        <v>4</v>
      </c>
      <c r="E199">
        <v>0</v>
      </c>
      <c r="F199">
        <v>0</v>
      </c>
      <c r="G199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f>region_summary__54[[#This Row],[REJECTED BY Admin Kabupaten]]+region_summary__54[[#This Row],[REJECTED BY Pengawas]]</f>
        <v>0</v>
      </c>
    </row>
    <row r="200" spans="1:13" x14ac:dyDescent="0.25">
      <c r="A200" t="s">
        <v>57</v>
      </c>
      <c r="B200">
        <v>7172012003000100</v>
      </c>
      <c r="C200">
        <v>57</v>
      </c>
      <c r="D200">
        <v>54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f>region_summary__54[[#This Row],[REJECTED BY Admin Kabupaten]]+region_summary__54[[#This Row],[REJECTED BY Pengawas]]</f>
        <v>0</v>
      </c>
    </row>
    <row r="201" spans="1:13" x14ac:dyDescent="0.25">
      <c r="A201" t="s">
        <v>238</v>
      </c>
      <c r="B201">
        <v>7172012004000500</v>
      </c>
      <c r="C201">
        <v>170</v>
      </c>
      <c r="D201">
        <v>93</v>
      </c>
      <c r="E201">
        <v>0</v>
      </c>
      <c r="F201">
        <v>0</v>
      </c>
      <c r="G201">
        <v>14</v>
      </c>
      <c r="H201">
        <v>0</v>
      </c>
      <c r="I201">
        <v>0</v>
      </c>
      <c r="J201">
        <v>0</v>
      </c>
      <c r="K201">
        <v>63</v>
      </c>
      <c r="L201">
        <v>0</v>
      </c>
      <c r="M201">
        <f>region_summary__54[[#This Row],[REJECTED BY Admin Kabupaten]]+region_summary__54[[#This Row],[REJECTED BY Pengawas]]</f>
        <v>0</v>
      </c>
    </row>
    <row r="202" spans="1:13" x14ac:dyDescent="0.25">
      <c r="A202" t="s">
        <v>238</v>
      </c>
      <c r="B202">
        <v>7172012004000600</v>
      </c>
      <c r="C202">
        <v>166</v>
      </c>
      <c r="D202">
        <v>67</v>
      </c>
      <c r="E202">
        <v>0</v>
      </c>
      <c r="F202">
        <v>0</v>
      </c>
      <c r="G202">
        <v>16</v>
      </c>
      <c r="H202">
        <v>0</v>
      </c>
      <c r="I202">
        <v>0</v>
      </c>
      <c r="J202">
        <v>0</v>
      </c>
      <c r="K202">
        <v>83</v>
      </c>
      <c r="L202">
        <v>0</v>
      </c>
      <c r="M202">
        <f>region_summary__54[[#This Row],[REJECTED BY Admin Kabupaten]]+region_summary__54[[#This Row],[REJECTED BY Pengawas]]</f>
        <v>0</v>
      </c>
    </row>
    <row r="203" spans="1:13" x14ac:dyDescent="0.25">
      <c r="A203" t="s">
        <v>238</v>
      </c>
      <c r="B203">
        <v>7172012004000700</v>
      </c>
      <c r="C203">
        <v>118</v>
      </c>
      <c r="D203">
        <v>73</v>
      </c>
      <c r="E203">
        <v>1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27</v>
      </c>
      <c r="L203">
        <v>0</v>
      </c>
      <c r="M203">
        <f>region_summary__54[[#This Row],[REJECTED BY Admin Kabupaten]]+region_summary__54[[#This Row],[REJECTED BY Pengawas]]</f>
        <v>0</v>
      </c>
    </row>
    <row r="204" spans="1:13" x14ac:dyDescent="0.25">
      <c r="A204" t="s">
        <v>238</v>
      </c>
      <c r="B204">
        <v>7172012004000400</v>
      </c>
      <c r="C204">
        <v>95</v>
      </c>
      <c r="D204">
        <v>17</v>
      </c>
      <c r="E204">
        <v>5</v>
      </c>
      <c r="F204">
        <v>0</v>
      </c>
      <c r="G204">
        <v>50</v>
      </c>
      <c r="H204">
        <v>0</v>
      </c>
      <c r="I204">
        <v>0</v>
      </c>
      <c r="J204">
        <v>0</v>
      </c>
      <c r="K204">
        <v>23</v>
      </c>
      <c r="L204">
        <v>0</v>
      </c>
      <c r="M204">
        <f>region_summary__54[[#This Row],[REJECTED BY Admin Kabupaten]]+region_summary__54[[#This Row],[REJECTED BY Pengawas]]</f>
        <v>0</v>
      </c>
    </row>
    <row r="205" spans="1:13" x14ac:dyDescent="0.25">
      <c r="A205" t="s">
        <v>238</v>
      </c>
      <c r="B205">
        <v>7172012004001001</v>
      </c>
      <c r="C205">
        <v>92</v>
      </c>
      <c r="D205">
        <v>0</v>
      </c>
      <c r="E205">
        <v>2</v>
      </c>
      <c r="F205">
        <v>0</v>
      </c>
      <c r="G205">
        <v>90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f>region_summary__54[[#This Row],[REJECTED BY Admin Kabupaten]]+region_summary__54[[#This Row],[REJECTED BY Pengawas]]</f>
        <v>0</v>
      </c>
    </row>
    <row r="206" spans="1:13" x14ac:dyDescent="0.25">
      <c r="A206" t="s">
        <v>238</v>
      </c>
      <c r="B206">
        <v>7172012004000800</v>
      </c>
      <c r="C206">
        <v>78</v>
      </c>
      <c r="D206">
        <v>56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16</v>
      </c>
      <c r="L206">
        <v>0</v>
      </c>
      <c r="M206">
        <f>region_summary__54[[#This Row],[REJECTED BY Admin Kabupaten]]+region_summary__54[[#This Row],[REJECTED BY Pengawas]]</f>
        <v>0</v>
      </c>
    </row>
    <row r="207" spans="1:13" x14ac:dyDescent="0.25">
      <c r="A207" t="s">
        <v>61</v>
      </c>
      <c r="B207">
        <v>7172012004001201</v>
      </c>
      <c r="C207">
        <v>240</v>
      </c>
      <c r="D207">
        <v>34</v>
      </c>
      <c r="E207">
        <v>4</v>
      </c>
      <c r="F207">
        <v>0</v>
      </c>
      <c r="G207">
        <v>202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f>region_summary__54[[#This Row],[REJECTED BY Admin Kabupaten]]+region_summary__54[[#This Row],[REJECTED BY Pengawas]]</f>
        <v>0</v>
      </c>
    </row>
    <row r="208" spans="1:13" x14ac:dyDescent="0.25">
      <c r="A208" t="s">
        <v>61</v>
      </c>
      <c r="B208">
        <v>7172012004001100</v>
      </c>
      <c r="C208">
        <v>180</v>
      </c>
      <c r="D208">
        <v>138</v>
      </c>
      <c r="E208">
        <v>0</v>
      </c>
      <c r="F208">
        <v>3</v>
      </c>
      <c r="G208">
        <v>39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f>region_summary__54[[#This Row],[REJECTED BY Admin Kabupaten]]+region_summary__54[[#This Row],[REJECTED BY Pengawas]]</f>
        <v>0</v>
      </c>
    </row>
    <row r="209" spans="1:13" x14ac:dyDescent="0.25">
      <c r="A209" t="s">
        <v>61</v>
      </c>
      <c r="B209">
        <v>7172012004001202</v>
      </c>
      <c r="C209">
        <v>133</v>
      </c>
      <c r="D209">
        <v>90</v>
      </c>
      <c r="E209">
        <v>3</v>
      </c>
      <c r="F209">
        <v>1</v>
      </c>
      <c r="G209">
        <v>30</v>
      </c>
      <c r="H209">
        <v>0</v>
      </c>
      <c r="I209">
        <v>0</v>
      </c>
      <c r="J209">
        <v>0</v>
      </c>
      <c r="K209">
        <v>9</v>
      </c>
      <c r="L209">
        <v>0</v>
      </c>
      <c r="M209">
        <f>region_summary__54[[#This Row],[REJECTED BY Admin Kabupaten]]+region_summary__54[[#This Row],[REJECTED BY Pengawas]]</f>
        <v>0</v>
      </c>
    </row>
    <row r="210" spans="1:13" x14ac:dyDescent="0.25">
      <c r="A210" t="s">
        <v>61</v>
      </c>
      <c r="B210">
        <v>7172012004001003</v>
      </c>
      <c r="C210">
        <v>94</v>
      </c>
      <c r="D210">
        <v>19</v>
      </c>
      <c r="E210">
        <v>4</v>
      </c>
      <c r="F210">
        <v>0</v>
      </c>
      <c r="G210">
        <v>67</v>
      </c>
      <c r="H210">
        <v>0</v>
      </c>
      <c r="I210">
        <v>0</v>
      </c>
      <c r="J210">
        <v>0</v>
      </c>
      <c r="K210">
        <v>4</v>
      </c>
      <c r="L210">
        <v>0</v>
      </c>
      <c r="M210">
        <f>region_summary__54[[#This Row],[REJECTED BY Admin Kabupaten]]+region_summary__54[[#This Row],[REJECTED BY Pengawas]]</f>
        <v>0</v>
      </c>
    </row>
    <row r="211" spans="1:13" x14ac:dyDescent="0.25">
      <c r="A211" t="s">
        <v>61</v>
      </c>
      <c r="B211">
        <v>7172012004001002</v>
      </c>
      <c r="C211">
        <v>67</v>
      </c>
      <c r="D211">
        <v>48</v>
      </c>
      <c r="E211">
        <v>0</v>
      </c>
      <c r="F211">
        <v>1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f>region_summary__54[[#This Row],[REJECTED BY Admin Kabupaten]]+region_summary__54[[#This Row],[REJECTED BY Pengawas]]</f>
        <v>0</v>
      </c>
    </row>
    <row r="212" spans="1:13" x14ac:dyDescent="0.25">
      <c r="A212" t="s">
        <v>68</v>
      </c>
      <c r="B212">
        <v>7172012007001800</v>
      </c>
      <c r="C212">
        <v>139</v>
      </c>
      <c r="D212">
        <v>88</v>
      </c>
      <c r="E212">
        <v>10</v>
      </c>
      <c r="F212">
        <v>1</v>
      </c>
      <c r="G212">
        <v>40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f>region_summary__54[[#This Row],[REJECTED BY Admin Kabupaten]]+region_summary__54[[#This Row],[REJECTED BY Pengawas]]</f>
        <v>0</v>
      </c>
    </row>
    <row r="213" spans="1:13" x14ac:dyDescent="0.25">
      <c r="A213" t="s">
        <v>68</v>
      </c>
      <c r="B213">
        <v>7172012007001700</v>
      </c>
      <c r="C213">
        <v>136</v>
      </c>
      <c r="D213">
        <v>15</v>
      </c>
      <c r="E213">
        <v>31</v>
      </c>
      <c r="F213">
        <v>0</v>
      </c>
      <c r="G213">
        <v>55</v>
      </c>
      <c r="H213">
        <v>0</v>
      </c>
      <c r="I213">
        <v>2</v>
      </c>
      <c r="J213">
        <v>0</v>
      </c>
      <c r="K213">
        <v>33</v>
      </c>
      <c r="L213">
        <v>0</v>
      </c>
      <c r="M213">
        <f>region_summary__54[[#This Row],[REJECTED BY Admin Kabupaten]]+region_summary__54[[#This Row],[REJECTED BY Pengawas]]</f>
        <v>2</v>
      </c>
    </row>
    <row r="214" spans="1:13" x14ac:dyDescent="0.25">
      <c r="A214" t="s">
        <v>68</v>
      </c>
      <c r="B214">
        <v>7172012007002000</v>
      </c>
      <c r="C214">
        <v>127</v>
      </c>
      <c r="D214">
        <v>122</v>
      </c>
      <c r="E214">
        <v>2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f>region_summary__54[[#This Row],[REJECTED BY Admin Kabupaten]]+region_summary__54[[#This Row],[REJECTED BY Pengawas]]</f>
        <v>0</v>
      </c>
    </row>
    <row r="215" spans="1:13" x14ac:dyDescent="0.25">
      <c r="A215" t="s">
        <v>68</v>
      </c>
      <c r="B215">
        <v>7172012007002100</v>
      </c>
      <c r="C215">
        <v>109</v>
      </c>
      <c r="D215">
        <v>91</v>
      </c>
      <c r="E215">
        <v>1</v>
      </c>
      <c r="F215">
        <v>1</v>
      </c>
      <c r="G215">
        <v>12</v>
      </c>
      <c r="H215">
        <v>0</v>
      </c>
      <c r="I215">
        <v>0</v>
      </c>
      <c r="J215">
        <v>0</v>
      </c>
      <c r="K215">
        <v>4</v>
      </c>
      <c r="L215">
        <v>0</v>
      </c>
      <c r="M215">
        <f>region_summary__54[[#This Row],[REJECTED BY Admin Kabupaten]]+region_summary__54[[#This Row],[REJECTED BY Pengawas]]</f>
        <v>0</v>
      </c>
    </row>
    <row r="216" spans="1:13" x14ac:dyDescent="0.25">
      <c r="A216" t="s">
        <v>68</v>
      </c>
      <c r="B216">
        <v>7172012006000100</v>
      </c>
      <c r="C216">
        <v>92</v>
      </c>
      <c r="D216">
        <v>0</v>
      </c>
      <c r="E216">
        <v>0</v>
      </c>
      <c r="F216">
        <v>0</v>
      </c>
      <c r="G216">
        <v>92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f>region_summary__54[[#This Row],[REJECTED BY Admin Kabupaten]]+region_summary__54[[#This Row],[REJECTED BY Pengawas]]</f>
        <v>0</v>
      </c>
    </row>
    <row r="217" spans="1:13" x14ac:dyDescent="0.25">
      <c r="A217" t="s">
        <v>68</v>
      </c>
      <c r="B217">
        <v>7172012006000400</v>
      </c>
      <c r="C217">
        <v>56</v>
      </c>
      <c r="D217">
        <v>0</v>
      </c>
      <c r="E217">
        <v>0</v>
      </c>
      <c r="F217">
        <v>0</v>
      </c>
      <c r="G217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f>region_summary__54[[#This Row],[REJECTED BY Admin Kabupaten]]+region_summary__54[[#This Row],[REJECTED BY Pengawas]]</f>
        <v>0</v>
      </c>
    </row>
    <row r="218" spans="1:13" x14ac:dyDescent="0.25">
      <c r="A218" t="s">
        <v>68</v>
      </c>
      <c r="B218">
        <v>7172012006000300</v>
      </c>
      <c r="C218">
        <v>47</v>
      </c>
      <c r="D218">
        <v>0</v>
      </c>
      <c r="E218">
        <v>0</v>
      </c>
      <c r="F218">
        <v>0</v>
      </c>
      <c r="G218">
        <v>47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f>region_summary__54[[#This Row],[REJECTED BY Admin Kabupaten]]+region_summary__54[[#This Row],[REJECTED BY Pengawas]]</f>
        <v>0</v>
      </c>
    </row>
    <row r="219" spans="1:13" x14ac:dyDescent="0.25">
      <c r="A219" t="s">
        <v>68</v>
      </c>
      <c r="B219">
        <v>7172012006000200</v>
      </c>
      <c r="C219">
        <v>39</v>
      </c>
      <c r="D219">
        <v>0</v>
      </c>
      <c r="E219">
        <v>0</v>
      </c>
      <c r="F219">
        <v>0</v>
      </c>
      <c r="G219">
        <v>39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f>region_summary__54[[#This Row],[REJECTED BY Admin Kabupaten]]+region_summary__54[[#This Row],[REJECTED BY Pengawas]]</f>
        <v>0</v>
      </c>
    </row>
    <row r="220" spans="1:13" x14ac:dyDescent="0.25">
      <c r="A220" t="s">
        <v>66</v>
      </c>
      <c r="B220">
        <v>7172012007000100</v>
      </c>
      <c r="C220">
        <v>136</v>
      </c>
      <c r="D220">
        <v>0</v>
      </c>
      <c r="E220">
        <v>0</v>
      </c>
      <c r="F220">
        <v>0</v>
      </c>
      <c r="G220">
        <v>135</v>
      </c>
      <c r="H220">
        <v>0</v>
      </c>
      <c r="I220">
        <v>0</v>
      </c>
      <c r="J220">
        <v>0</v>
      </c>
      <c r="K220">
        <v>1</v>
      </c>
      <c r="L220">
        <v>0</v>
      </c>
      <c r="M220">
        <f>region_summary__54[[#This Row],[REJECTED BY Admin Kabupaten]]+region_summary__54[[#This Row],[REJECTED BY Pengawas]]</f>
        <v>0</v>
      </c>
    </row>
    <row r="221" spans="1:13" x14ac:dyDescent="0.25">
      <c r="A221" t="s">
        <v>66</v>
      </c>
      <c r="B221">
        <v>7172012005001900</v>
      </c>
      <c r="C221">
        <v>91</v>
      </c>
      <c r="D221">
        <v>0</v>
      </c>
      <c r="E221">
        <v>5</v>
      </c>
      <c r="F221">
        <v>0</v>
      </c>
      <c r="G221">
        <v>85</v>
      </c>
      <c r="H221">
        <v>0</v>
      </c>
      <c r="I221">
        <v>0</v>
      </c>
      <c r="J221">
        <v>0</v>
      </c>
      <c r="K221">
        <v>1</v>
      </c>
      <c r="L221">
        <v>0</v>
      </c>
      <c r="M221">
        <f>region_summary__54[[#This Row],[REJECTED BY Admin Kabupaten]]+region_summary__54[[#This Row],[REJECTED BY Pengawas]]</f>
        <v>0</v>
      </c>
    </row>
    <row r="222" spans="1:13" x14ac:dyDescent="0.25">
      <c r="A222" t="s">
        <v>66</v>
      </c>
      <c r="B222">
        <v>7172012005000400</v>
      </c>
      <c r="C222">
        <v>62</v>
      </c>
      <c r="D222">
        <v>50</v>
      </c>
      <c r="E222">
        <v>2</v>
      </c>
      <c r="F222">
        <v>0</v>
      </c>
      <c r="G222">
        <v>8</v>
      </c>
      <c r="H222">
        <v>0</v>
      </c>
      <c r="I222">
        <v>0</v>
      </c>
      <c r="J222">
        <v>1</v>
      </c>
      <c r="K222">
        <v>1</v>
      </c>
      <c r="L222">
        <v>0</v>
      </c>
      <c r="M222">
        <f>region_summary__54[[#This Row],[REJECTED BY Admin Kabupaten]]+region_summary__54[[#This Row],[REJECTED BY Pengawas]]</f>
        <v>0</v>
      </c>
    </row>
    <row r="223" spans="1:13" x14ac:dyDescent="0.25">
      <c r="A223" t="s">
        <v>66</v>
      </c>
      <c r="B223">
        <v>7172012005000600</v>
      </c>
      <c r="C223">
        <v>59</v>
      </c>
      <c r="D223">
        <v>52</v>
      </c>
      <c r="E223">
        <v>1</v>
      </c>
      <c r="F223">
        <v>2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f>region_summary__54[[#This Row],[REJECTED BY Admin Kabupaten]]+region_summary__54[[#This Row],[REJECTED BY Pengawas]]</f>
        <v>0</v>
      </c>
    </row>
    <row r="224" spans="1:13" x14ac:dyDescent="0.25">
      <c r="A224" t="s">
        <v>66</v>
      </c>
      <c r="B224">
        <v>7172012005000500</v>
      </c>
      <c r="C224">
        <v>56</v>
      </c>
      <c r="D224">
        <v>51</v>
      </c>
      <c r="E224">
        <v>0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f>region_summary__54[[#This Row],[REJECTED BY Admin Kabupaten]]+region_summary__54[[#This Row],[REJECTED BY Pengawas]]</f>
        <v>0</v>
      </c>
    </row>
    <row r="225" spans="1:13" x14ac:dyDescent="0.25">
      <c r="A225" t="s">
        <v>66</v>
      </c>
      <c r="B225">
        <v>7172012005002400</v>
      </c>
      <c r="C225">
        <v>52</v>
      </c>
      <c r="D225">
        <v>40</v>
      </c>
      <c r="E225">
        <v>3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f>region_summary__54[[#This Row],[REJECTED BY Admin Kabupaten]]+region_summary__54[[#This Row],[REJECTED BY Pengawas]]</f>
        <v>0</v>
      </c>
    </row>
    <row r="226" spans="1:13" x14ac:dyDescent="0.25">
      <c r="A226" t="s">
        <v>66</v>
      </c>
      <c r="B226">
        <v>7172012005002300</v>
      </c>
      <c r="C226">
        <v>50</v>
      </c>
      <c r="D226">
        <v>22</v>
      </c>
      <c r="E226">
        <v>5</v>
      </c>
      <c r="F226">
        <v>0</v>
      </c>
      <c r="G226">
        <v>12</v>
      </c>
      <c r="H226">
        <v>0</v>
      </c>
      <c r="I226">
        <v>1</v>
      </c>
      <c r="J226">
        <v>0</v>
      </c>
      <c r="K226">
        <v>10</v>
      </c>
      <c r="L226">
        <v>0</v>
      </c>
      <c r="M226">
        <f>region_summary__54[[#This Row],[REJECTED BY Admin Kabupaten]]+region_summary__54[[#This Row],[REJECTED BY Pengawas]]</f>
        <v>1</v>
      </c>
    </row>
    <row r="227" spans="1:13" x14ac:dyDescent="0.25">
      <c r="A227" t="s">
        <v>66</v>
      </c>
      <c r="B227">
        <v>7172012005002200</v>
      </c>
      <c r="C227">
        <v>47</v>
      </c>
      <c r="D227">
        <v>33</v>
      </c>
      <c r="E227">
        <v>0</v>
      </c>
      <c r="F227">
        <v>0</v>
      </c>
      <c r="G227">
        <v>7</v>
      </c>
      <c r="H227">
        <v>0</v>
      </c>
      <c r="I227">
        <v>0</v>
      </c>
      <c r="J227">
        <v>0</v>
      </c>
      <c r="K227">
        <v>7</v>
      </c>
      <c r="L227">
        <v>0</v>
      </c>
      <c r="M227">
        <f>region_summary__54[[#This Row],[REJECTED BY Admin Kabupaten]]+region_summary__54[[#This Row],[REJECTED BY Pengawas]]</f>
        <v>0</v>
      </c>
    </row>
    <row r="228" spans="1:13" x14ac:dyDescent="0.25">
      <c r="A228" t="s">
        <v>66</v>
      </c>
      <c r="B228">
        <v>7172012005000300</v>
      </c>
      <c r="C228">
        <v>42</v>
      </c>
      <c r="D228">
        <v>39</v>
      </c>
      <c r="E228">
        <v>0</v>
      </c>
      <c r="F228">
        <v>1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f>region_summary__54[[#This Row],[REJECTED BY Admin Kabupaten]]+region_summary__54[[#This Row],[REJECTED BY Pengawas]]</f>
        <v>0</v>
      </c>
    </row>
    <row r="229" spans="1:13" x14ac:dyDescent="0.25">
      <c r="A229" t="s">
        <v>66</v>
      </c>
      <c r="B229">
        <v>7172012005002100</v>
      </c>
      <c r="C229">
        <v>36</v>
      </c>
      <c r="D229">
        <v>26</v>
      </c>
      <c r="E229">
        <v>4</v>
      </c>
      <c r="F229">
        <v>0</v>
      </c>
      <c r="G229">
        <v>5</v>
      </c>
      <c r="H229">
        <v>0</v>
      </c>
      <c r="I229">
        <v>0</v>
      </c>
      <c r="J229">
        <v>0</v>
      </c>
      <c r="K229">
        <v>1</v>
      </c>
      <c r="L229">
        <v>0</v>
      </c>
      <c r="M229">
        <f>region_summary__54[[#This Row],[REJECTED BY Admin Kabupaten]]+region_summary__54[[#This Row],[REJECTED BY Pengawas]]</f>
        <v>0</v>
      </c>
    </row>
    <row r="230" spans="1:13" x14ac:dyDescent="0.25">
      <c r="A230" t="s">
        <v>66</v>
      </c>
      <c r="B230">
        <v>7172012005002000</v>
      </c>
      <c r="C230">
        <v>28</v>
      </c>
      <c r="D230">
        <v>16</v>
      </c>
      <c r="E230">
        <v>1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7</v>
      </c>
      <c r="L230">
        <v>0</v>
      </c>
      <c r="M230">
        <f>region_summary__54[[#This Row],[REJECTED BY Admin Kabupaten]]+region_summary__54[[#This Row],[REJECTED BY Pengawas]]</f>
        <v>0</v>
      </c>
    </row>
    <row r="231" spans="1:13" x14ac:dyDescent="0.25">
      <c r="A231" t="s">
        <v>69</v>
      </c>
      <c r="B231">
        <v>7172012006000801</v>
      </c>
      <c r="C231">
        <v>165</v>
      </c>
      <c r="D231">
        <v>110</v>
      </c>
      <c r="E231">
        <v>8</v>
      </c>
      <c r="F231">
        <v>1</v>
      </c>
      <c r="G231">
        <v>22</v>
      </c>
      <c r="H231">
        <v>0</v>
      </c>
      <c r="I231">
        <v>0</v>
      </c>
      <c r="J231">
        <v>0</v>
      </c>
      <c r="K231">
        <v>24</v>
      </c>
      <c r="L231">
        <v>0</v>
      </c>
      <c r="M231">
        <f>region_summary__54[[#This Row],[REJECTED BY Admin Kabupaten]]+region_summary__54[[#This Row],[REJECTED BY Pengawas]]</f>
        <v>0</v>
      </c>
    </row>
    <row r="232" spans="1:13" x14ac:dyDescent="0.25">
      <c r="A232" t="s">
        <v>69</v>
      </c>
      <c r="B232">
        <v>7172012006000700</v>
      </c>
      <c r="C232">
        <v>139</v>
      </c>
      <c r="D232">
        <v>0</v>
      </c>
      <c r="E232">
        <v>6</v>
      </c>
      <c r="F232">
        <v>0</v>
      </c>
      <c r="G232">
        <v>106</v>
      </c>
      <c r="H232">
        <v>0</v>
      </c>
      <c r="I232">
        <v>0</v>
      </c>
      <c r="J232">
        <v>0</v>
      </c>
      <c r="K232">
        <v>27</v>
      </c>
      <c r="L232">
        <v>0</v>
      </c>
      <c r="M232">
        <f>region_summary__54[[#This Row],[REJECTED BY Admin Kabupaten]]+region_summary__54[[#This Row],[REJECTED BY Pengawas]]</f>
        <v>0</v>
      </c>
    </row>
    <row r="233" spans="1:13" x14ac:dyDescent="0.25">
      <c r="A233" t="s">
        <v>69</v>
      </c>
      <c r="B233">
        <v>7172012006000901</v>
      </c>
      <c r="C233">
        <v>130</v>
      </c>
      <c r="D233">
        <v>0</v>
      </c>
      <c r="E233">
        <v>0</v>
      </c>
      <c r="F233">
        <v>0</v>
      </c>
      <c r="G233">
        <v>130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f>region_summary__54[[#This Row],[REJECTED BY Admin Kabupaten]]+region_summary__54[[#This Row],[REJECTED BY Pengawas]]</f>
        <v>0</v>
      </c>
    </row>
    <row r="234" spans="1:13" x14ac:dyDescent="0.25">
      <c r="A234" t="s">
        <v>69</v>
      </c>
      <c r="B234">
        <v>7172012006000802</v>
      </c>
      <c r="C234">
        <v>122</v>
      </c>
      <c r="D234">
        <v>113</v>
      </c>
      <c r="E234">
        <v>2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5</v>
      </c>
      <c r="L234">
        <v>0</v>
      </c>
      <c r="M234">
        <f>region_summary__54[[#This Row],[REJECTED BY Admin Kabupaten]]+region_summary__54[[#This Row],[REJECTED BY Pengawas]]</f>
        <v>0</v>
      </c>
    </row>
    <row r="235" spans="1:13" x14ac:dyDescent="0.25">
      <c r="A235" t="s">
        <v>69</v>
      </c>
      <c r="B235">
        <v>7172012006000600</v>
      </c>
      <c r="C235">
        <v>109</v>
      </c>
      <c r="D235">
        <v>37</v>
      </c>
      <c r="E235">
        <v>10</v>
      </c>
      <c r="F235">
        <v>0</v>
      </c>
      <c r="G235">
        <v>40</v>
      </c>
      <c r="H235">
        <v>0</v>
      </c>
      <c r="I235">
        <v>0</v>
      </c>
      <c r="J235">
        <v>0</v>
      </c>
      <c r="K235">
        <v>22</v>
      </c>
      <c r="L235">
        <v>0</v>
      </c>
      <c r="M235">
        <f>region_summary__54[[#This Row],[REJECTED BY Admin Kabupaten]]+region_summary__54[[#This Row],[REJECTED BY Pengawas]]</f>
        <v>0</v>
      </c>
    </row>
    <row r="236" spans="1:13" x14ac:dyDescent="0.25">
      <c r="A236" t="s">
        <v>69</v>
      </c>
      <c r="B236">
        <v>7172012006000500</v>
      </c>
      <c r="C236">
        <v>75</v>
      </c>
      <c r="D236">
        <v>71</v>
      </c>
      <c r="E236">
        <v>1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f>region_summary__54[[#This Row],[REJECTED BY Admin Kabupaten]]+region_summary__54[[#This Row],[REJECTED BY Pengawas]]</f>
        <v>0</v>
      </c>
    </row>
    <row r="237" spans="1:13" x14ac:dyDescent="0.25">
      <c r="A237" t="s">
        <v>73</v>
      </c>
      <c r="B237">
        <v>7172012007001300</v>
      </c>
      <c r="C237">
        <v>170</v>
      </c>
      <c r="D237">
        <v>102</v>
      </c>
      <c r="E237">
        <v>3</v>
      </c>
      <c r="F237">
        <v>2</v>
      </c>
      <c r="G237">
        <v>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f>region_summary__54[[#This Row],[REJECTED BY Admin Kabupaten]]+region_summary__54[[#This Row],[REJECTED BY Pengawas]]</f>
        <v>0</v>
      </c>
    </row>
    <row r="238" spans="1:13" x14ac:dyDescent="0.25">
      <c r="A238" t="s">
        <v>73</v>
      </c>
      <c r="B238">
        <v>7172012007001400</v>
      </c>
      <c r="C238">
        <v>124</v>
      </c>
      <c r="D238">
        <v>61</v>
      </c>
      <c r="E238">
        <v>3</v>
      </c>
      <c r="F238">
        <v>0</v>
      </c>
      <c r="G238">
        <v>41</v>
      </c>
      <c r="H238">
        <v>0</v>
      </c>
      <c r="I238">
        <v>3</v>
      </c>
      <c r="J238">
        <v>0</v>
      </c>
      <c r="K238">
        <v>16</v>
      </c>
      <c r="L238">
        <v>0</v>
      </c>
      <c r="M238">
        <f>region_summary__54[[#This Row],[REJECTED BY Admin Kabupaten]]+region_summary__54[[#This Row],[REJECTED BY Pengawas]]</f>
        <v>3</v>
      </c>
    </row>
    <row r="239" spans="1:13" x14ac:dyDescent="0.25">
      <c r="A239" t="s">
        <v>73</v>
      </c>
      <c r="B239">
        <v>7172012007001500</v>
      </c>
      <c r="C239">
        <v>103</v>
      </c>
      <c r="D239">
        <v>82</v>
      </c>
      <c r="E239">
        <v>3</v>
      </c>
      <c r="F239">
        <v>3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f>region_summary__54[[#This Row],[REJECTED BY Admin Kabupaten]]+region_summary__54[[#This Row],[REJECTED BY Pengawas]]</f>
        <v>0</v>
      </c>
    </row>
    <row r="240" spans="1:13" x14ac:dyDescent="0.25">
      <c r="A240" t="s">
        <v>73</v>
      </c>
      <c r="B240">
        <v>7172012007001600</v>
      </c>
      <c r="C240">
        <v>94</v>
      </c>
      <c r="D240">
        <v>10</v>
      </c>
      <c r="E240">
        <v>25</v>
      </c>
      <c r="F240">
        <v>0</v>
      </c>
      <c r="G240">
        <v>55</v>
      </c>
      <c r="H240">
        <v>0</v>
      </c>
      <c r="I240">
        <v>1</v>
      </c>
      <c r="J240">
        <v>0</v>
      </c>
      <c r="K240">
        <v>3</v>
      </c>
      <c r="L240">
        <v>0</v>
      </c>
      <c r="M240">
        <f>region_summary__54[[#This Row],[REJECTED BY Admin Kabupaten]]+region_summary__54[[#This Row],[REJECTED BY Pengawas]]</f>
        <v>1</v>
      </c>
    </row>
    <row r="241" spans="1:13" x14ac:dyDescent="0.25">
      <c r="A241" t="s">
        <v>73</v>
      </c>
      <c r="B241">
        <v>7172012007001200</v>
      </c>
      <c r="C241">
        <v>85</v>
      </c>
      <c r="D241">
        <v>11</v>
      </c>
      <c r="E241">
        <v>0</v>
      </c>
      <c r="F241">
        <v>0</v>
      </c>
      <c r="G241">
        <v>74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f>region_summary__54[[#This Row],[REJECTED BY Admin Kabupaten]]+region_summary__54[[#This Row],[REJECTED BY Pengawas]]</f>
        <v>0</v>
      </c>
    </row>
    <row r="242" spans="1:13" x14ac:dyDescent="0.25">
      <c r="A242" t="s">
        <v>73</v>
      </c>
      <c r="B242">
        <v>7172012007001900</v>
      </c>
      <c r="C242">
        <v>78</v>
      </c>
      <c r="D242">
        <v>4</v>
      </c>
      <c r="E242">
        <v>0</v>
      </c>
      <c r="F242">
        <v>0</v>
      </c>
      <c r="G242">
        <v>72</v>
      </c>
      <c r="H242">
        <v>0</v>
      </c>
      <c r="I242">
        <v>0</v>
      </c>
      <c r="J242">
        <v>0</v>
      </c>
      <c r="K242">
        <v>2</v>
      </c>
      <c r="L242">
        <v>0</v>
      </c>
      <c r="M242">
        <f>region_summary__54[[#This Row],[REJECTED BY Admin Kabupaten]]+region_summary__54[[#This Row],[REJECTED BY Pengawas]]</f>
        <v>0</v>
      </c>
    </row>
    <row r="243" spans="1:13" x14ac:dyDescent="0.25">
      <c r="A243" t="s">
        <v>77</v>
      </c>
      <c r="B243">
        <v>7172021003000400</v>
      </c>
      <c r="C243">
        <v>118</v>
      </c>
      <c r="D243">
        <v>115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f>region_summary__54[[#This Row],[REJECTED BY Admin Kabupaten]]+region_summary__54[[#This Row],[REJECTED BY Pengawas]]</f>
        <v>0</v>
      </c>
    </row>
    <row r="244" spans="1:13" x14ac:dyDescent="0.25">
      <c r="A244" t="s">
        <v>77</v>
      </c>
      <c r="B244">
        <v>7172021003000200</v>
      </c>
      <c r="C244">
        <v>114</v>
      </c>
      <c r="D244">
        <v>110</v>
      </c>
      <c r="E244">
        <v>0</v>
      </c>
      <c r="F244">
        <v>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f>region_summary__54[[#This Row],[REJECTED BY Admin Kabupaten]]+region_summary__54[[#This Row],[REJECTED BY Pengawas]]</f>
        <v>0</v>
      </c>
    </row>
    <row r="245" spans="1:13" x14ac:dyDescent="0.25">
      <c r="A245" t="s">
        <v>77</v>
      </c>
      <c r="B245">
        <v>7172021003000500</v>
      </c>
      <c r="C245">
        <v>94</v>
      </c>
      <c r="D245">
        <v>14</v>
      </c>
      <c r="E245">
        <v>0</v>
      </c>
      <c r="F245">
        <v>0</v>
      </c>
      <c r="G245">
        <v>80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f>region_summary__54[[#This Row],[REJECTED BY Admin Kabupaten]]+region_summary__54[[#This Row],[REJECTED BY Pengawas]]</f>
        <v>0</v>
      </c>
    </row>
    <row r="246" spans="1:13" x14ac:dyDescent="0.25">
      <c r="A246" t="s">
        <v>77</v>
      </c>
      <c r="B246">
        <v>7172021003000600</v>
      </c>
      <c r="C246">
        <v>81</v>
      </c>
      <c r="D246">
        <v>17</v>
      </c>
      <c r="E246">
        <v>0</v>
      </c>
      <c r="F246">
        <v>0</v>
      </c>
      <c r="G246">
        <v>64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f>region_summary__54[[#This Row],[REJECTED BY Admin Kabupaten]]+region_summary__54[[#This Row],[REJECTED BY Pengawas]]</f>
        <v>0</v>
      </c>
    </row>
    <row r="247" spans="1:13" x14ac:dyDescent="0.25">
      <c r="A247" t="s">
        <v>77</v>
      </c>
      <c r="B247">
        <v>7172021003000700</v>
      </c>
      <c r="C247">
        <v>54</v>
      </c>
      <c r="D247">
        <v>18</v>
      </c>
      <c r="E247">
        <v>0</v>
      </c>
      <c r="F247">
        <v>0</v>
      </c>
      <c r="G247">
        <v>23</v>
      </c>
      <c r="H247">
        <v>0</v>
      </c>
      <c r="I247">
        <v>0</v>
      </c>
      <c r="J247">
        <v>0</v>
      </c>
      <c r="K247">
        <v>13</v>
      </c>
      <c r="L247">
        <v>0</v>
      </c>
      <c r="M247">
        <f>region_summary__54[[#This Row],[REJECTED BY Admin Kabupaten]]+region_summary__54[[#This Row],[REJECTED BY Pengawas]]</f>
        <v>0</v>
      </c>
    </row>
    <row r="248" spans="1:13" x14ac:dyDescent="0.25">
      <c r="A248" t="s">
        <v>239</v>
      </c>
      <c r="B248">
        <v>7172021006002200</v>
      </c>
      <c r="C248">
        <v>84</v>
      </c>
      <c r="D248">
        <v>47</v>
      </c>
      <c r="E248">
        <v>2</v>
      </c>
      <c r="F248">
        <v>0</v>
      </c>
      <c r="G248">
        <v>16</v>
      </c>
      <c r="H248">
        <v>0</v>
      </c>
      <c r="I248">
        <v>1</v>
      </c>
      <c r="J248">
        <v>0</v>
      </c>
      <c r="K248">
        <v>18</v>
      </c>
      <c r="L248">
        <v>0</v>
      </c>
      <c r="M248">
        <f>region_summary__54[[#This Row],[REJECTED BY Admin Kabupaten]]+region_summary__54[[#This Row],[REJECTED BY Pengawas]]</f>
        <v>1</v>
      </c>
    </row>
    <row r="249" spans="1:13" x14ac:dyDescent="0.25">
      <c r="A249" t="s">
        <v>239</v>
      </c>
      <c r="B249">
        <v>7172021006001600</v>
      </c>
      <c r="C249">
        <v>74</v>
      </c>
      <c r="D249">
        <v>54</v>
      </c>
      <c r="E249">
        <v>12</v>
      </c>
      <c r="F249">
        <v>0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f>region_summary__54[[#This Row],[REJECTED BY Admin Kabupaten]]+region_summary__54[[#This Row],[REJECTED BY Pengawas]]</f>
        <v>0</v>
      </c>
    </row>
    <row r="250" spans="1:13" x14ac:dyDescent="0.25">
      <c r="A250" t="s">
        <v>239</v>
      </c>
      <c r="B250">
        <v>7172021006001800</v>
      </c>
      <c r="C250">
        <v>58</v>
      </c>
      <c r="D250">
        <v>17</v>
      </c>
      <c r="E250">
        <v>7</v>
      </c>
      <c r="F250">
        <v>0</v>
      </c>
      <c r="G250">
        <v>34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f>region_summary__54[[#This Row],[REJECTED BY Admin Kabupaten]]+region_summary__54[[#This Row],[REJECTED BY Pengawas]]</f>
        <v>0</v>
      </c>
    </row>
    <row r="251" spans="1:13" x14ac:dyDescent="0.25">
      <c r="A251" t="s">
        <v>239</v>
      </c>
      <c r="B251">
        <v>7172021007000400</v>
      </c>
      <c r="C251">
        <v>56</v>
      </c>
      <c r="D251">
        <v>5</v>
      </c>
      <c r="E251">
        <v>7</v>
      </c>
      <c r="F251">
        <v>0</v>
      </c>
      <c r="G251">
        <v>43</v>
      </c>
      <c r="H251">
        <v>0</v>
      </c>
      <c r="I251">
        <v>0</v>
      </c>
      <c r="J251">
        <v>1</v>
      </c>
      <c r="K251">
        <v>0</v>
      </c>
      <c r="L251">
        <v>0</v>
      </c>
      <c r="M251">
        <f>region_summary__54[[#This Row],[REJECTED BY Admin Kabupaten]]+region_summary__54[[#This Row],[REJECTED BY Pengawas]]</f>
        <v>0</v>
      </c>
    </row>
    <row r="252" spans="1:13" x14ac:dyDescent="0.25">
      <c r="A252" t="s">
        <v>239</v>
      </c>
      <c r="B252">
        <v>7172021007000100</v>
      </c>
      <c r="C252">
        <v>53</v>
      </c>
      <c r="D252">
        <v>43</v>
      </c>
      <c r="E252">
        <v>5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2</v>
      </c>
      <c r="L252">
        <v>0</v>
      </c>
      <c r="M252">
        <f>region_summary__54[[#This Row],[REJECTED BY Admin Kabupaten]]+region_summary__54[[#This Row],[REJECTED BY Pengawas]]</f>
        <v>0</v>
      </c>
    </row>
    <row r="253" spans="1:13" x14ac:dyDescent="0.25">
      <c r="A253" t="s">
        <v>239</v>
      </c>
      <c r="B253">
        <v>7172021006001700</v>
      </c>
      <c r="C253">
        <v>45</v>
      </c>
      <c r="D253">
        <v>42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f>region_summary__54[[#This Row],[REJECTED BY Admin Kabupaten]]+region_summary__54[[#This Row],[REJECTED BY Pengawas]]</f>
        <v>0</v>
      </c>
    </row>
    <row r="254" spans="1:13" x14ac:dyDescent="0.25">
      <c r="A254" t="s">
        <v>239</v>
      </c>
      <c r="B254">
        <v>7172021007000200</v>
      </c>
      <c r="C254">
        <v>42</v>
      </c>
      <c r="D254">
        <v>11</v>
      </c>
      <c r="E254">
        <v>15</v>
      </c>
      <c r="F254">
        <v>0</v>
      </c>
      <c r="G254">
        <v>12</v>
      </c>
      <c r="H254">
        <v>0</v>
      </c>
      <c r="I254">
        <v>0</v>
      </c>
      <c r="J254">
        <v>0</v>
      </c>
      <c r="K254">
        <v>4</v>
      </c>
      <c r="L254">
        <v>0</v>
      </c>
      <c r="M254">
        <f>region_summary__54[[#This Row],[REJECTED BY Admin Kabupaten]]+region_summary__54[[#This Row],[REJECTED BY Pengawas]]</f>
        <v>0</v>
      </c>
    </row>
    <row r="255" spans="1:13" x14ac:dyDescent="0.25">
      <c r="A255" t="s">
        <v>239</v>
      </c>
      <c r="B255">
        <v>7172021007000500</v>
      </c>
      <c r="C255">
        <v>42</v>
      </c>
      <c r="D255">
        <v>7</v>
      </c>
      <c r="E255">
        <v>1</v>
      </c>
      <c r="F255">
        <v>0</v>
      </c>
      <c r="G255">
        <v>34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f>region_summary__54[[#This Row],[REJECTED BY Admin Kabupaten]]+region_summary__54[[#This Row],[REJECTED BY Pengawas]]</f>
        <v>0</v>
      </c>
    </row>
    <row r="256" spans="1:13" x14ac:dyDescent="0.25">
      <c r="A256" t="s">
        <v>239</v>
      </c>
      <c r="B256">
        <v>7172021007000300</v>
      </c>
      <c r="C256">
        <v>41</v>
      </c>
      <c r="D256">
        <v>6</v>
      </c>
      <c r="E256">
        <v>1</v>
      </c>
      <c r="F256">
        <v>0</v>
      </c>
      <c r="G256">
        <v>9</v>
      </c>
      <c r="H256">
        <v>0</v>
      </c>
      <c r="I256">
        <v>1</v>
      </c>
      <c r="J256">
        <v>0</v>
      </c>
      <c r="K256">
        <v>24</v>
      </c>
      <c r="L256">
        <v>0</v>
      </c>
      <c r="M256">
        <f>region_summary__54[[#This Row],[REJECTED BY Admin Kabupaten]]+region_summary__54[[#This Row],[REJECTED BY Pengawas]]</f>
        <v>1</v>
      </c>
    </row>
    <row r="257" spans="1:13" x14ac:dyDescent="0.25">
      <c r="A257" t="s">
        <v>239</v>
      </c>
      <c r="B257">
        <v>7172021007000600</v>
      </c>
      <c r="C257">
        <v>31</v>
      </c>
      <c r="D257">
        <v>7</v>
      </c>
      <c r="E257">
        <v>1</v>
      </c>
      <c r="F257">
        <v>0</v>
      </c>
      <c r="G257">
        <v>23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f>region_summary__54[[#This Row],[REJECTED BY Admin Kabupaten]]+region_summary__54[[#This Row],[REJECTED BY Pengawas]]</f>
        <v>0</v>
      </c>
    </row>
    <row r="258" spans="1:13" x14ac:dyDescent="0.25">
      <c r="A258" t="s">
        <v>82</v>
      </c>
      <c r="B258">
        <v>7172022001000200</v>
      </c>
      <c r="C258">
        <v>108</v>
      </c>
      <c r="D258">
        <v>97</v>
      </c>
      <c r="E258">
        <v>5</v>
      </c>
      <c r="F258">
        <v>1</v>
      </c>
      <c r="G258">
        <v>3</v>
      </c>
      <c r="H258">
        <v>0</v>
      </c>
      <c r="I258">
        <v>0</v>
      </c>
      <c r="J258">
        <v>0</v>
      </c>
      <c r="K258">
        <v>2</v>
      </c>
      <c r="L258">
        <v>0</v>
      </c>
      <c r="M258">
        <f>region_summary__54[[#This Row],[REJECTED BY Admin Kabupaten]]+region_summary__54[[#This Row],[REJECTED BY Pengawas]]</f>
        <v>0</v>
      </c>
    </row>
    <row r="259" spans="1:13" x14ac:dyDescent="0.25">
      <c r="A259" t="s">
        <v>82</v>
      </c>
      <c r="B259">
        <v>7172022001000300</v>
      </c>
      <c r="C259">
        <v>103</v>
      </c>
      <c r="D259">
        <v>59</v>
      </c>
      <c r="E259">
        <v>32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4</v>
      </c>
      <c r="L259">
        <v>0</v>
      </c>
      <c r="M259">
        <f>region_summary__54[[#This Row],[REJECTED BY Admin Kabupaten]]+region_summary__54[[#This Row],[REJECTED BY Pengawas]]</f>
        <v>0</v>
      </c>
    </row>
    <row r="260" spans="1:13" x14ac:dyDescent="0.25">
      <c r="A260" t="s">
        <v>82</v>
      </c>
      <c r="B260">
        <v>7172022001000400</v>
      </c>
      <c r="C260">
        <v>91</v>
      </c>
      <c r="D260">
        <v>1</v>
      </c>
      <c r="E260">
        <v>0</v>
      </c>
      <c r="F260">
        <v>0</v>
      </c>
      <c r="G260">
        <v>90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f>region_summary__54[[#This Row],[REJECTED BY Admin Kabupaten]]+region_summary__54[[#This Row],[REJECTED BY Pengawas]]</f>
        <v>0</v>
      </c>
    </row>
    <row r="261" spans="1:13" x14ac:dyDescent="0.25">
      <c r="A261" t="s">
        <v>82</v>
      </c>
      <c r="B261">
        <v>7172022001000100</v>
      </c>
      <c r="C261">
        <v>85</v>
      </c>
      <c r="D261">
        <v>78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4</v>
      </c>
      <c r="L261">
        <v>0</v>
      </c>
      <c r="M261">
        <f>region_summary__54[[#This Row],[REJECTED BY Admin Kabupaten]]+region_summary__54[[#This Row],[REJECTED BY Pengawas]]</f>
        <v>0</v>
      </c>
    </row>
    <row r="262" spans="1:13" x14ac:dyDescent="0.25">
      <c r="A262" t="s">
        <v>82</v>
      </c>
      <c r="B262">
        <v>7172022001000500</v>
      </c>
      <c r="C262">
        <v>81</v>
      </c>
      <c r="D262">
        <v>9</v>
      </c>
      <c r="E262">
        <v>38</v>
      </c>
      <c r="F262">
        <v>0</v>
      </c>
      <c r="G262">
        <v>34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f>region_summary__54[[#This Row],[REJECTED BY Admin Kabupaten]]+region_summary__54[[#This Row],[REJECTED BY Pengawas]]</f>
        <v>0</v>
      </c>
    </row>
    <row r="263" spans="1:13" x14ac:dyDescent="0.25">
      <c r="A263" t="s">
        <v>86</v>
      </c>
      <c r="B263">
        <v>7172022009000500</v>
      </c>
      <c r="C263">
        <v>72</v>
      </c>
      <c r="D263">
        <v>63</v>
      </c>
      <c r="E263">
        <v>1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0</v>
      </c>
      <c r="M263">
        <f>region_summary__54[[#This Row],[REJECTED BY Admin Kabupaten]]+region_summary__54[[#This Row],[REJECTED BY Pengawas]]</f>
        <v>0</v>
      </c>
    </row>
    <row r="264" spans="1:13" x14ac:dyDescent="0.25">
      <c r="A264" t="s">
        <v>86</v>
      </c>
      <c r="B264">
        <v>7172022010000700</v>
      </c>
      <c r="C264">
        <v>58</v>
      </c>
      <c r="D264">
        <v>0</v>
      </c>
      <c r="E264">
        <v>0</v>
      </c>
      <c r="F264">
        <v>0</v>
      </c>
      <c r="G264">
        <v>58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f>region_summary__54[[#This Row],[REJECTED BY Admin Kabupaten]]+region_summary__54[[#This Row],[REJECTED BY Pengawas]]</f>
        <v>0</v>
      </c>
    </row>
    <row r="265" spans="1:13" x14ac:dyDescent="0.25">
      <c r="A265" t="s">
        <v>86</v>
      </c>
      <c r="B265">
        <v>7172022003000100</v>
      </c>
      <c r="C265">
        <v>54</v>
      </c>
      <c r="D265">
        <v>50</v>
      </c>
      <c r="E265">
        <v>2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f>region_summary__54[[#This Row],[REJECTED BY Admin Kabupaten]]+region_summary__54[[#This Row],[REJECTED BY Pengawas]]</f>
        <v>0</v>
      </c>
    </row>
    <row r="266" spans="1:13" x14ac:dyDescent="0.25">
      <c r="A266" t="s">
        <v>86</v>
      </c>
      <c r="B266">
        <v>7172022010000300</v>
      </c>
      <c r="C266">
        <v>47</v>
      </c>
      <c r="D266">
        <v>5</v>
      </c>
      <c r="E266">
        <v>14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25</v>
      </c>
      <c r="L266">
        <v>0</v>
      </c>
      <c r="M266">
        <f>region_summary__54[[#This Row],[REJECTED BY Admin Kabupaten]]+region_summary__54[[#This Row],[REJECTED BY Pengawas]]</f>
        <v>0</v>
      </c>
    </row>
    <row r="267" spans="1:13" x14ac:dyDescent="0.25">
      <c r="A267" t="s">
        <v>86</v>
      </c>
      <c r="B267">
        <v>7172022010000100</v>
      </c>
      <c r="C267">
        <v>46</v>
      </c>
      <c r="D267">
        <v>36</v>
      </c>
      <c r="E267">
        <v>2</v>
      </c>
      <c r="F267">
        <v>3</v>
      </c>
      <c r="G267">
        <v>3</v>
      </c>
      <c r="H267">
        <v>0</v>
      </c>
      <c r="I267">
        <v>0</v>
      </c>
      <c r="J267">
        <v>0</v>
      </c>
      <c r="K267">
        <v>2</v>
      </c>
      <c r="L267">
        <v>0</v>
      </c>
      <c r="M267">
        <f>region_summary__54[[#This Row],[REJECTED BY Admin Kabupaten]]+region_summary__54[[#This Row],[REJECTED BY Pengawas]]</f>
        <v>0</v>
      </c>
    </row>
    <row r="268" spans="1:13" x14ac:dyDescent="0.25">
      <c r="A268" t="s">
        <v>86</v>
      </c>
      <c r="B268">
        <v>7172022010000500</v>
      </c>
      <c r="C268">
        <v>45</v>
      </c>
      <c r="D268">
        <v>0</v>
      </c>
      <c r="E268">
        <v>0</v>
      </c>
      <c r="F268">
        <v>0</v>
      </c>
      <c r="G268">
        <v>44</v>
      </c>
      <c r="H268">
        <v>0</v>
      </c>
      <c r="I268">
        <v>0</v>
      </c>
      <c r="J268">
        <v>0</v>
      </c>
      <c r="K268">
        <v>1</v>
      </c>
      <c r="L268">
        <v>0</v>
      </c>
      <c r="M268">
        <f>region_summary__54[[#This Row],[REJECTED BY Admin Kabupaten]]+region_summary__54[[#This Row],[REJECTED BY Pengawas]]</f>
        <v>0</v>
      </c>
    </row>
    <row r="269" spans="1:13" x14ac:dyDescent="0.25">
      <c r="A269" t="s">
        <v>86</v>
      </c>
      <c r="B269">
        <v>7172022010000400</v>
      </c>
      <c r="C269">
        <v>38</v>
      </c>
      <c r="D269">
        <v>1</v>
      </c>
      <c r="E269">
        <v>4</v>
      </c>
      <c r="F269">
        <v>0</v>
      </c>
      <c r="G269">
        <v>23</v>
      </c>
      <c r="H269">
        <v>0</v>
      </c>
      <c r="I269">
        <v>0</v>
      </c>
      <c r="J269">
        <v>0</v>
      </c>
      <c r="K269">
        <v>10</v>
      </c>
      <c r="L269">
        <v>0</v>
      </c>
      <c r="M269">
        <f>region_summary__54[[#This Row],[REJECTED BY Admin Kabupaten]]+region_summary__54[[#This Row],[REJECTED BY Pengawas]]</f>
        <v>0</v>
      </c>
    </row>
    <row r="270" spans="1:13" x14ac:dyDescent="0.25">
      <c r="A270" t="s">
        <v>86</v>
      </c>
      <c r="B270">
        <v>7172022010000600</v>
      </c>
      <c r="C270">
        <v>38</v>
      </c>
      <c r="D270">
        <v>1</v>
      </c>
      <c r="E270">
        <v>0</v>
      </c>
      <c r="F270">
        <v>0</v>
      </c>
      <c r="G270">
        <v>37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f>region_summary__54[[#This Row],[REJECTED BY Admin Kabupaten]]+region_summary__54[[#This Row],[REJECTED BY Pengawas]]</f>
        <v>0</v>
      </c>
    </row>
    <row r="271" spans="1:13" x14ac:dyDescent="0.25">
      <c r="A271" t="s">
        <v>86</v>
      </c>
      <c r="B271">
        <v>7172022010000200</v>
      </c>
      <c r="C271">
        <v>33</v>
      </c>
      <c r="D271">
        <v>27</v>
      </c>
      <c r="E271">
        <v>1</v>
      </c>
      <c r="F271">
        <v>0</v>
      </c>
      <c r="G271">
        <v>4</v>
      </c>
      <c r="H271">
        <v>0</v>
      </c>
      <c r="I271">
        <v>0</v>
      </c>
      <c r="J271">
        <v>0</v>
      </c>
      <c r="K271">
        <v>1</v>
      </c>
      <c r="L271">
        <v>0</v>
      </c>
      <c r="M271">
        <f>region_summary__54[[#This Row],[REJECTED BY Admin Kabupaten]]+region_summary__54[[#This Row],[REJECTED BY Pengawas]]</f>
        <v>0</v>
      </c>
    </row>
    <row r="272" spans="1:13" x14ac:dyDescent="0.25">
      <c r="A272" t="s">
        <v>84</v>
      </c>
      <c r="B272">
        <v>7172022002000100</v>
      </c>
      <c r="C272">
        <v>89</v>
      </c>
      <c r="D272">
        <v>58</v>
      </c>
      <c r="E272">
        <v>0</v>
      </c>
      <c r="F272">
        <v>2</v>
      </c>
      <c r="G272">
        <v>28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f>region_summary__54[[#This Row],[REJECTED BY Admin Kabupaten]]+region_summary__54[[#This Row],[REJECTED BY Pengawas]]</f>
        <v>0</v>
      </c>
    </row>
    <row r="273" spans="1:13" x14ac:dyDescent="0.25">
      <c r="A273" t="s">
        <v>84</v>
      </c>
      <c r="B273">
        <v>7172022006000200</v>
      </c>
      <c r="C273">
        <v>64</v>
      </c>
      <c r="D273">
        <v>16</v>
      </c>
      <c r="E273">
        <v>4</v>
      </c>
      <c r="F273">
        <v>0</v>
      </c>
      <c r="G273">
        <v>18</v>
      </c>
      <c r="H273">
        <v>0</v>
      </c>
      <c r="I273">
        <v>0</v>
      </c>
      <c r="J273">
        <v>0</v>
      </c>
      <c r="K273">
        <v>26</v>
      </c>
      <c r="L273">
        <v>0</v>
      </c>
      <c r="M273">
        <f>region_summary__54[[#This Row],[REJECTED BY Admin Kabupaten]]+region_summary__54[[#This Row],[REJECTED BY Pengawas]]</f>
        <v>0</v>
      </c>
    </row>
    <row r="274" spans="1:13" x14ac:dyDescent="0.25">
      <c r="A274" t="s">
        <v>84</v>
      </c>
      <c r="B274">
        <v>7172022006000100</v>
      </c>
      <c r="C274">
        <v>57</v>
      </c>
      <c r="D274">
        <v>16</v>
      </c>
      <c r="E274">
        <v>9</v>
      </c>
      <c r="F274">
        <v>1</v>
      </c>
      <c r="G274">
        <v>15</v>
      </c>
      <c r="H274">
        <v>0</v>
      </c>
      <c r="I274">
        <v>0</v>
      </c>
      <c r="J274">
        <v>0</v>
      </c>
      <c r="K274">
        <v>16</v>
      </c>
      <c r="L274">
        <v>0</v>
      </c>
      <c r="M274">
        <f>region_summary__54[[#This Row],[REJECTED BY Admin Kabupaten]]+region_summary__54[[#This Row],[REJECTED BY Pengawas]]</f>
        <v>0</v>
      </c>
    </row>
    <row r="275" spans="1:13" x14ac:dyDescent="0.25">
      <c r="A275" t="s">
        <v>84</v>
      </c>
      <c r="B275">
        <v>7172022006000400</v>
      </c>
      <c r="C275">
        <v>57</v>
      </c>
      <c r="D275">
        <v>35</v>
      </c>
      <c r="E275">
        <v>7</v>
      </c>
      <c r="F275">
        <v>2</v>
      </c>
      <c r="G275">
        <v>8</v>
      </c>
      <c r="H275">
        <v>0</v>
      </c>
      <c r="I275">
        <v>0</v>
      </c>
      <c r="J275">
        <v>2</v>
      </c>
      <c r="K275">
        <v>3</v>
      </c>
      <c r="L275">
        <v>0</v>
      </c>
      <c r="M275">
        <f>region_summary__54[[#This Row],[REJECTED BY Admin Kabupaten]]+region_summary__54[[#This Row],[REJECTED BY Pengawas]]</f>
        <v>0</v>
      </c>
    </row>
    <row r="276" spans="1:13" x14ac:dyDescent="0.25">
      <c r="A276" t="s">
        <v>84</v>
      </c>
      <c r="B276">
        <v>7172022002000200</v>
      </c>
      <c r="C276">
        <v>55</v>
      </c>
      <c r="D276">
        <v>0</v>
      </c>
      <c r="E276">
        <v>0</v>
      </c>
      <c r="F276">
        <v>0</v>
      </c>
      <c r="G276">
        <v>55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f>region_summary__54[[#This Row],[REJECTED BY Admin Kabupaten]]+region_summary__54[[#This Row],[REJECTED BY Pengawas]]</f>
        <v>0</v>
      </c>
    </row>
    <row r="277" spans="1:13" x14ac:dyDescent="0.25">
      <c r="A277" t="s">
        <v>84</v>
      </c>
      <c r="B277">
        <v>7172022006000600</v>
      </c>
      <c r="C277">
        <v>53</v>
      </c>
      <c r="D277">
        <v>28</v>
      </c>
      <c r="E277">
        <v>12</v>
      </c>
      <c r="F277">
        <v>1</v>
      </c>
      <c r="G277">
        <v>11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f>region_summary__54[[#This Row],[REJECTED BY Admin Kabupaten]]+region_summary__54[[#This Row],[REJECTED BY Pengawas]]</f>
        <v>0</v>
      </c>
    </row>
    <row r="278" spans="1:13" x14ac:dyDescent="0.25">
      <c r="A278" t="s">
        <v>84</v>
      </c>
      <c r="B278">
        <v>7172022006000500</v>
      </c>
      <c r="C278">
        <v>49</v>
      </c>
      <c r="D278">
        <v>39</v>
      </c>
      <c r="E278">
        <v>3</v>
      </c>
      <c r="F278">
        <v>1</v>
      </c>
      <c r="G278">
        <v>4</v>
      </c>
      <c r="H278">
        <v>0</v>
      </c>
      <c r="I278">
        <v>0</v>
      </c>
      <c r="J278">
        <v>1</v>
      </c>
      <c r="K278">
        <v>1</v>
      </c>
      <c r="L278">
        <v>0</v>
      </c>
      <c r="M278">
        <f>region_summary__54[[#This Row],[REJECTED BY Admin Kabupaten]]+region_summary__54[[#This Row],[REJECTED BY Pengawas]]</f>
        <v>0</v>
      </c>
    </row>
    <row r="279" spans="1:13" x14ac:dyDescent="0.25">
      <c r="A279" t="s">
        <v>84</v>
      </c>
      <c r="B279">
        <v>7172022006000300</v>
      </c>
      <c r="C279">
        <v>40</v>
      </c>
      <c r="D279">
        <v>9</v>
      </c>
      <c r="E279">
        <v>4</v>
      </c>
      <c r="F279">
        <v>0</v>
      </c>
      <c r="G279">
        <v>18</v>
      </c>
      <c r="H279">
        <v>0</v>
      </c>
      <c r="I279">
        <v>0</v>
      </c>
      <c r="J279">
        <v>0</v>
      </c>
      <c r="K279">
        <v>9</v>
      </c>
      <c r="L279">
        <v>0</v>
      </c>
      <c r="M279">
        <f>region_summary__54[[#This Row],[REJECTED BY Admin Kabupaten]]+region_summary__54[[#This Row],[REJECTED BY Pengawas]]</f>
        <v>0</v>
      </c>
    </row>
    <row r="280" spans="1:13" x14ac:dyDescent="0.25">
      <c r="A280" t="s">
        <v>84</v>
      </c>
      <c r="B280">
        <v>7172022002000300</v>
      </c>
      <c r="C280">
        <v>36</v>
      </c>
      <c r="D280">
        <v>11</v>
      </c>
      <c r="E280">
        <v>2</v>
      </c>
      <c r="F280">
        <v>0</v>
      </c>
      <c r="G280">
        <v>21</v>
      </c>
      <c r="H280">
        <v>0</v>
      </c>
      <c r="I280">
        <v>0</v>
      </c>
      <c r="J280">
        <v>0</v>
      </c>
      <c r="K280">
        <v>2</v>
      </c>
      <c r="L280">
        <v>0</v>
      </c>
      <c r="M280">
        <f>region_summary__54[[#This Row],[REJECTED BY Admin Kabupaten]]+region_summary__54[[#This Row],[REJECTED BY Pengawas]]</f>
        <v>0</v>
      </c>
    </row>
    <row r="281" spans="1:13" x14ac:dyDescent="0.25">
      <c r="A281" t="s">
        <v>87</v>
      </c>
      <c r="B281">
        <v>7172022005000200</v>
      </c>
      <c r="C281">
        <v>62</v>
      </c>
      <c r="D281">
        <v>50</v>
      </c>
      <c r="E281">
        <v>2</v>
      </c>
      <c r="F281">
        <v>3</v>
      </c>
      <c r="G281">
        <v>3</v>
      </c>
      <c r="H281">
        <v>0</v>
      </c>
      <c r="I281">
        <v>0</v>
      </c>
      <c r="J281">
        <v>0</v>
      </c>
      <c r="K281">
        <v>4</v>
      </c>
      <c r="L281">
        <v>0</v>
      </c>
      <c r="M281">
        <f>region_summary__54[[#This Row],[REJECTED BY Admin Kabupaten]]+region_summary__54[[#This Row],[REJECTED BY Pengawas]]</f>
        <v>0</v>
      </c>
    </row>
    <row r="282" spans="1:13" x14ac:dyDescent="0.25">
      <c r="A282" t="s">
        <v>87</v>
      </c>
      <c r="B282">
        <v>7172022005000300</v>
      </c>
      <c r="C282">
        <v>53</v>
      </c>
      <c r="D282">
        <v>0</v>
      </c>
      <c r="E282">
        <v>6</v>
      </c>
      <c r="F282">
        <v>0</v>
      </c>
      <c r="G282">
        <v>34</v>
      </c>
      <c r="H282">
        <v>0</v>
      </c>
      <c r="I282">
        <v>0</v>
      </c>
      <c r="J282">
        <v>0</v>
      </c>
      <c r="K282">
        <v>13</v>
      </c>
      <c r="L282">
        <v>0</v>
      </c>
      <c r="M282">
        <f>region_summary__54[[#This Row],[REJECTED BY Admin Kabupaten]]+region_summary__54[[#This Row],[REJECTED BY Pengawas]]</f>
        <v>0</v>
      </c>
    </row>
    <row r="283" spans="1:13" x14ac:dyDescent="0.25">
      <c r="A283" t="s">
        <v>87</v>
      </c>
      <c r="B283">
        <v>7172022004000100</v>
      </c>
      <c r="C283">
        <v>48</v>
      </c>
      <c r="D283">
        <v>47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f>region_summary__54[[#This Row],[REJECTED BY Admin Kabupaten]]+region_summary__54[[#This Row],[REJECTED BY Pengawas]]</f>
        <v>0</v>
      </c>
    </row>
    <row r="284" spans="1:13" x14ac:dyDescent="0.25">
      <c r="A284" t="s">
        <v>87</v>
      </c>
      <c r="B284">
        <v>7172022004000200</v>
      </c>
      <c r="C284">
        <v>47</v>
      </c>
      <c r="D284">
        <v>42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</v>
      </c>
      <c r="L284">
        <v>0</v>
      </c>
      <c r="M284">
        <f>region_summary__54[[#This Row],[REJECTED BY Admin Kabupaten]]+region_summary__54[[#This Row],[REJECTED BY Pengawas]]</f>
        <v>0</v>
      </c>
    </row>
    <row r="285" spans="1:13" x14ac:dyDescent="0.25">
      <c r="A285" t="s">
        <v>87</v>
      </c>
      <c r="B285">
        <v>7172022005000100</v>
      </c>
      <c r="C285">
        <v>46</v>
      </c>
      <c r="D285">
        <v>42</v>
      </c>
      <c r="E285">
        <v>0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0</v>
      </c>
      <c r="M285">
        <f>region_summary__54[[#This Row],[REJECTED BY Admin Kabupaten]]+region_summary__54[[#This Row],[REJECTED BY Pengawas]]</f>
        <v>0</v>
      </c>
    </row>
    <row r="286" spans="1:13" x14ac:dyDescent="0.25">
      <c r="A286" t="s">
        <v>87</v>
      </c>
      <c r="B286">
        <v>7172022005000400</v>
      </c>
      <c r="C286">
        <v>42</v>
      </c>
      <c r="D286">
        <v>10</v>
      </c>
      <c r="E286">
        <v>3</v>
      </c>
      <c r="F286">
        <v>0</v>
      </c>
      <c r="G286">
        <v>6</v>
      </c>
      <c r="H286">
        <v>0</v>
      </c>
      <c r="I286">
        <v>0</v>
      </c>
      <c r="J286">
        <v>2</v>
      </c>
      <c r="K286">
        <v>21</v>
      </c>
      <c r="L286">
        <v>0</v>
      </c>
      <c r="M286">
        <f>region_summary__54[[#This Row],[REJECTED BY Admin Kabupaten]]+region_summary__54[[#This Row],[REJECTED BY Pengawas]]</f>
        <v>0</v>
      </c>
    </row>
    <row r="287" spans="1:13" x14ac:dyDescent="0.25">
      <c r="A287" t="s">
        <v>87</v>
      </c>
      <c r="B287">
        <v>7172022004000400</v>
      </c>
      <c r="C287">
        <v>38</v>
      </c>
      <c r="D287">
        <v>0</v>
      </c>
      <c r="E287">
        <v>1</v>
      </c>
      <c r="F287">
        <v>0</v>
      </c>
      <c r="G287">
        <v>37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>region_summary__54[[#This Row],[REJECTED BY Admin Kabupaten]]+region_summary__54[[#This Row],[REJECTED BY Pengawas]]</f>
        <v>0</v>
      </c>
    </row>
    <row r="288" spans="1:13" x14ac:dyDescent="0.25">
      <c r="A288" t="s">
        <v>87</v>
      </c>
      <c r="B288">
        <v>7172022004000300</v>
      </c>
      <c r="C288">
        <v>35</v>
      </c>
      <c r="D288">
        <v>0</v>
      </c>
      <c r="E288">
        <v>1</v>
      </c>
      <c r="F288">
        <v>0</v>
      </c>
      <c r="G288">
        <v>34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>region_summary__54[[#This Row],[REJECTED BY Admin Kabupaten]]+region_summary__54[[#This Row],[REJECTED BY Pengawas]]</f>
        <v>0</v>
      </c>
    </row>
    <row r="289" spans="1:13" x14ac:dyDescent="0.25">
      <c r="A289" t="s">
        <v>87</v>
      </c>
      <c r="B289">
        <v>7172022004000600</v>
      </c>
      <c r="C289">
        <v>27</v>
      </c>
      <c r="D289">
        <v>0</v>
      </c>
      <c r="E289">
        <v>0</v>
      </c>
      <c r="F289">
        <v>0</v>
      </c>
      <c r="G289">
        <v>27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f>region_summary__54[[#This Row],[REJECTED BY Admin Kabupaten]]+region_summary__54[[#This Row],[REJECTED BY Pengawas]]</f>
        <v>0</v>
      </c>
    </row>
    <row r="290" spans="1:13" x14ac:dyDescent="0.25">
      <c r="A290" t="s">
        <v>87</v>
      </c>
      <c r="B290">
        <v>7172022004000500</v>
      </c>
      <c r="C290">
        <v>24</v>
      </c>
      <c r="D290">
        <v>0</v>
      </c>
      <c r="E290">
        <v>0</v>
      </c>
      <c r="F290">
        <v>0</v>
      </c>
      <c r="G290">
        <v>24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f>region_summary__54[[#This Row],[REJECTED BY Admin Kabupaten]]+region_summary__54[[#This Row],[REJECTED BY Pengawas]]</f>
        <v>0</v>
      </c>
    </row>
    <row r="291" spans="1:13" x14ac:dyDescent="0.25">
      <c r="A291" t="s">
        <v>240</v>
      </c>
      <c r="B291">
        <v>7172022007000400</v>
      </c>
      <c r="C291">
        <v>74</v>
      </c>
      <c r="D291">
        <v>12</v>
      </c>
      <c r="E291">
        <v>16</v>
      </c>
      <c r="F291">
        <v>0</v>
      </c>
      <c r="G291">
        <v>44</v>
      </c>
      <c r="H291">
        <v>0</v>
      </c>
      <c r="I291">
        <v>0</v>
      </c>
      <c r="J291">
        <v>0</v>
      </c>
      <c r="K291">
        <v>2</v>
      </c>
      <c r="L291">
        <v>0</v>
      </c>
      <c r="M291">
        <f>region_summary__54[[#This Row],[REJECTED BY Admin Kabupaten]]+region_summary__54[[#This Row],[REJECTED BY Pengawas]]</f>
        <v>0</v>
      </c>
    </row>
    <row r="292" spans="1:13" x14ac:dyDescent="0.25">
      <c r="A292" t="s">
        <v>240</v>
      </c>
      <c r="B292">
        <v>7172022007000300</v>
      </c>
      <c r="C292">
        <v>72</v>
      </c>
      <c r="D292">
        <v>27</v>
      </c>
      <c r="E292">
        <v>15</v>
      </c>
      <c r="F292">
        <v>1</v>
      </c>
      <c r="G292">
        <v>20</v>
      </c>
      <c r="H292">
        <v>0</v>
      </c>
      <c r="I292">
        <v>0</v>
      </c>
      <c r="J292">
        <v>0</v>
      </c>
      <c r="K292">
        <v>9</v>
      </c>
      <c r="L292">
        <v>0</v>
      </c>
      <c r="M292">
        <f>region_summary__54[[#This Row],[REJECTED BY Admin Kabupaten]]+region_summary__54[[#This Row],[REJECTED BY Pengawas]]</f>
        <v>0</v>
      </c>
    </row>
    <row r="293" spans="1:13" x14ac:dyDescent="0.25">
      <c r="A293" t="s">
        <v>240</v>
      </c>
      <c r="B293">
        <v>7172022008000100</v>
      </c>
      <c r="C293">
        <v>70</v>
      </c>
      <c r="D293">
        <v>54</v>
      </c>
      <c r="E293">
        <v>1</v>
      </c>
      <c r="F293">
        <v>3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f>region_summary__54[[#This Row],[REJECTED BY Admin Kabupaten]]+region_summary__54[[#This Row],[REJECTED BY Pengawas]]</f>
        <v>0</v>
      </c>
    </row>
    <row r="294" spans="1:13" x14ac:dyDescent="0.25">
      <c r="A294" t="s">
        <v>240</v>
      </c>
      <c r="B294">
        <v>7172022008000300</v>
      </c>
      <c r="C294">
        <v>62</v>
      </c>
      <c r="D294">
        <v>58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0</v>
      </c>
      <c r="M294">
        <f>region_summary__54[[#This Row],[REJECTED BY Admin Kabupaten]]+region_summary__54[[#This Row],[REJECTED BY Pengawas]]</f>
        <v>0</v>
      </c>
    </row>
    <row r="295" spans="1:13" x14ac:dyDescent="0.25">
      <c r="A295" t="s">
        <v>240</v>
      </c>
      <c r="B295">
        <v>7172022007000100</v>
      </c>
      <c r="C295">
        <v>59</v>
      </c>
      <c r="D295">
        <v>0</v>
      </c>
      <c r="E295">
        <v>0</v>
      </c>
      <c r="F295">
        <v>0</v>
      </c>
      <c r="G295">
        <v>58</v>
      </c>
      <c r="H295">
        <v>0</v>
      </c>
      <c r="I295">
        <v>0</v>
      </c>
      <c r="J295">
        <v>0</v>
      </c>
      <c r="K295">
        <v>1</v>
      </c>
      <c r="L295">
        <v>0</v>
      </c>
      <c r="M295">
        <f>region_summary__54[[#This Row],[REJECTED BY Admin Kabupaten]]+region_summary__54[[#This Row],[REJECTED BY Pengawas]]</f>
        <v>0</v>
      </c>
    </row>
    <row r="296" spans="1:13" x14ac:dyDescent="0.25">
      <c r="A296" t="s">
        <v>240</v>
      </c>
      <c r="B296">
        <v>7172022007000200</v>
      </c>
      <c r="C296">
        <v>56</v>
      </c>
      <c r="D296">
        <v>0</v>
      </c>
      <c r="E296">
        <v>0</v>
      </c>
      <c r="F296">
        <v>0</v>
      </c>
      <c r="G296">
        <v>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f>region_summary__54[[#This Row],[REJECTED BY Admin Kabupaten]]+region_summary__54[[#This Row],[REJECTED BY Pengawas]]</f>
        <v>0</v>
      </c>
    </row>
    <row r="297" spans="1:13" x14ac:dyDescent="0.25">
      <c r="A297" t="s">
        <v>240</v>
      </c>
      <c r="B297">
        <v>7172022008000200</v>
      </c>
      <c r="C297">
        <v>51</v>
      </c>
      <c r="D297">
        <v>45</v>
      </c>
      <c r="E297">
        <v>1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f>region_summary__54[[#This Row],[REJECTED BY Admin Kabupaten]]+region_summary__54[[#This Row],[REJECTED BY Pengawas]]</f>
        <v>0</v>
      </c>
    </row>
    <row r="298" spans="1:13" x14ac:dyDescent="0.25">
      <c r="A298" t="s">
        <v>241</v>
      </c>
      <c r="B298">
        <v>7172030013001000</v>
      </c>
      <c r="C298">
        <v>111</v>
      </c>
      <c r="D298">
        <v>35</v>
      </c>
      <c r="E298">
        <v>0</v>
      </c>
      <c r="F298">
        <v>0</v>
      </c>
      <c r="G298">
        <v>58</v>
      </c>
      <c r="H298">
        <v>0</v>
      </c>
      <c r="I298">
        <v>0</v>
      </c>
      <c r="J298">
        <v>0</v>
      </c>
      <c r="K298">
        <v>18</v>
      </c>
      <c r="L298">
        <v>0</v>
      </c>
      <c r="M298">
        <f>region_summary__54[[#This Row],[REJECTED BY Admin Kabupaten]]+region_summary__54[[#This Row],[REJECTED BY Pengawas]]</f>
        <v>0</v>
      </c>
    </row>
    <row r="299" spans="1:13" x14ac:dyDescent="0.25">
      <c r="A299" t="s">
        <v>241</v>
      </c>
      <c r="B299">
        <v>7172030013000200</v>
      </c>
      <c r="C299">
        <v>88</v>
      </c>
      <c r="D299">
        <v>76</v>
      </c>
      <c r="E299">
        <v>0</v>
      </c>
      <c r="F299">
        <v>6</v>
      </c>
      <c r="G299">
        <v>3</v>
      </c>
      <c r="H299">
        <v>0</v>
      </c>
      <c r="I299">
        <v>0</v>
      </c>
      <c r="J299">
        <v>0</v>
      </c>
      <c r="K299">
        <v>3</v>
      </c>
      <c r="L299">
        <v>0</v>
      </c>
      <c r="M299">
        <f>region_summary__54[[#This Row],[REJECTED BY Admin Kabupaten]]+region_summary__54[[#This Row],[REJECTED BY Pengawas]]</f>
        <v>0</v>
      </c>
    </row>
    <row r="300" spans="1:13" x14ac:dyDescent="0.25">
      <c r="A300" t="s">
        <v>241</v>
      </c>
      <c r="B300">
        <v>7172030013001200</v>
      </c>
      <c r="C300">
        <v>76</v>
      </c>
      <c r="D300">
        <v>16</v>
      </c>
      <c r="E300">
        <v>4</v>
      </c>
      <c r="F300">
        <v>0</v>
      </c>
      <c r="G300">
        <v>49</v>
      </c>
      <c r="H300">
        <v>0</v>
      </c>
      <c r="I300">
        <v>0</v>
      </c>
      <c r="J300">
        <v>0</v>
      </c>
      <c r="K300">
        <v>7</v>
      </c>
      <c r="L300">
        <v>0</v>
      </c>
      <c r="M300">
        <f>region_summary__54[[#This Row],[REJECTED BY Admin Kabupaten]]+region_summary__54[[#This Row],[REJECTED BY Pengawas]]</f>
        <v>0</v>
      </c>
    </row>
    <row r="301" spans="1:13" x14ac:dyDescent="0.25">
      <c r="A301" t="s">
        <v>241</v>
      </c>
      <c r="B301">
        <v>7172030013000600</v>
      </c>
      <c r="C301">
        <v>63</v>
      </c>
      <c r="D301">
        <v>16</v>
      </c>
      <c r="E301">
        <v>10</v>
      </c>
      <c r="F301">
        <v>0</v>
      </c>
      <c r="G301">
        <v>27</v>
      </c>
      <c r="H301">
        <v>0</v>
      </c>
      <c r="I301">
        <v>0</v>
      </c>
      <c r="J301">
        <v>0</v>
      </c>
      <c r="K301">
        <v>10</v>
      </c>
      <c r="L301">
        <v>0</v>
      </c>
      <c r="M301">
        <f>region_summary__54[[#This Row],[REJECTED BY Admin Kabupaten]]+region_summary__54[[#This Row],[REJECTED BY Pengawas]]</f>
        <v>0</v>
      </c>
    </row>
    <row r="302" spans="1:13" x14ac:dyDescent="0.25">
      <c r="A302" t="s">
        <v>241</v>
      </c>
      <c r="B302">
        <v>7172030013000400</v>
      </c>
      <c r="C302">
        <v>57</v>
      </c>
      <c r="D302">
        <v>42</v>
      </c>
      <c r="E302">
        <v>4</v>
      </c>
      <c r="F302">
        <v>1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>region_summary__54[[#This Row],[REJECTED BY Admin Kabupaten]]+region_summary__54[[#This Row],[REJECTED BY Pengawas]]</f>
        <v>0</v>
      </c>
    </row>
    <row r="303" spans="1:13" x14ac:dyDescent="0.25">
      <c r="A303" t="s">
        <v>241</v>
      </c>
      <c r="B303">
        <v>7172030013000900</v>
      </c>
      <c r="C303">
        <v>56</v>
      </c>
      <c r="D303">
        <v>5</v>
      </c>
      <c r="E303">
        <v>10</v>
      </c>
      <c r="F303">
        <v>0</v>
      </c>
      <c r="G303">
        <v>39</v>
      </c>
      <c r="H303">
        <v>0</v>
      </c>
      <c r="I303">
        <v>0</v>
      </c>
      <c r="J303">
        <v>0</v>
      </c>
      <c r="K303">
        <v>2</v>
      </c>
      <c r="L303">
        <v>0</v>
      </c>
      <c r="M303">
        <f>region_summary__54[[#This Row],[REJECTED BY Admin Kabupaten]]+region_summary__54[[#This Row],[REJECTED BY Pengawas]]</f>
        <v>0</v>
      </c>
    </row>
    <row r="304" spans="1:13" x14ac:dyDescent="0.25">
      <c r="A304" t="s">
        <v>241</v>
      </c>
      <c r="B304">
        <v>7172030013000500</v>
      </c>
      <c r="C304">
        <v>53</v>
      </c>
      <c r="D304">
        <v>12</v>
      </c>
      <c r="E304">
        <v>0</v>
      </c>
      <c r="F304">
        <v>0</v>
      </c>
      <c r="G304">
        <v>41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f>region_summary__54[[#This Row],[REJECTED BY Admin Kabupaten]]+region_summary__54[[#This Row],[REJECTED BY Pengawas]]</f>
        <v>0</v>
      </c>
    </row>
    <row r="305" spans="1:13" x14ac:dyDescent="0.25">
      <c r="A305" t="s">
        <v>241</v>
      </c>
      <c r="B305">
        <v>7172030013000800</v>
      </c>
      <c r="C305">
        <v>42</v>
      </c>
      <c r="D305">
        <v>10</v>
      </c>
      <c r="E305">
        <v>0</v>
      </c>
      <c r="F305">
        <v>0</v>
      </c>
      <c r="G305">
        <v>32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f>region_summary__54[[#This Row],[REJECTED BY Admin Kabupaten]]+region_summary__54[[#This Row],[REJECTED BY Pengawas]]</f>
        <v>0</v>
      </c>
    </row>
    <row r="306" spans="1:13" x14ac:dyDescent="0.25">
      <c r="A306" t="s">
        <v>241</v>
      </c>
      <c r="B306">
        <v>7172030013000700</v>
      </c>
      <c r="C306">
        <v>34</v>
      </c>
      <c r="D306">
        <v>13</v>
      </c>
      <c r="E306">
        <v>0</v>
      </c>
      <c r="F306">
        <v>0</v>
      </c>
      <c r="G306">
        <v>20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f>region_summary__54[[#This Row],[REJECTED BY Admin Kabupaten]]+region_summary__54[[#This Row],[REJECTED BY Pengawas]]</f>
        <v>0</v>
      </c>
    </row>
    <row r="307" spans="1:13" x14ac:dyDescent="0.25">
      <c r="A307" t="s">
        <v>96</v>
      </c>
      <c r="B307">
        <v>7172030009000100</v>
      </c>
      <c r="C307">
        <v>104</v>
      </c>
      <c r="D307">
        <v>15</v>
      </c>
      <c r="E307">
        <v>8</v>
      </c>
      <c r="F307">
        <v>0</v>
      </c>
      <c r="G307">
        <v>81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f>region_summary__54[[#This Row],[REJECTED BY Admin Kabupaten]]+region_summary__54[[#This Row],[REJECTED BY Pengawas]]</f>
        <v>0</v>
      </c>
    </row>
    <row r="308" spans="1:13" x14ac:dyDescent="0.25">
      <c r="A308" t="s">
        <v>96</v>
      </c>
      <c r="B308">
        <v>7172030017000500</v>
      </c>
      <c r="C308">
        <v>88</v>
      </c>
      <c r="D308">
        <v>59</v>
      </c>
      <c r="E308">
        <v>2</v>
      </c>
      <c r="F308">
        <v>17</v>
      </c>
      <c r="G308">
        <v>0</v>
      </c>
      <c r="H308">
        <v>2</v>
      </c>
      <c r="I308">
        <v>8</v>
      </c>
      <c r="J308">
        <v>0</v>
      </c>
      <c r="K308">
        <v>0</v>
      </c>
      <c r="L308">
        <v>0</v>
      </c>
      <c r="M308">
        <f>region_summary__54[[#This Row],[REJECTED BY Admin Kabupaten]]+region_summary__54[[#This Row],[REJECTED BY Pengawas]]</f>
        <v>10</v>
      </c>
    </row>
    <row r="309" spans="1:13" x14ac:dyDescent="0.25">
      <c r="A309" t="s">
        <v>96</v>
      </c>
      <c r="B309">
        <v>7172030017000100</v>
      </c>
      <c r="C309">
        <v>82</v>
      </c>
      <c r="D309">
        <v>42</v>
      </c>
      <c r="E309">
        <v>23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9</v>
      </c>
      <c r="L309">
        <v>0</v>
      </c>
      <c r="M309">
        <f>region_summary__54[[#This Row],[REJECTED BY Admin Kabupaten]]+region_summary__54[[#This Row],[REJECTED BY Pengawas]]</f>
        <v>0</v>
      </c>
    </row>
    <row r="310" spans="1:13" x14ac:dyDescent="0.25">
      <c r="A310" t="s">
        <v>96</v>
      </c>
      <c r="B310">
        <v>7172030009000200</v>
      </c>
      <c r="C310">
        <v>59</v>
      </c>
      <c r="D310">
        <v>8</v>
      </c>
      <c r="E310">
        <v>0</v>
      </c>
      <c r="F310">
        <v>0</v>
      </c>
      <c r="G310">
        <v>51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f>region_summary__54[[#This Row],[REJECTED BY Admin Kabupaten]]+region_summary__54[[#This Row],[REJECTED BY Pengawas]]</f>
        <v>0</v>
      </c>
    </row>
    <row r="311" spans="1:13" x14ac:dyDescent="0.25">
      <c r="A311" t="s">
        <v>96</v>
      </c>
      <c r="B311">
        <v>7172030009000500</v>
      </c>
      <c r="C311">
        <v>56</v>
      </c>
      <c r="D311">
        <v>12</v>
      </c>
      <c r="E311">
        <v>7</v>
      </c>
      <c r="F311">
        <v>0</v>
      </c>
      <c r="G311">
        <v>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f>region_summary__54[[#This Row],[REJECTED BY Admin Kabupaten]]+region_summary__54[[#This Row],[REJECTED BY Pengawas]]</f>
        <v>0</v>
      </c>
    </row>
    <row r="312" spans="1:13" x14ac:dyDescent="0.25">
      <c r="A312" t="s">
        <v>96</v>
      </c>
      <c r="B312">
        <v>7172030009000400</v>
      </c>
      <c r="C312">
        <v>46</v>
      </c>
      <c r="D312">
        <v>8</v>
      </c>
      <c r="E312">
        <v>12</v>
      </c>
      <c r="F312">
        <v>1</v>
      </c>
      <c r="G312">
        <v>0</v>
      </c>
      <c r="H312">
        <v>0</v>
      </c>
      <c r="I312">
        <v>15</v>
      </c>
      <c r="J312">
        <v>0</v>
      </c>
      <c r="K312">
        <v>10</v>
      </c>
      <c r="L312">
        <v>0</v>
      </c>
      <c r="M312">
        <f>region_summary__54[[#This Row],[REJECTED BY Admin Kabupaten]]+region_summary__54[[#This Row],[REJECTED BY Pengawas]]</f>
        <v>15</v>
      </c>
    </row>
    <row r="313" spans="1:13" x14ac:dyDescent="0.25">
      <c r="A313" t="s">
        <v>96</v>
      </c>
      <c r="B313">
        <v>7172030009000300</v>
      </c>
      <c r="C313">
        <v>45</v>
      </c>
      <c r="D313">
        <v>2</v>
      </c>
      <c r="E313">
        <v>0</v>
      </c>
      <c r="F313">
        <v>0</v>
      </c>
      <c r="G313">
        <v>43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f>region_summary__54[[#This Row],[REJECTED BY Admin Kabupaten]]+region_summary__54[[#This Row],[REJECTED BY Pengawas]]</f>
        <v>0</v>
      </c>
    </row>
    <row r="314" spans="1:13" x14ac:dyDescent="0.25">
      <c r="A314" t="s">
        <v>96</v>
      </c>
      <c r="B314">
        <v>7172030009000600</v>
      </c>
      <c r="C314">
        <v>43</v>
      </c>
      <c r="D314">
        <v>10</v>
      </c>
      <c r="E314">
        <v>0</v>
      </c>
      <c r="F314">
        <v>0</v>
      </c>
      <c r="G314">
        <v>33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f>region_summary__54[[#This Row],[REJECTED BY Admin Kabupaten]]+region_summary__54[[#This Row],[REJECTED BY Pengawas]]</f>
        <v>0</v>
      </c>
    </row>
    <row r="315" spans="1:13" x14ac:dyDescent="0.25">
      <c r="A315" t="s">
        <v>96</v>
      </c>
      <c r="B315">
        <v>7172030009000800</v>
      </c>
      <c r="C315">
        <v>35</v>
      </c>
      <c r="D315">
        <v>0</v>
      </c>
      <c r="E315">
        <v>34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f>region_summary__54[[#This Row],[REJECTED BY Admin Kabupaten]]+region_summary__54[[#This Row],[REJECTED BY Pengawas]]</f>
        <v>0</v>
      </c>
    </row>
    <row r="316" spans="1:13" x14ac:dyDescent="0.25">
      <c r="A316" t="s">
        <v>96</v>
      </c>
      <c r="B316">
        <v>7172030017000300</v>
      </c>
      <c r="C316">
        <v>32</v>
      </c>
      <c r="D316">
        <v>14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17</v>
      </c>
      <c r="L316">
        <v>0</v>
      </c>
      <c r="M316">
        <f>region_summary__54[[#This Row],[REJECTED BY Admin Kabupaten]]+region_summary__54[[#This Row],[REJECTED BY Pengawas]]</f>
        <v>0</v>
      </c>
    </row>
    <row r="317" spans="1:13" x14ac:dyDescent="0.25">
      <c r="A317" t="s">
        <v>96</v>
      </c>
      <c r="B317">
        <v>7172030017000200</v>
      </c>
      <c r="C317">
        <v>24</v>
      </c>
      <c r="D317">
        <v>2</v>
      </c>
      <c r="E317">
        <v>3</v>
      </c>
      <c r="F317">
        <v>0</v>
      </c>
      <c r="G317">
        <v>0</v>
      </c>
      <c r="H317">
        <v>0</v>
      </c>
      <c r="I317">
        <v>14</v>
      </c>
      <c r="J317">
        <v>5</v>
      </c>
      <c r="K317">
        <v>0</v>
      </c>
      <c r="L317">
        <v>0</v>
      </c>
      <c r="M317">
        <f>region_summary__54[[#This Row],[REJECTED BY Admin Kabupaten]]+region_summary__54[[#This Row],[REJECTED BY Pengawas]]</f>
        <v>14</v>
      </c>
    </row>
    <row r="318" spans="1:13" x14ac:dyDescent="0.25">
      <c r="A318" t="s">
        <v>96</v>
      </c>
      <c r="B318">
        <v>7172030009000700</v>
      </c>
      <c r="C318">
        <v>22</v>
      </c>
      <c r="D318">
        <v>4</v>
      </c>
      <c r="E318">
        <v>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f>region_summary__54[[#This Row],[REJECTED BY Admin Kabupaten]]+region_summary__54[[#This Row],[REJECTED BY Pengawas]]</f>
        <v>0</v>
      </c>
    </row>
    <row r="319" spans="1:13" x14ac:dyDescent="0.25">
      <c r="A319" t="s">
        <v>96</v>
      </c>
      <c r="B319">
        <v>7172030009200100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f>region_summary__54[[#This Row],[REJECTED BY Admin Kabupaten]]+region_summary__54[[#This Row],[REJECTED BY Pengawas]]</f>
        <v>0</v>
      </c>
    </row>
    <row r="320" spans="1:13" x14ac:dyDescent="0.25">
      <c r="A320" t="s">
        <v>94</v>
      </c>
      <c r="B320">
        <v>7172030007001700</v>
      </c>
      <c r="C320">
        <v>86</v>
      </c>
      <c r="D320">
        <v>12</v>
      </c>
      <c r="E320">
        <v>22</v>
      </c>
      <c r="F320">
        <v>0</v>
      </c>
      <c r="G320">
        <v>46</v>
      </c>
      <c r="H320">
        <v>0</v>
      </c>
      <c r="I320">
        <v>0</v>
      </c>
      <c r="J320">
        <v>0</v>
      </c>
      <c r="K320">
        <v>6</v>
      </c>
      <c r="L320">
        <v>0</v>
      </c>
      <c r="M320">
        <f>region_summary__54[[#This Row],[REJECTED BY Admin Kabupaten]]+region_summary__54[[#This Row],[REJECTED BY Pengawas]]</f>
        <v>0</v>
      </c>
    </row>
    <row r="321" spans="1:13" x14ac:dyDescent="0.25">
      <c r="A321" t="s">
        <v>94</v>
      </c>
      <c r="B321">
        <v>7172030007001800</v>
      </c>
      <c r="C321">
        <v>85</v>
      </c>
      <c r="D321">
        <v>13</v>
      </c>
      <c r="E321">
        <v>22</v>
      </c>
      <c r="F321">
        <v>0</v>
      </c>
      <c r="G321">
        <v>48</v>
      </c>
      <c r="H321">
        <v>0</v>
      </c>
      <c r="I321">
        <v>0</v>
      </c>
      <c r="J321">
        <v>0</v>
      </c>
      <c r="K321">
        <v>2</v>
      </c>
      <c r="L321">
        <v>0</v>
      </c>
      <c r="M321">
        <f>region_summary__54[[#This Row],[REJECTED BY Admin Kabupaten]]+region_summary__54[[#This Row],[REJECTED BY Pengawas]]</f>
        <v>0</v>
      </c>
    </row>
    <row r="322" spans="1:13" x14ac:dyDescent="0.25">
      <c r="A322" t="s">
        <v>94</v>
      </c>
      <c r="B322">
        <v>7172030007001900</v>
      </c>
      <c r="C322">
        <v>84</v>
      </c>
      <c r="D322">
        <v>11</v>
      </c>
      <c r="E322">
        <v>0</v>
      </c>
      <c r="F322">
        <v>0</v>
      </c>
      <c r="G322">
        <v>73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f>region_summary__54[[#This Row],[REJECTED BY Admin Kabupaten]]+region_summary__54[[#This Row],[REJECTED BY Pengawas]]</f>
        <v>0</v>
      </c>
    </row>
    <row r="323" spans="1:13" x14ac:dyDescent="0.25">
      <c r="A323" t="s">
        <v>94</v>
      </c>
      <c r="B323">
        <v>7172030007001500</v>
      </c>
      <c r="C323">
        <v>77</v>
      </c>
      <c r="D323">
        <v>13</v>
      </c>
      <c r="E323">
        <v>0</v>
      </c>
      <c r="F323">
        <v>0</v>
      </c>
      <c r="G323">
        <v>64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f>region_summary__54[[#This Row],[REJECTED BY Admin Kabupaten]]+region_summary__54[[#This Row],[REJECTED BY Pengawas]]</f>
        <v>0</v>
      </c>
    </row>
    <row r="324" spans="1:13" x14ac:dyDescent="0.25">
      <c r="A324" t="s">
        <v>94</v>
      </c>
      <c r="B324">
        <v>7172030007001100</v>
      </c>
      <c r="C324">
        <v>58</v>
      </c>
      <c r="D324">
        <v>55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f>region_summary__54[[#This Row],[REJECTED BY Admin Kabupaten]]+region_summary__54[[#This Row],[REJECTED BY Pengawas]]</f>
        <v>0</v>
      </c>
    </row>
    <row r="325" spans="1:13" x14ac:dyDescent="0.25">
      <c r="A325" t="s">
        <v>94</v>
      </c>
      <c r="B325">
        <v>7172030007001200</v>
      </c>
      <c r="C325">
        <v>54</v>
      </c>
      <c r="D325">
        <v>53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f>region_summary__54[[#This Row],[REJECTED BY Admin Kabupaten]]+region_summary__54[[#This Row],[REJECTED BY Pengawas]]</f>
        <v>0</v>
      </c>
    </row>
    <row r="326" spans="1:13" x14ac:dyDescent="0.25">
      <c r="A326" t="s">
        <v>94</v>
      </c>
      <c r="B326">
        <v>7172030007001600</v>
      </c>
      <c r="C326">
        <v>53</v>
      </c>
      <c r="D326">
        <v>14</v>
      </c>
      <c r="E326">
        <v>1</v>
      </c>
      <c r="F326">
        <v>0</v>
      </c>
      <c r="G326">
        <v>36</v>
      </c>
      <c r="H326">
        <v>0</v>
      </c>
      <c r="I326">
        <v>0</v>
      </c>
      <c r="J326">
        <v>0</v>
      </c>
      <c r="K326">
        <v>2</v>
      </c>
      <c r="L326">
        <v>0</v>
      </c>
      <c r="M326">
        <f>region_summary__54[[#This Row],[REJECTED BY Admin Kabupaten]]+region_summary__54[[#This Row],[REJECTED BY Pengawas]]</f>
        <v>0</v>
      </c>
    </row>
    <row r="327" spans="1:13" x14ac:dyDescent="0.25">
      <c r="A327" t="s">
        <v>94</v>
      </c>
      <c r="B327">
        <v>7172030007001300</v>
      </c>
      <c r="C327">
        <v>45</v>
      </c>
      <c r="D327">
        <v>42</v>
      </c>
      <c r="E327">
        <v>2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f>region_summary__54[[#This Row],[REJECTED BY Admin Kabupaten]]+region_summary__54[[#This Row],[REJECTED BY Pengawas]]</f>
        <v>1</v>
      </c>
    </row>
    <row r="328" spans="1:13" x14ac:dyDescent="0.25">
      <c r="A328" t="s">
        <v>94</v>
      </c>
      <c r="B328">
        <v>7172030007001400</v>
      </c>
      <c r="C328">
        <v>44</v>
      </c>
      <c r="D328">
        <v>27</v>
      </c>
      <c r="E328">
        <v>6</v>
      </c>
      <c r="F328">
        <v>0</v>
      </c>
      <c r="G328">
        <v>11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f>region_summary__54[[#This Row],[REJECTED BY Admin Kabupaten]]+region_summary__54[[#This Row],[REJECTED BY Pengawas]]</f>
        <v>0</v>
      </c>
    </row>
    <row r="329" spans="1:13" x14ac:dyDescent="0.25">
      <c r="A329" t="s">
        <v>98</v>
      </c>
      <c r="B329">
        <v>7172030012000600</v>
      </c>
      <c r="C329">
        <v>110</v>
      </c>
      <c r="D329">
        <v>66</v>
      </c>
      <c r="E329">
        <v>20</v>
      </c>
      <c r="F329">
        <v>0</v>
      </c>
      <c r="G329">
        <v>23</v>
      </c>
      <c r="H329">
        <v>0</v>
      </c>
      <c r="I329">
        <v>1</v>
      </c>
      <c r="J329">
        <v>0</v>
      </c>
      <c r="K329">
        <v>0</v>
      </c>
      <c r="L329">
        <v>0</v>
      </c>
      <c r="M329">
        <f>region_summary__54[[#This Row],[REJECTED BY Admin Kabupaten]]+region_summary__54[[#This Row],[REJECTED BY Pengawas]]</f>
        <v>1</v>
      </c>
    </row>
    <row r="330" spans="1:13" x14ac:dyDescent="0.25">
      <c r="A330" t="s">
        <v>98</v>
      </c>
      <c r="B330">
        <v>7172030012001400</v>
      </c>
      <c r="C330">
        <v>108</v>
      </c>
      <c r="D330">
        <v>37</v>
      </c>
      <c r="E330">
        <v>0</v>
      </c>
      <c r="F330">
        <v>0</v>
      </c>
      <c r="G330">
        <v>71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f>region_summary__54[[#This Row],[REJECTED BY Admin Kabupaten]]+region_summary__54[[#This Row],[REJECTED BY Pengawas]]</f>
        <v>0</v>
      </c>
    </row>
    <row r="331" spans="1:13" x14ac:dyDescent="0.25">
      <c r="A331" t="s">
        <v>98</v>
      </c>
      <c r="B331">
        <v>7172030012001000</v>
      </c>
      <c r="C331">
        <v>107</v>
      </c>
      <c r="D331">
        <v>69</v>
      </c>
      <c r="E331">
        <v>13</v>
      </c>
      <c r="F331">
        <v>0</v>
      </c>
      <c r="G331">
        <v>25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f>region_summary__54[[#This Row],[REJECTED BY Admin Kabupaten]]+region_summary__54[[#This Row],[REJECTED BY Pengawas]]</f>
        <v>0</v>
      </c>
    </row>
    <row r="332" spans="1:13" x14ac:dyDescent="0.25">
      <c r="A332" t="s">
        <v>98</v>
      </c>
      <c r="B332">
        <v>7172030012000800</v>
      </c>
      <c r="C332">
        <v>99</v>
      </c>
      <c r="D332">
        <v>35</v>
      </c>
      <c r="E332">
        <v>0</v>
      </c>
      <c r="F332">
        <v>0</v>
      </c>
      <c r="G332">
        <v>64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f>region_summary__54[[#This Row],[REJECTED BY Admin Kabupaten]]+region_summary__54[[#This Row],[REJECTED BY Pengawas]]</f>
        <v>0</v>
      </c>
    </row>
    <row r="333" spans="1:13" x14ac:dyDescent="0.25">
      <c r="A333" t="s">
        <v>98</v>
      </c>
      <c r="B333">
        <v>7172030012001100</v>
      </c>
      <c r="C333">
        <v>99</v>
      </c>
      <c r="D333">
        <v>68</v>
      </c>
      <c r="E333">
        <v>19</v>
      </c>
      <c r="F333">
        <v>0</v>
      </c>
      <c r="G333">
        <v>4</v>
      </c>
      <c r="H333">
        <v>0</v>
      </c>
      <c r="I333">
        <v>1</v>
      </c>
      <c r="J333">
        <v>0</v>
      </c>
      <c r="K333">
        <v>7</v>
      </c>
      <c r="L333">
        <v>0</v>
      </c>
      <c r="M333">
        <f>region_summary__54[[#This Row],[REJECTED BY Admin Kabupaten]]+region_summary__54[[#This Row],[REJECTED BY Pengawas]]</f>
        <v>1</v>
      </c>
    </row>
    <row r="334" spans="1:13" x14ac:dyDescent="0.25">
      <c r="A334" t="s">
        <v>98</v>
      </c>
      <c r="B334">
        <v>7172030012001300</v>
      </c>
      <c r="C334">
        <v>61</v>
      </c>
      <c r="D334">
        <v>10</v>
      </c>
      <c r="E334">
        <v>0</v>
      </c>
      <c r="F334">
        <v>0</v>
      </c>
      <c r="G334">
        <v>51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f>region_summary__54[[#This Row],[REJECTED BY Admin Kabupaten]]+region_summary__54[[#This Row],[REJECTED BY Pengawas]]</f>
        <v>0</v>
      </c>
    </row>
    <row r="335" spans="1:13" x14ac:dyDescent="0.25">
      <c r="A335" t="s">
        <v>98</v>
      </c>
      <c r="B335">
        <v>7172030012001500</v>
      </c>
      <c r="C335">
        <v>51</v>
      </c>
      <c r="D335">
        <v>41</v>
      </c>
      <c r="E335">
        <v>0</v>
      </c>
      <c r="F335">
        <v>0</v>
      </c>
      <c r="G335">
        <v>9</v>
      </c>
      <c r="H335">
        <v>0</v>
      </c>
      <c r="I335">
        <v>0</v>
      </c>
      <c r="J335">
        <v>1</v>
      </c>
      <c r="K335">
        <v>0</v>
      </c>
      <c r="L335">
        <v>0</v>
      </c>
      <c r="M335">
        <f>region_summary__54[[#This Row],[REJECTED BY Admin Kabupaten]]+region_summary__54[[#This Row],[REJECTED BY Pengawas]]</f>
        <v>0</v>
      </c>
    </row>
    <row r="336" spans="1:13" x14ac:dyDescent="0.25">
      <c r="A336" t="s">
        <v>107</v>
      </c>
      <c r="B336">
        <v>7172030017000400</v>
      </c>
      <c r="C336">
        <v>124</v>
      </c>
      <c r="D336">
        <v>58</v>
      </c>
      <c r="E336">
        <v>2</v>
      </c>
      <c r="F336">
        <v>2</v>
      </c>
      <c r="G336">
        <v>55</v>
      </c>
      <c r="H336">
        <v>0</v>
      </c>
      <c r="I336">
        <v>0</v>
      </c>
      <c r="J336">
        <v>0</v>
      </c>
      <c r="K336">
        <v>7</v>
      </c>
      <c r="L336">
        <v>0</v>
      </c>
      <c r="M336">
        <f>region_summary__54[[#This Row],[REJECTED BY Admin Kabupaten]]+region_summary__54[[#This Row],[REJECTED BY Pengawas]]</f>
        <v>0</v>
      </c>
    </row>
    <row r="337" spans="1:13" x14ac:dyDescent="0.25">
      <c r="A337" t="s">
        <v>107</v>
      </c>
      <c r="B337">
        <v>7172030017000700</v>
      </c>
      <c r="C337">
        <v>113</v>
      </c>
      <c r="D337">
        <v>87</v>
      </c>
      <c r="E337">
        <v>4</v>
      </c>
      <c r="F337">
        <v>1</v>
      </c>
      <c r="G337">
        <v>20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f>region_summary__54[[#This Row],[REJECTED BY Admin Kabupaten]]+region_summary__54[[#This Row],[REJECTED BY Pengawas]]</f>
        <v>1</v>
      </c>
    </row>
    <row r="338" spans="1:13" x14ac:dyDescent="0.25">
      <c r="A338" t="s">
        <v>107</v>
      </c>
      <c r="B338">
        <v>7172030017000600</v>
      </c>
      <c r="C338">
        <v>97</v>
      </c>
      <c r="D338">
        <v>33</v>
      </c>
      <c r="E338">
        <v>1</v>
      </c>
      <c r="F338">
        <v>0</v>
      </c>
      <c r="G338">
        <v>56</v>
      </c>
      <c r="H338">
        <v>0</v>
      </c>
      <c r="I338">
        <v>0</v>
      </c>
      <c r="J338">
        <v>0</v>
      </c>
      <c r="K338">
        <v>7</v>
      </c>
      <c r="L338">
        <v>0</v>
      </c>
      <c r="M338">
        <f>region_summary__54[[#This Row],[REJECTED BY Admin Kabupaten]]+region_summary__54[[#This Row],[REJECTED BY Pengawas]]</f>
        <v>0</v>
      </c>
    </row>
    <row r="339" spans="1:13" x14ac:dyDescent="0.25">
      <c r="A339" t="s">
        <v>107</v>
      </c>
      <c r="B339">
        <v>7172030017001000</v>
      </c>
      <c r="C339">
        <v>56</v>
      </c>
      <c r="D339">
        <v>0</v>
      </c>
      <c r="E339">
        <v>0</v>
      </c>
      <c r="F339">
        <v>0</v>
      </c>
      <c r="G339">
        <v>56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f>region_summary__54[[#This Row],[REJECTED BY Admin Kabupaten]]+region_summary__54[[#This Row],[REJECTED BY Pengawas]]</f>
        <v>0</v>
      </c>
    </row>
    <row r="340" spans="1:13" x14ac:dyDescent="0.25">
      <c r="A340" t="s">
        <v>107</v>
      </c>
      <c r="B340">
        <v>7172030017000800</v>
      </c>
      <c r="C340">
        <v>48</v>
      </c>
      <c r="D340">
        <v>35</v>
      </c>
      <c r="E340">
        <v>2</v>
      </c>
      <c r="F340">
        <v>0</v>
      </c>
      <c r="G340">
        <v>10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f>region_summary__54[[#This Row],[REJECTED BY Admin Kabupaten]]+region_summary__54[[#This Row],[REJECTED BY Pengawas]]</f>
        <v>1</v>
      </c>
    </row>
    <row r="341" spans="1:13" x14ac:dyDescent="0.25">
      <c r="A341" t="s">
        <v>107</v>
      </c>
      <c r="B341">
        <v>7172030017000900</v>
      </c>
      <c r="C341">
        <v>48</v>
      </c>
      <c r="D341">
        <v>3</v>
      </c>
      <c r="E341">
        <v>0</v>
      </c>
      <c r="F341">
        <v>0</v>
      </c>
      <c r="G341">
        <v>45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f>region_summary__54[[#This Row],[REJECTED BY Admin Kabupaten]]+region_summary__54[[#This Row],[REJECTED BY Pengawas]]</f>
        <v>0</v>
      </c>
    </row>
    <row r="342" spans="1:13" x14ac:dyDescent="0.25">
      <c r="A342" t="s">
        <v>107</v>
      </c>
      <c r="B342">
        <v>7172030017001200</v>
      </c>
      <c r="C342">
        <v>41</v>
      </c>
      <c r="D342">
        <v>5</v>
      </c>
      <c r="E342">
        <v>0</v>
      </c>
      <c r="F342">
        <v>0</v>
      </c>
      <c r="G342">
        <v>36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f>region_summary__54[[#This Row],[REJECTED BY Admin Kabupaten]]+region_summary__54[[#This Row],[REJECTED BY Pengawas]]</f>
        <v>0</v>
      </c>
    </row>
    <row r="343" spans="1:13" x14ac:dyDescent="0.25">
      <c r="A343" t="s">
        <v>107</v>
      </c>
      <c r="B343">
        <v>7172030017001300</v>
      </c>
      <c r="C343">
        <v>41</v>
      </c>
      <c r="D343">
        <v>34</v>
      </c>
      <c r="E343">
        <v>4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f>region_summary__54[[#This Row],[REJECTED BY Admin Kabupaten]]+region_summary__54[[#This Row],[REJECTED BY Pengawas]]</f>
        <v>0</v>
      </c>
    </row>
    <row r="344" spans="1:13" x14ac:dyDescent="0.25">
      <c r="A344" t="s">
        <v>242</v>
      </c>
      <c r="B344">
        <v>7172030013001300</v>
      </c>
      <c r="C344">
        <v>135</v>
      </c>
      <c r="D344">
        <v>119</v>
      </c>
      <c r="E344">
        <v>0</v>
      </c>
      <c r="F344">
        <v>2</v>
      </c>
      <c r="G344">
        <v>14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f>region_summary__54[[#This Row],[REJECTED BY Admin Kabupaten]]+region_summary__54[[#This Row],[REJECTED BY Pengawas]]</f>
        <v>0</v>
      </c>
    </row>
    <row r="345" spans="1:13" x14ac:dyDescent="0.25">
      <c r="A345" t="s">
        <v>242</v>
      </c>
      <c r="B345">
        <v>7172030013001500</v>
      </c>
      <c r="C345">
        <v>133</v>
      </c>
      <c r="D345">
        <v>41</v>
      </c>
      <c r="E345">
        <v>0</v>
      </c>
      <c r="F345">
        <v>1</v>
      </c>
      <c r="G345">
        <v>78</v>
      </c>
      <c r="H345">
        <v>0</v>
      </c>
      <c r="I345">
        <v>1</v>
      </c>
      <c r="J345">
        <v>0</v>
      </c>
      <c r="K345">
        <v>12</v>
      </c>
      <c r="L345">
        <v>0</v>
      </c>
      <c r="M345">
        <f>region_summary__54[[#This Row],[REJECTED BY Admin Kabupaten]]+region_summary__54[[#This Row],[REJECTED BY Pengawas]]</f>
        <v>1</v>
      </c>
    </row>
    <row r="346" spans="1:13" x14ac:dyDescent="0.25">
      <c r="A346" t="s">
        <v>242</v>
      </c>
      <c r="B346">
        <v>7172030013001600</v>
      </c>
      <c r="C346">
        <v>95</v>
      </c>
      <c r="D346">
        <v>20</v>
      </c>
      <c r="E346">
        <v>0</v>
      </c>
      <c r="F346">
        <v>0</v>
      </c>
      <c r="G346">
        <v>75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f>region_summary__54[[#This Row],[REJECTED BY Admin Kabupaten]]+region_summary__54[[#This Row],[REJECTED BY Pengawas]]</f>
        <v>0</v>
      </c>
    </row>
    <row r="347" spans="1:13" x14ac:dyDescent="0.25">
      <c r="A347" t="s">
        <v>242</v>
      </c>
      <c r="B347">
        <v>7172030014000100</v>
      </c>
      <c r="C347">
        <v>84</v>
      </c>
      <c r="D347">
        <v>23</v>
      </c>
      <c r="E347">
        <v>0</v>
      </c>
      <c r="F347">
        <v>0</v>
      </c>
      <c r="G347">
        <v>14</v>
      </c>
      <c r="H347">
        <v>0</v>
      </c>
      <c r="I347">
        <v>0</v>
      </c>
      <c r="J347">
        <v>0</v>
      </c>
      <c r="K347">
        <v>47</v>
      </c>
      <c r="L347">
        <v>0</v>
      </c>
      <c r="M347">
        <f>region_summary__54[[#This Row],[REJECTED BY Admin Kabupaten]]+region_summary__54[[#This Row],[REJECTED BY Pengawas]]</f>
        <v>0</v>
      </c>
    </row>
    <row r="348" spans="1:13" x14ac:dyDescent="0.25">
      <c r="A348" t="s">
        <v>242</v>
      </c>
      <c r="B348">
        <v>7172030013001400</v>
      </c>
      <c r="C348">
        <v>70</v>
      </c>
      <c r="D348">
        <v>9</v>
      </c>
      <c r="E348">
        <v>0</v>
      </c>
      <c r="F348">
        <v>0</v>
      </c>
      <c r="G348">
        <v>59</v>
      </c>
      <c r="H348">
        <v>0</v>
      </c>
      <c r="I348">
        <v>0</v>
      </c>
      <c r="J348">
        <v>0</v>
      </c>
      <c r="K348">
        <v>2</v>
      </c>
      <c r="L348">
        <v>0</v>
      </c>
      <c r="M348">
        <f>region_summary__54[[#This Row],[REJECTED BY Admin Kabupaten]]+region_summary__54[[#This Row],[REJECTED BY Pengawas]]</f>
        <v>0</v>
      </c>
    </row>
    <row r="349" spans="1:13" x14ac:dyDescent="0.25">
      <c r="A349" t="s">
        <v>242</v>
      </c>
      <c r="B349">
        <v>7172030013001100</v>
      </c>
      <c r="C349">
        <v>58</v>
      </c>
      <c r="D349">
        <v>5</v>
      </c>
      <c r="E349">
        <v>0</v>
      </c>
      <c r="F349">
        <v>0</v>
      </c>
      <c r="G349">
        <v>53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f>region_summary__54[[#This Row],[REJECTED BY Admin Kabupaten]]+region_summary__54[[#This Row],[REJECTED BY Pengawas]]</f>
        <v>0</v>
      </c>
    </row>
    <row r="350" spans="1:13" x14ac:dyDescent="0.25">
      <c r="A350" t="s">
        <v>242</v>
      </c>
      <c r="B350">
        <v>7172030014000200</v>
      </c>
      <c r="C350">
        <v>58</v>
      </c>
      <c r="D350">
        <v>57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f>region_summary__54[[#This Row],[REJECTED BY Admin Kabupaten]]+region_summary__54[[#This Row],[REJECTED BY Pengawas]]</f>
        <v>0</v>
      </c>
    </row>
    <row r="351" spans="1:13" x14ac:dyDescent="0.25">
      <c r="A351" t="s">
        <v>106</v>
      </c>
      <c r="B351">
        <v>7172030015001500</v>
      </c>
      <c r="C351">
        <v>223</v>
      </c>
      <c r="D351">
        <v>214</v>
      </c>
      <c r="E351">
        <v>1</v>
      </c>
      <c r="F351">
        <v>4</v>
      </c>
      <c r="G351">
        <v>0</v>
      </c>
      <c r="H351">
        <v>2</v>
      </c>
      <c r="I351">
        <v>1</v>
      </c>
      <c r="J351">
        <v>0</v>
      </c>
      <c r="K351">
        <v>1</v>
      </c>
      <c r="L351">
        <v>0</v>
      </c>
      <c r="M351">
        <f>region_summary__54[[#This Row],[REJECTED BY Admin Kabupaten]]+region_summary__54[[#This Row],[REJECTED BY Pengawas]]</f>
        <v>3</v>
      </c>
    </row>
    <row r="352" spans="1:13" x14ac:dyDescent="0.25">
      <c r="A352" t="s">
        <v>106</v>
      </c>
      <c r="B352">
        <v>7172030015001702</v>
      </c>
      <c r="C352">
        <v>213</v>
      </c>
      <c r="D352">
        <v>0</v>
      </c>
      <c r="E352">
        <v>17</v>
      </c>
      <c r="F352">
        <v>0</v>
      </c>
      <c r="G352">
        <v>191</v>
      </c>
      <c r="H352">
        <v>0</v>
      </c>
      <c r="I352">
        <v>0</v>
      </c>
      <c r="J352">
        <v>0</v>
      </c>
      <c r="K352">
        <v>5</v>
      </c>
      <c r="L352">
        <v>0</v>
      </c>
      <c r="M352">
        <f>region_summary__54[[#This Row],[REJECTED BY Admin Kabupaten]]+region_summary__54[[#This Row],[REJECTED BY Pengawas]]</f>
        <v>0</v>
      </c>
    </row>
    <row r="353" spans="1:13" x14ac:dyDescent="0.25">
      <c r="A353" t="s">
        <v>106</v>
      </c>
      <c r="B353">
        <v>7172030015001600</v>
      </c>
      <c r="C353">
        <v>113</v>
      </c>
      <c r="D353">
        <v>1</v>
      </c>
      <c r="E353">
        <v>10</v>
      </c>
      <c r="F353">
        <v>0</v>
      </c>
      <c r="G353">
        <v>55</v>
      </c>
      <c r="H353">
        <v>0</v>
      </c>
      <c r="I353">
        <v>0</v>
      </c>
      <c r="J353">
        <v>0</v>
      </c>
      <c r="K353">
        <v>47</v>
      </c>
      <c r="L353">
        <v>0</v>
      </c>
      <c r="M353">
        <f>region_summary__54[[#This Row],[REJECTED BY Admin Kabupaten]]+region_summary__54[[#This Row],[REJECTED BY Pengawas]]</f>
        <v>0</v>
      </c>
    </row>
    <row r="354" spans="1:13" x14ac:dyDescent="0.25">
      <c r="A354" t="s">
        <v>106</v>
      </c>
      <c r="B354">
        <v>7172030015001400</v>
      </c>
      <c r="C354">
        <v>56</v>
      </c>
      <c r="D354">
        <v>56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f>region_summary__54[[#This Row],[REJECTED BY Admin Kabupaten]]+region_summary__54[[#This Row],[REJECTED BY Pengawas]]</f>
        <v>0</v>
      </c>
    </row>
    <row r="355" spans="1:13" x14ac:dyDescent="0.25">
      <c r="A355" t="s">
        <v>102</v>
      </c>
      <c r="B355">
        <v>7172030014000500</v>
      </c>
      <c r="C355">
        <v>129</v>
      </c>
      <c r="D355">
        <v>68</v>
      </c>
      <c r="E355">
        <v>21</v>
      </c>
      <c r="F355">
        <v>3</v>
      </c>
      <c r="G355">
        <v>35</v>
      </c>
      <c r="H355">
        <v>0</v>
      </c>
      <c r="I355">
        <v>0</v>
      </c>
      <c r="J355">
        <v>0</v>
      </c>
      <c r="K355">
        <v>2</v>
      </c>
      <c r="L355">
        <v>0</v>
      </c>
      <c r="M355">
        <f>region_summary__54[[#This Row],[REJECTED BY Admin Kabupaten]]+region_summary__54[[#This Row],[REJECTED BY Pengawas]]</f>
        <v>0</v>
      </c>
    </row>
    <row r="356" spans="1:13" x14ac:dyDescent="0.25">
      <c r="A356" t="s">
        <v>102</v>
      </c>
      <c r="B356">
        <v>7172030014000900</v>
      </c>
      <c r="C356">
        <v>113</v>
      </c>
      <c r="D356">
        <v>28</v>
      </c>
      <c r="E356">
        <v>14</v>
      </c>
      <c r="F356">
        <v>0</v>
      </c>
      <c r="G356">
        <v>69</v>
      </c>
      <c r="H356">
        <v>0</v>
      </c>
      <c r="I356">
        <v>0</v>
      </c>
      <c r="J356">
        <v>0</v>
      </c>
      <c r="K356">
        <v>2</v>
      </c>
      <c r="L356">
        <v>0</v>
      </c>
      <c r="M356">
        <f>region_summary__54[[#This Row],[REJECTED BY Admin Kabupaten]]+region_summary__54[[#This Row],[REJECTED BY Pengawas]]</f>
        <v>0</v>
      </c>
    </row>
    <row r="357" spans="1:13" x14ac:dyDescent="0.25">
      <c r="A357" t="s">
        <v>102</v>
      </c>
      <c r="B357">
        <v>7172030014000300</v>
      </c>
      <c r="C357">
        <v>96</v>
      </c>
      <c r="D357">
        <v>94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f>region_summary__54[[#This Row],[REJECTED BY Admin Kabupaten]]+region_summary__54[[#This Row],[REJECTED BY Pengawas]]</f>
        <v>0</v>
      </c>
    </row>
    <row r="358" spans="1:13" x14ac:dyDescent="0.25">
      <c r="A358" t="s">
        <v>102</v>
      </c>
      <c r="B358">
        <v>7172030014000600</v>
      </c>
      <c r="C358">
        <v>93</v>
      </c>
      <c r="D358">
        <v>0</v>
      </c>
      <c r="E358">
        <v>0</v>
      </c>
      <c r="F358">
        <v>0</v>
      </c>
      <c r="G358">
        <v>93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f>region_summary__54[[#This Row],[REJECTED BY Admin Kabupaten]]+region_summary__54[[#This Row],[REJECTED BY Pengawas]]</f>
        <v>0</v>
      </c>
    </row>
    <row r="359" spans="1:13" x14ac:dyDescent="0.25">
      <c r="A359" t="s">
        <v>102</v>
      </c>
      <c r="B359">
        <v>7172030014000700</v>
      </c>
      <c r="C359">
        <v>90</v>
      </c>
      <c r="D359">
        <v>6</v>
      </c>
      <c r="E359">
        <v>0</v>
      </c>
      <c r="F359">
        <v>0</v>
      </c>
      <c r="G359">
        <v>84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f>region_summary__54[[#This Row],[REJECTED BY Admin Kabupaten]]+region_summary__54[[#This Row],[REJECTED BY Pengawas]]</f>
        <v>0</v>
      </c>
    </row>
    <row r="360" spans="1:13" x14ac:dyDescent="0.25">
      <c r="A360" t="s">
        <v>102</v>
      </c>
      <c r="B360">
        <v>7172030014000800</v>
      </c>
      <c r="C360">
        <v>79</v>
      </c>
      <c r="D360">
        <v>37</v>
      </c>
      <c r="E360">
        <v>4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32</v>
      </c>
      <c r="L360">
        <v>0</v>
      </c>
      <c r="M360">
        <f>region_summary__54[[#This Row],[REJECTED BY Admin Kabupaten]]+region_summary__54[[#This Row],[REJECTED BY Pengawas]]</f>
        <v>0</v>
      </c>
    </row>
    <row r="361" spans="1:13" x14ac:dyDescent="0.25">
      <c r="A361" t="s">
        <v>102</v>
      </c>
      <c r="B361">
        <v>7172030014000400</v>
      </c>
      <c r="C361">
        <v>62</v>
      </c>
      <c r="D361">
        <v>59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f>region_summary__54[[#This Row],[REJECTED BY Admin Kabupaten]]+region_summary__54[[#This Row],[REJECTED BY Pengawas]]</f>
        <v>0</v>
      </c>
    </row>
    <row r="362" spans="1:13" x14ac:dyDescent="0.25">
      <c r="A362" t="s">
        <v>108</v>
      </c>
      <c r="B362">
        <v>7172030017001900</v>
      </c>
      <c r="C362">
        <v>133</v>
      </c>
      <c r="D362">
        <v>68</v>
      </c>
      <c r="E362">
        <v>7</v>
      </c>
      <c r="F362">
        <v>1</v>
      </c>
      <c r="G362">
        <v>50</v>
      </c>
      <c r="H362">
        <v>0</v>
      </c>
      <c r="I362">
        <v>0</v>
      </c>
      <c r="J362">
        <v>0</v>
      </c>
      <c r="K362">
        <v>7</v>
      </c>
      <c r="L362">
        <v>0</v>
      </c>
      <c r="M362">
        <f>region_summary__54[[#This Row],[REJECTED BY Admin Kabupaten]]+region_summary__54[[#This Row],[REJECTED BY Pengawas]]</f>
        <v>0</v>
      </c>
    </row>
    <row r="363" spans="1:13" x14ac:dyDescent="0.25">
      <c r="A363" t="s">
        <v>108</v>
      </c>
      <c r="B363">
        <v>7172030017002001</v>
      </c>
      <c r="C363">
        <v>118</v>
      </c>
      <c r="D363">
        <v>32</v>
      </c>
      <c r="E363">
        <v>7</v>
      </c>
      <c r="F363">
        <v>0</v>
      </c>
      <c r="G363">
        <v>62</v>
      </c>
      <c r="H363">
        <v>0</v>
      </c>
      <c r="I363">
        <v>0</v>
      </c>
      <c r="J363">
        <v>0</v>
      </c>
      <c r="K363">
        <v>17</v>
      </c>
      <c r="L363">
        <v>0</v>
      </c>
      <c r="M363">
        <f>region_summary__54[[#This Row],[REJECTED BY Admin Kabupaten]]+region_summary__54[[#This Row],[REJECTED BY Pengawas]]</f>
        <v>0</v>
      </c>
    </row>
    <row r="364" spans="1:13" x14ac:dyDescent="0.25">
      <c r="A364" t="s">
        <v>108</v>
      </c>
      <c r="B364">
        <v>7172030017002002</v>
      </c>
      <c r="C364">
        <v>112</v>
      </c>
      <c r="D364">
        <v>29</v>
      </c>
      <c r="E364">
        <v>12</v>
      </c>
      <c r="F364">
        <v>0</v>
      </c>
      <c r="G364">
        <v>48</v>
      </c>
      <c r="H364">
        <v>0</v>
      </c>
      <c r="I364">
        <v>0</v>
      </c>
      <c r="J364">
        <v>0</v>
      </c>
      <c r="K364">
        <v>23</v>
      </c>
      <c r="L364">
        <v>0</v>
      </c>
      <c r="M364">
        <f>region_summary__54[[#This Row],[REJECTED BY Admin Kabupaten]]+region_summary__54[[#This Row],[REJECTED BY Pengawas]]</f>
        <v>0</v>
      </c>
    </row>
    <row r="365" spans="1:13" x14ac:dyDescent="0.25">
      <c r="A365" t="s">
        <v>108</v>
      </c>
      <c r="B365">
        <v>7172030017001700</v>
      </c>
      <c r="C365">
        <v>102</v>
      </c>
      <c r="D365">
        <v>11</v>
      </c>
      <c r="E365">
        <v>2</v>
      </c>
      <c r="F365">
        <v>0</v>
      </c>
      <c r="G365">
        <v>69</v>
      </c>
      <c r="H365">
        <v>0</v>
      </c>
      <c r="I365">
        <v>0</v>
      </c>
      <c r="J365">
        <v>0</v>
      </c>
      <c r="K365">
        <v>20</v>
      </c>
      <c r="L365">
        <v>0</v>
      </c>
      <c r="M365">
        <f>region_summary__54[[#This Row],[REJECTED BY Admin Kabupaten]]+region_summary__54[[#This Row],[REJECTED BY Pengawas]]</f>
        <v>0</v>
      </c>
    </row>
    <row r="366" spans="1:13" x14ac:dyDescent="0.25">
      <c r="A366" t="s">
        <v>108</v>
      </c>
      <c r="B366">
        <v>7172030017001800</v>
      </c>
      <c r="C366">
        <v>102</v>
      </c>
      <c r="D366">
        <v>25</v>
      </c>
      <c r="E366">
        <v>5</v>
      </c>
      <c r="F366">
        <v>0</v>
      </c>
      <c r="G366">
        <v>59</v>
      </c>
      <c r="H366">
        <v>0</v>
      </c>
      <c r="I366">
        <v>0</v>
      </c>
      <c r="J366">
        <v>0</v>
      </c>
      <c r="K366">
        <v>13</v>
      </c>
      <c r="L366">
        <v>0</v>
      </c>
      <c r="M366">
        <f>region_summary__54[[#This Row],[REJECTED BY Admin Kabupaten]]+region_summary__54[[#This Row],[REJECTED BY Pengawas]]</f>
        <v>0</v>
      </c>
    </row>
    <row r="367" spans="1:13" x14ac:dyDescent="0.25">
      <c r="A367" t="s">
        <v>108</v>
      </c>
      <c r="B367">
        <v>7172030017001400</v>
      </c>
      <c r="C367">
        <v>88</v>
      </c>
      <c r="D367">
        <v>72</v>
      </c>
      <c r="E367">
        <v>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9</v>
      </c>
      <c r="L367">
        <v>0</v>
      </c>
      <c r="M367">
        <f>region_summary__54[[#This Row],[REJECTED BY Admin Kabupaten]]+region_summary__54[[#This Row],[REJECTED BY Pengawas]]</f>
        <v>0</v>
      </c>
    </row>
    <row r="368" spans="1:13" x14ac:dyDescent="0.25">
      <c r="A368" t="s">
        <v>108</v>
      </c>
      <c r="B368">
        <v>7172030017001600</v>
      </c>
      <c r="C368">
        <v>69</v>
      </c>
      <c r="D368">
        <v>30</v>
      </c>
      <c r="E368">
        <v>3</v>
      </c>
      <c r="F368">
        <v>0</v>
      </c>
      <c r="G368">
        <v>26</v>
      </c>
      <c r="H368">
        <v>0</v>
      </c>
      <c r="I368">
        <v>0</v>
      </c>
      <c r="J368">
        <v>1</v>
      </c>
      <c r="K368">
        <v>9</v>
      </c>
      <c r="L368">
        <v>0</v>
      </c>
      <c r="M368">
        <f>region_summary__54[[#This Row],[REJECTED BY Admin Kabupaten]]+region_summary__54[[#This Row],[REJECTED BY Pengawas]]</f>
        <v>0</v>
      </c>
    </row>
    <row r="369" spans="1:13" x14ac:dyDescent="0.25">
      <c r="A369" t="s">
        <v>110</v>
      </c>
      <c r="B369">
        <v>7172031002000100</v>
      </c>
      <c r="C369">
        <v>231</v>
      </c>
      <c r="D369">
        <v>207</v>
      </c>
      <c r="E369">
        <v>7</v>
      </c>
      <c r="F369">
        <v>0</v>
      </c>
      <c r="G369">
        <v>3</v>
      </c>
      <c r="H369">
        <v>0</v>
      </c>
      <c r="I369">
        <v>6</v>
      </c>
      <c r="J369">
        <v>0</v>
      </c>
      <c r="K369">
        <v>8</v>
      </c>
      <c r="L369">
        <v>0</v>
      </c>
      <c r="M369">
        <f>region_summary__54[[#This Row],[REJECTED BY Admin Kabupaten]]+region_summary__54[[#This Row],[REJECTED BY Pengawas]]</f>
        <v>6</v>
      </c>
    </row>
    <row r="370" spans="1:13" x14ac:dyDescent="0.25">
      <c r="A370" t="s">
        <v>110</v>
      </c>
      <c r="B370">
        <v>7172031002000200</v>
      </c>
      <c r="C370">
        <v>197</v>
      </c>
      <c r="D370">
        <v>181</v>
      </c>
      <c r="E370">
        <v>10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3</v>
      </c>
      <c r="L370">
        <v>0</v>
      </c>
      <c r="M370">
        <f>region_summary__54[[#This Row],[REJECTED BY Admin Kabupaten]]+region_summary__54[[#This Row],[REJECTED BY Pengawas]]</f>
        <v>0</v>
      </c>
    </row>
    <row r="371" spans="1:13" x14ac:dyDescent="0.25">
      <c r="A371" t="s">
        <v>110</v>
      </c>
      <c r="B371">
        <v>7172031002000300</v>
      </c>
      <c r="C371">
        <v>146</v>
      </c>
      <c r="D371">
        <v>124</v>
      </c>
      <c r="E371">
        <v>5</v>
      </c>
      <c r="F371">
        <v>0</v>
      </c>
      <c r="G371">
        <v>7</v>
      </c>
      <c r="H371">
        <v>0</v>
      </c>
      <c r="I371">
        <v>2</v>
      </c>
      <c r="J371">
        <v>0</v>
      </c>
      <c r="K371">
        <v>8</v>
      </c>
      <c r="L371">
        <v>0</v>
      </c>
      <c r="M371">
        <f>region_summary__54[[#This Row],[REJECTED BY Admin Kabupaten]]+region_summary__54[[#This Row],[REJECTED BY Pengawas]]</f>
        <v>2</v>
      </c>
    </row>
    <row r="372" spans="1:13" x14ac:dyDescent="0.25">
      <c r="A372" t="s">
        <v>110</v>
      </c>
      <c r="B372">
        <v>7172031006000400</v>
      </c>
      <c r="C372">
        <v>123</v>
      </c>
      <c r="D372">
        <v>0</v>
      </c>
      <c r="E372">
        <v>1</v>
      </c>
      <c r="F372">
        <v>0</v>
      </c>
      <c r="G372">
        <v>122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f>region_summary__54[[#This Row],[REJECTED BY Admin Kabupaten]]+region_summary__54[[#This Row],[REJECTED BY Pengawas]]</f>
        <v>0</v>
      </c>
    </row>
    <row r="373" spans="1:13" x14ac:dyDescent="0.25">
      <c r="A373" t="s">
        <v>110</v>
      </c>
      <c r="B373">
        <v>7172031001001500</v>
      </c>
      <c r="C373">
        <v>95</v>
      </c>
      <c r="D373">
        <v>87</v>
      </c>
      <c r="E373">
        <v>2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5</v>
      </c>
      <c r="L373">
        <v>0</v>
      </c>
      <c r="M373">
        <f>region_summary__54[[#This Row],[REJECTED BY Admin Kabupaten]]+region_summary__54[[#This Row],[REJECTED BY Pengawas]]</f>
        <v>1</v>
      </c>
    </row>
    <row r="374" spans="1:13" x14ac:dyDescent="0.25">
      <c r="A374" t="s">
        <v>110</v>
      </c>
      <c r="B374">
        <v>7172031007002900</v>
      </c>
      <c r="C374">
        <v>61</v>
      </c>
      <c r="D374">
        <v>0</v>
      </c>
      <c r="E374">
        <v>0</v>
      </c>
      <c r="F374">
        <v>0</v>
      </c>
      <c r="G374">
        <v>61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f>region_summary__54[[#This Row],[REJECTED BY Admin Kabupaten]]+region_summary__54[[#This Row],[REJECTED BY Pengawas]]</f>
        <v>0</v>
      </c>
    </row>
    <row r="375" spans="1:13" x14ac:dyDescent="0.25">
      <c r="A375" t="s">
        <v>111</v>
      </c>
      <c r="B375">
        <v>7172031002000500</v>
      </c>
      <c r="C375">
        <v>137</v>
      </c>
      <c r="D375">
        <v>98</v>
      </c>
      <c r="E375">
        <v>16</v>
      </c>
      <c r="F375">
        <v>0</v>
      </c>
      <c r="G375">
        <v>15</v>
      </c>
      <c r="H375">
        <v>0</v>
      </c>
      <c r="I375">
        <v>7</v>
      </c>
      <c r="J375">
        <v>0</v>
      </c>
      <c r="K375">
        <v>1</v>
      </c>
      <c r="L375">
        <v>0</v>
      </c>
      <c r="M375">
        <f>region_summary__54[[#This Row],[REJECTED BY Admin Kabupaten]]+region_summary__54[[#This Row],[REJECTED BY Pengawas]]</f>
        <v>7</v>
      </c>
    </row>
    <row r="376" spans="1:13" x14ac:dyDescent="0.25">
      <c r="A376" t="s">
        <v>111</v>
      </c>
      <c r="B376">
        <v>7172031002001101</v>
      </c>
      <c r="C376">
        <v>122</v>
      </c>
      <c r="D376">
        <v>42</v>
      </c>
      <c r="E376">
        <v>10</v>
      </c>
      <c r="F376">
        <v>0</v>
      </c>
      <c r="G376">
        <v>41</v>
      </c>
      <c r="H376">
        <v>0</v>
      </c>
      <c r="I376">
        <v>16</v>
      </c>
      <c r="J376">
        <v>0</v>
      </c>
      <c r="K376">
        <v>13</v>
      </c>
      <c r="L376">
        <v>0</v>
      </c>
      <c r="M376">
        <f>region_summary__54[[#This Row],[REJECTED BY Admin Kabupaten]]+region_summary__54[[#This Row],[REJECTED BY Pengawas]]</f>
        <v>16</v>
      </c>
    </row>
    <row r="377" spans="1:13" x14ac:dyDescent="0.25">
      <c r="A377" t="s">
        <v>111</v>
      </c>
      <c r="B377">
        <v>7172031002000400</v>
      </c>
      <c r="C377">
        <v>104</v>
      </c>
      <c r="D377">
        <v>103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f>region_summary__54[[#This Row],[REJECTED BY Admin Kabupaten]]+region_summary__54[[#This Row],[REJECTED BY Pengawas]]</f>
        <v>0</v>
      </c>
    </row>
    <row r="378" spans="1:13" x14ac:dyDescent="0.25">
      <c r="A378" t="s">
        <v>111</v>
      </c>
      <c r="B378">
        <v>7172031002000700</v>
      </c>
      <c r="C378">
        <v>73</v>
      </c>
      <c r="D378">
        <v>14</v>
      </c>
      <c r="E378">
        <v>6</v>
      </c>
      <c r="F378">
        <v>0</v>
      </c>
      <c r="G378">
        <v>47</v>
      </c>
      <c r="H378">
        <v>0</v>
      </c>
      <c r="I378">
        <v>0</v>
      </c>
      <c r="J378">
        <v>0</v>
      </c>
      <c r="K378">
        <v>6</v>
      </c>
      <c r="L378">
        <v>0</v>
      </c>
      <c r="M378">
        <f>region_summary__54[[#This Row],[REJECTED BY Admin Kabupaten]]+region_summary__54[[#This Row],[REJECTED BY Pengawas]]</f>
        <v>0</v>
      </c>
    </row>
    <row r="379" spans="1:13" x14ac:dyDescent="0.25">
      <c r="A379" t="s">
        <v>111</v>
      </c>
      <c r="B379">
        <v>7172031002001500</v>
      </c>
      <c r="C379">
        <v>59</v>
      </c>
      <c r="D379">
        <v>0</v>
      </c>
      <c r="E379">
        <v>0</v>
      </c>
      <c r="F379">
        <v>0</v>
      </c>
      <c r="G379">
        <v>59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f>region_summary__54[[#This Row],[REJECTED BY Admin Kabupaten]]+region_summary__54[[#This Row],[REJECTED BY Pengawas]]</f>
        <v>0</v>
      </c>
    </row>
    <row r="380" spans="1:13" x14ac:dyDescent="0.25">
      <c r="A380" t="s">
        <v>111</v>
      </c>
      <c r="B380">
        <v>7172031003000200</v>
      </c>
      <c r="C380">
        <v>56</v>
      </c>
      <c r="D380">
        <v>20</v>
      </c>
      <c r="E380">
        <v>0</v>
      </c>
      <c r="F380">
        <v>0</v>
      </c>
      <c r="G380">
        <v>36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f>region_summary__54[[#This Row],[REJECTED BY Admin Kabupaten]]+region_summary__54[[#This Row],[REJECTED BY Pengawas]]</f>
        <v>0</v>
      </c>
    </row>
    <row r="381" spans="1:13" x14ac:dyDescent="0.25">
      <c r="A381" t="s">
        <v>111</v>
      </c>
      <c r="B381">
        <v>7172031002001400</v>
      </c>
      <c r="C381">
        <v>55</v>
      </c>
      <c r="D381">
        <v>0</v>
      </c>
      <c r="E381">
        <v>0</v>
      </c>
      <c r="F381">
        <v>0</v>
      </c>
      <c r="G381">
        <v>55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f>region_summary__54[[#This Row],[REJECTED BY Admin Kabupaten]]+region_summary__54[[#This Row],[REJECTED BY Pengawas]]</f>
        <v>0</v>
      </c>
    </row>
    <row r="382" spans="1:13" x14ac:dyDescent="0.25">
      <c r="A382" t="s">
        <v>111</v>
      </c>
      <c r="B382">
        <v>7172031002000600</v>
      </c>
      <c r="C382">
        <v>49</v>
      </c>
      <c r="D382">
        <v>0</v>
      </c>
      <c r="E382">
        <v>0</v>
      </c>
      <c r="F382">
        <v>0</v>
      </c>
      <c r="G382">
        <v>49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f>region_summary__54[[#This Row],[REJECTED BY Admin Kabupaten]]+region_summary__54[[#This Row],[REJECTED BY Pengawas]]</f>
        <v>0</v>
      </c>
    </row>
    <row r="383" spans="1:13" x14ac:dyDescent="0.25">
      <c r="A383" t="s">
        <v>112</v>
      </c>
      <c r="B383">
        <v>7172031002001102</v>
      </c>
      <c r="C383">
        <v>182</v>
      </c>
      <c r="D383">
        <v>154</v>
      </c>
      <c r="E383">
        <v>25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f>region_summary__54[[#This Row],[REJECTED BY Admin Kabupaten]]+region_summary__54[[#This Row],[REJECTED BY Pengawas]]</f>
        <v>0</v>
      </c>
    </row>
    <row r="384" spans="1:13" x14ac:dyDescent="0.25">
      <c r="A384" t="s">
        <v>112</v>
      </c>
      <c r="B384">
        <v>7172031002001000</v>
      </c>
      <c r="C384">
        <v>137</v>
      </c>
      <c r="D384">
        <v>135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f>region_summary__54[[#This Row],[REJECTED BY Admin Kabupaten]]+region_summary__54[[#This Row],[REJECTED BY Pengawas]]</f>
        <v>0</v>
      </c>
    </row>
    <row r="385" spans="1:13" x14ac:dyDescent="0.25">
      <c r="A385" t="s">
        <v>112</v>
      </c>
      <c r="B385">
        <v>7172031002000800</v>
      </c>
      <c r="C385">
        <v>94</v>
      </c>
      <c r="D385">
        <v>25</v>
      </c>
      <c r="E385">
        <v>22</v>
      </c>
      <c r="F385">
        <v>0</v>
      </c>
      <c r="G385">
        <v>39</v>
      </c>
      <c r="H385">
        <v>0</v>
      </c>
      <c r="I385">
        <v>0</v>
      </c>
      <c r="J385">
        <v>0</v>
      </c>
      <c r="K385">
        <v>8</v>
      </c>
      <c r="L385">
        <v>0</v>
      </c>
      <c r="M385">
        <f>region_summary__54[[#This Row],[REJECTED BY Admin Kabupaten]]+region_summary__54[[#This Row],[REJECTED BY Pengawas]]</f>
        <v>0</v>
      </c>
    </row>
    <row r="386" spans="1:13" x14ac:dyDescent="0.25">
      <c r="A386" t="s">
        <v>112</v>
      </c>
      <c r="B386">
        <v>7172031002001300</v>
      </c>
      <c r="C386">
        <v>88</v>
      </c>
      <c r="D386">
        <v>53</v>
      </c>
      <c r="E386">
        <v>23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f>region_summary__54[[#This Row],[REJECTED BY Admin Kabupaten]]+region_summary__54[[#This Row],[REJECTED BY Pengawas]]</f>
        <v>0</v>
      </c>
    </row>
    <row r="387" spans="1:13" x14ac:dyDescent="0.25">
      <c r="A387" t="s">
        <v>112</v>
      </c>
      <c r="B387">
        <v>7172031008001400</v>
      </c>
      <c r="C387">
        <v>77</v>
      </c>
      <c r="D387">
        <v>0</v>
      </c>
      <c r="E387">
        <v>0</v>
      </c>
      <c r="F387">
        <v>0</v>
      </c>
      <c r="G387">
        <v>77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f>region_summary__54[[#This Row],[REJECTED BY Admin Kabupaten]]+region_summary__54[[#This Row],[REJECTED BY Pengawas]]</f>
        <v>0</v>
      </c>
    </row>
    <row r="388" spans="1:13" x14ac:dyDescent="0.25">
      <c r="A388" t="s">
        <v>112</v>
      </c>
      <c r="B388">
        <v>7172031008000800</v>
      </c>
      <c r="C388">
        <v>57</v>
      </c>
      <c r="D388">
        <v>56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f>region_summary__54[[#This Row],[REJECTED BY Admin Kabupaten]]+region_summary__54[[#This Row],[REJECTED BY Pengawas]]</f>
        <v>0</v>
      </c>
    </row>
    <row r="389" spans="1:13" x14ac:dyDescent="0.25">
      <c r="A389" t="s">
        <v>112</v>
      </c>
      <c r="B389">
        <v>7172031002000900</v>
      </c>
      <c r="C389">
        <v>48</v>
      </c>
      <c r="D389">
        <v>1</v>
      </c>
      <c r="E389">
        <v>1</v>
      </c>
      <c r="F389">
        <v>0</v>
      </c>
      <c r="G389">
        <v>46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f>region_summary__54[[#This Row],[REJECTED BY Admin Kabupaten]]+region_summary__54[[#This Row],[REJECTED BY Pengawas]]</f>
        <v>0</v>
      </c>
    </row>
    <row r="390" spans="1:13" x14ac:dyDescent="0.25">
      <c r="A390" t="s">
        <v>112</v>
      </c>
      <c r="B390">
        <v>7172031008001500</v>
      </c>
      <c r="C390">
        <v>30</v>
      </c>
      <c r="D390">
        <v>29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f>region_summary__54[[#This Row],[REJECTED BY Admin Kabupaten]]+region_summary__54[[#This Row],[REJECTED BY Pengawas]]</f>
        <v>0</v>
      </c>
    </row>
    <row r="391" spans="1:13" x14ac:dyDescent="0.25">
      <c r="A391" t="s">
        <v>115</v>
      </c>
      <c r="B391">
        <v>7172031003002000</v>
      </c>
      <c r="C391">
        <v>198</v>
      </c>
      <c r="D391">
        <v>145</v>
      </c>
      <c r="E391">
        <v>3</v>
      </c>
      <c r="F391">
        <v>44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f>region_summary__54[[#This Row],[REJECTED BY Admin Kabupaten]]+region_summary__54[[#This Row],[REJECTED BY Pengawas]]</f>
        <v>0</v>
      </c>
    </row>
    <row r="392" spans="1:13" x14ac:dyDescent="0.25">
      <c r="A392" t="s">
        <v>115</v>
      </c>
      <c r="B392">
        <v>7172031003002100</v>
      </c>
      <c r="C392">
        <v>139</v>
      </c>
      <c r="D392">
        <v>50</v>
      </c>
      <c r="E392">
        <v>4</v>
      </c>
      <c r="F392">
        <v>0</v>
      </c>
      <c r="G392">
        <v>85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f>region_summary__54[[#This Row],[REJECTED BY Admin Kabupaten]]+region_summary__54[[#This Row],[REJECTED BY Pengawas]]</f>
        <v>0</v>
      </c>
    </row>
    <row r="393" spans="1:13" x14ac:dyDescent="0.25">
      <c r="A393" t="s">
        <v>115</v>
      </c>
      <c r="B393">
        <v>7172031003001700</v>
      </c>
      <c r="C393">
        <v>138</v>
      </c>
      <c r="D393">
        <v>39</v>
      </c>
      <c r="E393">
        <v>0</v>
      </c>
      <c r="F393">
        <v>0</v>
      </c>
      <c r="G393">
        <v>99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f>region_summary__54[[#This Row],[REJECTED BY Admin Kabupaten]]+region_summary__54[[#This Row],[REJECTED BY Pengawas]]</f>
        <v>0</v>
      </c>
    </row>
    <row r="394" spans="1:13" x14ac:dyDescent="0.25">
      <c r="A394" t="s">
        <v>115</v>
      </c>
      <c r="B394">
        <v>7172031003001900</v>
      </c>
      <c r="C394">
        <v>71</v>
      </c>
      <c r="D394">
        <v>67</v>
      </c>
      <c r="E394">
        <v>1</v>
      </c>
      <c r="F394">
        <v>1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f>region_summary__54[[#This Row],[REJECTED BY Admin Kabupaten]]+region_summary__54[[#This Row],[REJECTED BY Pengawas]]</f>
        <v>0</v>
      </c>
    </row>
    <row r="395" spans="1:13" x14ac:dyDescent="0.25">
      <c r="A395" t="s">
        <v>115</v>
      </c>
      <c r="B395">
        <v>7172031003001400</v>
      </c>
      <c r="C395">
        <v>56</v>
      </c>
      <c r="D395">
        <v>32</v>
      </c>
      <c r="E395">
        <v>2</v>
      </c>
      <c r="F395">
        <v>0</v>
      </c>
      <c r="G395">
        <v>22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>region_summary__54[[#This Row],[REJECTED BY Admin Kabupaten]]+region_summary__54[[#This Row],[REJECTED BY Pengawas]]</f>
        <v>0</v>
      </c>
    </row>
    <row r="396" spans="1:13" x14ac:dyDescent="0.25">
      <c r="A396" t="s">
        <v>117</v>
      </c>
      <c r="B396">
        <v>7172031004000800</v>
      </c>
      <c r="C396">
        <v>135</v>
      </c>
      <c r="D396">
        <v>75</v>
      </c>
      <c r="E396">
        <v>9</v>
      </c>
      <c r="F396">
        <v>0</v>
      </c>
      <c r="G396">
        <v>51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f>region_summary__54[[#This Row],[REJECTED BY Admin Kabupaten]]+region_summary__54[[#This Row],[REJECTED BY Pengawas]]</f>
        <v>0</v>
      </c>
    </row>
    <row r="397" spans="1:13" x14ac:dyDescent="0.25">
      <c r="A397" t="s">
        <v>117</v>
      </c>
      <c r="B397">
        <v>7172031004000900</v>
      </c>
      <c r="C397">
        <v>79</v>
      </c>
      <c r="D397">
        <v>63</v>
      </c>
      <c r="E397">
        <v>3</v>
      </c>
      <c r="F397">
        <v>13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f>region_summary__54[[#This Row],[REJECTED BY Admin Kabupaten]]+region_summary__54[[#This Row],[REJECTED BY Pengawas]]</f>
        <v>0</v>
      </c>
    </row>
    <row r="398" spans="1:13" x14ac:dyDescent="0.25">
      <c r="A398" t="s">
        <v>117</v>
      </c>
      <c r="B398">
        <v>7172031004000200</v>
      </c>
      <c r="C398">
        <v>56</v>
      </c>
      <c r="D398">
        <v>15</v>
      </c>
      <c r="E398">
        <v>5</v>
      </c>
      <c r="F398">
        <v>0</v>
      </c>
      <c r="G398">
        <v>36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f>region_summary__54[[#This Row],[REJECTED BY Admin Kabupaten]]+region_summary__54[[#This Row],[REJECTED BY Pengawas]]</f>
        <v>0</v>
      </c>
    </row>
    <row r="399" spans="1:13" x14ac:dyDescent="0.25">
      <c r="A399" t="s">
        <v>117</v>
      </c>
      <c r="B399">
        <v>7172031004000100</v>
      </c>
      <c r="C399">
        <v>55</v>
      </c>
      <c r="D399">
        <v>22</v>
      </c>
      <c r="E399">
        <v>9</v>
      </c>
      <c r="F399">
        <v>0</v>
      </c>
      <c r="G399">
        <v>24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f>region_summary__54[[#This Row],[REJECTED BY Admin Kabupaten]]+region_summary__54[[#This Row],[REJECTED BY Pengawas]]</f>
        <v>0</v>
      </c>
    </row>
    <row r="400" spans="1:13" x14ac:dyDescent="0.25">
      <c r="A400" t="s">
        <v>117</v>
      </c>
      <c r="B400">
        <v>7172031004001000</v>
      </c>
      <c r="C400">
        <v>52</v>
      </c>
      <c r="D400">
        <v>39</v>
      </c>
      <c r="E400">
        <v>10</v>
      </c>
      <c r="F400">
        <v>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f>region_summary__54[[#This Row],[REJECTED BY Admin Kabupaten]]+region_summary__54[[#This Row],[REJECTED BY Pengawas]]</f>
        <v>0</v>
      </c>
    </row>
    <row r="401" spans="1:13" x14ac:dyDescent="0.25">
      <c r="A401" t="s">
        <v>117</v>
      </c>
      <c r="B401">
        <v>7172031004000300</v>
      </c>
      <c r="C401">
        <v>51</v>
      </c>
      <c r="D401">
        <v>15</v>
      </c>
      <c r="E401">
        <v>0</v>
      </c>
      <c r="F401">
        <v>0</v>
      </c>
      <c r="G401">
        <v>36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f>region_summary__54[[#This Row],[REJECTED BY Admin Kabupaten]]+region_summary__54[[#This Row],[REJECTED BY Pengawas]]</f>
        <v>0</v>
      </c>
    </row>
    <row r="402" spans="1:13" x14ac:dyDescent="0.25">
      <c r="A402" t="s">
        <v>117</v>
      </c>
      <c r="B402">
        <v>7172031004000500</v>
      </c>
      <c r="C402">
        <v>48</v>
      </c>
      <c r="D402">
        <v>40</v>
      </c>
      <c r="E402">
        <v>0</v>
      </c>
      <c r="F402">
        <v>6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0</v>
      </c>
      <c r="M402">
        <f>region_summary__54[[#This Row],[REJECTED BY Admin Kabupaten]]+region_summary__54[[#This Row],[REJECTED BY Pengawas]]</f>
        <v>0</v>
      </c>
    </row>
    <row r="403" spans="1:13" x14ac:dyDescent="0.25">
      <c r="A403" t="s">
        <v>117</v>
      </c>
      <c r="B403">
        <v>7172031004001100</v>
      </c>
      <c r="C403">
        <v>48</v>
      </c>
      <c r="D403">
        <v>8</v>
      </c>
      <c r="E403">
        <v>0</v>
      </c>
      <c r="F403">
        <v>0</v>
      </c>
      <c r="G403">
        <v>40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f>region_summary__54[[#This Row],[REJECTED BY Admin Kabupaten]]+region_summary__54[[#This Row],[REJECTED BY Pengawas]]</f>
        <v>0</v>
      </c>
    </row>
    <row r="404" spans="1:13" x14ac:dyDescent="0.25">
      <c r="A404" t="s">
        <v>117</v>
      </c>
      <c r="B404">
        <v>7172031004000700</v>
      </c>
      <c r="C404">
        <v>45</v>
      </c>
      <c r="D404">
        <v>10</v>
      </c>
      <c r="E404">
        <v>0</v>
      </c>
      <c r="F404">
        <v>0</v>
      </c>
      <c r="G404">
        <v>35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f>region_summary__54[[#This Row],[REJECTED BY Admin Kabupaten]]+region_summary__54[[#This Row],[REJECTED BY Pengawas]]</f>
        <v>0</v>
      </c>
    </row>
    <row r="405" spans="1:13" x14ac:dyDescent="0.25">
      <c r="A405" t="s">
        <v>117</v>
      </c>
      <c r="B405">
        <v>7172031004000600</v>
      </c>
      <c r="C405">
        <v>42</v>
      </c>
      <c r="D405">
        <v>18</v>
      </c>
      <c r="E405">
        <v>22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f>region_summary__54[[#This Row],[REJECTED BY Admin Kabupaten]]+region_summary__54[[#This Row],[REJECTED BY Pengawas]]</f>
        <v>0</v>
      </c>
    </row>
    <row r="406" spans="1:13" x14ac:dyDescent="0.25">
      <c r="A406" t="s">
        <v>117</v>
      </c>
      <c r="B406">
        <v>7172031004000400</v>
      </c>
      <c r="C406">
        <v>28</v>
      </c>
      <c r="D406">
        <v>12</v>
      </c>
      <c r="E406">
        <v>0</v>
      </c>
      <c r="F406">
        <v>0</v>
      </c>
      <c r="G406">
        <v>16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f>region_summary__54[[#This Row],[REJECTED BY Admin Kabupaten]]+region_summary__54[[#This Row],[REJECTED BY Pengawas]]</f>
        <v>0</v>
      </c>
    </row>
    <row r="407" spans="1:13" x14ac:dyDescent="0.25">
      <c r="A407" t="s">
        <v>243</v>
      </c>
      <c r="B407">
        <v>7172031003001800</v>
      </c>
      <c r="C407">
        <v>155</v>
      </c>
      <c r="D407">
        <v>121</v>
      </c>
      <c r="E407">
        <v>2</v>
      </c>
      <c r="F407">
        <v>22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f>region_summary__54[[#This Row],[REJECTED BY Admin Kabupaten]]+region_summary__54[[#This Row],[REJECTED BY Pengawas]]</f>
        <v>0</v>
      </c>
    </row>
    <row r="408" spans="1:13" x14ac:dyDescent="0.25">
      <c r="A408" t="s">
        <v>243</v>
      </c>
      <c r="B408">
        <v>7172031003002700</v>
      </c>
      <c r="C408">
        <v>141</v>
      </c>
      <c r="D408">
        <v>94</v>
      </c>
      <c r="E408">
        <v>19</v>
      </c>
      <c r="F408">
        <v>1</v>
      </c>
      <c r="G408">
        <v>27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f>region_summary__54[[#This Row],[REJECTED BY Admin Kabupaten]]+region_summary__54[[#This Row],[REJECTED BY Pengawas]]</f>
        <v>0</v>
      </c>
    </row>
    <row r="409" spans="1:13" x14ac:dyDescent="0.25">
      <c r="A409" t="s">
        <v>243</v>
      </c>
      <c r="B409">
        <v>7172031003002500</v>
      </c>
      <c r="C409">
        <v>112</v>
      </c>
      <c r="D409">
        <v>75</v>
      </c>
      <c r="E409">
        <v>2</v>
      </c>
      <c r="F409">
        <v>22</v>
      </c>
      <c r="G409">
        <v>13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f>region_summary__54[[#This Row],[REJECTED BY Admin Kabupaten]]+region_summary__54[[#This Row],[REJECTED BY Pengawas]]</f>
        <v>0</v>
      </c>
    </row>
    <row r="410" spans="1:13" x14ac:dyDescent="0.25">
      <c r="A410" t="s">
        <v>243</v>
      </c>
      <c r="B410">
        <v>7172031003002600</v>
      </c>
      <c r="C410">
        <v>81</v>
      </c>
      <c r="D410">
        <v>65</v>
      </c>
      <c r="E410">
        <v>8</v>
      </c>
      <c r="F410">
        <v>5</v>
      </c>
      <c r="G410">
        <v>2</v>
      </c>
      <c r="H410">
        <v>0</v>
      </c>
      <c r="I410">
        <v>1</v>
      </c>
      <c r="J410">
        <v>0</v>
      </c>
      <c r="K410">
        <v>0</v>
      </c>
      <c r="L410">
        <v>0</v>
      </c>
      <c r="M410">
        <f>region_summary__54[[#This Row],[REJECTED BY Admin Kabupaten]]+region_summary__54[[#This Row],[REJECTED BY Pengawas]]</f>
        <v>1</v>
      </c>
    </row>
    <row r="411" spans="1:13" x14ac:dyDescent="0.25">
      <c r="A411" t="s">
        <v>243</v>
      </c>
      <c r="B411">
        <v>7172031003002300</v>
      </c>
      <c r="C411">
        <v>77</v>
      </c>
      <c r="D411">
        <v>1</v>
      </c>
      <c r="E411">
        <v>0</v>
      </c>
      <c r="F411">
        <v>0</v>
      </c>
      <c r="G411">
        <v>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f>region_summary__54[[#This Row],[REJECTED BY Admin Kabupaten]]+region_summary__54[[#This Row],[REJECTED BY Pengawas]]</f>
        <v>0</v>
      </c>
    </row>
    <row r="412" spans="1:13" x14ac:dyDescent="0.25">
      <c r="A412" t="s">
        <v>243</v>
      </c>
      <c r="B412">
        <v>7172031003002400</v>
      </c>
      <c r="C412">
        <v>62</v>
      </c>
      <c r="D412">
        <v>40</v>
      </c>
      <c r="E412">
        <v>0</v>
      </c>
      <c r="F412">
        <v>11</v>
      </c>
      <c r="G412">
        <v>11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f>region_summary__54[[#This Row],[REJECTED BY Admin Kabupaten]]+region_summary__54[[#This Row],[REJECTED BY Pengawas]]</f>
        <v>0</v>
      </c>
    </row>
    <row r="413" spans="1:13" x14ac:dyDescent="0.25">
      <c r="A413" t="s">
        <v>243</v>
      </c>
      <c r="B413">
        <v>7172031003002200</v>
      </c>
      <c r="C413">
        <v>60</v>
      </c>
      <c r="D413">
        <v>1</v>
      </c>
      <c r="E413">
        <v>0</v>
      </c>
      <c r="F413">
        <v>0</v>
      </c>
      <c r="G413">
        <v>59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f>region_summary__54[[#This Row],[REJECTED BY Admin Kabupaten]]+region_summary__54[[#This Row],[REJECTED BY Pengawas]]</f>
        <v>0</v>
      </c>
    </row>
    <row r="414" spans="1:13" x14ac:dyDescent="0.25">
      <c r="A414" t="s">
        <v>120</v>
      </c>
      <c r="B414">
        <v>7172031006000101</v>
      </c>
      <c r="C414">
        <v>229</v>
      </c>
      <c r="D414">
        <v>219</v>
      </c>
      <c r="E414">
        <v>4</v>
      </c>
      <c r="F414">
        <v>2</v>
      </c>
      <c r="G414">
        <v>3</v>
      </c>
      <c r="H414">
        <v>0</v>
      </c>
      <c r="I414">
        <v>0</v>
      </c>
      <c r="J414">
        <v>0</v>
      </c>
      <c r="K414">
        <v>1</v>
      </c>
      <c r="L414">
        <v>0</v>
      </c>
      <c r="M414">
        <f>region_summary__54[[#This Row],[REJECTED BY Admin Kabupaten]]+region_summary__54[[#This Row],[REJECTED BY Pengawas]]</f>
        <v>0</v>
      </c>
    </row>
    <row r="415" spans="1:13" x14ac:dyDescent="0.25">
      <c r="A415" t="s">
        <v>120</v>
      </c>
      <c r="B415">
        <v>7172031006000200</v>
      </c>
      <c r="C415">
        <v>136</v>
      </c>
      <c r="D415">
        <v>42</v>
      </c>
      <c r="E415">
        <v>55</v>
      </c>
      <c r="F415">
        <v>0</v>
      </c>
      <c r="G415">
        <v>34</v>
      </c>
      <c r="H415">
        <v>0</v>
      </c>
      <c r="I415">
        <v>0</v>
      </c>
      <c r="J415">
        <v>0</v>
      </c>
      <c r="K415">
        <v>5</v>
      </c>
      <c r="L415">
        <v>0</v>
      </c>
      <c r="M415">
        <f>region_summary__54[[#This Row],[REJECTED BY Admin Kabupaten]]+region_summary__54[[#This Row],[REJECTED BY Pengawas]]</f>
        <v>0</v>
      </c>
    </row>
    <row r="416" spans="1:13" x14ac:dyDescent="0.25">
      <c r="A416" t="s">
        <v>120</v>
      </c>
      <c r="B416">
        <v>7172031006000300</v>
      </c>
      <c r="C416">
        <v>134</v>
      </c>
      <c r="D416">
        <v>16</v>
      </c>
      <c r="E416">
        <v>3</v>
      </c>
      <c r="F416">
        <v>0</v>
      </c>
      <c r="G416">
        <v>115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f>region_summary__54[[#This Row],[REJECTED BY Admin Kabupaten]]+region_summary__54[[#This Row],[REJECTED BY Pengawas]]</f>
        <v>0</v>
      </c>
    </row>
    <row r="417" spans="1:13" x14ac:dyDescent="0.25">
      <c r="A417" t="s">
        <v>120</v>
      </c>
      <c r="B417">
        <v>7172031006000102</v>
      </c>
      <c r="C417">
        <v>95</v>
      </c>
      <c r="D417">
        <v>78</v>
      </c>
      <c r="E417">
        <v>9</v>
      </c>
      <c r="F417">
        <v>0</v>
      </c>
      <c r="G417">
        <v>3</v>
      </c>
      <c r="H417">
        <v>0</v>
      </c>
      <c r="I417">
        <v>1</v>
      </c>
      <c r="J417">
        <v>0</v>
      </c>
      <c r="K417">
        <v>4</v>
      </c>
      <c r="L417">
        <v>0</v>
      </c>
      <c r="M417">
        <f>region_summary__54[[#This Row],[REJECTED BY Admin Kabupaten]]+region_summary__54[[#This Row],[REJECTED BY Pengawas]]</f>
        <v>1</v>
      </c>
    </row>
    <row r="418" spans="1:13" x14ac:dyDescent="0.25">
      <c r="A418" t="s">
        <v>127</v>
      </c>
      <c r="B418">
        <v>7172031007001600</v>
      </c>
      <c r="C418">
        <v>137</v>
      </c>
      <c r="D418">
        <v>82</v>
      </c>
      <c r="E418">
        <v>4</v>
      </c>
      <c r="F418">
        <v>0</v>
      </c>
      <c r="G418">
        <v>49</v>
      </c>
      <c r="H418">
        <v>0</v>
      </c>
      <c r="I418">
        <v>0</v>
      </c>
      <c r="J418">
        <v>0</v>
      </c>
      <c r="K418">
        <v>2</v>
      </c>
      <c r="L418">
        <v>0</v>
      </c>
      <c r="M418">
        <f>region_summary__54[[#This Row],[REJECTED BY Admin Kabupaten]]+region_summary__54[[#This Row],[REJECTED BY Pengawas]]</f>
        <v>0</v>
      </c>
    </row>
    <row r="419" spans="1:13" x14ac:dyDescent="0.25">
      <c r="A419" t="s">
        <v>127</v>
      </c>
      <c r="B419">
        <v>7172031007001800</v>
      </c>
      <c r="C419">
        <v>117</v>
      </c>
      <c r="D419">
        <v>18</v>
      </c>
      <c r="E419">
        <v>0</v>
      </c>
      <c r="F419">
        <v>0</v>
      </c>
      <c r="G419">
        <v>99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f>region_summary__54[[#This Row],[REJECTED BY Admin Kabupaten]]+region_summary__54[[#This Row],[REJECTED BY Pengawas]]</f>
        <v>0</v>
      </c>
    </row>
    <row r="420" spans="1:13" x14ac:dyDescent="0.25">
      <c r="A420" t="s">
        <v>127</v>
      </c>
      <c r="B420">
        <v>7172031007001200</v>
      </c>
      <c r="C420">
        <v>106</v>
      </c>
      <c r="D420">
        <v>84</v>
      </c>
      <c r="E420">
        <v>3</v>
      </c>
      <c r="F420">
        <v>0</v>
      </c>
      <c r="G420">
        <v>9</v>
      </c>
      <c r="H420">
        <v>0</v>
      </c>
      <c r="I420">
        <v>2</v>
      </c>
      <c r="J420">
        <v>1</v>
      </c>
      <c r="K420">
        <v>7</v>
      </c>
      <c r="L420">
        <v>0</v>
      </c>
      <c r="M420">
        <f>region_summary__54[[#This Row],[REJECTED BY Admin Kabupaten]]+region_summary__54[[#This Row],[REJECTED BY Pengawas]]</f>
        <v>2</v>
      </c>
    </row>
    <row r="421" spans="1:13" x14ac:dyDescent="0.25">
      <c r="A421" t="s">
        <v>127</v>
      </c>
      <c r="B421">
        <v>7172031007001000</v>
      </c>
      <c r="C421">
        <v>102</v>
      </c>
      <c r="D421">
        <v>91</v>
      </c>
      <c r="E421">
        <v>1</v>
      </c>
      <c r="F421">
        <v>0</v>
      </c>
      <c r="G421">
        <v>4</v>
      </c>
      <c r="H421">
        <v>0</v>
      </c>
      <c r="I421">
        <v>0</v>
      </c>
      <c r="J421">
        <v>1</v>
      </c>
      <c r="K421">
        <v>5</v>
      </c>
      <c r="L421">
        <v>0</v>
      </c>
      <c r="M421">
        <f>region_summary__54[[#This Row],[REJECTED BY Admin Kabupaten]]+region_summary__54[[#This Row],[REJECTED BY Pengawas]]</f>
        <v>0</v>
      </c>
    </row>
    <row r="422" spans="1:13" x14ac:dyDescent="0.25">
      <c r="A422" t="s">
        <v>127</v>
      </c>
      <c r="B422">
        <v>7172031007001700</v>
      </c>
      <c r="C422">
        <v>99</v>
      </c>
      <c r="D422">
        <v>71</v>
      </c>
      <c r="E422">
        <v>1</v>
      </c>
      <c r="F422">
        <v>1</v>
      </c>
      <c r="G422">
        <v>21</v>
      </c>
      <c r="H422">
        <v>0</v>
      </c>
      <c r="I422">
        <v>1</v>
      </c>
      <c r="J422">
        <v>0</v>
      </c>
      <c r="K422">
        <v>4</v>
      </c>
      <c r="L422">
        <v>0</v>
      </c>
      <c r="M422">
        <f>region_summary__54[[#This Row],[REJECTED BY Admin Kabupaten]]+region_summary__54[[#This Row],[REJECTED BY Pengawas]]</f>
        <v>1</v>
      </c>
    </row>
    <row r="423" spans="1:13" x14ac:dyDescent="0.25">
      <c r="A423" t="s">
        <v>127</v>
      </c>
      <c r="B423">
        <v>7172031007002000</v>
      </c>
      <c r="C423">
        <v>82</v>
      </c>
      <c r="D423">
        <v>12</v>
      </c>
      <c r="E423">
        <v>0</v>
      </c>
      <c r="F423">
        <v>0</v>
      </c>
      <c r="G423">
        <v>56</v>
      </c>
      <c r="H423">
        <v>0</v>
      </c>
      <c r="I423">
        <v>0</v>
      </c>
      <c r="J423">
        <v>0</v>
      </c>
      <c r="K423">
        <v>14</v>
      </c>
      <c r="L423">
        <v>0</v>
      </c>
      <c r="M423">
        <f>region_summary__54[[#This Row],[REJECTED BY Admin Kabupaten]]+region_summary__54[[#This Row],[REJECTED BY Pengawas]]</f>
        <v>0</v>
      </c>
    </row>
    <row r="424" spans="1:13" x14ac:dyDescent="0.25">
      <c r="A424" t="s">
        <v>122</v>
      </c>
      <c r="B424">
        <v>7172031006000900</v>
      </c>
      <c r="C424">
        <v>204</v>
      </c>
      <c r="D424">
        <v>148</v>
      </c>
      <c r="E424">
        <v>16</v>
      </c>
      <c r="F424">
        <v>0</v>
      </c>
      <c r="G424">
        <v>36</v>
      </c>
      <c r="H424">
        <v>0</v>
      </c>
      <c r="I424">
        <v>3</v>
      </c>
      <c r="J424">
        <v>0</v>
      </c>
      <c r="K424">
        <v>1</v>
      </c>
      <c r="L424">
        <v>0</v>
      </c>
      <c r="M424">
        <f>region_summary__54[[#This Row],[REJECTED BY Admin Kabupaten]]+region_summary__54[[#This Row],[REJECTED BY Pengawas]]</f>
        <v>3</v>
      </c>
    </row>
    <row r="425" spans="1:13" x14ac:dyDescent="0.25">
      <c r="A425" t="s">
        <v>122</v>
      </c>
      <c r="B425">
        <v>7172031006001200</v>
      </c>
      <c r="C425">
        <v>136</v>
      </c>
      <c r="D425">
        <v>0</v>
      </c>
      <c r="E425">
        <v>0</v>
      </c>
      <c r="F425">
        <v>0</v>
      </c>
      <c r="G425">
        <v>136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f>region_summary__54[[#This Row],[REJECTED BY Admin Kabupaten]]+region_summary__54[[#This Row],[REJECTED BY Pengawas]]</f>
        <v>0</v>
      </c>
    </row>
    <row r="426" spans="1:13" x14ac:dyDescent="0.25">
      <c r="A426" t="s">
        <v>122</v>
      </c>
      <c r="B426">
        <v>7172031006001000</v>
      </c>
      <c r="C426">
        <v>117</v>
      </c>
      <c r="D426">
        <v>60</v>
      </c>
      <c r="E426">
        <v>28</v>
      </c>
      <c r="F426">
        <v>0</v>
      </c>
      <c r="G426">
        <v>28</v>
      </c>
      <c r="H426">
        <v>0</v>
      </c>
      <c r="I426">
        <v>0</v>
      </c>
      <c r="J426">
        <v>0</v>
      </c>
      <c r="K426">
        <v>1</v>
      </c>
      <c r="L426">
        <v>0</v>
      </c>
      <c r="M426">
        <f>region_summary__54[[#This Row],[REJECTED BY Admin Kabupaten]]+region_summary__54[[#This Row],[REJECTED BY Pengawas]]</f>
        <v>0</v>
      </c>
    </row>
    <row r="427" spans="1:13" x14ac:dyDescent="0.25">
      <c r="A427" t="s">
        <v>122</v>
      </c>
      <c r="B427">
        <v>7172031006001300</v>
      </c>
      <c r="C427">
        <v>116</v>
      </c>
      <c r="D427">
        <v>111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f>region_summary__54[[#This Row],[REJECTED BY Admin Kabupaten]]+region_summary__54[[#This Row],[REJECTED BY Pengawas]]</f>
        <v>0</v>
      </c>
    </row>
    <row r="428" spans="1:13" x14ac:dyDescent="0.25">
      <c r="A428" t="s">
        <v>122</v>
      </c>
      <c r="B428">
        <v>7172031006000700</v>
      </c>
      <c r="C428">
        <v>72</v>
      </c>
      <c r="D428">
        <v>3</v>
      </c>
      <c r="E428">
        <v>0</v>
      </c>
      <c r="F428">
        <v>0</v>
      </c>
      <c r="G428">
        <v>69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f>region_summary__54[[#This Row],[REJECTED BY Admin Kabupaten]]+region_summary__54[[#This Row],[REJECTED BY Pengawas]]</f>
        <v>0</v>
      </c>
    </row>
    <row r="429" spans="1:13" x14ac:dyDescent="0.25">
      <c r="A429" t="s">
        <v>124</v>
      </c>
      <c r="B429">
        <v>7172031006001400</v>
      </c>
      <c r="C429">
        <v>178</v>
      </c>
      <c r="D429">
        <v>154</v>
      </c>
      <c r="E429">
        <v>16</v>
      </c>
      <c r="F429">
        <v>2</v>
      </c>
      <c r="G429">
        <v>0</v>
      </c>
      <c r="H429">
        <v>0</v>
      </c>
      <c r="I429">
        <v>6</v>
      </c>
      <c r="J429">
        <v>0</v>
      </c>
      <c r="K429">
        <v>0</v>
      </c>
      <c r="L429">
        <v>0</v>
      </c>
      <c r="M429">
        <f>region_summary__54[[#This Row],[REJECTED BY Admin Kabupaten]]+region_summary__54[[#This Row],[REJECTED BY Pengawas]]</f>
        <v>6</v>
      </c>
    </row>
    <row r="430" spans="1:13" x14ac:dyDescent="0.25">
      <c r="A430" t="s">
        <v>124</v>
      </c>
      <c r="B430">
        <v>7172031006001500</v>
      </c>
      <c r="C430">
        <v>164</v>
      </c>
      <c r="D430">
        <v>59</v>
      </c>
      <c r="E430">
        <v>40</v>
      </c>
      <c r="F430">
        <v>0</v>
      </c>
      <c r="G430">
        <v>54</v>
      </c>
      <c r="H430">
        <v>0</v>
      </c>
      <c r="I430">
        <v>1</v>
      </c>
      <c r="J430">
        <v>0</v>
      </c>
      <c r="K430">
        <v>10</v>
      </c>
      <c r="L430">
        <v>0</v>
      </c>
      <c r="M430">
        <f>region_summary__54[[#This Row],[REJECTED BY Admin Kabupaten]]+region_summary__54[[#This Row],[REJECTED BY Pengawas]]</f>
        <v>1</v>
      </c>
    </row>
    <row r="431" spans="1:13" x14ac:dyDescent="0.25">
      <c r="A431" t="s">
        <v>124</v>
      </c>
      <c r="B431">
        <v>7172031006001700</v>
      </c>
      <c r="C431">
        <v>139</v>
      </c>
      <c r="D431">
        <v>110</v>
      </c>
      <c r="E431">
        <v>5</v>
      </c>
      <c r="F431">
        <v>1</v>
      </c>
      <c r="G431">
        <v>7</v>
      </c>
      <c r="H431">
        <v>0</v>
      </c>
      <c r="I431">
        <v>16</v>
      </c>
      <c r="J431">
        <v>0</v>
      </c>
      <c r="K431">
        <v>0</v>
      </c>
      <c r="L431">
        <v>0</v>
      </c>
      <c r="M431">
        <f>region_summary__54[[#This Row],[REJECTED BY Admin Kabupaten]]+region_summary__54[[#This Row],[REJECTED BY Pengawas]]</f>
        <v>16</v>
      </c>
    </row>
    <row r="432" spans="1:13" x14ac:dyDescent="0.25">
      <c r="A432" t="s">
        <v>124</v>
      </c>
      <c r="B432">
        <v>7172031006001600</v>
      </c>
      <c r="C432">
        <v>101</v>
      </c>
      <c r="D432">
        <v>73</v>
      </c>
      <c r="E432">
        <v>17</v>
      </c>
      <c r="F432">
        <v>0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f>region_summary__54[[#This Row],[REJECTED BY Admin Kabupaten]]+region_summary__54[[#This Row],[REJECTED BY Pengawas]]</f>
        <v>2</v>
      </c>
    </row>
    <row r="433" spans="1:13" x14ac:dyDescent="0.25">
      <c r="A433" t="s">
        <v>124</v>
      </c>
      <c r="B433">
        <v>7172031006001800</v>
      </c>
      <c r="C433">
        <v>91</v>
      </c>
      <c r="D433">
        <v>0</v>
      </c>
      <c r="E433">
        <v>1</v>
      </c>
      <c r="F433">
        <v>0</v>
      </c>
      <c r="G433">
        <v>90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f>region_summary__54[[#This Row],[REJECTED BY Admin Kabupaten]]+region_summary__54[[#This Row],[REJECTED BY Pengawas]]</f>
        <v>0</v>
      </c>
    </row>
    <row r="434" spans="1:13" x14ac:dyDescent="0.25">
      <c r="A434" t="s">
        <v>129</v>
      </c>
      <c r="B434">
        <v>7172031008001200</v>
      </c>
      <c r="C434">
        <v>94</v>
      </c>
      <c r="D434">
        <v>15</v>
      </c>
      <c r="E434">
        <v>22</v>
      </c>
      <c r="F434">
        <v>0</v>
      </c>
      <c r="G434">
        <v>55</v>
      </c>
      <c r="H434">
        <v>0</v>
      </c>
      <c r="I434">
        <v>0</v>
      </c>
      <c r="J434">
        <v>0</v>
      </c>
      <c r="K434">
        <v>2</v>
      </c>
      <c r="L434">
        <v>0</v>
      </c>
      <c r="M434">
        <f>region_summary__54[[#This Row],[REJECTED BY Admin Kabupaten]]+region_summary__54[[#This Row],[REJECTED BY Pengawas]]</f>
        <v>0</v>
      </c>
    </row>
    <row r="435" spans="1:13" x14ac:dyDescent="0.25">
      <c r="A435" t="s">
        <v>129</v>
      </c>
      <c r="B435">
        <v>7172031008000300</v>
      </c>
      <c r="C435">
        <v>93</v>
      </c>
      <c r="D435">
        <v>92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f>region_summary__54[[#This Row],[REJECTED BY Admin Kabupaten]]+region_summary__54[[#This Row],[REJECTED BY Pengawas]]</f>
        <v>1</v>
      </c>
    </row>
    <row r="436" spans="1:13" x14ac:dyDescent="0.25">
      <c r="A436" t="s">
        <v>129</v>
      </c>
      <c r="B436">
        <v>7172031008000900</v>
      </c>
      <c r="C436">
        <v>93</v>
      </c>
      <c r="D436">
        <v>86</v>
      </c>
      <c r="E436">
        <v>4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f>region_summary__54[[#This Row],[REJECTED BY Admin Kabupaten]]+region_summary__54[[#This Row],[REJECTED BY Pengawas]]</f>
        <v>0</v>
      </c>
    </row>
    <row r="437" spans="1:13" x14ac:dyDescent="0.25">
      <c r="A437" t="s">
        <v>129</v>
      </c>
      <c r="B437">
        <v>7172031008001000</v>
      </c>
      <c r="C437">
        <v>86</v>
      </c>
      <c r="D437">
        <v>0</v>
      </c>
      <c r="E437">
        <v>0</v>
      </c>
      <c r="F437">
        <v>0</v>
      </c>
      <c r="G437">
        <v>86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f>region_summary__54[[#This Row],[REJECTED BY Admin Kabupaten]]+region_summary__54[[#This Row],[REJECTED BY Pengawas]]</f>
        <v>0</v>
      </c>
    </row>
    <row r="438" spans="1:13" x14ac:dyDescent="0.25">
      <c r="A438" t="s">
        <v>129</v>
      </c>
      <c r="B438">
        <v>7172031008001300</v>
      </c>
      <c r="C438">
        <v>73</v>
      </c>
      <c r="D438">
        <v>0</v>
      </c>
      <c r="E438">
        <v>0</v>
      </c>
      <c r="F438">
        <v>0</v>
      </c>
      <c r="G438">
        <v>73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f>region_summary__54[[#This Row],[REJECTED BY Admin Kabupaten]]+region_summary__54[[#This Row],[REJECTED BY Pengawas]]</f>
        <v>0</v>
      </c>
    </row>
    <row r="439" spans="1:13" x14ac:dyDescent="0.25">
      <c r="A439" t="s">
        <v>129</v>
      </c>
      <c r="B439">
        <v>7172031008001100</v>
      </c>
      <c r="C439">
        <v>57</v>
      </c>
      <c r="D439">
        <v>0</v>
      </c>
      <c r="E439">
        <v>0</v>
      </c>
      <c r="F439">
        <v>0</v>
      </c>
      <c r="G439">
        <v>57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f>region_summary__54[[#This Row],[REJECTED BY Admin Kabupaten]]+region_summary__54[[#This Row],[REJECTED BY Pengawas]]</f>
        <v>0</v>
      </c>
    </row>
    <row r="440" spans="1:13" x14ac:dyDescent="0.25">
      <c r="A440" t="s">
        <v>129</v>
      </c>
      <c r="B440">
        <v>7172031008000500</v>
      </c>
      <c r="C440">
        <v>50</v>
      </c>
      <c r="D440">
        <v>47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f>region_summary__54[[#This Row],[REJECTED BY Admin Kabupaten]]+region_summary__54[[#This Row],[REJECTED BY Pengawas]]</f>
        <v>0</v>
      </c>
    </row>
    <row r="441" spans="1:13" x14ac:dyDescent="0.25">
      <c r="A441" t="s">
        <v>129</v>
      </c>
      <c r="B441">
        <v>7172031008000600</v>
      </c>
      <c r="C441">
        <v>46</v>
      </c>
      <c r="D441">
        <v>42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f>region_summary__54[[#This Row],[REJECTED BY Admin Kabupaten]]+region_summary__54[[#This Row],[REJECTED BY Pengawas]]</f>
        <v>1</v>
      </c>
    </row>
    <row r="442" spans="1:13" x14ac:dyDescent="0.25">
      <c r="A442" t="s">
        <v>129</v>
      </c>
      <c r="B442">
        <v>7172031008000700</v>
      </c>
      <c r="C442">
        <v>26</v>
      </c>
      <c r="D442">
        <v>25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f>region_summary__54[[#This Row],[REJECTED BY Admin Kabupaten]]+region_summary__54[[#This Row],[REJECTED BY Pengawas]]</f>
        <v>0</v>
      </c>
    </row>
    <row r="443" spans="1:13" x14ac:dyDescent="0.25">
      <c r="A443" t="s">
        <v>129</v>
      </c>
      <c r="B443">
        <v>7172031008500100</v>
      </c>
      <c r="C443">
        <v>21</v>
      </c>
      <c r="D443">
        <v>19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f>region_summary__54[[#This Row],[REJECTED BY Admin Kabupaten]]+region_summary__54[[#This Row],[REJECTED BY Pengawas]]</f>
        <v>0</v>
      </c>
    </row>
    <row r="444" spans="1:13" x14ac:dyDescent="0.25">
      <c r="A444" t="s">
        <v>130</v>
      </c>
      <c r="B444">
        <v>7172040009000500</v>
      </c>
      <c r="C444">
        <v>98</v>
      </c>
      <c r="D444">
        <v>76</v>
      </c>
      <c r="E444">
        <v>12</v>
      </c>
      <c r="F444">
        <v>1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f>region_summary__54[[#This Row],[REJECTED BY Admin Kabupaten]]+region_summary__54[[#This Row],[REJECTED BY Pengawas]]</f>
        <v>0</v>
      </c>
    </row>
    <row r="445" spans="1:13" x14ac:dyDescent="0.25">
      <c r="A445" t="s">
        <v>130</v>
      </c>
      <c r="B445">
        <v>7172040009000200</v>
      </c>
      <c r="C445">
        <v>85</v>
      </c>
      <c r="D445">
        <v>0</v>
      </c>
      <c r="E445">
        <v>2</v>
      </c>
      <c r="F445">
        <v>0</v>
      </c>
      <c r="G445">
        <v>83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f>region_summary__54[[#This Row],[REJECTED BY Admin Kabupaten]]+region_summary__54[[#This Row],[REJECTED BY Pengawas]]</f>
        <v>0</v>
      </c>
    </row>
    <row r="446" spans="1:13" x14ac:dyDescent="0.25">
      <c r="A446" t="s">
        <v>130</v>
      </c>
      <c r="B446">
        <v>7172040009000600</v>
      </c>
      <c r="C446">
        <v>84</v>
      </c>
      <c r="D446">
        <v>70</v>
      </c>
      <c r="E446">
        <v>5</v>
      </c>
      <c r="F446">
        <v>1</v>
      </c>
      <c r="G446">
        <v>6</v>
      </c>
      <c r="H446">
        <v>0</v>
      </c>
      <c r="I446">
        <v>2</v>
      </c>
      <c r="J446">
        <v>0</v>
      </c>
      <c r="K446">
        <v>0</v>
      </c>
      <c r="L446">
        <v>0</v>
      </c>
      <c r="M446">
        <f>region_summary__54[[#This Row],[REJECTED BY Admin Kabupaten]]+region_summary__54[[#This Row],[REJECTED BY Pengawas]]</f>
        <v>2</v>
      </c>
    </row>
    <row r="447" spans="1:13" x14ac:dyDescent="0.25">
      <c r="A447" t="s">
        <v>130</v>
      </c>
      <c r="B447">
        <v>7172040001000200</v>
      </c>
      <c r="C447">
        <v>72</v>
      </c>
      <c r="D447">
        <v>7</v>
      </c>
      <c r="E447">
        <v>0</v>
      </c>
      <c r="F447">
        <v>0</v>
      </c>
      <c r="G447">
        <v>31</v>
      </c>
      <c r="H447">
        <v>0</v>
      </c>
      <c r="I447">
        <v>0</v>
      </c>
      <c r="J447">
        <v>0</v>
      </c>
      <c r="K447">
        <v>34</v>
      </c>
      <c r="L447">
        <v>0</v>
      </c>
      <c r="M447">
        <f>region_summary__54[[#This Row],[REJECTED BY Admin Kabupaten]]+region_summary__54[[#This Row],[REJECTED BY Pengawas]]</f>
        <v>0</v>
      </c>
    </row>
    <row r="448" spans="1:13" x14ac:dyDescent="0.25">
      <c r="A448" t="s">
        <v>130</v>
      </c>
      <c r="B448">
        <v>7172040009000100</v>
      </c>
      <c r="C448">
        <v>72</v>
      </c>
      <c r="D448">
        <v>7</v>
      </c>
      <c r="E448">
        <v>7</v>
      </c>
      <c r="F448">
        <v>0</v>
      </c>
      <c r="G448">
        <v>56</v>
      </c>
      <c r="H448">
        <v>0</v>
      </c>
      <c r="I448">
        <v>0</v>
      </c>
      <c r="J448">
        <v>0</v>
      </c>
      <c r="K448">
        <v>2</v>
      </c>
      <c r="L448">
        <v>0</v>
      </c>
      <c r="M448">
        <f>region_summary__54[[#This Row],[REJECTED BY Admin Kabupaten]]+region_summary__54[[#This Row],[REJECTED BY Pengawas]]</f>
        <v>0</v>
      </c>
    </row>
    <row r="449" spans="1:13" x14ac:dyDescent="0.25">
      <c r="A449" t="s">
        <v>130</v>
      </c>
      <c r="B449">
        <v>7172040009000300</v>
      </c>
      <c r="C449">
        <v>67</v>
      </c>
      <c r="D449">
        <v>17</v>
      </c>
      <c r="E449">
        <v>3</v>
      </c>
      <c r="F449">
        <v>0</v>
      </c>
      <c r="G449">
        <v>45</v>
      </c>
      <c r="H449">
        <v>0</v>
      </c>
      <c r="I449">
        <v>2</v>
      </c>
      <c r="J449">
        <v>0</v>
      </c>
      <c r="K449">
        <v>0</v>
      </c>
      <c r="L449">
        <v>0</v>
      </c>
      <c r="M449">
        <f>region_summary__54[[#This Row],[REJECTED BY Admin Kabupaten]]+region_summary__54[[#This Row],[REJECTED BY Pengawas]]</f>
        <v>2</v>
      </c>
    </row>
    <row r="450" spans="1:13" x14ac:dyDescent="0.25">
      <c r="A450" t="s">
        <v>130</v>
      </c>
      <c r="B450">
        <v>7172040001000100</v>
      </c>
      <c r="C450">
        <v>59</v>
      </c>
      <c r="D450">
        <v>12</v>
      </c>
      <c r="E450">
        <v>0</v>
      </c>
      <c r="F450">
        <v>0</v>
      </c>
      <c r="G450">
        <v>22</v>
      </c>
      <c r="H450">
        <v>0</v>
      </c>
      <c r="I450">
        <v>8</v>
      </c>
      <c r="J450">
        <v>0</v>
      </c>
      <c r="K450">
        <v>17</v>
      </c>
      <c r="L450">
        <v>0</v>
      </c>
      <c r="M450">
        <f>region_summary__54[[#This Row],[REJECTED BY Admin Kabupaten]]+region_summary__54[[#This Row],[REJECTED BY Pengawas]]</f>
        <v>8</v>
      </c>
    </row>
    <row r="451" spans="1:13" x14ac:dyDescent="0.25">
      <c r="A451" t="s">
        <v>130</v>
      </c>
      <c r="B451">
        <v>7172040009000400</v>
      </c>
      <c r="C451">
        <v>59</v>
      </c>
      <c r="D451">
        <v>15</v>
      </c>
      <c r="E451">
        <v>7</v>
      </c>
      <c r="F451">
        <v>0</v>
      </c>
      <c r="G451">
        <v>37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f>region_summary__54[[#This Row],[REJECTED BY Admin Kabupaten]]+region_summary__54[[#This Row],[REJECTED BY Pengawas]]</f>
        <v>0</v>
      </c>
    </row>
    <row r="452" spans="1:13" x14ac:dyDescent="0.25">
      <c r="A452" t="s">
        <v>130</v>
      </c>
      <c r="B452">
        <v>7172040001000300</v>
      </c>
      <c r="C452">
        <v>38</v>
      </c>
      <c r="D452">
        <v>8</v>
      </c>
      <c r="E452">
        <v>0</v>
      </c>
      <c r="F452">
        <v>0</v>
      </c>
      <c r="G452">
        <v>26</v>
      </c>
      <c r="H452">
        <v>0</v>
      </c>
      <c r="I452">
        <v>0</v>
      </c>
      <c r="J452">
        <v>0</v>
      </c>
      <c r="K452">
        <v>4</v>
      </c>
      <c r="L452">
        <v>0</v>
      </c>
      <c r="M452">
        <f>region_summary__54[[#This Row],[REJECTED BY Admin Kabupaten]]+region_summary__54[[#This Row],[REJECTED BY Pengawas]]</f>
        <v>0</v>
      </c>
    </row>
    <row r="453" spans="1:13" x14ac:dyDescent="0.25">
      <c r="A453" t="s">
        <v>132</v>
      </c>
      <c r="B453">
        <v>7172040003000601</v>
      </c>
      <c r="C453">
        <v>198</v>
      </c>
      <c r="D453">
        <v>178</v>
      </c>
      <c r="E453">
        <v>15</v>
      </c>
      <c r="F453">
        <v>4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f>region_summary__54[[#This Row],[REJECTED BY Admin Kabupaten]]+region_summary__54[[#This Row],[REJECTED BY Pengawas]]</f>
        <v>0</v>
      </c>
    </row>
    <row r="454" spans="1:13" x14ac:dyDescent="0.25">
      <c r="A454" t="s">
        <v>132</v>
      </c>
      <c r="B454">
        <v>7172040003000500</v>
      </c>
      <c r="C454">
        <v>170</v>
      </c>
      <c r="D454">
        <v>53</v>
      </c>
      <c r="E454">
        <v>3</v>
      </c>
      <c r="F454">
        <v>0</v>
      </c>
      <c r="G454">
        <v>114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f>region_summary__54[[#This Row],[REJECTED BY Admin Kabupaten]]+region_summary__54[[#This Row],[REJECTED BY Pengawas]]</f>
        <v>0</v>
      </c>
    </row>
    <row r="455" spans="1:13" x14ac:dyDescent="0.25">
      <c r="A455" t="s">
        <v>132</v>
      </c>
      <c r="B455">
        <v>7172040005001900</v>
      </c>
      <c r="C455">
        <v>119</v>
      </c>
      <c r="D455">
        <v>94</v>
      </c>
      <c r="E455">
        <v>1</v>
      </c>
      <c r="F455">
        <v>2</v>
      </c>
      <c r="G455">
        <v>22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f>region_summary__54[[#This Row],[REJECTED BY Admin Kabupaten]]+region_summary__54[[#This Row],[REJECTED BY Pengawas]]</f>
        <v>0</v>
      </c>
    </row>
    <row r="456" spans="1:13" x14ac:dyDescent="0.25">
      <c r="A456" t="s">
        <v>132</v>
      </c>
      <c r="B456">
        <v>7172040003000101</v>
      </c>
      <c r="C456">
        <v>96</v>
      </c>
      <c r="D456">
        <v>17</v>
      </c>
      <c r="E456">
        <v>0</v>
      </c>
      <c r="F456">
        <v>0</v>
      </c>
      <c r="G456">
        <v>79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f>region_summary__54[[#This Row],[REJECTED BY Admin Kabupaten]]+region_summary__54[[#This Row],[REJECTED BY Pengawas]]</f>
        <v>0</v>
      </c>
    </row>
    <row r="457" spans="1:13" x14ac:dyDescent="0.25">
      <c r="A457" t="s">
        <v>132</v>
      </c>
      <c r="B457">
        <v>7172040005002002</v>
      </c>
      <c r="C457">
        <v>70</v>
      </c>
      <c r="D457">
        <v>41</v>
      </c>
      <c r="E457">
        <v>8</v>
      </c>
      <c r="F457">
        <v>0</v>
      </c>
      <c r="G457">
        <v>21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f>region_summary__54[[#This Row],[REJECTED BY Admin Kabupaten]]+region_summary__54[[#This Row],[REJECTED BY Pengawas]]</f>
        <v>0</v>
      </c>
    </row>
    <row r="458" spans="1:13" x14ac:dyDescent="0.25">
      <c r="A458" t="s">
        <v>133</v>
      </c>
      <c r="B458">
        <v>7172040003000300</v>
      </c>
      <c r="C458">
        <v>169</v>
      </c>
      <c r="D458">
        <v>75</v>
      </c>
      <c r="E458">
        <v>0</v>
      </c>
      <c r="F458">
        <v>0</v>
      </c>
      <c r="G458">
        <v>92</v>
      </c>
      <c r="H458">
        <v>0</v>
      </c>
      <c r="I458">
        <v>0</v>
      </c>
      <c r="J458">
        <v>2</v>
      </c>
      <c r="K458">
        <v>0</v>
      </c>
      <c r="L458">
        <v>0</v>
      </c>
      <c r="M458">
        <f>region_summary__54[[#This Row],[REJECTED BY Admin Kabupaten]]+region_summary__54[[#This Row],[REJECTED BY Pengawas]]</f>
        <v>0</v>
      </c>
    </row>
    <row r="459" spans="1:13" x14ac:dyDescent="0.25">
      <c r="A459" t="s">
        <v>133</v>
      </c>
      <c r="B459">
        <v>7172040003000102</v>
      </c>
      <c r="C459">
        <v>141</v>
      </c>
      <c r="D459">
        <v>65</v>
      </c>
      <c r="E459">
        <v>0</v>
      </c>
      <c r="F459">
        <v>0</v>
      </c>
      <c r="G459">
        <v>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f>region_summary__54[[#This Row],[REJECTED BY Admin Kabupaten]]+region_summary__54[[#This Row],[REJECTED BY Pengawas]]</f>
        <v>0</v>
      </c>
    </row>
    <row r="460" spans="1:13" x14ac:dyDescent="0.25">
      <c r="A460" t="s">
        <v>133</v>
      </c>
      <c r="B460">
        <v>7172040003000602</v>
      </c>
      <c r="C460">
        <v>99</v>
      </c>
      <c r="D460">
        <v>96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f>region_summary__54[[#This Row],[REJECTED BY Admin Kabupaten]]+region_summary__54[[#This Row],[REJECTED BY Pengawas]]</f>
        <v>0</v>
      </c>
    </row>
    <row r="461" spans="1:13" x14ac:dyDescent="0.25">
      <c r="A461" t="s">
        <v>133</v>
      </c>
      <c r="B461">
        <v>7172040003000700</v>
      </c>
      <c r="C461">
        <v>82</v>
      </c>
      <c r="D461">
        <v>75</v>
      </c>
      <c r="E461">
        <v>1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f>region_summary__54[[#This Row],[REJECTED BY Admin Kabupaten]]+region_summary__54[[#This Row],[REJECTED BY Pengawas]]</f>
        <v>0</v>
      </c>
    </row>
    <row r="462" spans="1:13" x14ac:dyDescent="0.25">
      <c r="A462" t="s">
        <v>133</v>
      </c>
      <c r="B462">
        <v>7172040003000400</v>
      </c>
      <c r="C462">
        <v>76</v>
      </c>
      <c r="D462">
        <v>15</v>
      </c>
      <c r="E462">
        <v>0</v>
      </c>
      <c r="F462">
        <v>0</v>
      </c>
      <c r="G462">
        <v>61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f>region_summary__54[[#This Row],[REJECTED BY Admin Kabupaten]]+region_summary__54[[#This Row],[REJECTED BY Pengawas]]</f>
        <v>0</v>
      </c>
    </row>
    <row r="463" spans="1:13" x14ac:dyDescent="0.25">
      <c r="A463" t="s">
        <v>133</v>
      </c>
      <c r="B463">
        <v>7172040005000600</v>
      </c>
      <c r="C463">
        <v>42</v>
      </c>
      <c r="D463">
        <v>2</v>
      </c>
      <c r="E463">
        <v>0</v>
      </c>
      <c r="F463">
        <v>0</v>
      </c>
      <c r="G463">
        <v>40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f>region_summary__54[[#This Row],[REJECTED BY Admin Kabupaten]]+region_summary__54[[#This Row],[REJECTED BY Pengawas]]</f>
        <v>0</v>
      </c>
    </row>
    <row r="464" spans="1:13" x14ac:dyDescent="0.25">
      <c r="A464" t="s">
        <v>133</v>
      </c>
      <c r="B464">
        <v>7172040005001600</v>
      </c>
      <c r="C464">
        <v>36</v>
      </c>
      <c r="D464">
        <v>27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f>region_summary__54[[#This Row],[REJECTED BY Admin Kabupaten]]+region_summary__54[[#This Row],[REJECTED BY Pengawas]]</f>
        <v>0</v>
      </c>
    </row>
    <row r="465" spans="1:13" x14ac:dyDescent="0.25">
      <c r="A465" t="s">
        <v>136</v>
      </c>
      <c r="B465">
        <v>7172040004000600</v>
      </c>
      <c r="C465">
        <v>132</v>
      </c>
      <c r="D465">
        <v>30</v>
      </c>
      <c r="E465">
        <v>0</v>
      </c>
      <c r="F465">
        <v>0</v>
      </c>
      <c r="G465">
        <v>100</v>
      </c>
      <c r="H465">
        <v>0</v>
      </c>
      <c r="I465">
        <v>0</v>
      </c>
      <c r="J465">
        <v>0</v>
      </c>
      <c r="K465">
        <v>2</v>
      </c>
      <c r="L465">
        <v>0</v>
      </c>
      <c r="M465">
        <f>region_summary__54[[#This Row],[REJECTED BY Admin Kabupaten]]+region_summary__54[[#This Row],[REJECTED BY Pengawas]]</f>
        <v>0</v>
      </c>
    </row>
    <row r="466" spans="1:13" x14ac:dyDescent="0.25">
      <c r="A466" t="s">
        <v>136</v>
      </c>
      <c r="B466">
        <v>7172040004000500</v>
      </c>
      <c r="C466">
        <v>97</v>
      </c>
      <c r="D466">
        <v>75</v>
      </c>
      <c r="E466">
        <v>0</v>
      </c>
      <c r="F466">
        <v>0</v>
      </c>
      <c r="G466">
        <v>15</v>
      </c>
      <c r="H466">
        <v>0</v>
      </c>
      <c r="I466">
        <v>0</v>
      </c>
      <c r="J466">
        <v>0</v>
      </c>
      <c r="K466">
        <v>7</v>
      </c>
      <c r="L466">
        <v>0</v>
      </c>
      <c r="M466">
        <f>region_summary__54[[#This Row],[REJECTED BY Admin Kabupaten]]+region_summary__54[[#This Row],[REJECTED BY Pengawas]]</f>
        <v>0</v>
      </c>
    </row>
    <row r="467" spans="1:13" x14ac:dyDescent="0.25">
      <c r="A467" t="s">
        <v>136</v>
      </c>
      <c r="B467">
        <v>7172040004000200</v>
      </c>
      <c r="C467">
        <v>64</v>
      </c>
      <c r="D467">
        <v>16</v>
      </c>
      <c r="E467">
        <v>0</v>
      </c>
      <c r="F467">
        <v>0</v>
      </c>
      <c r="G467">
        <v>48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f>region_summary__54[[#This Row],[REJECTED BY Admin Kabupaten]]+region_summary__54[[#This Row],[REJECTED BY Pengawas]]</f>
        <v>0</v>
      </c>
    </row>
    <row r="468" spans="1:13" x14ac:dyDescent="0.25">
      <c r="A468" t="s">
        <v>136</v>
      </c>
      <c r="B468">
        <v>7172040008000200</v>
      </c>
      <c r="C468">
        <v>58</v>
      </c>
      <c r="D468">
        <v>55</v>
      </c>
      <c r="E468">
        <v>1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f>region_summary__54[[#This Row],[REJECTED BY Admin Kabupaten]]+region_summary__54[[#This Row],[REJECTED BY Pengawas]]</f>
        <v>0</v>
      </c>
    </row>
    <row r="469" spans="1:13" x14ac:dyDescent="0.25">
      <c r="A469" t="s">
        <v>136</v>
      </c>
      <c r="B469">
        <v>7172040004000100</v>
      </c>
      <c r="C469">
        <v>54</v>
      </c>
      <c r="D469">
        <v>16</v>
      </c>
      <c r="E469">
        <v>0</v>
      </c>
      <c r="F469">
        <v>0</v>
      </c>
      <c r="G469">
        <v>38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f>region_summary__54[[#This Row],[REJECTED BY Admin Kabupaten]]+region_summary__54[[#This Row],[REJECTED BY Pengawas]]</f>
        <v>0</v>
      </c>
    </row>
    <row r="470" spans="1:13" x14ac:dyDescent="0.25">
      <c r="A470" t="s">
        <v>136</v>
      </c>
      <c r="B470">
        <v>7172040008000300</v>
      </c>
      <c r="C470">
        <v>52</v>
      </c>
      <c r="D470">
        <v>50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f>region_summary__54[[#This Row],[REJECTED BY Admin Kabupaten]]+region_summary__54[[#This Row],[REJECTED BY Pengawas]]</f>
        <v>0</v>
      </c>
    </row>
    <row r="471" spans="1:13" x14ac:dyDescent="0.25">
      <c r="A471" t="s">
        <v>136</v>
      </c>
      <c r="B471">
        <v>7172040004000300</v>
      </c>
      <c r="C471">
        <v>47</v>
      </c>
      <c r="D471">
        <v>16</v>
      </c>
      <c r="E471">
        <v>0</v>
      </c>
      <c r="F471">
        <v>0</v>
      </c>
      <c r="G471">
        <v>31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f>region_summary__54[[#This Row],[REJECTED BY Admin Kabupaten]]+region_summary__54[[#This Row],[REJECTED BY Pengawas]]</f>
        <v>0</v>
      </c>
    </row>
    <row r="472" spans="1:13" x14ac:dyDescent="0.25">
      <c r="A472" t="s">
        <v>136</v>
      </c>
      <c r="B472">
        <v>7172040004000400</v>
      </c>
      <c r="C472">
        <v>42</v>
      </c>
      <c r="D472">
        <v>31</v>
      </c>
      <c r="E472">
        <v>1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f>region_summary__54[[#This Row],[REJECTED BY Admin Kabupaten]]+region_summary__54[[#This Row],[REJECTED BY Pengawas]]</f>
        <v>0</v>
      </c>
    </row>
    <row r="473" spans="1:13" x14ac:dyDescent="0.25">
      <c r="A473" t="s">
        <v>136</v>
      </c>
      <c r="B473">
        <v>7172040008000400</v>
      </c>
      <c r="C473">
        <v>42</v>
      </c>
      <c r="D473">
        <v>42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f>region_summary__54[[#This Row],[REJECTED BY Admin Kabupaten]]+region_summary__54[[#This Row],[REJECTED BY Pengawas]]</f>
        <v>0</v>
      </c>
    </row>
    <row r="474" spans="1:13" x14ac:dyDescent="0.25">
      <c r="A474" t="s">
        <v>136</v>
      </c>
      <c r="B474">
        <v>7172040008000100</v>
      </c>
      <c r="C474">
        <v>39</v>
      </c>
      <c r="D474">
        <v>38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f>region_summary__54[[#This Row],[REJECTED BY Admin Kabupaten]]+region_summary__54[[#This Row],[REJECTED BY Pengawas]]</f>
        <v>0</v>
      </c>
    </row>
    <row r="475" spans="1:13" x14ac:dyDescent="0.25">
      <c r="A475" t="s">
        <v>140</v>
      </c>
      <c r="B475">
        <v>7172040012000200</v>
      </c>
      <c r="C475">
        <v>105</v>
      </c>
      <c r="D475">
        <v>89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1</v>
      </c>
      <c r="K475">
        <v>11</v>
      </c>
      <c r="L475">
        <v>0</v>
      </c>
      <c r="M475">
        <f>region_summary__54[[#This Row],[REJECTED BY Admin Kabupaten]]+region_summary__54[[#This Row],[REJECTED BY Pengawas]]</f>
        <v>4</v>
      </c>
    </row>
    <row r="476" spans="1:13" x14ac:dyDescent="0.25">
      <c r="A476" t="s">
        <v>140</v>
      </c>
      <c r="B476">
        <v>7172040012000300</v>
      </c>
      <c r="C476">
        <v>104</v>
      </c>
      <c r="D476">
        <v>104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f>region_summary__54[[#This Row],[REJECTED BY Admin Kabupaten]]+region_summary__54[[#This Row],[REJECTED BY Pengawas]]</f>
        <v>0</v>
      </c>
    </row>
    <row r="477" spans="1:13" x14ac:dyDescent="0.25">
      <c r="A477" t="s">
        <v>140</v>
      </c>
      <c r="B477">
        <v>7172040012000400</v>
      </c>
      <c r="C477">
        <v>87</v>
      </c>
      <c r="D477">
        <v>86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f>region_summary__54[[#This Row],[REJECTED BY Admin Kabupaten]]+region_summary__54[[#This Row],[REJECTED BY Pengawas]]</f>
        <v>0</v>
      </c>
    </row>
    <row r="478" spans="1:13" x14ac:dyDescent="0.25">
      <c r="A478" t="s">
        <v>140</v>
      </c>
      <c r="B478">
        <v>7172040012000100</v>
      </c>
      <c r="C478">
        <v>83</v>
      </c>
      <c r="D478">
        <v>61</v>
      </c>
      <c r="E478">
        <v>1</v>
      </c>
      <c r="F478">
        <v>0</v>
      </c>
      <c r="G478">
        <v>19</v>
      </c>
      <c r="H478">
        <v>0</v>
      </c>
      <c r="I478">
        <v>0</v>
      </c>
      <c r="J478">
        <v>0</v>
      </c>
      <c r="K478">
        <v>2</v>
      </c>
      <c r="L478">
        <v>0</v>
      </c>
      <c r="M478">
        <f>region_summary__54[[#This Row],[REJECTED BY Admin Kabupaten]]+region_summary__54[[#This Row],[REJECTED BY Pengawas]]</f>
        <v>0</v>
      </c>
    </row>
    <row r="479" spans="1:13" x14ac:dyDescent="0.25">
      <c r="A479" t="s">
        <v>140</v>
      </c>
      <c r="B479">
        <v>7172040010000500</v>
      </c>
      <c r="C479">
        <v>58</v>
      </c>
      <c r="D479">
        <v>0</v>
      </c>
      <c r="E479">
        <v>0</v>
      </c>
      <c r="F479">
        <v>0</v>
      </c>
      <c r="G479">
        <v>58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f>region_summary__54[[#This Row],[REJECTED BY Admin Kabupaten]]+region_summary__54[[#This Row],[REJECTED BY Pengawas]]</f>
        <v>0</v>
      </c>
    </row>
    <row r="480" spans="1:13" x14ac:dyDescent="0.25">
      <c r="A480" t="s">
        <v>140</v>
      </c>
      <c r="B480">
        <v>7172040010000600</v>
      </c>
      <c r="C480">
        <v>56</v>
      </c>
      <c r="D480">
        <v>0</v>
      </c>
      <c r="E480">
        <v>0</v>
      </c>
      <c r="F480">
        <v>0</v>
      </c>
      <c r="G480">
        <v>56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f>region_summary__54[[#This Row],[REJECTED BY Admin Kabupaten]]+region_summary__54[[#This Row],[REJECTED BY Pengawas]]</f>
        <v>0</v>
      </c>
    </row>
    <row r="481" spans="1:13" x14ac:dyDescent="0.25">
      <c r="A481" t="s">
        <v>140</v>
      </c>
      <c r="B481">
        <v>7172040012000500</v>
      </c>
      <c r="C481">
        <v>46</v>
      </c>
      <c r="D481">
        <v>45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f>region_summary__54[[#This Row],[REJECTED BY Admin Kabupaten]]+region_summary__54[[#This Row],[REJECTED BY Pengawas]]</f>
        <v>0</v>
      </c>
    </row>
    <row r="482" spans="1:13" x14ac:dyDescent="0.25">
      <c r="A482" t="s">
        <v>140</v>
      </c>
      <c r="B482">
        <v>7172040010000800</v>
      </c>
      <c r="C482">
        <v>40</v>
      </c>
      <c r="D482">
        <v>0</v>
      </c>
      <c r="E482">
        <v>0</v>
      </c>
      <c r="F482">
        <v>0</v>
      </c>
      <c r="G482">
        <v>40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f>region_summary__54[[#This Row],[REJECTED BY Admin Kabupaten]]+region_summary__54[[#This Row],[REJECTED BY Pengawas]]</f>
        <v>0</v>
      </c>
    </row>
    <row r="483" spans="1:13" x14ac:dyDescent="0.25">
      <c r="A483" t="s">
        <v>140</v>
      </c>
      <c r="B483">
        <v>7172040010000700</v>
      </c>
      <c r="C483">
        <v>32</v>
      </c>
      <c r="D483">
        <v>0</v>
      </c>
      <c r="E483">
        <v>0</v>
      </c>
      <c r="F483">
        <v>0</v>
      </c>
      <c r="G483">
        <v>32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f>region_summary__54[[#This Row],[REJECTED BY Admin Kabupaten]]+region_summary__54[[#This Row],[REJECTED BY Pengawas]]</f>
        <v>0</v>
      </c>
    </row>
    <row r="484" spans="1:13" x14ac:dyDescent="0.25">
      <c r="A484" t="s">
        <v>140</v>
      </c>
      <c r="B484">
        <v>7172040010000400</v>
      </c>
      <c r="C484">
        <v>30</v>
      </c>
      <c r="D484">
        <v>0</v>
      </c>
      <c r="E484">
        <v>0</v>
      </c>
      <c r="F484">
        <v>0</v>
      </c>
      <c r="G484">
        <v>30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f>region_summary__54[[#This Row],[REJECTED BY Admin Kabupaten]]+region_summary__54[[#This Row],[REJECTED BY Pengawas]]</f>
        <v>0</v>
      </c>
    </row>
    <row r="485" spans="1:13" x14ac:dyDescent="0.25">
      <c r="A485" t="s">
        <v>140</v>
      </c>
      <c r="B485">
        <v>7172040012000600</v>
      </c>
      <c r="C485">
        <v>30</v>
      </c>
      <c r="D485">
        <v>10</v>
      </c>
      <c r="E485">
        <v>0</v>
      </c>
      <c r="F485">
        <v>0</v>
      </c>
      <c r="G485">
        <v>20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>region_summary__54[[#This Row],[REJECTED BY Admin Kabupaten]]+region_summary__54[[#This Row],[REJECTED BY Pengawas]]</f>
        <v>0</v>
      </c>
    </row>
    <row r="486" spans="1:13" x14ac:dyDescent="0.25">
      <c r="A486" t="s">
        <v>139</v>
      </c>
      <c r="B486">
        <v>7172040006000100</v>
      </c>
      <c r="C486">
        <v>92</v>
      </c>
      <c r="D486">
        <v>87</v>
      </c>
      <c r="E486">
        <v>4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>region_summary__54[[#This Row],[REJECTED BY Admin Kabupaten]]+region_summary__54[[#This Row],[REJECTED BY Pengawas]]</f>
        <v>0</v>
      </c>
    </row>
    <row r="487" spans="1:13" x14ac:dyDescent="0.25">
      <c r="A487" t="s">
        <v>139</v>
      </c>
      <c r="B487">
        <v>7172040006000600</v>
      </c>
      <c r="C487">
        <v>87</v>
      </c>
      <c r="D487">
        <v>74</v>
      </c>
      <c r="E487">
        <v>8</v>
      </c>
      <c r="F487">
        <v>0</v>
      </c>
      <c r="G487">
        <v>4</v>
      </c>
      <c r="H487">
        <v>0</v>
      </c>
      <c r="I487">
        <v>1</v>
      </c>
      <c r="J487">
        <v>0</v>
      </c>
      <c r="K487">
        <v>0</v>
      </c>
      <c r="L487">
        <v>0</v>
      </c>
      <c r="M487">
        <f>region_summary__54[[#This Row],[REJECTED BY Admin Kabupaten]]+region_summary__54[[#This Row],[REJECTED BY Pengawas]]</f>
        <v>1</v>
      </c>
    </row>
    <row r="488" spans="1:13" x14ac:dyDescent="0.25">
      <c r="A488" t="s">
        <v>139</v>
      </c>
      <c r="B488">
        <v>7172040006000500</v>
      </c>
      <c r="C488">
        <v>83</v>
      </c>
      <c r="D488">
        <v>9</v>
      </c>
      <c r="E488">
        <v>0</v>
      </c>
      <c r="F488">
        <v>0</v>
      </c>
      <c r="G488">
        <v>74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>region_summary__54[[#This Row],[REJECTED BY Admin Kabupaten]]+region_summary__54[[#This Row],[REJECTED BY Pengawas]]</f>
        <v>0</v>
      </c>
    </row>
    <row r="489" spans="1:13" x14ac:dyDescent="0.25">
      <c r="A489" t="s">
        <v>139</v>
      </c>
      <c r="B489">
        <v>7172040006000200</v>
      </c>
      <c r="C489">
        <v>80</v>
      </c>
      <c r="D489">
        <v>75</v>
      </c>
      <c r="E489">
        <v>2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>region_summary__54[[#This Row],[REJECTED BY Admin Kabupaten]]+region_summary__54[[#This Row],[REJECTED BY Pengawas]]</f>
        <v>0</v>
      </c>
    </row>
    <row r="490" spans="1:13" x14ac:dyDescent="0.25">
      <c r="A490" t="s">
        <v>139</v>
      </c>
      <c r="B490">
        <v>7172040006000300</v>
      </c>
      <c r="C490">
        <v>63</v>
      </c>
      <c r="D490">
        <v>24</v>
      </c>
      <c r="E490">
        <v>2</v>
      </c>
      <c r="F490">
        <v>0</v>
      </c>
      <c r="G490">
        <v>31</v>
      </c>
      <c r="H490">
        <v>0</v>
      </c>
      <c r="I490">
        <v>1</v>
      </c>
      <c r="J490">
        <v>0</v>
      </c>
      <c r="K490">
        <v>5</v>
      </c>
      <c r="L490">
        <v>0</v>
      </c>
      <c r="M490">
        <f>region_summary__54[[#This Row],[REJECTED BY Admin Kabupaten]]+region_summary__54[[#This Row],[REJECTED BY Pengawas]]</f>
        <v>1</v>
      </c>
    </row>
    <row r="491" spans="1:13" x14ac:dyDescent="0.25">
      <c r="A491" t="s">
        <v>139</v>
      </c>
      <c r="B491">
        <v>7172040006000400</v>
      </c>
      <c r="C491">
        <v>56</v>
      </c>
      <c r="D491">
        <v>6</v>
      </c>
      <c r="E491">
        <v>0</v>
      </c>
      <c r="F491">
        <v>0</v>
      </c>
      <c r="G491">
        <v>50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>region_summary__54[[#This Row],[REJECTED BY Admin Kabupaten]]+region_summary__54[[#This Row],[REJECTED BY Pengawas]]</f>
        <v>0</v>
      </c>
    </row>
    <row r="492" spans="1:13" x14ac:dyDescent="0.25">
      <c r="A492" t="s">
        <v>139</v>
      </c>
      <c r="B492">
        <v>7172040010000100</v>
      </c>
      <c r="C492">
        <v>41</v>
      </c>
      <c r="D492">
        <v>0</v>
      </c>
      <c r="E492">
        <v>0</v>
      </c>
      <c r="F492">
        <v>0</v>
      </c>
      <c r="G492">
        <v>38</v>
      </c>
      <c r="H492">
        <v>0</v>
      </c>
      <c r="I492">
        <v>3</v>
      </c>
      <c r="J492">
        <v>0</v>
      </c>
      <c r="K492">
        <v>0</v>
      </c>
      <c r="L492">
        <v>0</v>
      </c>
      <c r="M492">
        <f>region_summary__54[[#This Row],[REJECTED BY Admin Kabupaten]]+region_summary__54[[#This Row],[REJECTED BY Pengawas]]</f>
        <v>3</v>
      </c>
    </row>
    <row r="493" spans="1:13" x14ac:dyDescent="0.25">
      <c r="A493" t="s">
        <v>139</v>
      </c>
      <c r="B493">
        <v>7172040010000200</v>
      </c>
      <c r="C493">
        <v>34</v>
      </c>
      <c r="D493">
        <v>0</v>
      </c>
      <c r="E493">
        <v>0</v>
      </c>
      <c r="F493">
        <v>0</v>
      </c>
      <c r="G493">
        <v>32</v>
      </c>
      <c r="H493">
        <v>0</v>
      </c>
      <c r="I493">
        <v>2</v>
      </c>
      <c r="J493">
        <v>0</v>
      </c>
      <c r="K493">
        <v>0</v>
      </c>
      <c r="L493">
        <v>0</v>
      </c>
      <c r="M493">
        <f>region_summary__54[[#This Row],[REJECTED BY Admin Kabupaten]]+region_summary__54[[#This Row],[REJECTED BY Pengawas]]</f>
        <v>2</v>
      </c>
    </row>
    <row r="494" spans="1:13" x14ac:dyDescent="0.25">
      <c r="A494" t="s">
        <v>139</v>
      </c>
      <c r="B494">
        <v>7172040010000300</v>
      </c>
      <c r="C494">
        <v>29</v>
      </c>
      <c r="D494">
        <v>4</v>
      </c>
      <c r="E494">
        <v>0</v>
      </c>
      <c r="F494">
        <v>0</v>
      </c>
      <c r="G494">
        <v>24</v>
      </c>
      <c r="H494">
        <v>0</v>
      </c>
      <c r="I494">
        <v>1</v>
      </c>
      <c r="J494">
        <v>0</v>
      </c>
      <c r="K494">
        <v>0</v>
      </c>
      <c r="L494">
        <v>0</v>
      </c>
      <c r="M494">
        <f>region_summary__54[[#This Row],[REJECTED BY Admin Kabupaten]]+region_summary__54[[#This Row],[REJECTED BY Pengawas]]</f>
        <v>1</v>
      </c>
    </row>
    <row r="495" spans="1:13" x14ac:dyDescent="0.25">
      <c r="A495" t="s">
        <v>10</v>
      </c>
      <c r="B495">
        <v>7172010009002700</v>
      </c>
      <c r="C495">
        <v>104</v>
      </c>
      <c r="D495">
        <v>92</v>
      </c>
      <c r="E495">
        <v>3</v>
      </c>
      <c r="F495">
        <v>3</v>
      </c>
      <c r="G495">
        <v>3</v>
      </c>
      <c r="H495">
        <v>0</v>
      </c>
      <c r="I495">
        <v>0</v>
      </c>
      <c r="J495">
        <v>0</v>
      </c>
      <c r="K495">
        <v>3</v>
      </c>
      <c r="L495">
        <v>0</v>
      </c>
      <c r="M495">
        <f>region_summary__54[[#This Row],[REJECTED BY Admin Kabupaten]]+region_summary__54[[#This Row],[REJECTED BY Pengawas]]</f>
        <v>0</v>
      </c>
    </row>
    <row r="496" spans="1:13" x14ac:dyDescent="0.25">
      <c r="A496" t="s">
        <v>10</v>
      </c>
      <c r="B496">
        <v>7172010009002800</v>
      </c>
      <c r="C496">
        <v>103</v>
      </c>
      <c r="D496">
        <v>99</v>
      </c>
      <c r="E496">
        <v>1</v>
      </c>
      <c r="F496">
        <v>2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f>region_summary__54[[#This Row],[REJECTED BY Admin Kabupaten]]+region_summary__54[[#This Row],[REJECTED BY Pengawas]]</f>
        <v>1</v>
      </c>
    </row>
    <row r="497" spans="1:13" x14ac:dyDescent="0.25">
      <c r="A497" t="s">
        <v>10</v>
      </c>
      <c r="B497">
        <v>7172010009002600</v>
      </c>
      <c r="C497">
        <v>93</v>
      </c>
      <c r="D497">
        <v>85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5</v>
      </c>
      <c r="L497">
        <v>0</v>
      </c>
      <c r="M497">
        <f>region_summary__54[[#This Row],[REJECTED BY Admin Kabupaten]]+region_summary__54[[#This Row],[REJECTED BY Pengawas]]</f>
        <v>0</v>
      </c>
    </row>
    <row r="498" spans="1:13" x14ac:dyDescent="0.25">
      <c r="A498" t="s">
        <v>10</v>
      </c>
      <c r="B498">
        <v>7172010009002500</v>
      </c>
      <c r="C498">
        <v>90</v>
      </c>
      <c r="D498">
        <v>2</v>
      </c>
      <c r="E498">
        <v>2</v>
      </c>
      <c r="F498">
        <v>0</v>
      </c>
      <c r="G498">
        <v>7</v>
      </c>
      <c r="H498">
        <v>0</v>
      </c>
      <c r="I498">
        <v>0</v>
      </c>
      <c r="J498">
        <v>0</v>
      </c>
      <c r="K498">
        <v>79</v>
      </c>
      <c r="L498">
        <v>0</v>
      </c>
      <c r="M498">
        <f>region_summary__54[[#This Row],[REJECTED BY Admin Kabupaten]]+region_summary__54[[#This Row],[REJECTED BY Pengawas]]</f>
        <v>0</v>
      </c>
    </row>
    <row r="499" spans="1:13" x14ac:dyDescent="0.25">
      <c r="A499" t="s">
        <v>10</v>
      </c>
      <c r="B499">
        <v>7172010009002100</v>
      </c>
      <c r="C499">
        <v>69</v>
      </c>
      <c r="D499">
        <v>0</v>
      </c>
      <c r="E499">
        <v>0</v>
      </c>
      <c r="F499">
        <v>0</v>
      </c>
      <c r="G499">
        <v>69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f>region_summary__54[[#This Row],[REJECTED BY Admin Kabupaten]]+region_summary__54[[#This Row],[REJECTED BY Pengawas]]</f>
        <v>0</v>
      </c>
    </row>
    <row r="500" spans="1:13" x14ac:dyDescent="0.25">
      <c r="A500" t="s">
        <v>10</v>
      </c>
      <c r="B500">
        <v>7172010009002200</v>
      </c>
      <c r="C500">
        <v>57</v>
      </c>
      <c r="D500">
        <v>0</v>
      </c>
      <c r="E500">
        <v>0</v>
      </c>
      <c r="F500">
        <v>0</v>
      </c>
      <c r="G500">
        <v>57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f>region_summary__54[[#This Row],[REJECTED BY Admin Kabupaten]]+region_summary__54[[#This Row],[REJECTED BY Pengawas]]</f>
        <v>0</v>
      </c>
    </row>
    <row r="501" spans="1:13" x14ac:dyDescent="0.25">
      <c r="A501" t="s">
        <v>10</v>
      </c>
      <c r="B501">
        <v>7172010009002300</v>
      </c>
      <c r="C501">
        <v>53</v>
      </c>
      <c r="D501">
        <v>0</v>
      </c>
      <c r="E501">
        <v>0</v>
      </c>
      <c r="F501">
        <v>0</v>
      </c>
      <c r="G501">
        <v>53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>region_summary__54[[#This Row],[REJECTED BY Admin Kabupaten]]+region_summary__54[[#This Row],[REJECTED BY Pengawas]]</f>
        <v>0</v>
      </c>
    </row>
    <row r="502" spans="1:13" x14ac:dyDescent="0.25">
      <c r="A502" t="s">
        <v>10</v>
      </c>
      <c r="B502">
        <v>7172010009002400</v>
      </c>
      <c r="C502">
        <v>51</v>
      </c>
      <c r="D502">
        <v>0</v>
      </c>
      <c r="E502">
        <v>2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39</v>
      </c>
      <c r="L502">
        <v>0</v>
      </c>
      <c r="M502">
        <f>region_summary__54[[#This Row],[REJECTED BY Admin Kabupaten]]+region_summary__54[[#This Row],[REJECTED BY Pengawas]]</f>
        <v>0</v>
      </c>
    </row>
    <row r="503" spans="1:13" x14ac:dyDescent="0.25">
      <c r="A503" t="s">
        <v>65</v>
      </c>
      <c r="B503">
        <v>7172012005000900</v>
      </c>
      <c r="C503">
        <v>139</v>
      </c>
      <c r="D503">
        <v>24</v>
      </c>
      <c r="E503">
        <v>3</v>
      </c>
      <c r="F503">
        <v>0</v>
      </c>
      <c r="G503">
        <v>112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f>region_summary__54[[#This Row],[REJECTED BY Admin Kabupaten]]+region_summary__54[[#This Row],[REJECTED BY Pengawas]]</f>
        <v>0</v>
      </c>
    </row>
    <row r="504" spans="1:13" x14ac:dyDescent="0.25">
      <c r="A504" t="s">
        <v>65</v>
      </c>
      <c r="B504">
        <v>7172012004002600</v>
      </c>
      <c r="C504">
        <v>131</v>
      </c>
      <c r="D504">
        <v>130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>region_summary__54[[#This Row],[REJECTED BY Admin Kabupaten]]+region_summary__54[[#This Row],[REJECTED BY Pengawas]]</f>
        <v>0</v>
      </c>
    </row>
    <row r="505" spans="1:13" x14ac:dyDescent="0.25">
      <c r="A505" t="s">
        <v>65</v>
      </c>
      <c r="B505">
        <v>7172012005001000</v>
      </c>
      <c r="C505">
        <v>126</v>
      </c>
      <c r="D505">
        <v>118</v>
      </c>
      <c r="E505">
        <v>3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2</v>
      </c>
      <c r="L505">
        <v>0</v>
      </c>
      <c r="M505">
        <f>region_summary__54[[#This Row],[REJECTED BY Admin Kabupaten]]+region_summary__54[[#This Row],[REJECTED BY Pengawas]]</f>
        <v>1</v>
      </c>
    </row>
    <row r="506" spans="1:13" x14ac:dyDescent="0.25">
      <c r="A506" t="s">
        <v>65</v>
      </c>
      <c r="B506">
        <v>7172012004002403</v>
      </c>
      <c r="C506">
        <v>92</v>
      </c>
      <c r="D506">
        <v>90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f>region_summary__54[[#This Row],[REJECTED BY Admin Kabupaten]]+region_summary__54[[#This Row],[REJECTED BY Pengawas]]</f>
        <v>0</v>
      </c>
    </row>
    <row r="507" spans="1:13" x14ac:dyDescent="0.25">
      <c r="A507" t="s">
        <v>65</v>
      </c>
      <c r="B507">
        <v>7172012005000100</v>
      </c>
      <c r="C507">
        <v>88</v>
      </c>
      <c r="D507">
        <v>0</v>
      </c>
      <c r="E507">
        <v>0</v>
      </c>
      <c r="F507">
        <v>0</v>
      </c>
      <c r="G507">
        <v>88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f>region_summary__54[[#This Row],[REJECTED BY Admin Kabupaten]]+region_summary__54[[#This Row],[REJECTED BY Pengawas]]</f>
        <v>0</v>
      </c>
    </row>
    <row r="508" spans="1:13" x14ac:dyDescent="0.25">
      <c r="A508" t="s">
        <v>65</v>
      </c>
      <c r="B508">
        <v>7172012005001100</v>
      </c>
      <c r="C508">
        <v>68</v>
      </c>
      <c r="D508">
        <v>0</v>
      </c>
      <c r="E508">
        <v>0</v>
      </c>
      <c r="F508">
        <v>0</v>
      </c>
      <c r="G508">
        <v>68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f>region_summary__54[[#This Row],[REJECTED BY Admin Kabupaten]]+region_summary__54[[#This Row],[REJECTED BY Pengawas]]</f>
        <v>0</v>
      </c>
    </row>
    <row r="509" spans="1:13" x14ac:dyDescent="0.25">
      <c r="A509" t="s">
        <v>65</v>
      </c>
      <c r="B509">
        <v>7172012005000200</v>
      </c>
      <c r="C509">
        <v>53</v>
      </c>
      <c r="D509">
        <v>51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f>region_summary__54[[#This Row],[REJECTED BY Admin Kabupaten]]+region_summary__54[[#This Row],[REJECTED BY Pengawas]]</f>
        <v>0</v>
      </c>
    </row>
    <row r="510" spans="1:13" x14ac:dyDescent="0.25">
      <c r="A510" t="s">
        <v>379</v>
      </c>
      <c r="B510">
        <v>7172040003001502</v>
      </c>
      <c r="C510">
        <v>264</v>
      </c>
      <c r="D510">
        <v>263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f>region_summary__54[[#This Row],[REJECTED BY Admin Kabupaten]]+region_summary__54[[#This Row],[REJECTED BY Pengawas]]</f>
        <v>0</v>
      </c>
    </row>
    <row r="511" spans="1:13" x14ac:dyDescent="0.25">
      <c r="A511" t="s">
        <v>379</v>
      </c>
      <c r="B511">
        <v>7172040003001501</v>
      </c>
      <c r="C511">
        <v>205</v>
      </c>
      <c r="D511">
        <v>54</v>
      </c>
      <c r="E511">
        <v>6</v>
      </c>
      <c r="F511">
        <v>1</v>
      </c>
      <c r="G511">
        <v>122</v>
      </c>
      <c r="H511">
        <v>0</v>
      </c>
      <c r="I511">
        <v>0</v>
      </c>
      <c r="J511">
        <v>0</v>
      </c>
      <c r="K511">
        <v>22</v>
      </c>
      <c r="L511">
        <v>0</v>
      </c>
      <c r="M511">
        <f>region_summary__54[[#This Row],[REJECTED BY Admin Kabupaten]]+region_summary__54[[#This Row],[REJECTED BY Pengawas]]</f>
        <v>0</v>
      </c>
    </row>
    <row r="512" spans="1:13" x14ac:dyDescent="0.25">
      <c r="A512" t="s">
        <v>379</v>
      </c>
      <c r="B512">
        <v>7172040003001301</v>
      </c>
      <c r="C512">
        <v>136</v>
      </c>
      <c r="D512">
        <v>0</v>
      </c>
      <c r="E512">
        <v>0</v>
      </c>
      <c r="F512">
        <v>0</v>
      </c>
      <c r="G512">
        <v>136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f>region_summary__54[[#This Row],[REJECTED BY Admin Kabupaten]]+region_summary__54[[#This Row],[REJECTED BY Pengawas]]</f>
        <v>0</v>
      </c>
    </row>
    <row r="513" spans="1:13" x14ac:dyDescent="0.25">
      <c r="A513" t="s">
        <v>379</v>
      </c>
      <c r="B513">
        <v>7172040003001400</v>
      </c>
      <c r="C513">
        <v>115</v>
      </c>
      <c r="D513">
        <v>100</v>
      </c>
      <c r="E513">
        <v>0</v>
      </c>
      <c r="F513">
        <v>0</v>
      </c>
      <c r="G513">
        <v>14</v>
      </c>
      <c r="H513">
        <v>0</v>
      </c>
      <c r="I513">
        <v>0</v>
      </c>
      <c r="J513">
        <v>0</v>
      </c>
      <c r="K513">
        <v>1</v>
      </c>
      <c r="L513">
        <v>0</v>
      </c>
      <c r="M513">
        <f>region_summary__54[[#This Row],[REJECTED BY Admin Kabupaten]]+region_summary__54[[#This Row],[REJECTED BY Pengawas]]</f>
        <v>0</v>
      </c>
    </row>
    <row r="514" spans="1:13" x14ac:dyDescent="0.25">
      <c r="A514" t="s">
        <v>379</v>
      </c>
      <c r="B514">
        <v>7172040003000800</v>
      </c>
      <c r="C514">
        <v>88</v>
      </c>
      <c r="D514">
        <v>82</v>
      </c>
      <c r="E514">
        <v>5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f>region_summary__54[[#This Row],[REJECTED BY Admin Kabupaten]]+region_summary__54[[#This Row],[REJECTED BY Pengawas]]</f>
        <v>0</v>
      </c>
    </row>
    <row r="515" spans="1:13" x14ac:dyDescent="0.25">
      <c r="A515" t="s">
        <v>379</v>
      </c>
      <c r="B515">
        <v>7172040003001302</v>
      </c>
      <c r="C515">
        <v>52</v>
      </c>
      <c r="D515">
        <v>0</v>
      </c>
      <c r="E515">
        <v>0</v>
      </c>
      <c r="F515">
        <v>0</v>
      </c>
      <c r="G515">
        <v>52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f>region_summary__54[[#This Row],[REJECTED BY Admin Kabupaten]]+region_summary__54[[#This Row],[REJECTED BY Pengawas]]</f>
        <v>0</v>
      </c>
    </row>
    <row r="516" spans="1:13" x14ac:dyDescent="0.25">
      <c r="A516" t="s">
        <v>36</v>
      </c>
      <c r="B516">
        <v>7172011003002401</v>
      </c>
      <c r="C516">
        <v>195</v>
      </c>
      <c r="D516">
        <v>154</v>
      </c>
      <c r="E516">
        <v>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32</v>
      </c>
      <c r="L516">
        <v>0</v>
      </c>
      <c r="M516">
        <f>region_summary__54[[#This Row],[REJECTED BY Admin Kabupaten]]+region_summary__54[[#This Row],[REJECTED BY Pengawas]]</f>
        <v>0</v>
      </c>
    </row>
    <row r="517" spans="1:13" x14ac:dyDescent="0.25">
      <c r="A517" t="s">
        <v>36</v>
      </c>
      <c r="B517">
        <v>7172011003002100</v>
      </c>
      <c r="C517">
        <v>170</v>
      </c>
      <c r="D517">
        <v>61</v>
      </c>
      <c r="E517">
        <v>37</v>
      </c>
      <c r="F517">
        <v>0</v>
      </c>
      <c r="G517">
        <v>3</v>
      </c>
      <c r="H517">
        <v>0</v>
      </c>
      <c r="I517">
        <v>2</v>
      </c>
      <c r="J517">
        <v>0</v>
      </c>
      <c r="K517">
        <v>67</v>
      </c>
      <c r="L517">
        <v>0</v>
      </c>
      <c r="M517">
        <f>region_summary__54[[#This Row],[REJECTED BY Admin Kabupaten]]+region_summary__54[[#This Row],[REJECTED BY Pengawas]]</f>
        <v>2</v>
      </c>
    </row>
    <row r="518" spans="1:13" x14ac:dyDescent="0.25">
      <c r="A518" t="s">
        <v>36</v>
      </c>
      <c r="B518">
        <v>7172011003002000</v>
      </c>
      <c r="C518">
        <v>136</v>
      </c>
      <c r="D518">
        <v>53</v>
      </c>
      <c r="E518">
        <v>10</v>
      </c>
      <c r="F518">
        <v>2</v>
      </c>
      <c r="G518">
        <v>38</v>
      </c>
      <c r="H518">
        <v>0</v>
      </c>
      <c r="I518">
        <v>0</v>
      </c>
      <c r="J518">
        <v>0</v>
      </c>
      <c r="K518">
        <v>33</v>
      </c>
      <c r="L518">
        <v>0</v>
      </c>
      <c r="M518">
        <f>region_summary__54[[#This Row],[REJECTED BY Admin Kabupaten]]+region_summary__54[[#This Row],[REJECTED BY Pengawas]]</f>
        <v>0</v>
      </c>
    </row>
    <row r="519" spans="1:13" x14ac:dyDescent="0.25">
      <c r="A519" t="s">
        <v>36</v>
      </c>
      <c r="B519">
        <v>7172011003002300</v>
      </c>
      <c r="C519">
        <v>114</v>
      </c>
      <c r="D519">
        <v>0</v>
      </c>
      <c r="E519">
        <v>0</v>
      </c>
      <c r="F519">
        <v>0</v>
      </c>
      <c r="G519">
        <v>114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f>region_summary__54[[#This Row],[REJECTED BY Admin Kabupaten]]+region_summary__54[[#This Row],[REJECTED BY Pengawas]]</f>
        <v>0</v>
      </c>
    </row>
    <row r="520" spans="1:13" x14ac:dyDescent="0.25">
      <c r="A520" t="s">
        <v>36</v>
      </c>
      <c r="B520">
        <v>7172011003002402</v>
      </c>
      <c r="C520">
        <v>94</v>
      </c>
      <c r="D520">
        <v>54</v>
      </c>
      <c r="E520">
        <v>4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30</v>
      </c>
      <c r="L520">
        <v>0</v>
      </c>
      <c r="M520">
        <f>region_summary__54[[#This Row],[REJECTED BY Admin Kabupaten]]+region_summary__54[[#This Row],[REJECTED BY Pengawas]]</f>
        <v>0</v>
      </c>
    </row>
    <row r="521" spans="1:13" x14ac:dyDescent="0.25">
      <c r="A521" t="s">
        <v>36</v>
      </c>
      <c r="B521">
        <v>7172011003002200</v>
      </c>
      <c r="C521">
        <v>62</v>
      </c>
      <c r="D521">
        <v>22</v>
      </c>
      <c r="E521">
        <v>10</v>
      </c>
      <c r="F521">
        <v>0</v>
      </c>
      <c r="G521">
        <v>24</v>
      </c>
      <c r="H521">
        <v>0</v>
      </c>
      <c r="I521">
        <v>0</v>
      </c>
      <c r="J521">
        <v>0</v>
      </c>
      <c r="K521">
        <v>6</v>
      </c>
      <c r="L521">
        <v>0</v>
      </c>
      <c r="M521">
        <f>region_summary__54[[#This Row],[REJECTED BY Admin Kabupaten]]+region_summary__54[[#This Row],[REJECTED BY Pengawas]]</f>
        <v>0</v>
      </c>
    </row>
    <row r="522" spans="1:13" x14ac:dyDescent="0.25">
      <c r="A522" t="s">
        <v>236</v>
      </c>
      <c r="B522">
        <v>7172030014001100</v>
      </c>
      <c r="C522">
        <v>255</v>
      </c>
      <c r="D522">
        <v>241</v>
      </c>
      <c r="E522">
        <v>2</v>
      </c>
      <c r="F522">
        <v>5</v>
      </c>
      <c r="G522">
        <v>5</v>
      </c>
      <c r="H522">
        <v>0</v>
      </c>
      <c r="I522">
        <v>1</v>
      </c>
      <c r="J522">
        <v>1</v>
      </c>
      <c r="K522">
        <v>0</v>
      </c>
      <c r="L522">
        <v>0</v>
      </c>
      <c r="M522">
        <f>region_summary__54[[#This Row],[REJECTED BY Admin Kabupaten]]+region_summary__54[[#This Row],[REJECTED BY Pengawas]]</f>
        <v>1</v>
      </c>
    </row>
    <row r="523" spans="1:13" x14ac:dyDescent="0.25">
      <c r="A523" t="s">
        <v>236</v>
      </c>
      <c r="B523">
        <v>7172030014001000</v>
      </c>
      <c r="C523">
        <v>156</v>
      </c>
      <c r="D523">
        <v>123</v>
      </c>
      <c r="E523">
        <v>2</v>
      </c>
      <c r="F523">
        <v>20</v>
      </c>
      <c r="G523">
        <v>0</v>
      </c>
      <c r="H523">
        <v>0</v>
      </c>
      <c r="I523">
        <v>0</v>
      </c>
      <c r="J523">
        <v>0</v>
      </c>
      <c r="K523">
        <v>11</v>
      </c>
      <c r="L523">
        <v>0</v>
      </c>
      <c r="M523">
        <f>region_summary__54[[#This Row],[REJECTED BY Admin Kabupaten]]+region_summary__54[[#This Row],[REJECTED BY Pengawas]]</f>
        <v>0</v>
      </c>
    </row>
    <row r="524" spans="1:13" x14ac:dyDescent="0.25">
      <c r="A524" t="s">
        <v>236</v>
      </c>
      <c r="B524">
        <v>7172030014001200</v>
      </c>
      <c r="C524">
        <v>140</v>
      </c>
      <c r="D524">
        <v>79</v>
      </c>
      <c r="E524">
        <v>6</v>
      </c>
      <c r="F524">
        <v>2</v>
      </c>
      <c r="G524">
        <v>52</v>
      </c>
      <c r="H524">
        <v>0</v>
      </c>
      <c r="I524">
        <v>1</v>
      </c>
      <c r="J524">
        <v>0</v>
      </c>
      <c r="K524">
        <v>0</v>
      </c>
      <c r="L524">
        <v>0</v>
      </c>
      <c r="M524">
        <f>region_summary__54[[#This Row],[REJECTED BY Admin Kabupaten]]+region_summary__54[[#This Row],[REJECTED BY Pengawas]]</f>
        <v>1</v>
      </c>
    </row>
    <row r="525" spans="1:13" x14ac:dyDescent="0.25">
      <c r="A525" t="s">
        <v>236</v>
      </c>
      <c r="B525">
        <v>7172030015000200</v>
      </c>
      <c r="C525">
        <v>64</v>
      </c>
      <c r="D525">
        <v>0</v>
      </c>
      <c r="E525">
        <v>0</v>
      </c>
      <c r="F525">
        <v>0</v>
      </c>
      <c r="G525">
        <v>64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f>region_summary__54[[#This Row],[REJECTED BY Admin Kabupaten]]+region_summary__54[[#This Row],[REJECTED BY Pengawas]]</f>
        <v>0</v>
      </c>
    </row>
    <row r="526" spans="1:13" x14ac:dyDescent="0.25">
      <c r="A526" t="s">
        <v>236</v>
      </c>
      <c r="B526">
        <v>7172030015000100</v>
      </c>
      <c r="C526">
        <v>63</v>
      </c>
      <c r="D526">
        <v>0</v>
      </c>
      <c r="E526">
        <v>0</v>
      </c>
      <c r="F526">
        <v>0</v>
      </c>
      <c r="G526">
        <v>63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f>region_summary__54[[#This Row],[REJECTED BY Admin Kabupaten]]+region_summary__54[[#This Row],[REJECTED BY Pengawas]]</f>
        <v>0</v>
      </c>
    </row>
    <row r="527" spans="1:13" x14ac:dyDescent="0.25">
      <c r="A527" t="s">
        <v>235</v>
      </c>
      <c r="B527">
        <v>7172030015000800</v>
      </c>
      <c r="C527">
        <v>187</v>
      </c>
      <c r="D527">
        <v>17</v>
      </c>
      <c r="E527">
        <v>8</v>
      </c>
      <c r="F527">
        <v>2</v>
      </c>
      <c r="G527">
        <v>111</v>
      </c>
      <c r="H527">
        <v>0</v>
      </c>
      <c r="I527">
        <v>0</v>
      </c>
      <c r="J527">
        <v>0</v>
      </c>
      <c r="K527">
        <v>49</v>
      </c>
      <c r="L527">
        <v>0</v>
      </c>
      <c r="M527">
        <f>region_summary__54[[#This Row],[REJECTED BY Admin Kabupaten]]+region_summary__54[[#This Row],[REJECTED BY Pengawas]]</f>
        <v>0</v>
      </c>
    </row>
    <row r="528" spans="1:13" x14ac:dyDescent="0.25">
      <c r="A528" t="s">
        <v>235</v>
      </c>
      <c r="B528">
        <v>7172030015000300</v>
      </c>
      <c r="C528">
        <v>124</v>
      </c>
      <c r="D528">
        <v>85</v>
      </c>
      <c r="E528">
        <v>4</v>
      </c>
      <c r="F528">
        <v>1</v>
      </c>
      <c r="G528">
        <v>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f>region_summary__54[[#This Row],[REJECTED BY Admin Kabupaten]]+region_summary__54[[#This Row],[REJECTED BY Pengawas]]</f>
        <v>0</v>
      </c>
    </row>
    <row r="529" spans="1:13" x14ac:dyDescent="0.25">
      <c r="A529" t="s">
        <v>235</v>
      </c>
      <c r="B529">
        <v>7172030015000400</v>
      </c>
      <c r="C529">
        <v>86</v>
      </c>
      <c r="D529">
        <v>49</v>
      </c>
      <c r="E529">
        <v>2</v>
      </c>
      <c r="F529">
        <v>0</v>
      </c>
      <c r="G529">
        <v>35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f>region_summary__54[[#This Row],[REJECTED BY Admin Kabupaten]]+region_summary__54[[#This Row],[REJECTED BY Pengawas]]</f>
        <v>0</v>
      </c>
    </row>
    <row r="530" spans="1:13" x14ac:dyDescent="0.25">
      <c r="A530" t="s">
        <v>235</v>
      </c>
      <c r="B530">
        <v>7172030015001000</v>
      </c>
      <c r="C530">
        <v>85</v>
      </c>
      <c r="D530">
        <v>70</v>
      </c>
      <c r="E530">
        <v>6</v>
      </c>
      <c r="F530">
        <v>0</v>
      </c>
      <c r="G530">
        <v>6</v>
      </c>
      <c r="H530">
        <v>0</v>
      </c>
      <c r="I530">
        <v>0</v>
      </c>
      <c r="J530">
        <v>1</v>
      </c>
      <c r="K530">
        <v>2</v>
      </c>
      <c r="L530">
        <v>0</v>
      </c>
      <c r="M530">
        <f>region_summary__54[[#This Row],[REJECTED BY Admin Kabupaten]]+region_summary__54[[#This Row],[REJECTED BY Pengawas]]</f>
        <v>0</v>
      </c>
    </row>
    <row r="531" spans="1:13" x14ac:dyDescent="0.25">
      <c r="A531" t="s">
        <v>235</v>
      </c>
      <c r="B531">
        <v>7172030015001100</v>
      </c>
      <c r="C531">
        <v>62</v>
      </c>
      <c r="D531">
        <v>45</v>
      </c>
      <c r="E531">
        <v>3</v>
      </c>
      <c r="F531">
        <v>1</v>
      </c>
      <c r="G531">
        <v>11</v>
      </c>
      <c r="H531">
        <v>0</v>
      </c>
      <c r="I531">
        <v>0</v>
      </c>
      <c r="J531">
        <v>0</v>
      </c>
      <c r="K531">
        <v>2</v>
      </c>
      <c r="L531">
        <v>0</v>
      </c>
      <c r="M531">
        <f>region_summary__54[[#This Row],[REJECTED BY Admin Kabupaten]]+region_summary__54[[#This Row],[REJECTED BY Pengawas]]</f>
        <v>0</v>
      </c>
    </row>
    <row r="532" spans="1:13" x14ac:dyDescent="0.25">
      <c r="A532" t="s">
        <v>235</v>
      </c>
      <c r="B532">
        <v>7172030015000500</v>
      </c>
      <c r="C532">
        <v>60</v>
      </c>
      <c r="D532">
        <v>21</v>
      </c>
      <c r="E532">
        <v>2</v>
      </c>
      <c r="F532">
        <v>0</v>
      </c>
      <c r="G532">
        <v>32</v>
      </c>
      <c r="H532">
        <v>0</v>
      </c>
      <c r="I532">
        <v>5</v>
      </c>
      <c r="J532">
        <v>0</v>
      </c>
      <c r="K532">
        <v>0</v>
      </c>
      <c r="L532">
        <v>0</v>
      </c>
      <c r="M532">
        <f>region_summary__54[[#This Row],[REJECTED BY Admin Kabupaten]]+region_summary__54[[#This Row],[REJECTED BY Pengawas]]</f>
        <v>5</v>
      </c>
    </row>
    <row r="533" spans="1:13" x14ac:dyDescent="0.25">
      <c r="A533" t="s">
        <v>235</v>
      </c>
      <c r="B533">
        <v>7172030015000700</v>
      </c>
      <c r="C533">
        <v>57</v>
      </c>
      <c r="D533">
        <v>37</v>
      </c>
      <c r="E533">
        <v>3</v>
      </c>
      <c r="F533">
        <v>1</v>
      </c>
      <c r="G533">
        <v>10</v>
      </c>
      <c r="H533">
        <v>0</v>
      </c>
      <c r="I533">
        <v>0</v>
      </c>
      <c r="J533">
        <v>0</v>
      </c>
      <c r="K533">
        <v>6</v>
      </c>
      <c r="L533">
        <v>0</v>
      </c>
      <c r="M533">
        <f>region_summary__54[[#This Row],[REJECTED BY Admin Kabupaten]]+region_summary__54[[#This Row],[REJECTED BY Pengawas]]</f>
        <v>0</v>
      </c>
    </row>
    <row r="534" spans="1:13" x14ac:dyDescent="0.25">
      <c r="A534" t="s">
        <v>235</v>
      </c>
      <c r="B534">
        <v>7172030015000600</v>
      </c>
      <c r="C534">
        <v>49</v>
      </c>
      <c r="D534">
        <v>26</v>
      </c>
      <c r="E534">
        <v>1</v>
      </c>
      <c r="F534">
        <v>0</v>
      </c>
      <c r="G534">
        <v>15</v>
      </c>
      <c r="H534">
        <v>0</v>
      </c>
      <c r="I534">
        <v>0</v>
      </c>
      <c r="J534">
        <v>0</v>
      </c>
      <c r="K534">
        <v>7</v>
      </c>
      <c r="L534">
        <v>0</v>
      </c>
      <c r="M534">
        <f>region_summary__54[[#This Row],[REJECTED BY Admin Kabupaten]]+region_summary__54[[#This Row],[REJECTED BY Pengawas]]</f>
        <v>0</v>
      </c>
    </row>
    <row r="535" spans="1:13" x14ac:dyDescent="0.25">
      <c r="A535" t="s">
        <v>235</v>
      </c>
      <c r="B535">
        <v>7172030015000900</v>
      </c>
      <c r="C535">
        <v>30</v>
      </c>
      <c r="D535">
        <v>5</v>
      </c>
      <c r="E535">
        <v>1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12</v>
      </c>
      <c r="L535">
        <v>0</v>
      </c>
      <c r="M535">
        <f>region_summary__54[[#This Row],[REJECTED BY Admin Kabupaten]]+region_summary__54[[#This Row],[REJECTED BY Pengawas]]</f>
        <v>0</v>
      </c>
    </row>
    <row r="536" spans="1:13" x14ac:dyDescent="0.25">
      <c r="A536" t="s">
        <v>105</v>
      </c>
      <c r="B536">
        <v>7172030015001701</v>
      </c>
      <c r="C536">
        <v>138</v>
      </c>
      <c r="D536">
        <v>68</v>
      </c>
      <c r="E536">
        <v>15</v>
      </c>
      <c r="F536">
        <v>0</v>
      </c>
      <c r="G536">
        <v>30</v>
      </c>
      <c r="H536">
        <v>0</v>
      </c>
      <c r="I536">
        <v>2</v>
      </c>
      <c r="J536">
        <v>0</v>
      </c>
      <c r="K536">
        <v>23</v>
      </c>
      <c r="L536">
        <v>0</v>
      </c>
      <c r="M536">
        <f>region_summary__54[[#This Row],[REJECTED BY Admin Kabupaten]]+region_summary__54[[#This Row],[REJECTED BY Pengawas]]</f>
        <v>2</v>
      </c>
    </row>
    <row r="537" spans="1:13" x14ac:dyDescent="0.25">
      <c r="A537" t="s">
        <v>105</v>
      </c>
      <c r="B537">
        <v>7172030015001800</v>
      </c>
      <c r="C537">
        <v>121</v>
      </c>
      <c r="D537">
        <v>0</v>
      </c>
      <c r="E537">
        <v>2</v>
      </c>
      <c r="F537">
        <v>0</v>
      </c>
      <c r="G537">
        <v>117</v>
      </c>
      <c r="H537">
        <v>0</v>
      </c>
      <c r="I537">
        <v>0</v>
      </c>
      <c r="J537">
        <v>0</v>
      </c>
      <c r="K537">
        <v>2</v>
      </c>
      <c r="L537">
        <v>0</v>
      </c>
      <c r="M537">
        <f>region_summary__54[[#This Row],[REJECTED BY Admin Kabupaten]]+region_summary__54[[#This Row],[REJECTED BY Pengawas]]</f>
        <v>0</v>
      </c>
    </row>
    <row r="538" spans="1:13" x14ac:dyDescent="0.25">
      <c r="A538" t="s">
        <v>105</v>
      </c>
      <c r="B538">
        <v>7172030015001300</v>
      </c>
      <c r="C538">
        <v>98</v>
      </c>
      <c r="D538">
        <v>80</v>
      </c>
      <c r="E538">
        <v>3</v>
      </c>
      <c r="F538">
        <v>1</v>
      </c>
      <c r="G538">
        <v>5</v>
      </c>
      <c r="H538">
        <v>0</v>
      </c>
      <c r="I538">
        <v>0</v>
      </c>
      <c r="J538">
        <v>0</v>
      </c>
      <c r="K538">
        <v>9</v>
      </c>
      <c r="L538">
        <v>0</v>
      </c>
      <c r="M538">
        <f>region_summary__54[[#This Row],[REJECTED BY Admin Kabupaten]]+region_summary__54[[#This Row],[REJECTED BY Pengawas]]</f>
        <v>0</v>
      </c>
    </row>
    <row r="539" spans="1:13" x14ac:dyDescent="0.25">
      <c r="A539" t="s">
        <v>105</v>
      </c>
      <c r="B539">
        <v>7172030015001200</v>
      </c>
      <c r="C539">
        <v>67</v>
      </c>
      <c r="D539">
        <v>67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>region_summary__54[[#This Row],[REJECTED BY Admin Kabupaten]]+region_summary__54[[#This Row],[REJECTED BY Pengawas]]</f>
        <v>0</v>
      </c>
    </row>
    <row r="540" spans="1:13" x14ac:dyDescent="0.25">
      <c r="A540" t="s">
        <v>105</v>
      </c>
      <c r="B540">
        <v>7172030015001703</v>
      </c>
      <c r="C540">
        <v>64</v>
      </c>
      <c r="D540">
        <v>7</v>
      </c>
      <c r="E540">
        <v>18</v>
      </c>
      <c r="F540">
        <v>0</v>
      </c>
      <c r="G540">
        <v>21</v>
      </c>
      <c r="H540">
        <v>0</v>
      </c>
      <c r="I540">
        <v>0</v>
      </c>
      <c r="J540">
        <v>0</v>
      </c>
      <c r="K540">
        <v>18</v>
      </c>
      <c r="L540">
        <v>0</v>
      </c>
      <c r="M540">
        <f>region_summary__54[[#This Row],[REJECTED BY Admin Kabupaten]]+region_summary__54[[#This Row],[REJECTED BY Pengawas]]</f>
        <v>0</v>
      </c>
    </row>
    <row r="541" spans="1:13" x14ac:dyDescent="0.25">
      <c r="A541" t="s">
        <v>97</v>
      </c>
      <c r="B541">
        <v>7172030012000100</v>
      </c>
      <c r="C541">
        <v>93</v>
      </c>
      <c r="D541">
        <v>56</v>
      </c>
      <c r="E541">
        <v>0</v>
      </c>
      <c r="F541">
        <v>0</v>
      </c>
      <c r="G541">
        <v>7</v>
      </c>
      <c r="H541">
        <v>0</v>
      </c>
      <c r="I541">
        <v>8</v>
      </c>
      <c r="J541">
        <v>0</v>
      </c>
      <c r="K541">
        <v>22</v>
      </c>
      <c r="L541">
        <v>0</v>
      </c>
      <c r="M541">
        <f>region_summary__54[[#This Row],[REJECTED BY Admin Kabupaten]]+region_summary__54[[#This Row],[REJECTED BY Pengawas]]</f>
        <v>8</v>
      </c>
    </row>
    <row r="542" spans="1:13" x14ac:dyDescent="0.25">
      <c r="A542" t="s">
        <v>97</v>
      </c>
      <c r="B542">
        <v>7172030012000300</v>
      </c>
      <c r="C542">
        <v>91</v>
      </c>
      <c r="D542">
        <v>79</v>
      </c>
      <c r="E542">
        <v>2</v>
      </c>
      <c r="F542">
        <v>2</v>
      </c>
      <c r="G542">
        <v>0</v>
      </c>
      <c r="H542">
        <v>0</v>
      </c>
      <c r="I542">
        <v>5</v>
      </c>
      <c r="J542">
        <v>0</v>
      </c>
      <c r="K542">
        <v>3</v>
      </c>
      <c r="L542">
        <v>0</v>
      </c>
      <c r="M542">
        <f>region_summary__54[[#This Row],[REJECTED BY Admin Kabupaten]]+region_summary__54[[#This Row],[REJECTED BY Pengawas]]</f>
        <v>5</v>
      </c>
    </row>
    <row r="543" spans="1:13" x14ac:dyDescent="0.25">
      <c r="A543" t="s">
        <v>97</v>
      </c>
      <c r="B543">
        <v>7172030016000900</v>
      </c>
      <c r="C543">
        <v>64</v>
      </c>
      <c r="D543">
        <v>3</v>
      </c>
      <c r="E543">
        <v>0</v>
      </c>
      <c r="F543">
        <v>0</v>
      </c>
      <c r="G543">
        <v>57</v>
      </c>
      <c r="H543">
        <v>0</v>
      </c>
      <c r="I543">
        <v>0</v>
      </c>
      <c r="J543">
        <v>0</v>
      </c>
      <c r="K543">
        <v>4</v>
      </c>
      <c r="L543">
        <v>0</v>
      </c>
      <c r="M543">
        <f>region_summary__54[[#This Row],[REJECTED BY Admin Kabupaten]]+region_summary__54[[#This Row],[REJECTED BY Pengawas]]</f>
        <v>0</v>
      </c>
    </row>
    <row r="544" spans="1:13" x14ac:dyDescent="0.25">
      <c r="A544" t="s">
        <v>97</v>
      </c>
      <c r="B544">
        <v>7172030016000600</v>
      </c>
      <c r="C544">
        <v>62</v>
      </c>
      <c r="D544">
        <v>6</v>
      </c>
      <c r="E544">
        <v>0</v>
      </c>
      <c r="F544">
        <v>0</v>
      </c>
      <c r="G544">
        <v>56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f>region_summary__54[[#This Row],[REJECTED BY Admin Kabupaten]]+region_summary__54[[#This Row],[REJECTED BY Pengawas]]</f>
        <v>0</v>
      </c>
    </row>
    <row r="545" spans="1:13" x14ac:dyDescent="0.25">
      <c r="A545" t="s">
        <v>97</v>
      </c>
      <c r="B545">
        <v>7172030016000300</v>
      </c>
      <c r="C545">
        <v>59</v>
      </c>
      <c r="D545">
        <v>34</v>
      </c>
      <c r="E545">
        <v>0</v>
      </c>
      <c r="F545">
        <v>5</v>
      </c>
      <c r="G545">
        <v>16</v>
      </c>
      <c r="H545">
        <v>0</v>
      </c>
      <c r="I545">
        <v>0</v>
      </c>
      <c r="J545">
        <v>0</v>
      </c>
      <c r="K545">
        <v>4</v>
      </c>
      <c r="L545">
        <v>0</v>
      </c>
      <c r="M545">
        <f>region_summary__54[[#This Row],[REJECTED BY Admin Kabupaten]]+region_summary__54[[#This Row],[REJECTED BY Pengawas]]</f>
        <v>0</v>
      </c>
    </row>
    <row r="546" spans="1:13" x14ac:dyDescent="0.25">
      <c r="A546" t="s">
        <v>97</v>
      </c>
      <c r="B546">
        <v>7172030016000400</v>
      </c>
      <c r="C546">
        <v>57</v>
      </c>
      <c r="D546">
        <v>8</v>
      </c>
      <c r="E546">
        <v>0</v>
      </c>
      <c r="F546">
        <v>0</v>
      </c>
      <c r="G546">
        <v>49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f>region_summary__54[[#This Row],[REJECTED BY Admin Kabupaten]]+region_summary__54[[#This Row],[REJECTED BY Pengawas]]</f>
        <v>0</v>
      </c>
    </row>
    <row r="547" spans="1:13" x14ac:dyDescent="0.25">
      <c r="A547" t="s">
        <v>97</v>
      </c>
      <c r="B547">
        <v>7172030016000200</v>
      </c>
      <c r="C547">
        <v>48</v>
      </c>
      <c r="D547">
        <v>17</v>
      </c>
      <c r="E547">
        <v>0</v>
      </c>
      <c r="F547">
        <v>1</v>
      </c>
      <c r="G547">
        <v>5</v>
      </c>
      <c r="H547">
        <v>0</v>
      </c>
      <c r="I547">
        <v>0</v>
      </c>
      <c r="J547">
        <v>0</v>
      </c>
      <c r="K547">
        <v>25</v>
      </c>
      <c r="L547">
        <v>0</v>
      </c>
      <c r="M547">
        <f>region_summary__54[[#This Row],[REJECTED BY Admin Kabupaten]]+region_summary__54[[#This Row],[REJECTED BY Pengawas]]</f>
        <v>0</v>
      </c>
    </row>
    <row r="548" spans="1:13" x14ac:dyDescent="0.25">
      <c r="A548" t="s">
        <v>97</v>
      </c>
      <c r="B548">
        <v>7172030016000800</v>
      </c>
      <c r="C548">
        <v>47</v>
      </c>
      <c r="D548">
        <v>7</v>
      </c>
      <c r="E548">
        <v>0</v>
      </c>
      <c r="F548">
        <v>0</v>
      </c>
      <c r="G548">
        <v>40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>region_summary__54[[#This Row],[REJECTED BY Admin Kabupaten]]+region_summary__54[[#This Row],[REJECTED BY Pengawas]]</f>
        <v>0</v>
      </c>
    </row>
    <row r="549" spans="1:13" x14ac:dyDescent="0.25">
      <c r="A549" t="s">
        <v>97</v>
      </c>
      <c r="B549">
        <v>7172030016000700</v>
      </c>
      <c r="C549">
        <v>46</v>
      </c>
      <c r="D549">
        <v>7</v>
      </c>
      <c r="E549">
        <v>0</v>
      </c>
      <c r="F549">
        <v>0</v>
      </c>
      <c r="G549">
        <v>39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f>region_summary__54[[#This Row],[REJECTED BY Admin Kabupaten]]+region_summary__54[[#This Row],[REJECTED BY Pengawas]]</f>
        <v>0</v>
      </c>
    </row>
    <row r="550" spans="1:13" x14ac:dyDescent="0.25">
      <c r="A550" t="s">
        <v>97</v>
      </c>
      <c r="B550">
        <v>7172030016000100</v>
      </c>
      <c r="C550">
        <v>33</v>
      </c>
      <c r="D550">
        <v>4</v>
      </c>
      <c r="E550">
        <v>0</v>
      </c>
      <c r="F550">
        <v>0</v>
      </c>
      <c r="G550">
        <v>28</v>
      </c>
      <c r="H550">
        <v>0</v>
      </c>
      <c r="I550">
        <v>0</v>
      </c>
      <c r="J550">
        <v>0</v>
      </c>
      <c r="K550">
        <v>1</v>
      </c>
      <c r="L550">
        <v>0</v>
      </c>
      <c r="M550">
        <f>region_summary__54[[#This Row],[REJECTED BY Admin Kabupaten]]+region_summary__54[[#This Row],[REJECTED BY Pengawas]]</f>
        <v>0</v>
      </c>
    </row>
    <row r="551" spans="1:13" x14ac:dyDescent="0.25">
      <c r="A551" t="s">
        <v>97</v>
      </c>
      <c r="B551">
        <v>7172030016000500</v>
      </c>
      <c r="C551">
        <v>33</v>
      </c>
      <c r="D551">
        <v>2</v>
      </c>
      <c r="E551">
        <v>0</v>
      </c>
      <c r="F551">
        <v>0</v>
      </c>
      <c r="G551">
        <v>31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>region_summary__54[[#This Row],[REJECTED BY Admin Kabupaten]]+region_summary__54[[#This Row],[REJECTED BY Pengawas]]</f>
        <v>0</v>
      </c>
    </row>
    <row r="552" spans="1:13" x14ac:dyDescent="0.25">
      <c r="A552" t="s">
        <v>109</v>
      </c>
      <c r="B552">
        <v>7172031001000700</v>
      </c>
      <c r="C552">
        <v>99</v>
      </c>
      <c r="D552">
        <v>60</v>
      </c>
      <c r="E552">
        <v>14</v>
      </c>
      <c r="F552">
        <v>0</v>
      </c>
      <c r="G552">
        <v>25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f>region_summary__54[[#This Row],[REJECTED BY Admin Kabupaten]]+region_summary__54[[#This Row],[REJECTED BY Pengawas]]</f>
        <v>0</v>
      </c>
    </row>
    <row r="553" spans="1:13" x14ac:dyDescent="0.25">
      <c r="A553" t="s">
        <v>109</v>
      </c>
      <c r="B553">
        <v>7172031001000800</v>
      </c>
      <c r="C553">
        <v>59</v>
      </c>
      <c r="D553">
        <v>51</v>
      </c>
      <c r="E553">
        <v>7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>region_summary__54[[#This Row],[REJECTED BY Admin Kabupaten]]+region_summary__54[[#This Row],[REJECTED BY Pengawas]]</f>
        <v>0</v>
      </c>
    </row>
    <row r="554" spans="1:13" x14ac:dyDescent="0.25">
      <c r="A554" t="s">
        <v>109</v>
      </c>
      <c r="B554">
        <v>7172031001001200</v>
      </c>
      <c r="C554">
        <v>58</v>
      </c>
      <c r="D554">
        <v>0</v>
      </c>
      <c r="E554">
        <v>0</v>
      </c>
      <c r="F554">
        <v>0</v>
      </c>
      <c r="G554">
        <v>58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f>region_summary__54[[#This Row],[REJECTED BY Admin Kabupaten]]+region_summary__54[[#This Row],[REJECTED BY Pengawas]]</f>
        <v>0</v>
      </c>
    </row>
    <row r="555" spans="1:13" x14ac:dyDescent="0.25">
      <c r="A555" t="s">
        <v>109</v>
      </c>
      <c r="B555">
        <v>7172031001001400</v>
      </c>
      <c r="C555">
        <v>56</v>
      </c>
      <c r="D555">
        <v>47</v>
      </c>
      <c r="E555">
        <v>7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f>region_summary__54[[#This Row],[REJECTED BY Admin Kabupaten]]+region_summary__54[[#This Row],[REJECTED BY Pengawas]]</f>
        <v>0</v>
      </c>
    </row>
    <row r="556" spans="1:13" x14ac:dyDescent="0.25">
      <c r="A556" t="s">
        <v>109</v>
      </c>
      <c r="B556">
        <v>7172031001001100</v>
      </c>
      <c r="C556">
        <v>50</v>
      </c>
      <c r="D556">
        <v>1</v>
      </c>
      <c r="E556">
        <v>1</v>
      </c>
      <c r="F556">
        <v>0</v>
      </c>
      <c r="G556">
        <v>48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f>region_summary__54[[#This Row],[REJECTED BY Admin Kabupaten]]+region_summary__54[[#This Row],[REJECTED BY Pengawas]]</f>
        <v>0</v>
      </c>
    </row>
    <row r="557" spans="1:13" x14ac:dyDescent="0.25">
      <c r="A557" t="s">
        <v>109</v>
      </c>
      <c r="B557">
        <v>7172031001000600</v>
      </c>
      <c r="C557">
        <v>49</v>
      </c>
      <c r="D557">
        <v>31</v>
      </c>
      <c r="E557">
        <v>5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3</v>
      </c>
      <c r="L557">
        <v>0</v>
      </c>
      <c r="M557">
        <f>region_summary__54[[#This Row],[REJECTED BY Admin Kabupaten]]+region_summary__54[[#This Row],[REJECTED BY Pengawas]]</f>
        <v>0</v>
      </c>
    </row>
    <row r="558" spans="1:13" x14ac:dyDescent="0.25">
      <c r="A558" t="s">
        <v>109</v>
      </c>
      <c r="B558">
        <v>7172031001000400</v>
      </c>
      <c r="C558">
        <v>47</v>
      </c>
      <c r="D558">
        <v>23</v>
      </c>
      <c r="E558">
        <v>7</v>
      </c>
      <c r="F558">
        <v>0</v>
      </c>
      <c r="G558">
        <v>11</v>
      </c>
      <c r="H558">
        <v>0</v>
      </c>
      <c r="I558">
        <v>1</v>
      </c>
      <c r="J558">
        <v>0</v>
      </c>
      <c r="K558">
        <v>5</v>
      </c>
      <c r="L558">
        <v>0</v>
      </c>
      <c r="M558">
        <f>region_summary__54[[#This Row],[REJECTED BY Admin Kabupaten]]+region_summary__54[[#This Row],[REJECTED BY Pengawas]]</f>
        <v>1</v>
      </c>
    </row>
    <row r="559" spans="1:13" x14ac:dyDescent="0.25">
      <c r="A559" t="s">
        <v>109</v>
      </c>
      <c r="B559">
        <v>7172031001001300</v>
      </c>
      <c r="C559">
        <v>47</v>
      </c>
      <c r="D559">
        <v>44</v>
      </c>
      <c r="E559">
        <v>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f>region_summary__54[[#This Row],[REJECTED BY Admin Kabupaten]]+region_summary__54[[#This Row],[REJECTED BY Pengawas]]</f>
        <v>0</v>
      </c>
    </row>
    <row r="560" spans="1:13" x14ac:dyDescent="0.25">
      <c r="A560" t="s">
        <v>109</v>
      </c>
      <c r="B560">
        <v>7172031001000500</v>
      </c>
      <c r="C560">
        <v>45</v>
      </c>
      <c r="D560">
        <v>22</v>
      </c>
      <c r="E560">
        <v>6</v>
      </c>
      <c r="F560">
        <v>0</v>
      </c>
      <c r="G560">
        <v>17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f>region_summary__54[[#This Row],[REJECTED BY Admin Kabupaten]]+region_summary__54[[#This Row],[REJECTED BY Pengawas]]</f>
        <v>0</v>
      </c>
    </row>
    <row r="561" spans="1:13" x14ac:dyDescent="0.25">
      <c r="A561" t="s">
        <v>109</v>
      </c>
      <c r="B561">
        <v>7172031001000200</v>
      </c>
      <c r="C561">
        <v>43</v>
      </c>
      <c r="D561">
        <v>40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f>region_summary__54[[#This Row],[REJECTED BY Admin Kabupaten]]+region_summary__54[[#This Row],[REJECTED BY Pengawas]]</f>
        <v>0</v>
      </c>
    </row>
    <row r="562" spans="1:13" x14ac:dyDescent="0.25">
      <c r="A562" t="s">
        <v>109</v>
      </c>
      <c r="B562">
        <v>7172031001000300</v>
      </c>
      <c r="C562">
        <v>41</v>
      </c>
      <c r="D562">
        <v>25</v>
      </c>
      <c r="E562">
        <v>9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4</v>
      </c>
      <c r="L562">
        <v>0</v>
      </c>
      <c r="M562">
        <f>region_summary__54[[#This Row],[REJECTED BY Admin Kabupaten]]+region_summary__54[[#This Row],[REJECTED BY Pengawas]]</f>
        <v>0</v>
      </c>
    </row>
    <row r="563" spans="1:13" x14ac:dyDescent="0.25">
      <c r="A563" t="s">
        <v>109</v>
      </c>
      <c r="B563">
        <v>7172031001001000</v>
      </c>
      <c r="C563">
        <v>40</v>
      </c>
      <c r="D563">
        <v>29</v>
      </c>
      <c r="E563">
        <v>5</v>
      </c>
      <c r="F563">
        <v>0</v>
      </c>
      <c r="G563">
        <v>6</v>
      </c>
      <c r="H563">
        <v>0</v>
      </c>
      <c r="I563">
        <v>0</v>
      </c>
      <c r="J563">
        <v>0</v>
      </c>
      <c r="K563">
        <v>0</v>
      </c>
      <c r="L563">
        <v>0</v>
      </c>
      <c r="M563">
        <f>region_summary__54[[#This Row],[REJECTED BY Admin Kabupaten]]+region_summary__54[[#This Row],[REJECTED BY Pengawas]]</f>
        <v>0</v>
      </c>
    </row>
    <row r="564" spans="1:13" x14ac:dyDescent="0.25">
      <c r="A564" t="s">
        <v>109</v>
      </c>
      <c r="B564">
        <v>7172031001000900</v>
      </c>
      <c r="C564">
        <v>34</v>
      </c>
      <c r="D564">
        <v>29</v>
      </c>
      <c r="E564">
        <v>2</v>
      </c>
      <c r="F564">
        <v>1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f>region_summary__54[[#This Row],[REJECTED BY Admin Kabupaten]]+region_summary__54[[#This Row],[REJECTED BY Pengawas]]</f>
        <v>1</v>
      </c>
    </row>
    <row r="565" spans="1:13" x14ac:dyDescent="0.25">
      <c r="A565" t="s">
        <v>109</v>
      </c>
      <c r="B565">
        <v>7172031001000100</v>
      </c>
      <c r="C565">
        <v>33</v>
      </c>
      <c r="D565">
        <v>29</v>
      </c>
      <c r="E565">
        <v>1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1</v>
      </c>
      <c r="L565">
        <v>0</v>
      </c>
      <c r="M565">
        <f>region_summary__54[[#This Row],[REJECTED BY Admin Kabupaten]]+region_summary__54[[#This Row],[REJECTED BY Pengawas]]</f>
        <v>0</v>
      </c>
    </row>
    <row r="566" spans="1:13" x14ac:dyDescent="0.25">
      <c r="A566" t="s">
        <v>113</v>
      </c>
      <c r="B566">
        <v>7172031005001800</v>
      </c>
      <c r="C566">
        <v>155</v>
      </c>
      <c r="D566">
        <v>148</v>
      </c>
      <c r="E566">
        <v>1</v>
      </c>
      <c r="F566">
        <v>1</v>
      </c>
      <c r="G566">
        <v>4</v>
      </c>
      <c r="H566">
        <v>0</v>
      </c>
      <c r="I566">
        <v>0</v>
      </c>
      <c r="J566">
        <v>1</v>
      </c>
      <c r="K566">
        <v>0</v>
      </c>
      <c r="L566">
        <v>0</v>
      </c>
      <c r="M566">
        <f>region_summary__54[[#This Row],[REJECTED BY Admin Kabupaten]]+region_summary__54[[#This Row],[REJECTED BY Pengawas]]</f>
        <v>0</v>
      </c>
    </row>
    <row r="567" spans="1:13" x14ac:dyDescent="0.25">
      <c r="A567" t="s">
        <v>113</v>
      </c>
      <c r="B567">
        <v>7172031002001200</v>
      </c>
      <c r="C567">
        <v>99</v>
      </c>
      <c r="D567">
        <v>0</v>
      </c>
      <c r="E567">
        <v>0</v>
      </c>
      <c r="F567">
        <v>0</v>
      </c>
      <c r="G567">
        <v>93</v>
      </c>
      <c r="H567">
        <v>0</v>
      </c>
      <c r="I567">
        <v>0</v>
      </c>
      <c r="J567">
        <v>0</v>
      </c>
      <c r="K567">
        <v>6</v>
      </c>
      <c r="L567">
        <v>0</v>
      </c>
      <c r="M567">
        <f>region_summary__54[[#This Row],[REJECTED BY Admin Kabupaten]]+region_summary__54[[#This Row],[REJECTED BY Pengawas]]</f>
        <v>0</v>
      </c>
    </row>
    <row r="568" spans="1:13" x14ac:dyDescent="0.25">
      <c r="A568" t="s">
        <v>113</v>
      </c>
      <c r="B568">
        <v>7172031005001500</v>
      </c>
      <c r="C568">
        <v>82</v>
      </c>
      <c r="D568">
        <v>80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f>region_summary__54[[#This Row],[REJECTED BY Admin Kabupaten]]+region_summary__54[[#This Row],[REJECTED BY Pengawas]]</f>
        <v>0</v>
      </c>
    </row>
    <row r="569" spans="1:13" x14ac:dyDescent="0.25">
      <c r="A569" t="s">
        <v>113</v>
      </c>
      <c r="B569">
        <v>7172031005000800</v>
      </c>
      <c r="C569">
        <v>81</v>
      </c>
      <c r="D569">
        <v>10</v>
      </c>
      <c r="E569">
        <v>3</v>
      </c>
      <c r="F569">
        <v>0</v>
      </c>
      <c r="G569">
        <v>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f>region_summary__54[[#This Row],[REJECTED BY Admin Kabupaten]]+region_summary__54[[#This Row],[REJECTED BY Pengawas]]</f>
        <v>0</v>
      </c>
    </row>
    <row r="570" spans="1:13" x14ac:dyDescent="0.25">
      <c r="A570" t="s">
        <v>113</v>
      </c>
      <c r="B570">
        <v>7172031005001600</v>
      </c>
      <c r="C570">
        <v>78</v>
      </c>
      <c r="D570">
        <v>73</v>
      </c>
      <c r="E570">
        <v>4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f>region_summary__54[[#This Row],[REJECTED BY Admin Kabupaten]]+region_summary__54[[#This Row],[REJECTED BY Pengawas]]</f>
        <v>0</v>
      </c>
    </row>
    <row r="571" spans="1:13" x14ac:dyDescent="0.25">
      <c r="A571" t="s">
        <v>113</v>
      </c>
      <c r="B571">
        <v>7172031005001300</v>
      </c>
      <c r="C571">
        <v>74</v>
      </c>
      <c r="D571">
        <v>24</v>
      </c>
      <c r="E571">
        <v>1</v>
      </c>
      <c r="F571">
        <v>0</v>
      </c>
      <c r="G571">
        <v>49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f>region_summary__54[[#This Row],[REJECTED BY Admin Kabupaten]]+region_summary__54[[#This Row],[REJECTED BY Pengawas]]</f>
        <v>0</v>
      </c>
    </row>
    <row r="572" spans="1:13" x14ac:dyDescent="0.25">
      <c r="A572" t="s">
        <v>113</v>
      </c>
      <c r="B572">
        <v>7172031005001400</v>
      </c>
      <c r="C572">
        <v>69</v>
      </c>
      <c r="D572">
        <v>66</v>
      </c>
      <c r="E572">
        <v>0</v>
      </c>
      <c r="F572">
        <v>1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f>region_summary__54[[#This Row],[REJECTED BY Admin Kabupaten]]+region_summary__54[[#This Row],[REJECTED BY Pengawas]]</f>
        <v>0</v>
      </c>
    </row>
    <row r="573" spans="1:13" x14ac:dyDescent="0.25">
      <c r="A573" t="s">
        <v>113</v>
      </c>
      <c r="B573">
        <v>7172031003000100</v>
      </c>
      <c r="C573">
        <v>53</v>
      </c>
      <c r="D573">
        <v>24</v>
      </c>
      <c r="E573">
        <v>6</v>
      </c>
      <c r="F573">
        <v>0</v>
      </c>
      <c r="G573">
        <v>14</v>
      </c>
      <c r="H573">
        <v>0</v>
      </c>
      <c r="I573">
        <v>0</v>
      </c>
      <c r="J573">
        <v>0</v>
      </c>
      <c r="K573">
        <v>9</v>
      </c>
      <c r="L573">
        <v>0</v>
      </c>
      <c r="M573">
        <f>region_summary__54[[#This Row],[REJECTED BY Admin Kabupaten]]+region_summary__54[[#This Row],[REJECTED BY Pengawas]]</f>
        <v>0</v>
      </c>
    </row>
    <row r="574" spans="1:13" x14ac:dyDescent="0.25">
      <c r="A574" t="s">
        <v>114</v>
      </c>
      <c r="B574">
        <v>7172031003001300</v>
      </c>
      <c r="C574">
        <v>85</v>
      </c>
      <c r="D574">
        <v>79</v>
      </c>
      <c r="E574">
        <v>1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f>region_summary__54[[#This Row],[REJECTED BY Admin Kabupaten]]+region_summary__54[[#This Row],[REJECTED BY Pengawas]]</f>
        <v>0</v>
      </c>
    </row>
    <row r="575" spans="1:13" x14ac:dyDescent="0.25">
      <c r="A575" t="s">
        <v>114</v>
      </c>
      <c r="B575">
        <v>7172031003001000</v>
      </c>
      <c r="C575">
        <v>73</v>
      </c>
      <c r="D575">
        <v>58</v>
      </c>
      <c r="E575">
        <v>0</v>
      </c>
      <c r="F575">
        <v>11</v>
      </c>
      <c r="G575">
        <v>3</v>
      </c>
      <c r="H575">
        <v>0</v>
      </c>
      <c r="I575">
        <v>0</v>
      </c>
      <c r="J575">
        <v>1</v>
      </c>
      <c r="K575">
        <v>0</v>
      </c>
      <c r="L575">
        <v>0</v>
      </c>
      <c r="M575">
        <f>region_summary__54[[#This Row],[REJECTED BY Admin Kabupaten]]+region_summary__54[[#This Row],[REJECTED BY Pengawas]]</f>
        <v>0</v>
      </c>
    </row>
    <row r="576" spans="1:13" x14ac:dyDescent="0.25">
      <c r="A576" t="s">
        <v>114</v>
      </c>
      <c r="B576">
        <v>7172031003000500</v>
      </c>
      <c r="C576">
        <v>67</v>
      </c>
      <c r="D576">
        <v>16</v>
      </c>
      <c r="E576">
        <v>0</v>
      </c>
      <c r="F576">
        <v>0</v>
      </c>
      <c r="G576">
        <v>51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f>region_summary__54[[#This Row],[REJECTED BY Admin Kabupaten]]+region_summary__54[[#This Row],[REJECTED BY Pengawas]]</f>
        <v>0</v>
      </c>
    </row>
    <row r="577" spans="1:13" x14ac:dyDescent="0.25">
      <c r="A577" t="s">
        <v>114</v>
      </c>
      <c r="B577">
        <v>7172031003001600</v>
      </c>
      <c r="C577">
        <v>66</v>
      </c>
      <c r="D577">
        <v>4</v>
      </c>
      <c r="E577">
        <v>4</v>
      </c>
      <c r="F577">
        <v>0</v>
      </c>
      <c r="G577">
        <v>58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f>region_summary__54[[#This Row],[REJECTED BY Admin Kabupaten]]+region_summary__54[[#This Row],[REJECTED BY Pengawas]]</f>
        <v>0</v>
      </c>
    </row>
    <row r="578" spans="1:13" x14ac:dyDescent="0.25">
      <c r="A578" t="s">
        <v>114</v>
      </c>
      <c r="B578">
        <v>7172031003000900</v>
      </c>
      <c r="C578">
        <v>59</v>
      </c>
      <c r="D578">
        <v>49</v>
      </c>
      <c r="E578">
        <v>0</v>
      </c>
      <c r="F578">
        <v>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f>region_summary__54[[#This Row],[REJECTED BY Admin Kabupaten]]+region_summary__54[[#This Row],[REJECTED BY Pengawas]]</f>
        <v>0</v>
      </c>
    </row>
    <row r="579" spans="1:13" x14ac:dyDescent="0.25">
      <c r="A579" t="s">
        <v>114</v>
      </c>
      <c r="B579">
        <v>7172031003000800</v>
      </c>
      <c r="C579">
        <v>57</v>
      </c>
      <c r="D579">
        <v>16</v>
      </c>
      <c r="E579">
        <v>0</v>
      </c>
      <c r="F579">
        <v>0</v>
      </c>
      <c r="G579">
        <v>41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f>region_summary__54[[#This Row],[REJECTED BY Admin Kabupaten]]+region_summary__54[[#This Row],[REJECTED BY Pengawas]]</f>
        <v>0</v>
      </c>
    </row>
    <row r="580" spans="1:13" x14ac:dyDescent="0.25">
      <c r="A580" t="s">
        <v>114</v>
      </c>
      <c r="B580">
        <v>7172031003001500</v>
      </c>
      <c r="C580">
        <v>49</v>
      </c>
      <c r="D580">
        <v>45</v>
      </c>
      <c r="E580">
        <v>1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f>region_summary__54[[#This Row],[REJECTED BY Admin Kabupaten]]+region_summary__54[[#This Row],[REJECTED BY Pengawas]]</f>
        <v>0</v>
      </c>
    </row>
    <row r="581" spans="1:13" x14ac:dyDescent="0.25">
      <c r="A581" t="s">
        <v>114</v>
      </c>
      <c r="B581">
        <v>7172031003000600</v>
      </c>
      <c r="C581">
        <v>43</v>
      </c>
      <c r="D581">
        <v>11</v>
      </c>
      <c r="E581">
        <v>0</v>
      </c>
      <c r="F581">
        <v>0</v>
      </c>
      <c r="G581">
        <v>32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f>region_summary__54[[#This Row],[REJECTED BY Admin Kabupaten]]+region_summary__54[[#This Row],[REJECTED BY Pengawas]]</f>
        <v>0</v>
      </c>
    </row>
    <row r="582" spans="1:13" x14ac:dyDescent="0.25">
      <c r="A582" t="s">
        <v>114</v>
      </c>
      <c r="B582">
        <v>7172031003000700</v>
      </c>
      <c r="C582">
        <v>40</v>
      </c>
      <c r="D582">
        <v>9</v>
      </c>
      <c r="E582">
        <v>0</v>
      </c>
      <c r="F582">
        <v>0</v>
      </c>
      <c r="G582">
        <v>31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f>region_summary__54[[#This Row],[REJECTED BY Admin Kabupaten]]+region_summary__54[[#This Row],[REJECTED BY Pengawas]]</f>
        <v>0</v>
      </c>
    </row>
    <row r="583" spans="1:13" x14ac:dyDescent="0.25">
      <c r="A583" t="s">
        <v>114</v>
      </c>
      <c r="B583">
        <v>7172031003001100</v>
      </c>
      <c r="C583">
        <v>40</v>
      </c>
      <c r="D583">
        <v>33</v>
      </c>
      <c r="E583">
        <v>2</v>
      </c>
      <c r="F583">
        <v>3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f>region_summary__54[[#This Row],[REJECTED BY Admin Kabupaten]]+region_summary__54[[#This Row],[REJECTED BY Pengawas]]</f>
        <v>0</v>
      </c>
    </row>
    <row r="584" spans="1:13" x14ac:dyDescent="0.25">
      <c r="A584" t="s">
        <v>114</v>
      </c>
      <c r="B584">
        <v>7172031003000300</v>
      </c>
      <c r="C584">
        <v>39</v>
      </c>
      <c r="D584">
        <v>8</v>
      </c>
      <c r="E584">
        <v>0</v>
      </c>
      <c r="F584">
        <v>0</v>
      </c>
      <c r="G584">
        <v>31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f>region_summary__54[[#This Row],[REJECTED BY Admin Kabupaten]]+region_summary__54[[#This Row],[REJECTED BY Pengawas]]</f>
        <v>0</v>
      </c>
    </row>
    <row r="585" spans="1:13" x14ac:dyDescent="0.25">
      <c r="A585" t="s">
        <v>114</v>
      </c>
      <c r="B585">
        <v>7172031003000400</v>
      </c>
      <c r="C585">
        <v>39</v>
      </c>
      <c r="D585">
        <v>16</v>
      </c>
      <c r="E585">
        <v>2</v>
      </c>
      <c r="F585">
        <v>0</v>
      </c>
      <c r="G585">
        <v>21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f>region_summary__54[[#This Row],[REJECTED BY Admin Kabupaten]]+region_summary__54[[#This Row],[REJECTED BY Pengawas]]</f>
        <v>0</v>
      </c>
    </row>
    <row r="586" spans="1:13" x14ac:dyDescent="0.25">
      <c r="A586" t="s">
        <v>114</v>
      </c>
      <c r="B586">
        <v>7172031003001200</v>
      </c>
      <c r="C586">
        <v>38</v>
      </c>
      <c r="D586">
        <v>36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f>region_summary__54[[#This Row],[REJECTED BY Admin Kabupaten]]+region_summary__54[[#This Row],[REJECTED BY Pengawas]]</f>
        <v>0</v>
      </c>
    </row>
    <row r="587" spans="1:13" x14ac:dyDescent="0.25">
      <c r="A587" t="s">
        <v>121</v>
      </c>
      <c r="B587">
        <v>7172031006000500</v>
      </c>
      <c r="C587">
        <v>222</v>
      </c>
      <c r="D587">
        <v>62</v>
      </c>
      <c r="E587">
        <v>56</v>
      </c>
      <c r="F587">
        <v>0</v>
      </c>
      <c r="G587">
        <v>102</v>
      </c>
      <c r="H587">
        <v>0</v>
      </c>
      <c r="I587">
        <v>0</v>
      </c>
      <c r="J587">
        <v>0</v>
      </c>
      <c r="K587">
        <v>2</v>
      </c>
      <c r="L587">
        <v>0</v>
      </c>
      <c r="M587">
        <f>region_summary__54[[#This Row],[REJECTED BY Admin Kabupaten]]+region_summary__54[[#This Row],[REJECTED BY Pengawas]]</f>
        <v>0</v>
      </c>
    </row>
    <row r="588" spans="1:13" x14ac:dyDescent="0.25">
      <c r="A588" t="s">
        <v>121</v>
      </c>
      <c r="B588">
        <v>7172031006001100</v>
      </c>
      <c r="C588">
        <v>209</v>
      </c>
      <c r="D588">
        <v>171</v>
      </c>
      <c r="E588">
        <v>3</v>
      </c>
      <c r="F588">
        <v>17</v>
      </c>
      <c r="G588">
        <v>6</v>
      </c>
      <c r="H588">
        <v>0</v>
      </c>
      <c r="I588">
        <v>0</v>
      </c>
      <c r="J588">
        <v>0</v>
      </c>
      <c r="K588">
        <v>12</v>
      </c>
      <c r="L588">
        <v>0</v>
      </c>
      <c r="M588">
        <f>region_summary__54[[#This Row],[REJECTED BY Admin Kabupaten]]+region_summary__54[[#This Row],[REJECTED BY Pengawas]]</f>
        <v>0</v>
      </c>
    </row>
    <row r="589" spans="1:13" x14ac:dyDescent="0.25">
      <c r="A589" t="s">
        <v>121</v>
      </c>
      <c r="B589">
        <v>7172031006000600</v>
      </c>
      <c r="C589">
        <v>127</v>
      </c>
      <c r="D589">
        <v>104</v>
      </c>
      <c r="E589">
        <v>4</v>
      </c>
      <c r="F589">
        <v>4</v>
      </c>
      <c r="G589">
        <v>9</v>
      </c>
      <c r="H589">
        <v>0</v>
      </c>
      <c r="I589">
        <v>2</v>
      </c>
      <c r="J589">
        <v>0</v>
      </c>
      <c r="K589">
        <v>4</v>
      </c>
      <c r="L589">
        <v>0</v>
      </c>
      <c r="M589">
        <f>region_summary__54[[#This Row],[REJECTED BY Admin Kabupaten]]+region_summary__54[[#This Row],[REJECTED BY Pengawas]]</f>
        <v>2</v>
      </c>
    </row>
    <row r="590" spans="1:13" x14ac:dyDescent="0.25">
      <c r="A590" t="s">
        <v>121</v>
      </c>
      <c r="B590">
        <v>7172031007002600</v>
      </c>
      <c r="C590">
        <v>72</v>
      </c>
      <c r="D590">
        <v>0</v>
      </c>
      <c r="E590">
        <v>0</v>
      </c>
      <c r="F590">
        <v>0</v>
      </c>
      <c r="G590">
        <v>72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f>region_summary__54[[#This Row],[REJECTED BY Admin Kabupaten]]+region_summary__54[[#This Row],[REJECTED BY Pengawas]]</f>
        <v>0</v>
      </c>
    </row>
    <row r="591" spans="1:13" x14ac:dyDescent="0.25">
      <c r="A591" t="s">
        <v>125</v>
      </c>
      <c r="B591">
        <v>7172031007000200</v>
      </c>
      <c r="C591">
        <v>160</v>
      </c>
      <c r="D591">
        <v>71</v>
      </c>
      <c r="E591">
        <v>4</v>
      </c>
      <c r="F591">
        <v>0</v>
      </c>
      <c r="G591">
        <v>56</v>
      </c>
      <c r="H591">
        <v>0</v>
      </c>
      <c r="I591">
        <v>0</v>
      </c>
      <c r="J591">
        <v>0</v>
      </c>
      <c r="K591">
        <v>29</v>
      </c>
      <c r="L591">
        <v>0</v>
      </c>
      <c r="M591">
        <f>region_summary__54[[#This Row],[REJECTED BY Admin Kabupaten]]+region_summary__54[[#This Row],[REJECTED BY Pengawas]]</f>
        <v>0</v>
      </c>
    </row>
    <row r="592" spans="1:13" x14ac:dyDescent="0.25">
      <c r="A592" t="s">
        <v>125</v>
      </c>
      <c r="B592">
        <v>7172031007000100</v>
      </c>
      <c r="C592">
        <v>154</v>
      </c>
      <c r="D592">
        <v>0</v>
      </c>
      <c r="E592">
        <v>0</v>
      </c>
      <c r="F592">
        <v>0</v>
      </c>
      <c r="G592">
        <v>154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f>region_summary__54[[#This Row],[REJECTED BY Admin Kabupaten]]+region_summary__54[[#This Row],[REJECTED BY Pengawas]]</f>
        <v>0</v>
      </c>
    </row>
    <row r="593" spans="1:13" x14ac:dyDescent="0.25">
      <c r="A593" t="s">
        <v>125</v>
      </c>
      <c r="B593">
        <v>7172031007000800</v>
      </c>
      <c r="C593">
        <v>135</v>
      </c>
      <c r="D593">
        <v>124</v>
      </c>
      <c r="E593">
        <v>6</v>
      </c>
      <c r="F593">
        <v>0</v>
      </c>
      <c r="G593">
        <v>4</v>
      </c>
      <c r="H593">
        <v>0</v>
      </c>
      <c r="I593">
        <v>1</v>
      </c>
      <c r="J593">
        <v>0</v>
      </c>
      <c r="K593">
        <v>0</v>
      </c>
      <c r="L593">
        <v>0</v>
      </c>
      <c r="M593">
        <f>region_summary__54[[#This Row],[REJECTED BY Admin Kabupaten]]+region_summary__54[[#This Row],[REJECTED BY Pengawas]]</f>
        <v>1</v>
      </c>
    </row>
    <row r="594" spans="1:13" x14ac:dyDescent="0.25">
      <c r="A594" t="s">
        <v>125</v>
      </c>
      <c r="B594">
        <v>7172031007000400</v>
      </c>
      <c r="C594">
        <v>107</v>
      </c>
      <c r="D594">
        <v>68</v>
      </c>
      <c r="E594">
        <v>14</v>
      </c>
      <c r="F594">
        <v>0</v>
      </c>
      <c r="G594">
        <v>21</v>
      </c>
      <c r="H594">
        <v>0</v>
      </c>
      <c r="I594">
        <v>3</v>
      </c>
      <c r="J594">
        <v>0</v>
      </c>
      <c r="K594">
        <v>1</v>
      </c>
      <c r="L594">
        <v>0</v>
      </c>
      <c r="M594">
        <f>region_summary__54[[#This Row],[REJECTED BY Admin Kabupaten]]+region_summary__54[[#This Row],[REJECTED BY Pengawas]]</f>
        <v>3</v>
      </c>
    </row>
    <row r="595" spans="1:13" x14ac:dyDescent="0.25">
      <c r="A595" t="s">
        <v>125</v>
      </c>
      <c r="B595">
        <v>7172031007000500</v>
      </c>
      <c r="C595">
        <v>105</v>
      </c>
      <c r="D595">
        <v>90</v>
      </c>
      <c r="E595">
        <v>9</v>
      </c>
      <c r="F595">
        <v>1</v>
      </c>
      <c r="G595">
        <v>0</v>
      </c>
      <c r="H595">
        <v>0</v>
      </c>
      <c r="I595">
        <v>3</v>
      </c>
      <c r="J595">
        <v>0</v>
      </c>
      <c r="K595">
        <v>2</v>
      </c>
      <c r="L595">
        <v>0</v>
      </c>
      <c r="M595">
        <f>region_summary__54[[#This Row],[REJECTED BY Admin Kabupaten]]+region_summary__54[[#This Row],[REJECTED BY Pengawas]]</f>
        <v>3</v>
      </c>
    </row>
    <row r="596" spans="1:13" x14ac:dyDescent="0.25">
      <c r="A596" t="s">
        <v>125</v>
      </c>
      <c r="B596">
        <v>7172031007002500</v>
      </c>
      <c r="C596">
        <v>87</v>
      </c>
      <c r="D596">
        <v>86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f>region_summary__54[[#This Row],[REJECTED BY Admin Kabupaten]]+region_summary__54[[#This Row],[REJECTED BY Pengawas]]</f>
        <v>0</v>
      </c>
    </row>
    <row r="597" spans="1:13" x14ac:dyDescent="0.25">
      <c r="A597" t="s">
        <v>125</v>
      </c>
      <c r="B597">
        <v>7172031008000400</v>
      </c>
      <c r="C597">
        <v>34</v>
      </c>
      <c r="D597">
        <v>34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f>region_summary__54[[#This Row],[REJECTED BY Admin Kabupaten]]+region_summary__54[[#This Row],[REJECTED BY Pengawas]]</f>
        <v>0</v>
      </c>
    </row>
    <row r="598" spans="1:13" x14ac:dyDescent="0.25">
      <c r="A598" t="s">
        <v>123</v>
      </c>
      <c r="B598">
        <v>7172031007002700</v>
      </c>
      <c r="C598">
        <v>182</v>
      </c>
      <c r="D598">
        <v>142</v>
      </c>
      <c r="E598">
        <v>3</v>
      </c>
      <c r="F598">
        <v>35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f>region_summary__54[[#This Row],[REJECTED BY Admin Kabupaten]]+region_summary__54[[#This Row],[REJECTED BY Pengawas]]</f>
        <v>0</v>
      </c>
    </row>
    <row r="599" spans="1:13" x14ac:dyDescent="0.25">
      <c r="A599" t="s">
        <v>123</v>
      </c>
      <c r="B599">
        <v>7172031006000800</v>
      </c>
      <c r="C599">
        <v>130</v>
      </c>
      <c r="D599">
        <v>31</v>
      </c>
      <c r="E599">
        <v>0</v>
      </c>
      <c r="F599">
        <v>0</v>
      </c>
      <c r="G599">
        <v>98</v>
      </c>
      <c r="H599">
        <v>0</v>
      </c>
      <c r="I599">
        <v>1</v>
      </c>
      <c r="J599">
        <v>0</v>
      </c>
      <c r="K599">
        <v>0</v>
      </c>
      <c r="L599">
        <v>0</v>
      </c>
      <c r="M599">
        <f>region_summary__54[[#This Row],[REJECTED BY Admin Kabupaten]]+region_summary__54[[#This Row],[REJECTED BY Pengawas]]</f>
        <v>1</v>
      </c>
    </row>
    <row r="600" spans="1:13" x14ac:dyDescent="0.25">
      <c r="A600" t="s">
        <v>123</v>
      </c>
      <c r="B600">
        <v>7172031008000200</v>
      </c>
      <c r="C600">
        <v>109</v>
      </c>
      <c r="D600">
        <v>98</v>
      </c>
      <c r="E600">
        <v>0</v>
      </c>
      <c r="F600">
        <v>0</v>
      </c>
      <c r="G600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f>region_summary__54[[#This Row],[REJECTED BY Admin Kabupaten]]+region_summary__54[[#This Row],[REJECTED BY Pengawas]]</f>
        <v>0</v>
      </c>
    </row>
    <row r="601" spans="1:13" x14ac:dyDescent="0.25">
      <c r="A601" t="s">
        <v>123</v>
      </c>
      <c r="B601">
        <v>7172031007000300</v>
      </c>
      <c r="C601">
        <v>99</v>
      </c>
      <c r="D601">
        <v>7</v>
      </c>
      <c r="E601">
        <v>0</v>
      </c>
      <c r="F601">
        <v>0</v>
      </c>
      <c r="G601">
        <v>92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f>region_summary__54[[#This Row],[REJECTED BY Admin Kabupaten]]+region_summary__54[[#This Row],[REJECTED BY Pengawas]]</f>
        <v>0</v>
      </c>
    </row>
    <row r="602" spans="1:13" x14ac:dyDescent="0.25">
      <c r="A602" t="s">
        <v>123</v>
      </c>
      <c r="B602">
        <v>7172031008000100</v>
      </c>
      <c r="C602">
        <v>95</v>
      </c>
      <c r="D602">
        <v>76</v>
      </c>
      <c r="E602">
        <v>1</v>
      </c>
      <c r="F602">
        <v>13</v>
      </c>
      <c r="G602">
        <v>4</v>
      </c>
      <c r="H602">
        <v>0</v>
      </c>
      <c r="I602">
        <v>1</v>
      </c>
      <c r="J602">
        <v>0</v>
      </c>
      <c r="K602">
        <v>0</v>
      </c>
      <c r="L602">
        <v>0</v>
      </c>
      <c r="M602">
        <f>region_summary__54[[#This Row],[REJECTED BY Admin Kabupaten]]+region_summary__54[[#This Row],[REJECTED BY Pengawas]]</f>
        <v>1</v>
      </c>
    </row>
    <row r="603" spans="1:13" x14ac:dyDescent="0.25">
      <c r="A603" t="s">
        <v>123</v>
      </c>
      <c r="B603">
        <v>7172031007002800</v>
      </c>
      <c r="C603">
        <v>52</v>
      </c>
      <c r="D603">
        <v>19</v>
      </c>
      <c r="E603">
        <v>0</v>
      </c>
      <c r="F603">
        <v>1</v>
      </c>
      <c r="G603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f>region_summary__54[[#This Row],[REJECTED BY Admin Kabupaten]]+region_summary__54[[#This Row],[REJECTED BY Pengawas]]</f>
        <v>0</v>
      </c>
    </row>
    <row r="604" spans="1:13" x14ac:dyDescent="0.25">
      <c r="A604" t="s">
        <v>126</v>
      </c>
      <c r="B604">
        <v>7172031007000600</v>
      </c>
      <c r="C604">
        <v>185</v>
      </c>
      <c r="D604">
        <v>178</v>
      </c>
      <c r="E604">
        <v>4</v>
      </c>
      <c r="F604">
        <v>2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f>region_summary__54[[#This Row],[REJECTED BY Admin Kabupaten]]+region_summary__54[[#This Row],[REJECTED BY Pengawas]]</f>
        <v>1</v>
      </c>
    </row>
    <row r="605" spans="1:13" x14ac:dyDescent="0.25">
      <c r="A605" t="s">
        <v>126</v>
      </c>
      <c r="B605">
        <v>7172031007000700</v>
      </c>
      <c r="C605">
        <v>125</v>
      </c>
      <c r="D605">
        <v>102</v>
      </c>
      <c r="E605">
        <v>11</v>
      </c>
      <c r="F605">
        <v>0</v>
      </c>
      <c r="G605">
        <v>11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f>region_summary__54[[#This Row],[REJECTED BY Admin Kabupaten]]+region_summary__54[[#This Row],[REJECTED BY Pengawas]]</f>
        <v>0</v>
      </c>
    </row>
    <row r="606" spans="1:13" x14ac:dyDescent="0.25">
      <c r="A606" t="s">
        <v>126</v>
      </c>
      <c r="B606">
        <v>7172031007000900</v>
      </c>
      <c r="C606">
        <v>120</v>
      </c>
      <c r="D606">
        <v>34</v>
      </c>
      <c r="E606">
        <v>15</v>
      </c>
      <c r="F606">
        <v>0</v>
      </c>
      <c r="G606">
        <v>54</v>
      </c>
      <c r="H606">
        <v>0</v>
      </c>
      <c r="I606">
        <v>0</v>
      </c>
      <c r="J606">
        <v>1</v>
      </c>
      <c r="K606">
        <v>16</v>
      </c>
      <c r="L606">
        <v>0</v>
      </c>
      <c r="M606">
        <f>region_summary__54[[#This Row],[REJECTED BY Admin Kabupaten]]+region_summary__54[[#This Row],[REJECTED BY Pengawas]]</f>
        <v>0</v>
      </c>
    </row>
    <row r="607" spans="1:13" x14ac:dyDescent="0.25">
      <c r="A607" t="s">
        <v>126</v>
      </c>
      <c r="B607">
        <v>7172031007001400</v>
      </c>
      <c r="C607">
        <v>117</v>
      </c>
      <c r="D607">
        <v>0</v>
      </c>
      <c r="E607">
        <v>0</v>
      </c>
      <c r="F607">
        <v>0</v>
      </c>
      <c r="G607">
        <v>117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f>region_summary__54[[#This Row],[REJECTED BY Admin Kabupaten]]+region_summary__54[[#This Row],[REJECTED BY Pengawas]]</f>
        <v>0</v>
      </c>
    </row>
    <row r="608" spans="1:13" x14ac:dyDescent="0.25">
      <c r="A608" t="s">
        <v>126</v>
      </c>
      <c r="B608">
        <v>7172031007001300</v>
      </c>
      <c r="C608">
        <v>94</v>
      </c>
      <c r="D608">
        <v>0</v>
      </c>
      <c r="E608">
        <v>0</v>
      </c>
      <c r="F608">
        <v>0</v>
      </c>
      <c r="G608">
        <v>94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f>region_summary__54[[#This Row],[REJECTED BY Admin Kabupaten]]+region_summary__54[[#This Row],[REJECTED BY Pengawas]]</f>
        <v>0</v>
      </c>
    </row>
    <row r="609" spans="1:13" x14ac:dyDescent="0.25">
      <c r="A609" t="s">
        <v>126</v>
      </c>
      <c r="B609">
        <v>7172031007001100</v>
      </c>
      <c r="C609">
        <v>54</v>
      </c>
      <c r="D609">
        <v>2</v>
      </c>
      <c r="E609">
        <v>0</v>
      </c>
      <c r="F609">
        <v>0</v>
      </c>
      <c r="G609">
        <v>52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f>region_summary__54[[#This Row],[REJECTED BY Admin Kabupaten]]+region_summary__54[[#This Row],[REJECTED BY Pengawas]]</f>
        <v>0</v>
      </c>
    </row>
    <row r="610" spans="1:13" x14ac:dyDescent="0.25">
      <c r="A610" t="s">
        <v>128</v>
      </c>
      <c r="B610">
        <v>7172031007001900</v>
      </c>
      <c r="C610">
        <v>163</v>
      </c>
      <c r="D610">
        <v>123</v>
      </c>
      <c r="E610">
        <v>21</v>
      </c>
      <c r="F610">
        <v>1</v>
      </c>
      <c r="G610">
        <v>2</v>
      </c>
      <c r="H610">
        <v>0</v>
      </c>
      <c r="I610">
        <v>0</v>
      </c>
      <c r="J610">
        <v>3</v>
      </c>
      <c r="K610">
        <v>13</v>
      </c>
      <c r="L610">
        <v>0</v>
      </c>
      <c r="M610">
        <f>region_summary__54[[#This Row],[REJECTED BY Admin Kabupaten]]+region_summary__54[[#This Row],[REJECTED BY Pengawas]]</f>
        <v>0</v>
      </c>
    </row>
    <row r="611" spans="1:13" x14ac:dyDescent="0.25">
      <c r="A611" t="s">
        <v>128</v>
      </c>
      <c r="B611">
        <v>7172031007002200</v>
      </c>
      <c r="C611">
        <v>120</v>
      </c>
      <c r="D611">
        <v>42</v>
      </c>
      <c r="E611">
        <v>0</v>
      </c>
      <c r="F611">
        <v>0</v>
      </c>
      <c r="G611">
        <v>77</v>
      </c>
      <c r="H611">
        <v>0</v>
      </c>
      <c r="I611">
        <v>0</v>
      </c>
      <c r="J611">
        <v>1</v>
      </c>
      <c r="K611">
        <v>0</v>
      </c>
      <c r="L611">
        <v>0</v>
      </c>
      <c r="M611">
        <f>region_summary__54[[#This Row],[REJECTED BY Admin Kabupaten]]+region_summary__54[[#This Row],[REJECTED BY Pengawas]]</f>
        <v>0</v>
      </c>
    </row>
    <row r="612" spans="1:13" x14ac:dyDescent="0.25">
      <c r="A612" t="s">
        <v>128</v>
      </c>
      <c r="B612">
        <v>7172031007002400</v>
      </c>
      <c r="C612">
        <v>108</v>
      </c>
      <c r="D612">
        <v>65</v>
      </c>
      <c r="E612">
        <v>6</v>
      </c>
      <c r="F612">
        <v>0</v>
      </c>
      <c r="G612">
        <v>21</v>
      </c>
      <c r="H612">
        <v>0</v>
      </c>
      <c r="I612">
        <v>1</v>
      </c>
      <c r="J612">
        <v>0</v>
      </c>
      <c r="K612">
        <v>15</v>
      </c>
      <c r="L612">
        <v>0</v>
      </c>
      <c r="M612">
        <f>region_summary__54[[#This Row],[REJECTED BY Admin Kabupaten]]+region_summary__54[[#This Row],[REJECTED BY Pengawas]]</f>
        <v>1</v>
      </c>
    </row>
    <row r="613" spans="1:13" x14ac:dyDescent="0.25">
      <c r="A613" t="s">
        <v>128</v>
      </c>
      <c r="B613">
        <v>7172031007002100</v>
      </c>
      <c r="C613">
        <v>103</v>
      </c>
      <c r="D613">
        <v>33</v>
      </c>
      <c r="E613">
        <v>3</v>
      </c>
      <c r="F613">
        <v>0</v>
      </c>
      <c r="G613">
        <v>67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f>region_summary__54[[#This Row],[REJECTED BY Admin Kabupaten]]+region_summary__54[[#This Row],[REJECTED BY Pengawas]]</f>
        <v>0</v>
      </c>
    </row>
    <row r="614" spans="1:13" x14ac:dyDescent="0.25">
      <c r="A614" t="s">
        <v>128</v>
      </c>
      <c r="B614">
        <v>7172031007001500</v>
      </c>
      <c r="C614">
        <v>92</v>
      </c>
      <c r="D614">
        <v>89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f>region_summary__54[[#This Row],[REJECTED BY Admin Kabupaten]]+region_summary__54[[#This Row],[REJECTED BY Pengawas]]</f>
        <v>0</v>
      </c>
    </row>
    <row r="615" spans="1:13" x14ac:dyDescent="0.25">
      <c r="A615" t="s">
        <v>128</v>
      </c>
      <c r="B615">
        <v>7172031007002300</v>
      </c>
      <c r="C615">
        <v>72</v>
      </c>
      <c r="D615">
        <v>13</v>
      </c>
      <c r="E615">
        <v>0</v>
      </c>
      <c r="F615">
        <v>0</v>
      </c>
      <c r="G615">
        <v>59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f>region_summary__54[[#This Row],[REJECTED BY Admin Kabupaten]]+region_summary__54[[#This Row],[REJECTED BY Pengawas]]</f>
        <v>0</v>
      </c>
    </row>
    <row r="616" spans="1:13" x14ac:dyDescent="0.25">
      <c r="A616" t="s">
        <v>131</v>
      </c>
      <c r="B616">
        <v>7172040007000300</v>
      </c>
      <c r="C616">
        <v>100</v>
      </c>
      <c r="D616">
        <v>95</v>
      </c>
      <c r="E616">
        <v>0</v>
      </c>
      <c r="F616">
        <v>1</v>
      </c>
      <c r="G616">
        <v>1</v>
      </c>
      <c r="H616">
        <v>0</v>
      </c>
      <c r="I616">
        <v>2</v>
      </c>
      <c r="J616">
        <v>1</v>
      </c>
      <c r="K616">
        <v>0</v>
      </c>
      <c r="L616">
        <v>0</v>
      </c>
      <c r="M616">
        <f>region_summary__54[[#This Row],[REJECTED BY Admin Kabupaten]]+region_summary__54[[#This Row],[REJECTED BY Pengawas]]</f>
        <v>2</v>
      </c>
    </row>
    <row r="617" spans="1:13" x14ac:dyDescent="0.25">
      <c r="A617" t="s">
        <v>131</v>
      </c>
      <c r="B617">
        <v>7172040007000100</v>
      </c>
      <c r="C617">
        <v>81</v>
      </c>
      <c r="D617">
        <v>50</v>
      </c>
      <c r="E617">
        <v>4</v>
      </c>
      <c r="F617">
        <v>2</v>
      </c>
      <c r="G617">
        <v>15</v>
      </c>
      <c r="H617">
        <v>0</v>
      </c>
      <c r="I617">
        <v>0</v>
      </c>
      <c r="J617">
        <v>0</v>
      </c>
      <c r="K617">
        <v>10</v>
      </c>
      <c r="L617">
        <v>0</v>
      </c>
      <c r="M617">
        <f>region_summary__54[[#This Row],[REJECTED BY Admin Kabupaten]]+region_summary__54[[#This Row],[REJECTED BY Pengawas]]</f>
        <v>0</v>
      </c>
    </row>
    <row r="618" spans="1:13" x14ac:dyDescent="0.25">
      <c r="A618" t="s">
        <v>131</v>
      </c>
      <c r="B618">
        <v>7172040007000200</v>
      </c>
      <c r="C618">
        <v>80</v>
      </c>
      <c r="D618">
        <v>18</v>
      </c>
      <c r="E618">
        <v>0</v>
      </c>
      <c r="F618">
        <v>0</v>
      </c>
      <c r="G618">
        <v>62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f>region_summary__54[[#This Row],[REJECTED BY Admin Kabupaten]]+region_summary__54[[#This Row],[REJECTED BY Pengawas]]</f>
        <v>0</v>
      </c>
    </row>
    <row r="619" spans="1:13" x14ac:dyDescent="0.25">
      <c r="A619" t="s">
        <v>131</v>
      </c>
      <c r="B619">
        <v>7172040001000900</v>
      </c>
      <c r="C619">
        <v>75</v>
      </c>
      <c r="D619">
        <v>14</v>
      </c>
      <c r="E619">
        <v>0</v>
      </c>
      <c r="F619">
        <v>0</v>
      </c>
      <c r="G619">
        <v>61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f>region_summary__54[[#This Row],[REJECTED BY Admin Kabupaten]]+region_summary__54[[#This Row],[REJECTED BY Pengawas]]</f>
        <v>0</v>
      </c>
    </row>
    <row r="620" spans="1:13" x14ac:dyDescent="0.25">
      <c r="A620" t="s">
        <v>131</v>
      </c>
      <c r="B620">
        <v>7172040001000600</v>
      </c>
      <c r="C620">
        <v>67</v>
      </c>
      <c r="D620">
        <v>9</v>
      </c>
      <c r="E620">
        <v>0</v>
      </c>
      <c r="F620">
        <v>0</v>
      </c>
      <c r="G620">
        <v>58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f>region_summary__54[[#This Row],[REJECTED BY Admin Kabupaten]]+region_summary__54[[#This Row],[REJECTED BY Pengawas]]</f>
        <v>0</v>
      </c>
    </row>
    <row r="621" spans="1:13" x14ac:dyDescent="0.25">
      <c r="A621" t="s">
        <v>131</v>
      </c>
      <c r="B621">
        <v>7172040001000700</v>
      </c>
      <c r="C621">
        <v>57</v>
      </c>
      <c r="D621">
        <v>15</v>
      </c>
      <c r="E621">
        <v>0</v>
      </c>
      <c r="F621">
        <v>0</v>
      </c>
      <c r="G621">
        <v>42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f>region_summary__54[[#This Row],[REJECTED BY Admin Kabupaten]]+region_summary__54[[#This Row],[REJECTED BY Pengawas]]</f>
        <v>0</v>
      </c>
    </row>
    <row r="622" spans="1:13" x14ac:dyDescent="0.25">
      <c r="A622" t="s">
        <v>131</v>
      </c>
      <c r="B622">
        <v>7172040001000500</v>
      </c>
      <c r="C622">
        <v>53</v>
      </c>
      <c r="D622">
        <v>8</v>
      </c>
      <c r="E622">
        <v>0</v>
      </c>
      <c r="F622">
        <v>0</v>
      </c>
      <c r="G622">
        <v>45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f>region_summary__54[[#This Row],[REJECTED BY Admin Kabupaten]]+region_summary__54[[#This Row],[REJECTED BY Pengawas]]</f>
        <v>0</v>
      </c>
    </row>
    <row r="623" spans="1:13" x14ac:dyDescent="0.25">
      <c r="A623" t="s">
        <v>131</v>
      </c>
      <c r="B623">
        <v>7172040007000400</v>
      </c>
      <c r="C623">
        <v>47</v>
      </c>
      <c r="D623">
        <v>46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f>region_summary__54[[#This Row],[REJECTED BY Admin Kabupaten]]+region_summary__54[[#This Row],[REJECTED BY Pengawas]]</f>
        <v>0</v>
      </c>
    </row>
    <row r="624" spans="1:13" x14ac:dyDescent="0.25">
      <c r="A624" t="s">
        <v>131</v>
      </c>
      <c r="B624">
        <v>7172040001000800</v>
      </c>
      <c r="C624">
        <v>42</v>
      </c>
      <c r="D624">
        <v>11</v>
      </c>
      <c r="E624">
        <v>1</v>
      </c>
      <c r="F624">
        <v>0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f>region_summary__54[[#This Row],[REJECTED BY Admin Kabupaten]]+region_summary__54[[#This Row],[REJECTED BY Pengawas]]</f>
        <v>0</v>
      </c>
    </row>
    <row r="625" spans="1:13" x14ac:dyDescent="0.25">
      <c r="A625" t="s">
        <v>131</v>
      </c>
      <c r="B625">
        <v>7172040001000400</v>
      </c>
      <c r="C625">
        <v>41</v>
      </c>
      <c r="D625">
        <v>16</v>
      </c>
      <c r="E625">
        <v>0</v>
      </c>
      <c r="F625">
        <v>0</v>
      </c>
      <c r="G625">
        <v>25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f>region_summary__54[[#This Row],[REJECTED BY Admin Kabupaten]]+region_summary__54[[#This Row],[REJECTED BY Pengawas]]</f>
        <v>0</v>
      </c>
    </row>
    <row r="626" spans="1:13" x14ac:dyDescent="0.25">
      <c r="A626" t="s">
        <v>134</v>
      </c>
      <c r="B626">
        <v>7172040003001200</v>
      </c>
      <c r="C626">
        <v>219</v>
      </c>
      <c r="D626">
        <v>130</v>
      </c>
      <c r="E626">
        <v>2</v>
      </c>
      <c r="F626">
        <v>2</v>
      </c>
      <c r="G626">
        <v>71</v>
      </c>
      <c r="H626">
        <v>0</v>
      </c>
      <c r="I626">
        <v>1</v>
      </c>
      <c r="J626">
        <v>0</v>
      </c>
      <c r="K626">
        <v>13</v>
      </c>
      <c r="L626">
        <v>0</v>
      </c>
      <c r="M626">
        <f>region_summary__54[[#This Row],[REJECTED BY Admin Kabupaten]]+region_summary__54[[#This Row],[REJECTED BY Pengawas]]</f>
        <v>1</v>
      </c>
    </row>
    <row r="627" spans="1:13" x14ac:dyDescent="0.25">
      <c r="A627" t="s">
        <v>134</v>
      </c>
      <c r="B627">
        <v>7172040003001000</v>
      </c>
      <c r="C627">
        <v>142</v>
      </c>
      <c r="D627">
        <v>136</v>
      </c>
      <c r="E627">
        <v>2</v>
      </c>
      <c r="F627">
        <v>3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f>region_summary__54[[#This Row],[REJECTED BY Admin Kabupaten]]+region_summary__54[[#This Row],[REJECTED BY Pengawas]]</f>
        <v>0</v>
      </c>
    </row>
    <row r="628" spans="1:13" x14ac:dyDescent="0.25">
      <c r="A628" t="s">
        <v>134</v>
      </c>
      <c r="B628">
        <v>7172040003001100</v>
      </c>
      <c r="C628">
        <v>138</v>
      </c>
      <c r="D628">
        <v>8</v>
      </c>
      <c r="E628">
        <v>0</v>
      </c>
      <c r="F628">
        <v>0</v>
      </c>
      <c r="G628">
        <v>111</v>
      </c>
      <c r="H628">
        <v>0</v>
      </c>
      <c r="I628">
        <v>0</v>
      </c>
      <c r="J628">
        <v>0</v>
      </c>
      <c r="K628">
        <v>19</v>
      </c>
      <c r="L628">
        <v>0</v>
      </c>
      <c r="M628">
        <f>region_summary__54[[#This Row],[REJECTED BY Admin Kabupaten]]+region_summary__54[[#This Row],[REJECTED BY Pengawas]]</f>
        <v>0</v>
      </c>
    </row>
    <row r="629" spans="1:13" x14ac:dyDescent="0.25">
      <c r="A629" t="s">
        <v>134</v>
      </c>
      <c r="B629">
        <v>7172040003000900</v>
      </c>
      <c r="C629">
        <v>93</v>
      </c>
      <c r="D629">
        <v>0</v>
      </c>
      <c r="E629">
        <v>0</v>
      </c>
      <c r="F629">
        <v>0</v>
      </c>
      <c r="G629">
        <v>93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f>region_summary__54[[#This Row],[REJECTED BY Admin Kabupaten]]+region_summary__54[[#This Row],[REJECTED BY Pengawas]]</f>
        <v>0</v>
      </c>
    </row>
    <row r="630" spans="1:13" x14ac:dyDescent="0.25">
      <c r="A630" t="s">
        <v>134</v>
      </c>
      <c r="B630">
        <v>7172040003000200</v>
      </c>
      <c r="C630">
        <v>69</v>
      </c>
      <c r="D630">
        <v>5</v>
      </c>
      <c r="E630">
        <v>0</v>
      </c>
      <c r="F630">
        <v>0</v>
      </c>
      <c r="G630">
        <v>64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f>region_summary__54[[#This Row],[REJECTED BY Admin Kabupaten]]+region_summary__54[[#This Row],[REJECTED BY Pengawas]]</f>
        <v>0</v>
      </c>
    </row>
    <row r="631" spans="1:13" x14ac:dyDescent="0.25">
      <c r="A631" t="s">
        <v>137</v>
      </c>
      <c r="B631">
        <v>7172040005000200</v>
      </c>
      <c r="C631">
        <v>159</v>
      </c>
      <c r="D631">
        <v>139</v>
      </c>
      <c r="E631">
        <v>4</v>
      </c>
      <c r="F631">
        <v>1</v>
      </c>
      <c r="G631">
        <v>13</v>
      </c>
      <c r="H631">
        <v>0</v>
      </c>
      <c r="I631">
        <v>0</v>
      </c>
      <c r="J631">
        <v>2</v>
      </c>
      <c r="K631">
        <v>0</v>
      </c>
      <c r="L631">
        <v>0</v>
      </c>
      <c r="M631">
        <f>region_summary__54[[#This Row],[REJECTED BY Admin Kabupaten]]+region_summary__54[[#This Row],[REJECTED BY Pengawas]]</f>
        <v>0</v>
      </c>
    </row>
    <row r="632" spans="1:13" x14ac:dyDescent="0.25">
      <c r="A632" t="s">
        <v>137</v>
      </c>
      <c r="B632">
        <v>7172040005001200</v>
      </c>
      <c r="C632">
        <v>78</v>
      </c>
      <c r="D632">
        <v>5</v>
      </c>
      <c r="E632">
        <v>1</v>
      </c>
      <c r="F632">
        <v>0</v>
      </c>
      <c r="G632">
        <v>72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f>region_summary__54[[#This Row],[REJECTED BY Admin Kabupaten]]+region_summary__54[[#This Row],[REJECTED BY Pengawas]]</f>
        <v>0</v>
      </c>
    </row>
    <row r="633" spans="1:13" x14ac:dyDescent="0.25">
      <c r="A633" t="s">
        <v>137</v>
      </c>
      <c r="B633">
        <v>7172040005000400</v>
      </c>
      <c r="C633">
        <v>74</v>
      </c>
      <c r="D633">
        <v>46</v>
      </c>
      <c r="E633">
        <v>1</v>
      </c>
      <c r="F633">
        <v>2</v>
      </c>
      <c r="G633">
        <v>19</v>
      </c>
      <c r="H633">
        <v>0</v>
      </c>
      <c r="I633">
        <v>0</v>
      </c>
      <c r="J633">
        <v>0</v>
      </c>
      <c r="K633">
        <v>6</v>
      </c>
      <c r="L633">
        <v>0</v>
      </c>
      <c r="M633">
        <f>region_summary__54[[#This Row],[REJECTED BY Admin Kabupaten]]+region_summary__54[[#This Row],[REJECTED BY Pengawas]]</f>
        <v>0</v>
      </c>
    </row>
    <row r="634" spans="1:13" x14ac:dyDescent="0.25">
      <c r="A634" t="s">
        <v>137</v>
      </c>
      <c r="B634">
        <v>7172040005000700</v>
      </c>
      <c r="C634">
        <v>63</v>
      </c>
      <c r="D634">
        <v>56</v>
      </c>
      <c r="E634">
        <v>0</v>
      </c>
      <c r="F634">
        <v>2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f>region_summary__54[[#This Row],[REJECTED BY Admin Kabupaten]]+region_summary__54[[#This Row],[REJECTED BY Pengawas]]</f>
        <v>0</v>
      </c>
    </row>
    <row r="635" spans="1:13" x14ac:dyDescent="0.25">
      <c r="A635" t="s">
        <v>137</v>
      </c>
      <c r="B635">
        <v>7172040005000100</v>
      </c>
      <c r="C635">
        <v>54</v>
      </c>
      <c r="D635">
        <v>34</v>
      </c>
      <c r="E635">
        <v>2</v>
      </c>
      <c r="F635">
        <v>0</v>
      </c>
      <c r="G635">
        <v>17</v>
      </c>
      <c r="H635">
        <v>0</v>
      </c>
      <c r="I635">
        <v>1</v>
      </c>
      <c r="J635">
        <v>0</v>
      </c>
      <c r="K635">
        <v>0</v>
      </c>
      <c r="L635">
        <v>0</v>
      </c>
      <c r="M635">
        <f>region_summary__54[[#This Row],[REJECTED BY Admin Kabupaten]]+region_summary__54[[#This Row],[REJECTED BY Pengawas]]</f>
        <v>1</v>
      </c>
    </row>
    <row r="636" spans="1:13" x14ac:dyDescent="0.25">
      <c r="A636" t="s">
        <v>137</v>
      </c>
      <c r="B636">
        <v>7172040005001000</v>
      </c>
      <c r="C636">
        <v>49</v>
      </c>
      <c r="D636">
        <v>42</v>
      </c>
      <c r="E636">
        <v>1</v>
      </c>
      <c r="F636">
        <v>2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f>region_summary__54[[#This Row],[REJECTED BY Admin Kabupaten]]+region_summary__54[[#This Row],[REJECTED BY Pengawas]]</f>
        <v>0</v>
      </c>
    </row>
    <row r="637" spans="1:13" x14ac:dyDescent="0.25">
      <c r="A637" t="s">
        <v>137</v>
      </c>
      <c r="B637">
        <v>7172040005001100</v>
      </c>
      <c r="C637">
        <v>48</v>
      </c>
      <c r="D637">
        <v>1</v>
      </c>
      <c r="E637">
        <v>0</v>
      </c>
      <c r="F637">
        <v>0</v>
      </c>
      <c r="G637">
        <v>47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f>region_summary__54[[#This Row],[REJECTED BY Admin Kabupaten]]+region_summary__54[[#This Row],[REJECTED BY Pengawas]]</f>
        <v>0</v>
      </c>
    </row>
    <row r="638" spans="1:13" x14ac:dyDescent="0.25">
      <c r="A638" t="s">
        <v>137</v>
      </c>
      <c r="B638">
        <v>7172040005000900</v>
      </c>
      <c r="C638">
        <v>44</v>
      </c>
      <c r="D638">
        <v>2</v>
      </c>
      <c r="E638">
        <v>2</v>
      </c>
      <c r="F638">
        <v>0</v>
      </c>
      <c r="G638">
        <v>39</v>
      </c>
      <c r="H638">
        <v>0</v>
      </c>
      <c r="I638">
        <v>0</v>
      </c>
      <c r="J638">
        <v>0</v>
      </c>
      <c r="K638">
        <v>1</v>
      </c>
      <c r="L638">
        <v>0</v>
      </c>
      <c r="M638">
        <f>region_summary__54[[#This Row],[REJECTED BY Admin Kabupaten]]+region_summary__54[[#This Row],[REJECTED BY Pengawas]]</f>
        <v>0</v>
      </c>
    </row>
    <row r="639" spans="1:13" x14ac:dyDescent="0.25">
      <c r="A639" t="s">
        <v>137</v>
      </c>
      <c r="B639">
        <v>7172040005000300</v>
      </c>
      <c r="C639">
        <v>43</v>
      </c>
      <c r="D639">
        <v>34</v>
      </c>
      <c r="E639">
        <v>5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2</v>
      </c>
      <c r="L639">
        <v>0</v>
      </c>
      <c r="M639">
        <f>region_summary__54[[#This Row],[REJECTED BY Admin Kabupaten]]+region_summary__54[[#This Row],[REJECTED BY Pengawas]]</f>
        <v>0</v>
      </c>
    </row>
    <row r="640" spans="1:13" x14ac:dyDescent="0.25">
      <c r="A640" t="s">
        <v>137</v>
      </c>
      <c r="B640">
        <v>7172040005000800</v>
      </c>
      <c r="C640">
        <v>40</v>
      </c>
      <c r="D640">
        <v>3</v>
      </c>
      <c r="E640">
        <v>8</v>
      </c>
      <c r="F640">
        <v>0</v>
      </c>
      <c r="G640">
        <v>27</v>
      </c>
      <c r="H640">
        <v>0</v>
      </c>
      <c r="I640">
        <v>1</v>
      </c>
      <c r="J640">
        <v>0</v>
      </c>
      <c r="K640">
        <v>1</v>
      </c>
      <c r="L640">
        <v>0</v>
      </c>
      <c r="M640">
        <f>region_summary__54[[#This Row],[REJECTED BY Admin Kabupaten]]+region_summary__54[[#This Row],[REJECTED BY Pengawas]]</f>
        <v>1</v>
      </c>
    </row>
    <row r="641" spans="1:13" x14ac:dyDescent="0.25">
      <c r="A641" t="s">
        <v>137</v>
      </c>
      <c r="B641">
        <v>7172040005000500</v>
      </c>
      <c r="C641">
        <v>26</v>
      </c>
      <c r="D641">
        <v>4</v>
      </c>
      <c r="E641">
        <v>17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f>region_summary__54[[#This Row],[REJECTED BY Admin Kabupaten]]+region_summary__54[[#This Row],[REJECTED BY Pengawas]]</f>
        <v>0</v>
      </c>
    </row>
    <row r="642" spans="1:13" x14ac:dyDescent="0.25">
      <c r="A642" t="s">
        <v>138</v>
      </c>
      <c r="B642">
        <v>7172040005002001</v>
      </c>
      <c r="C642">
        <v>128</v>
      </c>
      <c r="D642">
        <v>15</v>
      </c>
      <c r="E642">
        <v>1</v>
      </c>
      <c r="F642">
        <v>0</v>
      </c>
      <c r="G642">
        <v>112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f>region_summary__54[[#This Row],[REJECTED BY Admin Kabupaten]]+region_summary__54[[#This Row],[REJECTED BY Pengawas]]</f>
        <v>0</v>
      </c>
    </row>
    <row r="643" spans="1:13" x14ac:dyDescent="0.25">
      <c r="A643" t="s">
        <v>138</v>
      </c>
      <c r="B643">
        <v>7172040005001800</v>
      </c>
      <c r="C643">
        <v>125</v>
      </c>
      <c r="D643">
        <v>74</v>
      </c>
      <c r="E643">
        <v>2</v>
      </c>
      <c r="F643">
        <v>1</v>
      </c>
      <c r="G643">
        <v>45</v>
      </c>
      <c r="H643">
        <v>0</v>
      </c>
      <c r="I643">
        <v>0</v>
      </c>
      <c r="J643">
        <v>3</v>
      </c>
      <c r="K643">
        <v>0</v>
      </c>
      <c r="L643">
        <v>0</v>
      </c>
      <c r="M643">
        <f>region_summary__54[[#This Row],[REJECTED BY Admin Kabupaten]]+region_summary__54[[#This Row],[REJECTED BY Pengawas]]</f>
        <v>0</v>
      </c>
    </row>
    <row r="644" spans="1:13" x14ac:dyDescent="0.25">
      <c r="A644" t="s">
        <v>138</v>
      </c>
      <c r="B644">
        <v>7172040005001700</v>
      </c>
      <c r="C644">
        <v>123</v>
      </c>
      <c r="D644">
        <v>66</v>
      </c>
      <c r="E644">
        <v>3</v>
      </c>
      <c r="F644">
        <v>0</v>
      </c>
      <c r="G644">
        <v>51</v>
      </c>
      <c r="H644">
        <v>0</v>
      </c>
      <c r="I644">
        <v>1</v>
      </c>
      <c r="J644">
        <v>2</v>
      </c>
      <c r="K644">
        <v>0</v>
      </c>
      <c r="L644">
        <v>0</v>
      </c>
      <c r="M644">
        <f>region_summary__54[[#This Row],[REJECTED BY Admin Kabupaten]]+region_summary__54[[#This Row],[REJECTED BY Pengawas]]</f>
        <v>1</v>
      </c>
    </row>
    <row r="645" spans="1:13" x14ac:dyDescent="0.25">
      <c r="A645" t="s">
        <v>138</v>
      </c>
      <c r="B645">
        <v>7172040005001402</v>
      </c>
      <c r="C645">
        <v>75</v>
      </c>
      <c r="D645">
        <v>42</v>
      </c>
      <c r="E645">
        <v>3</v>
      </c>
      <c r="F645">
        <v>1</v>
      </c>
      <c r="G645">
        <v>28</v>
      </c>
      <c r="H645">
        <v>0</v>
      </c>
      <c r="I645">
        <v>0</v>
      </c>
      <c r="J645">
        <v>1</v>
      </c>
      <c r="K645">
        <v>0</v>
      </c>
      <c r="L645">
        <v>0</v>
      </c>
      <c r="M645">
        <f>region_summary__54[[#This Row],[REJECTED BY Admin Kabupaten]]+region_summary__54[[#This Row],[REJECTED BY Pengawas]]</f>
        <v>0</v>
      </c>
    </row>
    <row r="646" spans="1:13" x14ac:dyDescent="0.25">
      <c r="A646" t="s">
        <v>138</v>
      </c>
      <c r="B646">
        <v>7172040005001401</v>
      </c>
      <c r="C646">
        <v>72</v>
      </c>
      <c r="D646">
        <v>0</v>
      </c>
      <c r="E646">
        <v>0</v>
      </c>
      <c r="F646">
        <v>0</v>
      </c>
      <c r="G646">
        <v>72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f>region_summary__54[[#This Row],[REJECTED BY Admin Kabupaten]]+region_summary__54[[#This Row],[REJECTED BY Pengawas]]</f>
        <v>0</v>
      </c>
    </row>
    <row r="647" spans="1:13" x14ac:dyDescent="0.25">
      <c r="A647" t="s">
        <v>138</v>
      </c>
      <c r="B647">
        <v>7172040005001500</v>
      </c>
      <c r="C647">
        <v>66</v>
      </c>
      <c r="D647">
        <v>50</v>
      </c>
      <c r="E647">
        <v>2</v>
      </c>
      <c r="F647">
        <v>0</v>
      </c>
      <c r="G647">
        <v>14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f>region_summary__54[[#This Row],[REJECTED BY Admin Kabupaten]]+region_summary__54[[#This Row],[REJECTED BY Pengawas]]</f>
        <v>0</v>
      </c>
    </row>
    <row r="648" spans="1:13" x14ac:dyDescent="0.25">
      <c r="A648" t="s">
        <v>138</v>
      </c>
      <c r="B648">
        <v>7172040005001300</v>
      </c>
      <c r="C648">
        <v>56</v>
      </c>
      <c r="D648">
        <v>56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f>region_summary__54[[#This Row],[REJECTED BY Admin Kabupaten]]+region_summary__54[[#This Row],[REJECTED BY Pengawas]]</f>
        <v>0</v>
      </c>
    </row>
    <row r="649" spans="1:13" x14ac:dyDescent="0.25">
      <c r="A649" t="s">
        <v>141</v>
      </c>
      <c r="B649">
        <v>7172040013000100</v>
      </c>
      <c r="C649">
        <v>139</v>
      </c>
      <c r="D649">
        <v>88</v>
      </c>
      <c r="E649">
        <v>8</v>
      </c>
      <c r="F649">
        <v>2</v>
      </c>
      <c r="G649">
        <v>0</v>
      </c>
      <c r="H649">
        <v>0</v>
      </c>
      <c r="I649">
        <v>2</v>
      </c>
      <c r="J649">
        <v>0</v>
      </c>
      <c r="K649">
        <v>39</v>
      </c>
      <c r="L649">
        <v>0</v>
      </c>
      <c r="M649">
        <f>region_summary__54[[#This Row],[REJECTED BY Admin Kabupaten]]+region_summary__54[[#This Row],[REJECTED BY Pengawas]]</f>
        <v>2</v>
      </c>
    </row>
    <row r="650" spans="1:13" x14ac:dyDescent="0.25">
      <c r="A650" t="s">
        <v>141</v>
      </c>
      <c r="B650">
        <v>7172040013000200</v>
      </c>
      <c r="C650">
        <v>100</v>
      </c>
      <c r="D650">
        <v>81</v>
      </c>
      <c r="E650">
        <v>6</v>
      </c>
      <c r="F650">
        <v>0</v>
      </c>
      <c r="G650">
        <v>4</v>
      </c>
      <c r="H650">
        <v>0</v>
      </c>
      <c r="I650">
        <v>5</v>
      </c>
      <c r="J650">
        <v>0</v>
      </c>
      <c r="K650">
        <v>4</v>
      </c>
      <c r="L650">
        <v>0</v>
      </c>
      <c r="M650">
        <f>region_summary__54[[#This Row],[REJECTED BY Admin Kabupaten]]+region_summary__54[[#This Row],[REJECTED BY Pengawas]]</f>
        <v>5</v>
      </c>
    </row>
    <row r="651" spans="1:13" x14ac:dyDescent="0.25">
      <c r="A651" t="s">
        <v>141</v>
      </c>
      <c r="B651">
        <v>7172040012001200</v>
      </c>
      <c r="C651">
        <v>79</v>
      </c>
      <c r="D651">
        <v>23</v>
      </c>
      <c r="E651">
        <v>2</v>
      </c>
      <c r="F651">
        <v>0</v>
      </c>
      <c r="G651">
        <v>54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f>region_summary__54[[#This Row],[REJECTED BY Admin Kabupaten]]+region_summary__54[[#This Row],[REJECTED BY Pengawas]]</f>
        <v>0</v>
      </c>
    </row>
    <row r="652" spans="1:13" x14ac:dyDescent="0.25">
      <c r="A652" t="s">
        <v>141</v>
      </c>
      <c r="B652">
        <v>7172040012001400</v>
      </c>
      <c r="C652">
        <v>57</v>
      </c>
      <c r="D652">
        <v>40</v>
      </c>
      <c r="E652">
        <v>10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3</v>
      </c>
      <c r="L652">
        <v>0</v>
      </c>
      <c r="M652">
        <f>region_summary__54[[#This Row],[REJECTED BY Admin Kabupaten]]+region_summary__54[[#This Row],[REJECTED BY Pengawas]]</f>
        <v>0</v>
      </c>
    </row>
    <row r="653" spans="1:13" x14ac:dyDescent="0.25">
      <c r="A653" t="s">
        <v>141</v>
      </c>
      <c r="B653">
        <v>7172040012001300</v>
      </c>
      <c r="C653">
        <v>55</v>
      </c>
      <c r="D653">
        <v>15</v>
      </c>
      <c r="E653">
        <v>4</v>
      </c>
      <c r="F653">
        <v>0</v>
      </c>
      <c r="G653">
        <v>36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f>region_summary__54[[#This Row],[REJECTED BY Admin Kabupaten]]+region_summary__54[[#This Row],[REJECTED BY Pengawas]]</f>
        <v>0</v>
      </c>
    </row>
    <row r="654" spans="1:13" x14ac:dyDescent="0.25">
      <c r="A654" t="s">
        <v>141</v>
      </c>
      <c r="B654">
        <v>7172040012000900</v>
      </c>
      <c r="C654">
        <v>51</v>
      </c>
      <c r="D654">
        <v>20</v>
      </c>
      <c r="E654">
        <v>0</v>
      </c>
      <c r="F654">
        <v>0</v>
      </c>
      <c r="G654">
        <v>31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>region_summary__54[[#This Row],[REJECTED BY Admin Kabupaten]]+region_summary__54[[#This Row],[REJECTED BY Pengawas]]</f>
        <v>0</v>
      </c>
    </row>
    <row r="655" spans="1:13" x14ac:dyDescent="0.25">
      <c r="A655" t="s">
        <v>141</v>
      </c>
      <c r="B655">
        <v>7172040012000800</v>
      </c>
      <c r="C655">
        <v>43</v>
      </c>
      <c r="D655">
        <v>25</v>
      </c>
      <c r="E655">
        <v>0</v>
      </c>
      <c r="F655">
        <v>0</v>
      </c>
      <c r="G655">
        <v>18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f>region_summary__54[[#This Row],[REJECTED BY Admin Kabupaten]]+region_summary__54[[#This Row],[REJECTED BY Pengawas]]</f>
        <v>0</v>
      </c>
    </row>
    <row r="656" spans="1:13" x14ac:dyDescent="0.25">
      <c r="A656" t="s">
        <v>141</v>
      </c>
      <c r="B656">
        <v>7172040012000700</v>
      </c>
      <c r="C656">
        <v>42</v>
      </c>
      <c r="D656">
        <v>29</v>
      </c>
      <c r="E656">
        <v>1</v>
      </c>
      <c r="F656">
        <v>0</v>
      </c>
      <c r="G656">
        <v>12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f>region_summary__54[[#This Row],[REJECTED BY Admin Kabupaten]]+region_summary__54[[#This Row],[REJECTED BY Pengawas]]</f>
        <v>0</v>
      </c>
    </row>
    <row r="657" spans="1:13" x14ac:dyDescent="0.25">
      <c r="A657" t="s">
        <v>141</v>
      </c>
      <c r="B657">
        <v>7172040012001100</v>
      </c>
      <c r="C657">
        <v>40</v>
      </c>
      <c r="D657">
        <v>8</v>
      </c>
      <c r="E657">
        <v>2</v>
      </c>
      <c r="F657">
        <v>0</v>
      </c>
      <c r="G657">
        <v>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f>region_summary__54[[#This Row],[REJECTED BY Admin Kabupaten]]+region_summary__54[[#This Row],[REJECTED BY Pengawas]]</f>
        <v>0</v>
      </c>
    </row>
    <row r="658" spans="1:13" x14ac:dyDescent="0.25">
      <c r="A658" t="s">
        <v>141</v>
      </c>
      <c r="B658">
        <v>7172040012001000</v>
      </c>
      <c r="C658">
        <v>34</v>
      </c>
      <c r="D658">
        <v>9</v>
      </c>
      <c r="E658">
        <v>1</v>
      </c>
      <c r="F658">
        <v>0</v>
      </c>
      <c r="G658">
        <v>24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f>region_summary__54[[#This Row],[REJECTED BY Admin Kabupaten]]+region_summary__54[[#This Row],[REJECTED BY Pengawas]]</f>
        <v>0</v>
      </c>
    </row>
    <row r="659" spans="1:13" x14ac:dyDescent="0.25">
      <c r="A659" t="s">
        <v>142</v>
      </c>
      <c r="B659">
        <v>7172040013000600</v>
      </c>
      <c r="C659">
        <v>132</v>
      </c>
      <c r="D659">
        <v>106</v>
      </c>
      <c r="E659">
        <v>7</v>
      </c>
      <c r="F659">
        <v>2</v>
      </c>
      <c r="G659">
        <v>10</v>
      </c>
      <c r="H659">
        <v>0</v>
      </c>
      <c r="I659">
        <v>7</v>
      </c>
      <c r="J659">
        <v>0</v>
      </c>
      <c r="K659">
        <v>0</v>
      </c>
      <c r="L659">
        <v>0</v>
      </c>
      <c r="M659">
        <f>region_summary__54[[#This Row],[REJECTED BY Admin Kabupaten]]+region_summary__54[[#This Row],[REJECTED BY Pengawas]]</f>
        <v>7</v>
      </c>
    </row>
    <row r="660" spans="1:13" x14ac:dyDescent="0.25">
      <c r="A660" t="s">
        <v>142</v>
      </c>
      <c r="B660">
        <v>7172040013000800</v>
      </c>
      <c r="C660">
        <v>90</v>
      </c>
      <c r="D660">
        <v>87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</v>
      </c>
      <c r="M660">
        <f>region_summary__54[[#This Row],[REJECTED BY Admin Kabupaten]]+region_summary__54[[#This Row],[REJECTED BY Pengawas]]</f>
        <v>1</v>
      </c>
    </row>
    <row r="661" spans="1:13" x14ac:dyDescent="0.25">
      <c r="A661" t="s">
        <v>142</v>
      </c>
      <c r="B661">
        <v>7172040013000300</v>
      </c>
      <c r="C661">
        <v>69</v>
      </c>
      <c r="D661">
        <v>21</v>
      </c>
      <c r="E661">
        <v>4</v>
      </c>
      <c r="F661">
        <v>0</v>
      </c>
      <c r="G661">
        <v>26</v>
      </c>
      <c r="H661">
        <v>0</v>
      </c>
      <c r="I661">
        <v>0</v>
      </c>
      <c r="J661">
        <v>0</v>
      </c>
      <c r="K661">
        <v>18</v>
      </c>
      <c r="L661">
        <v>0</v>
      </c>
      <c r="M661">
        <f>region_summary__54[[#This Row],[REJECTED BY Admin Kabupaten]]+region_summary__54[[#This Row],[REJECTED BY Pengawas]]</f>
        <v>0</v>
      </c>
    </row>
    <row r="662" spans="1:13" x14ac:dyDescent="0.25">
      <c r="A662" t="s">
        <v>142</v>
      </c>
      <c r="B662">
        <v>7172040013000400</v>
      </c>
      <c r="C662">
        <v>67</v>
      </c>
      <c r="D662">
        <v>8</v>
      </c>
      <c r="E662">
        <v>0</v>
      </c>
      <c r="F662">
        <v>0</v>
      </c>
      <c r="G662">
        <v>59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f>region_summary__54[[#This Row],[REJECTED BY Admin Kabupaten]]+region_summary__54[[#This Row],[REJECTED BY Pengawas]]</f>
        <v>0</v>
      </c>
    </row>
    <row r="663" spans="1:13" x14ac:dyDescent="0.25">
      <c r="A663" t="s">
        <v>142</v>
      </c>
      <c r="B663">
        <v>7172040013000900</v>
      </c>
      <c r="C663">
        <v>61</v>
      </c>
      <c r="D663">
        <v>34</v>
      </c>
      <c r="E663">
        <v>3</v>
      </c>
      <c r="F663">
        <v>0</v>
      </c>
      <c r="G663">
        <v>12</v>
      </c>
      <c r="H663">
        <v>0</v>
      </c>
      <c r="I663">
        <v>0</v>
      </c>
      <c r="J663">
        <v>0</v>
      </c>
      <c r="K663">
        <v>12</v>
      </c>
      <c r="L663">
        <v>0</v>
      </c>
      <c r="M663">
        <f>region_summary__54[[#This Row],[REJECTED BY Admin Kabupaten]]+region_summary__54[[#This Row],[REJECTED BY Pengawas]]</f>
        <v>0</v>
      </c>
    </row>
    <row r="664" spans="1:13" x14ac:dyDescent="0.25">
      <c r="A664" t="s">
        <v>142</v>
      </c>
      <c r="B664">
        <v>7172040013000500</v>
      </c>
      <c r="C664">
        <v>57</v>
      </c>
      <c r="D664">
        <v>41</v>
      </c>
      <c r="E664">
        <v>0</v>
      </c>
      <c r="F664">
        <v>1</v>
      </c>
      <c r="G664">
        <v>8</v>
      </c>
      <c r="H664">
        <v>0</v>
      </c>
      <c r="I664">
        <v>4</v>
      </c>
      <c r="J664">
        <v>0</v>
      </c>
      <c r="K664">
        <v>3</v>
      </c>
      <c r="L664">
        <v>0</v>
      </c>
      <c r="M664">
        <f>region_summary__54[[#This Row],[REJECTED BY Admin Kabupaten]]+region_summary__54[[#This Row],[REJECTED BY Pengawas]]</f>
        <v>4</v>
      </c>
    </row>
    <row r="665" spans="1:13" x14ac:dyDescent="0.25">
      <c r="A665" t="s">
        <v>142</v>
      </c>
      <c r="B665">
        <v>7172040012001500</v>
      </c>
      <c r="C665">
        <v>55</v>
      </c>
      <c r="D665">
        <v>9</v>
      </c>
      <c r="E665">
        <v>0</v>
      </c>
      <c r="F665">
        <v>0</v>
      </c>
      <c r="G665">
        <v>46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f>region_summary__54[[#This Row],[REJECTED BY Admin Kabupaten]]+region_summary__54[[#This Row],[REJECTED BY Pengawas]]</f>
        <v>0</v>
      </c>
    </row>
    <row r="666" spans="1:13" x14ac:dyDescent="0.25">
      <c r="A666" t="s">
        <v>142</v>
      </c>
      <c r="B666">
        <v>7172040013001100</v>
      </c>
      <c r="C666">
        <v>54</v>
      </c>
      <c r="D666">
        <v>7</v>
      </c>
      <c r="E666">
        <v>5</v>
      </c>
      <c r="F666">
        <v>0</v>
      </c>
      <c r="G666">
        <v>9</v>
      </c>
      <c r="H666">
        <v>0</v>
      </c>
      <c r="I666">
        <v>0</v>
      </c>
      <c r="J666">
        <v>0</v>
      </c>
      <c r="K666">
        <v>33</v>
      </c>
      <c r="L666">
        <v>0</v>
      </c>
      <c r="M666">
        <f>region_summary__54[[#This Row],[REJECTED BY Admin Kabupaten]]+region_summary__54[[#This Row],[REJECTED BY Pengawas]]</f>
        <v>0</v>
      </c>
    </row>
    <row r="667" spans="1:13" x14ac:dyDescent="0.25">
      <c r="A667" t="s">
        <v>142</v>
      </c>
      <c r="B667">
        <v>7172040013000700</v>
      </c>
      <c r="C667">
        <v>52</v>
      </c>
      <c r="D667">
        <v>2</v>
      </c>
      <c r="E667">
        <v>2</v>
      </c>
      <c r="F667">
        <v>0</v>
      </c>
      <c r="G667">
        <v>48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f>region_summary__54[[#This Row],[REJECTED BY Admin Kabupaten]]+region_summary__54[[#This Row],[REJECTED BY Pengawas]]</f>
        <v>0</v>
      </c>
    </row>
    <row r="668" spans="1:13" x14ac:dyDescent="0.25">
      <c r="A668" t="s">
        <v>142</v>
      </c>
      <c r="B668">
        <v>7172040013001000</v>
      </c>
      <c r="C668">
        <v>48</v>
      </c>
      <c r="D668">
        <v>3</v>
      </c>
      <c r="E668">
        <v>0</v>
      </c>
      <c r="F668">
        <v>0</v>
      </c>
      <c r="G668">
        <v>45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f>region_summary__54[[#This Row],[REJECTED BY Admin Kabupaten]]+region_summary__54[[#This Row],[REJECTED BY Pengawas]]</f>
        <v>0</v>
      </c>
    </row>
    <row r="669" spans="1:13" x14ac:dyDescent="0.25">
      <c r="A669" t="s">
        <v>142</v>
      </c>
      <c r="B669">
        <v>7172040013001200</v>
      </c>
      <c r="C669">
        <v>41</v>
      </c>
      <c r="D669">
        <v>2</v>
      </c>
      <c r="E669">
        <v>0</v>
      </c>
      <c r="F669">
        <v>0</v>
      </c>
      <c r="G669">
        <v>39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f>region_summary__54[[#This Row],[REJECTED BY Admin Kabupaten]]+region_summary__54[[#This Row],[REJECTED BY Pengawas]]</f>
        <v>0</v>
      </c>
    </row>
    <row r="670" spans="1:13" x14ac:dyDescent="0.25">
      <c r="A670" t="s">
        <v>6</v>
      </c>
      <c r="B670">
        <v>7172010008000700</v>
      </c>
      <c r="C670">
        <v>160</v>
      </c>
      <c r="D670">
        <v>0</v>
      </c>
      <c r="E670">
        <v>1</v>
      </c>
      <c r="F670">
        <v>0</v>
      </c>
      <c r="G670">
        <v>159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f>region_summary__54[[#This Row],[REJECTED BY Admin Kabupaten]]+region_summary__54[[#This Row],[REJECTED BY Pengawas]]</f>
        <v>0</v>
      </c>
    </row>
    <row r="671" spans="1:13" x14ac:dyDescent="0.25">
      <c r="A671" t="s">
        <v>6</v>
      </c>
      <c r="B671">
        <v>7172010008000600</v>
      </c>
      <c r="C671">
        <v>144</v>
      </c>
      <c r="D671">
        <v>42</v>
      </c>
      <c r="E671">
        <v>19</v>
      </c>
      <c r="F671">
        <v>0</v>
      </c>
      <c r="G671">
        <v>3</v>
      </c>
      <c r="H671">
        <v>0</v>
      </c>
      <c r="I671">
        <v>0</v>
      </c>
      <c r="J671">
        <v>0</v>
      </c>
      <c r="K671">
        <v>80</v>
      </c>
      <c r="L671">
        <v>0</v>
      </c>
      <c r="M671">
        <f>region_summary__54[[#This Row],[REJECTED BY Admin Kabupaten]]+region_summary__54[[#This Row],[REJECTED BY Pengawas]]</f>
        <v>0</v>
      </c>
    </row>
    <row r="672" spans="1:13" x14ac:dyDescent="0.25">
      <c r="A672" t="s">
        <v>6</v>
      </c>
      <c r="B672">
        <v>7172010008000500</v>
      </c>
      <c r="C672">
        <v>88</v>
      </c>
      <c r="D672">
        <v>83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4</v>
      </c>
      <c r="L672">
        <v>0</v>
      </c>
      <c r="M672">
        <f>region_summary__54[[#This Row],[REJECTED BY Admin Kabupaten]]+region_summary__54[[#This Row],[REJECTED BY Pengawas]]</f>
        <v>0</v>
      </c>
    </row>
    <row r="673" spans="1:13" x14ac:dyDescent="0.25">
      <c r="A673" t="s">
        <v>6</v>
      </c>
      <c r="B673">
        <v>7172010008000200</v>
      </c>
      <c r="C673">
        <v>73</v>
      </c>
      <c r="D673">
        <v>70</v>
      </c>
      <c r="E673">
        <v>1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f>region_summary__54[[#This Row],[REJECTED BY Admin Kabupaten]]+region_summary__54[[#This Row],[REJECTED BY Pengawas]]</f>
        <v>0</v>
      </c>
    </row>
    <row r="674" spans="1:13" x14ac:dyDescent="0.25">
      <c r="A674" t="s">
        <v>6</v>
      </c>
      <c r="B674">
        <v>7172010008000400</v>
      </c>
      <c r="C674">
        <v>71</v>
      </c>
      <c r="D674">
        <v>66</v>
      </c>
      <c r="E674">
        <v>0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f>region_summary__54[[#This Row],[REJECTED BY Admin Kabupaten]]+region_summary__54[[#This Row],[REJECTED BY Pengawas]]</f>
        <v>0</v>
      </c>
    </row>
    <row r="675" spans="1:13" x14ac:dyDescent="0.25">
      <c r="A675" t="s">
        <v>6</v>
      </c>
      <c r="B675">
        <v>7172010015001400</v>
      </c>
      <c r="C675">
        <v>48</v>
      </c>
      <c r="D675">
        <v>0</v>
      </c>
      <c r="E675">
        <v>0</v>
      </c>
      <c r="F675">
        <v>0</v>
      </c>
      <c r="G675">
        <v>48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f>region_summary__54[[#This Row],[REJECTED BY Admin Kabupaten]]+region_summary__54[[#This Row],[REJECTED BY Pengawas]]</f>
        <v>0</v>
      </c>
    </row>
    <row r="676" spans="1:13" x14ac:dyDescent="0.25">
      <c r="A676" t="s">
        <v>6</v>
      </c>
      <c r="B676">
        <v>7172010008000300</v>
      </c>
      <c r="C676">
        <v>43</v>
      </c>
      <c r="D676">
        <v>43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f>region_summary__54[[#This Row],[REJECTED BY Admin Kabupaten]]+region_summary__54[[#This Row],[REJECTED BY Pengawas]]</f>
        <v>0</v>
      </c>
    </row>
    <row r="677" spans="1:13" x14ac:dyDescent="0.25">
      <c r="A677" t="s">
        <v>13</v>
      </c>
      <c r="B677">
        <v>7172010010002100</v>
      </c>
      <c r="C677">
        <v>86</v>
      </c>
      <c r="D677">
        <v>81</v>
      </c>
      <c r="E677">
        <v>0</v>
      </c>
      <c r="F677">
        <v>2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f>region_summary__54[[#This Row],[REJECTED BY Admin Kabupaten]]+region_summary__54[[#This Row],[REJECTED BY Pengawas]]</f>
        <v>0</v>
      </c>
    </row>
    <row r="678" spans="1:13" x14ac:dyDescent="0.25">
      <c r="A678" t="s">
        <v>13</v>
      </c>
      <c r="B678">
        <v>7172010010001600</v>
      </c>
      <c r="C678">
        <v>80</v>
      </c>
      <c r="D678">
        <v>62</v>
      </c>
      <c r="E678">
        <v>0</v>
      </c>
      <c r="F678">
        <v>2</v>
      </c>
      <c r="G678">
        <v>12</v>
      </c>
      <c r="H678">
        <v>0</v>
      </c>
      <c r="I678">
        <v>0</v>
      </c>
      <c r="J678">
        <v>0</v>
      </c>
      <c r="K678">
        <v>4</v>
      </c>
      <c r="L678">
        <v>0</v>
      </c>
      <c r="M678">
        <f>region_summary__54[[#This Row],[REJECTED BY Admin Kabupaten]]+region_summary__54[[#This Row],[REJECTED BY Pengawas]]</f>
        <v>0</v>
      </c>
    </row>
    <row r="679" spans="1:13" x14ac:dyDescent="0.25">
      <c r="A679" t="s">
        <v>13</v>
      </c>
      <c r="B679">
        <v>7172010010001800</v>
      </c>
      <c r="C679">
        <v>78</v>
      </c>
      <c r="D679">
        <v>50</v>
      </c>
      <c r="E679">
        <v>0</v>
      </c>
      <c r="F679">
        <v>5</v>
      </c>
      <c r="G679">
        <v>21</v>
      </c>
      <c r="H679">
        <v>0</v>
      </c>
      <c r="I679">
        <v>0</v>
      </c>
      <c r="J679">
        <v>0</v>
      </c>
      <c r="K679">
        <v>2</v>
      </c>
      <c r="L679">
        <v>0</v>
      </c>
      <c r="M679">
        <f>region_summary__54[[#This Row],[REJECTED BY Admin Kabupaten]]+region_summary__54[[#This Row],[REJECTED BY Pengawas]]</f>
        <v>0</v>
      </c>
    </row>
    <row r="680" spans="1:13" x14ac:dyDescent="0.25">
      <c r="A680" t="s">
        <v>13</v>
      </c>
      <c r="B680">
        <v>7172010010001900</v>
      </c>
      <c r="C680">
        <v>75</v>
      </c>
      <c r="D680">
        <v>0</v>
      </c>
      <c r="E680">
        <v>0</v>
      </c>
      <c r="F680">
        <v>0</v>
      </c>
      <c r="G680">
        <v>13</v>
      </c>
      <c r="H680">
        <v>0</v>
      </c>
      <c r="I680">
        <v>0</v>
      </c>
      <c r="J680">
        <v>0</v>
      </c>
      <c r="K680">
        <v>62</v>
      </c>
      <c r="L680">
        <v>0</v>
      </c>
      <c r="M680">
        <f>region_summary__54[[#This Row],[REJECTED BY Admin Kabupaten]]+region_summary__54[[#This Row],[REJECTED BY Pengawas]]</f>
        <v>0</v>
      </c>
    </row>
    <row r="681" spans="1:13" x14ac:dyDescent="0.25">
      <c r="A681" t="s">
        <v>13</v>
      </c>
      <c r="B681">
        <v>7172010010002000</v>
      </c>
      <c r="C681">
        <v>68</v>
      </c>
      <c r="D681">
        <v>20</v>
      </c>
      <c r="E681">
        <v>1</v>
      </c>
      <c r="F681">
        <v>0</v>
      </c>
      <c r="G681">
        <v>18</v>
      </c>
      <c r="H681">
        <v>0</v>
      </c>
      <c r="I681">
        <v>0</v>
      </c>
      <c r="J681">
        <v>0</v>
      </c>
      <c r="K681">
        <v>29</v>
      </c>
      <c r="L681">
        <v>0</v>
      </c>
      <c r="M681">
        <f>region_summary__54[[#This Row],[REJECTED BY Admin Kabupaten]]+region_summary__54[[#This Row],[REJECTED BY Pengawas]]</f>
        <v>0</v>
      </c>
    </row>
    <row r="682" spans="1:13" x14ac:dyDescent="0.25">
      <c r="A682" t="s">
        <v>13</v>
      </c>
      <c r="B682">
        <v>7172010010001700</v>
      </c>
      <c r="C682">
        <v>47</v>
      </c>
      <c r="D682">
        <v>40</v>
      </c>
      <c r="E682">
        <v>0</v>
      </c>
      <c r="F682">
        <v>2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f>region_summary__54[[#This Row],[REJECTED BY Admin Kabupaten]]+region_summary__54[[#This Row],[REJECTED BY Pengawas]]</f>
        <v>0</v>
      </c>
    </row>
    <row r="683" spans="1:13" x14ac:dyDescent="0.25">
      <c r="A683" t="s">
        <v>13</v>
      </c>
      <c r="B683">
        <v>7172010011000100</v>
      </c>
      <c r="C683">
        <v>45</v>
      </c>
      <c r="D683">
        <v>0</v>
      </c>
      <c r="E683">
        <v>0</v>
      </c>
      <c r="F683">
        <v>0</v>
      </c>
      <c r="G683">
        <v>12</v>
      </c>
      <c r="H683">
        <v>0</v>
      </c>
      <c r="I683">
        <v>0</v>
      </c>
      <c r="J683">
        <v>0</v>
      </c>
      <c r="K683">
        <v>33</v>
      </c>
      <c r="L683">
        <v>0</v>
      </c>
      <c r="M683">
        <f>region_summary__54[[#This Row],[REJECTED BY Admin Kabupaten]]+region_summary__54[[#This Row],[REJECTED BY Pengawas]]</f>
        <v>0</v>
      </c>
    </row>
    <row r="684" spans="1:13" x14ac:dyDescent="0.25">
      <c r="A684" t="s">
        <v>13</v>
      </c>
      <c r="B684">
        <v>7172010011000300</v>
      </c>
      <c r="C684">
        <v>42</v>
      </c>
      <c r="D684">
        <v>0</v>
      </c>
      <c r="E684">
        <v>0</v>
      </c>
      <c r="F684">
        <v>0</v>
      </c>
      <c r="G684">
        <v>39</v>
      </c>
      <c r="H684">
        <v>0</v>
      </c>
      <c r="I684">
        <v>0</v>
      </c>
      <c r="J684">
        <v>0</v>
      </c>
      <c r="K684">
        <v>3</v>
      </c>
      <c r="L684">
        <v>0</v>
      </c>
      <c r="M684">
        <f>region_summary__54[[#This Row],[REJECTED BY Admin Kabupaten]]+region_summary__54[[#This Row],[REJECTED BY Pengawas]]</f>
        <v>0</v>
      </c>
    </row>
    <row r="685" spans="1:13" x14ac:dyDescent="0.25">
      <c r="A685" t="s">
        <v>13</v>
      </c>
      <c r="B685">
        <v>7172010011000600</v>
      </c>
      <c r="C685">
        <v>41</v>
      </c>
      <c r="D685">
        <v>0</v>
      </c>
      <c r="E685">
        <v>0</v>
      </c>
      <c r="F685">
        <v>0</v>
      </c>
      <c r="G685">
        <v>41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f>region_summary__54[[#This Row],[REJECTED BY Admin Kabupaten]]+region_summary__54[[#This Row],[REJECTED BY Pengawas]]</f>
        <v>0</v>
      </c>
    </row>
    <row r="686" spans="1:13" x14ac:dyDescent="0.25">
      <c r="A686" t="s">
        <v>13</v>
      </c>
      <c r="B686">
        <v>7172010010002200</v>
      </c>
      <c r="C686">
        <v>40</v>
      </c>
      <c r="D686">
        <v>25</v>
      </c>
      <c r="E686">
        <v>0</v>
      </c>
      <c r="F686">
        <v>3</v>
      </c>
      <c r="G686">
        <v>6</v>
      </c>
      <c r="H686">
        <v>0</v>
      </c>
      <c r="I686">
        <v>0</v>
      </c>
      <c r="J686">
        <v>0</v>
      </c>
      <c r="K686">
        <v>6</v>
      </c>
      <c r="L686">
        <v>0</v>
      </c>
      <c r="M686">
        <f>region_summary__54[[#This Row],[REJECTED BY Admin Kabupaten]]+region_summary__54[[#This Row],[REJECTED BY Pengawas]]</f>
        <v>0</v>
      </c>
    </row>
    <row r="687" spans="1:13" x14ac:dyDescent="0.25">
      <c r="A687" t="s">
        <v>13</v>
      </c>
      <c r="B687">
        <v>7172010011000200</v>
      </c>
      <c r="C687">
        <v>32</v>
      </c>
      <c r="D687">
        <v>0</v>
      </c>
      <c r="E687">
        <v>0</v>
      </c>
      <c r="F687">
        <v>0</v>
      </c>
      <c r="G687">
        <v>12</v>
      </c>
      <c r="H687">
        <v>0</v>
      </c>
      <c r="I687">
        <v>0</v>
      </c>
      <c r="J687">
        <v>0</v>
      </c>
      <c r="K687">
        <v>20</v>
      </c>
      <c r="L687">
        <v>0</v>
      </c>
      <c r="M687">
        <f>region_summary__54[[#This Row],[REJECTED BY Admin Kabupaten]]+region_summary__54[[#This Row],[REJECTED BY Pengawas]]</f>
        <v>0</v>
      </c>
    </row>
    <row r="688" spans="1:13" x14ac:dyDescent="0.25">
      <c r="A688" t="s">
        <v>13</v>
      </c>
      <c r="B688">
        <v>7172010011000500</v>
      </c>
      <c r="C688">
        <v>28</v>
      </c>
      <c r="D688">
        <v>0</v>
      </c>
      <c r="E688">
        <v>0</v>
      </c>
      <c r="F688">
        <v>0</v>
      </c>
      <c r="G688">
        <v>28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f>region_summary__54[[#This Row],[REJECTED BY Admin Kabupaten]]+region_summary__54[[#This Row],[REJECTED BY Pengawas]]</f>
        <v>0</v>
      </c>
    </row>
    <row r="689" spans="1:13" x14ac:dyDescent="0.25">
      <c r="A689" t="s">
        <v>13</v>
      </c>
      <c r="B689">
        <v>7172010011000400</v>
      </c>
      <c r="C689">
        <v>13</v>
      </c>
      <c r="D689">
        <v>0</v>
      </c>
      <c r="E689">
        <v>0</v>
      </c>
      <c r="F689">
        <v>0</v>
      </c>
      <c r="G689">
        <v>13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f>region_summary__54[[#This Row],[REJECTED BY Admin Kabupaten]]+region_summary__54[[#This Row],[REJECTED BY Pengawas]]</f>
        <v>0</v>
      </c>
    </row>
    <row r="690" spans="1:13" x14ac:dyDescent="0.25">
      <c r="A690" t="s">
        <v>16</v>
      </c>
      <c r="B690">
        <v>7172010012002300</v>
      </c>
      <c r="C690">
        <v>102</v>
      </c>
      <c r="D690">
        <v>0</v>
      </c>
      <c r="E690">
        <v>0</v>
      </c>
      <c r="F690">
        <v>0</v>
      </c>
      <c r="G690">
        <v>102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f>region_summary__54[[#This Row],[REJECTED BY Admin Kabupaten]]+region_summary__54[[#This Row],[REJECTED BY Pengawas]]</f>
        <v>0</v>
      </c>
    </row>
    <row r="691" spans="1:13" x14ac:dyDescent="0.25">
      <c r="A691" t="s">
        <v>16</v>
      </c>
      <c r="B691">
        <v>7172010012002100</v>
      </c>
      <c r="C691">
        <v>89</v>
      </c>
      <c r="D691">
        <v>47</v>
      </c>
      <c r="E691">
        <v>2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38</v>
      </c>
      <c r="L691">
        <v>0</v>
      </c>
      <c r="M691">
        <f>region_summary__54[[#This Row],[REJECTED BY Admin Kabupaten]]+region_summary__54[[#This Row],[REJECTED BY Pengawas]]</f>
        <v>0</v>
      </c>
    </row>
    <row r="692" spans="1:13" x14ac:dyDescent="0.25">
      <c r="A692" t="s">
        <v>16</v>
      </c>
      <c r="B692">
        <v>7172010012001500</v>
      </c>
      <c r="C692">
        <v>78</v>
      </c>
      <c r="D692">
        <v>70</v>
      </c>
      <c r="E692">
        <v>1</v>
      </c>
      <c r="F692">
        <v>0</v>
      </c>
      <c r="G692">
        <v>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f>region_summary__54[[#This Row],[REJECTED BY Admin Kabupaten]]+region_summary__54[[#This Row],[REJECTED BY Pengawas]]</f>
        <v>1</v>
      </c>
    </row>
    <row r="693" spans="1:13" x14ac:dyDescent="0.25">
      <c r="A693" t="s">
        <v>16</v>
      </c>
      <c r="B693">
        <v>7172010012002200</v>
      </c>
      <c r="C693">
        <v>77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75</v>
      </c>
      <c r="L693">
        <v>0</v>
      </c>
      <c r="M693">
        <f>region_summary__54[[#This Row],[REJECTED BY Admin Kabupaten]]+region_summary__54[[#This Row],[REJECTED BY Pengawas]]</f>
        <v>0</v>
      </c>
    </row>
    <row r="694" spans="1:13" x14ac:dyDescent="0.25">
      <c r="A694" t="s">
        <v>16</v>
      </c>
      <c r="B694">
        <v>7172010012001400</v>
      </c>
      <c r="C694">
        <v>65</v>
      </c>
      <c r="D694">
        <v>57</v>
      </c>
      <c r="E694">
        <v>4</v>
      </c>
      <c r="F694">
        <v>3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f>region_summary__54[[#This Row],[REJECTED BY Admin Kabupaten]]+region_summary__54[[#This Row],[REJECTED BY Pengawas]]</f>
        <v>0</v>
      </c>
    </row>
    <row r="695" spans="1:13" x14ac:dyDescent="0.25">
      <c r="A695" t="s">
        <v>16</v>
      </c>
      <c r="B695">
        <v>7172010012001800</v>
      </c>
      <c r="C695">
        <v>59</v>
      </c>
      <c r="D695">
        <v>0</v>
      </c>
      <c r="E695">
        <v>0</v>
      </c>
      <c r="F695">
        <v>0</v>
      </c>
      <c r="G695">
        <v>59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f>region_summary__54[[#This Row],[REJECTED BY Admin Kabupaten]]+region_summary__54[[#This Row],[REJECTED BY Pengawas]]</f>
        <v>0</v>
      </c>
    </row>
    <row r="696" spans="1:13" x14ac:dyDescent="0.25">
      <c r="A696" t="s">
        <v>16</v>
      </c>
      <c r="B696">
        <v>7172010012001700</v>
      </c>
      <c r="C696">
        <v>53</v>
      </c>
      <c r="D696">
        <v>50</v>
      </c>
      <c r="E696">
        <v>0</v>
      </c>
      <c r="F696">
        <v>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f>region_summary__54[[#This Row],[REJECTED BY Admin Kabupaten]]+region_summary__54[[#This Row],[REJECTED BY Pengawas]]</f>
        <v>0</v>
      </c>
    </row>
    <row r="697" spans="1:13" x14ac:dyDescent="0.25">
      <c r="A697" t="s">
        <v>16</v>
      </c>
      <c r="B697">
        <v>7172010012002400</v>
      </c>
      <c r="C697">
        <v>51</v>
      </c>
      <c r="D697">
        <v>0</v>
      </c>
      <c r="E697">
        <v>0</v>
      </c>
      <c r="F697">
        <v>0</v>
      </c>
      <c r="G697">
        <v>51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f>region_summary__54[[#This Row],[REJECTED BY Admin Kabupaten]]+region_summary__54[[#This Row],[REJECTED BY Pengawas]]</f>
        <v>0</v>
      </c>
    </row>
    <row r="698" spans="1:13" x14ac:dyDescent="0.25">
      <c r="A698" t="s">
        <v>16</v>
      </c>
      <c r="B698">
        <v>7172010012002000</v>
      </c>
      <c r="C698">
        <v>45</v>
      </c>
      <c r="D698">
        <v>0</v>
      </c>
      <c r="E698">
        <v>0</v>
      </c>
      <c r="F698">
        <v>0</v>
      </c>
      <c r="G698">
        <v>45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f>region_summary__54[[#This Row],[REJECTED BY Admin Kabupaten]]+region_summary__54[[#This Row],[REJECTED BY Pengawas]]</f>
        <v>0</v>
      </c>
    </row>
    <row r="699" spans="1:13" x14ac:dyDescent="0.25">
      <c r="A699" t="s">
        <v>16</v>
      </c>
      <c r="B699">
        <v>7172010012001300</v>
      </c>
      <c r="C699">
        <v>30</v>
      </c>
      <c r="D699">
        <v>26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4</v>
      </c>
      <c r="L699">
        <v>0</v>
      </c>
      <c r="M699">
        <f>region_summary__54[[#This Row],[REJECTED BY Admin Kabupaten]]+region_summary__54[[#This Row],[REJECTED BY Pengawas]]</f>
        <v>0</v>
      </c>
    </row>
    <row r="700" spans="1:13" x14ac:dyDescent="0.25">
      <c r="A700" t="s">
        <v>16</v>
      </c>
      <c r="B700">
        <v>7172010012001600</v>
      </c>
      <c r="C700">
        <v>30</v>
      </c>
      <c r="D700">
        <v>30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f>region_summary__54[[#This Row],[REJECTED BY Admin Kabupaten]]+region_summary__54[[#This Row],[REJECTED BY Pengawas]]</f>
        <v>0</v>
      </c>
    </row>
    <row r="701" spans="1:13" x14ac:dyDescent="0.25">
      <c r="A701" t="s">
        <v>16</v>
      </c>
      <c r="B701">
        <v>7172010012001900</v>
      </c>
      <c r="C701">
        <v>28</v>
      </c>
      <c r="D701">
        <v>0</v>
      </c>
      <c r="E701">
        <v>0</v>
      </c>
      <c r="F701">
        <v>0</v>
      </c>
      <c r="G701">
        <v>28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f>region_summary__54[[#This Row],[REJECTED BY Admin Kabupaten]]+region_summary__54[[#This Row],[REJECTED BY Pengawas]]</f>
        <v>0</v>
      </c>
    </row>
    <row r="702" spans="1:13" x14ac:dyDescent="0.25">
      <c r="A702" t="s">
        <v>17</v>
      </c>
      <c r="B702">
        <v>7172010015003300</v>
      </c>
      <c r="C702">
        <v>231</v>
      </c>
      <c r="D702">
        <v>79</v>
      </c>
      <c r="E702">
        <v>5</v>
      </c>
      <c r="F702">
        <v>1</v>
      </c>
      <c r="G702">
        <v>33</v>
      </c>
      <c r="H702">
        <v>1</v>
      </c>
      <c r="I702">
        <v>1</v>
      </c>
      <c r="J702">
        <v>0</v>
      </c>
      <c r="K702">
        <v>111</v>
      </c>
      <c r="L702">
        <v>0</v>
      </c>
      <c r="M702">
        <f>region_summary__54[[#This Row],[REJECTED BY Admin Kabupaten]]+region_summary__54[[#This Row],[REJECTED BY Pengawas]]</f>
        <v>2</v>
      </c>
    </row>
    <row r="703" spans="1:13" x14ac:dyDescent="0.25">
      <c r="A703" t="s">
        <v>17</v>
      </c>
      <c r="B703">
        <v>7172010015003400</v>
      </c>
      <c r="C703">
        <v>227</v>
      </c>
      <c r="D703">
        <v>212</v>
      </c>
      <c r="E703">
        <v>5</v>
      </c>
      <c r="F703">
        <v>4</v>
      </c>
      <c r="G703">
        <v>0</v>
      </c>
      <c r="H703">
        <v>3</v>
      </c>
      <c r="I703">
        <v>1</v>
      </c>
      <c r="J703">
        <v>0</v>
      </c>
      <c r="K703">
        <v>2</v>
      </c>
      <c r="L703">
        <v>0</v>
      </c>
      <c r="M703">
        <f>region_summary__54[[#This Row],[REJECTED BY Admin Kabupaten]]+region_summary__54[[#This Row],[REJECTED BY Pengawas]]</f>
        <v>4</v>
      </c>
    </row>
    <row r="704" spans="1:13" x14ac:dyDescent="0.25">
      <c r="A704" t="s">
        <v>17</v>
      </c>
      <c r="B704">
        <v>7172010015000400</v>
      </c>
      <c r="C704">
        <v>67</v>
      </c>
      <c r="D704">
        <v>0</v>
      </c>
      <c r="E704">
        <v>0</v>
      </c>
      <c r="F704">
        <v>0</v>
      </c>
      <c r="G704">
        <v>67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f>region_summary__54[[#This Row],[REJECTED BY Admin Kabupaten]]+region_summary__54[[#This Row],[REJECTED BY Pengawas]]</f>
        <v>0</v>
      </c>
    </row>
    <row r="705" spans="1:13" x14ac:dyDescent="0.25">
      <c r="A705" t="s">
        <v>17</v>
      </c>
      <c r="B705">
        <v>7172010015000100</v>
      </c>
      <c r="C705">
        <v>56</v>
      </c>
      <c r="D705">
        <v>0</v>
      </c>
      <c r="E705">
        <v>0</v>
      </c>
      <c r="F705">
        <v>0</v>
      </c>
      <c r="G705">
        <v>56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f>region_summary__54[[#This Row],[REJECTED BY Admin Kabupaten]]+region_summary__54[[#This Row],[REJECTED BY Pengawas]]</f>
        <v>0</v>
      </c>
    </row>
    <row r="706" spans="1:13" x14ac:dyDescent="0.25">
      <c r="A706" t="s">
        <v>17</v>
      </c>
      <c r="B706">
        <v>7172010015000200</v>
      </c>
      <c r="C706">
        <v>55</v>
      </c>
      <c r="D706">
        <v>0</v>
      </c>
      <c r="E706">
        <v>3</v>
      </c>
      <c r="F706">
        <v>0</v>
      </c>
      <c r="G706">
        <v>47</v>
      </c>
      <c r="H706">
        <v>0</v>
      </c>
      <c r="I706">
        <v>0</v>
      </c>
      <c r="J706">
        <v>0</v>
      </c>
      <c r="K706">
        <v>5</v>
      </c>
      <c r="L706">
        <v>0</v>
      </c>
      <c r="M706">
        <f>region_summary__54[[#This Row],[REJECTED BY Admin Kabupaten]]+region_summary__54[[#This Row],[REJECTED BY Pengawas]]</f>
        <v>0</v>
      </c>
    </row>
    <row r="707" spans="1:13" x14ac:dyDescent="0.25">
      <c r="A707" t="s">
        <v>17</v>
      </c>
      <c r="B707">
        <v>7172010015000300</v>
      </c>
      <c r="C707">
        <v>44</v>
      </c>
      <c r="D707">
        <v>0</v>
      </c>
      <c r="E707">
        <v>0</v>
      </c>
      <c r="F707">
        <v>0</v>
      </c>
      <c r="G707">
        <v>37</v>
      </c>
      <c r="H707">
        <v>0</v>
      </c>
      <c r="I707">
        <v>0</v>
      </c>
      <c r="J707">
        <v>0</v>
      </c>
      <c r="K707">
        <v>7</v>
      </c>
      <c r="L707">
        <v>0</v>
      </c>
      <c r="M707">
        <f>region_summary__54[[#This Row],[REJECTED BY Admin Kabupaten]]+region_summary__54[[#This Row],[REJECTED BY Pengawas]]</f>
        <v>0</v>
      </c>
    </row>
    <row r="708" spans="1:13" x14ac:dyDescent="0.25">
      <c r="A708" t="s">
        <v>17</v>
      </c>
      <c r="B708">
        <v>7172010015000500</v>
      </c>
      <c r="C708">
        <v>30</v>
      </c>
      <c r="D708">
        <v>0</v>
      </c>
      <c r="E708">
        <v>0</v>
      </c>
      <c r="F708">
        <v>0</v>
      </c>
      <c r="G708">
        <v>30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f>region_summary__54[[#This Row],[REJECTED BY Admin Kabupaten]]+region_summary__54[[#This Row],[REJECTED BY Pengawas]]</f>
        <v>0</v>
      </c>
    </row>
    <row r="709" spans="1:13" x14ac:dyDescent="0.25">
      <c r="A709" t="s">
        <v>19</v>
      </c>
      <c r="B709">
        <v>7172010016002300</v>
      </c>
      <c r="C709">
        <v>151</v>
      </c>
      <c r="D709">
        <v>33</v>
      </c>
      <c r="E709">
        <v>0</v>
      </c>
      <c r="F709">
        <v>0</v>
      </c>
      <c r="G709">
        <v>109</v>
      </c>
      <c r="H709">
        <v>0</v>
      </c>
      <c r="I709">
        <v>0</v>
      </c>
      <c r="J709">
        <v>0</v>
      </c>
      <c r="K709">
        <v>9</v>
      </c>
      <c r="L709">
        <v>0</v>
      </c>
      <c r="M709">
        <f>region_summary__54[[#This Row],[REJECTED BY Admin Kabupaten]]+region_summary__54[[#This Row],[REJECTED BY Pengawas]]</f>
        <v>0</v>
      </c>
    </row>
    <row r="710" spans="1:13" x14ac:dyDescent="0.25">
      <c r="A710" t="s">
        <v>19</v>
      </c>
      <c r="B710">
        <v>7172010016002400</v>
      </c>
      <c r="C710">
        <v>107</v>
      </c>
      <c r="D710">
        <v>103</v>
      </c>
      <c r="E710">
        <v>0</v>
      </c>
      <c r="F710">
        <v>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f>region_summary__54[[#This Row],[REJECTED BY Admin Kabupaten]]+region_summary__54[[#This Row],[REJECTED BY Pengawas]]</f>
        <v>0</v>
      </c>
    </row>
    <row r="711" spans="1:13" x14ac:dyDescent="0.25">
      <c r="A711" t="s">
        <v>19</v>
      </c>
      <c r="B711">
        <v>7172010017000400</v>
      </c>
      <c r="C711">
        <v>100</v>
      </c>
      <c r="D711">
        <v>15</v>
      </c>
      <c r="E711">
        <v>0</v>
      </c>
      <c r="F711">
        <v>1</v>
      </c>
      <c r="G711">
        <v>55</v>
      </c>
      <c r="H711">
        <v>0</v>
      </c>
      <c r="I711">
        <v>0</v>
      </c>
      <c r="J711">
        <v>0</v>
      </c>
      <c r="K711">
        <v>29</v>
      </c>
      <c r="L711">
        <v>0</v>
      </c>
      <c r="M711">
        <f>region_summary__54[[#This Row],[REJECTED BY Admin Kabupaten]]+region_summary__54[[#This Row],[REJECTED BY Pengawas]]</f>
        <v>0</v>
      </c>
    </row>
    <row r="712" spans="1:13" x14ac:dyDescent="0.25">
      <c r="A712" t="s">
        <v>19</v>
      </c>
      <c r="B712">
        <v>7172010016002500</v>
      </c>
      <c r="C712">
        <v>85</v>
      </c>
      <c r="D712">
        <v>21</v>
      </c>
      <c r="E712">
        <v>0</v>
      </c>
      <c r="F712">
        <v>0</v>
      </c>
      <c r="G712">
        <v>63</v>
      </c>
      <c r="H712">
        <v>0</v>
      </c>
      <c r="I712">
        <v>0</v>
      </c>
      <c r="J712">
        <v>0</v>
      </c>
      <c r="K712">
        <v>0</v>
      </c>
      <c r="L712">
        <v>1</v>
      </c>
      <c r="M712">
        <f>region_summary__54[[#This Row],[REJECTED BY Admin Kabupaten]]+region_summary__54[[#This Row],[REJECTED BY Pengawas]]</f>
        <v>0</v>
      </c>
    </row>
    <row r="713" spans="1:13" x14ac:dyDescent="0.25">
      <c r="A713" t="s">
        <v>19</v>
      </c>
      <c r="B713">
        <v>7172010017000300</v>
      </c>
      <c r="C713">
        <v>65</v>
      </c>
      <c r="D713">
        <v>22</v>
      </c>
      <c r="E713">
        <v>0</v>
      </c>
      <c r="F713">
        <v>0</v>
      </c>
      <c r="G713">
        <v>10</v>
      </c>
      <c r="H713">
        <v>0</v>
      </c>
      <c r="I713">
        <v>0</v>
      </c>
      <c r="J713">
        <v>0</v>
      </c>
      <c r="K713">
        <v>33</v>
      </c>
      <c r="L713">
        <v>0</v>
      </c>
      <c r="M713">
        <f>region_summary__54[[#This Row],[REJECTED BY Admin Kabupaten]]+region_summary__54[[#This Row],[REJECTED BY Pengawas]]</f>
        <v>0</v>
      </c>
    </row>
    <row r="714" spans="1:13" x14ac:dyDescent="0.25">
      <c r="A714" t="s">
        <v>19</v>
      </c>
      <c r="B714">
        <v>7172010017000200</v>
      </c>
      <c r="C714">
        <v>61</v>
      </c>
      <c r="D714">
        <v>56</v>
      </c>
      <c r="E714">
        <v>0</v>
      </c>
      <c r="F714">
        <v>4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f>region_summary__54[[#This Row],[REJECTED BY Admin Kabupaten]]+region_summary__54[[#This Row],[REJECTED BY Pengawas]]</f>
        <v>1</v>
      </c>
    </row>
    <row r="715" spans="1:13" x14ac:dyDescent="0.25">
      <c r="A715" t="s">
        <v>19</v>
      </c>
      <c r="B715">
        <v>7172010015000700</v>
      </c>
      <c r="C715">
        <v>60</v>
      </c>
      <c r="D715">
        <v>2</v>
      </c>
      <c r="E715">
        <v>0</v>
      </c>
      <c r="F715">
        <v>0</v>
      </c>
      <c r="G715">
        <v>24</v>
      </c>
      <c r="H715">
        <v>0</v>
      </c>
      <c r="I715">
        <v>0</v>
      </c>
      <c r="J715">
        <v>0</v>
      </c>
      <c r="K715">
        <v>34</v>
      </c>
      <c r="L715">
        <v>0</v>
      </c>
      <c r="M715">
        <f>region_summary__54[[#This Row],[REJECTED BY Admin Kabupaten]]+region_summary__54[[#This Row],[REJECTED BY Pengawas]]</f>
        <v>0</v>
      </c>
    </row>
    <row r="716" spans="1:13" x14ac:dyDescent="0.25">
      <c r="A716" t="s">
        <v>19</v>
      </c>
      <c r="B716">
        <v>7172010017000100</v>
      </c>
      <c r="C716">
        <v>53</v>
      </c>
      <c r="D716">
        <v>53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f>region_summary__54[[#This Row],[REJECTED BY Admin Kabupaten]]+region_summary__54[[#This Row],[REJECTED BY Pengawas]]</f>
        <v>0</v>
      </c>
    </row>
    <row r="717" spans="1:13" x14ac:dyDescent="0.25">
      <c r="A717" t="s">
        <v>19</v>
      </c>
      <c r="B717">
        <v>7172010016002600</v>
      </c>
      <c r="C717">
        <v>43</v>
      </c>
      <c r="D717">
        <v>20</v>
      </c>
      <c r="E717">
        <v>0</v>
      </c>
      <c r="F717">
        <v>0</v>
      </c>
      <c r="G717">
        <v>23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f>region_summary__54[[#This Row],[REJECTED BY Admin Kabupaten]]+region_summary__54[[#This Row],[REJECTED BY Pengawas]]</f>
        <v>0</v>
      </c>
    </row>
    <row r="718" spans="1:13" x14ac:dyDescent="0.25">
      <c r="A718" t="s">
        <v>20</v>
      </c>
      <c r="B718">
        <v>7172010016001700</v>
      </c>
      <c r="C718">
        <v>101</v>
      </c>
      <c r="D718">
        <v>91</v>
      </c>
      <c r="E718">
        <v>0</v>
      </c>
      <c r="F718">
        <v>4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f>region_summary__54[[#This Row],[REJECTED BY Admin Kabupaten]]+region_summary__54[[#This Row],[REJECTED BY Pengawas]]</f>
        <v>0</v>
      </c>
    </row>
    <row r="719" spans="1:13" x14ac:dyDescent="0.25">
      <c r="A719" t="s">
        <v>20</v>
      </c>
      <c r="B719">
        <v>7172010016001800</v>
      </c>
      <c r="C719">
        <v>97</v>
      </c>
      <c r="D719">
        <v>0</v>
      </c>
      <c r="E719">
        <v>0</v>
      </c>
      <c r="F719">
        <v>0</v>
      </c>
      <c r="G719">
        <v>78</v>
      </c>
      <c r="H719">
        <v>0</v>
      </c>
      <c r="I719">
        <v>0</v>
      </c>
      <c r="J719">
        <v>0</v>
      </c>
      <c r="K719">
        <v>19</v>
      </c>
      <c r="L719">
        <v>0</v>
      </c>
      <c r="M719">
        <f>region_summary__54[[#This Row],[REJECTED BY Admin Kabupaten]]+region_summary__54[[#This Row],[REJECTED BY Pengawas]]</f>
        <v>0</v>
      </c>
    </row>
    <row r="720" spans="1:13" x14ac:dyDescent="0.25">
      <c r="A720" t="s">
        <v>20</v>
      </c>
      <c r="B720">
        <v>7172010016002000</v>
      </c>
      <c r="C720">
        <v>84</v>
      </c>
      <c r="D720">
        <v>47</v>
      </c>
      <c r="E720">
        <v>2</v>
      </c>
      <c r="F720">
        <v>4</v>
      </c>
      <c r="G720">
        <v>31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f>region_summary__54[[#This Row],[REJECTED BY Admin Kabupaten]]+region_summary__54[[#This Row],[REJECTED BY Pengawas]]</f>
        <v>0</v>
      </c>
    </row>
    <row r="721" spans="1:13" x14ac:dyDescent="0.25">
      <c r="A721" t="s">
        <v>20</v>
      </c>
      <c r="B721">
        <v>7172010016002200</v>
      </c>
      <c r="C721">
        <v>62</v>
      </c>
      <c r="D721">
        <v>52</v>
      </c>
      <c r="E721">
        <v>1</v>
      </c>
      <c r="F721">
        <v>4</v>
      </c>
      <c r="G721">
        <v>3</v>
      </c>
      <c r="H721">
        <v>0</v>
      </c>
      <c r="I721">
        <v>0</v>
      </c>
      <c r="J721">
        <v>0</v>
      </c>
      <c r="K721">
        <v>2</v>
      </c>
      <c r="L721">
        <v>0</v>
      </c>
      <c r="M721">
        <f>region_summary__54[[#This Row],[REJECTED BY Admin Kabupaten]]+region_summary__54[[#This Row],[REJECTED BY Pengawas]]</f>
        <v>0</v>
      </c>
    </row>
    <row r="722" spans="1:13" x14ac:dyDescent="0.25">
      <c r="A722" t="s">
        <v>20</v>
      </c>
      <c r="B722">
        <v>7172010015000800</v>
      </c>
      <c r="C722">
        <v>61</v>
      </c>
      <c r="D722">
        <v>0</v>
      </c>
      <c r="E722">
        <v>0</v>
      </c>
      <c r="F722">
        <v>0</v>
      </c>
      <c r="G722">
        <v>61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f>region_summary__54[[#This Row],[REJECTED BY Admin Kabupaten]]+region_summary__54[[#This Row],[REJECTED BY Pengawas]]</f>
        <v>0</v>
      </c>
    </row>
    <row r="723" spans="1:13" x14ac:dyDescent="0.25">
      <c r="A723" t="s">
        <v>20</v>
      </c>
      <c r="B723">
        <v>7172010016001900</v>
      </c>
      <c r="C723">
        <v>60</v>
      </c>
      <c r="D723">
        <v>0</v>
      </c>
      <c r="E723">
        <v>0</v>
      </c>
      <c r="F723">
        <v>0</v>
      </c>
      <c r="G723">
        <v>60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>region_summary__54[[#This Row],[REJECTED BY Admin Kabupaten]]+region_summary__54[[#This Row],[REJECTED BY Pengawas]]</f>
        <v>0</v>
      </c>
    </row>
    <row r="724" spans="1:13" x14ac:dyDescent="0.25">
      <c r="A724" t="s">
        <v>20</v>
      </c>
      <c r="B724">
        <v>7172010016002100</v>
      </c>
      <c r="C724">
        <v>60</v>
      </c>
      <c r="D724">
        <v>15</v>
      </c>
      <c r="E724">
        <v>1</v>
      </c>
      <c r="F724">
        <v>1</v>
      </c>
      <c r="G724">
        <v>6</v>
      </c>
      <c r="H724">
        <v>0</v>
      </c>
      <c r="I724">
        <v>0</v>
      </c>
      <c r="J724">
        <v>0</v>
      </c>
      <c r="K724">
        <v>37</v>
      </c>
      <c r="L724">
        <v>0</v>
      </c>
      <c r="M724">
        <f>region_summary__54[[#This Row],[REJECTED BY Admin Kabupaten]]+region_summary__54[[#This Row],[REJECTED BY Pengawas]]</f>
        <v>0</v>
      </c>
    </row>
    <row r="725" spans="1:13" x14ac:dyDescent="0.25">
      <c r="A725" t="s">
        <v>20</v>
      </c>
      <c r="B725">
        <v>7172010016001600</v>
      </c>
      <c r="C725">
        <v>49</v>
      </c>
      <c r="D725">
        <v>0</v>
      </c>
      <c r="E725">
        <v>0</v>
      </c>
      <c r="F725">
        <v>0</v>
      </c>
      <c r="G725">
        <v>24</v>
      </c>
      <c r="H725">
        <v>0</v>
      </c>
      <c r="I725">
        <v>0</v>
      </c>
      <c r="J725">
        <v>0</v>
      </c>
      <c r="K725">
        <v>25</v>
      </c>
      <c r="L725">
        <v>0</v>
      </c>
      <c r="M725">
        <f>region_summary__54[[#This Row],[REJECTED BY Admin Kabupaten]]+region_summary__54[[#This Row],[REJECTED BY Pengawas]]</f>
        <v>0</v>
      </c>
    </row>
    <row r="726" spans="1:13" x14ac:dyDescent="0.25">
      <c r="A726" t="s">
        <v>20</v>
      </c>
      <c r="B726">
        <v>7172010016001400</v>
      </c>
      <c r="C726">
        <v>47</v>
      </c>
      <c r="D726">
        <v>0</v>
      </c>
      <c r="E726">
        <v>0</v>
      </c>
      <c r="F726">
        <v>0</v>
      </c>
      <c r="G726">
        <v>47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>region_summary__54[[#This Row],[REJECTED BY Admin Kabupaten]]+region_summary__54[[#This Row],[REJECTED BY Pengawas]]</f>
        <v>0</v>
      </c>
    </row>
    <row r="727" spans="1:13" x14ac:dyDescent="0.25">
      <c r="A727" t="s">
        <v>20</v>
      </c>
      <c r="B727">
        <v>7172010016001500</v>
      </c>
      <c r="C727">
        <v>45</v>
      </c>
      <c r="D727">
        <v>30</v>
      </c>
      <c r="E727">
        <v>0</v>
      </c>
      <c r="F727">
        <v>8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>region_summary__54[[#This Row],[REJECTED BY Admin Kabupaten]]+region_summary__54[[#This Row],[REJECTED BY Pengawas]]</f>
        <v>0</v>
      </c>
    </row>
    <row r="728" spans="1:13" x14ac:dyDescent="0.25">
      <c r="A728" t="s">
        <v>22</v>
      </c>
      <c r="B728">
        <v>7172010015002100</v>
      </c>
      <c r="C728">
        <v>149</v>
      </c>
      <c r="D728">
        <v>125</v>
      </c>
      <c r="E728">
        <v>2</v>
      </c>
      <c r="F728">
        <v>4</v>
      </c>
      <c r="G728">
        <v>14</v>
      </c>
      <c r="H728">
        <v>0</v>
      </c>
      <c r="I728">
        <v>0</v>
      </c>
      <c r="J728">
        <v>0</v>
      </c>
      <c r="K728">
        <v>4</v>
      </c>
      <c r="L728">
        <v>0</v>
      </c>
      <c r="M728">
        <f>region_summary__54[[#This Row],[REJECTED BY Admin Kabupaten]]+region_summary__54[[#This Row],[REJECTED BY Pengawas]]</f>
        <v>0</v>
      </c>
    </row>
    <row r="729" spans="1:13" x14ac:dyDescent="0.25">
      <c r="A729" t="s">
        <v>22</v>
      </c>
      <c r="B729">
        <v>7172010015002400</v>
      </c>
      <c r="C729">
        <v>138</v>
      </c>
      <c r="D729">
        <v>86</v>
      </c>
      <c r="E729">
        <v>0</v>
      </c>
      <c r="F729">
        <v>7</v>
      </c>
      <c r="G729">
        <v>25</v>
      </c>
      <c r="H729">
        <v>0</v>
      </c>
      <c r="I729">
        <v>1</v>
      </c>
      <c r="J729">
        <v>0</v>
      </c>
      <c r="K729">
        <v>19</v>
      </c>
      <c r="L729">
        <v>0</v>
      </c>
      <c r="M729">
        <f>region_summary__54[[#This Row],[REJECTED BY Admin Kabupaten]]+region_summary__54[[#This Row],[REJECTED BY Pengawas]]</f>
        <v>1</v>
      </c>
    </row>
    <row r="730" spans="1:13" x14ac:dyDescent="0.25">
      <c r="A730" t="s">
        <v>22</v>
      </c>
      <c r="B730">
        <v>7172010015002500</v>
      </c>
      <c r="C730">
        <v>119</v>
      </c>
      <c r="D730">
        <v>90</v>
      </c>
      <c r="E730">
        <v>0</v>
      </c>
      <c r="F730">
        <v>6</v>
      </c>
      <c r="G730">
        <v>20</v>
      </c>
      <c r="H730">
        <v>0</v>
      </c>
      <c r="I730">
        <v>0</v>
      </c>
      <c r="J730">
        <v>0</v>
      </c>
      <c r="K730">
        <v>3</v>
      </c>
      <c r="L730">
        <v>0</v>
      </c>
      <c r="M730">
        <f>region_summary__54[[#This Row],[REJECTED BY Admin Kabupaten]]+region_summary__54[[#This Row],[REJECTED BY Pengawas]]</f>
        <v>0</v>
      </c>
    </row>
    <row r="731" spans="1:13" x14ac:dyDescent="0.25">
      <c r="A731" t="s">
        <v>22</v>
      </c>
      <c r="B731">
        <v>7172010015002200</v>
      </c>
      <c r="C731">
        <v>115</v>
      </c>
      <c r="D731">
        <v>19</v>
      </c>
      <c r="E731">
        <v>0</v>
      </c>
      <c r="F731">
        <v>0</v>
      </c>
      <c r="G731">
        <v>25</v>
      </c>
      <c r="H731">
        <v>0</v>
      </c>
      <c r="I731">
        <v>0</v>
      </c>
      <c r="J731">
        <v>0</v>
      </c>
      <c r="K731">
        <v>71</v>
      </c>
      <c r="L731">
        <v>0</v>
      </c>
      <c r="M731">
        <f>region_summary__54[[#This Row],[REJECTED BY Admin Kabupaten]]+region_summary__54[[#This Row],[REJECTED BY Pengawas]]</f>
        <v>0</v>
      </c>
    </row>
    <row r="732" spans="1:13" x14ac:dyDescent="0.25">
      <c r="A732" t="s">
        <v>22</v>
      </c>
      <c r="B732">
        <v>7172010015002301</v>
      </c>
      <c r="C732">
        <v>113</v>
      </c>
      <c r="D732">
        <v>1</v>
      </c>
      <c r="E732">
        <v>0</v>
      </c>
      <c r="F732">
        <v>0</v>
      </c>
      <c r="G732">
        <v>65</v>
      </c>
      <c r="H732">
        <v>0</v>
      </c>
      <c r="I732">
        <v>1</v>
      </c>
      <c r="J732">
        <v>0</v>
      </c>
      <c r="K732">
        <v>46</v>
      </c>
      <c r="L732">
        <v>0</v>
      </c>
      <c r="M732">
        <f>region_summary__54[[#This Row],[REJECTED BY Admin Kabupaten]]+region_summary__54[[#This Row],[REJECTED BY Pengawas]]</f>
        <v>1</v>
      </c>
    </row>
    <row r="733" spans="1:13" x14ac:dyDescent="0.25">
      <c r="A733" t="s">
        <v>22</v>
      </c>
      <c r="B733">
        <v>7172010015002601</v>
      </c>
      <c r="C733">
        <v>71</v>
      </c>
      <c r="D733">
        <v>0</v>
      </c>
      <c r="E733">
        <v>0</v>
      </c>
      <c r="F733">
        <v>0</v>
      </c>
      <c r="G733">
        <v>70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f>region_summary__54[[#This Row],[REJECTED BY Admin Kabupaten]]+region_summary__54[[#This Row],[REJECTED BY Pengawas]]</f>
        <v>0</v>
      </c>
    </row>
    <row r="734" spans="1:13" x14ac:dyDescent="0.25">
      <c r="A734" t="s">
        <v>22</v>
      </c>
      <c r="B734">
        <v>7172010015001100</v>
      </c>
      <c r="C734">
        <v>26</v>
      </c>
      <c r="D734">
        <v>0</v>
      </c>
      <c r="E734">
        <v>0</v>
      </c>
      <c r="F734">
        <v>0</v>
      </c>
      <c r="G734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f>region_summary__54[[#This Row],[REJECTED BY Admin Kabupaten]]+region_summary__54[[#This Row],[REJECTED BY Pengawas]]</f>
        <v>0</v>
      </c>
    </row>
    <row r="735" spans="1:13" x14ac:dyDescent="0.25">
      <c r="A735" t="s">
        <v>22</v>
      </c>
      <c r="B735">
        <v>7172010015002302</v>
      </c>
      <c r="C735">
        <v>6</v>
      </c>
      <c r="D735">
        <v>0</v>
      </c>
      <c r="E735">
        <v>0</v>
      </c>
      <c r="F735">
        <v>0</v>
      </c>
      <c r="G735">
        <v>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>region_summary__54[[#This Row],[REJECTED BY Admin Kabupaten]]+region_summary__54[[#This Row],[REJECTED BY Pengawas]]</f>
        <v>0</v>
      </c>
    </row>
    <row r="736" spans="1:13" x14ac:dyDescent="0.25">
      <c r="A736" t="s">
        <v>24</v>
      </c>
      <c r="B736">
        <v>7172010016001300</v>
      </c>
      <c r="C736">
        <v>103</v>
      </c>
      <c r="D736">
        <v>98</v>
      </c>
      <c r="E736">
        <v>0</v>
      </c>
      <c r="F736">
        <v>2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>region_summary__54[[#This Row],[REJECTED BY Admin Kabupaten]]+region_summary__54[[#This Row],[REJECTED BY Pengawas]]</f>
        <v>0</v>
      </c>
    </row>
    <row r="737" spans="1:13" x14ac:dyDescent="0.25">
      <c r="A737" t="s">
        <v>24</v>
      </c>
      <c r="B737">
        <v>7172010016000700</v>
      </c>
      <c r="C737">
        <v>77</v>
      </c>
      <c r="D737">
        <v>69</v>
      </c>
      <c r="E737">
        <v>2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2</v>
      </c>
      <c r="L737">
        <v>0</v>
      </c>
      <c r="M737">
        <f>region_summary__54[[#This Row],[REJECTED BY Admin Kabupaten]]+region_summary__54[[#This Row],[REJECTED BY Pengawas]]</f>
        <v>0</v>
      </c>
    </row>
    <row r="738" spans="1:13" x14ac:dyDescent="0.25">
      <c r="A738" t="s">
        <v>24</v>
      </c>
      <c r="B738">
        <v>7172010016001200</v>
      </c>
      <c r="C738">
        <v>76</v>
      </c>
      <c r="D738">
        <v>0</v>
      </c>
      <c r="E738">
        <v>2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69</v>
      </c>
      <c r="L738">
        <v>0</v>
      </c>
      <c r="M738">
        <f>region_summary__54[[#This Row],[REJECTED BY Admin Kabupaten]]+region_summary__54[[#This Row],[REJECTED BY Pengawas]]</f>
        <v>0</v>
      </c>
    </row>
    <row r="739" spans="1:13" x14ac:dyDescent="0.25">
      <c r="A739" t="s">
        <v>24</v>
      </c>
      <c r="B739">
        <v>7172010016000500</v>
      </c>
      <c r="C739">
        <v>71</v>
      </c>
      <c r="D739">
        <v>0</v>
      </c>
      <c r="E739">
        <v>0</v>
      </c>
      <c r="F739">
        <v>0</v>
      </c>
      <c r="G739">
        <v>71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>region_summary__54[[#This Row],[REJECTED BY Admin Kabupaten]]+region_summary__54[[#This Row],[REJECTED BY Pengawas]]</f>
        <v>0</v>
      </c>
    </row>
    <row r="740" spans="1:13" x14ac:dyDescent="0.25">
      <c r="A740" t="s">
        <v>24</v>
      </c>
      <c r="B740">
        <v>7172010016000800</v>
      </c>
      <c r="C740">
        <v>65</v>
      </c>
      <c r="D740">
        <v>59</v>
      </c>
      <c r="E740">
        <v>0</v>
      </c>
      <c r="F740">
        <v>1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>region_summary__54[[#This Row],[REJECTED BY Admin Kabupaten]]+region_summary__54[[#This Row],[REJECTED BY Pengawas]]</f>
        <v>0</v>
      </c>
    </row>
    <row r="741" spans="1:13" x14ac:dyDescent="0.25">
      <c r="A741" t="s">
        <v>24</v>
      </c>
      <c r="B741">
        <v>7172010016001000</v>
      </c>
      <c r="C741">
        <v>55</v>
      </c>
      <c r="D741">
        <v>46</v>
      </c>
      <c r="E741">
        <v>1</v>
      </c>
      <c r="F741">
        <v>1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>region_summary__54[[#This Row],[REJECTED BY Admin Kabupaten]]+region_summary__54[[#This Row],[REJECTED BY Pengawas]]</f>
        <v>0</v>
      </c>
    </row>
    <row r="742" spans="1:13" x14ac:dyDescent="0.25">
      <c r="A742" t="s">
        <v>24</v>
      </c>
      <c r="B742">
        <v>7172010016000600</v>
      </c>
      <c r="C742">
        <v>54</v>
      </c>
      <c r="D742">
        <v>0</v>
      </c>
      <c r="E742">
        <v>0</v>
      </c>
      <c r="F742">
        <v>0</v>
      </c>
      <c r="G742">
        <v>54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f>region_summary__54[[#This Row],[REJECTED BY Admin Kabupaten]]+region_summary__54[[#This Row],[REJECTED BY Pengawas]]</f>
        <v>0</v>
      </c>
    </row>
    <row r="743" spans="1:13" x14ac:dyDescent="0.25">
      <c r="A743" t="s">
        <v>24</v>
      </c>
      <c r="B743">
        <v>7172010016000300</v>
      </c>
      <c r="C743">
        <v>48</v>
      </c>
      <c r="D743">
        <v>0</v>
      </c>
      <c r="E743">
        <v>0</v>
      </c>
      <c r="F743">
        <v>0</v>
      </c>
      <c r="G743">
        <v>48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f>region_summary__54[[#This Row],[REJECTED BY Admin Kabupaten]]+region_summary__54[[#This Row],[REJECTED BY Pengawas]]</f>
        <v>0</v>
      </c>
    </row>
    <row r="744" spans="1:13" x14ac:dyDescent="0.25">
      <c r="A744" t="s">
        <v>24</v>
      </c>
      <c r="B744">
        <v>7172010016000400</v>
      </c>
      <c r="C744">
        <v>48</v>
      </c>
      <c r="D744">
        <v>1</v>
      </c>
      <c r="E744">
        <v>0</v>
      </c>
      <c r="F744">
        <v>0</v>
      </c>
      <c r="G744">
        <v>47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>region_summary__54[[#This Row],[REJECTED BY Admin Kabupaten]]+region_summary__54[[#This Row],[REJECTED BY Pengawas]]</f>
        <v>0</v>
      </c>
    </row>
    <row r="745" spans="1:13" x14ac:dyDescent="0.25">
      <c r="A745" t="s">
        <v>24</v>
      </c>
      <c r="B745">
        <v>7172010016000900</v>
      </c>
      <c r="C745">
        <v>48</v>
      </c>
      <c r="D745">
        <v>0</v>
      </c>
      <c r="E745">
        <v>22</v>
      </c>
      <c r="F745">
        <v>0</v>
      </c>
      <c r="G745">
        <v>14</v>
      </c>
      <c r="H745">
        <v>0</v>
      </c>
      <c r="I745">
        <v>0</v>
      </c>
      <c r="J745">
        <v>0</v>
      </c>
      <c r="K745">
        <v>12</v>
      </c>
      <c r="L745">
        <v>0</v>
      </c>
      <c r="M745">
        <f>region_summary__54[[#This Row],[REJECTED BY Admin Kabupaten]]+region_summary__54[[#This Row],[REJECTED BY Pengawas]]</f>
        <v>0</v>
      </c>
    </row>
    <row r="746" spans="1:13" x14ac:dyDescent="0.25">
      <c r="A746" t="s">
        <v>24</v>
      </c>
      <c r="B746">
        <v>7172010016001100</v>
      </c>
      <c r="C746">
        <v>37</v>
      </c>
      <c r="D746">
        <v>0</v>
      </c>
      <c r="E746">
        <v>4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28</v>
      </c>
      <c r="L746">
        <v>0</v>
      </c>
      <c r="M746">
        <f>region_summary__54[[#This Row],[REJECTED BY Admin Kabupaten]]+region_summary__54[[#This Row],[REJECTED BY Pengawas]]</f>
        <v>0</v>
      </c>
    </row>
    <row r="747" spans="1:13" x14ac:dyDescent="0.25">
      <c r="A747" t="s">
        <v>18</v>
      </c>
      <c r="B747">
        <v>7172010017001300</v>
      </c>
      <c r="C747">
        <v>139</v>
      </c>
      <c r="D747">
        <v>132</v>
      </c>
      <c r="E747">
        <v>4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f>region_summary__54[[#This Row],[REJECTED BY Admin Kabupaten]]+region_summary__54[[#This Row],[REJECTED BY Pengawas]]</f>
        <v>1</v>
      </c>
    </row>
    <row r="748" spans="1:13" x14ac:dyDescent="0.25">
      <c r="A748" t="s">
        <v>18</v>
      </c>
      <c r="B748">
        <v>7172010017001800</v>
      </c>
      <c r="C748">
        <v>102</v>
      </c>
      <c r="D748">
        <v>92</v>
      </c>
      <c r="E748">
        <v>8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f>region_summary__54[[#This Row],[REJECTED BY Admin Kabupaten]]+region_summary__54[[#This Row],[REJECTED BY Pengawas]]</f>
        <v>0</v>
      </c>
    </row>
    <row r="749" spans="1:13" x14ac:dyDescent="0.25">
      <c r="A749" t="s">
        <v>18</v>
      </c>
      <c r="B749">
        <v>7172010017002100</v>
      </c>
      <c r="C749">
        <v>101</v>
      </c>
      <c r="D749">
        <v>38</v>
      </c>
      <c r="E749">
        <v>3</v>
      </c>
      <c r="F749">
        <v>0</v>
      </c>
      <c r="G749">
        <v>21</v>
      </c>
      <c r="H749">
        <v>0</v>
      </c>
      <c r="I749">
        <v>0</v>
      </c>
      <c r="J749">
        <v>0</v>
      </c>
      <c r="K749">
        <v>39</v>
      </c>
      <c r="L749">
        <v>0</v>
      </c>
      <c r="M749">
        <f>region_summary__54[[#This Row],[REJECTED BY Admin Kabupaten]]+region_summary__54[[#This Row],[REJECTED BY Pengawas]]</f>
        <v>0</v>
      </c>
    </row>
    <row r="750" spans="1:13" x14ac:dyDescent="0.25">
      <c r="A750" t="s">
        <v>18</v>
      </c>
      <c r="B750">
        <v>7172010017001900</v>
      </c>
      <c r="C750">
        <v>85</v>
      </c>
      <c r="D750">
        <v>62</v>
      </c>
      <c r="E750">
        <v>9</v>
      </c>
      <c r="F750">
        <v>1</v>
      </c>
      <c r="G750">
        <v>4</v>
      </c>
      <c r="H750">
        <v>0</v>
      </c>
      <c r="I750">
        <v>0</v>
      </c>
      <c r="J750">
        <v>0</v>
      </c>
      <c r="K750">
        <v>9</v>
      </c>
      <c r="L750">
        <v>0</v>
      </c>
      <c r="M750">
        <f>region_summary__54[[#This Row],[REJECTED BY Admin Kabupaten]]+region_summary__54[[#This Row],[REJECTED BY Pengawas]]</f>
        <v>0</v>
      </c>
    </row>
    <row r="751" spans="1:13" x14ac:dyDescent="0.25">
      <c r="A751" t="s">
        <v>18</v>
      </c>
      <c r="B751">
        <v>7172010017001500</v>
      </c>
      <c r="C751">
        <v>71</v>
      </c>
      <c r="D751">
        <v>0</v>
      </c>
      <c r="E751">
        <v>1</v>
      </c>
      <c r="F751">
        <v>0</v>
      </c>
      <c r="G751">
        <v>70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f>region_summary__54[[#This Row],[REJECTED BY Admin Kabupaten]]+region_summary__54[[#This Row],[REJECTED BY Pengawas]]</f>
        <v>0</v>
      </c>
    </row>
    <row r="752" spans="1:13" x14ac:dyDescent="0.25">
      <c r="A752" t="s">
        <v>18</v>
      </c>
      <c r="B752">
        <v>7172010017002000</v>
      </c>
      <c r="C752">
        <v>64</v>
      </c>
      <c r="D752">
        <v>0</v>
      </c>
      <c r="E752">
        <v>13</v>
      </c>
      <c r="F752">
        <v>0</v>
      </c>
      <c r="G752">
        <v>37</v>
      </c>
      <c r="H752">
        <v>0</v>
      </c>
      <c r="I752">
        <v>0</v>
      </c>
      <c r="J752">
        <v>0</v>
      </c>
      <c r="K752">
        <v>14</v>
      </c>
      <c r="L752">
        <v>0</v>
      </c>
      <c r="M752">
        <f>region_summary__54[[#This Row],[REJECTED BY Admin Kabupaten]]+region_summary__54[[#This Row],[REJECTED BY Pengawas]]</f>
        <v>0</v>
      </c>
    </row>
    <row r="753" spans="1:13" x14ac:dyDescent="0.25">
      <c r="A753" t="s">
        <v>18</v>
      </c>
      <c r="B753">
        <v>7172010017001600</v>
      </c>
      <c r="C753">
        <v>55</v>
      </c>
      <c r="D753">
        <v>0</v>
      </c>
      <c r="E753">
        <v>0</v>
      </c>
      <c r="F753">
        <v>0</v>
      </c>
      <c r="G753">
        <v>55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f>region_summary__54[[#This Row],[REJECTED BY Admin Kabupaten]]+region_summary__54[[#This Row],[REJECTED BY Pengawas]]</f>
        <v>0</v>
      </c>
    </row>
    <row r="754" spans="1:13" x14ac:dyDescent="0.25">
      <c r="A754" t="s">
        <v>18</v>
      </c>
      <c r="B754">
        <v>7172010015000600</v>
      </c>
      <c r="C754">
        <v>45</v>
      </c>
      <c r="D754">
        <v>0</v>
      </c>
      <c r="E754">
        <v>0</v>
      </c>
      <c r="F754">
        <v>0</v>
      </c>
      <c r="G754">
        <v>45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f>region_summary__54[[#This Row],[REJECTED BY Admin Kabupaten]]+region_summary__54[[#This Row],[REJECTED BY Pengawas]]</f>
        <v>0</v>
      </c>
    </row>
    <row r="755" spans="1:13" x14ac:dyDescent="0.25">
      <c r="A755" t="s">
        <v>18</v>
      </c>
      <c r="B755">
        <v>7172010017001700</v>
      </c>
      <c r="C755">
        <v>36</v>
      </c>
      <c r="D755">
        <v>0</v>
      </c>
      <c r="E755">
        <v>17</v>
      </c>
      <c r="F755">
        <v>0</v>
      </c>
      <c r="G755">
        <v>18</v>
      </c>
      <c r="H755">
        <v>0</v>
      </c>
      <c r="I755">
        <v>0</v>
      </c>
      <c r="J755">
        <v>0</v>
      </c>
      <c r="K755">
        <v>1</v>
      </c>
      <c r="L755">
        <v>0</v>
      </c>
      <c r="M755">
        <f>region_summary__54[[#This Row],[REJECTED BY Admin Kabupaten]]+region_summary__54[[#This Row],[REJECTED BY Pengawas]]</f>
        <v>0</v>
      </c>
    </row>
    <row r="756" spans="1:13" x14ac:dyDescent="0.25">
      <c r="A756" t="s">
        <v>26</v>
      </c>
      <c r="B756">
        <v>7172011001000100</v>
      </c>
      <c r="C756">
        <v>154</v>
      </c>
      <c r="D756">
        <v>116</v>
      </c>
      <c r="E756">
        <v>19</v>
      </c>
      <c r="F756">
        <v>5</v>
      </c>
      <c r="G756">
        <v>12</v>
      </c>
      <c r="H756">
        <v>0</v>
      </c>
      <c r="I756">
        <v>0</v>
      </c>
      <c r="J756">
        <v>0</v>
      </c>
      <c r="K756">
        <v>2</v>
      </c>
      <c r="L756">
        <v>0</v>
      </c>
      <c r="M756">
        <f>region_summary__54[[#This Row],[REJECTED BY Admin Kabupaten]]+region_summary__54[[#This Row],[REJECTED BY Pengawas]]</f>
        <v>0</v>
      </c>
    </row>
    <row r="757" spans="1:13" x14ac:dyDescent="0.25">
      <c r="A757" t="s">
        <v>26</v>
      </c>
      <c r="B757">
        <v>7172011004002000</v>
      </c>
      <c r="C757">
        <v>108</v>
      </c>
      <c r="D757">
        <v>5</v>
      </c>
      <c r="E757">
        <v>5</v>
      </c>
      <c r="F757">
        <v>0</v>
      </c>
      <c r="G757">
        <v>98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f>region_summary__54[[#This Row],[REJECTED BY Admin Kabupaten]]+region_summary__54[[#This Row],[REJECTED BY Pengawas]]</f>
        <v>0</v>
      </c>
    </row>
    <row r="758" spans="1:13" x14ac:dyDescent="0.25">
      <c r="A758" t="s">
        <v>26</v>
      </c>
      <c r="B758">
        <v>7172011001000600</v>
      </c>
      <c r="C758">
        <v>96</v>
      </c>
      <c r="D758">
        <v>55</v>
      </c>
      <c r="E758">
        <v>19</v>
      </c>
      <c r="F758">
        <v>0</v>
      </c>
      <c r="G758">
        <v>19</v>
      </c>
      <c r="H758">
        <v>0</v>
      </c>
      <c r="I758">
        <v>0</v>
      </c>
      <c r="J758">
        <v>0</v>
      </c>
      <c r="K758">
        <v>3</v>
      </c>
      <c r="L758">
        <v>0</v>
      </c>
      <c r="M758">
        <f>region_summary__54[[#This Row],[REJECTED BY Admin Kabupaten]]+region_summary__54[[#This Row],[REJECTED BY Pengawas]]</f>
        <v>0</v>
      </c>
    </row>
    <row r="759" spans="1:13" x14ac:dyDescent="0.25">
      <c r="A759" t="s">
        <v>26</v>
      </c>
      <c r="B759">
        <v>7172011001000200</v>
      </c>
      <c r="C759">
        <v>87</v>
      </c>
      <c r="D759">
        <v>39</v>
      </c>
      <c r="E759">
        <v>22</v>
      </c>
      <c r="F759">
        <v>1</v>
      </c>
      <c r="G759">
        <v>17</v>
      </c>
      <c r="H759">
        <v>0</v>
      </c>
      <c r="I759">
        <v>1</v>
      </c>
      <c r="J759">
        <v>0</v>
      </c>
      <c r="K759">
        <v>7</v>
      </c>
      <c r="L759">
        <v>0</v>
      </c>
      <c r="M759">
        <f>region_summary__54[[#This Row],[REJECTED BY Admin Kabupaten]]+region_summary__54[[#This Row],[REJECTED BY Pengawas]]</f>
        <v>1</v>
      </c>
    </row>
    <row r="760" spans="1:13" x14ac:dyDescent="0.25">
      <c r="A760" t="s">
        <v>26</v>
      </c>
      <c r="B760">
        <v>7172011001000300</v>
      </c>
      <c r="C760">
        <v>81</v>
      </c>
      <c r="D760">
        <v>19</v>
      </c>
      <c r="E760">
        <v>10</v>
      </c>
      <c r="F760">
        <v>0</v>
      </c>
      <c r="G760">
        <v>52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f>region_summary__54[[#This Row],[REJECTED BY Admin Kabupaten]]+region_summary__54[[#This Row],[REJECTED BY Pengawas]]</f>
        <v>0</v>
      </c>
    </row>
    <row r="761" spans="1:13" x14ac:dyDescent="0.25">
      <c r="A761" t="s">
        <v>26</v>
      </c>
      <c r="B761">
        <v>7172011004002100</v>
      </c>
      <c r="C761">
        <v>76</v>
      </c>
      <c r="D761">
        <v>30</v>
      </c>
      <c r="E761">
        <v>4</v>
      </c>
      <c r="F761">
        <v>0</v>
      </c>
      <c r="G761">
        <v>38</v>
      </c>
      <c r="H761">
        <v>0</v>
      </c>
      <c r="I761">
        <v>4</v>
      </c>
      <c r="J761">
        <v>0</v>
      </c>
      <c r="K761">
        <v>0</v>
      </c>
      <c r="L761">
        <v>0</v>
      </c>
      <c r="M761">
        <f>region_summary__54[[#This Row],[REJECTED BY Admin Kabupaten]]+region_summary__54[[#This Row],[REJECTED BY Pengawas]]</f>
        <v>4</v>
      </c>
    </row>
    <row r="762" spans="1:13" x14ac:dyDescent="0.25">
      <c r="A762" t="s">
        <v>26</v>
      </c>
      <c r="B762">
        <v>7172011001000500</v>
      </c>
      <c r="C762">
        <v>71</v>
      </c>
      <c r="D762">
        <v>59</v>
      </c>
      <c r="E762">
        <v>8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f>region_summary__54[[#This Row],[REJECTED BY Admin Kabupaten]]+region_summary__54[[#This Row],[REJECTED BY Pengawas]]</f>
        <v>0</v>
      </c>
    </row>
    <row r="763" spans="1:13" x14ac:dyDescent="0.25">
      <c r="A763" t="s">
        <v>26</v>
      </c>
      <c r="B763">
        <v>7172011001000400</v>
      </c>
      <c r="C763">
        <v>59</v>
      </c>
      <c r="D763">
        <v>10</v>
      </c>
      <c r="E763">
        <v>1</v>
      </c>
      <c r="F763">
        <v>0</v>
      </c>
      <c r="G763">
        <v>47</v>
      </c>
      <c r="H763">
        <v>0</v>
      </c>
      <c r="I763">
        <v>1</v>
      </c>
      <c r="J763">
        <v>0</v>
      </c>
      <c r="K763">
        <v>0</v>
      </c>
      <c r="L763">
        <v>0</v>
      </c>
      <c r="M763">
        <f>region_summary__54[[#This Row],[REJECTED BY Admin Kabupaten]]+region_summary__54[[#This Row],[REJECTED BY Pengawas]]</f>
        <v>1</v>
      </c>
    </row>
    <row r="764" spans="1:13" x14ac:dyDescent="0.25">
      <c r="A764" t="s">
        <v>28</v>
      </c>
      <c r="B764">
        <v>7172011002000100</v>
      </c>
      <c r="C764">
        <v>166</v>
      </c>
      <c r="D764">
        <v>39</v>
      </c>
      <c r="E764">
        <v>2</v>
      </c>
      <c r="F764">
        <v>3</v>
      </c>
      <c r="G764">
        <v>121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f>region_summary__54[[#This Row],[REJECTED BY Admin Kabupaten]]+region_summary__54[[#This Row],[REJECTED BY Pengawas]]</f>
        <v>1</v>
      </c>
    </row>
    <row r="765" spans="1:13" x14ac:dyDescent="0.25">
      <c r="A765" t="s">
        <v>28</v>
      </c>
      <c r="B765">
        <v>7172011002000700</v>
      </c>
      <c r="C765">
        <v>116</v>
      </c>
      <c r="D765">
        <v>102</v>
      </c>
      <c r="E765">
        <v>2</v>
      </c>
      <c r="F765">
        <v>1</v>
      </c>
      <c r="G765">
        <v>11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f>region_summary__54[[#This Row],[REJECTED BY Admin Kabupaten]]+region_summary__54[[#This Row],[REJECTED BY Pengawas]]</f>
        <v>0</v>
      </c>
    </row>
    <row r="766" spans="1:13" x14ac:dyDescent="0.25">
      <c r="A766" t="s">
        <v>28</v>
      </c>
      <c r="B766">
        <v>7172011002000500</v>
      </c>
      <c r="C766">
        <v>109</v>
      </c>
      <c r="D766">
        <v>90</v>
      </c>
      <c r="E766">
        <v>12</v>
      </c>
      <c r="F766">
        <v>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f>region_summary__54[[#This Row],[REJECTED BY Admin Kabupaten]]+region_summary__54[[#This Row],[REJECTED BY Pengawas]]</f>
        <v>0</v>
      </c>
    </row>
    <row r="767" spans="1:13" x14ac:dyDescent="0.25">
      <c r="A767" t="s">
        <v>28</v>
      </c>
      <c r="B767">
        <v>7172011002000200</v>
      </c>
      <c r="C767">
        <v>94</v>
      </c>
      <c r="D767">
        <v>22</v>
      </c>
      <c r="E767">
        <v>6</v>
      </c>
      <c r="F767">
        <v>0</v>
      </c>
      <c r="G767">
        <v>59</v>
      </c>
      <c r="H767">
        <v>0</v>
      </c>
      <c r="I767">
        <v>0</v>
      </c>
      <c r="J767">
        <v>0</v>
      </c>
      <c r="K767">
        <v>7</v>
      </c>
      <c r="L767">
        <v>0</v>
      </c>
      <c r="M767">
        <f>region_summary__54[[#This Row],[REJECTED BY Admin Kabupaten]]+region_summary__54[[#This Row],[REJECTED BY Pengawas]]</f>
        <v>0</v>
      </c>
    </row>
    <row r="768" spans="1:13" x14ac:dyDescent="0.25">
      <c r="A768" t="s">
        <v>28</v>
      </c>
      <c r="B768">
        <v>7172011002000400</v>
      </c>
      <c r="C768">
        <v>86</v>
      </c>
      <c r="D768">
        <v>1</v>
      </c>
      <c r="E768">
        <v>0</v>
      </c>
      <c r="F768">
        <v>0</v>
      </c>
      <c r="G768">
        <v>85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f>region_summary__54[[#This Row],[REJECTED BY Admin Kabupaten]]+region_summary__54[[#This Row],[REJECTED BY Pengawas]]</f>
        <v>0</v>
      </c>
    </row>
    <row r="769" spans="1:13" x14ac:dyDescent="0.25">
      <c r="A769" t="s">
        <v>28</v>
      </c>
      <c r="B769">
        <v>7172011002000300</v>
      </c>
      <c r="C769">
        <v>85</v>
      </c>
      <c r="D769">
        <v>47</v>
      </c>
      <c r="E769">
        <v>3</v>
      </c>
      <c r="F769">
        <v>0</v>
      </c>
      <c r="G769">
        <v>35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f>region_summary__54[[#This Row],[REJECTED BY Admin Kabupaten]]+region_summary__54[[#This Row],[REJECTED BY Pengawas]]</f>
        <v>0</v>
      </c>
    </row>
    <row r="770" spans="1:13" x14ac:dyDescent="0.25">
      <c r="A770" t="s">
        <v>28</v>
      </c>
      <c r="B770">
        <v>7172011002000800</v>
      </c>
      <c r="C770">
        <v>54</v>
      </c>
      <c r="D770">
        <v>38</v>
      </c>
      <c r="E770">
        <v>1</v>
      </c>
      <c r="F770">
        <v>0</v>
      </c>
      <c r="G770">
        <v>12</v>
      </c>
      <c r="H770">
        <v>0</v>
      </c>
      <c r="I770">
        <v>3</v>
      </c>
      <c r="J770">
        <v>0</v>
      </c>
      <c r="K770">
        <v>0</v>
      </c>
      <c r="L770">
        <v>0</v>
      </c>
      <c r="M770">
        <f>region_summary__54[[#This Row],[REJECTED BY Admin Kabupaten]]+region_summary__54[[#This Row],[REJECTED BY Pengawas]]</f>
        <v>3</v>
      </c>
    </row>
    <row r="771" spans="1:13" x14ac:dyDescent="0.25">
      <c r="A771" t="s">
        <v>35</v>
      </c>
      <c r="B771">
        <v>7172011003001801</v>
      </c>
      <c r="C771">
        <v>257</v>
      </c>
      <c r="D771">
        <v>41</v>
      </c>
      <c r="E771">
        <v>11</v>
      </c>
      <c r="F771">
        <v>0</v>
      </c>
      <c r="G771">
        <v>183</v>
      </c>
      <c r="H771">
        <v>0</v>
      </c>
      <c r="I771">
        <v>0</v>
      </c>
      <c r="J771">
        <v>0</v>
      </c>
      <c r="K771">
        <v>22</v>
      </c>
      <c r="L771">
        <v>0</v>
      </c>
      <c r="M771">
        <f>region_summary__54[[#This Row],[REJECTED BY Admin Kabupaten]]+region_summary__54[[#This Row],[REJECTED BY Pengawas]]</f>
        <v>0</v>
      </c>
    </row>
    <row r="772" spans="1:13" x14ac:dyDescent="0.25">
      <c r="A772" t="s">
        <v>35</v>
      </c>
      <c r="B772">
        <v>7172011003001900</v>
      </c>
      <c r="C772">
        <v>132</v>
      </c>
      <c r="D772">
        <v>93</v>
      </c>
      <c r="E772">
        <v>5</v>
      </c>
      <c r="F772">
        <v>0</v>
      </c>
      <c r="G772">
        <v>1</v>
      </c>
      <c r="H772">
        <v>0</v>
      </c>
      <c r="I772">
        <v>21</v>
      </c>
      <c r="J772">
        <v>0</v>
      </c>
      <c r="K772">
        <v>12</v>
      </c>
      <c r="L772">
        <v>0</v>
      </c>
      <c r="M772">
        <f>region_summary__54[[#This Row],[REJECTED BY Admin Kabupaten]]+region_summary__54[[#This Row],[REJECTED BY Pengawas]]</f>
        <v>21</v>
      </c>
    </row>
    <row r="773" spans="1:13" x14ac:dyDescent="0.25">
      <c r="A773" t="s">
        <v>35</v>
      </c>
      <c r="B773">
        <v>7172011003001700</v>
      </c>
      <c r="C773">
        <v>70</v>
      </c>
      <c r="D773">
        <v>27</v>
      </c>
      <c r="E773">
        <v>1</v>
      </c>
      <c r="F773">
        <v>0</v>
      </c>
      <c r="G773">
        <v>42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f>region_summary__54[[#This Row],[REJECTED BY Admin Kabupaten]]+region_summary__54[[#This Row],[REJECTED BY Pengawas]]</f>
        <v>0</v>
      </c>
    </row>
    <row r="774" spans="1:13" x14ac:dyDescent="0.25">
      <c r="A774" t="s">
        <v>35</v>
      </c>
      <c r="B774">
        <v>7172011003001802</v>
      </c>
      <c r="C774">
        <v>70</v>
      </c>
      <c r="D774">
        <v>27</v>
      </c>
      <c r="E774">
        <v>1</v>
      </c>
      <c r="F774">
        <v>0</v>
      </c>
      <c r="G774">
        <v>41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f>region_summary__54[[#This Row],[REJECTED BY Admin Kabupaten]]+region_summary__54[[#This Row],[REJECTED BY Pengawas]]</f>
        <v>0</v>
      </c>
    </row>
    <row r="775" spans="1:13" x14ac:dyDescent="0.25">
      <c r="A775" t="s">
        <v>35</v>
      </c>
      <c r="B775">
        <v>7172011003001300</v>
      </c>
      <c r="C775">
        <v>67</v>
      </c>
      <c r="D775">
        <v>63</v>
      </c>
      <c r="E775">
        <v>2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f>region_summary__54[[#This Row],[REJECTED BY Admin Kabupaten]]+region_summary__54[[#This Row],[REJECTED BY Pengawas]]</f>
        <v>0</v>
      </c>
    </row>
    <row r="776" spans="1:13" x14ac:dyDescent="0.25">
      <c r="A776" t="s">
        <v>35</v>
      </c>
      <c r="B776">
        <v>7172011003001002</v>
      </c>
      <c r="C776">
        <v>52</v>
      </c>
      <c r="D776">
        <v>0</v>
      </c>
      <c r="E776">
        <v>0</v>
      </c>
      <c r="F776">
        <v>0</v>
      </c>
      <c r="G776">
        <v>47</v>
      </c>
      <c r="H776">
        <v>0</v>
      </c>
      <c r="I776">
        <v>0</v>
      </c>
      <c r="J776">
        <v>0</v>
      </c>
      <c r="K776">
        <v>5</v>
      </c>
      <c r="L776">
        <v>0</v>
      </c>
      <c r="M776">
        <f>region_summary__54[[#This Row],[REJECTED BY Admin Kabupaten]]+region_summary__54[[#This Row],[REJECTED BY Pengawas]]</f>
        <v>0</v>
      </c>
    </row>
    <row r="777" spans="1:13" x14ac:dyDescent="0.25">
      <c r="A777" t="s">
        <v>37</v>
      </c>
      <c r="B777">
        <v>7172011003002602</v>
      </c>
      <c r="C777">
        <v>224</v>
      </c>
      <c r="D777">
        <v>163</v>
      </c>
      <c r="E777">
        <v>5</v>
      </c>
      <c r="F777">
        <v>1</v>
      </c>
      <c r="G777">
        <v>15</v>
      </c>
      <c r="H777">
        <v>0</v>
      </c>
      <c r="I777">
        <v>2</v>
      </c>
      <c r="J777">
        <v>1</v>
      </c>
      <c r="K777">
        <v>37</v>
      </c>
      <c r="L777">
        <v>0</v>
      </c>
      <c r="M777">
        <f>region_summary__54[[#This Row],[REJECTED BY Admin Kabupaten]]+region_summary__54[[#This Row],[REJECTED BY Pengawas]]</f>
        <v>2</v>
      </c>
    </row>
    <row r="778" spans="1:13" x14ac:dyDescent="0.25">
      <c r="A778" t="s">
        <v>37</v>
      </c>
      <c r="B778">
        <v>7172011003002500</v>
      </c>
      <c r="C778">
        <v>189</v>
      </c>
      <c r="D778">
        <v>124</v>
      </c>
      <c r="E778">
        <v>1</v>
      </c>
      <c r="F778">
        <v>2</v>
      </c>
      <c r="G778">
        <v>24</v>
      </c>
      <c r="H778">
        <v>0</v>
      </c>
      <c r="I778">
        <v>0</v>
      </c>
      <c r="J778">
        <v>0</v>
      </c>
      <c r="K778">
        <v>38</v>
      </c>
      <c r="L778">
        <v>0</v>
      </c>
      <c r="M778">
        <f>region_summary__54[[#This Row],[REJECTED BY Admin Kabupaten]]+region_summary__54[[#This Row],[REJECTED BY Pengawas]]</f>
        <v>0</v>
      </c>
    </row>
    <row r="779" spans="1:13" x14ac:dyDescent="0.25">
      <c r="A779" t="s">
        <v>37</v>
      </c>
      <c r="B779">
        <v>7172011003002601</v>
      </c>
      <c r="C779">
        <v>185</v>
      </c>
      <c r="D779">
        <v>66</v>
      </c>
      <c r="E779">
        <v>4</v>
      </c>
      <c r="F779">
        <v>0</v>
      </c>
      <c r="G779">
        <v>79</v>
      </c>
      <c r="H779">
        <v>0</v>
      </c>
      <c r="I779">
        <v>1</v>
      </c>
      <c r="J779">
        <v>0</v>
      </c>
      <c r="K779">
        <v>35</v>
      </c>
      <c r="L779">
        <v>0</v>
      </c>
      <c r="M779">
        <f>region_summary__54[[#This Row],[REJECTED BY Admin Kabupaten]]+region_summary__54[[#This Row],[REJECTED BY Pengawas]]</f>
        <v>1</v>
      </c>
    </row>
    <row r="780" spans="1:13" x14ac:dyDescent="0.25">
      <c r="A780" t="s">
        <v>37</v>
      </c>
      <c r="B780">
        <v>7172011003003501</v>
      </c>
      <c r="C780">
        <v>129</v>
      </c>
      <c r="D780">
        <v>0</v>
      </c>
      <c r="E780">
        <v>0</v>
      </c>
      <c r="F780">
        <v>0</v>
      </c>
      <c r="G780">
        <v>129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f>region_summary__54[[#This Row],[REJECTED BY Admin Kabupaten]]+region_summary__54[[#This Row],[REJECTED BY Pengawas]]</f>
        <v>0</v>
      </c>
    </row>
    <row r="781" spans="1:13" x14ac:dyDescent="0.25">
      <c r="A781" t="s">
        <v>37</v>
      </c>
      <c r="B781">
        <v>7172011003002603</v>
      </c>
      <c r="C781">
        <v>58</v>
      </c>
      <c r="D781">
        <v>0</v>
      </c>
      <c r="E781">
        <v>0</v>
      </c>
      <c r="F781">
        <v>0</v>
      </c>
      <c r="G781">
        <v>35</v>
      </c>
      <c r="H781">
        <v>0</v>
      </c>
      <c r="I781">
        <v>0</v>
      </c>
      <c r="J781">
        <v>0</v>
      </c>
      <c r="K781">
        <v>23</v>
      </c>
      <c r="L781">
        <v>0</v>
      </c>
      <c r="M781">
        <f>region_summary__54[[#This Row],[REJECTED BY Admin Kabupaten]]+region_summary__54[[#This Row],[REJECTED BY Pengawas]]</f>
        <v>0</v>
      </c>
    </row>
    <row r="782" spans="1:13" x14ac:dyDescent="0.25">
      <c r="A782" t="s">
        <v>38</v>
      </c>
      <c r="B782">
        <v>7172011003003100</v>
      </c>
      <c r="C782">
        <v>211</v>
      </c>
      <c r="D782">
        <v>151</v>
      </c>
      <c r="E782">
        <v>9</v>
      </c>
      <c r="F782">
        <v>1</v>
      </c>
      <c r="G782">
        <v>2</v>
      </c>
      <c r="H782">
        <v>0</v>
      </c>
      <c r="I782">
        <v>0</v>
      </c>
      <c r="J782">
        <v>0</v>
      </c>
      <c r="K782">
        <v>48</v>
      </c>
      <c r="L782">
        <v>0</v>
      </c>
      <c r="M782">
        <f>region_summary__54[[#This Row],[REJECTED BY Admin Kabupaten]]+region_summary__54[[#This Row],[REJECTED BY Pengawas]]</f>
        <v>0</v>
      </c>
    </row>
    <row r="783" spans="1:13" x14ac:dyDescent="0.25">
      <c r="A783" t="s">
        <v>38</v>
      </c>
      <c r="B783">
        <v>7172011003003000</v>
      </c>
      <c r="C783">
        <v>135</v>
      </c>
      <c r="D783">
        <v>86</v>
      </c>
      <c r="E783">
        <v>4</v>
      </c>
      <c r="F783">
        <v>0</v>
      </c>
      <c r="G783">
        <v>6</v>
      </c>
      <c r="H783">
        <v>0</v>
      </c>
      <c r="I783">
        <v>0</v>
      </c>
      <c r="J783">
        <v>0</v>
      </c>
      <c r="K783">
        <v>39</v>
      </c>
      <c r="L783">
        <v>0</v>
      </c>
      <c r="M783">
        <f>region_summary__54[[#This Row],[REJECTED BY Admin Kabupaten]]+region_summary__54[[#This Row],[REJECTED BY Pengawas]]</f>
        <v>0</v>
      </c>
    </row>
    <row r="784" spans="1:13" x14ac:dyDescent="0.25">
      <c r="A784" t="s">
        <v>38</v>
      </c>
      <c r="B784">
        <v>7172011003002700</v>
      </c>
      <c r="C784">
        <v>108</v>
      </c>
      <c r="D784">
        <v>2</v>
      </c>
      <c r="E784">
        <v>1</v>
      </c>
      <c r="F784">
        <v>0</v>
      </c>
      <c r="G784">
        <v>75</v>
      </c>
      <c r="H784">
        <v>0</v>
      </c>
      <c r="I784">
        <v>0</v>
      </c>
      <c r="J784">
        <v>0</v>
      </c>
      <c r="K784">
        <v>30</v>
      </c>
      <c r="L784">
        <v>0</v>
      </c>
      <c r="M784">
        <f>region_summary__54[[#This Row],[REJECTED BY Admin Kabupaten]]+region_summary__54[[#This Row],[REJECTED BY Pengawas]]</f>
        <v>0</v>
      </c>
    </row>
    <row r="785" spans="1:13" x14ac:dyDescent="0.25">
      <c r="A785" t="s">
        <v>38</v>
      </c>
      <c r="B785">
        <v>7172011003002900</v>
      </c>
      <c r="C785">
        <v>102</v>
      </c>
      <c r="D785">
        <v>43</v>
      </c>
      <c r="E785">
        <v>2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54</v>
      </c>
      <c r="L785">
        <v>0</v>
      </c>
      <c r="M785">
        <f>region_summary__54[[#This Row],[REJECTED BY Admin Kabupaten]]+region_summary__54[[#This Row],[REJECTED BY Pengawas]]</f>
        <v>0</v>
      </c>
    </row>
    <row r="786" spans="1:13" x14ac:dyDescent="0.25">
      <c r="A786" t="s">
        <v>38</v>
      </c>
      <c r="B786">
        <v>7172011003002801</v>
      </c>
      <c r="C786">
        <v>93</v>
      </c>
      <c r="D786">
        <v>0</v>
      </c>
      <c r="E786">
        <v>0</v>
      </c>
      <c r="F786">
        <v>0</v>
      </c>
      <c r="G786">
        <v>93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f>region_summary__54[[#This Row],[REJECTED BY Admin Kabupaten]]+region_summary__54[[#This Row],[REJECTED BY Pengawas]]</f>
        <v>0</v>
      </c>
    </row>
    <row r="787" spans="1:13" x14ac:dyDescent="0.25">
      <c r="A787" t="s">
        <v>38</v>
      </c>
      <c r="B787">
        <v>7172011003002802</v>
      </c>
      <c r="C787">
        <v>71</v>
      </c>
      <c r="D787">
        <v>0</v>
      </c>
      <c r="E787">
        <v>0</v>
      </c>
      <c r="F787">
        <v>0</v>
      </c>
      <c r="G787">
        <v>71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f>region_summary__54[[#This Row],[REJECTED BY Admin Kabupaten]]+region_summary__54[[#This Row],[REJECTED BY Pengawas]]</f>
        <v>0</v>
      </c>
    </row>
    <row r="788" spans="1:13" x14ac:dyDescent="0.25">
      <c r="A788" t="s">
        <v>31</v>
      </c>
      <c r="B788">
        <v>7172011003001100</v>
      </c>
      <c r="C788">
        <v>264</v>
      </c>
      <c r="D788">
        <v>178</v>
      </c>
      <c r="E788">
        <v>1</v>
      </c>
      <c r="F788">
        <v>1</v>
      </c>
      <c r="G788">
        <v>83</v>
      </c>
      <c r="H788">
        <v>0</v>
      </c>
      <c r="I788">
        <v>0</v>
      </c>
      <c r="J788">
        <v>0</v>
      </c>
      <c r="K788">
        <v>1</v>
      </c>
      <c r="L788">
        <v>0</v>
      </c>
      <c r="M788">
        <f>region_summary__54[[#This Row],[REJECTED BY Admin Kabupaten]]+region_summary__54[[#This Row],[REJECTED BY Pengawas]]</f>
        <v>0</v>
      </c>
    </row>
    <row r="789" spans="1:13" x14ac:dyDescent="0.25">
      <c r="A789" t="s">
        <v>31</v>
      </c>
      <c r="B789">
        <v>7172011003003600</v>
      </c>
      <c r="C789">
        <v>250</v>
      </c>
      <c r="D789">
        <v>106</v>
      </c>
      <c r="E789">
        <v>2</v>
      </c>
      <c r="F789">
        <v>0</v>
      </c>
      <c r="G789">
        <v>92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f>region_summary__54[[#This Row],[REJECTED BY Admin Kabupaten]]+region_summary__54[[#This Row],[REJECTED BY Pengawas]]</f>
        <v>0</v>
      </c>
    </row>
    <row r="790" spans="1:13" x14ac:dyDescent="0.25">
      <c r="A790" t="s">
        <v>31</v>
      </c>
      <c r="B790">
        <v>7172011003000201</v>
      </c>
      <c r="C790">
        <v>128</v>
      </c>
      <c r="D790">
        <v>49</v>
      </c>
      <c r="E790">
        <v>0</v>
      </c>
      <c r="F790">
        <v>0</v>
      </c>
      <c r="G790">
        <v>60</v>
      </c>
      <c r="H790">
        <v>0</v>
      </c>
      <c r="I790">
        <v>2</v>
      </c>
      <c r="J790">
        <v>0</v>
      </c>
      <c r="K790">
        <v>17</v>
      </c>
      <c r="L790">
        <v>0</v>
      </c>
      <c r="M790">
        <f>region_summary__54[[#This Row],[REJECTED BY Admin Kabupaten]]+region_summary__54[[#This Row],[REJECTED BY Pengawas]]</f>
        <v>2</v>
      </c>
    </row>
    <row r="791" spans="1:13" x14ac:dyDescent="0.25">
      <c r="A791" t="s">
        <v>31</v>
      </c>
      <c r="B791">
        <v>7172011003002403</v>
      </c>
      <c r="C791">
        <v>39</v>
      </c>
      <c r="D791">
        <v>0</v>
      </c>
      <c r="E791">
        <v>1</v>
      </c>
      <c r="F791">
        <v>0</v>
      </c>
      <c r="G791">
        <v>32</v>
      </c>
      <c r="H791">
        <v>0</v>
      </c>
      <c r="I791">
        <v>0</v>
      </c>
      <c r="J791">
        <v>0</v>
      </c>
      <c r="K791">
        <v>6</v>
      </c>
      <c r="L791">
        <v>0</v>
      </c>
      <c r="M791">
        <f>region_summary__54[[#This Row],[REJECTED BY Admin Kabupaten]]+region_summary__54[[#This Row],[REJECTED BY Pengawas]]</f>
        <v>0</v>
      </c>
    </row>
    <row r="792" spans="1:13" x14ac:dyDescent="0.25">
      <c r="A792" t="s">
        <v>39</v>
      </c>
      <c r="B792">
        <v>7172011004000100</v>
      </c>
      <c r="C792">
        <v>176</v>
      </c>
      <c r="D792">
        <v>120</v>
      </c>
      <c r="E792">
        <v>29</v>
      </c>
      <c r="F792">
        <v>2</v>
      </c>
      <c r="G792">
        <v>18</v>
      </c>
      <c r="H792">
        <v>0</v>
      </c>
      <c r="I792">
        <v>0</v>
      </c>
      <c r="J792">
        <v>0</v>
      </c>
      <c r="K792">
        <v>7</v>
      </c>
      <c r="L792">
        <v>0</v>
      </c>
      <c r="M792">
        <f>region_summary__54[[#This Row],[REJECTED BY Admin Kabupaten]]+region_summary__54[[#This Row],[REJECTED BY Pengawas]]</f>
        <v>0</v>
      </c>
    </row>
    <row r="793" spans="1:13" x14ac:dyDescent="0.25">
      <c r="A793" t="s">
        <v>39</v>
      </c>
      <c r="B793">
        <v>7172011004000200</v>
      </c>
      <c r="C793">
        <v>119</v>
      </c>
      <c r="D793">
        <v>35</v>
      </c>
      <c r="E793">
        <v>15</v>
      </c>
      <c r="F793">
        <v>0</v>
      </c>
      <c r="G793">
        <v>56</v>
      </c>
      <c r="H793">
        <v>0</v>
      </c>
      <c r="I793">
        <v>0</v>
      </c>
      <c r="J793">
        <v>0</v>
      </c>
      <c r="K793">
        <v>13</v>
      </c>
      <c r="L793">
        <v>0</v>
      </c>
      <c r="M793">
        <f>region_summary__54[[#This Row],[REJECTED BY Admin Kabupaten]]+region_summary__54[[#This Row],[REJECTED BY Pengawas]]</f>
        <v>0</v>
      </c>
    </row>
    <row r="794" spans="1:13" x14ac:dyDescent="0.25">
      <c r="A794" t="s">
        <v>39</v>
      </c>
      <c r="B794">
        <v>7172011004000600</v>
      </c>
      <c r="C794">
        <v>119</v>
      </c>
      <c r="D794">
        <v>0</v>
      </c>
      <c r="E794">
        <v>0</v>
      </c>
      <c r="F794">
        <v>0</v>
      </c>
      <c r="G794">
        <v>118</v>
      </c>
      <c r="H794">
        <v>0</v>
      </c>
      <c r="I794">
        <v>0</v>
      </c>
      <c r="J794">
        <v>0</v>
      </c>
      <c r="K794">
        <v>1</v>
      </c>
      <c r="L794">
        <v>0</v>
      </c>
      <c r="M794">
        <f>region_summary__54[[#This Row],[REJECTED BY Admin Kabupaten]]+region_summary__54[[#This Row],[REJECTED BY Pengawas]]</f>
        <v>0</v>
      </c>
    </row>
    <row r="795" spans="1:13" x14ac:dyDescent="0.25">
      <c r="A795" t="s">
        <v>39</v>
      </c>
      <c r="B795">
        <v>7172011004000500</v>
      </c>
      <c r="C795">
        <v>112</v>
      </c>
      <c r="D795">
        <v>0</v>
      </c>
      <c r="E795">
        <v>7</v>
      </c>
      <c r="F795">
        <v>0</v>
      </c>
      <c r="G795">
        <v>78</v>
      </c>
      <c r="H795">
        <v>0</v>
      </c>
      <c r="I795">
        <v>0</v>
      </c>
      <c r="J795">
        <v>0</v>
      </c>
      <c r="K795">
        <v>27</v>
      </c>
      <c r="L795">
        <v>0</v>
      </c>
      <c r="M795">
        <f>region_summary__54[[#This Row],[REJECTED BY Admin Kabupaten]]+region_summary__54[[#This Row],[REJECTED BY Pengawas]]</f>
        <v>0</v>
      </c>
    </row>
    <row r="796" spans="1:13" x14ac:dyDescent="0.25">
      <c r="A796" t="s">
        <v>39</v>
      </c>
      <c r="B796">
        <v>7172011004000400</v>
      </c>
      <c r="C796">
        <v>99</v>
      </c>
      <c r="D796">
        <v>97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f>region_summary__54[[#This Row],[REJECTED BY Admin Kabupaten]]+region_summary__54[[#This Row],[REJECTED BY Pengawas]]</f>
        <v>0</v>
      </c>
    </row>
    <row r="797" spans="1:13" x14ac:dyDescent="0.25">
      <c r="A797" t="s">
        <v>39</v>
      </c>
      <c r="B797">
        <v>7172011004000300</v>
      </c>
      <c r="C797">
        <v>78</v>
      </c>
      <c r="D797">
        <v>68</v>
      </c>
      <c r="E797">
        <v>5</v>
      </c>
      <c r="F797">
        <v>0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f>region_summary__54[[#This Row],[REJECTED BY Admin Kabupaten]]+region_summary__54[[#This Row],[REJECTED BY Pengawas]]</f>
        <v>1</v>
      </c>
    </row>
    <row r="798" spans="1:13" x14ac:dyDescent="0.25">
      <c r="A798" t="s">
        <v>41</v>
      </c>
      <c r="B798">
        <v>7172011004001800</v>
      </c>
      <c r="C798">
        <v>273</v>
      </c>
      <c r="D798">
        <v>244</v>
      </c>
      <c r="E798">
        <v>5</v>
      </c>
      <c r="F798">
        <v>1</v>
      </c>
      <c r="G798">
        <v>17</v>
      </c>
      <c r="H798">
        <v>0</v>
      </c>
      <c r="I798">
        <v>0</v>
      </c>
      <c r="J798">
        <v>1</v>
      </c>
      <c r="K798">
        <v>5</v>
      </c>
      <c r="L798">
        <v>0</v>
      </c>
      <c r="M798">
        <f>region_summary__54[[#This Row],[REJECTED BY Admin Kabupaten]]+region_summary__54[[#This Row],[REJECTED BY Pengawas]]</f>
        <v>0</v>
      </c>
    </row>
    <row r="799" spans="1:13" x14ac:dyDescent="0.25">
      <c r="A799" t="s">
        <v>41</v>
      </c>
      <c r="B799">
        <v>7172011004001500</v>
      </c>
      <c r="C799">
        <v>153</v>
      </c>
      <c r="D799">
        <v>133</v>
      </c>
      <c r="E799">
        <v>1</v>
      </c>
      <c r="F799">
        <v>4</v>
      </c>
      <c r="G799">
        <v>0</v>
      </c>
      <c r="H799">
        <v>0</v>
      </c>
      <c r="I799">
        <v>0</v>
      </c>
      <c r="J799">
        <v>1</v>
      </c>
      <c r="K799">
        <v>14</v>
      </c>
      <c r="L799">
        <v>0</v>
      </c>
      <c r="M799">
        <f>region_summary__54[[#This Row],[REJECTED BY Admin Kabupaten]]+region_summary__54[[#This Row],[REJECTED BY Pengawas]]</f>
        <v>0</v>
      </c>
    </row>
    <row r="800" spans="1:13" x14ac:dyDescent="0.25">
      <c r="A800" t="s">
        <v>41</v>
      </c>
      <c r="B800">
        <v>7172011004001300</v>
      </c>
      <c r="C800">
        <v>116</v>
      </c>
      <c r="D800">
        <v>9</v>
      </c>
      <c r="E800">
        <v>21</v>
      </c>
      <c r="F800">
        <v>0</v>
      </c>
      <c r="G800">
        <v>51</v>
      </c>
      <c r="H800">
        <v>0</v>
      </c>
      <c r="I800">
        <v>0</v>
      </c>
      <c r="J800">
        <v>0</v>
      </c>
      <c r="K800">
        <v>35</v>
      </c>
      <c r="L800">
        <v>0</v>
      </c>
      <c r="M800">
        <f>region_summary__54[[#This Row],[REJECTED BY Admin Kabupaten]]+region_summary__54[[#This Row],[REJECTED BY Pengawas]]</f>
        <v>0</v>
      </c>
    </row>
    <row r="801" spans="1:13" x14ac:dyDescent="0.25">
      <c r="A801" t="s">
        <v>41</v>
      </c>
      <c r="B801">
        <v>7172011004001900</v>
      </c>
      <c r="C801">
        <v>103</v>
      </c>
      <c r="D801">
        <v>67</v>
      </c>
      <c r="E801">
        <v>9</v>
      </c>
      <c r="F801">
        <v>2</v>
      </c>
      <c r="G801">
        <v>23</v>
      </c>
      <c r="H801">
        <v>0</v>
      </c>
      <c r="I801">
        <v>0</v>
      </c>
      <c r="J801">
        <v>0</v>
      </c>
      <c r="K801">
        <v>2</v>
      </c>
      <c r="L801">
        <v>0</v>
      </c>
      <c r="M801">
        <f>region_summary__54[[#This Row],[REJECTED BY Admin Kabupaten]]+region_summary__54[[#This Row],[REJECTED BY Pengawas]]</f>
        <v>0</v>
      </c>
    </row>
    <row r="802" spans="1:13" x14ac:dyDescent="0.25">
      <c r="A802" t="s">
        <v>41</v>
      </c>
      <c r="B802">
        <v>7172011004001600</v>
      </c>
      <c r="C802">
        <v>83</v>
      </c>
      <c r="D802">
        <v>3</v>
      </c>
      <c r="E802">
        <v>0</v>
      </c>
      <c r="F802">
        <v>0</v>
      </c>
      <c r="G802">
        <v>78</v>
      </c>
      <c r="H802">
        <v>0</v>
      </c>
      <c r="I802">
        <v>0</v>
      </c>
      <c r="J802">
        <v>0</v>
      </c>
      <c r="K802">
        <v>2</v>
      </c>
      <c r="L802">
        <v>0</v>
      </c>
      <c r="M802">
        <f>region_summary__54[[#This Row],[REJECTED BY Admin Kabupaten]]+region_summary__54[[#This Row],[REJECTED BY Pengawas]]</f>
        <v>0</v>
      </c>
    </row>
    <row r="803" spans="1:13" x14ac:dyDescent="0.25">
      <c r="A803" t="s">
        <v>41</v>
      </c>
      <c r="B803">
        <v>7172011004001700</v>
      </c>
      <c r="C803">
        <v>82</v>
      </c>
      <c r="D803">
        <v>48</v>
      </c>
      <c r="E803">
        <v>4</v>
      </c>
      <c r="F803">
        <v>1</v>
      </c>
      <c r="G803">
        <v>23</v>
      </c>
      <c r="H803">
        <v>0</v>
      </c>
      <c r="I803">
        <v>0</v>
      </c>
      <c r="J803">
        <v>0</v>
      </c>
      <c r="K803">
        <v>6</v>
      </c>
      <c r="L803">
        <v>0</v>
      </c>
      <c r="M803">
        <f>region_summary__54[[#This Row],[REJECTED BY Admin Kabupaten]]+region_summary__54[[#This Row],[REJECTED BY Pengawas]]</f>
        <v>0</v>
      </c>
    </row>
    <row r="804" spans="1:13" x14ac:dyDescent="0.25">
      <c r="A804" t="s">
        <v>41</v>
      </c>
      <c r="B804">
        <v>7172011004000800</v>
      </c>
      <c r="C804">
        <v>66</v>
      </c>
      <c r="D804">
        <v>0</v>
      </c>
      <c r="E804">
        <v>1</v>
      </c>
      <c r="F804">
        <v>0</v>
      </c>
      <c r="G804">
        <v>65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f>region_summary__54[[#This Row],[REJECTED BY Admin Kabupaten]]+region_summary__54[[#This Row],[REJECTED BY Pengawas]]</f>
        <v>0</v>
      </c>
    </row>
    <row r="805" spans="1:13" x14ac:dyDescent="0.25">
      <c r="A805" t="s">
        <v>42</v>
      </c>
      <c r="B805">
        <v>7172011014001300</v>
      </c>
      <c r="C805">
        <v>175</v>
      </c>
      <c r="D805">
        <v>16</v>
      </c>
      <c r="E805">
        <v>0</v>
      </c>
      <c r="F805">
        <v>0</v>
      </c>
      <c r="G805">
        <v>126</v>
      </c>
      <c r="H805">
        <v>0</v>
      </c>
      <c r="I805">
        <v>0</v>
      </c>
      <c r="J805">
        <v>0</v>
      </c>
      <c r="K805">
        <v>33</v>
      </c>
      <c r="L805">
        <v>0</v>
      </c>
      <c r="M805">
        <f>region_summary__54[[#This Row],[REJECTED BY Admin Kabupaten]]+region_summary__54[[#This Row],[REJECTED BY Pengawas]]</f>
        <v>0</v>
      </c>
    </row>
    <row r="806" spans="1:13" x14ac:dyDescent="0.25">
      <c r="A806" t="s">
        <v>42</v>
      </c>
      <c r="B806">
        <v>7172011014001600</v>
      </c>
      <c r="C806">
        <v>127</v>
      </c>
      <c r="D806">
        <v>88</v>
      </c>
      <c r="E806">
        <v>30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5</v>
      </c>
      <c r="L806">
        <v>0</v>
      </c>
      <c r="M806">
        <f>region_summary__54[[#This Row],[REJECTED BY Admin Kabupaten]]+region_summary__54[[#This Row],[REJECTED BY Pengawas]]</f>
        <v>0</v>
      </c>
    </row>
    <row r="807" spans="1:13" x14ac:dyDescent="0.25">
      <c r="A807" t="s">
        <v>42</v>
      </c>
      <c r="B807">
        <v>7172011014001703</v>
      </c>
      <c r="C807">
        <v>94</v>
      </c>
      <c r="D807">
        <v>84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6</v>
      </c>
      <c r="L807">
        <v>0</v>
      </c>
      <c r="M807">
        <f>region_summary__54[[#This Row],[REJECTED BY Admin Kabupaten]]+region_summary__54[[#This Row],[REJECTED BY Pengawas]]</f>
        <v>0</v>
      </c>
    </row>
    <row r="808" spans="1:13" x14ac:dyDescent="0.25">
      <c r="A808" t="s">
        <v>42</v>
      </c>
      <c r="B808">
        <v>7172011014001400</v>
      </c>
      <c r="C808">
        <v>90</v>
      </c>
      <c r="D808">
        <v>1</v>
      </c>
      <c r="E808">
        <v>0</v>
      </c>
      <c r="F808">
        <v>0</v>
      </c>
      <c r="G808">
        <v>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f>region_summary__54[[#This Row],[REJECTED BY Admin Kabupaten]]+region_summary__54[[#This Row],[REJECTED BY Pengawas]]</f>
        <v>0</v>
      </c>
    </row>
    <row r="809" spans="1:13" x14ac:dyDescent="0.25">
      <c r="A809" t="s">
        <v>42</v>
      </c>
      <c r="B809">
        <v>7172011014001701</v>
      </c>
      <c r="C809">
        <v>84</v>
      </c>
      <c r="D809">
        <v>23</v>
      </c>
      <c r="E809">
        <v>3</v>
      </c>
      <c r="F809">
        <v>0</v>
      </c>
      <c r="G809">
        <v>19</v>
      </c>
      <c r="H809">
        <v>0</v>
      </c>
      <c r="I809">
        <v>0</v>
      </c>
      <c r="J809">
        <v>0</v>
      </c>
      <c r="K809">
        <v>39</v>
      </c>
      <c r="L809">
        <v>0</v>
      </c>
      <c r="M809">
        <f>region_summary__54[[#This Row],[REJECTED BY Admin Kabupaten]]+region_summary__54[[#This Row],[REJECTED BY Pengawas]]</f>
        <v>0</v>
      </c>
    </row>
    <row r="810" spans="1:13" x14ac:dyDescent="0.25">
      <c r="A810" t="s">
        <v>42</v>
      </c>
      <c r="B810">
        <v>7172011014001500</v>
      </c>
      <c r="C810">
        <v>78</v>
      </c>
      <c r="D810">
        <v>13</v>
      </c>
      <c r="E810">
        <v>11</v>
      </c>
      <c r="F810">
        <v>0</v>
      </c>
      <c r="G810">
        <v>14</v>
      </c>
      <c r="H810">
        <v>0</v>
      </c>
      <c r="I810">
        <v>20</v>
      </c>
      <c r="J810">
        <v>1</v>
      </c>
      <c r="K810">
        <v>19</v>
      </c>
      <c r="L810">
        <v>0</v>
      </c>
      <c r="M810">
        <f>region_summary__54[[#This Row],[REJECTED BY Admin Kabupaten]]+region_summary__54[[#This Row],[REJECTED BY Pengawas]]</f>
        <v>20</v>
      </c>
    </row>
    <row r="811" spans="1:13" x14ac:dyDescent="0.25">
      <c r="A811" t="s">
        <v>42</v>
      </c>
      <c r="B811">
        <v>7172011004001400</v>
      </c>
      <c r="C811">
        <v>45</v>
      </c>
      <c r="D811">
        <v>38</v>
      </c>
      <c r="E811">
        <v>0</v>
      </c>
      <c r="F811">
        <v>0</v>
      </c>
      <c r="G811">
        <v>6</v>
      </c>
      <c r="H811">
        <v>0</v>
      </c>
      <c r="I811">
        <v>1</v>
      </c>
      <c r="J811">
        <v>0</v>
      </c>
      <c r="K811">
        <v>0</v>
      </c>
      <c r="L811">
        <v>0</v>
      </c>
      <c r="M811">
        <f>region_summary__54[[#This Row],[REJECTED BY Admin Kabupaten]]+region_summary__54[[#This Row],[REJECTED BY Pengawas]]</f>
        <v>1</v>
      </c>
    </row>
    <row r="812" spans="1:13" x14ac:dyDescent="0.25">
      <c r="A812" t="s">
        <v>44</v>
      </c>
      <c r="B812">
        <v>7172011012000700</v>
      </c>
      <c r="C812">
        <v>168</v>
      </c>
      <c r="D812">
        <v>120</v>
      </c>
      <c r="E812">
        <v>7</v>
      </c>
      <c r="F812">
        <v>3</v>
      </c>
      <c r="G812">
        <v>34</v>
      </c>
      <c r="H812">
        <v>0</v>
      </c>
      <c r="I812">
        <v>4</v>
      </c>
      <c r="J812">
        <v>0</v>
      </c>
      <c r="K812">
        <v>0</v>
      </c>
      <c r="L812">
        <v>0</v>
      </c>
      <c r="M812">
        <f>region_summary__54[[#This Row],[REJECTED BY Admin Kabupaten]]+region_summary__54[[#This Row],[REJECTED BY Pengawas]]</f>
        <v>4</v>
      </c>
    </row>
    <row r="813" spans="1:13" x14ac:dyDescent="0.25">
      <c r="A813" t="s">
        <v>44</v>
      </c>
      <c r="B813">
        <v>7172011012000200</v>
      </c>
      <c r="C813">
        <v>125</v>
      </c>
      <c r="D813">
        <v>79</v>
      </c>
      <c r="E813">
        <v>3</v>
      </c>
      <c r="F813">
        <v>3</v>
      </c>
      <c r="G813">
        <v>40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f>region_summary__54[[#This Row],[REJECTED BY Admin Kabupaten]]+region_summary__54[[#This Row],[REJECTED BY Pengawas]]</f>
        <v>0</v>
      </c>
    </row>
    <row r="814" spans="1:13" x14ac:dyDescent="0.25">
      <c r="A814" t="s">
        <v>44</v>
      </c>
      <c r="B814">
        <v>7172011012000400</v>
      </c>
      <c r="C814">
        <v>90</v>
      </c>
      <c r="D814">
        <v>47</v>
      </c>
      <c r="E814">
        <v>0</v>
      </c>
      <c r="F814">
        <v>0</v>
      </c>
      <c r="G814">
        <v>42</v>
      </c>
      <c r="H814">
        <v>0</v>
      </c>
      <c r="I814">
        <v>1</v>
      </c>
      <c r="J814">
        <v>0</v>
      </c>
      <c r="K814">
        <v>0</v>
      </c>
      <c r="L814">
        <v>0</v>
      </c>
      <c r="M814">
        <f>region_summary__54[[#This Row],[REJECTED BY Admin Kabupaten]]+region_summary__54[[#This Row],[REJECTED BY Pengawas]]</f>
        <v>1</v>
      </c>
    </row>
    <row r="815" spans="1:13" x14ac:dyDescent="0.25">
      <c r="A815" t="s">
        <v>44</v>
      </c>
      <c r="B815">
        <v>7172011012000300</v>
      </c>
      <c r="C815">
        <v>71</v>
      </c>
      <c r="D815">
        <v>41</v>
      </c>
      <c r="E815">
        <v>0</v>
      </c>
      <c r="F815">
        <v>1</v>
      </c>
      <c r="G815">
        <v>29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>region_summary__54[[#This Row],[REJECTED BY Admin Kabupaten]]+region_summary__54[[#This Row],[REJECTED BY Pengawas]]</f>
        <v>0</v>
      </c>
    </row>
    <row r="816" spans="1:13" x14ac:dyDescent="0.25">
      <c r="A816" t="s">
        <v>44</v>
      </c>
      <c r="B816">
        <v>7172011012000500</v>
      </c>
      <c r="C816">
        <v>47</v>
      </c>
      <c r="D816">
        <v>2</v>
      </c>
      <c r="E816">
        <v>0</v>
      </c>
      <c r="F816">
        <v>0</v>
      </c>
      <c r="G816">
        <v>45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>region_summary__54[[#This Row],[REJECTED BY Admin Kabupaten]]+region_summary__54[[#This Row],[REJECTED BY Pengawas]]</f>
        <v>0</v>
      </c>
    </row>
    <row r="817" spans="1:13" x14ac:dyDescent="0.25">
      <c r="A817" t="s">
        <v>45</v>
      </c>
      <c r="B817">
        <v>7172011012001100</v>
      </c>
      <c r="C817">
        <v>176</v>
      </c>
      <c r="D817">
        <v>29</v>
      </c>
      <c r="E817">
        <v>0</v>
      </c>
      <c r="F817">
        <v>0</v>
      </c>
      <c r="G817">
        <v>147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f>region_summary__54[[#This Row],[REJECTED BY Admin Kabupaten]]+region_summary__54[[#This Row],[REJECTED BY Pengawas]]</f>
        <v>0</v>
      </c>
    </row>
    <row r="818" spans="1:13" x14ac:dyDescent="0.25">
      <c r="A818" t="s">
        <v>45</v>
      </c>
      <c r="B818">
        <v>7172011012001300</v>
      </c>
      <c r="C818">
        <v>134</v>
      </c>
      <c r="D818">
        <v>103</v>
      </c>
      <c r="E818">
        <v>8</v>
      </c>
      <c r="F818">
        <v>2</v>
      </c>
      <c r="G818">
        <v>20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f>region_summary__54[[#This Row],[REJECTED BY Admin Kabupaten]]+region_summary__54[[#This Row],[REJECTED BY Pengawas]]</f>
        <v>1</v>
      </c>
    </row>
    <row r="819" spans="1:13" x14ac:dyDescent="0.25">
      <c r="A819" t="s">
        <v>45</v>
      </c>
      <c r="B819">
        <v>7172011012001200</v>
      </c>
      <c r="C819">
        <v>132</v>
      </c>
      <c r="D819">
        <v>39</v>
      </c>
      <c r="E819">
        <v>4</v>
      </c>
      <c r="F819">
        <v>1</v>
      </c>
      <c r="G819">
        <v>88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f>region_summary__54[[#This Row],[REJECTED BY Admin Kabupaten]]+region_summary__54[[#This Row],[REJECTED BY Pengawas]]</f>
        <v>0</v>
      </c>
    </row>
    <row r="820" spans="1:13" x14ac:dyDescent="0.25">
      <c r="A820" t="s">
        <v>45</v>
      </c>
      <c r="B820">
        <v>7172011012001000</v>
      </c>
      <c r="C820">
        <v>120</v>
      </c>
      <c r="D820">
        <v>25</v>
      </c>
      <c r="E820">
        <v>1</v>
      </c>
      <c r="F820">
        <v>0</v>
      </c>
      <c r="G820">
        <v>75</v>
      </c>
      <c r="H820">
        <v>0</v>
      </c>
      <c r="I820">
        <v>0</v>
      </c>
      <c r="J820">
        <v>0</v>
      </c>
      <c r="K820">
        <v>19</v>
      </c>
      <c r="L820">
        <v>0</v>
      </c>
      <c r="M820">
        <f>region_summary__54[[#This Row],[REJECTED BY Admin Kabupaten]]+region_summary__54[[#This Row],[REJECTED BY Pengawas]]</f>
        <v>0</v>
      </c>
    </row>
    <row r="821" spans="1:13" x14ac:dyDescent="0.25">
      <c r="A821" t="s">
        <v>45</v>
      </c>
      <c r="B821">
        <v>7172011013000200</v>
      </c>
      <c r="C821">
        <v>60</v>
      </c>
      <c r="D821">
        <v>48</v>
      </c>
      <c r="E821">
        <v>2</v>
      </c>
      <c r="F821">
        <v>4</v>
      </c>
      <c r="G821">
        <v>2</v>
      </c>
      <c r="H821">
        <v>2</v>
      </c>
      <c r="I821">
        <v>2</v>
      </c>
      <c r="J821">
        <v>0</v>
      </c>
      <c r="K821">
        <v>0</v>
      </c>
      <c r="L821">
        <v>0</v>
      </c>
      <c r="M821">
        <f>region_summary__54[[#This Row],[REJECTED BY Admin Kabupaten]]+region_summary__54[[#This Row],[REJECTED BY Pengawas]]</f>
        <v>4</v>
      </c>
    </row>
    <row r="822" spans="1:13" x14ac:dyDescent="0.25">
      <c r="A822" t="s">
        <v>45</v>
      </c>
      <c r="B822">
        <v>7172011013000100</v>
      </c>
      <c r="C822">
        <v>59</v>
      </c>
      <c r="D822">
        <v>52</v>
      </c>
      <c r="E822">
        <v>1</v>
      </c>
      <c r="F822">
        <v>4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f>region_summary__54[[#This Row],[REJECTED BY Admin Kabupaten]]+region_summary__54[[#This Row],[REJECTED BY Pengawas]]</f>
        <v>0</v>
      </c>
    </row>
    <row r="823" spans="1:13" x14ac:dyDescent="0.25">
      <c r="A823" t="s">
        <v>45</v>
      </c>
      <c r="B823">
        <v>7172011012200100</v>
      </c>
      <c r="C823">
        <v>2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f>region_summary__54[[#This Row],[REJECTED BY Admin Kabupaten]]+region_summary__54[[#This Row],[REJECTED BY Pengawas]]</f>
        <v>0</v>
      </c>
    </row>
    <row r="824" spans="1:13" x14ac:dyDescent="0.25">
      <c r="A824" t="s">
        <v>50</v>
      </c>
      <c r="B824">
        <v>7172012001000300</v>
      </c>
      <c r="C824">
        <v>173</v>
      </c>
      <c r="D824">
        <v>0</v>
      </c>
      <c r="E824">
        <v>3</v>
      </c>
      <c r="F824">
        <v>0</v>
      </c>
      <c r="G824">
        <v>133</v>
      </c>
      <c r="H824">
        <v>0</v>
      </c>
      <c r="I824">
        <v>0</v>
      </c>
      <c r="J824">
        <v>0</v>
      </c>
      <c r="K824">
        <v>37</v>
      </c>
      <c r="L824">
        <v>0</v>
      </c>
      <c r="M824">
        <f>region_summary__54[[#This Row],[REJECTED BY Admin Kabupaten]]+region_summary__54[[#This Row],[REJECTED BY Pengawas]]</f>
        <v>0</v>
      </c>
    </row>
    <row r="825" spans="1:13" x14ac:dyDescent="0.25">
      <c r="A825" t="s">
        <v>50</v>
      </c>
      <c r="B825">
        <v>7172012001000200</v>
      </c>
      <c r="C825">
        <v>155</v>
      </c>
      <c r="D825">
        <v>18</v>
      </c>
      <c r="E825">
        <v>9</v>
      </c>
      <c r="F825">
        <v>0</v>
      </c>
      <c r="G825">
        <v>54</v>
      </c>
      <c r="H825">
        <v>0</v>
      </c>
      <c r="I825">
        <v>4</v>
      </c>
      <c r="J825">
        <v>0</v>
      </c>
      <c r="K825">
        <v>70</v>
      </c>
      <c r="L825">
        <v>0</v>
      </c>
      <c r="M825">
        <f>region_summary__54[[#This Row],[REJECTED BY Admin Kabupaten]]+region_summary__54[[#This Row],[REJECTED BY Pengawas]]</f>
        <v>4</v>
      </c>
    </row>
    <row r="826" spans="1:13" x14ac:dyDescent="0.25">
      <c r="A826" t="s">
        <v>50</v>
      </c>
      <c r="B826">
        <v>7172012001000900</v>
      </c>
      <c r="C826">
        <v>143</v>
      </c>
      <c r="D826">
        <v>91</v>
      </c>
      <c r="E826">
        <v>6</v>
      </c>
      <c r="F826">
        <v>2</v>
      </c>
      <c r="G826">
        <v>11</v>
      </c>
      <c r="H826">
        <v>0</v>
      </c>
      <c r="I826">
        <v>0</v>
      </c>
      <c r="J826">
        <v>0</v>
      </c>
      <c r="K826">
        <v>33</v>
      </c>
      <c r="L826">
        <v>0</v>
      </c>
      <c r="M826">
        <f>region_summary__54[[#This Row],[REJECTED BY Admin Kabupaten]]+region_summary__54[[#This Row],[REJECTED BY Pengawas]]</f>
        <v>0</v>
      </c>
    </row>
    <row r="827" spans="1:13" x14ac:dyDescent="0.25">
      <c r="A827" t="s">
        <v>50</v>
      </c>
      <c r="B827">
        <v>7172012001000400</v>
      </c>
      <c r="C827">
        <v>124</v>
      </c>
      <c r="D827">
        <v>0</v>
      </c>
      <c r="E827">
        <v>0</v>
      </c>
      <c r="F827">
        <v>0</v>
      </c>
      <c r="G827">
        <v>115</v>
      </c>
      <c r="H827">
        <v>0</v>
      </c>
      <c r="I827">
        <v>0</v>
      </c>
      <c r="J827">
        <v>0</v>
      </c>
      <c r="K827">
        <v>9</v>
      </c>
      <c r="L827">
        <v>0</v>
      </c>
      <c r="M827">
        <f>region_summary__54[[#This Row],[REJECTED BY Admin Kabupaten]]+region_summary__54[[#This Row],[REJECTED BY Pengawas]]</f>
        <v>0</v>
      </c>
    </row>
    <row r="828" spans="1:13" x14ac:dyDescent="0.25">
      <c r="A828" t="s">
        <v>50</v>
      </c>
      <c r="B828">
        <v>7172012001000800</v>
      </c>
      <c r="C828">
        <v>124</v>
      </c>
      <c r="D828">
        <v>94</v>
      </c>
      <c r="E828">
        <v>8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20</v>
      </c>
      <c r="L828">
        <v>0</v>
      </c>
      <c r="M828">
        <f>region_summary__54[[#This Row],[REJECTED BY Admin Kabupaten]]+region_summary__54[[#This Row],[REJECTED BY Pengawas]]</f>
        <v>0</v>
      </c>
    </row>
    <row r="829" spans="1:13" x14ac:dyDescent="0.25">
      <c r="A829" t="s">
        <v>54</v>
      </c>
      <c r="B829">
        <v>7172012002000600</v>
      </c>
      <c r="C829">
        <v>130</v>
      </c>
      <c r="D829">
        <v>124</v>
      </c>
      <c r="E829">
        <v>3</v>
      </c>
      <c r="F829">
        <v>2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f>region_summary__54[[#This Row],[REJECTED BY Admin Kabupaten]]+region_summary__54[[#This Row],[REJECTED BY Pengawas]]</f>
        <v>0</v>
      </c>
    </row>
    <row r="830" spans="1:13" x14ac:dyDescent="0.25">
      <c r="A830" t="s">
        <v>54</v>
      </c>
      <c r="B830">
        <v>7172012002000401</v>
      </c>
      <c r="C830">
        <v>120</v>
      </c>
      <c r="D830">
        <v>10</v>
      </c>
      <c r="E830">
        <v>0</v>
      </c>
      <c r="F830">
        <v>0</v>
      </c>
      <c r="G830">
        <v>110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f>region_summary__54[[#This Row],[REJECTED BY Admin Kabupaten]]+region_summary__54[[#This Row],[REJECTED BY Pengawas]]</f>
        <v>0</v>
      </c>
    </row>
    <row r="831" spans="1:13" x14ac:dyDescent="0.25">
      <c r="A831" t="s">
        <v>54</v>
      </c>
      <c r="B831">
        <v>7172012002000300</v>
      </c>
      <c r="C831">
        <v>107</v>
      </c>
      <c r="D831">
        <v>86</v>
      </c>
      <c r="E831">
        <v>2</v>
      </c>
      <c r="F831">
        <v>0</v>
      </c>
      <c r="G831">
        <v>19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f>region_summary__54[[#This Row],[REJECTED BY Admin Kabupaten]]+region_summary__54[[#This Row],[REJECTED BY Pengawas]]</f>
        <v>0</v>
      </c>
    </row>
    <row r="832" spans="1:13" x14ac:dyDescent="0.25">
      <c r="A832" t="s">
        <v>54</v>
      </c>
      <c r="B832">
        <v>7172012002000800</v>
      </c>
      <c r="C832">
        <v>107</v>
      </c>
      <c r="D832">
        <v>28</v>
      </c>
      <c r="E832">
        <v>9</v>
      </c>
      <c r="F832">
        <v>1</v>
      </c>
      <c r="G832">
        <v>45</v>
      </c>
      <c r="H832">
        <v>0</v>
      </c>
      <c r="I832">
        <v>0</v>
      </c>
      <c r="J832">
        <v>0</v>
      </c>
      <c r="K832">
        <v>24</v>
      </c>
      <c r="L832">
        <v>0</v>
      </c>
      <c r="M832">
        <f>region_summary__54[[#This Row],[REJECTED BY Admin Kabupaten]]+region_summary__54[[#This Row],[REJECTED BY Pengawas]]</f>
        <v>0</v>
      </c>
    </row>
    <row r="833" spans="1:13" x14ac:dyDescent="0.25">
      <c r="A833" t="s">
        <v>54</v>
      </c>
      <c r="B833">
        <v>7172012002000402</v>
      </c>
      <c r="C833">
        <v>98</v>
      </c>
      <c r="D833">
        <v>19</v>
      </c>
      <c r="E833">
        <v>0</v>
      </c>
      <c r="F833">
        <v>0</v>
      </c>
      <c r="G833">
        <v>42</v>
      </c>
      <c r="H833">
        <v>0</v>
      </c>
      <c r="I833">
        <v>0</v>
      </c>
      <c r="J833">
        <v>0</v>
      </c>
      <c r="K833">
        <v>37</v>
      </c>
      <c r="L833">
        <v>0</v>
      </c>
      <c r="M833">
        <f>region_summary__54[[#This Row],[REJECTED BY Admin Kabupaten]]+region_summary__54[[#This Row],[REJECTED BY Pengawas]]</f>
        <v>0</v>
      </c>
    </row>
    <row r="834" spans="1:13" x14ac:dyDescent="0.25">
      <c r="A834" t="s">
        <v>54</v>
      </c>
      <c r="B834">
        <v>7172012002000700</v>
      </c>
      <c r="C834">
        <v>95</v>
      </c>
      <c r="D834">
        <v>39</v>
      </c>
      <c r="E834">
        <v>4</v>
      </c>
      <c r="F834">
        <v>1</v>
      </c>
      <c r="G834">
        <v>51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f>region_summary__54[[#This Row],[REJECTED BY Admin Kabupaten]]+region_summary__54[[#This Row],[REJECTED BY Pengawas]]</f>
        <v>0</v>
      </c>
    </row>
    <row r="835" spans="1:13" x14ac:dyDescent="0.25">
      <c r="A835" t="s">
        <v>229</v>
      </c>
      <c r="B835">
        <v>7172012002001301</v>
      </c>
      <c r="C835">
        <v>160</v>
      </c>
      <c r="D835">
        <v>101</v>
      </c>
      <c r="E835">
        <v>9</v>
      </c>
      <c r="F835">
        <v>0</v>
      </c>
      <c r="G835">
        <v>40</v>
      </c>
      <c r="H835">
        <v>0</v>
      </c>
      <c r="I835">
        <v>1</v>
      </c>
      <c r="J835">
        <v>0</v>
      </c>
      <c r="K835">
        <v>9</v>
      </c>
      <c r="L835">
        <v>0</v>
      </c>
      <c r="M835">
        <f>region_summary__54[[#This Row],[REJECTED BY Admin Kabupaten]]+region_summary__54[[#This Row],[REJECTED BY Pengawas]]</f>
        <v>1</v>
      </c>
    </row>
    <row r="836" spans="1:13" x14ac:dyDescent="0.25">
      <c r="A836" t="s">
        <v>229</v>
      </c>
      <c r="B836">
        <v>7172012002001302</v>
      </c>
      <c r="C836">
        <v>154</v>
      </c>
      <c r="D836">
        <v>130</v>
      </c>
      <c r="E836">
        <v>6</v>
      </c>
      <c r="F836">
        <v>4</v>
      </c>
      <c r="G836">
        <v>10</v>
      </c>
      <c r="H836">
        <v>0</v>
      </c>
      <c r="I836">
        <v>0</v>
      </c>
      <c r="J836">
        <v>0</v>
      </c>
      <c r="K836">
        <v>4</v>
      </c>
      <c r="L836">
        <v>0</v>
      </c>
      <c r="M836">
        <f>region_summary__54[[#This Row],[REJECTED BY Admin Kabupaten]]+region_summary__54[[#This Row],[REJECTED BY Pengawas]]</f>
        <v>0</v>
      </c>
    </row>
    <row r="837" spans="1:13" x14ac:dyDescent="0.25">
      <c r="A837" t="s">
        <v>229</v>
      </c>
      <c r="B837">
        <v>7172012002001500</v>
      </c>
      <c r="C837">
        <v>118</v>
      </c>
      <c r="D837">
        <v>14</v>
      </c>
      <c r="E837">
        <v>7</v>
      </c>
      <c r="F837">
        <v>0</v>
      </c>
      <c r="G837">
        <v>94</v>
      </c>
      <c r="H837">
        <v>0</v>
      </c>
      <c r="I837">
        <v>0</v>
      </c>
      <c r="J837">
        <v>0</v>
      </c>
      <c r="K837">
        <v>3</v>
      </c>
      <c r="L837">
        <v>0</v>
      </c>
      <c r="M837">
        <f>region_summary__54[[#This Row],[REJECTED BY Admin Kabupaten]]+region_summary__54[[#This Row],[REJECTED BY Pengawas]]</f>
        <v>0</v>
      </c>
    </row>
    <row r="838" spans="1:13" x14ac:dyDescent="0.25">
      <c r="A838" t="s">
        <v>229</v>
      </c>
      <c r="B838">
        <v>7172012002001400</v>
      </c>
      <c r="C838">
        <v>96</v>
      </c>
      <c r="D838">
        <v>13</v>
      </c>
      <c r="E838">
        <v>0</v>
      </c>
      <c r="F838">
        <v>0</v>
      </c>
      <c r="G838">
        <v>82</v>
      </c>
      <c r="H838">
        <v>0</v>
      </c>
      <c r="I838">
        <v>0</v>
      </c>
      <c r="J838">
        <v>0</v>
      </c>
      <c r="K838">
        <v>1</v>
      </c>
      <c r="L838">
        <v>0</v>
      </c>
      <c r="M838">
        <f>region_summary__54[[#This Row],[REJECTED BY Admin Kabupaten]]+region_summary__54[[#This Row],[REJECTED BY Pengawas]]</f>
        <v>0</v>
      </c>
    </row>
    <row r="839" spans="1:13" x14ac:dyDescent="0.25">
      <c r="A839" t="s">
        <v>229</v>
      </c>
      <c r="B839">
        <v>7172012002001700</v>
      </c>
      <c r="C839">
        <v>94</v>
      </c>
      <c r="D839">
        <v>8</v>
      </c>
      <c r="E839">
        <v>3</v>
      </c>
      <c r="F839">
        <v>0</v>
      </c>
      <c r="G839">
        <v>78</v>
      </c>
      <c r="H839">
        <v>0</v>
      </c>
      <c r="I839">
        <v>0</v>
      </c>
      <c r="J839">
        <v>0</v>
      </c>
      <c r="K839">
        <v>5</v>
      </c>
      <c r="L839">
        <v>0</v>
      </c>
      <c r="M839">
        <f>region_summary__54[[#This Row],[REJECTED BY Admin Kabupaten]]+region_summary__54[[#This Row],[REJECTED BY Pengawas]]</f>
        <v>0</v>
      </c>
    </row>
    <row r="840" spans="1:13" x14ac:dyDescent="0.25">
      <c r="A840" t="s">
        <v>229</v>
      </c>
      <c r="B840">
        <v>7172012002001800</v>
      </c>
      <c r="C840">
        <v>80</v>
      </c>
      <c r="D840">
        <v>12</v>
      </c>
      <c r="E840">
        <v>4</v>
      </c>
      <c r="F840">
        <v>0</v>
      </c>
      <c r="G840">
        <v>22</v>
      </c>
      <c r="H840">
        <v>0</v>
      </c>
      <c r="I840">
        <v>1</v>
      </c>
      <c r="J840">
        <v>0</v>
      </c>
      <c r="K840">
        <v>41</v>
      </c>
      <c r="L840">
        <v>0</v>
      </c>
      <c r="M840">
        <f>region_summary__54[[#This Row],[REJECTED BY Admin Kabupaten]]+region_summary__54[[#This Row],[REJECTED BY Pengawas]]</f>
        <v>1</v>
      </c>
    </row>
    <row r="841" spans="1:13" x14ac:dyDescent="0.25">
      <c r="A841" t="s">
        <v>63</v>
      </c>
      <c r="B841">
        <v>7172012004001701</v>
      </c>
      <c r="C841">
        <v>343</v>
      </c>
      <c r="D841">
        <v>184</v>
      </c>
      <c r="E841">
        <v>25</v>
      </c>
      <c r="F841">
        <v>7</v>
      </c>
      <c r="G841">
        <v>127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f>region_summary__54[[#This Row],[REJECTED BY Admin Kabupaten]]+region_summary__54[[#This Row],[REJECTED BY Pengawas]]</f>
        <v>0</v>
      </c>
    </row>
    <row r="842" spans="1:13" x14ac:dyDescent="0.25">
      <c r="A842" t="s">
        <v>63</v>
      </c>
      <c r="B842">
        <v>7172012004002000</v>
      </c>
      <c r="C842">
        <v>179</v>
      </c>
      <c r="D842">
        <v>17</v>
      </c>
      <c r="E842">
        <v>2</v>
      </c>
      <c r="F842">
        <v>0</v>
      </c>
      <c r="G842">
        <v>147</v>
      </c>
      <c r="H842">
        <v>0</v>
      </c>
      <c r="I842">
        <v>0</v>
      </c>
      <c r="J842">
        <v>0</v>
      </c>
      <c r="K842">
        <v>13</v>
      </c>
      <c r="L842">
        <v>0</v>
      </c>
      <c r="M842">
        <f>region_summary__54[[#This Row],[REJECTED BY Admin Kabupaten]]+region_summary__54[[#This Row],[REJECTED BY Pengawas]]</f>
        <v>0</v>
      </c>
    </row>
    <row r="843" spans="1:13" x14ac:dyDescent="0.25">
      <c r="A843" t="s">
        <v>63</v>
      </c>
      <c r="B843">
        <v>7172012004002102</v>
      </c>
      <c r="C843">
        <v>108</v>
      </c>
      <c r="D843">
        <v>14</v>
      </c>
      <c r="E843">
        <v>12</v>
      </c>
      <c r="F843">
        <v>0</v>
      </c>
      <c r="G843">
        <v>35</v>
      </c>
      <c r="H843">
        <v>0</v>
      </c>
      <c r="I843">
        <v>0</v>
      </c>
      <c r="J843">
        <v>0</v>
      </c>
      <c r="K843">
        <v>47</v>
      </c>
      <c r="L843">
        <v>0</v>
      </c>
      <c r="M843">
        <f>region_summary__54[[#This Row],[REJECTED BY Admin Kabupaten]]+region_summary__54[[#This Row],[REJECTED BY Pengawas]]</f>
        <v>0</v>
      </c>
    </row>
    <row r="844" spans="1:13" x14ac:dyDescent="0.25">
      <c r="A844" t="s">
        <v>63</v>
      </c>
      <c r="B844">
        <v>7172012004002402</v>
      </c>
      <c r="C844">
        <v>35</v>
      </c>
      <c r="D844">
        <v>29</v>
      </c>
      <c r="E844">
        <v>2</v>
      </c>
      <c r="F844">
        <v>2</v>
      </c>
      <c r="G844">
        <v>1</v>
      </c>
      <c r="H844">
        <v>0</v>
      </c>
      <c r="I844">
        <v>0</v>
      </c>
      <c r="J844">
        <v>0</v>
      </c>
      <c r="K844">
        <v>1</v>
      </c>
      <c r="L844">
        <v>0</v>
      </c>
      <c r="M844">
        <f>region_summary__54[[#This Row],[REJECTED BY Admin Kabupaten]]+region_summary__54[[#This Row],[REJECTED BY Pengawas]]</f>
        <v>0</v>
      </c>
    </row>
    <row r="845" spans="1:13" x14ac:dyDescent="0.25">
      <c r="A845" t="s">
        <v>64</v>
      </c>
      <c r="B845">
        <v>7172012004002300</v>
      </c>
      <c r="C845">
        <v>185</v>
      </c>
      <c r="D845">
        <v>8</v>
      </c>
      <c r="E845">
        <v>5</v>
      </c>
      <c r="F845">
        <v>0</v>
      </c>
      <c r="G845">
        <v>136</v>
      </c>
      <c r="H845">
        <v>0</v>
      </c>
      <c r="I845">
        <v>0</v>
      </c>
      <c r="J845">
        <v>0</v>
      </c>
      <c r="K845">
        <v>36</v>
      </c>
      <c r="L845">
        <v>0</v>
      </c>
      <c r="M845">
        <f>region_summary__54[[#This Row],[REJECTED BY Admin Kabupaten]]+region_summary__54[[#This Row],[REJECTED BY Pengawas]]</f>
        <v>0</v>
      </c>
    </row>
    <row r="846" spans="1:13" x14ac:dyDescent="0.25">
      <c r="A846" t="s">
        <v>64</v>
      </c>
      <c r="B846">
        <v>7172012004002200</v>
      </c>
      <c r="C846">
        <v>171</v>
      </c>
      <c r="D846">
        <v>114</v>
      </c>
      <c r="E846">
        <v>2</v>
      </c>
      <c r="F846">
        <v>1</v>
      </c>
      <c r="G846">
        <v>14</v>
      </c>
      <c r="H846">
        <v>0</v>
      </c>
      <c r="I846">
        <v>3</v>
      </c>
      <c r="J846">
        <v>0</v>
      </c>
      <c r="K846">
        <v>37</v>
      </c>
      <c r="L846">
        <v>0</v>
      </c>
      <c r="M846">
        <f>region_summary__54[[#This Row],[REJECTED BY Admin Kabupaten]]+region_summary__54[[#This Row],[REJECTED BY Pengawas]]</f>
        <v>3</v>
      </c>
    </row>
    <row r="847" spans="1:13" x14ac:dyDescent="0.25">
      <c r="A847" t="s">
        <v>64</v>
      </c>
      <c r="B847">
        <v>7172012004002500</v>
      </c>
      <c r="C847">
        <v>166</v>
      </c>
      <c r="D847">
        <v>77</v>
      </c>
      <c r="E847">
        <v>3</v>
      </c>
      <c r="F847">
        <v>1</v>
      </c>
      <c r="G847">
        <v>21</v>
      </c>
      <c r="H847">
        <v>0</v>
      </c>
      <c r="I847">
        <v>1</v>
      </c>
      <c r="J847">
        <v>0</v>
      </c>
      <c r="K847">
        <v>63</v>
      </c>
      <c r="L847">
        <v>0</v>
      </c>
      <c r="M847">
        <f>region_summary__54[[#This Row],[REJECTED BY Admin Kabupaten]]+region_summary__54[[#This Row],[REJECTED BY Pengawas]]</f>
        <v>1</v>
      </c>
    </row>
    <row r="848" spans="1:13" x14ac:dyDescent="0.25">
      <c r="A848" t="s">
        <v>64</v>
      </c>
      <c r="B848">
        <v>7172012004002401</v>
      </c>
      <c r="C848">
        <v>145</v>
      </c>
      <c r="D848">
        <v>108</v>
      </c>
      <c r="E848">
        <v>3</v>
      </c>
      <c r="F848">
        <v>0</v>
      </c>
      <c r="G848">
        <v>20</v>
      </c>
      <c r="H848">
        <v>0</v>
      </c>
      <c r="I848">
        <v>0</v>
      </c>
      <c r="J848">
        <v>0</v>
      </c>
      <c r="K848">
        <v>14</v>
      </c>
      <c r="L848">
        <v>0</v>
      </c>
      <c r="M848">
        <f>region_summary__54[[#This Row],[REJECTED BY Admin Kabupaten]]+region_summary__54[[#This Row],[REJECTED BY Pengawas]]</f>
        <v>0</v>
      </c>
    </row>
    <row r="849" spans="1:13" x14ac:dyDescent="0.25">
      <c r="A849" t="s">
        <v>67</v>
      </c>
      <c r="B849">
        <v>7172012005001400</v>
      </c>
      <c r="C849">
        <v>137</v>
      </c>
      <c r="D849">
        <v>53</v>
      </c>
      <c r="E849">
        <v>2</v>
      </c>
      <c r="F849">
        <v>0</v>
      </c>
      <c r="G849">
        <v>79</v>
      </c>
      <c r="H849">
        <v>0</v>
      </c>
      <c r="I849">
        <v>0</v>
      </c>
      <c r="J849">
        <v>0</v>
      </c>
      <c r="K849">
        <v>3</v>
      </c>
      <c r="L849">
        <v>0</v>
      </c>
      <c r="M849">
        <f>region_summary__54[[#This Row],[REJECTED BY Admin Kabupaten]]+region_summary__54[[#This Row],[REJECTED BY Pengawas]]</f>
        <v>0</v>
      </c>
    </row>
    <row r="850" spans="1:13" x14ac:dyDescent="0.25">
      <c r="A850" t="s">
        <v>67</v>
      </c>
      <c r="B850">
        <v>7172012005001500</v>
      </c>
      <c r="C850">
        <v>107</v>
      </c>
      <c r="D850">
        <v>27</v>
      </c>
      <c r="E850">
        <v>16</v>
      </c>
      <c r="F850">
        <v>0</v>
      </c>
      <c r="G850">
        <v>49</v>
      </c>
      <c r="H850">
        <v>0</v>
      </c>
      <c r="I850">
        <v>0</v>
      </c>
      <c r="J850">
        <v>0</v>
      </c>
      <c r="K850">
        <v>15</v>
      </c>
      <c r="L850">
        <v>0</v>
      </c>
      <c r="M850">
        <f>region_summary__54[[#This Row],[REJECTED BY Admin Kabupaten]]+region_summary__54[[#This Row],[REJECTED BY Pengawas]]</f>
        <v>0</v>
      </c>
    </row>
    <row r="851" spans="1:13" x14ac:dyDescent="0.25">
      <c r="A851" t="s">
        <v>67</v>
      </c>
      <c r="B851">
        <v>7172012005001700</v>
      </c>
      <c r="C851">
        <v>102</v>
      </c>
      <c r="D851">
        <v>79</v>
      </c>
      <c r="E851">
        <v>0</v>
      </c>
      <c r="F851">
        <v>0</v>
      </c>
      <c r="G851">
        <v>19</v>
      </c>
      <c r="H851">
        <v>0</v>
      </c>
      <c r="I851">
        <v>1</v>
      </c>
      <c r="J851">
        <v>0</v>
      </c>
      <c r="K851">
        <v>3</v>
      </c>
      <c r="L851">
        <v>0</v>
      </c>
      <c r="M851">
        <f>region_summary__54[[#This Row],[REJECTED BY Admin Kabupaten]]+region_summary__54[[#This Row],[REJECTED BY Pengawas]]</f>
        <v>1</v>
      </c>
    </row>
    <row r="852" spans="1:13" x14ac:dyDescent="0.25">
      <c r="A852" t="s">
        <v>67</v>
      </c>
      <c r="B852">
        <v>7172012005001800</v>
      </c>
      <c r="C852">
        <v>70</v>
      </c>
      <c r="D852">
        <v>26</v>
      </c>
      <c r="E852">
        <v>1</v>
      </c>
      <c r="F852">
        <v>0</v>
      </c>
      <c r="G852">
        <v>40</v>
      </c>
      <c r="H852">
        <v>0</v>
      </c>
      <c r="I852">
        <v>0</v>
      </c>
      <c r="J852">
        <v>0</v>
      </c>
      <c r="K852">
        <v>3</v>
      </c>
      <c r="L852">
        <v>0</v>
      </c>
      <c r="M852">
        <f>region_summary__54[[#This Row],[REJECTED BY Admin Kabupaten]]+region_summary__54[[#This Row],[REJECTED BY Pengawas]]</f>
        <v>0</v>
      </c>
    </row>
    <row r="853" spans="1:13" x14ac:dyDescent="0.25">
      <c r="A853" t="s">
        <v>67</v>
      </c>
      <c r="B853">
        <v>7172012005001200</v>
      </c>
      <c r="C853">
        <v>61</v>
      </c>
      <c r="D853">
        <v>23</v>
      </c>
      <c r="E853">
        <v>6</v>
      </c>
      <c r="F853">
        <v>0</v>
      </c>
      <c r="G853">
        <v>32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f>region_summary__54[[#This Row],[REJECTED BY Admin Kabupaten]]+region_summary__54[[#This Row],[REJECTED BY Pengawas]]</f>
        <v>0</v>
      </c>
    </row>
    <row r="854" spans="1:13" x14ac:dyDescent="0.25">
      <c r="A854" t="s">
        <v>67</v>
      </c>
      <c r="B854">
        <v>7172012005001600</v>
      </c>
      <c r="C854">
        <v>58</v>
      </c>
      <c r="D854">
        <v>49</v>
      </c>
      <c r="E854">
        <v>2</v>
      </c>
      <c r="F854">
        <v>0</v>
      </c>
      <c r="G854">
        <v>6</v>
      </c>
      <c r="H854">
        <v>0</v>
      </c>
      <c r="I854">
        <v>0</v>
      </c>
      <c r="J854">
        <v>0</v>
      </c>
      <c r="K854">
        <v>1</v>
      </c>
      <c r="L854">
        <v>0</v>
      </c>
      <c r="M854">
        <f>region_summary__54[[#This Row],[REJECTED BY Admin Kabupaten]]+region_summary__54[[#This Row],[REJECTED BY Pengawas]]</f>
        <v>0</v>
      </c>
    </row>
    <row r="855" spans="1:13" x14ac:dyDescent="0.25">
      <c r="A855" t="s">
        <v>67</v>
      </c>
      <c r="B855">
        <v>7172012005001300</v>
      </c>
      <c r="C855">
        <v>54</v>
      </c>
      <c r="D855">
        <v>48</v>
      </c>
      <c r="E855">
        <v>3</v>
      </c>
      <c r="F855">
        <v>1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f>region_summary__54[[#This Row],[REJECTED BY Admin Kabupaten]]+region_summary__54[[#This Row],[REJECTED BY Pengawas]]</f>
        <v>0</v>
      </c>
    </row>
    <row r="856" spans="1:13" x14ac:dyDescent="0.25">
      <c r="A856" t="s">
        <v>67</v>
      </c>
      <c r="B856">
        <v>7172012005000800</v>
      </c>
      <c r="C856">
        <v>39</v>
      </c>
      <c r="D856">
        <v>30</v>
      </c>
      <c r="E856">
        <v>1</v>
      </c>
      <c r="F856">
        <v>0</v>
      </c>
      <c r="G856">
        <v>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f>region_summary__54[[#This Row],[REJECTED BY Admin Kabupaten]]+region_summary__54[[#This Row],[REJECTED BY Pengawas]]</f>
        <v>0</v>
      </c>
    </row>
    <row r="857" spans="1:13" x14ac:dyDescent="0.25">
      <c r="A857" t="s">
        <v>67</v>
      </c>
      <c r="B857">
        <v>7172012005000700</v>
      </c>
      <c r="C857">
        <v>38</v>
      </c>
      <c r="D857">
        <v>36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f>region_summary__54[[#This Row],[REJECTED BY Admin Kabupaten]]+region_summary__54[[#This Row],[REJECTED BY Pengawas]]</f>
        <v>0</v>
      </c>
    </row>
    <row r="858" spans="1:13" x14ac:dyDescent="0.25">
      <c r="A858" t="s">
        <v>70</v>
      </c>
      <c r="B858">
        <v>7172012006001600</v>
      </c>
      <c r="C858">
        <v>117</v>
      </c>
      <c r="D858">
        <v>77</v>
      </c>
      <c r="E858">
        <v>3</v>
      </c>
      <c r="F858">
        <v>2</v>
      </c>
      <c r="G858">
        <v>35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f>region_summary__54[[#This Row],[REJECTED BY Admin Kabupaten]]+region_summary__54[[#This Row],[REJECTED BY Pengawas]]</f>
        <v>0</v>
      </c>
    </row>
    <row r="859" spans="1:13" x14ac:dyDescent="0.25">
      <c r="A859" t="s">
        <v>70</v>
      </c>
      <c r="B859">
        <v>7172012006001300</v>
      </c>
      <c r="C859">
        <v>111</v>
      </c>
      <c r="D859">
        <v>44</v>
      </c>
      <c r="E859">
        <v>13</v>
      </c>
      <c r="F859">
        <v>0</v>
      </c>
      <c r="G859">
        <v>27</v>
      </c>
      <c r="H859">
        <v>0</v>
      </c>
      <c r="I859">
        <v>0</v>
      </c>
      <c r="J859">
        <v>0</v>
      </c>
      <c r="K859">
        <v>27</v>
      </c>
      <c r="L859">
        <v>0</v>
      </c>
      <c r="M859">
        <f>region_summary__54[[#This Row],[REJECTED BY Admin Kabupaten]]+region_summary__54[[#This Row],[REJECTED BY Pengawas]]</f>
        <v>0</v>
      </c>
    </row>
    <row r="860" spans="1:13" x14ac:dyDescent="0.25">
      <c r="A860" t="s">
        <v>70</v>
      </c>
      <c r="B860">
        <v>7172012006000902</v>
      </c>
      <c r="C860">
        <v>102</v>
      </c>
      <c r="D860">
        <v>24</v>
      </c>
      <c r="E860">
        <v>4</v>
      </c>
      <c r="F860">
        <v>0</v>
      </c>
      <c r="G860">
        <v>73</v>
      </c>
      <c r="H860">
        <v>0</v>
      </c>
      <c r="I860">
        <v>0</v>
      </c>
      <c r="J860">
        <v>0</v>
      </c>
      <c r="K860">
        <v>1</v>
      </c>
      <c r="L860">
        <v>0</v>
      </c>
      <c r="M860">
        <f>region_summary__54[[#This Row],[REJECTED BY Admin Kabupaten]]+region_summary__54[[#This Row],[REJECTED BY Pengawas]]</f>
        <v>0</v>
      </c>
    </row>
    <row r="861" spans="1:13" x14ac:dyDescent="0.25">
      <c r="A861" t="s">
        <v>70</v>
      </c>
      <c r="B861">
        <v>7172012006001500</v>
      </c>
      <c r="C861">
        <v>101</v>
      </c>
      <c r="D861">
        <v>47</v>
      </c>
      <c r="E861">
        <v>5</v>
      </c>
      <c r="F861">
        <v>1</v>
      </c>
      <c r="G861">
        <v>47</v>
      </c>
      <c r="H861">
        <v>0</v>
      </c>
      <c r="I861">
        <v>1</v>
      </c>
      <c r="J861">
        <v>0</v>
      </c>
      <c r="K861">
        <v>0</v>
      </c>
      <c r="L861">
        <v>0</v>
      </c>
      <c r="M861">
        <f>region_summary__54[[#This Row],[REJECTED BY Admin Kabupaten]]+region_summary__54[[#This Row],[REJECTED BY Pengawas]]</f>
        <v>1</v>
      </c>
    </row>
    <row r="862" spans="1:13" x14ac:dyDescent="0.25">
      <c r="A862" t="s">
        <v>70</v>
      </c>
      <c r="B862">
        <v>7172012006001200</v>
      </c>
      <c r="C862">
        <v>84</v>
      </c>
      <c r="D862">
        <v>21</v>
      </c>
      <c r="E862">
        <v>2</v>
      </c>
      <c r="F862">
        <v>0</v>
      </c>
      <c r="G862">
        <v>47</v>
      </c>
      <c r="H862">
        <v>0</v>
      </c>
      <c r="I862">
        <v>0</v>
      </c>
      <c r="J862">
        <v>0</v>
      </c>
      <c r="K862">
        <v>14</v>
      </c>
      <c r="L862">
        <v>0</v>
      </c>
      <c r="M862">
        <f>region_summary__54[[#This Row],[REJECTED BY Admin Kabupaten]]+region_summary__54[[#This Row],[REJECTED BY Pengawas]]</f>
        <v>0</v>
      </c>
    </row>
    <row r="863" spans="1:13" x14ac:dyDescent="0.25">
      <c r="A863" t="s">
        <v>70</v>
      </c>
      <c r="B863">
        <v>7172012006000903</v>
      </c>
      <c r="C863">
        <v>74</v>
      </c>
      <c r="D863">
        <v>1</v>
      </c>
      <c r="E863">
        <v>8</v>
      </c>
      <c r="F863">
        <v>0</v>
      </c>
      <c r="G863">
        <v>65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f>region_summary__54[[#This Row],[REJECTED BY Admin Kabupaten]]+region_summary__54[[#This Row],[REJECTED BY Pengawas]]</f>
        <v>0</v>
      </c>
    </row>
    <row r="864" spans="1:13" x14ac:dyDescent="0.25">
      <c r="A864" t="s">
        <v>70</v>
      </c>
      <c r="B864">
        <v>7172012006001000</v>
      </c>
      <c r="C864">
        <v>72</v>
      </c>
      <c r="D864">
        <v>4</v>
      </c>
      <c r="E864">
        <v>25</v>
      </c>
      <c r="F864">
        <v>0</v>
      </c>
      <c r="G864">
        <v>28</v>
      </c>
      <c r="H864">
        <v>0</v>
      </c>
      <c r="I864">
        <v>0</v>
      </c>
      <c r="J864">
        <v>0</v>
      </c>
      <c r="K864">
        <v>15</v>
      </c>
      <c r="L864">
        <v>0</v>
      </c>
      <c r="M864">
        <f>region_summary__54[[#This Row],[REJECTED BY Admin Kabupaten]]+region_summary__54[[#This Row],[REJECTED BY Pengawas]]</f>
        <v>0</v>
      </c>
    </row>
    <row r="865" spans="1:13" x14ac:dyDescent="0.25">
      <c r="A865" t="s">
        <v>70</v>
      </c>
      <c r="B865">
        <v>7172012006001100</v>
      </c>
      <c r="C865">
        <v>50</v>
      </c>
      <c r="D865">
        <v>48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f>region_summary__54[[#This Row],[REJECTED BY Admin Kabupaten]]+region_summary__54[[#This Row],[REJECTED BY Pengawas]]</f>
        <v>0</v>
      </c>
    </row>
    <row r="866" spans="1:13" x14ac:dyDescent="0.25">
      <c r="A866" t="s">
        <v>230</v>
      </c>
      <c r="B866">
        <v>7172012007000600</v>
      </c>
      <c r="C866">
        <v>204</v>
      </c>
      <c r="D866">
        <v>100</v>
      </c>
      <c r="E866">
        <v>51</v>
      </c>
      <c r="F866">
        <v>0</v>
      </c>
      <c r="G866">
        <v>52</v>
      </c>
      <c r="H866">
        <v>0</v>
      </c>
      <c r="I866">
        <v>0</v>
      </c>
      <c r="J866">
        <v>0</v>
      </c>
      <c r="K866">
        <v>1</v>
      </c>
      <c r="L866">
        <v>0</v>
      </c>
      <c r="M866">
        <f>region_summary__54[[#This Row],[REJECTED BY Admin Kabupaten]]+region_summary__54[[#This Row],[REJECTED BY Pengawas]]</f>
        <v>0</v>
      </c>
    </row>
    <row r="867" spans="1:13" x14ac:dyDescent="0.25">
      <c r="A867" t="s">
        <v>230</v>
      </c>
      <c r="B867">
        <v>7172012007000700</v>
      </c>
      <c r="C867">
        <v>167</v>
      </c>
      <c r="D867">
        <v>8</v>
      </c>
      <c r="E867">
        <v>0</v>
      </c>
      <c r="F867">
        <v>0</v>
      </c>
      <c r="G867">
        <v>159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f>region_summary__54[[#This Row],[REJECTED BY Admin Kabupaten]]+region_summary__54[[#This Row],[REJECTED BY Pengawas]]</f>
        <v>0</v>
      </c>
    </row>
    <row r="868" spans="1:13" x14ac:dyDescent="0.25">
      <c r="A868" t="s">
        <v>230</v>
      </c>
      <c r="B868">
        <v>7172012007000300</v>
      </c>
      <c r="C868">
        <v>134</v>
      </c>
      <c r="D868">
        <v>105</v>
      </c>
      <c r="E868">
        <v>8</v>
      </c>
      <c r="F868">
        <v>1</v>
      </c>
      <c r="G868">
        <v>19</v>
      </c>
      <c r="H868">
        <v>0</v>
      </c>
      <c r="I868">
        <v>0</v>
      </c>
      <c r="J868">
        <v>0</v>
      </c>
      <c r="K868">
        <v>1</v>
      </c>
      <c r="L868">
        <v>0</v>
      </c>
      <c r="M868">
        <f>region_summary__54[[#This Row],[REJECTED BY Admin Kabupaten]]+region_summary__54[[#This Row],[REJECTED BY Pengawas]]</f>
        <v>0</v>
      </c>
    </row>
    <row r="869" spans="1:13" x14ac:dyDescent="0.25">
      <c r="A869" t="s">
        <v>230</v>
      </c>
      <c r="B869">
        <v>7172012007000200</v>
      </c>
      <c r="C869">
        <v>126</v>
      </c>
      <c r="D869">
        <v>96</v>
      </c>
      <c r="E869">
        <v>3</v>
      </c>
      <c r="F869">
        <v>3</v>
      </c>
      <c r="G869">
        <v>23</v>
      </c>
      <c r="H869">
        <v>0</v>
      </c>
      <c r="I869">
        <v>0</v>
      </c>
      <c r="J869">
        <v>0</v>
      </c>
      <c r="K869">
        <v>1</v>
      </c>
      <c r="L869">
        <v>0</v>
      </c>
      <c r="M869">
        <f>region_summary__54[[#This Row],[REJECTED BY Admin Kabupaten]]+region_summary__54[[#This Row],[REJECTED BY Pengawas]]</f>
        <v>0</v>
      </c>
    </row>
    <row r="870" spans="1:13" x14ac:dyDescent="0.25">
      <c r="A870" t="s">
        <v>230</v>
      </c>
      <c r="B870">
        <v>7172012007000400</v>
      </c>
      <c r="C870">
        <v>114</v>
      </c>
      <c r="D870">
        <v>79</v>
      </c>
      <c r="E870">
        <v>2</v>
      </c>
      <c r="F870">
        <v>1</v>
      </c>
      <c r="G870">
        <v>28</v>
      </c>
      <c r="H870">
        <v>0</v>
      </c>
      <c r="I870">
        <v>0</v>
      </c>
      <c r="J870">
        <v>0</v>
      </c>
      <c r="K870">
        <v>4</v>
      </c>
      <c r="L870">
        <v>0</v>
      </c>
      <c r="M870">
        <f>region_summary__54[[#This Row],[REJECTED BY Admin Kabupaten]]+region_summary__54[[#This Row],[REJECTED BY Pengawas]]</f>
        <v>0</v>
      </c>
    </row>
    <row r="871" spans="1:13" x14ac:dyDescent="0.25">
      <c r="A871" t="s">
        <v>72</v>
      </c>
      <c r="B871">
        <v>7172012007001100</v>
      </c>
      <c r="C871">
        <v>166</v>
      </c>
      <c r="D871">
        <v>0</v>
      </c>
      <c r="E871">
        <v>0</v>
      </c>
      <c r="F871">
        <v>0</v>
      </c>
      <c r="G871">
        <v>166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f>region_summary__54[[#This Row],[REJECTED BY Admin Kabupaten]]+region_summary__54[[#This Row],[REJECTED BY Pengawas]]</f>
        <v>0</v>
      </c>
    </row>
    <row r="872" spans="1:13" x14ac:dyDescent="0.25">
      <c r="A872" t="s">
        <v>72</v>
      </c>
      <c r="B872">
        <v>7172012007000800</v>
      </c>
      <c r="C872">
        <v>161</v>
      </c>
      <c r="D872">
        <v>66</v>
      </c>
      <c r="E872">
        <v>22</v>
      </c>
      <c r="F872">
        <v>1</v>
      </c>
      <c r="G872">
        <v>72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f>region_summary__54[[#This Row],[REJECTED BY Admin Kabupaten]]+region_summary__54[[#This Row],[REJECTED BY Pengawas]]</f>
        <v>0</v>
      </c>
    </row>
    <row r="873" spans="1:13" x14ac:dyDescent="0.25">
      <c r="A873" t="s">
        <v>72</v>
      </c>
      <c r="B873">
        <v>7172012007000900</v>
      </c>
      <c r="C873">
        <v>125</v>
      </c>
      <c r="D873">
        <v>120</v>
      </c>
      <c r="E873">
        <v>3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1</v>
      </c>
      <c r="L873">
        <v>0</v>
      </c>
      <c r="M873">
        <f>region_summary__54[[#This Row],[REJECTED BY Admin Kabupaten]]+region_summary__54[[#This Row],[REJECTED BY Pengawas]]</f>
        <v>0</v>
      </c>
    </row>
    <row r="874" spans="1:13" x14ac:dyDescent="0.25">
      <c r="A874" t="s">
        <v>72</v>
      </c>
      <c r="B874">
        <v>7172012007001000</v>
      </c>
      <c r="C874">
        <v>100</v>
      </c>
      <c r="D874">
        <v>57</v>
      </c>
      <c r="E874">
        <v>5</v>
      </c>
      <c r="F874">
        <v>0</v>
      </c>
      <c r="G874">
        <v>30</v>
      </c>
      <c r="H874">
        <v>0</v>
      </c>
      <c r="I874">
        <v>3</v>
      </c>
      <c r="J874">
        <v>2</v>
      </c>
      <c r="K874">
        <v>3</v>
      </c>
      <c r="L874">
        <v>0</v>
      </c>
      <c r="M874">
        <f>region_summary__54[[#This Row],[REJECTED BY Admin Kabupaten]]+region_summary__54[[#This Row],[REJECTED BY Pengawas]]</f>
        <v>3</v>
      </c>
    </row>
    <row r="875" spans="1:13" x14ac:dyDescent="0.25">
      <c r="A875" t="s">
        <v>72</v>
      </c>
      <c r="B875">
        <v>7172012007000500</v>
      </c>
      <c r="C875">
        <v>93</v>
      </c>
      <c r="D875">
        <v>46</v>
      </c>
      <c r="E875">
        <v>8</v>
      </c>
      <c r="F875">
        <v>0</v>
      </c>
      <c r="G875">
        <v>30</v>
      </c>
      <c r="H875">
        <v>0</v>
      </c>
      <c r="I875">
        <v>1</v>
      </c>
      <c r="J875">
        <v>0</v>
      </c>
      <c r="K875">
        <v>8</v>
      </c>
      <c r="L875">
        <v>0</v>
      </c>
      <c r="M875">
        <f>region_summary__54[[#This Row],[REJECTED BY Admin Kabupaten]]+region_summary__54[[#This Row],[REJECTED BY Pengawas]]</f>
        <v>1</v>
      </c>
    </row>
    <row r="876" spans="1:13" x14ac:dyDescent="0.25">
      <c r="A876" t="s">
        <v>74</v>
      </c>
      <c r="B876">
        <v>7172021002000500</v>
      </c>
      <c r="C876">
        <v>106</v>
      </c>
      <c r="D876">
        <v>62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42</v>
      </c>
      <c r="L876">
        <v>0</v>
      </c>
      <c r="M876">
        <f>region_summary__54[[#This Row],[REJECTED BY Admin Kabupaten]]+region_summary__54[[#This Row],[REJECTED BY Pengawas]]</f>
        <v>0</v>
      </c>
    </row>
    <row r="877" spans="1:13" x14ac:dyDescent="0.25">
      <c r="A877" t="s">
        <v>74</v>
      </c>
      <c r="B877">
        <v>7172021002000200</v>
      </c>
      <c r="C877">
        <v>85</v>
      </c>
      <c r="D877">
        <v>56</v>
      </c>
      <c r="E877">
        <v>1</v>
      </c>
      <c r="F877">
        <v>0</v>
      </c>
      <c r="G877">
        <v>27</v>
      </c>
      <c r="H877">
        <v>0</v>
      </c>
      <c r="I877">
        <v>0</v>
      </c>
      <c r="J877">
        <v>1</v>
      </c>
      <c r="K877">
        <v>0</v>
      </c>
      <c r="L877">
        <v>0</v>
      </c>
      <c r="M877">
        <f>region_summary__54[[#This Row],[REJECTED BY Admin Kabupaten]]+region_summary__54[[#This Row],[REJECTED BY Pengawas]]</f>
        <v>0</v>
      </c>
    </row>
    <row r="878" spans="1:13" x14ac:dyDescent="0.25">
      <c r="A878" t="s">
        <v>74</v>
      </c>
      <c r="B878">
        <v>7172021002000300</v>
      </c>
      <c r="C878">
        <v>78</v>
      </c>
      <c r="D878">
        <v>20</v>
      </c>
      <c r="E878">
        <v>2</v>
      </c>
      <c r="F878">
        <v>0</v>
      </c>
      <c r="G878">
        <v>54</v>
      </c>
      <c r="H878">
        <v>0</v>
      </c>
      <c r="I878">
        <v>0</v>
      </c>
      <c r="J878">
        <v>0</v>
      </c>
      <c r="K878">
        <v>2</v>
      </c>
      <c r="L878">
        <v>0</v>
      </c>
      <c r="M878">
        <f>region_summary__54[[#This Row],[REJECTED BY Admin Kabupaten]]+region_summary__54[[#This Row],[REJECTED BY Pengawas]]</f>
        <v>0</v>
      </c>
    </row>
    <row r="879" spans="1:13" x14ac:dyDescent="0.25">
      <c r="A879" t="s">
        <v>74</v>
      </c>
      <c r="B879">
        <v>7172021001000300</v>
      </c>
      <c r="C879">
        <v>63</v>
      </c>
      <c r="D879">
        <v>14</v>
      </c>
      <c r="E879">
        <v>0</v>
      </c>
      <c r="F879">
        <v>0</v>
      </c>
      <c r="G879">
        <v>49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f>region_summary__54[[#This Row],[REJECTED BY Admin Kabupaten]]+region_summary__54[[#This Row],[REJECTED BY Pengawas]]</f>
        <v>0</v>
      </c>
    </row>
    <row r="880" spans="1:13" x14ac:dyDescent="0.25">
      <c r="A880" t="s">
        <v>74</v>
      </c>
      <c r="B880">
        <v>7172021002000100</v>
      </c>
      <c r="C880">
        <v>55</v>
      </c>
      <c r="D880">
        <v>14</v>
      </c>
      <c r="E880">
        <v>0</v>
      </c>
      <c r="F880">
        <v>0</v>
      </c>
      <c r="G880">
        <v>41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f>region_summary__54[[#This Row],[REJECTED BY Admin Kabupaten]]+region_summary__54[[#This Row],[REJECTED BY Pengawas]]</f>
        <v>0</v>
      </c>
    </row>
    <row r="881" spans="1:13" x14ac:dyDescent="0.25">
      <c r="A881" t="s">
        <v>74</v>
      </c>
      <c r="B881">
        <v>7172021001000400</v>
      </c>
      <c r="C881">
        <v>43</v>
      </c>
      <c r="D881">
        <v>39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</v>
      </c>
      <c r="L881">
        <v>0</v>
      </c>
      <c r="M881">
        <f>region_summary__54[[#This Row],[REJECTED BY Admin Kabupaten]]+region_summary__54[[#This Row],[REJECTED BY Pengawas]]</f>
        <v>0</v>
      </c>
    </row>
    <row r="882" spans="1:13" x14ac:dyDescent="0.25">
      <c r="A882" t="s">
        <v>74</v>
      </c>
      <c r="B882">
        <v>7172021001000200</v>
      </c>
      <c r="C882">
        <v>37</v>
      </c>
      <c r="D882">
        <v>9</v>
      </c>
      <c r="E882">
        <v>3</v>
      </c>
      <c r="F882">
        <v>0</v>
      </c>
      <c r="G882">
        <v>25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f>region_summary__54[[#This Row],[REJECTED BY Admin Kabupaten]]+region_summary__54[[#This Row],[REJECTED BY Pengawas]]</f>
        <v>0</v>
      </c>
    </row>
    <row r="883" spans="1:13" x14ac:dyDescent="0.25">
      <c r="A883" t="s">
        <v>74</v>
      </c>
      <c r="B883">
        <v>7172021001000100</v>
      </c>
      <c r="C883">
        <v>32</v>
      </c>
      <c r="D883">
        <v>17</v>
      </c>
      <c r="E883">
        <v>5</v>
      </c>
      <c r="F883">
        <v>0</v>
      </c>
      <c r="G883">
        <v>9</v>
      </c>
      <c r="H883">
        <v>0</v>
      </c>
      <c r="I883">
        <v>1</v>
      </c>
      <c r="J883">
        <v>0</v>
      </c>
      <c r="K883">
        <v>0</v>
      </c>
      <c r="L883">
        <v>0</v>
      </c>
      <c r="M883">
        <f>region_summary__54[[#This Row],[REJECTED BY Admin Kabupaten]]+region_summary__54[[#This Row],[REJECTED BY Pengawas]]</f>
        <v>1</v>
      </c>
    </row>
    <row r="884" spans="1:13" x14ac:dyDescent="0.25">
      <c r="A884" t="s">
        <v>231</v>
      </c>
      <c r="B884">
        <v>7172021003000100</v>
      </c>
      <c r="C884">
        <v>107</v>
      </c>
      <c r="D884">
        <v>38</v>
      </c>
      <c r="E884">
        <v>1</v>
      </c>
      <c r="F884">
        <v>0</v>
      </c>
      <c r="G884">
        <v>68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f>region_summary__54[[#This Row],[REJECTED BY Admin Kabupaten]]+region_summary__54[[#This Row],[REJECTED BY Pengawas]]</f>
        <v>0</v>
      </c>
    </row>
    <row r="885" spans="1:13" x14ac:dyDescent="0.25">
      <c r="A885" t="s">
        <v>231</v>
      </c>
      <c r="B885">
        <v>7172021006001900</v>
      </c>
      <c r="C885">
        <v>72</v>
      </c>
      <c r="D885">
        <v>23</v>
      </c>
      <c r="E885">
        <v>1</v>
      </c>
      <c r="F885">
        <v>0</v>
      </c>
      <c r="G885">
        <v>32</v>
      </c>
      <c r="H885">
        <v>0</v>
      </c>
      <c r="I885">
        <v>0</v>
      </c>
      <c r="J885">
        <v>0</v>
      </c>
      <c r="K885">
        <v>16</v>
      </c>
      <c r="L885">
        <v>0</v>
      </c>
      <c r="M885">
        <f>region_summary__54[[#This Row],[REJECTED BY Admin Kabupaten]]+region_summary__54[[#This Row],[REJECTED BY Pengawas]]</f>
        <v>0</v>
      </c>
    </row>
    <row r="886" spans="1:13" x14ac:dyDescent="0.25">
      <c r="A886" t="s">
        <v>231</v>
      </c>
      <c r="B886">
        <v>7172021002000600</v>
      </c>
      <c r="C886">
        <v>70</v>
      </c>
      <c r="D886">
        <v>62</v>
      </c>
      <c r="E886">
        <v>5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1</v>
      </c>
      <c r="L886">
        <v>0</v>
      </c>
      <c r="M886">
        <f>region_summary__54[[#This Row],[REJECTED BY Admin Kabupaten]]+region_summary__54[[#This Row],[REJECTED BY Pengawas]]</f>
        <v>0</v>
      </c>
    </row>
    <row r="887" spans="1:13" x14ac:dyDescent="0.25">
      <c r="A887" t="s">
        <v>231</v>
      </c>
      <c r="B887">
        <v>7172021003001200</v>
      </c>
      <c r="C887">
        <v>69</v>
      </c>
      <c r="D887">
        <v>12</v>
      </c>
      <c r="E887">
        <v>0</v>
      </c>
      <c r="F887">
        <v>0</v>
      </c>
      <c r="G887">
        <v>57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f>region_summary__54[[#This Row],[REJECTED BY Admin Kabupaten]]+region_summary__54[[#This Row],[REJECTED BY Pengawas]]</f>
        <v>0</v>
      </c>
    </row>
    <row r="888" spans="1:13" x14ac:dyDescent="0.25">
      <c r="A888" t="s">
        <v>231</v>
      </c>
      <c r="B888">
        <v>7172021003000300</v>
      </c>
      <c r="C888">
        <v>67</v>
      </c>
      <c r="D888">
        <v>6</v>
      </c>
      <c r="E888">
        <v>0</v>
      </c>
      <c r="F888">
        <v>0</v>
      </c>
      <c r="G888">
        <v>61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f>region_summary__54[[#This Row],[REJECTED BY Admin Kabupaten]]+region_summary__54[[#This Row],[REJECTED BY Pengawas]]</f>
        <v>0</v>
      </c>
    </row>
    <row r="889" spans="1:13" x14ac:dyDescent="0.25">
      <c r="A889" t="s">
        <v>231</v>
      </c>
      <c r="B889">
        <v>7172021006002100</v>
      </c>
      <c r="C889">
        <v>62</v>
      </c>
      <c r="D889">
        <v>22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38</v>
      </c>
      <c r="L889">
        <v>0</v>
      </c>
      <c r="M889">
        <f>region_summary__54[[#This Row],[REJECTED BY Admin Kabupaten]]+region_summary__54[[#This Row],[REJECTED BY Pengawas]]</f>
        <v>0</v>
      </c>
    </row>
    <row r="890" spans="1:13" x14ac:dyDescent="0.25">
      <c r="A890" t="s">
        <v>231</v>
      </c>
      <c r="B890">
        <v>7172021006002000</v>
      </c>
      <c r="C890">
        <v>61</v>
      </c>
      <c r="D890">
        <v>59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f>region_summary__54[[#This Row],[REJECTED BY Admin Kabupaten]]+region_summary__54[[#This Row],[REJECTED BY Pengawas]]</f>
        <v>0</v>
      </c>
    </row>
    <row r="891" spans="1:13" x14ac:dyDescent="0.25">
      <c r="A891" t="s">
        <v>75</v>
      </c>
      <c r="B891">
        <v>7172021003000800</v>
      </c>
      <c r="C891">
        <v>117</v>
      </c>
      <c r="D891">
        <v>45</v>
      </c>
      <c r="E891">
        <v>3</v>
      </c>
      <c r="F891">
        <v>0</v>
      </c>
      <c r="G891">
        <v>17</v>
      </c>
      <c r="H891">
        <v>0</v>
      </c>
      <c r="I891">
        <v>0</v>
      </c>
      <c r="J891">
        <v>4</v>
      </c>
      <c r="K891">
        <v>48</v>
      </c>
      <c r="L891">
        <v>0</v>
      </c>
      <c r="M891">
        <f>region_summary__54[[#This Row],[REJECTED BY Admin Kabupaten]]+region_summary__54[[#This Row],[REJECTED BY Pengawas]]</f>
        <v>0</v>
      </c>
    </row>
    <row r="892" spans="1:13" x14ac:dyDescent="0.25">
      <c r="A892" t="s">
        <v>75</v>
      </c>
      <c r="B892">
        <v>7172021003001100</v>
      </c>
      <c r="C892">
        <v>91</v>
      </c>
      <c r="D892">
        <v>22</v>
      </c>
      <c r="E892">
        <v>0</v>
      </c>
      <c r="F892">
        <v>0</v>
      </c>
      <c r="G892">
        <v>69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f>region_summary__54[[#This Row],[REJECTED BY Admin Kabupaten]]+region_summary__54[[#This Row],[REJECTED BY Pengawas]]</f>
        <v>0</v>
      </c>
    </row>
    <row r="893" spans="1:13" x14ac:dyDescent="0.25">
      <c r="A893" t="s">
        <v>75</v>
      </c>
      <c r="B893">
        <v>7172021006000100</v>
      </c>
      <c r="C893">
        <v>90</v>
      </c>
      <c r="D893">
        <v>22</v>
      </c>
      <c r="E893">
        <v>0</v>
      </c>
      <c r="F893">
        <v>0</v>
      </c>
      <c r="G893">
        <v>68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f>region_summary__54[[#This Row],[REJECTED BY Admin Kabupaten]]+region_summary__54[[#This Row],[REJECTED BY Pengawas]]</f>
        <v>0</v>
      </c>
    </row>
    <row r="894" spans="1:13" x14ac:dyDescent="0.25">
      <c r="A894" t="s">
        <v>75</v>
      </c>
      <c r="B894">
        <v>7172021003001000</v>
      </c>
      <c r="C894">
        <v>63</v>
      </c>
      <c r="D894">
        <v>54</v>
      </c>
      <c r="E894">
        <v>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</v>
      </c>
      <c r="L894">
        <v>0</v>
      </c>
      <c r="M894">
        <f>region_summary__54[[#This Row],[REJECTED BY Admin Kabupaten]]+region_summary__54[[#This Row],[REJECTED BY Pengawas]]</f>
        <v>0</v>
      </c>
    </row>
    <row r="895" spans="1:13" x14ac:dyDescent="0.25">
      <c r="A895" t="s">
        <v>75</v>
      </c>
      <c r="B895">
        <v>7172021003000900</v>
      </c>
      <c r="C895">
        <v>57</v>
      </c>
      <c r="D895">
        <v>15</v>
      </c>
      <c r="E895">
        <v>0</v>
      </c>
      <c r="F895">
        <v>0</v>
      </c>
      <c r="G895">
        <v>42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f>region_summary__54[[#This Row],[REJECTED BY Admin Kabupaten]]+region_summary__54[[#This Row],[REJECTED BY Pengawas]]</f>
        <v>0</v>
      </c>
    </row>
    <row r="896" spans="1:13" x14ac:dyDescent="0.25">
      <c r="A896" t="s">
        <v>75</v>
      </c>
      <c r="B896">
        <v>7172021002000400</v>
      </c>
      <c r="C896">
        <v>39</v>
      </c>
      <c r="D896">
        <v>39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f>region_summary__54[[#This Row],[REJECTED BY Admin Kabupaten]]+region_summary__54[[#This Row],[REJECTED BY Pengawas]]</f>
        <v>0</v>
      </c>
    </row>
    <row r="897" spans="1:13" x14ac:dyDescent="0.25">
      <c r="A897" t="s">
        <v>75</v>
      </c>
      <c r="B897">
        <v>7172021006000700</v>
      </c>
      <c r="C897">
        <v>26</v>
      </c>
      <c r="D897">
        <v>4</v>
      </c>
      <c r="E897">
        <v>0</v>
      </c>
      <c r="F897">
        <v>0</v>
      </c>
      <c r="G897">
        <v>20</v>
      </c>
      <c r="H897">
        <v>0</v>
      </c>
      <c r="I897">
        <v>0</v>
      </c>
      <c r="J897">
        <v>0</v>
      </c>
      <c r="K897">
        <v>2</v>
      </c>
      <c r="L897">
        <v>0</v>
      </c>
      <c r="M897">
        <f>region_summary__54[[#This Row],[REJECTED BY Admin Kabupaten]]+region_summary__54[[#This Row],[REJECTED BY Pengawas]]</f>
        <v>0</v>
      </c>
    </row>
    <row r="898" spans="1:13" x14ac:dyDescent="0.25">
      <c r="A898" t="s">
        <v>78</v>
      </c>
      <c r="B898">
        <v>7172021005000100</v>
      </c>
      <c r="C898">
        <v>100</v>
      </c>
      <c r="D898">
        <v>85</v>
      </c>
      <c r="E898">
        <v>3</v>
      </c>
      <c r="F898">
        <v>3</v>
      </c>
      <c r="G898">
        <v>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f>region_summary__54[[#This Row],[REJECTED BY Admin Kabupaten]]+region_summary__54[[#This Row],[REJECTED BY Pengawas]]</f>
        <v>0</v>
      </c>
    </row>
    <row r="899" spans="1:13" x14ac:dyDescent="0.25">
      <c r="A899" t="s">
        <v>78</v>
      </c>
      <c r="B899">
        <v>7172021004000200</v>
      </c>
      <c r="C899">
        <v>97</v>
      </c>
      <c r="D899">
        <v>69</v>
      </c>
      <c r="E899">
        <v>0</v>
      </c>
      <c r="F899">
        <v>0</v>
      </c>
      <c r="G899">
        <v>13</v>
      </c>
      <c r="H899">
        <v>0</v>
      </c>
      <c r="I899">
        <v>0</v>
      </c>
      <c r="J899">
        <v>1</v>
      </c>
      <c r="K899">
        <v>14</v>
      </c>
      <c r="L899">
        <v>0</v>
      </c>
      <c r="M899">
        <f>region_summary__54[[#This Row],[REJECTED BY Admin Kabupaten]]+region_summary__54[[#This Row],[REJECTED BY Pengawas]]</f>
        <v>0</v>
      </c>
    </row>
    <row r="900" spans="1:13" x14ac:dyDescent="0.25">
      <c r="A900" t="s">
        <v>78</v>
      </c>
      <c r="B900">
        <v>7172021004000500</v>
      </c>
      <c r="C900">
        <v>97</v>
      </c>
      <c r="D900">
        <v>16</v>
      </c>
      <c r="E900">
        <v>0</v>
      </c>
      <c r="F900">
        <v>0</v>
      </c>
      <c r="G900">
        <v>81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f>region_summary__54[[#This Row],[REJECTED BY Admin Kabupaten]]+region_summary__54[[#This Row],[REJECTED BY Pengawas]]</f>
        <v>0</v>
      </c>
    </row>
    <row r="901" spans="1:13" x14ac:dyDescent="0.25">
      <c r="A901" t="s">
        <v>78</v>
      </c>
      <c r="B901">
        <v>7172021004000600</v>
      </c>
      <c r="C901">
        <v>78</v>
      </c>
      <c r="D901">
        <v>17</v>
      </c>
      <c r="E901">
        <v>0</v>
      </c>
      <c r="F901">
        <v>0</v>
      </c>
      <c r="G901">
        <v>61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f>region_summary__54[[#This Row],[REJECTED BY Admin Kabupaten]]+region_summary__54[[#This Row],[REJECTED BY Pengawas]]</f>
        <v>0</v>
      </c>
    </row>
    <row r="902" spans="1:13" x14ac:dyDescent="0.25">
      <c r="A902" t="s">
        <v>78</v>
      </c>
      <c r="B902">
        <v>7172021004000400</v>
      </c>
      <c r="C902">
        <v>73</v>
      </c>
      <c r="D902">
        <v>9</v>
      </c>
      <c r="E902">
        <v>0</v>
      </c>
      <c r="F902">
        <v>0</v>
      </c>
      <c r="G902">
        <v>64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f>region_summary__54[[#This Row],[REJECTED BY Admin Kabupaten]]+region_summary__54[[#This Row],[REJECTED BY Pengawas]]</f>
        <v>0</v>
      </c>
    </row>
    <row r="903" spans="1:13" x14ac:dyDescent="0.25">
      <c r="A903" t="s">
        <v>78</v>
      </c>
      <c r="B903">
        <v>7172021004000100</v>
      </c>
      <c r="C903">
        <v>69</v>
      </c>
      <c r="D903">
        <v>66</v>
      </c>
      <c r="E903">
        <v>0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f>region_summary__54[[#This Row],[REJECTED BY Admin Kabupaten]]+region_summary__54[[#This Row],[REJECTED BY Pengawas]]</f>
        <v>0</v>
      </c>
    </row>
    <row r="904" spans="1:13" x14ac:dyDescent="0.25">
      <c r="A904" t="s">
        <v>78</v>
      </c>
      <c r="B904">
        <v>7172021004000300</v>
      </c>
      <c r="C904">
        <v>56</v>
      </c>
      <c r="D904">
        <v>16</v>
      </c>
      <c r="E904">
        <v>0</v>
      </c>
      <c r="F904">
        <v>0</v>
      </c>
      <c r="G904">
        <v>32</v>
      </c>
      <c r="H904">
        <v>0</v>
      </c>
      <c r="I904">
        <v>0</v>
      </c>
      <c r="J904">
        <v>0</v>
      </c>
      <c r="K904">
        <v>8</v>
      </c>
      <c r="L904">
        <v>0</v>
      </c>
      <c r="M904">
        <f>region_summary__54[[#This Row],[REJECTED BY Admin Kabupaten]]+region_summary__54[[#This Row],[REJECTED BY Pengawas]]</f>
        <v>0</v>
      </c>
    </row>
    <row r="905" spans="1:13" x14ac:dyDescent="0.25">
      <c r="A905" t="s">
        <v>79</v>
      </c>
      <c r="B905">
        <v>7172021006000300</v>
      </c>
      <c r="C905">
        <v>92</v>
      </c>
      <c r="D905">
        <v>37</v>
      </c>
      <c r="E905">
        <v>0</v>
      </c>
      <c r="F905">
        <v>0</v>
      </c>
      <c r="G905">
        <v>26</v>
      </c>
      <c r="H905">
        <v>0</v>
      </c>
      <c r="I905">
        <v>0</v>
      </c>
      <c r="J905">
        <v>0</v>
      </c>
      <c r="K905">
        <v>29</v>
      </c>
      <c r="L905">
        <v>0</v>
      </c>
      <c r="M905">
        <f>region_summary__54[[#This Row],[REJECTED BY Admin Kabupaten]]+region_summary__54[[#This Row],[REJECTED BY Pengawas]]</f>
        <v>0</v>
      </c>
    </row>
    <row r="906" spans="1:13" x14ac:dyDescent="0.25">
      <c r="A906" t="s">
        <v>79</v>
      </c>
      <c r="B906">
        <v>7172021006000400</v>
      </c>
      <c r="C906">
        <v>89</v>
      </c>
      <c r="D906">
        <v>65</v>
      </c>
      <c r="E906">
        <v>9</v>
      </c>
      <c r="F906">
        <v>0</v>
      </c>
      <c r="G906">
        <v>15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f>region_summary__54[[#This Row],[REJECTED BY Admin Kabupaten]]+region_summary__54[[#This Row],[REJECTED BY Pengawas]]</f>
        <v>0</v>
      </c>
    </row>
    <row r="907" spans="1:13" x14ac:dyDescent="0.25">
      <c r="A907" t="s">
        <v>79</v>
      </c>
      <c r="B907">
        <v>7172021006000200</v>
      </c>
      <c r="C907">
        <v>83</v>
      </c>
      <c r="D907">
        <v>56</v>
      </c>
      <c r="E907">
        <v>3</v>
      </c>
      <c r="F907">
        <v>1</v>
      </c>
      <c r="G907">
        <v>23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f>region_summary__54[[#This Row],[REJECTED BY Admin Kabupaten]]+region_summary__54[[#This Row],[REJECTED BY Pengawas]]</f>
        <v>0</v>
      </c>
    </row>
    <row r="908" spans="1:13" x14ac:dyDescent="0.25">
      <c r="A908" t="s">
        <v>79</v>
      </c>
      <c r="B908">
        <v>7172021005000200</v>
      </c>
      <c r="C908">
        <v>79</v>
      </c>
      <c r="D908">
        <v>31</v>
      </c>
      <c r="E908">
        <v>5</v>
      </c>
      <c r="F908">
        <v>0</v>
      </c>
      <c r="G908">
        <v>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f>region_summary__54[[#This Row],[REJECTED BY Admin Kabupaten]]+region_summary__54[[#This Row],[REJECTED BY Pengawas]]</f>
        <v>0</v>
      </c>
    </row>
    <row r="909" spans="1:13" x14ac:dyDescent="0.25">
      <c r="A909" t="s">
        <v>79</v>
      </c>
      <c r="B909">
        <v>7172021005000300</v>
      </c>
      <c r="C909">
        <v>56</v>
      </c>
      <c r="D909">
        <v>9</v>
      </c>
      <c r="E909">
        <v>0</v>
      </c>
      <c r="F909">
        <v>0</v>
      </c>
      <c r="G909">
        <v>47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f>region_summary__54[[#This Row],[REJECTED BY Admin Kabupaten]]+region_summary__54[[#This Row],[REJECTED BY Pengawas]]</f>
        <v>0</v>
      </c>
    </row>
    <row r="910" spans="1:13" x14ac:dyDescent="0.25">
      <c r="A910" t="s">
        <v>79</v>
      </c>
      <c r="B910">
        <v>7172021006000500</v>
      </c>
      <c r="C910">
        <v>48</v>
      </c>
      <c r="D910">
        <v>10</v>
      </c>
      <c r="E910">
        <v>0</v>
      </c>
      <c r="F910">
        <v>0</v>
      </c>
      <c r="G910">
        <v>38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f>region_summary__54[[#This Row],[REJECTED BY Admin Kabupaten]]+region_summary__54[[#This Row],[REJECTED BY Pengawas]]</f>
        <v>0</v>
      </c>
    </row>
    <row r="911" spans="1:13" x14ac:dyDescent="0.25">
      <c r="A911" t="s">
        <v>79</v>
      </c>
      <c r="B911">
        <v>7172021006000600</v>
      </c>
      <c r="C911">
        <v>46</v>
      </c>
      <c r="D911">
        <v>33</v>
      </c>
      <c r="E911">
        <v>0</v>
      </c>
      <c r="F911">
        <v>0</v>
      </c>
      <c r="G911">
        <v>13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f>region_summary__54[[#This Row],[REJECTED BY Admin Kabupaten]]+region_summary__54[[#This Row],[REJECTED BY Pengawas]]</f>
        <v>0</v>
      </c>
    </row>
    <row r="912" spans="1:13" x14ac:dyDescent="0.25">
      <c r="A912" t="s">
        <v>79</v>
      </c>
      <c r="B912">
        <v>7172021005000400</v>
      </c>
      <c r="C912">
        <v>19</v>
      </c>
      <c r="D912">
        <v>4</v>
      </c>
      <c r="E912">
        <v>0</v>
      </c>
      <c r="F912">
        <v>0</v>
      </c>
      <c r="G912">
        <v>15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f>region_summary__54[[#This Row],[REJECTED BY Admin Kabupaten]]+region_summary__54[[#This Row],[REJECTED BY Pengawas]]</f>
        <v>0</v>
      </c>
    </row>
    <row r="913" spans="1:13" x14ac:dyDescent="0.25">
      <c r="A913" t="s">
        <v>232</v>
      </c>
      <c r="B913">
        <v>7172022001000800</v>
      </c>
      <c r="C913">
        <v>75</v>
      </c>
      <c r="D913">
        <v>58</v>
      </c>
      <c r="E913">
        <v>1</v>
      </c>
      <c r="F913">
        <v>1</v>
      </c>
      <c r="G913">
        <v>14</v>
      </c>
      <c r="H913">
        <v>0</v>
      </c>
      <c r="I913">
        <v>0</v>
      </c>
      <c r="J913">
        <v>0</v>
      </c>
      <c r="K913">
        <v>1</v>
      </c>
      <c r="L913">
        <v>0</v>
      </c>
      <c r="M913">
        <f>region_summary__54[[#This Row],[REJECTED BY Admin Kabupaten]]+region_summary__54[[#This Row],[REJECTED BY Pengawas]]</f>
        <v>0</v>
      </c>
    </row>
    <row r="914" spans="1:13" x14ac:dyDescent="0.25">
      <c r="A914" t="s">
        <v>232</v>
      </c>
      <c r="B914">
        <v>7172022001000600</v>
      </c>
      <c r="C914">
        <v>66</v>
      </c>
      <c r="D914">
        <v>7</v>
      </c>
      <c r="E914">
        <v>24</v>
      </c>
      <c r="F914">
        <v>0</v>
      </c>
      <c r="G914">
        <v>28</v>
      </c>
      <c r="H914">
        <v>0</v>
      </c>
      <c r="I914">
        <v>0</v>
      </c>
      <c r="J914">
        <v>0</v>
      </c>
      <c r="K914">
        <v>7</v>
      </c>
      <c r="L914">
        <v>0</v>
      </c>
      <c r="M914">
        <f>region_summary__54[[#This Row],[REJECTED BY Admin Kabupaten]]+region_summary__54[[#This Row],[REJECTED BY Pengawas]]</f>
        <v>0</v>
      </c>
    </row>
    <row r="915" spans="1:13" x14ac:dyDescent="0.25">
      <c r="A915" t="s">
        <v>232</v>
      </c>
      <c r="B915">
        <v>7172022001000900</v>
      </c>
      <c r="C915">
        <v>64</v>
      </c>
      <c r="D915">
        <v>27</v>
      </c>
      <c r="E915">
        <v>2</v>
      </c>
      <c r="F915">
        <v>1</v>
      </c>
      <c r="G915">
        <v>34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f>region_summary__54[[#This Row],[REJECTED BY Admin Kabupaten]]+region_summary__54[[#This Row],[REJECTED BY Pengawas]]</f>
        <v>0</v>
      </c>
    </row>
    <row r="916" spans="1:13" x14ac:dyDescent="0.25">
      <c r="A916" t="s">
        <v>232</v>
      </c>
      <c r="B916">
        <v>7172022001001100</v>
      </c>
      <c r="C916">
        <v>62</v>
      </c>
      <c r="D916">
        <v>56</v>
      </c>
      <c r="E916">
        <v>1</v>
      </c>
      <c r="F916">
        <v>3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f>region_summary__54[[#This Row],[REJECTED BY Admin Kabupaten]]+region_summary__54[[#This Row],[REJECTED BY Pengawas]]</f>
        <v>0</v>
      </c>
    </row>
    <row r="917" spans="1:13" x14ac:dyDescent="0.25">
      <c r="A917" t="s">
        <v>232</v>
      </c>
      <c r="B917">
        <v>7172022001000700</v>
      </c>
      <c r="C917">
        <v>60</v>
      </c>
      <c r="D917">
        <v>0</v>
      </c>
      <c r="E917">
        <v>12</v>
      </c>
      <c r="F917">
        <v>0</v>
      </c>
      <c r="G917">
        <v>48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f>region_summary__54[[#This Row],[REJECTED BY Admin Kabupaten]]+region_summary__54[[#This Row],[REJECTED BY Pengawas]]</f>
        <v>0</v>
      </c>
    </row>
    <row r="918" spans="1:13" x14ac:dyDescent="0.25">
      <c r="A918" t="s">
        <v>232</v>
      </c>
      <c r="B918">
        <v>7172022001001000</v>
      </c>
      <c r="C918">
        <v>54</v>
      </c>
      <c r="D918">
        <v>30</v>
      </c>
      <c r="E918">
        <v>0</v>
      </c>
      <c r="F918">
        <v>1</v>
      </c>
      <c r="G918">
        <v>10</v>
      </c>
      <c r="H918">
        <v>0</v>
      </c>
      <c r="I918">
        <v>0</v>
      </c>
      <c r="J918">
        <v>0</v>
      </c>
      <c r="K918">
        <v>13</v>
      </c>
      <c r="L918">
        <v>0</v>
      </c>
      <c r="M918">
        <f>region_summary__54[[#This Row],[REJECTED BY Admin Kabupaten]]+region_summary__54[[#This Row],[REJECTED BY Pengawas]]</f>
        <v>0</v>
      </c>
    </row>
    <row r="919" spans="1:13" x14ac:dyDescent="0.25">
      <c r="A919" t="s">
        <v>232</v>
      </c>
      <c r="B919">
        <v>7172022001001200</v>
      </c>
      <c r="C919">
        <v>48</v>
      </c>
      <c r="D919">
        <v>1</v>
      </c>
      <c r="E919">
        <v>0</v>
      </c>
      <c r="F919">
        <v>0</v>
      </c>
      <c r="G919">
        <v>47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f>region_summary__54[[#This Row],[REJECTED BY Admin Kabupaten]]+region_summary__54[[#This Row],[REJECTED BY Pengawas]]</f>
        <v>0</v>
      </c>
    </row>
    <row r="920" spans="1:13" x14ac:dyDescent="0.25">
      <c r="A920" t="s">
        <v>85</v>
      </c>
      <c r="B920">
        <v>7172022003000200</v>
      </c>
      <c r="C920">
        <v>113</v>
      </c>
      <c r="D920">
        <v>109</v>
      </c>
      <c r="E920">
        <v>0</v>
      </c>
      <c r="F920">
        <v>0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f>region_summary__54[[#This Row],[REJECTED BY Admin Kabupaten]]+region_summary__54[[#This Row],[REJECTED BY Pengawas]]</f>
        <v>0</v>
      </c>
    </row>
    <row r="921" spans="1:13" x14ac:dyDescent="0.25">
      <c r="A921" t="s">
        <v>85</v>
      </c>
      <c r="B921">
        <v>7172022003000400</v>
      </c>
      <c r="C921">
        <v>73</v>
      </c>
      <c r="D921">
        <v>42</v>
      </c>
      <c r="E921">
        <v>4</v>
      </c>
      <c r="F921">
        <v>1</v>
      </c>
      <c r="G921">
        <v>2</v>
      </c>
      <c r="H921">
        <v>0</v>
      </c>
      <c r="I921">
        <v>2</v>
      </c>
      <c r="J921">
        <v>0</v>
      </c>
      <c r="K921">
        <v>22</v>
      </c>
      <c r="L921">
        <v>0</v>
      </c>
      <c r="M921">
        <f>region_summary__54[[#This Row],[REJECTED BY Admin Kabupaten]]+region_summary__54[[#This Row],[REJECTED BY Pengawas]]</f>
        <v>2</v>
      </c>
    </row>
    <row r="922" spans="1:13" x14ac:dyDescent="0.25">
      <c r="A922" t="s">
        <v>85</v>
      </c>
      <c r="B922">
        <v>7172022003000300</v>
      </c>
      <c r="C922">
        <v>58</v>
      </c>
      <c r="D922">
        <v>34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23</v>
      </c>
      <c r="K922">
        <v>0</v>
      </c>
      <c r="L922">
        <v>0</v>
      </c>
      <c r="M922">
        <f>region_summary__54[[#This Row],[REJECTED BY Admin Kabupaten]]+region_summary__54[[#This Row],[REJECTED BY Pengawas]]</f>
        <v>0</v>
      </c>
    </row>
    <row r="923" spans="1:13" x14ac:dyDescent="0.25">
      <c r="A923" t="s">
        <v>85</v>
      </c>
      <c r="B923">
        <v>7172022002000400</v>
      </c>
      <c r="C923">
        <v>56</v>
      </c>
      <c r="D923">
        <v>7</v>
      </c>
      <c r="E923">
        <v>20</v>
      </c>
      <c r="F923">
        <v>0</v>
      </c>
      <c r="G923">
        <v>23</v>
      </c>
      <c r="H923">
        <v>0</v>
      </c>
      <c r="I923">
        <v>0</v>
      </c>
      <c r="J923">
        <v>0</v>
      </c>
      <c r="K923">
        <v>6</v>
      </c>
      <c r="L923">
        <v>0</v>
      </c>
      <c r="M923">
        <f>region_summary__54[[#This Row],[REJECTED BY Admin Kabupaten]]+region_summary__54[[#This Row],[REJECTED BY Pengawas]]</f>
        <v>0</v>
      </c>
    </row>
    <row r="924" spans="1:13" x14ac:dyDescent="0.25">
      <c r="A924" t="s">
        <v>85</v>
      </c>
      <c r="B924">
        <v>7172022002000700</v>
      </c>
      <c r="C924">
        <v>46</v>
      </c>
      <c r="D924">
        <v>0</v>
      </c>
      <c r="E924">
        <v>0</v>
      </c>
      <c r="F924">
        <v>0</v>
      </c>
      <c r="G924">
        <v>46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f>region_summary__54[[#This Row],[REJECTED BY Admin Kabupaten]]+region_summary__54[[#This Row],[REJECTED BY Pengawas]]</f>
        <v>0</v>
      </c>
    </row>
    <row r="925" spans="1:13" x14ac:dyDescent="0.25">
      <c r="A925" t="s">
        <v>85</v>
      </c>
      <c r="B925">
        <v>7172022002000500</v>
      </c>
      <c r="C925">
        <v>43</v>
      </c>
      <c r="D925">
        <v>0</v>
      </c>
      <c r="E925">
        <v>0</v>
      </c>
      <c r="F925">
        <v>0</v>
      </c>
      <c r="G925">
        <v>43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f>region_summary__54[[#This Row],[REJECTED BY Admin Kabupaten]]+region_summary__54[[#This Row],[REJECTED BY Pengawas]]</f>
        <v>0</v>
      </c>
    </row>
    <row r="926" spans="1:13" x14ac:dyDescent="0.25">
      <c r="A926" t="s">
        <v>85</v>
      </c>
      <c r="B926">
        <v>7172022002000600</v>
      </c>
      <c r="C926">
        <v>40</v>
      </c>
      <c r="D926">
        <v>0</v>
      </c>
      <c r="E926">
        <v>0</v>
      </c>
      <c r="F926">
        <v>0</v>
      </c>
      <c r="G926">
        <v>40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f>region_summary__54[[#This Row],[REJECTED BY Admin Kabupaten]]+region_summary__54[[#This Row],[REJECTED BY Pengawas]]</f>
        <v>0</v>
      </c>
    </row>
    <row r="927" spans="1:13" x14ac:dyDescent="0.25">
      <c r="A927" t="s">
        <v>85</v>
      </c>
      <c r="B927">
        <v>7172022002000800</v>
      </c>
      <c r="C927">
        <v>30</v>
      </c>
      <c r="D927">
        <v>0</v>
      </c>
      <c r="E927">
        <v>0</v>
      </c>
      <c r="F927">
        <v>0</v>
      </c>
      <c r="G927">
        <v>30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f>region_summary__54[[#This Row],[REJECTED BY Admin Kabupaten]]+region_summary__54[[#This Row],[REJECTED BY Pengawas]]</f>
        <v>0</v>
      </c>
    </row>
    <row r="928" spans="1:13" x14ac:dyDescent="0.25">
      <c r="A928" t="s">
        <v>89</v>
      </c>
      <c r="B928">
        <v>7172022009000100</v>
      </c>
      <c r="C928">
        <v>112</v>
      </c>
      <c r="D928">
        <v>19</v>
      </c>
      <c r="E928">
        <v>30</v>
      </c>
      <c r="F928">
        <v>0</v>
      </c>
      <c r="G928">
        <v>62</v>
      </c>
      <c r="H928">
        <v>0</v>
      </c>
      <c r="I928">
        <v>0</v>
      </c>
      <c r="J928">
        <v>0</v>
      </c>
      <c r="K928">
        <v>1</v>
      </c>
      <c r="L928">
        <v>0</v>
      </c>
      <c r="M928">
        <f>region_summary__54[[#This Row],[REJECTED BY Admin Kabupaten]]+region_summary__54[[#This Row],[REJECTED BY Pengawas]]</f>
        <v>0</v>
      </c>
    </row>
    <row r="929" spans="1:13" x14ac:dyDescent="0.25">
      <c r="A929" t="s">
        <v>89</v>
      </c>
      <c r="B929">
        <v>7172022008000400</v>
      </c>
      <c r="C929">
        <v>98</v>
      </c>
      <c r="D929">
        <v>95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1</v>
      </c>
      <c r="L929">
        <v>0</v>
      </c>
      <c r="M929">
        <f>region_summary__54[[#This Row],[REJECTED BY Admin Kabupaten]]+region_summary__54[[#This Row],[REJECTED BY Pengawas]]</f>
        <v>0</v>
      </c>
    </row>
    <row r="930" spans="1:13" x14ac:dyDescent="0.25">
      <c r="A930" t="s">
        <v>89</v>
      </c>
      <c r="B930">
        <v>7172022009000200</v>
      </c>
      <c r="C930">
        <v>74</v>
      </c>
      <c r="D930">
        <v>0</v>
      </c>
      <c r="E930">
        <v>0</v>
      </c>
      <c r="F930">
        <v>0</v>
      </c>
      <c r="G930">
        <v>74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f>region_summary__54[[#This Row],[REJECTED BY Admin Kabupaten]]+region_summary__54[[#This Row],[REJECTED BY Pengawas]]</f>
        <v>0</v>
      </c>
    </row>
    <row r="931" spans="1:13" x14ac:dyDescent="0.25">
      <c r="A931" t="s">
        <v>89</v>
      </c>
      <c r="B931">
        <v>7172022009000400</v>
      </c>
      <c r="C931">
        <v>61</v>
      </c>
      <c r="D931">
        <v>42</v>
      </c>
      <c r="E931">
        <v>12</v>
      </c>
      <c r="F931">
        <v>1</v>
      </c>
      <c r="G931">
        <v>5</v>
      </c>
      <c r="H931">
        <v>0</v>
      </c>
      <c r="I931">
        <v>0</v>
      </c>
      <c r="J931">
        <v>0</v>
      </c>
      <c r="K931">
        <v>1</v>
      </c>
      <c r="L931">
        <v>0</v>
      </c>
      <c r="M931">
        <f>region_summary__54[[#This Row],[REJECTED BY Admin Kabupaten]]+region_summary__54[[#This Row],[REJECTED BY Pengawas]]</f>
        <v>0</v>
      </c>
    </row>
    <row r="932" spans="1:13" x14ac:dyDescent="0.25">
      <c r="A932" t="s">
        <v>89</v>
      </c>
      <c r="B932">
        <v>7172022009000300</v>
      </c>
      <c r="C932">
        <v>47</v>
      </c>
      <c r="D932">
        <v>40</v>
      </c>
      <c r="E932">
        <v>2</v>
      </c>
      <c r="F932">
        <v>1</v>
      </c>
      <c r="G932">
        <v>3</v>
      </c>
      <c r="H932">
        <v>0</v>
      </c>
      <c r="I932">
        <v>0</v>
      </c>
      <c r="J932">
        <v>0</v>
      </c>
      <c r="K932">
        <v>1</v>
      </c>
      <c r="L932">
        <v>0</v>
      </c>
      <c r="M932">
        <f>region_summary__54[[#This Row],[REJECTED BY Admin Kabupaten]]+region_summary__54[[#This Row],[REJECTED BY Pengawas]]</f>
        <v>0</v>
      </c>
    </row>
    <row r="933" spans="1:13" x14ac:dyDescent="0.25">
      <c r="A933" t="s">
        <v>89</v>
      </c>
      <c r="B933">
        <v>7172022008000500</v>
      </c>
      <c r="C933">
        <v>44</v>
      </c>
      <c r="D933">
        <v>11</v>
      </c>
      <c r="E933">
        <v>2</v>
      </c>
      <c r="F933">
        <v>0</v>
      </c>
      <c r="G933">
        <v>31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f>region_summary__54[[#This Row],[REJECTED BY Admin Kabupaten]]+region_summary__54[[#This Row],[REJECTED BY Pengawas]]</f>
        <v>0</v>
      </c>
    </row>
    <row r="934" spans="1:13" x14ac:dyDescent="0.25">
      <c r="A934" t="s">
        <v>90</v>
      </c>
      <c r="B934">
        <v>7172030006000100</v>
      </c>
      <c r="C934">
        <v>110</v>
      </c>
      <c r="D934">
        <v>0</v>
      </c>
      <c r="E934">
        <v>0</v>
      </c>
      <c r="F934">
        <v>0</v>
      </c>
      <c r="G934">
        <v>110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f>region_summary__54[[#This Row],[REJECTED BY Admin Kabupaten]]+region_summary__54[[#This Row],[REJECTED BY Pengawas]]</f>
        <v>0</v>
      </c>
    </row>
    <row r="935" spans="1:13" x14ac:dyDescent="0.25">
      <c r="A935" t="s">
        <v>90</v>
      </c>
      <c r="B935">
        <v>7172030006000600</v>
      </c>
      <c r="C935">
        <v>108</v>
      </c>
      <c r="D935">
        <v>37</v>
      </c>
      <c r="E935">
        <v>0</v>
      </c>
      <c r="F935">
        <v>1</v>
      </c>
      <c r="G935">
        <v>56</v>
      </c>
      <c r="H935">
        <v>0</v>
      </c>
      <c r="I935">
        <v>0</v>
      </c>
      <c r="J935">
        <v>0</v>
      </c>
      <c r="K935">
        <v>13</v>
      </c>
      <c r="L935">
        <v>1</v>
      </c>
      <c r="M935">
        <f>region_summary__54[[#This Row],[REJECTED BY Admin Kabupaten]]+region_summary__54[[#This Row],[REJECTED BY Pengawas]]</f>
        <v>0</v>
      </c>
    </row>
    <row r="936" spans="1:13" x14ac:dyDescent="0.25">
      <c r="A936" t="s">
        <v>90</v>
      </c>
      <c r="B936">
        <v>7172030006000900</v>
      </c>
      <c r="C936">
        <v>92</v>
      </c>
      <c r="D936">
        <v>43</v>
      </c>
      <c r="E936">
        <v>0</v>
      </c>
      <c r="F936">
        <v>1</v>
      </c>
      <c r="G936">
        <v>41</v>
      </c>
      <c r="H936">
        <v>0</v>
      </c>
      <c r="I936">
        <v>0</v>
      </c>
      <c r="J936">
        <v>0</v>
      </c>
      <c r="K936">
        <v>7</v>
      </c>
      <c r="L936">
        <v>0</v>
      </c>
      <c r="M936">
        <f>region_summary__54[[#This Row],[REJECTED BY Admin Kabupaten]]+region_summary__54[[#This Row],[REJECTED BY Pengawas]]</f>
        <v>0</v>
      </c>
    </row>
    <row r="937" spans="1:13" x14ac:dyDescent="0.25">
      <c r="A937" t="s">
        <v>90</v>
      </c>
      <c r="B937">
        <v>7172030006000800</v>
      </c>
      <c r="C937">
        <v>86</v>
      </c>
      <c r="D937">
        <v>68</v>
      </c>
      <c r="E937">
        <v>0</v>
      </c>
      <c r="F937">
        <v>1</v>
      </c>
      <c r="G937">
        <v>13</v>
      </c>
      <c r="H937">
        <v>0</v>
      </c>
      <c r="I937">
        <v>0</v>
      </c>
      <c r="J937">
        <v>0</v>
      </c>
      <c r="K937">
        <v>4</v>
      </c>
      <c r="L937">
        <v>0</v>
      </c>
      <c r="M937">
        <f>region_summary__54[[#This Row],[REJECTED BY Admin Kabupaten]]+region_summary__54[[#This Row],[REJECTED BY Pengawas]]</f>
        <v>0</v>
      </c>
    </row>
    <row r="938" spans="1:13" x14ac:dyDescent="0.25">
      <c r="A938" t="s">
        <v>90</v>
      </c>
      <c r="B938">
        <v>7172030006000200</v>
      </c>
      <c r="C938">
        <v>77</v>
      </c>
      <c r="D938">
        <v>20</v>
      </c>
      <c r="E938">
        <v>1</v>
      </c>
      <c r="F938">
        <v>0</v>
      </c>
      <c r="G938">
        <v>52</v>
      </c>
      <c r="H938">
        <v>0</v>
      </c>
      <c r="I938">
        <v>1</v>
      </c>
      <c r="J938">
        <v>0</v>
      </c>
      <c r="K938">
        <v>3</v>
      </c>
      <c r="L938">
        <v>0</v>
      </c>
      <c r="M938">
        <f>region_summary__54[[#This Row],[REJECTED BY Admin Kabupaten]]+region_summary__54[[#This Row],[REJECTED BY Pengawas]]</f>
        <v>1</v>
      </c>
    </row>
    <row r="939" spans="1:13" x14ac:dyDescent="0.25">
      <c r="A939" t="s">
        <v>90</v>
      </c>
      <c r="B939">
        <v>7172030006000700</v>
      </c>
      <c r="C939">
        <v>73</v>
      </c>
      <c r="D939">
        <v>28</v>
      </c>
      <c r="E939">
        <v>0</v>
      </c>
      <c r="F939">
        <v>0</v>
      </c>
      <c r="G939">
        <v>42</v>
      </c>
      <c r="H939">
        <v>0</v>
      </c>
      <c r="I939">
        <v>0</v>
      </c>
      <c r="J939">
        <v>0</v>
      </c>
      <c r="K939">
        <v>3</v>
      </c>
      <c r="L939">
        <v>0</v>
      </c>
      <c r="M939">
        <f>region_summary__54[[#This Row],[REJECTED BY Admin Kabupaten]]+region_summary__54[[#This Row],[REJECTED BY Pengawas]]</f>
        <v>0</v>
      </c>
    </row>
    <row r="940" spans="1:13" x14ac:dyDescent="0.25">
      <c r="A940" t="s">
        <v>90</v>
      </c>
      <c r="B940">
        <v>7172030006000300</v>
      </c>
      <c r="C940">
        <v>70</v>
      </c>
      <c r="D940">
        <v>44</v>
      </c>
      <c r="E940">
        <v>0</v>
      </c>
      <c r="F940">
        <v>0</v>
      </c>
      <c r="G940">
        <v>25</v>
      </c>
      <c r="H940">
        <v>0</v>
      </c>
      <c r="I940">
        <v>0</v>
      </c>
      <c r="J940">
        <v>1</v>
      </c>
      <c r="K940">
        <v>0</v>
      </c>
      <c r="L940">
        <v>0</v>
      </c>
      <c r="M940">
        <f>region_summary__54[[#This Row],[REJECTED BY Admin Kabupaten]]+region_summary__54[[#This Row],[REJECTED BY Pengawas]]</f>
        <v>0</v>
      </c>
    </row>
    <row r="941" spans="1:13" x14ac:dyDescent="0.25">
      <c r="A941" t="s">
        <v>90</v>
      </c>
      <c r="B941">
        <v>7172030006000400</v>
      </c>
      <c r="C941">
        <v>64</v>
      </c>
      <c r="D941">
        <v>60</v>
      </c>
      <c r="E941">
        <v>0</v>
      </c>
      <c r="F941">
        <v>3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f>region_summary__54[[#This Row],[REJECTED BY Admin Kabupaten]]+region_summary__54[[#This Row],[REJECTED BY Pengawas]]</f>
        <v>0</v>
      </c>
    </row>
    <row r="942" spans="1:13" x14ac:dyDescent="0.25">
      <c r="A942" t="s">
        <v>90</v>
      </c>
      <c r="B942">
        <v>7172030006000500</v>
      </c>
      <c r="C942">
        <v>51</v>
      </c>
      <c r="D942">
        <v>30</v>
      </c>
      <c r="E942">
        <v>0</v>
      </c>
      <c r="F942">
        <v>1</v>
      </c>
      <c r="G942">
        <v>18</v>
      </c>
      <c r="H942">
        <v>0</v>
      </c>
      <c r="I942">
        <v>0</v>
      </c>
      <c r="J942">
        <v>0</v>
      </c>
      <c r="K942">
        <v>2</v>
      </c>
      <c r="L942">
        <v>0</v>
      </c>
      <c r="M942">
        <f>region_summary__54[[#This Row],[REJECTED BY Admin Kabupaten]]+region_summary__54[[#This Row],[REJECTED BY Pengawas]]</f>
        <v>0</v>
      </c>
    </row>
    <row r="943" spans="1:13" x14ac:dyDescent="0.25">
      <c r="A943" t="s">
        <v>91</v>
      </c>
      <c r="B943">
        <v>7172030006001100</v>
      </c>
      <c r="C943">
        <v>108</v>
      </c>
      <c r="D943">
        <v>24</v>
      </c>
      <c r="E943">
        <v>15</v>
      </c>
      <c r="F943">
        <v>0</v>
      </c>
      <c r="G943">
        <v>67</v>
      </c>
      <c r="H943">
        <v>0</v>
      </c>
      <c r="I943">
        <v>2</v>
      </c>
      <c r="J943">
        <v>0</v>
      </c>
      <c r="K943">
        <v>0</v>
      </c>
      <c r="L943">
        <v>0</v>
      </c>
      <c r="M943">
        <f>region_summary__54[[#This Row],[REJECTED BY Admin Kabupaten]]+region_summary__54[[#This Row],[REJECTED BY Pengawas]]</f>
        <v>2</v>
      </c>
    </row>
    <row r="944" spans="1:13" x14ac:dyDescent="0.25">
      <c r="A944" t="s">
        <v>91</v>
      </c>
      <c r="B944">
        <v>7172030006001200</v>
      </c>
      <c r="C944">
        <v>101</v>
      </c>
      <c r="D944">
        <v>1</v>
      </c>
      <c r="E944">
        <v>0</v>
      </c>
      <c r="F944">
        <v>0</v>
      </c>
      <c r="G944">
        <v>100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f>region_summary__54[[#This Row],[REJECTED BY Admin Kabupaten]]+region_summary__54[[#This Row],[REJECTED BY Pengawas]]</f>
        <v>0</v>
      </c>
    </row>
    <row r="945" spans="1:13" x14ac:dyDescent="0.25">
      <c r="A945" t="s">
        <v>91</v>
      </c>
      <c r="B945">
        <v>7172030006001000</v>
      </c>
      <c r="C945">
        <v>73</v>
      </c>
      <c r="D945">
        <v>2</v>
      </c>
      <c r="E945">
        <v>0</v>
      </c>
      <c r="F945">
        <v>0</v>
      </c>
      <c r="G945">
        <v>71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f>region_summary__54[[#This Row],[REJECTED BY Admin Kabupaten]]+region_summary__54[[#This Row],[REJECTED BY Pengawas]]</f>
        <v>0</v>
      </c>
    </row>
    <row r="946" spans="1:13" x14ac:dyDescent="0.25">
      <c r="A946" t="s">
        <v>91</v>
      </c>
      <c r="B946">
        <v>7172030006001600</v>
      </c>
      <c r="C946">
        <v>69</v>
      </c>
      <c r="D946">
        <v>56</v>
      </c>
      <c r="E946">
        <v>0</v>
      </c>
      <c r="F946">
        <v>0</v>
      </c>
      <c r="G946">
        <v>11</v>
      </c>
      <c r="H946">
        <v>0</v>
      </c>
      <c r="I946">
        <v>0</v>
      </c>
      <c r="J946">
        <v>0</v>
      </c>
      <c r="K946">
        <v>2</v>
      </c>
      <c r="L946">
        <v>0</v>
      </c>
      <c r="M946">
        <f>region_summary__54[[#This Row],[REJECTED BY Admin Kabupaten]]+region_summary__54[[#This Row],[REJECTED BY Pengawas]]</f>
        <v>0</v>
      </c>
    </row>
    <row r="947" spans="1:13" x14ac:dyDescent="0.25">
      <c r="A947" t="s">
        <v>91</v>
      </c>
      <c r="B947">
        <v>7172030006001300</v>
      </c>
      <c r="C947">
        <v>57</v>
      </c>
      <c r="D947">
        <v>14</v>
      </c>
      <c r="E947">
        <v>1</v>
      </c>
      <c r="F947">
        <v>0</v>
      </c>
      <c r="G947">
        <v>42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f>region_summary__54[[#This Row],[REJECTED BY Admin Kabupaten]]+region_summary__54[[#This Row],[REJECTED BY Pengawas]]</f>
        <v>0</v>
      </c>
    </row>
    <row r="948" spans="1:13" x14ac:dyDescent="0.25">
      <c r="A948" t="s">
        <v>91</v>
      </c>
      <c r="B948">
        <v>7172030006001400</v>
      </c>
      <c r="C948">
        <v>57</v>
      </c>
      <c r="D948">
        <v>19</v>
      </c>
      <c r="E948">
        <v>8</v>
      </c>
      <c r="F948">
        <v>1</v>
      </c>
      <c r="G948">
        <v>12</v>
      </c>
      <c r="H948">
        <v>0</v>
      </c>
      <c r="I948">
        <v>3</v>
      </c>
      <c r="J948">
        <v>0</v>
      </c>
      <c r="K948">
        <v>14</v>
      </c>
      <c r="L948">
        <v>0</v>
      </c>
      <c r="M948">
        <f>region_summary__54[[#This Row],[REJECTED BY Admin Kabupaten]]+region_summary__54[[#This Row],[REJECTED BY Pengawas]]</f>
        <v>3</v>
      </c>
    </row>
    <row r="949" spans="1:13" x14ac:dyDescent="0.25">
      <c r="A949" t="s">
        <v>91</v>
      </c>
      <c r="B949">
        <v>7172030006001700</v>
      </c>
      <c r="C949">
        <v>57</v>
      </c>
      <c r="D949">
        <v>48</v>
      </c>
      <c r="E949">
        <v>0</v>
      </c>
      <c r="F949">
        <v>0</v>
      </c>
      <c r="G949">
        <v>7</v>
      </c>
      <c r="H949">
        <v>0</v>
      </c>
      <c r="I949">
        <v>0</v>
      </c>
      <c r="J949">
        <v>0</v>
      </c>
      <c r="K949">
        <v>2</v>
      </c>
      <c r="L949">
        <v>0</v>
      </c>
      <c r="M949">
        <f>region_summary__54[[#This Row],[REJECTED BY Admin Kabupaten]]+region_summary__54[[#This Row],[REJECTED BY Pengawas]]</f>
        <v>0</v>
      </c>
    </row>
    <row r="950" spans="1:13" x14ac:dyDescent="0.25">
      <c r="A950" t="s">
        <v>91</v>
      </c>
      <c r="B950">
        <v>7172030006001800</v>
      </c>
      <c r="C950">
        <v>52</v>
      </c>
      <c r="D950">
        <v>46</v>
      </c>
      <c r="E950">
        <v>0</v>
      </c>
      <c r="F950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f>region_summary__54[[#This Row],[REJECTED BY Admin Kabupaten]]+region_summary__54[[#This Row],[REJECTED BY Pengawas]]</f>
        <v>0</v>
      </c>
    </row>
    <row r="951" spans="1:13" x14ac:dyDescent="0.25">
      <c r="A951" t="s">
        <v>91</v>
      </c>
      <c r="B951">
        <v>7172030006001500</v>
      </c>
      <c r="C951">
        <v>49</v>
      </c>
      <c r="D951">
        <v>40</v>
      </c>
      <c r="E951">
        <v>1</v>
      </c>
      <c r="F951">
        <v>1</v>
      </c>
      <c r="G951">
        <v>6</v>
      </c>
      <c r="H951">
        <v>0</v>
      </c>
      <c r="I951">
        <v>0</v>
      </c>
      <c r="J951">
        <v>0</v>
      </c>
      <c r="K951">
        <v>1</v>
      </c>
      <c r="L951">
        <v>0</v>
      </c>
      <c r="M951">
        <f>region_summary__54[[#This Row],[REJECTED BY Admin Kabupaten]]+region_summary__54[[#This Row],[REJECTED BY Pengawas]]</f>
        <v>0</v>
      </c>
    </row>
    <row r="952" spans="1:13" x14ac:dyDescent="0.25">
      <c r="A952" t="s">
        <v>91</v>
      </c>
      <c r="B952">
        <v>7172030006001900</v>
      </c>
      <c r="C952">
        <v>47</v>
      </c>
      <c r="D952">
        <v>41</v>
      </c>
      <c r="E952">
        <v>1</v>
      </c>
      <c r="F952">
        <v>0</v>
      </c>
      <c r="G952">
        <v>4</v>
      </c>
      <c r="H952">
        <v>0</v>
      </c>
      <c r="I952">
        <v>0</v>
      </c>
      <c r="J952">
        <v>0</v>
      </c>
      <c r="K952">
        <v>1</v>
      </c>
      <c r="L952">
        <v>0</v>
      </c>
      <c r="M952">
        <f>region_summary__54[[#This Row],[REJECTED BY Admin Kabupaten]]+region_summary__54[[#This Row],[REJECTED BY Pengawas]]</f>
        <v>0</v>
      </c>
    </row>
    <row r="953" spans="1:13" x14ac:dyDescent="0.25">
      <c r="A953" t="s">
        <v>233</v>
      </c>
      <c r="B953">
        <v>7172030007000400</v>
      </c>
      <c r="C953">
        <v>159</v>
      </c>
      <c r="D953">
        <v>0</v>
      </c>
      <c r="E953">
        <v>0</v>
      </c>
      <c r="F953">
        <v>0</v>
      </c>
      <c r="G953">
        <v>159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f>region_summary__54[[#This Row],[REJECTED BY Admin Kabupaten]]+region_summary__54[[#This Row],[REJECTED BY Pengawas]]</f>
        <v>0</v>
      </c>
    </row>
    <row r="954" spans="1:13" x14ac:dyDescent="0.25">
      <c r="A954" t="s">
        <v>233</v>
      </c>
      <c r="B954">
        <v>7172030007001000</v>
      </c>
      <c r="C954">
        <v>155</v>
      </c>
      <c r="D954">
        <v>149</v>
      </c>
      <c r="E954">
        <v>0</v>
      </c>
      <c r="F954">
        <v>3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f>region_summary__54[[#This Row],[REJECTED BY Admin Kabupaten]]+region_summary__54[[#This Row],[REJECTED BY Pengawas]]</f>
        <v>0</v>
      </c>
    </row>
    <row r="955" spans="1:13" x14ac:dyDescent="0.25">
      <c r="A955" t="s">
        <v>233</v>
      </c>
      <c r="B955">
        <v>7172030007000800</v>
      </c>
      <c r="C955">
        <v>93</v>
      </c>
      <c r="D955">
        <v>49</v>
      </c>
      <c r="E955">
        <v>7</v>
      </c>
      <c r="F955">
        <v>1</v>
      </c>
      <c r="G955">
        <v>8</v>
      </c>
      <c r="H955">
        <v>0</v>
      </c>
      <c r="I955">
        <v>0</v>
      </c>
      <c r="J955">
        <v>0</v>
      </c>
      <c r="K955">
        <v>28</v>
      </c>
      <c r="L955">
        <v>0</v>
      </c>
      <c r="M955">
        <f>region_summary__54[[#This Row],[REJECTED BY Admin Kabupaten]]+region_summary__54[[#This Row],[REJECTED BY Pengawas]]</f>
        <v>0</v>
      </c>
    </row>
    <row r="956" spans="1:13" x14ac:dyDescent="0.25">
      <c r="A956" t="s">
        <v>233</v>
      </c>
      <c r="B956">
        <v>7172030007000900</v>
      </c>
      <c r="C956">
        <v>90</v>
      </c>
      <c r="D956">
        <v>81</v>
      </c>
      <c r="E956">
        <v>5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3</v>
      </c>
      <c r="L956">
        <v>0</v>
      </c>
      <c r="M956">
        <f>region_summary__54[[#This Row],[REJECTED BY Admin Kabupaten]]+region_summary__54[[#This Row],[REJECTED BY Pengawas]]</f>
        <v>0</v>
      </c>
    </row>
    <row r="957" spans="1:13" x14ac:dyDescent="0.25">
      <c r="A957" t="s">
        <v>233</v>
      </c>
      <c r="B957">
        <v>7172030007000500</v>
      </c>
      <c r="C957">
        <v>79</v>
      </c>
      <c r="D957">
        <v>0</v>
      </c>
      <c r="E957">
        <v>0</v>
      </c>
      <c r="F957">
        <v>0</v>
      </c>
      <c r="G957">
        <v>79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f>region_summary__54[[#This Row],[REJECTED BY Admin Kabupaten]]+region_summary__54[[#This Row],[REJECTED BY Pengawas]]</f>
        <v>0</v>
      </c>
    </row>
    <row r="958" spans="1:13" x14ac:dyDescent="0.25">
      <c r="A958" t="s">
        <v>233</v>
      </c>
      <c r="B958">
        <v>7172030007000700</v>
      </c>
      <c r="C958">
        <v>64</v>
      </c>
      <c r="D958">
        <v>20</v>
      </c>
      <c r="E958">
        <v>7</v>
      </c>
      <c r="F958">
        <v>0</v>
      </c>
      <c r="G958">
        <v>19</v>
      </c>
      <c r="H958">
        <v>0</v>
      </c>
      <c r="I958">
        <v>0</v>
      </c>
      <c r="J958">
        <v>0</v>
      </c>
      <c r="K958">
        <v>18</v>
      </c>
      <c r="L958">
        <v>0</v>
      </c>
      <c r="M958">
        <f>region_summary__54[[#This Row],[REJECTED BY Admin Kabupaten]]+region_summary__54[[#This Row],[REJECTED BY Pengawas]]</f>
        <v>0</v>
      </c>
    </row>
    <row r="959" spans="1:13" x14ac:dyDescent="0.25">
      <c r="A959" t="s">
        <v>234</v>
      </c>
      <c r="B959">
        <v>7172030008000902</v>
      </c>
      <c r="C959">
        <v>148</v>
      </c>
      <c r="D959">
        <v>138</v>
      </c>
      <c r="E959">
        <v>0</v>
      </c>
      <c r="F959">
        <v>4</v>
      </c>
      <c r="G959">
        <v>4</v>
      </c>
      <c r="H959">
        <v>0</v>
      </c>
      <c r="I959">
        <v>0</v>
      </c>
      <c r="J959">
        <v>1</v>
      </c>
      <c r="K959">
        <v>1</v>
      </c>
      <c r="L959">
        <v>0</v>
      </c>
      <c r="M959">
        <f>region_summary__54[[#This Row],[REJECTED BY Admin Kabupaten]]+region_summary__54[[#This Row],[REJECTED BY Pengawas]]</f>
        <v>0</v>
      </c>
    </row>
    <row r="960" spans="1:13" x14ac:dyDescent="0.25">
      <c r="A960" t="s">
        <v>234</v>
      </c>
      <c r="B960">
        <v>7172030008000100</v>
      </c>
      <c r="C960">
        <v>66</v>
      </c>
      <c r="D960">
        <v>3</v>
      </c>
      <c r="E960">
        <v>0</v>
      </c>
      <c r="F960">
        <v>0</v>
      </c>
      <c r="G960">
        <v>63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f>region_summary__54[[#This Row],[REJECTED BY Admin Kabupaten]]+region_summary__54[[#This Row],[REJECTED BY Pengawas]]</f>
        <v>0</v>
      </c>
    </row>
    <row r="961" spans="1:13" x14ac:dyDescent="0.25">
      <c r="A961" t="s">
        <v>234</v>
      </c>
      <c r="B961">
        <v>7172030008000500</v>
      </c>
      <c r="C961">
        <v>64</v>
      </c>
      <c r="D961">
        <v>26</v>
      </c>
      <c r="E961">
        <v>0</v>
      </c>
      <c r="F961">
        <v>0</v>
      </c>
      <c r="G961">
        <v>23</v>
      </c>
      <c r="H961">
        <v>0</v>
      </c>
      <c r="I961">
        <v>1</v>
      </c>
      <c r="J961">
        <v>0</v>
      </c>
      <c r="K961">
        <v>14</v>
      </c>
      <c r="L961">
        <v>0</v>
      </c>
      <c r="M961">
        <f>region_summary__54[[#This Row],[REJECTED BY Admin Kabupaten]]+region_summary__54[[#This Row],[REJECTED BY Pengawas]]</f>
        <v>1</v>
      </c>
    </row>
    <row r="962" spans="1:13" x14ac:dyDescent="0.25">
      <c r="A962" t="s">
        <v>234</v>
      </c>
      <c r="B962">
        <v>7172030008000400</v>
      </c>
      <c r="C962">
        <v>60</v>
      </c>
      <c r="D962">
        <v>17</v>
      </c>
      <c r="E962">
        <v>0</v>
      </c>
      <c r="F962">
        <v>0</v>
      </c>
      <c r="G962">
        <v>43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f>region_summary__54[[#This Row],[REJECTED BY Admin Kabupaten]]+region_summary__54[[#This Row],[REJECTED BY Pengawas]]</f>
        <v>0</v>
      </c>
    </row>
    <row r="963" spans="1:13" x14ac:dyDescent="0.25">
      <c r="A963" t="s">
        <v>234</v>
      </c>
      <c r="B963">
        <v>7172030008000200</v>
      </c>
      <c r="C963">
        <v>57</v>
      </c>
      <c r="D963">
        <v>1</v>
      </c>
      <c r="E963">
        <v>0</v>
      </c>
      <c r="F963">
        <v>0</v>
      </c>
      <c r="G963">
        <v>56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f>region_summary__54[[#This Row],[REJECTED BY Admin Kabupaten]]+region_summary__54[[#This Row],[REJECTED BY Pengawas]]</f>
        <v>0</v>
      </c>
    </row>
    <row r="964" spans="1:13" x14ac:dyDescent="0.25">
      <c r="A964" t="s">
        <v>234</v>
      </c>
      <c r="B964">
        <v>7172030008000600</v>
      </c>
      <c r="C964">
        <v>57</v>
      </c>
      <c r="D964">
        <v>51</v>
      </c>
      <c r="E964">
        <v>0</v>
      </c>
      <c r="F964">
        <v>2</v>
      </c>
      <c r="G964">
        <v>0</v>
      </c>
      <c r="H964">
        <v>0</v>
      </c>
      <c r="I964">
        <v>4</v>
      </c>
      <c r="J964">
        <v>0</v>
      </c>
      <c r="K964">
        <v>0</v>
      </c>
      <c r="L964">
        <v>0</v>
      </c>
      <c r="M964">
        <f>region_summary__54[[#This Row],[REJECTED BY Admin Kabupaten]]+region_summary__54[[#This Row],[REJECTED BY Pengawas]]</f>
        <v>4</v>
      </c>
    </row>
    <row r="965" spans="1:13" x14ac:dyDescent="0.25">
      <c r="A965" t="s">
        <v>234</v>
      </c>
      <c r="B965">
        <v>7172030008000901</v>
      </c>
      <c r="C965">
        <v>54</v>
      </c>
      <c r="D965">
        <v>48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4</v>
      </c>
      <c r="L965">
        <v>0</v>
      </c>
      <c r="M965">
        <f>region_summary__54[[#This Row],[REJECTED BY Admin Kabupaten]]+region_summary__54[[#This Row],[REJECTED BY Pengawas]]</f>
        <v>0</v>
      </c>
    </row>
    <row r="966" spans="1:13" x14ac:dyDescent="0.25">
      <c r="A966" t="s">
        <v>234</v>
      </c>
      <c r="B966">
        <v>7172030008000700</v>
      </c>
      <c r="C966">
        <v>51</v>
      </c>
      <c r="D966">
        <v>45</v>
      </c>
      <c r="E966">
        <v>0</v>
      </c>
      <c r="F966">
        <v>0</v>
      </c>
      <c r="G966">
        <v>4</v>
      </c>
      <c r="H966">
        <v>0</v>
      </c>
      <c r="I966">
        <v>1</v>
      </c>
      <c r="J966">
        <v>0</v>
      </c>
      <c r="K966">
        <v>1</v>
      </c>
      <c r="L966">
        <v>0</v>
      </c>
      <c r="M966">
        <f>region_summary__54[[#This Row],[REJECTED BY Admin Kabupaten]]+region_summary__54[[#This Row],[REJECTED BY Pengawas]]</f>
        <v>1</v>
      </c>
    </row>
    <row r="967" spans="1:13" x14ac:dyDescent="0.25">
      <c r="A967" t="s">
        <v>234</v>
      </c>
      <c r="B967">
        <v>7172030008000800</v>
      </c>
      <c r="C967">
        <v>43</v>
      </c>
      <c r="D967">
        <v>9</v>
      </c>
      <c r="E967">
        <v>0</v>
      </c>
      <c r="F967">
        <v>0</v>
      </c>
      <c r="G967">
        <v>15</v>
      </c>
      <c r="H967">
        <v>0</v>
      </c>
      <c r="I967">
        <v>5</v>
      </c>
      <c r="J967">
        <v>0</v>
      </c>
      <c r="K967">
        <v>14</v>
      </c>
      <c r="L967">
        <v>0</v>
      </c>
      <c r="M967">
        <f>region_summary__54[[#This Row],[REJECTED BY Admin Kabupaten]]+region_summary__54[[#This Row],[REJECTED BY Pengawas]]</f>
        <v>5</v>
      </c>
    </row>
    <row r="968" spans="1:13" x14ac:dyDescent="0.25">
      <c r="A968" t="s">
        <v>234</v>
      </c>
      <c r="B968">
        <v>7172030008000300</v>
      </c>
      <c r="C968">
        <v>35</v>
      </c>
      <c r="D968">
        <v>8</v>
      </c>
      <c r="E968">
        <v>2</v>
      </c>
      <c r="F968">
        <v>0</v>
      </c>
      <c r="G968">
        <v>25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f>region_summary__54[[#This Row],[REJECTED BY Admin Kabupaten]]+region_summary__54[[#This Row],[REJECTED BY Pengawas]]</f>
        <v>0</v>
      </c>
    </row>
    <row r="969" spans="1:13" x14ac:dyDescent="0.25">
      <c r="A969" t="s">
        <v>234</v>
      </c>
      <c r="B969">
        <v>7172030008200100</v>
      </c>
      <c r="C969">
        <v>2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f>region_summary__54[[#This Row],[REJECTED BY Admin Kabupaten]]+region_summary__54[[#This Row],[REJECTED BY Pengawas]]</f>
        <v>0</v>
      </c>
    </row>
    <row r="970" spans="1:13" x14ac:dyDescent="0.25">
      <c r="A970" t="s">
        <v>92</v>
      </c>
      <c r="B970">
        <v>7172030007000200</v>
      </c>
      <c r="C970">
        <v>143</v>
      </c>
      <c r="D970">
        <v>76</v>
      </c>
      <c r="E970">
        <v>8</v>
      </c>
      <c r="F970">
        <v>13</v>
      </c>
      <c r="G970">
        <v>46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f>region_summary__54[[#This Row],[REJECTED BY Admin Kabupaten]]+region_summary__54[[#This Row],[REJECTED BY Pengawas]]</f>
        <v>0</v>
      </c>
    </row>
    <row r="971" spans="1:13" x14ac:dyDescent="0.25">
      <c r="A971" t="s">
        <v>92</v>
      </c>
      <c r="B971">
        <v>7172030012000700</v>
      </c>
      <c r="C971">
        <v>119</v>
      </c>
      <c r="D971">
        <v>110</v>
      </c>
      <c r="E971">
        <v>3</v>
      </c>
      <c r="F971">
        <v>4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f>region_summary__54[[#This Row],[REJECTED BY Admin Kabupaten]]+region_summary__54[[#This Row],[REJECTED BY Pengawas]]</f>
        <v>0</v>
      </c>
    </row>
    <row r="972" spans="1:13" x14ac:dyDescent="0.25">
      <c r="A972" t="s">
        <v>92</v>
      </c>
      <c r="B972">
        <v>7172030012000500</v>
      </c>
      <c r="C972">
        <v>107</v>
      </c>
      <c r="D972">
        <v>76</v>
      </c>
      <c r="E972">
        <v>12</v>
      </c>
      <c r="F972">
        <v>0</v>
      </c>
      <c r="G972">
        <v>8</v>
      </c>
      <c r="H972">
        <v>0</v>
      </c>
      <c r="I972">
        <v>0</v>
      </c>
      <c r="J972">
        <v>0</v>
      </c>
      <c r="K972">
        <v>11</v>
      </c>
      <c r="L972">
        <v>0</v>
      </c>
      <c r="M972">
        <f>region_summary__54[[#This Row],[REJECTED BY Admin Kabupaten]]+region_summary__54[[#This Row],[REJECTED BY Pengawas]]</f>
        <v>0</v>
      </c>
    </row>
    <row r="973" spans="1:13" x14ac:dyDescent="0.25">
      <c r="A973" t="s">
        <v>92</v>
      </c>
      <c r="B973">
        <v>7172030012000200</v>
      </c>
      <c r="C973">
        <v>93</v>
      </c>
      <c r="D973">
        <v>0</v>
      </c>
      <c r="E973">
        <v>8</v>
      </c>
      <c r="F973">
        <v>0</v>
      </c>
      <c r="G973">
        <v>83</v>
      </c>
      <c r="H973">
        <v>0</v>
      </c>
      <c r="I973">
        <v>0</v>
      </c>
      <c r="J973">
        <v>0</v>
      </c>
      <c r="K973">
        <v>2</v>
      </c>
      <c r="L973">
        <v>0</v>
      </c>
      <c r="M973">
        <f>region_summary__54[[#This Row],[REJECTED BY Admin Kabupaten]]+region_summary__54[[#This Row],[REJECTED BY Pengawas]]</f>
        <v>0</v>
      </c>
    </row>
    <row r="974" spans="1:13" x14ac:dyDescent="0.25">
      <c r="A974" t="s">
        <v>92</v>
      </c>
      <c r="B974">
        <v>7172030007000100</v>
      </c>
      <c r="C974">
        <v>61</v>
      </c>
      <c r="D974">
        <v>55</v>
      </c>
      <c r="E974">
        <v>0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f>region_summary__54[[#This Row],[REJECTED BY Admin Kabupaten]]+region_summary__54[[#This Row],[REJECTED BY Pengawas]]</f>
        <v>0</v>
      </c>
    </row>
    <row r="975" spans="1:13" x14ac:dyDescent="0.25">
      <c r="A975" t="s">
        <v>92</v>
      </c>
      <c r="B975">
        <v>7172030007000300</v>
      </c>
      <c r="C975">
        <v>44</v>
      </c>
      <c r="D975">
        <v>0</v>
      </c>
      <c r="E975">
        <v>0</v>
      </c>
      <c r="F975">
        <v>0</v>
      </c>
      <c r="G975">
        <v>44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f>region_summary__54[[#This Row],[REJECTED BY Admin Kabupaten]]+region_summary__54[[#This Row],[REJECTED BY Pengawas]]</f>
        <v>0</v>
      </c>
    </row>
    <row r="976" spans="1:13" x14ac:dyDescent="0.25">
      <c r="A976" t="s">
        <v>92</v>
      </c>
      <c r="B976">
        <v>7172030012000400</v>
      </c>
      <c r="C976">
        <v>44</v>
      </c>
      <c r="D976">
        <v>18</v>
      </c>
      <c r="E976">
        <v>2</v>
      </c>
      <c r="F976">
        <v>0</v>
      </c>
      <c r="G976">
        <v>18</v>
      </c>
      <c r="H976">
        <v>0</v>
      </c>
      <c r="I976">
        <v>0</v>
      </c>
      <c r="J976">
        <v>0</v>
      </c>
      <c r="K976">
        <v>6</v>
      </c>
      <c r="L976">
        <v>0</v>
      </c>
      <c r="M976">
        <f>region_summary__54[[#This Row],[REJECTED BY Admin Kabupaten]]+region_summary__54[[#This Row],[REJECTED BY Pengawas]]</f>
        <v>0</v>
      </c>
    </row>
    <row r="977" spans="1:13" x14ac:dyDescent="0.25">
      <c r="A977" t="s">
        <v>92</v>
      </c>
      <c r="B977">
        <v>7172030007000600</v>
      </c>
      <c r="C977">
        <v>34</v>
      </c>
      <c r="D977">
        <v>0</v>
      </c>
      <c r="E977">
        <v>0</v>
      </c>
      <c r="F977">
        <v>0</v>
      </c>
      <c r="G977">
        <v>34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f>region_summary__54[[#This Row],[REJECTED BY Admin Kabupaten]]+region_summary__54[[#This Row],[REJECTED BY Pengawas]]</f>
        <v>0</v>
      </c>
    </row>
    <row r="978" spans="1:13" x14ac:dyDescent="0.25">
      <c r="A978" t="s">
        <v>99</v>
      </c>
      <c r="B978">
        <v>7172030013000100</v>
      </c>
      <c r="C978">
        <v>176</v>
      </c>
      <c r="D978">
        <v>27</v>
      </c>
      <c r="E978">
        <v>9</v>
      </c>
      <c r="F978">
        <v>0</v>
      </c>
      <c r="G978">
        <v>124</v>
      </c>
      <c r="H978">
        <v>0</v>
      </c>
      <c r="I978">
        <v>0</v>
      </c>
      <c r="J978">
        <v>0</v>
      </c>
      <c r="K978">
        <v>16</v>
      </c>
      <c r="L978">
        <v>0</v>
      </c>
      <c r="M978">
        <f>region_summary__54[[#This Row],[REJECTED BY Admin Kabupaten]]+region_summary__54[[#This Row],[REJECTED BY Pengawas]]</f>
        <v>0</v>
      </c>
    </row>
    <row r="979" spans="1:13" x14ac:dyDescent="0.25">
      <c r="A979" t="s">
        <v>99</v>
      </c>
      <c r="B979">
        <v>7172030012001200</v>
      </c>
      <c r="C979">
        <v>85</v>
      </c>
      <c r="D979">
        <v>39</v>
      </c>
      <c r="E979">
        <v>11</v>
      </c>
      <c r="F979">
        <v>1</v>
      </c>
      <c r="G979">
        <v>20</v>
      </c>
      <c r="H979">
        <v>1</v>
      </c>
      <c r="I979">
        <v>2</v>
      </c>
      <c r="J979">
        <v>1</v>
      </c>
      <c r="K979">
        <v>10</v>
      </c>
      <c r="L979">
        <v>0</v>
      </c>
      <c r="M979">
        <f>region_summary__54[[#This Row],[REJECTED BY Admin Kabupaten]]+region_summary__54[[#This Row],[REJECTED BY Pengawas]]</f>
        <v>3</v>
      </c>
    </row>
    <row r="980" spans="1:13" x14ac:dyDescent="0.25">
      <c r="A980" t="s">
        <v>99</v>
      </c>
      <c r="B980">
        <v>7172030012001900</v>
      </c>
      <c r="C980">
        <v>80</v>
      </c>
      <c r="D980">
        <v>34</v>
      </c>
      <c r="E980">
        <v>14</v>
      </c>
      <c r="F980">
        <v>1</v>
      </c>
      <c r="G980">
        <v>24</v>
      </c>
      <c r="H980">
        <v>0</v>
      </c>
      <c r="I980">
        <v>1</v>
      </c>
      <c r="J980">
        <v>0</v>
      </c>
      <c r="K980">
        <v>6</v>
      </c>
      <c r="L980">
        <v>0</v>
      </c>
      <c r="M980">
        <f>region_summary__54[[#This Row],[REJECTED BY Admin Kabupaten]]+region_summary__54[[#This Row],[REJECTED BY Pengawas]]</f>
        <v>1</v>
      </c>
    </row>
    <row r="981" spans="1:13" x14ac:dyDescent="0.25">
      <c r="A981" t="s">
        <v>99</v>
      </c>
      <c r="B981">
        <v>7172030012001700</v>
      </c>
      <c r="C981">
        <v>79</v>
      </c>
      <c r="D981">
        <v>62</v>
      </c>
      <c r="E981">
        <v>3</v>
      </c>
      <c r="F981">
        <v>0</v>
      </c>
      <c r="G981">
        <v>5</v>
      </c>
      <c r="H981">
        <v>0</v>
      </c>
      <c r="I981">
        <v>1</v>
      </c>
      <c r="J981">
        <v>0</v>
      </c>
      <c r="K981">
        <v>8</v>
      </c>
      <c r="L981">
        <v>0</v>
      </c>
      <c r="M981">
        <f>region_summary__54[[#This Row],[REJECTED BY Admin Kabupaten]]+region_summary__54[[#This Row],[REJECTED BY Pengawas]]</f>
        <v>1</v>
      </c>
    </row>
    <row r="982" spans="1:13" x14ac:dyDescent="0.25">
      <c r="A982" t="s">
        <v>99</v>
      </c>
      <c r="B982">
        <v>7172030012001800</v>
      </c>
      <c r="C982">
        <v>74</v>
      </c>
      <c r="D982">
        <v>38</v>
      </c>
      <c r="E982">
        <v>1</v>
      </c>
      <c r="F982">
        <v>0</v>
      </c>
      <c r="G982">
        <v>29</v>
      </c>
      <c r="H982">
        <v>0</v>
      </c>
      <c r="I982">
        <v>0</v>
      </c>
      <c r="J982">
        <v>0</v>
      </c>
      <c r="K982">
        <v>6</v>
      </c>
      <c r="L982">
        <v>0</v>
      </c>
      <c r="M982">
        <f>region_summary__54[[#This Row],[REJECTED BY Admin Kabupaten]]+region_summary__54[[#This Row],[REJECTED BY Pengawas]]</f>
        <v>0</v>
      </c>
    </row>
    <row r="983" spans="1:13" x14ac:dyDescent="0.25">
      <c r="A983" t="s">
        <v>99</v>
      </c>
      <c r="B983">
        <v>7172030012001600</v>
      </c>
      <c r="C983">
        <v>60</v>
      </c>
      <c r="D983">
        <v>36</v>
      </c>
      <c r="E983">
        <v>0</v>
      </c>
      <c r="F983">
        <v>0</v>
      </c>
      <c r="G983">
        <v>24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f>region_summary__54[[#This Row],[REJECTED BY Admin Kabupaten]]+region_summary__54[[#This Row],[REJECTED BY Pengawas]]</f>
        <v>0</v>
      </c>
    </row>
    <row r="984" spans="1:13" x14ac:dyDescent="0.25">
      <c r="A984" t="s">
        <v>99</v>
      </c>
      <c r="B984">
        <v>7172030012002000</v>
      </c>
      <c r="C984">
        <v>52</v>
      </c>
      <c r="D984">
        <v>16</v>
      </c>
      <c r="E984">
        <v>5</v>
      </c>
      <c r="F984">
        <v>6</v>
      </c>
      <c r="G984">
        <v>22</v>
      </c>
      <c r="H984">
        <v>0</v>
      </c>
      <c r="I984">
        <v>0</v>
      </c>
      <c r="J984">
        <v>0</v>
      </c>
      <c r="K984">
        <v>3</v>
      </c>
      <c r="L984">
        <v>0</v>
      </c>
      <c r="M984">
        <f>region_summary__54[[#This Row],[REJECTED BY Admin Kabupaten]]+region_summary__54[[#This Row],[REJECTED BY Pengawas]]</f>
        <v>0</v>
      </c>
    </row>
    <row r="985" spans="1:13" x14ac:dyDescent="0.25">
      <c r="A985" t="s">
        <v>99</v>
      </c>
      <c r="B985">
        <v>7172030013000300</v>
      </c>
      <c r="C985">
        <v>52</v>
      </c>
      <c r="D985">
        <v>22</v>
      </c>
      <c r="E985">
        <v>4</v>
      </c>
      <c r="F985">
        <v>0</v>
      </c>
      <c r="G985">
        <v>15</v>
      </c>
      <c r="H985">
        <v>0</v>
      </c>
      <c r="I985">
        <v>0</v>
      </c>
      <c r="J985">
        <v>0</v>
      </c>
      <c r="K985">
        <v>11</v>
      </c>
      <c r="L985">
        <v>0</v>
      </c>
      <c r="M985">
        <f>region_summary__54[[#This Row],[REJECTED BY Admin Kabupaten]]+region_summary__54[[#This Row],[REJECTED BY Pengawas]]</f>
        <v>0</v>
      </c>
    </row>
    <row r="986" spans="1:13" x14ac:dyDescent="0.25">
      <c r="A986" t="s">
        <v>118</v>
      </c>
      <c r="B986">
        <v>7172031004001700</v>
      </c>
      <c r="C986">
        <v>141</v>
      </c>
      <c r="D986">
        <v>7</v>
      </c>
      <c r="E986">
        <v>1</v>
      </c>
      <c r="F986">
        <v>0</v>
      </c>
      <c r="G986">
        <v>133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f>region_summary__54[[#This Row],[REJECTED BY Admin Kabupaten]]+region_summary__54[[#This Row],[REJECTED BY Pengawas]]</f>
        <v>0</v>
      </c>
    </row>
    <row r="987" spans="1:13" x14ac:dyDescent="0.25">
      <c r="A987" t="s">
        <v>118</v>
      </c>
      <c r="B987">
        <v>7172031004001400</v>
      </c>
      <c r="C987">
        <v>129</v>
      </c>
      <c r="D987">
        <v>65</v>
      </c>
      <c r="E987">
        <v>4</v>
      </c>
      <c r="F987">
        <v>6</v>
      </c>
      <c r="G987">
        <v>54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f>region_summary__54[[#This Row],[REJECTED BY Admin Kabupaten]]+region_summary__54[[#This Row],[REJECTED BY Pengawas]]</f>
        <v>0</v>
      </c>
    </row>
    <row r="988" spans="1:13" x14ac:dyDescent="0.25">
      <c r="A988" t="s">
        <v>118</v>
      </c>
      <c r="B988">
        <v>7172031004001800</v>
      </c>
      <c r="C988">
        <v>91</v>
      </c>
      <c r="D988">
        <v>30</v>
      </c>
      <c r="E988">
        <v>0</v>
      </c>
      <c r="F988">
        <v>0</v>
      </c>
      <c r="G988">
        <v>61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f>region_summary__54[[#This Row],[REJECTED BY Admin Kabupaten]]+region_summary__54[[#This Row],[REJECTED BY Pengawas]]</f>
        <v>0</v>
      </c>
    </row>
    <row r="989" spans="1:13" x14ac:dyDescent="0.25">
      <c r="A989" t="s">
        <v>118</v>
      </c>
      <c r="B989">
        <v>7172031004001300</v>
      </c>
      <c r="C989">
        <v>72</v>
      </c>
      <c r="D989">
        <v>63</v>
      </c>
      <c r="E989">
        <v>3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f>region_summary__54[[#This Row],[REJECTED BY Admin Kabupaten]]+region_summary__54[[#This Row],[REJECTED BY Pengawas]]</f>
        <v>0</v>
      </c>
    </row>
    <row r="990" spans="1:13" x14ac:dyDescent="0.25">
      <c r="A990" t="s">
        <v>118</v>
      </c>
      <c r="B990">
        <v>7172031004001200</v>
      </c>
      <c r="C990">
        <v>58</v>
      </c>
      <c r="D990">
        <v>41</v>
      </c>
      <c r="E990">
        <v>0</v>
      </c>
      <c r="F990">
        <v>17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f>region_summary__54[[#This Row],[REJECTED BY Admin Kabupaten]]+region_summary__54[[#This Row],[REJECTED BY Pengawas]]</f>
        <v>0</v>
      </c>
    </row>
    <row r="991" spans="1:13" x14ac:dyDescent="0.25">
      <c r="A991" t="s">
        <v>118</v>
      </c>
      <c r="B991">
        <v>7172031004001500</v>
      </c>
      <c r="C991">
        <v>52</v>
      </c>
      <c r="D991">
        <v>41</v>
      </c>
      <c r="E991">
        <v>9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1</v>
      </c>
      <c r="L991">
        <v>0</v>
      </c>
      <c r="M991">
        <f>region_summary__54[[#This Row],[REJECTED BY Admin Kabupaten]]+region_summary__54[[#This Row],[REJECTED BY Pengawas]]</f>
        <v>1</v>
      </c>
    </row>
    <row r="992" spans="1:13" x14ac:dyDescent="0.25">
      <c r="A992" t="s">
        <v>118</v>
      </c>
      <c r="B992">
        <v>7172031004001600</v>
      </c>
      <c r="C992">
        <v>48</v>
      </c>
      <c r="D992">
        <v>26</v>
      </c>
      <c r="E992">
        <v>0</v>
      </c>
      <c r="F992">
        <v>0</v>
      </c>
      <c r="G992">
        <v>21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f>region_summary__54[[#This Row],[REJECTED BY Admin Kabupaten]]+region_summary__54[[#This Row],[REJECTED BY Pengawas]]</f>
        <v>1</v>
      </c>
    </row>
    <row r="993" spans="1:13" x14ac:dyDescent="0.25">
      <c r="A993" t="s">
        <v>118</v>
      </c>
      <c r="B993">
        <v>7172031004100200</v>
      </c>
      <c r="C993">
        <v>2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f>region_summary__54[[#This Row],[REJECTED BY Admin Kabupaten]]+region_summary__54[[#This Row],[REJECTED BY Pengawas]]</f>
        <v>0</v>
      </c>
    </row>
    <row r="994" spans="1:13" x14ac:dyDescent="0.25">
      <c r="A994" t="s">
        <v>973</v>
      </c>
      <c r="B994">
        <v>7172031005000400</v>
      </c>
      <c r="C994">
        <v>85</v>
      </c>
      <c r="D994">
        <v>62</v>
      </c>
      <c r="E994">
        <v>1</v>
      </c>
      <c r="F994">
        <v>9</v>
      </c>
      <c r="G994">
        <v>13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f>region_summary__54[[#This Row],[REJECTED BY Admin Kabupaten]]+region_summary__54[[#This Row],[REJECTED BY Pengawas]]</f>
        <v>0</v>
      </c>
    </row>
    <row r="995" spans="1:13" x14ac:dyDescent="0.25">
      <c r="A995" t="s">
        <v>973</v>
      </c>
      <c r="B995">
        <v>7172031005000500</v>
      </c>
      <c r="C995">
        <v>84</v>
      </c>
      <c r="D995">
        <v>46</v>
      </c>
      <c r="E995">
        <v>0</v>
      </c>
      <c r="F995">
        <v>2</v>
      </c>
      <c r="G995">
        <v>36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f>region_summary__54[[#This Row],[REJECTED BY Admin Kabupaten]]+region_summary__54[[#This Row],[REJECTED BY Pengawas]]</f>
        <v>0</v>
      </c>
    </row>
    <row r="996" spans="1:13" x14ac:dyDescent="0.25">
      <c r="A996" t="s">
        <v>973</v>
      </c>
      <c r="B996">
        <v>7172031005001200</v>
      </c>
      <c r="C996">
        <v>73</v>
      </c>
      <c r="D996">
        <v>16</v>
      </c>
      <c r="E996">
        <v>0</v>
      </c>
      <c r="F996">
        <v>0</v>
      </c>
      <c r="G996">
        <v>57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f>region_summary__54[[#This Row],[REJECTED BY Admin Kabupaten]]+region_summary__54[[#This Row],[REJECTED BY Pengawas]]</f>
        <v>0</v>
      </c>
    </row>
    <row r="997" spans="1:13" x14ac:dyDescent="0.25">
      <c r="A997" t="s">
        <v>973</v>
      </c>
      <c r="B997">
        <v>7172031005000900</v>
      </c>
      <c r="C997">
        <v>60</v>
      </c>
      <c r="D997">
        <v>47</v>
      </c>
      <c r="E997">
        <v>4</v>
      </c>
      <c r="F997">
        <v>0</v>
      </c>
      <c r="G997">
        <v>7</v>
      </c>
      <c r="H997">
        <v>0</v>
      </c>
      <c r="I997">
        <v>2</v>
      </c>
      <c r="J997">
        <v>0</v>
      </c>
      <c r="K997">
        <v>0</v>
      </c>
      <c r="L997">
        <v>0</v>
      </c>
      <c r="M997">
        <f>region_summary__54[[#This Row],[REJECTED BY Admin Kabupaten]]+region_summary__54[[#This Row],[REJECTED BY Pengawas]]</f>
        <v>2</v>
      </c>
    </row>
    <row r="998" spans="1:13" x14ac:dyDescent="0.25">
      <c r="A998" t="s">
        <v>973</v>
      </c>
      <c r="B998">
        <v>7172031005001700</v>
      </c>
      <c r="C998">
        <v>58</v>
      </c>
      <c r="D998">
        <v>56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f>region_summary__54[[#This Row],[REJECTED BY Admin Kabupaten]]+region_summary__54[[#This Row],[REJECTED BY Pengawas]]</f>
        <v>0</v>
      </c>
    </row>
    <row r="999" spans="1:13" x14ac:dyDescent="0.25">
      <c r="A999" t="s">
        <v>973</v>
      </c>
      <c r="B999">
        <v>7172031005000300</v>
      </c>
      <c r="C999">
        <v>53</v>
      </c>
      <c r="D999">
        <v>36</v>
      </c>
      <c r="E999">
        <v>5</v>
      </c>
      <c r="F999">
        <v>9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f>region_summary__54[[#This Row],[REJECTED BY Admin Kabupaten]]+region_summary__54[[#This Row],[REJECTED BY Pengawas]]</f>
        <v>0</v>
      </c>
    </row>
    <row r="1000" spans="1:13" x14ac:dyDescent="0.25">
      <c r="A1000" t="s">
        <v>973</v>
      </c>
      <c r="B1000">
        <v>7172031005000700</v>
      </c>
      <c r="C1000">
        <v>50</v>
      </c>
      <c r="D1000">
        <v>9</v>
      </c>
      <c r="E1000">
        <v>4</v>
      </c>
      <c r="F1000">
        <v>0</v>
      </c>
      <c r="G1000">
        <v>37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f>region_summary__54[[#This Row],[REJECTED BY Admin Kabupaten]]+region_summary__54[[#This Row],[REJECTED BY Pengawas]]</f>
        <v>0</v>
      </c>
    </row>
    <row r="1001" spans="1:13" x14ac:dyDescent="0.25">
      <c r="A1001" t="s">
        <v>973</v>
      </c>
      <c r="B1001">
        <v>7172031005000200</v>
      </c>
      <c r="C1001">
        <v>48</v>
      </c>
      <c r="D1001">
        <v>31</v>
      </c>
      <c r="E1001">
        <v>0</v>
      </c>
      <c r="F1001">
        <v>5</v>
      </c>
      <c r="G1001">
        <v>12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f>region_summary__54[[#This Row],[REJECTED BY Admin Kabupaten]]+region_summary__54[[#This Row],[REJECTED BY Pengawas]]</f>
        <v>0</v>
      </c>
    </row>
    <row r="1002" spans="1:13" x14ac:dyDescent="0.25">
      <c r="A1002" t="s">
        <v>973</v>
      </c>
      <c r="B1002">
        <v>7172031005000600</v>
      </c>
      <c r="C1002">
        <v>47</v>
      </c>
      <c r="D1002">
        <v>21</v>
      </c>
      <c r="E1002">
        <v>1</v>
      </c>
      <c r="F1002">
        <v>6</v>
      </c>
      <c r="G1002">
        <v>19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f>region_summary__54[[#This Row],[REJECTED BY Admin Kabupaten]]+region_summary__54[[#This Row],[REJECTED BY Pengawas]]</f>
        <v>0</v>
      </c>
    </row>
    <row r="1003" spans="1:13" x14ac:dyDescent="0.25">
      <c r="A1003" t="s">
        <v>973</v>
      </c>
      <c r="B1003">
        <v>7172031005001000</v>
      </c>
      <c r="C1003">
        <v>41</v>
      </c>
      <c r="D1003">
        <v>8</v>
      </c>
      <c r="E1003">
        <v>0</v>
      </c>
      <c r="F1003">
        <v>0</v>
      </c>
      <c r="G1003">
        <v>33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f>region_summary__54[[#This Row],[REJECTED BY Admin Kabupaten]]+region_summary__54[[#This Row],[REJECTED BY Pengawas]]</f>
        <v>0</v>
      </c>
    </row>
    <row r="1004" spans="1:13" x14ac:dyDescent="0.25">
      <c r="A1004" t="s">
        <v>973</v>
      </c>
      <c r="B1004">
        <v>7172031005000100</v>
      </c>
      <c r="C1004">
        <v>32</v>
      </c>
      <c r="D1004">
        <v>22</v>
      </c>
      <c r="E1004">
        <v>1</v>
      </c>
      <c r="F1004">
        <v>7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f>region_summary__54[[#This Row],[REJECTED BY Admin Kabupaten]]+region_summary__54[[#This Row],[REJECTED BY Pengawas]]</f>
        <v>0</v>
      </c>
    </row>
    <row r="1005" spans="1:13" x14ac:dyDescent="0.25">
      <c r="A1005" t="s">
        <v>973</v>
      </c>
      <c r="B1005">
        <v>7172031005001100</v>
      </c>
      <c r="C1005">
        <v>31</v>
      </c>
      <c r="D1005">
        <v>9</v>
      </c>
      <c r="E1005">
        <v>5</v>
      </c>
      <c r="F1005">
        <v>0</v>
      </c>
      <c r="G1005">
        <v>17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f>region_summary__54[[#This Row],[REJECTED BY Admin Kabupaten]]+region_summary__54[[#This Row],[REJECTED BY Pengawas]]</f>
        <v>0</v>
      </c>
    </row>
    <row r="1006" spans="1:13" x14ac:dyDescent="0.25">
      <c r="A1006" t="s">
        <v>975</v>
      </c>
      <c r="B1006">
        <v>7172030017001100</v>
      </c>
      <c r="C1006">
        <v>39</v>
      </c>
      <c r="D1006">
        <v>0</v>
      </c>
      <c r="E1006">
        <v>2</v>
      </c>
      <c r="F1006">
        <v>0</v>
      </c>
      <c r="G1006">
        <v>34</v>
      </c>
      <c r="H1006">
        <v>0</v>
      </c>
      <c r="I1006">
        <v>0</v>
      </c>
      <c r="J1006">
        <v>0</v>
      </c>
      <c r="K1006">
        <v>3</v>
      </c>
      <c r="L1006">
        <v>0</v>
      </c>
      <c r="M1006">
        <f>region_summary__54[[#This Row],[REJECTED BY Admin Kabupaten]]+region_summary__54[[#This Row],[REJECTED BY Pengawas]]</f>
        <v>0</v>
      </c>
    </row>
    <row r="1007" spans="1:13" x14ac:dyDescent="0.25">
      <c r="A1007" t="s">
        <v>975</v>
      </c>
      <c r="B1007">
        <v>7172030017001500</v>
      </c>
      <c r="C1007">
        <v>38</v>
      </c>
      <c r="D1007">
        <v>0</v>
      </c>
      <c r="E1007">
        <v>0</v>
      </c>
      <c r="F1007">
        <v>0</v>
      </c>
      <c r="G1007">
        <v>28</v>
      </c>
      <c r="H1007">
        <v>0</v>
      </c>
      <c r="I1007">
        <v>0</v>
      </c>
      <c r="J1007">
        <v>0</v>
      </c>
      <c r="K1007">
        <v>10</v>
      </c>
      <c r="L1007">
        <v>0</v>
      </c>
      <c r="M1007">
        <f>region_summary__54[[#This Row],[REJECTED BY Admin Kabupaten]]+region_summary__54[[#This Row],[REJECTED BY Pengawas]]</f>
        <v>0</v>
      </c>
    </row>
    <row r="1008" spans="1:13" x14ac:dyDescent="0.25">
      <c r="A1008" t="s">
        <v>983</v>
      </c>
      <c r="B1008">
        <v>7172012004001600</v>
      </c>
      <c r="C1008">
        <v>186</v>
      </c>
      <c r="D1008">
        <v>85</v>
      </c>
      <c r="E1008">
        <v>16</v>
      </c>
      <c r="F1008">
        <v>0</v>
      </c>
      <c r="G1008">
        <v>75</v>
      </c>
      <c r="H1008">
        <v>0</v>
      </c>
      <c r="I1008">
        <v>0</v>
      </c>
      <c r="J1008">
        <v>0</v>
      </c>
      <c r="K1008">
        <v>10</v>
      </c>
      <c r="L1008">
        <v>0</v>
      </c>
      <c r="M1008">
        <f>region_summary__54[[#This Row],[REJECTED BY Admin Kabupaten]]+region_summary__54[[#This Row],[REJECTED BY Pengawas]]</f>
        <v>0</v>
      </c>
    </row>
    <row r="1009" spans="1:13" x14ac:dyDescent="0.25">
      <c r="A1009" t="s">
        <v>983</v>
      </c>
      <c r="B1009">
        <v>7172012004001801</v>
      </c>
      <c r="C1009">
        <v>141</v>
      </c>
      <c r="D1009">
        <v>1</v>
      </c>
      <c r="E1009">
        <v>10</v>
      </c>
      <c r="F1009">
        <v>0</v>
      </c>
      <c r="G1009">
        <v>130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f>region_summary__54[[#This Row],[REJECTED BY Admin Kabupaten]]+region_summary__54[[#This Row],[REJECTED BY Pengawas]]</f>
        <v>0</v>
      </c>
    </row>
    <row r="1010" spans="1:13" x14ac:dyDescent="0.25">
      <c r="A1010" t="s">
        <v>983</v>
      </c>
      <c r="B1010">
        <v>7172012004001203</v>
      </c>
      <c r="C1010">
        <v>134</v>
      </c>
      <c r="D1010">
        <v>133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f>region_summary__54[[#This Row],[REJECTED BY Admin Kabupaten]]+region_summary__54[[#This Row],[REJECTED BY Pengawas]]</f>
        <v>0</v>
      </c>
    </row>
    <row r="1011" spans="1:13" x14ac:dyDescent="0.25">
      <c r="A1011" t="s">
        <v>983</v>
      </c>
      <c r="B1011">
        <v>7172012004001702</v>
      </c>
      <c r="C1011">
        <v>128</v>
      </c>
      <c r="D1011">
        <v>47</v>
      </c>
      <c r="E1011">
        <v>0</v>
      </c>
      <c r="F1011">
        <v>2</v>
      </c>
      <c r="G1011">
        <v>79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f>region_summary__54[[#This Row],[REJECTED BY Admin Kabupaten]]+region_summary__54[[#This Row],[REJECTED BY Pengawas]]</f>
        <v>0</v>
      </c>
    </row>
    <row r="1012" spans="1:13" x14ac:dyDescent="0.25">
      <c r="A1012" t="s">
        <v>983</v>
      </c>
      <c r="B1012">
        <v>7172012004001500</v>
      </c>
      <c r="C1012">
        <v>116</v>
      </c>
      <c r="D1012">
        <v>44</v>
      </c>
      <c r="E1012">
        <v>3</v>
      </c>
      <c r="F1012">
        <v>2</v>
      </c>
      <c r="G1012">
        <v>64</v>
      </c>
      <c r="H1012">
        <v>0</v>
      </c>
      <c r="I1012">
        <v>0</v>
      </c>
      <c r="J1012">
        <v>0</v>
      </c>
      <c r="K1012">
        <v>3</v>
      </c>
      <c r="L1012">
        <v>0</v>
      </c>
      <c r="M1012">
        <f>region_summary__54[[#This Row],[REJECTED BY Admin Kabupaten]]+region_summary__54[[#This Row],[REJECTED BY Pengawas]]</f>
        <v>0</v>
      </c>
    </row>
    <row r="1013" spans="1:13" x14ac:dyDescent="0.25">
      <c r="A1013" t="s">
        <v>983</v>
      </c>
      <c r="B1013">
        <v>7172012004001300</v>
      </c>
      <c r="C1013">
        <v>96</v>
      </c>
      <c r="D1013">
        <v>89</v>
      </c>
      <c r="E1013">
        <v>4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f>region_summary__54[[#This Row],[REJECTED BY Admin Kabupaten]]+region_summary__54[[#This Row],[REJECTED BY Pengawas]]</f>
        <v>0</v>
      </c>
    </row>
    <row r="1014" spans="1:13" x14ac:dyDescent="0.25">
      <c r="A1014" t="s">
        <v>978</v>
      </c>
      <c r="B1014">
        <v>7172011003000600</v>
      </c>
      <c r="C1014">
        <v>239</v>
      </c>
      <c r="D1014">
        <v>113</v>
      </c>
      <c r="E1014">
        <v>15</v>
      </c>
      <c r="F1014">
        <v>0</v>
      </c>
      <c r="G1014">
        <v>46</v>
      </c>
      <c r="H1014">
        <v>0</v>
      </c>
      <c r="I1014">
        <v>1</v>
      </c>
      <c r="J1014">
        <v>0</v>
      </c>
      <c r="K1014">
        <v>64</v>
      </c>
      <c r="L1014">
        <v>0</v>
      </c>
      <c r="M1014">
        <f>region_summary__54[[#This Row],[REJECTED BY Admin Kabupaten]]+region_summary__54[[#This Row],[REJECTED BY Pengawas]]</f>
        <v>1</v>
      </c>
    </row>
    <row r="1015" spans="1:13" x14ac:dyDescent="0.25">
      <c r="A1015" t="s">
        <v>978</v>
      </c>
      <c r="B1015">
        <v>7172011003000300</v>
      </c>
      <c r="C1015">
        <v>208</v>
      </c>
      <c r="D1015">
        <v>178</v>
      </c>
      <c r="E1015">
        <v>0</v>
      </c>
      <c r="F1015">
        <v>0</v>
      </c>
      <c r="G1015">
        <v>30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f>region_summary__54[[#This Row],[REJECTED BY Admin Kabupaten]]+region_summary__54[[#This Row],[REJECTED BY Pengawas]]</f>
        <v>0</v>
      </c>
    </row>
    <row r="1016" spans="1:13" x14ac:dyDescent="0.25">
      <c r="A1016" t="s">
        <v>978</v>
      </c>
      <c r="B1016">
        <v>7172011003000500</v>
      </c>
      <c r="C1016">
        <v>137</v>
      </c>
      <c r="D1016">
        <v>0</v>
      </c>
      <c r="E1016">
        <v>4</v>
      </c>
      <c r="F1016">
        <v>0</v>
      </c>
      <c r="G1016">
        <v>114</v>
      </c>
      <c r="H1016">
        <v>0</v>
      </c>
      <c r="I1016">
        <v>0</v>
      </c>
      <c r="J1016">
        <v>0</v>
      </c>
      <c r="K1016">
        <v>19</v>
      </c>
      <c r="L1016">
        <v>0</v>
      </c>
      <c r="M1016">
        <f>region_summary__54[[#This Row],[REJECTED BY Admin Kabupaten]]+region_summary__54[[#This Row],[REJECTED BY Pengawas]]</f>
        <v>0</v>
      </c>
    </row>
    <row r="1017" spans="1:13" x14ac:dyDescent="0.25">
      <c r="A1017" t="s">
        <v>978</v>
      </c>
      <c r="B1017">
        <v>7172011003001001</v>
      </c>
      <c r="C1017">
        <v>103</v>
      </c>
      <c r="D1017">
        <v>0</v>
      </c>
      <c r="E1017">
        <v>0</v>
      </c>
      <c r="F1017">
        <v>0</v>
      </c>
      <c r="G1017">
        <v>103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f>region_summary__54[[#This Row],[REJECTED BY Admin Kabupaten]]+region_summary__54[[#This Row],[REJECTED BY Pengawas]]</f>
        <v>0</v>
      </c>
    </row>
    <row r="1018" spans="1:13" x14ac:dyDescent="0.25">
      <c r="A1018" t="s">
        <v>983</v>
      </c>
      <c r="B1018">
        <v>7172012004001600</v>
      </c>
      <c r="C1018">
        <v>186</v>
      </c>
      <c r="D1018">
        <v>85</v>
      </c>
      <c r="E1018">
        <v>16</v>
      </c>
      <c r="F1018">
        <v>0</v>
      </c>
      <c r="G1018">
        <v>75</v>
      </c>
      <c r="H1018">
        <v>0</v>
      </c>
      <c r="I1018">
        <v>0</v>
      </c>
      <c r="J1018">
        <v>0</v>
      </c>
      <c r="K1018">
        <v>10</v>
      </c>
      <c r="L1018">
        <v>0</v>
      </c>
      <c r="M1018">
        <f>region_summary__54[[#This Row],[REJECTED BY Admin Kabupaten]]+region_summary__54[[#This Row],[REJECTED BY Pengawas]]</f>
        <v>0</v>
      </c>
    </row>
    <row r="1019" spans="1:13" x14ac:dyDescent="0.25">
      <c r="A1019" t="s">
        <v>983</v>
      </c>
      <c r="B1019">
        <v>7172012004001801</v>
      </c>
      <c r="C1019">
        <v>141</v>
      </c>
      <c r="D1019">
        <v>1</v>
      </c>
      <c r="E1019">
        <v>10</v>
      </c>
      <c r="F1019">
        <v>0</v>
      </c>
      <c r="G1019">
        <v>130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f>region_summary__54[[#This Row],[REJECTED BY Admin Kabupaten]]+region_summary__54[[#This Row],[REJECTED BY Pengawas]]</f>
        <v>0</v>
      </c>
    </row>
    <row r="1020" spans="1:13" x14ac:dyDescent="0.25">
      <c r="A1020" t="s">
        <v>983</v>
      </c>
      <c r="B1020">
        <v>7172012004001203</v>
      </c>
      <c r="C1020">
        <v>134</v>
      </c>
      <c r="D1020">
        <v>133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f>region_summary__54[[#This Row],[REJECTED BY Admin Kabupaten]]+region_summary__54[[#This Row],[REJECTED BY Pengawas]]</f>
        <v>0</v>
      </c>
    </row>
    <row r="1021" spans="1:13" x14ac:dyDescent="0.25">
      <c r="A1021" t="s">
        <v>983</v>
      </c>
      <c r="B1021">
        <v>7172012004001702</v>
      </c>
      <c r="C1021">
        <v>128</v>
      </c>
      <c r="D1021">
        <v>47</v>
      </c>
      <c r="E1021">
        <v>0</v>
      </c>
      <c r="F1021">
        <v>2</v>
      </c>
      <c r="G1021">
        <v>79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f>region_summary__54[[#This Row],[REJECTED BY Admin Kabupaten]]+region_summary__54[[#This Row],[REJECTED BY Pengawas]]</f>
        <v>0</v>
      </c>
    </row>
    <row r="1022" spans="1:13" x14ac:dyDescent="0.25">
      <c r="A1022" t="s">
        <v>983</v>
      </c>
      <c r="B1022">
        <v>7172012004001500</v>
      </c>
      <c r="C1022">
        <v>116</v>
      </c>
      <c r="D1022">
        <v>44</v>
      </c>
      <c r="E1022">
        <v>3</v>
      </c>
      <c r="F1022">
        <v>2</v>
      </c>
      <c r="G1022">
        <v>64</v>
      </c>
      <c r="H1022">
        <v>0</v>
      </c>
      <c r="I1022">
        <v>0</v>
      </c>
      <c r="J1022">
        <v>0</v>
      </c>
      <c r="K1022">
        <v>3</v>
      </c>
      <c r="L1022">
        <v>0</v>
      </c>
      <c r="M1022">
        <f>region_summary__54[[#This Row],[REJECTED BY Admin Kabupaten]]+region_summary__54[[#This Row],[REJECTED BY Pengawas]]</f>
        <v>0</v>
      </c>
    </row>
    <row r="1023" spans="1:13" x14ac:dyDescent="0.25">
      <c r="A1023" t="s">
        <v>983</v>
      </c>
      <c r="B1023">
        <v>7172012004001300</v>
      </c>
      <c r="C1023">
        <v>96</v>
      </c>
      <c r="D1023">
        <v>89</v>
      </c>
      <c r="E1023">
        <v>4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f>region_summary__54[[#This Row],[REJECTED BY Admin Kabupaten]]+region_summary__54[[#This Row],[REJECTED BY Pengawas]]</f>
        <v>0</v>
      </c>
    </row>
    <row r="1024" spans="1:13" x14ac:dyDescent="0.25">
      <c r="A1024" t="s">
        <v>978</v>
      </c>
      <c r="B1024">
        <v>7172011003000600</v>
      </c>
      <c r="C1024">
        <v>239</v>
      </c>
      <c r="D1024">
        <v>113</v>
      </c>
      <c r="E1024">
        <v>15</v>
      </c>
      <c r="F1024">
        <v>0</v>
      </c>
      <c r="G1024">
        <v>46</v>
      </c>
      <c r="H1024">
        <v>0</v>
      </c>
      <c r="I1024">
        <v>1</v>
      </c>
      <c r="J1024">
        <v>0</v>
      </c>
      <c r="K1024">
        <v>64</v>
      </c>
      <c r="L1024">
        <v>0</v>
      </c>
      <c r="M1024">
        <f>region_summary__54[[#This Row],[REJECTED BY Admin Kabupaten]]+region_summary__54[[#This Row],[REJECTED BY Pengawas]]</f>
        <v>1</v>
      </c>
    </row>
    <row r="1025" spans="1:13" x14ac:dyDescent="0.25">
      <c r="A1025" t="s">
        <v>978</v>
      </c>
      <c r="B1025">
        <v>7172011003000300</v>
      </c>
      <c r="C1025">
        <v>208</v>
      </c>
      <c r="D1025">
        <v>178</v>
      </c>
      <c r="E1025">
        <v>0</v>
      </c>
      <c r="F1025">
        <v>0</v>
      </c>
      <c r="G1025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f>region_summary__54[[#This Row],[REJECTED BY Admin Kabupaten]]+region_summary__54[[#This Row],[REJECTED BY Pengawas]]</f>
        <v>0</v>
      </c>
    </row>
    <row r="1026" spans="1:13" x14ac:dyDescent="0.25">
      <c r="A1026" t="s">
        <v>978</v>
      </c>
      <c r="B1026">
        <v>7172011003000500</v>
      </c>
      <c r="C1026">
        <v>137</v>
      </c>
      <c r="D1026">
        <v>0</v>
      </c>
      <c r="E1026">
        <v>4</v>
      </c>
      <c r="F1026">
        <v>0</v>
      </c>
      <c r="G1026">
        <v>114</v>
      </c>
      <c r="H1026">
        <v>0</v>
      </c>
      <c r="I1026">
        <v>0</v>
      </c>
      <c r="J1026">
        <v>0</v>
      </c>
      <c r="K1026">
        <v>19</v>
      </c>
      <c r="L1026">
        <v>0</v>
      </c>
      <c r="M1026">
        <f>region_summary__54[[#This Row],[REJECTED BY Admin Kabupaten]]+region_summary__54[[#This Row],[REJECTED BY Pengawas]]</f>
        <v>0</v>
      </c>
    </row>
    <row r="1027" spans="1:13" x14ac:dyDescent="0.25">
      <c r="A1027" t="s">
        <v>978</v>
      </c>
      <c r="B1027">
        <v>7172011003001001</v>
      </c>
      <c r="C1027">
        <v>103</v>
      </c>
      <c r="D1027">
        <v>0</v>
      </c>
      <c r="E1027">
        <v>0</v>
      </c>
      <c r="F1027">
        <v>0</v>
      </c>
      <c r="G1027">
        <v>103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f>region_summary__54[[#This Row],[REJECTED BY Admin Kabupaten]]+region_summary__54[[#This Row],[REJECTED BY Pengawas]]</f>
        <v>0</v>
      </c>
    </row>
    <row r="1028" spans="1:13" x14ac:dyDescent="0.25">
      <c r="A1028" t="s">
        <v>984</v>
      </c>
      <c r="B1028">
        <v>7172011013000800</v>
      </c>
      <c r="C1028">
        <v>92</v>
      </c>
      <c r="D1028">
        <v>71</v>
      </c>
      <c r="E1028">
        <v>1</v>
      </c>
      <c r="F1028">
        <v>0</v>
      </c>
      <c r="G1028">
        <v>20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f>region_summary__54[[#This Row],[REJECTED BY Admin Kabupaten]]+region_summary__54[[#This Row],[REJECTED BY Pengawas]]</f>
        <v>0</v>
      </c>
    </row>
    <row r="1029" spans="1:13" x14ac:dyDescent="0.25">
      <c r="A1029" t="s">
        <v>984</v>
      </c>
      <c r="B1029">
        <v>7172011013000900</v>
      </c>
      <c r="C1029">
        <v>82</v>
      </c>
      <c r="D1029">
        <v>77</v>
      </c>
      <c r="E1029">
        <v>0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f>region_summary__54[[#This Row],[REJECTED BY Admin Kabupaten]]+region_summary__54[[#This Row],[REJECTED BY Pengawas]]</f>
        <v>0</v>
      </c>
    </row>
    <row r="1030" spans="1:13" x14ac:dyDescent="0.25">
      <c r="A1030" t="s">
        <v>984</v>
      </c>
      <c r="B1030">
        <v>7172011013001200</v>
      </c>
      <c r="C1030">
        <v>67</v>
      </c>
      <c r="D1030">
        <v>23</v>
      </c>
      <c r="E1030">
        <v>0</v>
      </c>
      <c r="F1030">
        <v>0</v>
      </c>
      <c r="G1030">
        <v>22</v>
      </c>
      <c r="H1030">
        <v>0</v>
      </c>
      <c r="I1030">
        <v>3</v>
      </c>
      <c r="J1030">
        <v>0</v>
      </c>
      <c r="K1030">
        <v>19</v>
      </c>
      <c r="L1030">
        <v>0</v>
      </c>
      <c r="M1030">
        <f>region_summary__54[[#This Row],[REJECTED BY Admin Kabupaten]]+region_summary__54[[#This Row],[REJECTED BY Pengawas]]</f>
        <v>3</v>
      </c>
    </row>
    <row r="1031" spans="1:13" x14ac:dyDescent="0.25">
      <c r="A1031" t="s">
        <v>984</v>
      </c>
      <c r="B1031">
        <v>7172011013000700</v>
      </c>
      <c r="C1031">
        <v>64</v>
      </c>
      <c r="D1031">
        <v>0</v>
      </c>
      <c r="E1031">
        <v>0</v>
      </c>
      <c r="F1031">
        <v>0</v>
      </c>
      <c r="G1031">
        <v>64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f>region_summary__54[[#This Row],[REJECTED BY Admin Kabupaten]]+region_summary__54[[#This Row],[REJECTED BY Pengawas]]</f>
        <v>0</v>
      </c>
    </row>
    <row r="1032" spans="1:13" x14ac:dyDescent="0.25">
      <c r="A1032" t="s">
        <v>984</v>
      </c>
      <c r="B1032">
        <v>7172011013001100</v>
      </c>
      <c r="C1032">
        <v>59</v>
      </c>
      <c r="D1032">
        <v>16</v>
      </c>
      <c r="E1032">
        <v>2</v>
      </c>
      <c r="F1032">
        <v>0</v>
      </c>
      <c r="G1032">
        <v>21</v>
      </c>
      <c r="H1032">
        <v>0</v>
      </c>
      <c r="I1032">
        <v>0</v>
      </c>
      <c r="J1032">
        <v>0</v>
      </c>
      <c r="K1032">
        <v>20</v>
      </c>
      <c r="L1032">
        <v>0</v>
      </c>
      <c r="M1032">
        <f>region_summary__54[[#This Row],[REJECTED BY Admin Kabupaten]]+region_summary__54[[#This Row],[REJECTED BY Pengawas]]</f>
        <v>0</v>
      </c>
    </row>
    <row r="1033" spans="1:13" x14ac:dyDescent="0.25">
      <c r="A1033" t="s">
        <v>984</v>
      </c>
      <c r="B1033">
        <v>7172011013000600</v>
      </c>
      <c r="C1033">
        <v>55</v>
      </c>
      <c r="D1033">
        <v>35</v>
      </c>
      <c r="E1033">
        <v>0</v>
      </c>
      <c r="F1033">
        <v>1</v>
      </c>
      <c r="G1033">
        <v>19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f>region_summary__54[[#This Row],[REJECTED BY Admin Kabupaten]]+region_summary__54[[#This Row],[REJECTED BY Pengawas]]</f>
        <v>0</v>
      </c>
    </row>
    <row r="1034" spans="1:13" x14ac:dyDescent="0.25">
      <c r="A1034" t="s">
        <v>984</v>
      </c>
      <c r="B1034">
        <v>7172011013000500</v>
      </c>
      <c r="C1034">
        <v>50</v>
      </c>
      <c r="D1034">
        <v>0</v>
      </c>
      <c r="E1034">
        <v>0</v>
      </c>
      <c r="F1034">
        <v>0</v>
      </c>
      <c r="G1034">
        <v>50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f>region_summary__54[[#This Row],[REJECTED BY Admin Kabupaten]]+region_summary__54[[#This Row],[REJECTED BY Pengawas]]</f>
        <v>0</v>
      </c>
    </row>
    <row r="1035" spans="1:13" x14ac:dyDescent="0.25">
      <c r="A1035" t="s">
        <v>984</v>
      </c>
      <c r="B1035">
        <v>7172011013000300</v>
      </c>
      <c r="C1035">
        <v>45</v>
      </c>
      <c r="D1035">
        <v>1</v>
      </c>
      <c r="E1035">
        <v>12</v>
      </c>
      <c r="F1035">
        <v>0</v>
      </c>
      <c r="G1035">
        <v>26</v>
      </c>
      <c r="H1035">
        <v>0</v>
      </c>
      <c r="I1035">
        <v>0</v>
      </c>
      <c r="J1035">
        <v>0</v>
      </c>
      <c r="K1035">
        <v>6</v>
      </c>
      <c r="L1035">
        <v>0</v>
      </c>
      <c r="M1035">
        <f>region_summary__54[[#This Row],[REJECTED BY Admin Kabupaten]]+region_summary__54[[#This Row],[REJECTED BY Pengawas]]</f>
        <v>0</v>
      </c>
    </row>
    <row r="1036" spans="1:13" x14ac:dyDescent="0.25">
      <c r="A1036" t="s">
        <v>984</v>
      </c>
      <c r="B1036">
        <v>7172011013001400</v>
      </c>
      <c r="C1036">
        <v>37</v>
      </c>
      <c r="D1036">
        <v>36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f>region_summary__54[[#This Row],[REJECTED BY Admin Kabupaten]]+region_summary__54[[#This Row],[REJECTED BY Pengawas]]</f>
        <v>0</v>
      </c>
    </row>
    <row r="1037" spans="1:13" x14ac:dyDescent="0.25">
      <c r="A1037" t="s">
        <v>984</v>
      </c>
      <c r="B1037">
        <v>7172011013000400</v>
      </c>
      <c r="C1037">
        <v>36</v>
      </c>
      <c r="D1037">
        <v>23</v>
      </c>
      <c r="E1037">
        <v>0</v>
      </c>
      <c r="F1037">
        <v>0</v>
      </c>
      <c r="G1037">
        <v>13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f>region_summary__54[[#This Row],[REJECTED BY Admin Kabupaten]]+region_summary__54[[#This Row],[REJECTED BY Pengawas]]</f>
        <v>0</v>
      </c>
    </row>
    <row r="1038" spans="1:13" x14ac:dyDescent="0.25">
      <c r="A1038" t="s">
        <v>984</v>
      </c>
      <c r="B1038">
        <v>7172011013001000</v>
      </c>
      <c r="C1038">
        <v>36</v>
      </c>
      <c r="D1038">
        <v>0</v>
      </c>
      <c r="E1038">
        <v>0</v>
      </c>
      <c r="F1038">
        <v>0</v>
      </c>
      <c r="G1038">
        <v>36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f>region_summary__54[[#This Row],[REJECTED BY Admin Kabupaten]]+region_summary__54[[#This Row],[REJECTED BY Pengawas]]</f>
        <v>0</v>
      </c>
    </row>
    <row r="1039" spans="1:13" x14ac:dyDescent="0.25">
      <c r="A1039" t="s">
        <v>984</v>
      </c>
      <c r="B1039">
        <v>7172011013001300</v>
      </c>
      <c r="C1039">
        <v>31</v>
      </c>
      <c r="D1039">
        <v>27</v>
      </c>
      <c r="E1039">
        <v>1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f>region_summary__54[[#This Row],[REJECTED BY Admin Kabupaten]]+region_summary__54[[#This Row],[REJECTED BY Pengawas]]</f>
        <v>0</v>
      </c>
    </row>
    <row r="1040" spans="1:13" x14ac:dyDescent="0.25">
      <c r="A1040" t="s">
        <v>984</v>
      </c>
      <c r="B1040">
        <v>7172011013100100</v>
      </c>
      <c r="C1040">
        <v>2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f>region_summary__54[[#This Row],[REJECTED BY Admin Kabupaten]]+region_summary__54[[#This Row],[REJECTED BY Pengawas]]</f>
        <v>0</v>
      </c>
    </row>
    <row r="1041" spans="1:13" x14ac:dyDescent="0.25">
      <c r="A1041" t="s">
        <v>984</v>
      </c>
      <c r="B1041">
        <v>7172011013100200</v>
      </c>
      <c r="C1041">
        <v>2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f>region_summary__54[[#This Row],[REJECTED BY Admin Kabupaten]]+region_summary__54[[#This Row],[REJECTED BY Pengawas]]</f>
        <v>0</v>
      </c>
    </row>
    <row r="1042" spans="1:13" x14ac:dyDescent="0.25">
      <c r="A1042" t="s">
        <v>985</v>
      </c>
      <c r="B1042">
        <v>7172010010000600</v>
      </c>
      <c r="C1042">
        <v>89</v>
      </c>
      <c r="D1042">
        <v>78</v>
      </c>
      <c r="E1042">
        <v>0</v>
      </c>
      <c r="F1042">
        <v>1</v>
      </c>
      <c r="G1042">
        <v>10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f>region_summary__54[[#This Row],[REJECTED BY Admin Kabupaten]]+region_summary__54[[#This Row],[REJECTED BY Pengawas]]</f>
        <v>0</v>
      </c>
    </row>
    <row r="1043" spans="1:13" x14ac:dyDescent="0.25">
      <c r="A1043" t="s">
        <v>985</v>
      </c>
      <c r="B1043">
        <v>7172010010001500</v>
      </c>
      <c r="C1043">
        <v>75</v>
      </c>
      <c r="D1043">
        <v>70</v>
      </c>
      <c r="E1043">
        <v>0</v>
      </c>
      <c r="F1043">
        <v>1</v>
      </c>
      <c r="G1043">
        <v>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f>region_summary__54[[#This Row],[REJECTED BY Admin Kabupaten]]+region_summary__54[[#This Row],[REJECTED BY Pengawas]]</f>
        <v>0</v>
      </c>
    </row>
    <row r="1044" spans="1:13" x14ac:dyDescent="0.25">
      <c r="A1044" t="s">
        <v>985</v>
      </c>
      <c r="B1044">
        <v>7172010010001200</v>
      </c>
      <c r="C1044">
        <v>66</v>
      </c>
      <c r="D1044">
        <v>0</v>
      </c>
      <c r="E1044">
        <v>0</v>
      </c>
      <c r="F1044">
        <v>0</v>
      </c>
      <c r="G1044">
        <v>66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f>region_summary__54[[#This Row],[REJECTED BY Admin Kabupaten]]+region_summary__54[[#This Row],[REJECTED BY Pengawas]]</f>
        <v>0</v>
      </c>
    </row>
    <row r="1045" spans="1:13" x14ac:dyDescent="0.25">
      <c r="A1045" t="s">
        <v>985</v>
      </c>
      <c r="B1045">
        <v>7172010010000800</v>
      </c>
      <c r="C1045">
        <v>65</v>
      </c>
      <c r="D1045">
        <v>0</v>
      </c>
      <c r="E1045">
        <v>1</v>
      </c>
      <c r="F1045">
        <v>0</v>
      </c>
      <c r="G1045">
        <v>64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f>region_summary__54[[#This Row],[REJECTED BY Admin Kabupaten]]+region_summary__54[[#This Row],[REJECTED BY Pengawas]]</f>
        <v>0</v>
      </c>
    </row>
    <row r="1046" spans="1:13" x14ac:dyDescent="0.25">
      <c r="A1046" t="s">
        <v>985</v>
      </c>
      <c r="B1046">
        <v>7172010010000700</v>
      </c>
      <c r="C1046">
        <v>64</v>
      </c>
      <c r="D1046">
        <v>27</v>
      </c>
      <c r="E1046">
        <v>1</v>
      </c>
      <c r="F1046">
        <v>2</v>
      </c>
      <c r="G1046">
        <v>30</v>
      </c>
      <c r="H1046">
        <v>0</v>
      </c>
      <c r="I1046">
        <v>0</v>
      </c>
      <c r="J1046">
        <v>0</v>
      </c>
      <c r="K1046">
        <v>4</v>
      </c>
      <c r="L1046">
        <v>0</v>
      </c>
      <c r="M1046">
        <f>region_summary__54[[#This Row],[REJECTED BY Admin Kabupaten]]+region_summary__54[[#This Row],[REJECTED BY Pengawas]]</f>
        <v>0</v>
      </c>
    </row>
    <row r="1047" spans="1:13" x14ac:dyDescent="0.25">
      <c r="A1047" t="s">
        <v>985</v>
      </c>
      <c r="B1047">
        <v>7172010010001300</v>
      </c>
      <c r="C1047">
        <v>57</v>
      </c>
      <c r="D1047">
        <v>4</v>
      </c>
      <c r="E1047">
        <v>0</v>
      </c>
      <c r="F1047">
        <v>0</v>
      </c>
      <c r="G1047">
        <v>29</v>
      </c>
      <c r="H1047">
        <v>0</v>
      </c>
      <c r="I1047">
        <v>0</v>
      </c>
      <c r="J1047">
        <v>0</v>
      </c>
      <c r="K1047">
        <v>24</v>
      </c>
      <c r="L1047">
        <v>0</v>
      </c>
      <c r="M1047">
        <f>region_summary__54[[#This Row],[REJECTED BY Admin Kabupaten]]+region_summary__54[[#This Row],[REJECTED BY Pengawas]]</f>
        <v>0</v>
      </c>
    </row>
    <row r="1048" spans="1:13" x14ac:dyDescent="0.25">
      <c r="A1048" t="s">
        <v>985</v>
      </c>
      <c r="B1048">
        <v>7172010010001100</v>
      </c>
      <c r="C1048">
        <v>53</v>
      </c>
      <c r="D1048">
        <v>47</v>
      </c>
      <c r="E1048">
        <v>0</v>
      </c>
      <c r="F1048">
        <v>1</v>
      </c>
      <c r="G1048">
        <v>4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f>region_summary__54[[#This Row],[REJECTED BY Admin Kabupaten]]+region_summary__54[[#This Row],[REJECTED BY Pengawas]]</f>
        <v>0</v>
      </c>
    </row>
    <row r="1049" spans="1:13" x14ac:dyDescent="0.25">
      <c r="A1049" t="s">
        <v>985</v>
      </c>
      <c r="B1049">
        <v>7172010010001400</v>
      </c>
      <c r="C1049">
        <v>53</v>
      </c>
      <c r="D1049">
        <v>37</v>
      </c>
      <c r="E1049">
        <v>1</v>
      </c>
      <c r="F1049">
        <v>1</v>
      </c>
      <c r="G1049">
        <v>2</v>
      </c>
      <c r="H1049">
        <v>0</v>
      </c>
      <c r="I1049">
        <v>0</v>
      </c>
      <c r="J1049">
        <v>1</v>
      </c>
      <c r="K1049">
        <v>11</v>
      </c>
      <c r="L1049">
        <v>0</v>
      </c>
      <c r="M1049">
        <f>region_summary__54[[#This Row],[REJECTED BY Admin Kabupaten]]+region_summary__54[[#This Row],[REJECTED BY Pengawas]]</f>
        <v>0</v>
      </c>
    </row>
    <row r="1050" spans="1:13" x14ac:dyDescent="0.25">
      <c r="A1050" t="s">
        <v>985</v>
      </c>
      <c r="B1050">
        <v>7172010010001000</v>
      </c>
      <c r="C1050">
        <v>32</v>
      </c>
      <c r="D1050">
        <v>0</v>
      </c>
      <c r="E1050">
        <v>1</v>
      </c>
      <c r="F1050">
        <v>0</v>
      </c>
      <c r="G1050">
        <v>31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f>region_summary__54[[#This Row],[REJECTED BY Admin Kabupaten]]+region_summary__54[[#This Row],[REJECTED BY Pengawas]]</f>
        <v>0</v>
      </c>
    </row>
    <row r="1051" spans="1:13" x14ac:dyDescent="0.25">
      <c r="A1051" t="s">
        <v>985</v>
      </c>
      <c r="B1051">
        <v>7172010010000900</v>
      </c>
      <c r="C1051">
        <v>23</v>
      </c>
      <c r="D1051">
        <v>0</v>
      </c>
      <c r="E1051">
        <v>0</v>
      </c>
      <c r="F1051">
        <v>0</v>
      </c>
      <c r="G1051">
        <v>23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f>region_summary__54[[#This Row],[REJECTED BY Admin Kabupaten]]+region_summary__54[[#This Row],[REJECTED BY Pengawas]]</f>
        <v>0</v>
      </c>
    </row>
    <row r="1052" spans="1:13" x14ac:dyDescent="0.25">
      <c r="A1052" t="s">
        <v>60</v>
      </c>
      <c r="B1052">
        <v>7172012004001900</v>
      </c>
      <c r="C1052">
        <v>180</v>
      </c>
      <c r="D1052">
        <v>176</v>
      </c>
      <c r="E1052">
        <v>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f>region_summary__54[[#This Row],[REJECTED BY Admin Kabupaten]]+region_summary__54[[#This Row],[REJECTED BY Pengawas]]</f>
        <v>0</v>
      </c>
    </row>
    <row r="1053" spans="1:13" x14ac:dyDescent="0.25">
      <c r="A1053" t="s">
        <v>60</v>
      </c>
      <c r="B1053">
        <v>7172012004000900</v>
      </c>
      <c r="C1053">
        <v>136</v>
      </c>
      <c r="D1053">
        <v>2</v>
      </c>
      <c r="E1053">
        <v>0</v>
      </c>
      <c r="F1053">
        <v>0</v>
      </c>
      <c r="G1053">
        <v>134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f>region_summary__54[[#This Row],[REJECTED BY Admin Kabupaten]]+region_summary__54[[#This Row],[REJECTED BY Pengawas]]</f>
        <v>0</v>
      </c>
    </row>
    <row r="1054" spans="1:13" x14ac:dyDescent="0.25">
      <c r="A1054" t="s">
        <v>60</v>
      </c>
      <c r="B1054">
        <v>7172012004001802</v>
      </c>
      <c r="C1054">
        <v>107</v>
      </c>
      <c r="D1054">
        <v>26</v>
      </c>
      <c r="E1054">
        <v>12</v>
      </c>
      <c r="F1054">
        <v>0</v>
      </c>
      <c r="G1054">
        <v>63</v>
      </c>
      <c r="H1054">
        <v>0</v>
      </c>
      <c r="I1054">
        <v>0</v>
      </c>
      <c r="J1054">
        <v>0</v>
      </c>
      <c r="K1054">
        <v>6</v>
      </c>
      <c r="L1054">
        <v>0</v>
      </c>
      <c r="M1054">
        <f>region_summary__54[[#This Row],[REJECTED BY Admin Kabupaten]]+region_summary__54[[#This Row],[REJECTED BY Pengawas]]</f>
        <v>0</v>
      </c>
    </row>
    <row r="1055" spans="1:13" x14ac:dyDescent="0.25">
      <c r="A1055" t="s">
        <v>60</v>
      </c>
      <c r="B1055">
        <v>7172012004002101</v>
      </c>
      <c r="C1055">
        <v>104</v>
      </c>
      <c r="D1055">
        <v>18</v>
      </c>
      <c r="E1055">
        <v>15</v>
      </c>
      <c r="F1055">
        <v>0</v>
      </c>
      <c r="G1055">
        <v>71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f>region_summary__54[[#This Row],[REJECTED BY Admin Kabupaten]]+region_summary__54[[#This Row],[REJECTED BY Pengawas]]</f>
        <v>0</v>
      </c>
    </row>
    <row r="1056" spans="1:13" x14ac:dyDescent="0.25">
      <c r="A1056" t="s">
        <v>60</v>
      </c>
      <c r="B1056">
        <v>7172012004001400</v>
      </c>
      <c r="C1056">
        <v>88</v>
      </c>
      <c r="D1056">
        <v>69</v>
      </c>
      <c r="E1056">
        <v>2</v>
      </c>
      <c r="F1056">
        <v>0</v>
      </c>
      <c r="G1056">
        <v>17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f>region_summary__54[[#This Row],[REJECTED BY Admin Kabupaten]]+region_summary__54[[#This Row],[REJECTED BY Pengawas]]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5D3E-1715-486E-8317-E7456678D32A}">
  <dimension ref="A1:N1058"/>
  <sheetViews>
    <sheetView zoomScale="88" zoomScaleNormal="88" workbookViewId="0">
      <pane ySplit="1" topLeftCell="A349" activePane="bottomLeft" state="frozen"/>
      <selection pane="bottomLeft" activeCell="B366" sqref="B366"/>
    </sheetView>
  </sheetViews>
  <sheetFormatPr defaultRowHeight="15" x14ac:dyDescent="0.25"/>
  <cols>
    <col min="1" max="1" width="39.28515625" bestFit="1" customWidth="1"/>
    <col min="2" max="2" width="12" bestFit="1" customWidth="1"/>
    <col min="3" max="3" width="5.140625" bestFit="1" customWidth="1"/>
    <col min="4" max="4" width="23" bestFit="1" customWidth="1"/>
    <col min="5" max="5" width="6.7109375" bestFit="1" customWidth="1"/>
    <col min="6" max="6" width="6" bestFit="1" customWidth="1"/>
    <col min="7" max="8" width="21.5703125" bestFit="1" customWidth="1"/>
    <col min="9" max="9" width="22.7109375" bestFit="1" customWidth="1"/>
    <col min="10" max="10" width="23.7109375" bestFit="1" customWidth="1"/>
    <col min="11" max="11" width="32.42578125" bestFit="1" customWidth="1"/>
    <col min="12" max="12" width="30" bestFit="1" customWidth="1"/>
    <col min="13" max="13" width="24.5703125" bestFit="1" customWidth="1"/>
  </cols>
  <sheetData>
    <row r="1" spans="1:14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s="6" t="s">
        <v>2058</v>
      </c>
      <c r="L1" s="6" t="s">
        <v>2059</v>
      </c>
      <c r="M1" s="6" t="s">
        <v>2061</v>
      </c>
      <c r="N1" s="5" t="s">
        <v>2063</v>
      </c>
    </row>
    <row r="2" spans="1:14" x14ac:dyDescent="0.25">
      <c r="A2" t="s">
        <v>5</v>
      </c>
      <c r="B2" t="s">
        <v>999</v>
      </c>
      <c r="C2">
        <f>VLOOKUP(B2,raw!A:K,11,0)</f>
        <v>102</v>
      </c>
      <c r="D2">
        <f>VLOOKUP(B2,raw!A:K,3,0)+VLOOKUP(B2,raw!A:K,7,0)</f>
        <v>102</v>
      </c>
      <c r="E2">
        <f>VLOOKUP(B2,raw!A:K,4,0)</f>
        <v>0</v>
      </c>
      <c r="F2">
        <f>VLOOKUP(B2,raw!A:K,5,0)</f>
        <v>0</v>
      </c>
      <c r="G2">
        <f>VLOOKUP(B2,raw!A:K,2,0)+VLOOKUP(B2,raw!A:K,10,0)</f>
        <v>0</v>
      </c>
      <c r="H2">
        <f>VLOOKUP(B2,raw!A:K,6,0)</f>
        <v>0</v>
      </c>
      <c r="I2">
        <f>VLOOKUP(B2,raw!A:K,9,0)</f>
        <v>0</v>
      </c>
      <c r="J2">
        <f>VLOOKUP(B2,raw!A:K,8,0)</f>
        <v>0</v>
      </c>
      <c r="K2">
        <f>_xlfn.IFNA(VLOOKUP(B2,TDK!A:C,2,0),0)</f>
        <v>41</v>
      </c>
      <c r="L2">
        <f>_xlfn.IFNA(VLOOKUP(B2,TDK!A:C,3,0),0)</f>
        <v>4</v>
      </c>
      <c r="M2">
        <f>_xlfn.IFNA(VLOOKUP(B2,TDK!F:G,2,0),0)</f>
        <v>4</v>
      </c>
      <c r="N2">
        <f>SUM(K2:M2)</f>
        <v>49</v>
      </c>
    </row>
    <row r="3" spans="1:14" x14ac:dyDescent="0.25">
      <c r="A3" t="s">
        <v>6</v>
      </c>
      <c r="B3" t="s">
        <v>1000</v>
      </c>
      <c r="C3">
        <f>VLOOKUP(B3,raw!A:K,11,0)</f>
        <v>73</v>
      </c>
      <c r="D3">
        <f>VLOOKUP(B3,raw!A:K,3,0)+VLOOKUP(B3,raw!A:K,7,0)</f>
        <v>73</v>
      </c>
      <c r="E3">
        <f>VLOOKUP(B3,raw!A:K,4,0)</f>
        <v>0</v>
      </c>
      <c r="F3">
        <f>VLOOKUP(B3,raw!A:K,5,0)</f>
        <v>0</v>
      </c>
      <c r="G3">
        <f>VLOOKUP(B3,raw!A:K,2,0)+VLOOKUP(B3,raw!A:K,10,0)</f>
        <v>0</v>
      </c>
      <c r="H3">
        <f>VLOOKUP(B3,raw!A:K,6,0)</f>
        <v>0</v>
      </c>
      <c r="I3">
        <f>VLOOKUP(B3,raw!A:K,9,0)</f>
        <v>0</v>
      </c>
      <c r="J3">
        <f>VLOOKUP(B3,raw!A:K,8,0)</f>
        <v>0</v>
      </c>
      <c r="K3">
        <f>_xlfn.IFNA(VLOOKUP(B3,TDK!A:C,2,0),0)</f>
        <v>24</v>
      </c>
      <c r="L3">
        <f>_xlfn.IFNA(VLOOKUP(B3,TDK!A:C,3,0),0)</f>
        <v>1</v>
      </c>
      <c r="M3">
        <f>_xlfn.IFNA(VLOOKUP(B3,TDK!F:G,2,0),0)</f>
        <v>0</v>
      </c>
      <c r="N3">
        <f t="shared" ref="N3:N66" si="0">SUM(K3:M3)</f>
        <v>25</v>
      </c>
    </row>
    <row r="4" spans="1:14" x14ac:dyDescent="0.25">
      <c r="A4" t="s">
        <v>6</v>
      </c>
      <c r="B4" t="s">
        <v>1001</v>
      </c>
      <c r="C4">
        <f>VLOOKUP(B4,raw!A:K,11,0)</f>
        <v>43</v>
      </c>
      <c r="D4">
        <f>VLOOKUP(B4,raw!A:K,3,0)+VLOOKUP(B4,raw!A:K,7,0)</f>
        <v>43</v>
      </c>
      <c r="E4">
        <f>VLOOKUP(B4,raw!A:K,4,0)</f>
        <v>0</v>
      </c>
      <c r="F4">
        <f>VLOOKUP(B4,raw!A:K,5,0)</f>
        <v>0</v>
      </c>
      <c r="G4">
        <f>VLOOKUP(B4,raw!A:K,2,0)+VLOOKUP(B4,raw!A:K,10,0)</f>
        <v>0</v>
      </c>
      <c r="H4">
        <f>VLOOKUP(B4,raw!A:K,6,0)</f>
        <v>0</v>
      </c>
      <c r="I4">
        <f>VLOOKUP(B4,raw!A:K,9,0)</f>
        <v>0</v>
      </c>
      <c r="J4">
        <f>VLOOKUP(B4,raw!A:K,8,0)</f>
        <v>0</v>
      </c>
      <c r="K4">
        <f>_xlfn.IFNA(VLOOKUP(B4,TDK!A:C,2,0),0)</f>
        <v>17</v>
      </c>
      <c r="L4">
        <f>_xlfn.IFNA(VLOOKUP(B4,TDK!A:C,3,0),0)</f>
        <v>0</v>
      </c>
      <c r="M4">
        <f>_xlfn.IFNA(VLOOKUP(B4,TDK!F:G,2,0),0)</f>
        <v>0</v>
      </c>
      <c r="N4">
        <f t="shared" si="0"/>
        <v>17</v>
      </c>
    </row>
    <row r="5" spans="1:14" x14ac:dyDescent="0.25">
      <c r="A5" t="s">
        <v>6</v>
      </c>
      <c r="B5" t="s">
        <v>1002</v>
      </c>
      <c r="C5">
        <f>VLOOKUP(B5,raw!A:K,11,0)</f>
        <v>71</v>
      </c>
      <c r="D5">
        <f>VLOOKUP(B5,raw!A:K,3,0)+VLOOKUP(B5,raw!A:K,7,0)</f>
        <v>71</v>
      </c>
      <c r="E5">
        <f>VLOOKUP(B5,raw!A:K,4,0)</f>
        <v>0</v>
      </c>
      <c r="F5">
        <f>VLOOKUP(B5,raw!A:K,5,0)</f>
        <v>0</v>
      </c>
      <c r="G5">
        <f>VLOOKUP(B5,raw!A:K,2,0)+VLOOKUP(B5,raw!A:K,10,0)</f>
        <v>0</v>
      </c>
      <c r="H5">
        <f>VLOOKUP(B5,raw!A:K,6,0)</f>
        <v>0</v>
      </c>
      <c r="I5">
        <f>VLOOKUP(B5,raw!A:K,9,0)</f>
        <v>0</v>
      </c>
      <c r="J5">
        <f>VLOOKUP(B5,raw!A:K,8,0)</f>
        <v>0</v>
      </c>
      <c r="K5">
        <f>_xlfn.IFNA(VLOOKUP(B5,TDK!A:C,2,0),0)</f>
        <v>22</v>
      </c>
      <c r="L5">
        <f>_xlfn.IFNA(VLOOKUP(B5,TDK!A:C,3,0),0)</f>
        <v>7</v>
      </c>
      <c r="M5">
        <f>_xlfn.IFNA(VLOOKUP(B5,TDK!F:G,2,0),0)</f>
        <v>0</v>
      </c>
      <c r="N5">
        <f t="shared" si="0"/>
        <v>29</v>
      </c>
    </row>
    <row r="6" spans="1:14" x14ac:dyDescent="0.25">
      <c r="A6" t="s">
        <v>6</v>
      </c>
      <c r="B6" t="s">
        <v>1003</v>
      </c>
      <c r="C6">
        <f>VLOOKUP(B6,raw!A:K,11,0)</f>
        <v>88</v>
      </c>
      <c r="D6">
        <f>VLOOKUP(B6,raw!A:K,3,0)+VLOOKUP(B6,raw!A:K,7,0)</f>
        <v>88</v>
      </c>
      <c r="E6">
        <f>VLOOKUP(B6,raw!A:K,4,0)</f>
        <v>0</v>
      </c>
      <c r="F6">
        <f>VLOOKUP(B6,raw!A:K,5,0)</f>
        <v>0</v>
      </c>
      <c r="G6">
        <f>VLOOKUP(B6,raw!A:K,2,0)+VLOOKUP(B6,raw!A:K,10,0)</f>
        <v>0</v>
      </c>
      <c r="H6">
        <f>VLOOKUP(B6,raw!A:K,6,0)</f>
        <v>0</v>
      </c>
      <c r="I6">
        <f>VLOOKUP(B6,raw!A:K,9,0)</f>
        <v>0</v>
      </c>
      <c r="J6">
        <f>VLOOKUP(B6,raw!A:K,8,0)</f>
        <v>0</v>
      </c>
      <c r="K6">
        <f>_xlfn.IFNA(VLOOKUP(B6,TDK!A:C,2,0),0)</f>
        <v>30</v>
      </c>
      <c r="L6">
        <f>_xlfn.IFNA(VLOOKUP(B6,TDK!A:C,3,0),0)</f>
        <v>1</v>
      </c>
      <c r="M6">
        <f>_xlfn.IFNA(VLOOKUP(B6,TDK!F:G,2,0),0)</f>
        <v>1</v>
      </c>
      <c r="N6">
        <f t="shared" si="0"/>
        <v>32</v>
      </c>
    </row>
    <row r="7" spans="1:14" x14ac:dyDescent="0.25">
      <c r="A7" t="s">
        <v>6</v>
      </c>
      <c r="B7" t="s">
        <v>1004</v>
      </c>
      <c r="C7">
        <f>VLOOKUP(B7,raw!A:K,11,0)</f>
        <v>144</v>
      </c>
      <c r="D7">
        <f>VLOOKUP(B7,raw!A:K,3,0)+VLOOKUP(B7,raw!A:K,7,0)</f>
        <v>144</v>
      </c>
      <c r="E7">
        <f>VLOOKUP(B7,raw!A:K,4,0)</f>
        <v>0</v>
      </c>
      <c r="F7">
        <f>VLOOKUP(B7,raw!A:K,5,0)</f>
        <v>0</v>
      </c>
      <c r="G7">
        <f>VLOOKUP(B7,raw!A:K,2,0)+VLOOKUP(B7,raw!A:K,10,0)</f>
        <v>0</v>
      </c>
      <c r="H7">
        <f>VLOOKUP(B7,raw!A:K,6,0)</f>
        <v>0</v>
      </c>
      <c r="I7">
        <f>VLOOKUP(B7,raw!A:K,9,0)</f>
        <v>0</v>
      </c>
      <c r="J7">
        <f>VLOOKUP(B7,raw!A:K,8,0)</f>
        <v>0</v>
      </c>
      <c r="K7">
        <f>_xlfn.IFNA(VLOOKUP(B7,TDK!A:C,2,0),0)</f>
        <v>49</v>
      </c>
      <c r="L7">
        <f>_xlfn.IFNA(VLOOKUP(B7,TDK!A:C,3,0),0)</f>
        <v>1</v>
      </c>
      <c r="M7">
        <f>_xlfn.IFNA(VLOOKUP(B7,TDK!F:G,2,0),0)</f>
        <v>1</v>
      </c>
      <c r="N7">
        <f t="shared" si="0"/>
        <v>51</v>
      </c>
    </row>
    <row r="8" spans="1:14" x14ac:dyDescent="0.25">
      <c r="A8" t="s">
        <v>6</v>
      </c>
      <c r="B8" t="s">
        <v>1005</v>
      </c>
      <c r="C8">
        <f>VLOOKUP(B8,raw!A:K,11,0)</f>
        <v>172</v>
      </c>
      <c r="D8">
        <f>VLOOKUP(B8,raw!A:K,3,0)+VLOOKUP(B8,raw!A:K,7,0)</f>
        <v>172</v>
      </c>
      <c r="E8">
        <f>VLOOKUP(B8,raw!A:K,4,0)</f>
        <v>0</v>
      </c>
      <c r="F8">
        <f>VLOOKUP(B8,raw!A:K,5,0)</f>
        <v>0</v>
      </c>
      <c r="G8">
        <f>VLOOKUP(B8,raw!A:K,2,0)+VLOOKUP(B8,raw!A:K,10,0)</f>
        <v>0</v>
      </c>
      <c r="H8">
        <f>VLOOKUP(B8,raw!A:K,6,0)</f>
        <v>0</v>
      </c>
      <c r="I8">
        <f>VLOOKUP(B8,raw!A:K,9,0)</f>
        <v>0</v>
      </c>
      <c r="J8">
        <f>VLOOKUP(B8,raw!A:K,8,0)</f>
        <v>0</v>
      </c>
      <c r="K8">
        <f>_xlfn.IFNA(VLOOKUP(B8,TDK!A:C,2,0),0)</f>
        <v>53</v>
      </c>
      <c r="L8">
        <f>_xlfn.IFNA(VLOOKUP(B8,TDK!A:C,3,0),0)</f>
        <v>5</v>
      </c>
      <c r="M8">
        <f>_xlfn.IFNA(VLOOKUP(B8,TDK!F:G,2,0),0)</f>
        <v>0</v>
      </c>
      <c r="N8">
        <f t="shared" si="0"/>
        <v>58</v>
      </c>
    </row>
    <row r="9" spans="1:14" x14ac:dyDescent="0.25">
      <c r="A9" t="s">
        <v>7</v>
      </c>
      <c r="B9" t="s">
        <v>1006</v>
      </c>
      <c r="C9">
        <f>VLOOKUP(B9,raw!A:K,11,0)</f>
        <v>154</v>
      </c>
      <c r="D9">
        <f>VLOOKUP(B9,raw!A:K,3,0)+VLOOKUP(B9,raw!A:K,7,0)</f>
        <v>154</v>
      </c>
      <c r="E9">
        <f>VLOOKUP(B9,raw!A:K,4,0)</f>
        <v>0</v>
      </c>
      <c r="F9">
        <f>VLOOKUP(B9,raw!A:K,5,0)</f>
        <v>0</v>
      </c>
      <c r="G9">
        <f>VLOOKUP(B9,raw!A:K,2,0)+VLOOKUP(B9,raw!A:K,10,0)</f>
        <v>0</v>
      </c>
      <c r="H9">
        <f>VLOOKUP(B9,raw!A:K,6,0)</f>
        <v>0</v>
      </c>
      <c r="I9">
        <f>VLOOKUP(B9,raw!A:K,9,0)</f>
        <v>0</v>
      </c>
      <c r="J9">
        <f>VLOOKUP(B9,raw!A:K,8,0)</f>
        <v>0</v>
      </c>
      <c r="K9">
        <f>_xlfn.IFNA(VLOOKUP(B9,TDK!A:C,2,0),0)</f>
        <v>39</v>
      </c>
      <c r="L9">
        <f>_xlfn.IFNA(VLOOKUP(B9,TDK!A:C,3,0),0)</f>
        <v>7</v>
      </c>
      <c r="M9">
        <f>_xlfn.IFNA(VLOOKUP(B9,TDK!F:G,2,0),0)</f>
        <v>19</v>
      </c>
      <c r="N9">
        <f t="shared" si="0"/>
        <v>65</v>
      </c>
    </row>
    <row r="10" spans="1:14" x14ac:dyDescent="0.25">
      <c r="A10" t="s">
        <v>7</v>
      </c>
      <c r="B10" t="s">
        <v>1007</v>
      </c>
      <c r="C10">
        <f>VLOOKUP(B10,raw!A:K,11,0)</f>
        <v>93</v>
      </c>
      <c r="D10">
        <f>VLOOKUP(B10,raw!A:K,3,0)+VLOOKUP(B10,raw!A:K,7,0)</f>
        <v>93</v>
      </c>
      <c r="E10">
        <f>VLOOKUP(B10,raw!A:K,4,0)</f>
        <v>0</v>
      </c>
      <c r="F10">
        <f>VLOOKUP(B10,raw!A:K,5,0)</f>
        <v>0</v>
      </c>
      <c r="G10">
        <f>VLOOKUP(B10,raw!A:K,2,0)+VLOOKUP(B10,raw!A:K,10,0)</f>
        <v>0</v>
      </c>
      <c r="H10">
        <f>VLOOKUP(B10,raw!A:K,6,0)</f>
        <v>0</v>
      </c>
      <c r="I10">
        <f>VLOOKUP(B10,raw!A:K,9,0)</f>
        <v>0</v>
      </c>
      <c r="J10">
        <f>VLOOKUP(B10,raw!A:K,8,0)</f>
        <v>0</v>
      </c>
      <c r="K10">
        <f>_xlfn.IFNA(VLOOKUP(B10,TDK!A:C,2,0),0)</f>
        <v>19</v>
      </c>
      <c r="L10">
        <f>_xlfn.IFNA(VLOOKUP(B10,TDK!A:C,3,0),0)</f>
        <v>3</v>
      </c>
      <c r="M10">
        <f>_xlfn.IFNA(VLOOKUP(B10,TDK!F:G,2,0),0)</f>
        <v>4</v>
      </c>
      <c r="N10">
        <f t="shared" si="0"/>
        <v>26</v>
      </c>
    </row>
    <row r="11" spans="1:14" x14ac:dyDescent="0.25">
      <c r="A11" t="s">
        <v>7</v>
      </c>
      <c r="B11" t="s">
        <v>1008</v>
      </c>
      <c r="C11">
        <f>VLOOKUP(B11,raw!A:K,11,0)</f>
        <v>205</v>
      </c>
      <c r="D11">
        <f>VLOOKUP(B11,raw!A:K,3,0)+VLOOKUP(B11,raw!A:K,7,0)</f>
        <v>205</v>
      </c>
      <c r="E11">
        <f>VLOOKUP(B11,raw!A:K,4,0)</f>
        <v>0</v>
      </c>
      <c r="F11">
        <f>VLOOKUP(B11,raw!A:K,5,0)</f>
        <v>0</v>
      </c>
      <c r="G11">
        <f>VLOOKUP(B11,raw!A:K,2,0)+VLOOKUP(B11,raw!A:K,10,0)</f>
        <v>0</v>
      </c>
      <c r="H11">
        <f>VLOOKUP(B11,raw!A:K,6,0)</f>
        <v>0</v>
      </c>
      <c r="I11">
        <f>VLOOKUP(B11,raw!A:K,9,0)</f>
        <v>0</v>
      </c>
      <c r="J11">
        <f>VLOOKUP(B11,raw!A:K,8,0)</f>
        <v>0</v>
      </c>
      <c r="K11">
        <f>_xlfn.IFNA(VLOOKUP(B11,TDK!A:C,2,0),0)</f>
        <v>45</v>
      </c>
      <c r="L11">
        <f>_xlfn.IFNA(VLOOKUP(B11,TDK!A:C,3,0),0)</f>
        <v>5</v>
      </c>
      <c r="M11">
        <f>_xlfn.IFNA(VLOOKUP(B11,TDK!F:G,2,0),0)</f>
        <v>20</v>
      </c>
      <c r="N11">
        <f t="shared" si="0"/>
        <v>70</v>
      </c>
    </row>
    <row r="12" spans="1:14" x14ac:dyDescent="0.25">
      <c r="A12" t="s">
        <v>7</v>
      </c>
      <c r="B12" t="s">
        <v>1009</v>
      </c>
      <c r="C12">
        <f>VLOOKUP(B12,raw!A:K,11,0)</f>
        <v>191</v>
      </c>
      <c r="D12">
        <f>VLOOKUP(B12,raw!A:K,3,0)+VLOOKUP(B12,raw!A:K,7,0)</f>
        <v>191</v>
      </c>
      <c r="E12">
        <f>VLOOKUP(B12,raw!A:K,4,0)</f>
        <v>0</v>
      </c>
      <c r="F12">
        <f>VLOOKUP(B12,raw!A:K,5,0)</f>
        <v>0</v>
      </c>
      <c r="G12">
        <f>VLOOKUP(B12,raw!A:K,2,0)+VLOOKUP(B12,raw!A:K,10,0)</f>
        <v>0</v>
      </c>
      <c r="H12">
        <f>VLOOKUP(B12,raw!A:K,6,0)</f>
        <v>0</v>
      </c>
      <c r="I12">
        <f>VLOOKUP(B12,raw!A:K,9,0)</f>
        <v>0</v>
      </c>
      <c r="J12">
        <f>VLOOKUP(B12,raw!A:K,8,0)</f>
        <v>0</v>
      </c>
      <c r="K12">
        <f>_xlfn.IFNA(VLOOKUP(B12,TDK!A:C,2,0),0)</f>
        <v>94</v>
      </c>
      <c r="L12">
        <f>_xlfn.IFNA(VLOOKUP(B12,TDK!A:C,3,0),0)</f>
        <v>4</v>
      </c>
      <c r="M12">
        <f>_xlfn.IFNA(VLOOKUP(B12,TDK!F:G,2,0),0)</f>
        <v>7</v>
      </c>
      <c r="N12">
        <f t="shared" si="0"/>
        <v>105</v>
      </c>
    </row>
    <row r="13" spans="1:14" x14ac:dyDescent="0.25">
      <c r="A13" t="s">
        <v>5</v>
      </c>
      <c r="B13" t="s">
        <v>1010</v>
      </c>
      <c r="C13">
        <f>VLOOKUP(B13,raw!A:K,11,0)</f>
        <v>144</v>
      </c>
      <c r="D13">
        <f>VLOOKUP(B13,raw!A:K,3,0)+VLOOKUP(B13,raw!A:K,7,0)</f>
        <v>144</v>
      </c>
      <c r="E13">
        <f>VLOOKUP(B13,raw!A:K,4,0)</f>
        <v>0</v>
      </c>
      <c r="F13">
        <f>VLOOKUP(B13,raw!A:K,5,0)</f>
        <v>0</v>
      </c>
      <c r="G13">
        <f>VLOOKUP(B13,raw!A:K,2,0)+VLOOKUP(B13,raw!A:K,10,0)</f>
        <v>0</v>
      </c>
      <c r="H13">
        <f>VLOOKUP(B13,raw!A:K,6,0)</f>
        <v>0</v>
      </c>
      <c r="I13">
        <f>VLOOKUP(B13,raw!A:K,9,0)</f>
        <v>0</v>
      </c>
      <c r="J13">
        <f>VLOOKUP(B13,raw!A:K,8,0)</f>
        <v>0</v>
      </c>
      <c r="K13">
        <f>_xlfn.IFNA(VLOOKUP(B13,TDK!A:C,2,0),0)</f>
        <v>16</v>
      </c>
      <c r="L13">
        <f>_xlfn.IFNA(VLOOKUP(B13,TDK!A:C,3,0),0)</f>
        <v>0</v>
      </c>
      <c r="M13">
        <f>_xlfn.IFNA(VLOOKUP(B13,TDK!F:G,2,0),0)</f>
        <v>16</v>
      </c>
      <c r="N13">
        <f t="shared" si="0"/>
        <v>32</v>
      </c>
    </row>
    <row r="14" spans="1:14" x14ac:dyDescent="0.25">
      <c r="A14" t="s">
        <v>5</v>
      </c>
      <c r="B14" t="s">
        <v>1011</v>
      </c>
      <c r="C14">
        <f>VLOOKUP(B14,raw!A:K,11,0)</f>
        <v>65</v>
      </c>
      <c r="D14">
        <f>VLOOKUP(B14,raw!A:K,3,0)+VLOOKUP(B14,raw!A:K,7,0)</f>
        <v>65</v>
      </c>
      <c r="E14">
        <f>VLOOKUP(B14,raw!A:K,4,0)</f>
        <v>0</v>
      </c>
      <c r="F14">
        <f>VLOOKUP(B14,raw!A:K,5,0)</f>
        <v>0</v>
      </c>
      <c r="G14">
        <f>VLOOKUP(B14,raw!A:K,2,0)+VLOOKUP(B14,raw!A:K,10,0)</f>
        <v>0</v>
      </c>
      <c r="H14">
        <f>VLOOKUP(B14,raw!A:K,6,0)</f>
        <v>0</v>
      </c>
      <c r="I14">
        <f>VLOOKUP(B14,raw!A:K,9,0)</f>
        <v>0</v>
      </c>
      <c r="J14">
        <f>VLOOKUP(B14,raw!A:K,8,0)</f>
        <v>0</v>
      </c>
      <c r="K14">
        <f>_xlfn.IFNA(VLOOKUP(B14,TDK!A:C,2,0),0)</f>
        <v>23</v>
      </c>
      <c r="L14">
        <f>_xlfn.IFNA(VLOOKUP(B14,TDK!A:C,3,0),0)</f>
        <v>0</v>
      </c>
      <c r="M14">
        <f>_xlfn.IFNA(VLOOKUP(B14,TDK!F:G,2,0),0)</f>
        <v>1</v>
      </c>
      <c r="N14">
        <f t="shared" si="0"/>
        <v>24</v>
      </c>
    </row>
    <row r="15" spans="1:14" x14ac:dyDescent="0.25">
      <c r="A15" t="s">
        <v>5</v>
      </c>
      <c r="B15" t="s">
        <v>1012</v>
      </c>
      <c r="C15">
        <f>VLOOKUP(B15,raw!A:K,11,0)</f>
        <v>152</v>
      </c>
      <c r="D15">
        <f>VLOOKUP(B15,raw!A:K,3,0)+VLOOKUP(B15,raw!A:K,7,0)</f>
        <v>146</v>
      </c>
      <c r="E15">
        <f>VLOOKUP(B15,raw!A:K,4,0)</f>
        <v>0</v>
      </c>
      <c r="F15">
        <f>VLOOKUP(B15,raw!A:K,5,0)</f>
        <v>0</v>
      </c>
      <c r="G15">
        <f>VLOOKUP(B15,raw!A:K,2,0)+VLOOKUP(B15,raw!A:K,10,0)</f>
        <v>4</v>
      </c>
      <c r="H15">
        <f>VLOOKUP(B15,raw!A:K,6,0)</f>
        <v>0</v>
      </c>
      <c r="I15">
        <f>VLOOKUP(B15,raw!A:K,9,0)</f>
        <v>2</v>
      </c>
      <c r="J15">
        <f>VLOOKUP(B15,raw!A:K,8,0)</f>
        <v>0</v>
      </c>
      <c r="K15">
        <f>_xlfn.IFNA(VLOOKUP(B15,TDK!A:C,2,0),0)</f>
        <v>56</v>
      </c>
      <c r="L15">
        <f>_xlfn.IFNA(VLOOKUP(B15,TDK!A:C,3,0),0)</f>
        <v>7</v>
      </c>
      <c r="M15">
        <f>_xlfn.IFNA(VLOOKUP(B15,TDK!F:G,2,0),0)</f>
        <v>4</v>
      </c>
      <c r="N15">
        <f t="shared" si="0"/>
        <v>67</v>
      </c>
    </row>
    <row r="16" spans="1:14" x14ac:dyDescent="0.25">
      <c r="A16" t="s">
        <v>5</v>
      </c>
      <c r="B16" t="s">
        <v>1013</v>
      </c>
      <c r="C16">
        <f>VLOOKUP(B16,raw!A:K,11,0)</f>
        <v>116</v>
      </c>
      <c r="D16">
        <f>VLOOKUP(B16,raw!A:K,3,0)+VLOOKUP(B16,raw!A:K,7,0)</f>
        <v>115</v>
      </c>
      <c r="E16">
        <f>VLOOKUP(B16,raw!A:K,4,0)</f>
        <v>0</v>
      </c>
      <c r="F16">
        <f>VLOOKUP(B16,raw!A:K,5,0)</f>
        <v>0</v>
      </c>
      <c r="G16">
        <f>VLOOKUP(B16,raw!A:K,2,0)+VLOOKUP(B16,raw!A:K,10,0)</f>
        <v>1</v>
      </c>
      <c r="H16">
        <f>VLOOKUP(B16,raw!A:K,6,0)</f>
        <v>0</v>
      </c>
      <c r="I16">
        <f>VLOOKUP(B16,raw!A:K,9,0)</f>
        <v>0</v>
      </c>
      <c r="J16">
        <f>VLOOKUP(B16,raw!A:K,8,0)</f>
        <v>0</v>
      </c>
      <c r="K16">
        <f>_xlfn.IFNA(VLOOKUP(B16,TDK!A:C,2,0),0)</f>
        <v>37</v>
      </c>
      <c r="L16">
        <f>_xlfn.IFNA(VLOOKUP(B16,TDK!A:C,3,0),0)</f>
        <v>2</v>
      </c>
      <c r="M16">
        <f>_xlfn.IFNA(VLOOKUP(B16,TDK!F:G,2,0),0)</f>
        <v>12</v>
      </c>
      <c r="N16">
        <f t="shared" si="0"/>
        <v>51</v>
      </c>
    </row>
    <row r="17" spans="1:14" x14ac:dyDescent="0.25">
      <c r="A17" t="s">
        <v>5</v>
      </c>
      <c r="B17" t="s">
        <v>1014</v>
      </c>
      <c r="C17">
        <f>VLOOKUP(B17,raw!A:K,11,0)</f>
        <v>107</v>
      </c>
      <c r="D17">
        <f>VLOOKUP(B17,raw!A:K,3,0)+VLOOKUP(B17,raw!A:K,7,0)</f>
        <v>107</v>
      </c>
      <c r="E17">
        <f>VLOOKUP(B17,raw!A:K,4,0)</f>
        <v>0</v>
      </c>
      <c r="F17">
        <f>VLOOKUP(B17,raw!A:K,5,0)</f>
        <v>0</v>
      </c>
      <c r="G17">
        <f>VLOOKUP(B17,raw!A:K,2,0)+VLOOKUP(B17,raw!A:K,10,0)</f>
        <v>0</v>
      </c>
      <c r="H17">
        <f>VLOOKUP(B17,raw!A:K,6,0)</f>
        <v>0</v>
      </c>
      <c r="I17">
        <f>VLOOKUP(B17,raw!A:K,9,0)</f>
        <v>0</v>
      </c>
      <c r="J17">
        <f>VLOOKUP(B17,raw!A:K,8,0)</f>
        <v>0</v>
      </c>
      <c r="K17">
        <f>_xlfn.IFNA(VLOOKUP(B17,TDK!A:C,2,0),0)</f>
        <v>31</v>
      </c>
      <c r="L17">
        <f>_xlfn.IFNA(VLOOKUP(B17,TDK!A:C,3,0),0)</f>
        <v>1</v>
      </c>
      <c r="M17">
        <f>_xlfn.IFNA(VLOOKUP(B17,TDK!F:G,2,0),0)</f>
        <v>2</v>
      </c>
      <c r="N17">
        <f t="shared" si="0"/>
        <v>34</v>
      </c>
    </row>
    <row r="18" spans="1:14" x14ac:dyDescent="0.25">
      <c r="A18" t="s">
        <v>8</v>
      </c>
      <c r="B18" t="s">
        <v>1015</v>
      </c>
      <c r="C18">
        <f>VLOOKUP(B18,raw!A:K,11,0)</f>
        <v>21</v>
      </c>
      <c r="D18">
        <f>VLOOKUP(B18,raw!A:K,3,0)+VLOOKUP(B18,raw!A:K,7,0)</f>
        <v>21</v>
      </c>
      <c r="E18">
        <f>VLOOKUP(B18,raw!A:K,4,0)</f>
        <v>0</v>
      </c>
      <c r="F18">
        <f>VLOOKUP(B18,raw!A:K,5,0)</f>
        <v>0</v>
      </c>
      <c r="G18">
        <f>VLOOKUP(B18,raw!A:K,2,0)+VLOOKUP(B18,raw!A:K,10,0)</f>
        <v>0</v>
      </c>
      <c r="H18">
        <f>VLOOKUP(B18,raw!A:K,6,0)</f>
        <v>0</v>
      </c>
      <c r="I18">
        <f>VLOOKUP(B18,raw!A:K,9,0)</f>
        <v>0</v>
      </c>
      <c r="J18">
        <f>VLOOKUP(B18,raw!A:K,8,0)</f>
        <v>0</v>
      </c>
      <c r="K18">
        <f>_xlfn.IFNA(VLOOKUP(B18,TDK!A:C,2,0),0)</f>
        <v>8</v>
      </c>
      <c r="L18">
        <f>_xlfn.IFNA(VLOOKUP(B18,TDK!A:C,3,0),0)</f>
        <v>2</v>
      </c>
      <c r="M18">
        <f>_xlfn.IFNA(VLOOKUP(B18,TDK!F:G,2,0),0)</f>
        <v>5</v>
      </c>
      <c r="N18">
        <f t="shared" si="0"/>
        <v>15</v>
      </c>
    </row>
    <row r="19" spans="1:14" x14ac:dyDescent="0.25">
      <c r="A19" t="s">
        <v>8</v>
      </c>
      <c r="B19" t="s">
        <v>1016</v>
      </c>
      <c r="C19">
        <f>VLOOKUP(B19,raw!A:K,11,0)</f>
        <v>56</v>
      </c>
      <c r="D19">
        <f>VLOOKUP(B19,raw!A:K,3,0)+VLOOKUP(B19,raw!A:K,7,0)</f>
        <v>56</v>
      </c>
      <c r="E19">
        <f>VLOOKUP(B19,raw!A:K,4,0)</f>
        <v>0</v>
      </c>
      <c r="F19">
        <f>VLOOKUP(B19,raw!A:K,5,0)</f>
        <v>0</v>
      </c>
      <c r="G19">
        <f>VLOOKUP(B19,raw!A:K,2,0)+VLOOKUP(B19,raw!A:K,10,0)</f>
        <v>0</v>
      </c>
      <c r="H19">
        <f>VLOOKUP(B19,raw!A:K,6,0)</f>
        <v>0</v>
      </c>
      <c r="I19">
        <f>VLOOKUP(B19,raw!A:K,9,0)</f>
        <v>0</v>
      </c>
      <c r="J19">
        <f>VLOOKUP(B19,raw!A:K,8,0)</f>
        <v>0</v>
      </c>
      <c r="K19">
        <f>_xlfn.IFNA(VLOOKUP(B19,TDK!A:C,2,0),0)</f>
        <v>28</v>
      </c>
      <c r="L19">
        <f>_xlfn.IFNA(VLOOKUP(B19,TDK!A:C,3,0),0)</f>
        <v>1</v>
      </c>
      <c r="M19">
        <f>_xlfn.IFNA(VLOOKUP(B19,TDK!F:G,2,0),0)</f>
        <v>2</v>
      </c>
      <c r="N19">
        <f t="shared" si="0"/>
        <v>31</v>
      </c>
    </row>
    <row r="20" spans="1:14" x14ac:dyDescent="0.25">
      <c r="A20" t="s">
        <v>8</v>
      </c>
      <c r="B20" t="s">
        <v>1017</v>
      </c>
      <c r="C20">
        <f>VLOOKUP(B20,raw!A:K,11,0)</f>
        <v>51</v>
      </c>
      <c r="D20">
        <f>VLOOKUP(B20,raw!A:K,3,0)+VLOOKUP(B20,raw!A:K,7,0)</f>
        <v>51</v>
      </c>
      <c r="E20">
        <f>VLOOKUP(B20,raw!A:K,4,0)</f>
        <v>0</v>
      </c>
      <c r="F20">
        <f>VLOOKUP(B20,raw!A:K,5,0)</f>
        <v>0</v>
      </c>
      <c r="G20">
        <f>VLOOKUP(B20,raw!A:K,2,0)+VLOOKUP(B20,raw!A:K,10,0)</f>
        <v>0</v>
      </c>
      <c r="H20">
        <f>VLOOKUP(B20,raw!A:K,6,0)</f>
        <v>0</v>
      </c>
      <c r="I20">
        <f>VLOOKUP(B20,raw!A:K,9,0)</f>
        <v>0</v>
      </c>
      <c r="J20">
        <f>VLOOKUP(B20,raw!A:K,8,0)</f>
        <v>0</v>
      </c>
      <c r="K20">
        <f>_xlfn.IFNA(VLOOKUP(B20,TDK!A:C,2,0),0)</f>
        <v>40</v>
      </c>
      <c r="L20">
        <f>_xlfn.IFNA(VLOOKUP(B20,TDK!A:C,3,0),0)</f>
        <v>0</v>
      </c>
      <c r="M20">
        <f>_xlfn.IFNA(VLOOKUP(B20,TDK!F:G,2,0),0)</f>
        <v>4</v>
      </c>
      <c r="N20">
        <f t="shared" si="0"/>
        <v>44</v>
      </c>
    </row>
    <row r="21" spans="1:14" x14ac:dyDescent="0.25">
      <c r="A21" t="s">
        <v>8</v>
      </c>
      <c r="B21" t="s">
        <v>1018</v>
      </c>
      <c r="C21">
        <f>VLOOKUP(B21,raw!A:K,11,0)</f>
        <v>17</v>
      </c>
      <c r="D21">
        <f>VLOOKUP(B21,raw!A:K,3,0)+VLOOKUP(B21,raw!A:K,7,0)</f>
        <v>17</v>
      </c>
      <c r="E21">
        <f>VLOOKUP(B21,raw!A:K,4,0)</f>
        <v>0</v>
      </c>
      <c r="F21">
        <f>VLOOKUP(B21,raw!A:K,5,0)</f>
        <v>0</v>
      </c>
      <c r="G21">
        <f>VLOOKUP(B21,raw!A:K,2,0)+VLOOKUP(B21,raw!A:K,10,0)</f>
        <v>0</v>
      </c>
      <c r="H21">
        <f>VLOOKUP(B21,raw!A:K,6,0)</f>
        <v>0</v>
      </c>
      <c r="I21">
        <f>VLOOKUP(B21,raw!A:K,9,0)</f>
        <v>0</v>
      </c>
      <c r="J21">
        <f>VLOOKUP(B21,raw!A:K,8,0)</f>
        <v>0</v>
      </c>
      <c r="K21">
        <f>_xlfn.IFNA(VLOOKUP(B21,TDK!A:C,2,0),0)</f>
        <v>11</v>
      </c>
      <c r="L21">
        <f>_xlfn.IFNA(VLOOKUP(B21,TDK!A:C,3,0),0)</f>
        <v>1</v>
      </c>
      <c r="M21">
        <f>_xlfn.IFNA(VLOOKUP(B21,TDK!F:G,2,0),0)</f>
        <v>3</v>
      </c>
      <c r="N21">
        <f t="shared" si="0"/>
        <v>15</v>
      </c>
    </row>
    <row r="22" spans="1:14" x14ac:dyDescent="0.25">
      <c r="A22" t="s">
        <v>8</v>
      </c>
      <c r="B22" t="s">
        <v>1019</v>
      </c>
      <c r="C22">
        <f>VLOOKUP(B22,raw!A:K,11,0)</f>
        <v>35</v>
      </c>
      <c r="D22">
        <f>VLOOKUP(B22,raw!A:K,3,0)+VLOOKUP(B22,raw!A:K,7,0)</f>
        <v>35</v>
      </c>
      <c r="E22">
        <f>VLOOKUP(B22,raw!A:K,4,0)</f>
        <v>0</v>
      </c>
      <c r="F22">
        <f>VLOOKUP(B22,raw!A:K,5,0)</f>
        <v>0</v>
      </c>
      <c r="G22">
        <f>VLOOKUP(B22,raw!A:K,2,0)+VLOOKUP(B22,raw!A:K,10,0)</f>
        <v>0</v>
      </c>
      <c r="H22">
        <f>VLOOKUP(B22,raw!A:K,6,0)</f>
        <v>0</v>
      </c>
      <c r="I22">
        <f>VLOOKUP(B22,raw!A:K,9,0)</f>
        <v>0</v>
      </c>
      <c r="J22">
        <f>VLOOKUP(B22,raw!A:K,8,0)</f>
        <v>0</v>
      </c>
      <c r="K22">
        <f>_xlfn.IFNA(VLOOKUP(B22,TDK!A:C,2,0),0)</f>
        <v>20</v>
      </c>
      <c r="L22">
        <f>_xlfn.IFNA(VLOOKUP(B22,TDK!A:C,3,0),0)</f>
        <v>0</v>
      </c>
      <c r="M22">
        <f>_xlfn.IFNA(VLOOKUP(B22,TDK!F:G,2,0),0)</f>
        <v>0</v>
      </c>
      <c r="N22">
        <f t="shared" si="0"/>
        <v>20</v>
      </c>
    </row>
    <row r="23" spans="1:14" x14ac:dyDescent="0.25">
      <c r="A23" t="s">
        <v>8</v>
      </c>
      <c r="B23" t="s">
        <v>1020</v>
      </c>
      <c r="C23">
        <f>VLOOKUP(B23,raw!A:K,11,0)</f>
        <v>22</v>
      </c>
      <c r="D23">
        <f>VLOOKUP(B23,raw!A:K,3,0)+VLOOKUP(B23,raw!A:K,7,0)</f>
        <v>22</v>
      </c>
      <c r="E23">
        <f>VLOOKUP(B23,raw!A:K,4,0)</f>
        <v>0</v>
      </c>
      <c r="F23">
        <f>VLOOKUP(B23,raw!A:K,5,0)</f>
        <v>0</v>
      </c>
      <c r="G23">
        <f>VLOOKUP(B23,raw!A:K,2,0)+VLOOKUP(B23,raw!A:K,10,0)</f>
        <v>0</v>
      </c>
      <c r="H23">
        <f>VLOOKUP(B23,raw!A:K,6,0)</f>
        <v>0</v>
      </c>
      <c r="I23">
        <f>VLOOKUP(B23,raw!A:K,9,0)</f>
        <v>0</v>
      </c>
      <c r="J23">
        <f>VLOOKUP(B23,raw!A:K,8,0)</f>
        <v>0</v>
      </c>
      <c r="K23">
        <f>_xlfn.IFNA(VLOOKUP(B23,TDK!A:C,2,0),0)</f>
        <v>14</v>
      </c>
      <c r="L23">
        <f>_xlfn.IFNA(VLOOKUP(B23,TDK!A:C,3,0),0)</f>
        <v>0</v>
      </c>
      <c r="M23">
        <f>_xlfn.IFNA(VLOOKUP(B23,TDK!F:G,2,0),0)</f>
        <v>0</v>
      </c>
      <c r="N23">
        <f t="shared" si="0"/>
        <v>14</v>
      </c>
    </row>
    <row r="24" spans="1:14" x14ac:dyDescent="0.25">
      <c r="A24" t="s">
        <v>8</v>
      </c>
      <c r="B24" t="s">
        <v>1021</v>
      </c>
      <c r="C24">
        <f>VLOOKUP(B24,raw!A:K,11,0)</f>
        <v>54</v>
      </c>
      <c r="D24">
        <f>VLOOKUP(B24,raw!A:K,3,0)+VLOOKUP(B24,raw!A:K,7,0)</f>
        <v>54</v>
      </c>
      <c r="E24">
        <f>VLOOKUP(B24,raw!A:K,4,0)</f>
        <v>0</v>
      </c>
      <c r="F24">
        <f>VLOOKUP(B24,raw!A:K,5,0)</f>
        <v>0</v>
      </c>
      <c r="G24">
        <f>VLOOKUP(B24,raw!A:K,2,0)+VLOOKUP(B24,raw!A:K,10,0)</f>
        <v>0</v>
      </c>
      <c r="H24">
        <f>VLOOKUP(B24,raw!A:K,6,0)</f>
        <v>0</v>
      </c>
      <c r="I24">
        <f>VLOOKUP(B24,raw!A:K,9,0)</f>
        <v>0</v>
      </c>
      <c r="J24">
        <f>VLOOKUP(B24,raw!A:K,8,0)</f>
        <v>0</v>
      </c>
      <c r="K24">
        <f>_xlfn.IFNA(VLOOKUP(B24,TDK!A:C,2,0),0)</f>
        <v>30</v>
      </c>
      <c r="L24">
        <f>_xlfn.IFNA(VLOOKUP(B24,TDK!A:C,3,0),0)</f>
        <v>0</v>
      </c>
      <c r="M24">
        <f>_xlfn.IFNA(VLOOKUP(B24,TDK!F:G,2,0),0)</f>
        <v>2</v>
      </c>
      <c r="N24">
        <f t="shared" si="0"/>
        <v>32</v>
      </c>
    </row>
    <row r="25" spans="1:14" x14ac:dyDescent="0.25">
      <c r="A25" t="s">
        <v>8</v>
      </c>
      <c r="B25" t="s">
        <v>1022</v>
      </c>
      <c r="C25">
        <f>VLOOKUP(B25,raw!A:K,11,0)</f>
        <v>43</v>
      </c>
      <c r="D25">
        <f>VLOOKUP(B25,raw!A:K,3,0)+VLOOKUP(B25,raw!A:K,7,0)</f>
        <v>43</v>
      </c>
      <c r="E25">
        <f>VLOOKUP(B25,raw!A:K,4,0)</f>
        <v>0</v>
      </c>
      <c r="F25">
        <f>VLOOKUP(B25,raw!A:K,5,0)</f>
        <v>0</v>
      </c>
      <c r="G25">
        <f>VLOOKUP(B25,raw!A:K,2,0)+VLOOKUP(B25,raw!A:K,10,0)</f>
        <v>0</v>
      </c>
      <c r="H25">
        <f>VLOOKUP(B25,raw!A:K,6,0)</f>
        <v>0</v>
      </c>
      <c r="I25">
        <f>VLOOKUP(B25,raw!A:K,9,0)</f>
        <v>0</v>
      </c>
      <c r="J25">
        <f>VLOOKUP(B25,raw!A:K,8,0)</f>
        <v>0</v>
      </c>
      <c r="K25">
        <f>_xlfn.IFNA(VLOOKUP(B25,TDK!A:C,2,0),0)</f>
        <v>24</v>
      </c>
      <c r="L25">
        <f>_xlfn.IFNA(VLOOKUP(B25,TDK!A:C,3,0),0)</f>
        <v>0</v>
      </c>
      <c r="M25">
        <f>_xlfn.IFNA(VLOOKUP(B25,TDK!F:G,2,0),0)</f>
        <v>2</v>
      </c>
      <c r="N25">
        <f t="shared" si="0"/>
        <v>26</v>
      </c>
    </row>
    <row r="26" spans="1:14" x14ac:dyDescent="0.25">
      <c r="A26" t="s">
        <v>8</v>
      </c>
      <c r="B26" t="s">
        <v>1023</v>
      </c>
      <c r="C26">
        <f>VLOOKUP(B26,raw!A:K,11,0)</f>
        <v>87</v>
      </c>
      <c r="D26">
        <f>VLOOKUP(B26,raw!A:K,3,0)+VLOOKUP(B26,raw!A:K,7,0)</f>
        <v>87</v>
      </c>
      <c r="E26">
        <f>VLOOKUP(B26,raw!A:K,4,0)</f>
        <v>0</v>
      </c>
      <c r="F26">
        <f>VLOOKUP(B26,raw!A:K,5,0)</f>
        <v>0</v>
      </c>
      <c r="G26">
        <f>VLOOKUP(B26,raw!A:K,2,0)+VLOOKUP(B26,raw!A:K,10,0)</f>
        <v>0</v>
      </c>
      <c r="H26">
        <f>VLOOKUP(B26,raw!A:K,6,0)</f>
        <v>0</v>
      </c>
      <c r="I26">
        <f>VLOOKUP(B26,raw!A:K,9,0)</f>
        <v>0</v>
      </c>
      <c r="J26">
        <f>VLOOKUP(B26,raw!A:K,8,0)</f>
        <v>0</v>
      </c>
      <c r="K26">
        <f>_xlfn.IFNA(VLOOKUP(B26,TDK!A:C,2,0),0)</f>
        <v>39</v>
      </c>
      <c r="L26">
        <f>_xlfn.IFNA(VLOOKUP(B26,TDK!A:C,3,0),0)</f>
        <v>0</v>
      </c>
      <c r="M26">
        <f>_xlfn.IFNA(VLOOKUP(B26,TDK!F:G,2,0),0)</f>
        <v>7</v>
      </c>
      <c r="N26">
        <f t="shared" si="0"/>
        <v>46</v>
      </c>
    </row>
    <row r="27" spans="1:14" x14ac:dyDescent="0.25">
      <c r="A27" t="s">
        <v>8</v>
      </c>
      <c r="B27" t="s">
        <v>1024</v>
      </c>
      <c r="C27">
        <f>VLOOKUP(B27,raw!A:K,11,0)</f>
        <v>75</v>
      </c>
      <c r="D27">
        <f>VLOOKUP(B27,raw!A:K,3,0)+VLOOKUP(B27,raw!A:K,7,0)</f>
        <v>74</v>
      </c>
      <c r="E27">
        <f>VLOOKUP(B27,raw!A:K,4,0)</f>
        <v>0</v>
      </c>
      <c r="F27">
        <f>VLOOKUP(B27,raw!A:K,5,0)</f>
        <v>0</v>
      </c>
      <c r="G27">
        <f>VLOOKUP(B27,raw!A:K,2,0)+VLOOKUP(B27,raw!A:K,10,0)</f>
        <v>0</v>
      </c>
      <c r="H27">
        <f>VLOOKUP(B27,raw!A:K,6,0)</f>
        <v>0</v>
      </c>
      <c r="I27">
        <f>VLOOKUP(B27,raw!A:K,9,0)</f>
        <v>1</v>
      </c>
      <c r="J27">
        <f>VLOOKUP(B27,raw!A:K,8,0)</f>
        <v>0</v>
      </c>
      <c r="K27">
        <f>_xlfn.IFNA(VLOOKUP(B27,TDK!A:C,2,0),0)</f>
        <v>36</v>
      </c>
      <c r="L27">
        <f>_xlfn.IFNA(VLOOKUP(B27,TDK!A:C,3,0),0)</f>
        <v>1</v>
      </c>
      <c r="M27">
        <f>_xlfn.IFNA(VLOOKUP(B27,TDK!F:G,2,0),0)</f>
        <v>8</v>
      </c>
      <c r="N27">
        <f t="shared" si="0"/>
        <v>45</v>
      </c>
    </row>
    <row r="28" spans="1:14" x14ac:dyDescent="0.25">
      <c r="A28" t="s">
        <v>8</v>
      </c>
      <c r="B28" t="s">
        <v>1025</v>
      </c>
      <c r="C28">
        <f>VLOOKUP(B28,raw!A:K,11,0)</f>
        <v>34</v>
      </c>
      <c r="D28">
        <f>VLOOKUP(B28,raw!A:K,3,0)+VLOOKUP(B28,raw!A:K,7,0)</f>
        <v>34</v>
      </c>
      <c r="E28">
        <f>VLOOKUP(B28,raw!A:K,4,0)</f>
        <v>0</v>
      </c>
      <c r="F28">
        <f>VLOOKUP(B28,raw!A:K,5,0)</f>
        <v>0</v>
      </c>
      <c r="G28">
        <f>VLOOKUP(B28,raw!A:K,2,0)+VLOOKUP(B28,raw!A:K,10,0)</f>
        <v>0</v>
      </c>
      <c r="H28">
        <f>VLOOKUP(B28,raw!A:K,6,0)</f>
        <v>0</v>
      </c>
      <c r="I28">
        <f>VLOOKUP(B28,raw!A:K,9,0)</f>
        <v>0</v>
      </c>
      <c r="J28">
        <f>VLOOKUP(B28,raw!A:K,8,0)</f>
        <v>0</v>
      </c>
      <c r="K28">
        <f>_xlfn.IFNA(VLOOKUP(B28,TDK!A:C,2,0),0)</f>
        <v>11</v>
      </c>
      <c r="L28">
        <f>_xlfn.IFNA(VLOOKUP(B28,TDK!A:C,3,0),0)</f>
        <v>0</v>
      </c>
      <c r="M28">
        <f>_xlfn.IFNA(VLOOKUP(B28,TDK!F:G,2,0),0)</f>
        <v>2</v>
      </c>
      <c r="N28">
        <f t="shared" si="0"/>
        <v>13</v>
      </c>
    </row>
    <row r="29" spans="1:14" x14ac:dyDescent="0.25">
      <c r="A29" t="s">
        <v>8</v>
      </c>
      <c r="B29" t="s">
        <v>1026</v>
      </c>
      <c r="C29">
        <f>VLOOKUP(B29,raw!A:K,11,0)</f>
        <v>48</v>
      </c>
      <c r="D29">
        <f>VLOOKUP(B29,raw!A:K,3,0)+VLOOKUP(B29,raw!A:K,7,0)</f>
        <v>48</v>
      </c>
      <c r="E29">
        <f>VLOOKUP(B29,raw!A:K,4,0)</f>
        <v>0</v>
      </c>
      <c r="F29">
        <f>VLOOKUP(B29,raw!A:K,5,0)</f>
        <v>0</v>
      </c>
      <c r="G29">
        <f>VLOOKUP(B29,raw!A:K,2,0)+VLOOKUP(B29,raw!A:K,10,0)</f>
        <v>0</v>
      </c>
      <c r="H29">
        <f>VLOOKUP(B29,raw!A:K,6,0)</f>
        <v>0</v>
      </c>
      <c r="I29">
        <f>VLOOKUP(B29,raw!A:K,9,0)</f>
        <v>0</v>
      </c>
      <c r="J29">
        <f>VLOOKUP(B29,raw!A:K,8,0)</f>
        <v>0</v>
      </c>
      <c r="K29">
        <f>_xlfn.IFNA(VLOOKUP(B29,TDK!A:C,2,0),0)</f>
        <v>11</v>
      </c>
      <c r="L29">
        <f>_xlfn.IFNA(VLOOKUP(B29,TDK!A:C,3,0),0)</f>
        <v>0</v>
      </c>
      <c r="M29">
        <f>_xlfn.IFNA(VLOOKUP(B29,TDK!F:G,2,0),0)</f>
        <v>3</v>
      </c>
      <c r="N29">
        <f t="shared" si="0"/>
        <v>14</v>
      </c>
    </row>
    <row r="30" spans="1:14" x14ac:dyDescent="0.25">
      <c r="A30" t="s">
        <v>8</v>
      </c>
      <c r="B30" t="s">
        <v>1027</v>
      </c>
      <c r="C30">
        <f>VLOOKUP(B30,raw!A:K,11,0)</f>
        <v>69</v>
      </c>
      <c r="D30">
        <f>VLOOKUP(B30,raw!A:K,3,0)+VLOOKUP(B30,raw!A:K,7,0)</f>
        <v>69</v>
      </c>
      <c r="E30">
        <f>VLOOKUP(B30,raw!A:K,4,0)</f>
        <v>0</v>
      </c>
      <c r="F30">
        <f>VLOOKUP(B30,raw!A:K,5,0)</f>
        <v>0</v>
      </c>
      <c r="G30">
        <f>VLOOKUP(B30,raw!A:K,2,0)+VLOOKUP(B30,raw!A:K,10,0)</f>
        <v>0</v>
      </c>
      <c r="H30">
        <f>VLOOKUP(B30,raw!A:K,6,0)</f>
        <v>0</v>
      </c>
      <c r="I30">
        <f>VLOOKUP(B30,raw!A:K,9,0)</f>
        <v>0</v>
      </c>
      <c r="J30">
        <f>VLOOKUP(B30,raw!A:K,8,0)</f>
        <v>0</v>
      </c>
      <c r="K30">
        <f>_xlfn.IFNA(VLOOKUP(B30,TDK!A:C,2,0),0)</f>
        <v>17</v>
      </c>
      <c r="L30">
        <f>_xlfn.IFNA(VLOOKUP(B30,TDK!A:C,3,0),0)</f>
        <v>3</v>
      </c>
      <c r="M30">
        <f>_xlfn.IFNA(VLOOKUP(B30,TDK!F:G,2,0),0)</f>
        <v>0</v>
      </c>
      <c r="N30">
        <f t="shared" si="0"/>
        <v>20</v>
      </c>
    </row>
    <row r="31" spans="1:14" x14ac:dyDescent="0.25">
      <c r="A31" t="s">
        <v>9</v>
      </c>
      <c r="B31" t="s">
        <v>1028</v>
      </c>
      <c r="C31">
        <f>VLOOKUP(B31,raw!A:K,11,0)</f>
        <v>36</v>
      </c>
      <c r="D31">
        <f>VLOOKUP(B31,raw!A:K,3,0)+VLOOKUP(B31,raw!A:K,7,0)</f>
        <v>36</v>
      </c>
      <c r="E31">
        <f>VLOOKUP(B31,raw!A:K,4,0)</f>
        <v>0</v>
      </c>
      <c r="F31">
        <f>VLOOKUP(B31,raw!A:K,5,0)</f>
        <v>0</v>
      </c>
      <c r="G31">
        <f>VLOOKUP(B31,raw!A:K,2,0)+VLOOKUP(B31,raw!A:K,10,0)</f>
        <v>0</v>
      </c>
      <c r="H31">
        <f>VLOOKUP(B31,raw!A:K,6,0)</f>
        <v>0</v>
      </c>
      <c r="I31">
        <f>VLOOKUP(B31,raw!A:K,9,0)</f>
        <v>0</v>
      </c>
      <c r="J31">
        <f>VLOOKUP(B31,raw!A:K,8,0)</f>
        <v>0</v>
      </c>
      <c r="K31">
        <f>_xlfn.IFNA(VLOOKUP(B31,TDK!A:C,2,0),0)</f>
        <v>12</v>
      </c>
      <c r="L31">
        <f>_xlfn.IFNA(VLOOKUP(B31,TDK!A:C,3,0),0)</f>
        <v>0</v>
      </c>
      <c r="M31">
        <f>_xlfn.IFNA(VLOOKUP(B31,TDK!F:G,2,0),0)</f>
        <v>0</v>
      </c>
      <c r="N31">
        <f t="shared" si="0"/>
        <v>12</v>
      </c>
    </row>
    <row r="32" spans="1:14" x14ac:dyDescent="0.25">
      <c r="A32" t="s">
        <v>9</v>
      </c>
      <c r="B32" t="s">
        <v>1029</v>
      </c>
      <c r="C32">
        <f>VLOOKUP(B32,raw!A:K,11,0)</f>
        <v>52</v>
      </c>
      <c r="D32">
        <f>VLOOKUP(B32,raw!A:K,3,0)+VLOOKUP(B32,raw!A:K,7,0)</f>
        <v>51</v>
      </c>
      <c r="E32">
        <f>VLOOKUP(B32,raw!A:K,4,0)</f>
        <v>0</v>
      </c>
      <c r="F32">
        <f>VLOOKUP(B32,raw!A:K,5,0)</f>
        <v>0</v>
      </c>
      <c r="G32">
        <f>VLOOKUP(B32,raw!A:K,2,0)+VLOOKUP(B32,raw!A:K,10,0)</f>
        <v>1</v>
      </c>
      <c r="H32">
        <f>VLOOKUP(B32,raw!A:K,6,0)</f>
        <v>0</v>
      </c>
      <c r="I32">
        <f>VLOOKUP(B32,raw!A:K,9,0)</f>
        <v>0</v>
      </c>
      <c r="J32">
        <f>VLOOKUP(B32,raw!A:K,8,0)</f>
        <v>0</v>
      </c>
      <c r="K32">
        <f>_xlfn.IFNA(VLOOKUP(B32,TDK!A:C,2,0),0)</f>
        <v>15</v>
      </c>
      <c r="L32">
        <f>_xlfn.IFNA(VLOOKUP(B32,TDK!A:C,3,0),0)</f>
        <v>0</v>
      </c>
      <c r="M32">
        <f>_xlfn.IFNA(VLOOKUP(B32,TDK!F:G,2,0),0)</f>
        <v>3</v>
      </c>
      <c r="N32">
        <f t="shared" si="0"/>
        <v>18</v>
      </c>
    </row>
    <row r="33" spans="1:14" x14ac:dyDescent="0.25">
      <c r="A33" t="s">
        <v>9</v>
      </c>
      <c r="B33" t="s">
        <v>1030</v>
      </c>
      <c r="C33">
        <f>VLOOKUP(B33,raw!A:K,11,0)</f>
        <v>62</v>
      </c>
      <c r="D33">
        <f>VLOOKUP(B33,raw!A:K,3,0)+VLOOKUP(B33,raw!A:K,7,0)</f>
        <v>62</v>
      </c>
      <c r="E33">
        <f>VLOOKUP(B33,raw!A:K,4,0)</f>
        <v>0</v>
      </c>
      <c r="F33">
        <f>VLOOKUP(B33,raw!A:K,5,0)</f>
        <v>0</v>
      </c>
      <c r="G33">
        <f>VLOOKUP(B33,raw!A:K,2,0)+VLOOKUP(B33,raw!A:K,10,0)</f>
        <v>0</v>
      </c>
      <c r="H33">
        <f>VLOOKUP(B33,raw!A:K,6,0)</f>
        <v>0</v>
      </c>
      <c r="I33">
        <f>VLOOKUP(B33,raw!A:K,9,0)</f>
        <v>0</v>
      </c>
      <c r="J33">
        <f>VLOOKUP(B33,raw!A:K,8,0)</f>
        <v>0</v>
      </c>
      <c r="K33">
        <f>_xlfn.IFNA(VLOOKUP(B33,TDK!A:C,2,0),0)</f>
        <v>23</v>
      </c>
      <c r="L33">
        <f>_xlfn.IFNA(VLOOKUP(B33,TDK!A:C,3,0),0)</f>
        <v>3</v>
      </c>
      <c r="M33">
        <f>_xlfn.IFNA(VLOOKUP(B33,TDK!F:G,2,0),0)</f>
        <v>2</v>
      </c>
      <c r="N33">
        <f t="shared" si="0"/>
        <v>28</v>
      </c>
    </row>
    <row r="34" spans="1:14" x14ac:dyDescent="0.25">
      <c r="A34" t="s">
        <v>9</v>
      </c>
      <c r="B34" t="s">
        <v>1031</v>
      </c>
      <c r="C34">
        <f>VLOOKUP(B34,raw!A:K,11,0)</f>
        <v>68</v>
      </c>
      <c r="D34">
        <f>VLOOKUP(B34,raw!A:K,3,0)+VLOOKUP(B34,raw!A:K,7,0)</f>
        <v>68</v>
      </c>
      <c r="E34">
        <f>VLOOKUP(B34,raw!A:K,4,0)</f>
        <v>0</v>
      </c>
      <c r="F34">
        <f>VLOOKUP(B34,raw!A:K,5,0)</f>
        <v>0</v>
      </c>
      <c r="G34">
        <f>VLOOKUP(B34,raw!A:K,2,0)+VLOOKUP(B34,raw!A:K,10,0)</f>
        <v>0</v>
      </c>
      <c r="H34">
        <f>VLOOKUP(B34,raw!A:K,6,0)</f>
        <v>0</v>
      </c>
      <c r="I34">
        <f>VLOOKUP(B34,raw!A:K,9,0)</f>
        <v>0</v>
      </c>
      <c r="J34">
        <f>VLOOKUP(B34,raw!A:K,8,0)</f>
        <v>0</v>
      </c>
      <c r="K34">
        <f>_xlfn.IFNA(VLOOKUP(B34,TDK!A:C,2,0),0)</f>
        <v>12</v>
      </c>
      <c r="L34">
        <f>_xlfn.IFNA(VLOOKUP(B34,TDK!A:C,3,0),0)</f>
        <v>1</v>
      </c>
      <c r="M34">
        <f>_xlfn.IFNA(VLOOKUP(B34,TDK!F:G,2,0),0)</f>
        <v>3</v>
      </c>
      <c r="N34">
        <f t="shared" si="0"/>
        <v>16</v>
      </c>
    </row>
    <row r="35" spans="1:14" x14ac:dyDescent="0.25">
      <c r="A35" t="s">
        <v>9</v>
      </c>
      <c r="B35" t="s">
        <v>1032</v>
      </c>
      <c r="C35">
        <f>VLOOKUP(B35,raw!A:K,11,0)</f>
        <v>62</v>
      </c>
      <c r="D35">
        <f>VLOOKUP(B35,raw!A:K,3,0)+VLOOKUP(B35,raw!A:K,7,0)</f>
        <v>59</v>
      </c>
      <c r="E35">
        <f>VLOOKUP(B35,raw!A:K,4,0)</f>
        <v>0</v>
      </c>
      <c r="F35">
        <f>VLOOKUP(B35,raw!A:K,5,0)</f>
        <v>0</v>
      </c>
      <c r="G35">
        <f>VLOOKUP(B35,raw!A:K,2,0)+VLOOKUP(B35,raw!A:K,10,0)</f>
        <v>3</v>
      </c>
      <c r="H35">
        <f>VLOOKUP(B35,raw!A:K,6,0)</f>
        <v>0</v>
      </c>
      <c r="I35">
        <f>VLOOKUP(B35,raw!A:K,9,0)</f>
        <v>0</v>
      </c>
      <c r="J35">
        <f>VLOOKUP(B35,raw!A:K,8,0)</f>
        <v>0</v>
      </c>
      <c r="K35">
        <f>_xlfn.IFNA(VLOOKUP(B35,TDK!A:C,2,0),0)</f>
        <v>17</v>
      </c>
      <c r="L35">
        <f>_xlfn.IFNA(VLOOKUP(B35,TDK!A:C,3,0),0)</f>
        <v>1</v>
      </c>
      <c r="M35">
        <f>_xlfn.IFNA(VLOOKUP(B35,TDK!F:G,2,0),0)</f>
        <v>3</v>
      </c>
      <c r="N35">
        <f t="shared" si="0"/>
        <v>21</v>
      </c>
    </row>
    <row r="36" spans="1:14" x14ac:dyDescent="0.25">
      <c r="A36" t="s">
        <v>9</v>
      </c>
      <c r="B36" t="s">
        <v>1033</v>
      </c>
      <c r="C36">
        <f>VLOOKUP(B36,raw!A:K,11,0)</f>
        <v>71</v>
      </c>
      <c r="D36">
        <f>VLOOKUP(B36,raw!A:K,3,0)+VLOOKUP(B36,raw!A:K,7,0)</f>
        <v>65</v>
      </c>
      <c r="E36">
        <f>VLOOKUP(B36,raw!A:K,4,0)</f>
        <v>0</v>
      </c>
      <c r="F36">
        <f>VLOOKUP(B36,raw!A:K,5,0)</f>
        <v>0</v>
      </c>
      <c r="G36">
        <f>VLOOKUP(B36,raw!A:K,2,0)+VLOOKUP(B36,raw!A:K,10,0)</f>
        <v>6</v>
      </c>
      <c r="H36">
        <f>VLOOKUP(B36,raw!A:K,6,0)</f>
        <v>0</v>
      </c>
      <c r="I36">
        <f>VLOOKUP(B36,raw!A:K,9,0)</f>
        <v>0</v>
      </c>
      <c r="J36">
        <f>VLOOKUP(B36,raw!A:K,8,0)</f>
        <v>0</v>
      </c>
      <c r="K36">
        <f>_xlfn.IFNA(VLOOKUP(B36,TDK!A:C,2,0),0)</f>
        <v>26</v>
      </c>
      <c r="L36">
        <f>_xlfn.IFNA(VLOOKUP(B36,TDK!A:C,3,0),0)</f>
        <v>0</v>
      </c>
      <c r="M36">
        <f>_xlfn.IFNA(VLOOKUP(B36,TDK!F:G,2,0),0)</f>
        <v>3</v>
      </c>
      <c r="N36">
        <f t="shared" si="0"/>
        <v>29</v>
      </c>
    </row>
    <row r="37" spans="1:14" x14ac:dyDescent="0.25">
      <c r="A37" t="s">
        <v>9</v>
      </c>
      <c r="B37" t="s">
        <v>1034</v>
      </c>
      <c r="C37">
        <f>VLOOKUP(B37,raw!A:K,11,0)</f>
        <v>66</v>
      </c>
      <c r="D37">
        <f>VLOOKUP(B37,raw!A:K,3,0)+VLOOKUP(B37,raw!A:K,7,0)</f>
        <v>25</v>
      </c>
      <c r="E37">
        <f>VLOOKUP(B37,raw!A:K,4,0)</f>
        <v>0</v>
      </c>
      <c r="F37">
        <f>VLOOKUP(B37,raw!A:K,5,0)</f>
        <v>0</v>
      </c>
      <c r="G37">
        <f>VLOOKUP(B37,raw!A:K,2,0)+VLOOKUP(B37,raw!A:K,10,0)</f>
        <v>3</v>
      </c>
      <c r="H37">
        <f>VLOOKUP(B37,raw!A:K,6,0)</f>
        <v>0</v>
      </c>
      <c r="I37">
        <f>VLOOKUP(B37,raw!A:K,9,0)</f>
        <v>38</v>
      </c>
      <c r="J37">
        <f>VLOOKUP(B37,raw!A:K,8,0)</f>
        <v>0</v>
      </c>
      <c r="K37">
        <f>_xlfn.IFNA(VLOOKUP(B37,TDK!A:C,2,0),0)</f>
        <v>13</v>
      </c>
      <c r="L37">
        <f>_xlfn.IFNA(VLOOKUP(B37,TDK!A:C,3,0),0)</f>
        <v>2</v>
      </c>
      <c r="M37">
        <f>_xlfn.IFNA(VLOOKUP(B37,TDK!F:G,2,0),0)</f>
        <v>3</v>
      </c>
      <c r="N37">
        <f t="shared" si="0"/>
        <v>18</v>
      </c>
    </row>
    <row r="38" spans="1:14" x14ac:dyDescent="0.25">
      <c r="A38" t="s">
        <v>9</v>
      </c>
      <c r="B38" t="s">
        <v>1035</v>
      </c>
      <c r="C38">
        <f>VLOOKUP(B38,raw!A:K,11,0)</f>
        <v>51</v>
      </c>
      <c r="D38">
        <f>VLOOKUP(B38,raw!A:K,3,0)+VLOOKUP(B38,raw!A:K,7,0)</f>
        <v>35</v>
      </c>
      <c r="E38">
        <f>VLOOKUP(B38,raw!A:K,4,0)</f>
        <v>0</v>
      </c>
      <c r="F38">
        <f>VLOOKUP(B38,raw!A:K,5,0)</f>
        <v>0</v>
      </c>
      <c r="G38">
        <f>VLOOKUP(B38,raw!A:K,2,0)+VLOOKUP(B38,raw!A:K,10,0)</f>
        <v>1</v>
      </c>
      <c r="H38">
        <f>VLOOKUP(B38,raw!A:K,6,0)</f>
        <v>0</v>
      </c>
      <c r="I38">
        <f>VLOOKUP(B38,raw!A:K,9,0)</f>
        <v>15</v>
      </c>
      <c r="J38">
        <f>VLOOKUP(B38,raw!A:K,8,0)</f>
        <v>0</v>
      </c>
      <c r="K38">
        <f>_xlfn.IFNA(VLOOKUP(B38,TDK!A:C,2,0),0)</f>
        <v>24</v>
      </c>
      <c r="L38">
        <f>_xlfn.IFNA(VLOOKUP(B38,TDK!A:C,3,0),0)</f>
        <v>2</v>
      </c>
      <c r="M38">
        <f>_xlfn.IFNA(VLOOKUP(B38,TDK!F:G,2,0),0)</f>
        <v>2</v>
      </c>
      <c r="N38">
        <f t="shared" si="0"/>
        <v>28</v>
      </c>
    </row>
    <row r="39" spans="1:14" x14ac:dyDescent="0.25">
      <c r="A39" t="s">
        <v>9</v>
      </c>
      <c r="B39" t="s">
        <v>1036</v>
      </c>
      <c r="C39">
        <f>VLOOKUP(B39,raw!A:K,11,0)</f>
        <v>57</v>
      </c>
      <c r="D39">
        <f>VLOOKUP(B39,raw!A:K,3,0)+VLOOKUP(B39,raw!A:K,7,0)</f>
        <v>16</v>
      </c>
      <c r="E39">
        <f>VLOOKUP(B39,raw!A:K,4,0)</f>
        <v>0</v>
      </c>
      <c r="F39">
        <f>VLOOKUP(B39,raw!A:K,5,0)</f>
        <v>0</v>
      </c>
      <c r="G39">
        <f>VLOOKUP(B39,raw!A:K,2,0)+VLOOKUP(B39,raw!A:K,10,0)</f>
        <v>4</v>
      </c>
      <c r="H39">
        <f>VLOOKUP(B39,raw!A:K,6,0)</f>
        <v>0</v>
      </c>
      <c r="I39">
        <f>VLOOKUP(B39,raw!A:K,9,0)</f>
        <v>37</v>
      </c>
      <c r="J39">
        <f>VLOOKUP(B39,raw!A:K,8,0)</f>
        <v>0</v>
      </c>
      <c r="K39">
        <f>_xlfn.IFNA(VLOOKUP(B39,TDK!A:C,2,0),0)</f>
        <v>20</v>
      </c>
      <c r="L39">
        <f>_xlfn.IFNA(VLOOKUP(B39,TDK!A:C,3,0),0)</f>
        <v>0</v>
      </c>
      <c r="M39">
        <f>_xlfn.IFNA(VLOOKUP(B39,TDK!F:G,2,0),0)</f>
        <v>2</v>
      </c>
      <c r="N39">
        <f t="shared" si="0"/>
        <v>22</v>
      </c>
    </row>
    <row r="40" spans="1:14" x14ac:dyDescent="0.25">
      <c r="A40" t="s">
        <v>9</v>
      </c>
      <c r="B40" t="s">
        <v>1037</v>
      </c>
      <c r="C40">
        <f>VLOOKUP(B40,raw!A:K,11,0)</f>
        <v>73</v>
      </c>
      <c r="D40">
        <f>VLOOKUP(B40,raw!A:K,3,0)+VLOOKUP(B40,raw!A:K,7,0)</f>
        <v>0</v>
      </c>
      <c r="E40">
        <f>VLOOKUP(B40,raw!A:K,4,0)</f>
        <v>0</v>
      </c>
      <c r="F40">
        <f>VLOOKUP(B40,raw!A:K,5,0)</f>
        <v>0</v>
      </c>
      <c r="G40">
        <f>VLOOKUP(B40,raw!A:K,2,0)+VLOOKUP(B40,raw!A:K,10,0)</f>
        <v>0</v>
      </c>
      <c r="H40">
        <f>VLOOKUP(B40,raw!A:K,6,0)</f>
        <v>0</v>
      </c>
      <c r="I40">
        <f>VLOOKUP(B40,raw!A:K,9,0)</f>
        <v>73</v>
      </c>
      <c r="J40">
        <f>VLOOKUP(B40,raw!A:K,8,0)</f>
        <v>0</v>
      </c>
      <c r="K40">
        <f>_xlfn.IFNA(VLOOKUP(B40,TDK!A:C,2,0),0)</f>
        <v>22</v>
      </c>
      <c r="L40">
        <f>_xlfn.IFNA(VLOOKUP(B40,TDK!A:C,3,0),0)</f>
        <v>1</v>
      </c>
      <c r="M40">
        <f>_xlfn.IFNA(VLOOKUP(B40,TDK!F:G,2,0),0)</f>
        <v>7</v>
      </c>
      <c r="N40">
        <f t="shared" si="0"/>
        <v>30</v>
      </c>
    </row>
    <row r="41" spans="1:14" x14ac:dyDescent="0.25">
      <c r="A41" t="s">
        <v>9</v>
      </c>
      <c r="B41" t="s">
        <v>1038</v>
      </c>
      <c r="C41">
        <f>VLOOKUP(B41,raw!A:K,11,0)</f>
        <v>28</v>
      </c>
      <c r="D41">
        <f>VLOOKUP(B41,raw!A:K,3,0)+VLOOKUP(B41,raw!A:K,7,0)</f>
        <v>6</v>
      </c>
      <c r="E41">
        <f>VLOOKUP(B41,raw!A:K,4,0)</f>
        <v>0</v>
      </c>
      <c r="F41">
        <f>VLOOKUP(B41,raw!A:K,5,0)</f>
        <v>0</v>
      </c>
      <c r="G41">
        <f>VLOOKUP(B41,raw!A:K,2,0)+VLOOKUP(B41,raw!A:K,10,0)</f>
        <v>1</v>
      </c>
      <c r="H41">
        <f>VLOOKUP(B41,raw!A:K,6,0)</f>
        <v>0</v>
      </c>
      <c r="I41">
        <f>VLOOKUP(B41,raw!A:K,9,0)</f>
        <v>21</v>
      </c>
      <c r="J41">
        <f>VLOOKUP(B41,raw!A:K,8,0)</f>
        <v>0</v>
      </c>
      <c r="K41">
        <f>_xlfn.IFNA(VLOOKUP(B41,TDK!A:C,2,0),0)</f>
        <v>7</v>
      </c>
      <c r="L41">
        <f>_xlfn.IFNA(VLOOKUP(B41,TDK!A:C,3,0),0)</f>
        <v>1</v>
      </c>
      <c r="M41">
        <f>_xlfn.IFNA(VLOOKUP(B41,TDK!F:G,2,0),0)</f>
        <v>5</v>
      </c>
      <c r="N41">
        <f t="shared" si="0"/>
        <v>13</v>
      </c>
    </row>
    <row r="42" spans="1:14" x14ac:dyDescent="0.25">
      <c r="A42" t="s">
        <v>9</v>
      </c>
      <c r="B42" t="s">
        <v>1039</v>
      </c>
      <c r="C42">
        <f>VLOOKUP(B42,raw!A:K,11,0)</f>
        <v>66</v>
      </c>
      <c r="D42">
        <f>VLOOKUP(B42,raw!A:K,3,0)+VLOOKUP(B42,raw!A:K,7,0)</f>
        <v>0</v>
      </c>
      <c r="E42">
        <f>VLOOKUP(B42,raw!A:K,4,0)</f>
        <v>0</v>
      </c>
      <c r="F42">
        <f>VLOOKUP(B42,raw!A:K,5,0)</f>
        <v>0</v>
      </c>
      <c r="G42">
        <f>VLOOKUP(B42,raw!A:K,2,0)+VLOOKUP(B42,raw!A:K,10,0)</f>
        <v>1</v>
      </c>
      <c r="H42">
        <f>VLOOKUP(B42,raw!A:K,6,0)</f>
        <v>0</v>
      </c>
      <c r="I42">
        <f>VLOOKUP(B42,raw!A:K,9,0)</f>
        <v>65</v>
      </c>
      <c r="J42">
        <f>VLOOKUP(B42,raw!A:K,8,0)</f>
        <v>0</v>
      </c>
      <c r="K42">
        <f>_xlfn.IFNA(VLOOKUP(B42,TDK!A:C,2,0),0)</f>
        <v>21</v>
      </c>
      <c r="L42">
        <f>_xlfn.IFNA(VLOOKUP(B42,TDK!A:C,3,0),0)</f>
        <v>4</v>
      </c>
      <c r="M42">
        <f>_xlfn.IFNA(VLOOKUP(B42,TDK!F:G,2,0),0)</f>
        <v>5</v>
      </c>
      <c r="N42">
        <f t="shared" si="0"/>
        <v>30</v>
      </c>
    </row>
    <row r="43" spans="1:14" x14ac:dyDescent="0.25">
      <c r="A43" t="s">
        <v>9</v>
      </c>
      <c r="B43" t="s">
        <v>1040</v>
      </c>
      <c r="C43">
        <f>VLOOKUP(B43,raw!A:K,11,0)</f>
        <v>53</v>
      </c>
      <c r="D43">
        <f>VLOOKUP(B43,raw!A:K,3,0)+VLOOKUP(B43,raw!A:K,7,0)</f>
        <v>0</v>
      </c>
      <c r="E43">
        <f>VLOOKUP(B43,raw!A:K,4,0)</f>
        <v>0</v>
      </c>
      <c r="F43">
        <f>VLOOKUP(B43,raw!A:K,5,0)</f>
        <v>0</v>
      </c>
      <c r="G43">
        <f>VLOOKUP(B43,raw!A:K,2,0)+VLOOKUP(B43,raw!A:K,10,0)</f>
        <v>0</v>
      </c>
      <c r="H43">
        <f>VLOOKUP(B43,raw!A:K,6,0)</f>
        <v>0</v>
      </c>
      <c r="I43">
        <f>VLOOKUP(B43,raw!A:K,9,0)</f>
        <v>53</v>
      </c>
      <c r="J43">
        <f>VLOOKUP(B43,raw!A:K,8,0)</f>
        <v>0</v>
      </c>
      <c r="K43">
        <f>_xlfn.IFNA(VLOOKUP(B43,TDK!A:C,2,0),0)</f>
        <v>14</v>
      </c>
      <c r="L43">
        <f>_xlfn.IFNA(VLOOKUP(B43,TDK!A:C,3,0),0)</f>
        <v>2</v>
      </c>
      <c r="M43">
        <f>_xlfn.IFNA(VLOOKUP(B43,TDK!F:G,2,0),0)</f>
        <v>1</v>
      </c>
      <c r="N43">
        <f t="shared" si="0"/>
        <v>17</v>
      </c>
    </row>
    <row r="44" spans="1:14" x14ac:dyDescent="0.25">
      <c r="A44" t="s">
        <v>10</v>
      </c>
      <c r="B44" t="s">
        <v>1041</v>
      </c>
      <c r="C44">
        <f>VLOOKUP(B44,raw!A:K,11,0)</f>
        <v>87</v>
      </c>
      <c r="D44">
        <f>VLOOKUP(B44,raw!A:K,3,0)+VLOOKUP(B44,raw!A:K,7,0)</f>
        <v>0</v>
      </c>
      <c r="E44">
        <f>VLOOKUP(B44,raw!A:K,4,0)</f>
        <v>0</v>
      </c>
      <c r="F44">
        <f>VLOOKUP(B44,raw!A:K,5,0)</f>
        <v>0</v>
      </c>
      <c r="G44">
        <f>VLOOKUP(B44,raw!A:K,2,0)+VLOOKUP(B44,raw!A:K,10,0)</f>
        <v>0</v>
      </c>
      <c r="H44">
        <f>VLOOKUP(B44,raw!A:K,6,0)</f>
        <v>0</v>
      </c>
      <c r="I44">
        <f>VLOOKUP(B44,raw!A:K,9,0)</f>
        <v>87</v>
      </c>
      <c r="J44">
        <f>VLOOKUP(B44,raw!A:K,8,0)</f>
        <v>0</v>
      </c>
      <c r="K44">
        <f>_xlfn.IFNA(VLOOKUP(B44,TDK!A:C,2,0),0)</f>
        <v>15</v>
      </c>
      <c r="L44">
        <f>_xlfn.IFNA(VLOOKUP(B44,TDK!A:C,3,0),0)</f>
        <v>0</v>
      </c>
      <c r="M44">
        <f>_xlfn.IFNA(VLOOKUP(B44,TDK!F:G,2,0),0)</f>
        <v>1</v>
      </c>
      <c r="N44">
        <f t="shared" si="0"/>
        <v>16</v>
      </c>
    </row>
    <row r="45" spans="1:14" x14ac:dyDescent="0.25">
      <c r="A45" t="s">
        <v>10</v>
      </c>
      <c r="B45" t="s">
        <v>1042</v>
      </c>
      <c r="C45">
        <f>VLOOKUP(B45,raw!A:K,11,0)</f>
        <v>61</v>
      </c>
      <c r="D45">
        <f>VLOOKUP(B45,raw!A:K,3,0)+VLOOKUP(B45,raw!A:K,7,0)</f>
        <v>0</v>
      </c>
      <c r="E45">
        <f>VLOOKUP(B45,raw!A:K,4,0)</f>
        <v>0</v>
      </c>
      <c r="F45">
        <f>VLOOKUP(B45,raw!A:K,5,0)</f>
        <v>0</v>
      </c>
      <c r="G45">
        <f>VLOOKUP(B45,raw!A:K,2,0)+VLOOKUP(B45,raw!A:K,10,0)</f>
        <v>0</v>
      </c>
      <c r="H45">
        <f>VLOOKUP(B45,raw!A:K,6,0)</f>
        <v>0</v>
      </c>
      <c r="I45">
        <f>VLOOKUP(B45,raw!A:K,9,0)</f>
        <v>61</v>
      </c>
      <c r="J45">
        <f>VLOOKUP(B45,raw!A:K,8,0)</f>
        <v>0</v>
      </c>
      <c r="K45">
        <f>_xlfn.IFNA(VLOOKUP(B45,TDK!A:C,2,0),0)</f>
        <v>31</v>
      </c>
      <c r="L45">
        <f>_xlfn.IFNA(VLOOKUP(B45,TDK!A:C,3,0),0)</f>
        <v>2</v>
      </c>
      <c r="M45">
        <f>_xlfn.IFNA(VLOOKUP(B45,TDK!F:G,2,0),0)</f>
        <v>2</v>
      </c>
      <c r="N45">
        <f t="shared" si="0"/>
        <v>35</v>
      </c>
    </row>
    <row r="46" spans="1:14" x14ac:dyDescent="0.25">
      <c r="A46" t="s">
        <v>10</v>
      </c>
      <c r="B46" t="s">
        <v>1043</v>
      </c>
      <c r="C46">
        <f>VLOOKUP(B46,raw!A:K,11,0)</f>
        <v>59</v>
      </c>
      <c r="D46">
        <f>VLOOKUP(B46,raw!A:K,3,0)+VLOOKUP(B46,raw!A:K,7,0)</f>
        <v>0</v>
      </c>
      <c r="E46">
        <f>VLOOKUP(B46,raw!A:K,4,0)</f>
        <v>0</v>
      </c>
      <c r="F46">
        <f>VLOOKUP(B46,raw!A:K,5,0)</f>
        <v>0</v>
      </c>
      <c r="G46">
        <f>VLOOKUP(B46,raw!A:K,2,0)+VLOOKUP(B46,raw!A:K,10,0)</f>
        <v>0</v>
      </c>
      <c r="H46">
        <f>VLOOKUP(B46,raw!A:K,6,0)</f>
        <v>0</v>
      </c>
      <c r="I46">
        <f>VLOOKUP(B46,raw!A:K,9,0)</f>
        <v>59</v>
      </c>
      <c r="J46">
        <f>VLOOKUP(B46,raw!A:K,8,0)</f>
        <v>0</v>
      </c>
      <c r="K46">
        <f>_xlfn.IFNA(VLOOKUP(B46,TDK!A:C,2,0),0)</f>
        <v>21</v>
      </c>
      <c r="L46">
        <f>_xlfn.IFNA(VLOOKUP(B46,TDK!A:C,3,0),0)</f>
        <v>0</v>
      </c>
      <c r="M46">
        <f>_xlfn.IFNA(VLOOKUP(B46,TDK!F:G,2,0),0)</f>
        <v>0</v>
      </c>
      <c r="N46">
        <f t="shared" si="0"/>
        <v>21</v>
      </c>
    </row>
    <row r="47" spans="1:14" x14ac:dyDescent="0.25">
      <c r="A47" t="s">
        <v>10</v>
      </c>
      <c r="B47" t="s">
        <v>1044</v>
      </c>
      <c r="C47">
        <f>VLOOKUP(B47,raw!A:K,11,0)</f>
        <v>54</v>
      </c>
      <c r="D47">
        <f>VLOOKUP(B47,raw!A:K,3,0)+VLOOKUP(B47,raw!A:K,7,0)</f>
        <v>0</v>
      </c>
      <c r="E47">
        <f>VLOOKUP(B47,raw!A:K,4,0)</f>
        <v>0</v>
      </c>
      <c r="F47">
        <f>VLOOKUP(B47,raw!A:K,5,0)</f>
        <v>0</v>
      </c>
      <c r="G47">
        <f>VLOOKUP(B47,raw!A:K,2,0)+VLOOKUP(B47,raw!A:K,10,0)</f>
        <v>0</v>
      </c>
      <c r="H47">
        <f>VLOOKUP(B47,raw!A:K,6,0)</f>
        <v>0</v>
      </c>
      <c r="I47">
        <f>VLOOKUP(B47,raw!A:K,9,0)</f>
        <v>54</v>
      </c>
      <c r="J47">
        <f>VLOOKUP(B47,raw!A:K,8,0)</f>
        <v>0</v>
      </c>
      <c r="K47">
        <f>_xlfn.IFNA(VLOOKUP(B47,TDK!A:C,2,0),0)</f>
        <v>17</v>
      </c>
      <c r="L47">
        <f>_xlfn.IFNA(VLOOKUP(B47,TDK!A:C,3,0),0)</f>
        <v>1</v>
      </c>
      <c r="M47">
        <f>_xlfn.IFNA(VLOOKUP(B47,TDK!F:G,2,0),0)</f>
        <v>1</v>
      </c>
      <c r="N47">
        <f t="shared" si="0"/>
        <v>19</v>
      </c>
    </row>
    <row r="48" spans="1:14" x14ac:dyDescent="0.25">
      <c r="A48" t="s">
        <v>10</v>
      </c>
      <c r="B48" t="s">
        <v>1045</v>
      </c>
      <c r="C48">
        <f>VLOOKUP(B48,raw!A:K,11,0)</f>
        <v>94</v>
      </c>
      <c r="D48">
        <f>VLOOKUP(B48,raw!A:K,3,0)+VLOOKUP(B48,raw!A:K,7,0)</f>
        <v>2</v>
      </c>
      <c r="E48">
        <f>VLOOKUP(B48,raw!A:K,4,0)</f>
        <v>0</v>
      </c>
      <c r="F48">
        <f>VLOOKUP(B48,raw!A:K,5,0)</f>
        <v>0</v>
      </c>
      <c r="G48">
        <f>VLOOKUP(B48,raw!A:K,2,0)+VLOOKUP(B48,raw!A:K,10,0)</f>
        <v>0</v>
      </c>
      <c r="H48">
        <f>VLOOKUP(B48,raw!A:K,6,0)</f>
        <v>0</v>
      </c>
      <c r="I48">
        <f>VLOOKUP(B48,raw!A:K,9,0)</f>
        <v>92</v>
      </c>
      <c r="J48">
        <f>VLOOKUP(B48,raw!A:K,8,0)</f>
        <v>0</v>
      </c>
      <c r="K48">
        <f>_xlfn.IFNA(VLOOKUP(B48,TDK!A:C,2,0),0)</f>
        <v>39</v>
      </c>
      <c r="L48">
        <f>_xlfn.IFNA(VLOOKUP(B48,TDK!A:C,3,0),0)</f>
        <v>1</v>
      </c>
      <c r="M48">
        <f>_xlfn.IFNA(VLOOKUP(B48,TDK!F:G,2,0),0)</f>
        <v>4</v>
      </c>
      <c r="N48">
        <f t="shared" si="0"/>
        <v>44</v>
      </c>
    </row>
    <row r="49" spans="1:14" x14ac:dyDescent="0.25">
      <c r="A49" t="s">
        <v>10</v>
      </c>
      <c r="B49" t="s">
        <v>1046</v>
      </c>
      <c r="C49">
        <f>VLOOKUP(B49,raw!A:K,11,0)</f>
        <v>94</v>
      </c>
      <c r="D49">
        <f>VLOOKUP(B49,raw!A:K,3,0)+VLOOKUP(B49,raw!A:K,7,0)</f>
        <v>94</v>
      </c>
      <c r="E49">
        <f>VLOOKUP(B49,raw!A:K,4,0)</f>
        <v>0</v>
      </c>
      <c r="F49">
        <f>VLOOKUP(B49,raw!A:K,5,0)</f>
        <v>0</v>
      </c>
      <c r="G49">
        <f>VLOOKUP(B49,raw!A:K,2,0)+VLOOKUP(B49,raw!A:K,10,0)</f>
        <v>0</v>
      </c>
      <c r="H49">
        <f>VLOOKUP(B49,raw!A:K,6,0)</f>
        <v>0</v>
      </c>
      <c r="I49">
        <f>VLOOKUP(B49,raw!A:K,9,0)</f>
        <v>0</v>
      </c>
      <c r="J49">
        <f>VLOOKUP(B49,raw!A:K,8,0)</f>
        <v>0</v>
      </c>
      <c r="K49">
        <f>_xlfn.IFNA(VLOOKUP(B49,TDK!A:C,2,0),0)</f>
        <v>39</v>
      </c>
      <c r="L49">
        <f>_xlfn.IFNA(VLOOKUP(B49,TDK!A:C,3,0),0)</f>
        <v>1</v>
      </c>
      <c r="M49">
        <f>_xlfn.IFNA(VLOOKUP(B49,TDK!F:G,2,0),0)</f>
        <v>3</v>
      </c>
      <c r="N49">
        <f t="shared" si="0"/>
        <v>43</v>
      </c>
    </row>
    <row r="50" spans="1:14" x14ac:dyDescent="0.25">
      <c r="A50" t="s">
        <v>10</v>
      </c>
      <c r="B50" t="s">
        <v>1047</v>
      </c>
      <c r="C50">
        <f>VLOOKUP(B50,raw!A:K,11,0)</f>
        <v>104</v>
      </c>
      <c r="D50">
        <f>VLOOKUP(B50,raw!A:K,3,0)+VLOOKUP(B50,raw!A:K,7,0)</f>
        <v>104</v>
      </c>
      <c r="E50">
        <f>VLOOKUP(B50,raw!A:K,4,0)</f>
        <v>0</v>
      </c>
      <c r="F50">
        <f>VLOOKUP(B50,raw!A:K,5,0)</f>
        <v>0</v>
      </c>
      <c r="G50">
        <f>VLOOKUP(B50,raw!A:K,2,0)+VLOOKUP(B50,raw!A:K,10,0)</f>
        <v>0</v>
      </c>
      <c r="H50">
        <f>VLOOKUP(B50,raw!A:K,6,0)</f>
        <v>0</v>
      </c>
      <c r="I50">
        <f>VLOOKUP(B50,raw!A:K,9,0)</f>
        <v>0</v>
      </c>
      <c r="J50">
        <f>VLOOKUP(B50,raw!A:K,8,0)</f>
        <v>0</v>
      </c>
      <c r="K50">
        <f>_xlfn.IFNA(VLOOKUP(B50,TDK!A:C,2,0),0)</f>
        <v>29</v>
      </c>
      <c r="L50">
        <f>_xlfn.IFNA(VLOOKUP(B50,TDK!A:C,3,0),0)</f>
        <v>0</v>
      </c>
      <c r="M50">
        <f>_xlfn.IFNA(VLOOKUP(B50,TDK!F:G,2,0),0)</f>
        <v>7</v>
      </c>
      <c r="N50">
        <f t="shared" si="0"/>
        <v>36</v>
      </c>
    </row>
    <row r="51" spans="1:14" x14ac:dyDescent="0.25">
      <c r="A51" t="s">
        <v>10</v>
      </c>
      <c r="B51" t="s">
        <v>1048</v>
      </c>
      <c r="C51">
        <f>VLOOKUP(B51,raw!A:K,11,0)</f>
        <v>103</v>
      </c>
      <c r="D51">
        <f>VLOOKUP(B51,raw!A:K,3,0)+VLOOKUP(B51,raw!A:K,7,0)</f>
        <v>103</v>
      </c>
      <c r="E51">
        <f>VLOOKUP(B51,raw!A:K,4,0)</f>
        <v>0</v>
      </c>
      <c r="F51">
        <f>VLOOKUP(B51,raw!A:K,5,0)</f>
        <v>0</v>
      </c>
      <c r="G51">
        <f>VLOOKUP(B51,raw!A:K,2,0)+VLOOKUP(B51,raw!A:K,10,0)</f>
        <v>0</v>
      </c>
      <c r="H51">
        <f>VLOOKUP(B51,raw!A:K,6,0)</f>
        <v>0</v>
      </c>
      <c r="I51">
        <f>VLOOKUP(B51,raw!A:K,9,0)</f>
        <v>0</v>
      </c>
      <c r="J51">
        <f>VLOOKUP(B51,raw!A:K,8,0)</f>
        <v>0</v>
      </c>
      <c r="K51">
        <f>_xlfn.IFNA(VLOOKUP(B51,TDK!A:C,2,0),0)</f>
        <v>40</v>
      </c>
      <c r="L51">
        <f>_xlfn.IFNA(VLOOKUP(B51,TDK!A:C,3,0),0)</f>
        <v>0</v>
      </c>
      <c r="M51">
        <f>_xlfn.IFNA(VLOOKUP(B51,TDK!F:G,2,0),0)</f>
        <v>3</v>
      </c>
      <c r="N51">
        <f t="shared" si="0"/>
        <v>43</v>
      </c>
    </row>
    <row r="52" spans="1:14" x14ac:dyDescent="0.25">
      <c r="A52" t="s">
        <v>11</v>
      </c>
      <c r="B52" t="s">
        <v>1049</v>
      </c>
      <c r="C52">
        <f>VLOOKUP(B52,raw!A:K,11,0)</f>
        <v>110</v>
      </c>
      <c r="D52">
        <f>VLOOKUP(B52,raw!A:K,3,0)+VLOOKUP(B52,raw!A:K,7,0)</f>
        <v>110</v>
      </c>
      <c r="E52">
        <f>VLOOKUP(B52,raw!A:K,4,0)</f>
        <v>0</v>
      </c>
      <c r="F52">
        <f>VLOOKUP(B52,raw!A:K,5,0)</f>
        <v>0</v>
      </c>
      <c r="G52">
        <f>VLOOKUP(B52,raw!A:K,2,0)+VLOOKUP(B52,raw!A:K,10,0)</f>
        <v>0</v>
      </c>
      <c r="H52">
        <f>VLOOKUP(B52,raw!A:K,6,0)</f>
        <v>0</v>
      </c>
      <c r="I52">
        <f>VLOOKUP(B52,raw!A:K,9,0)</f>
        <v>0</v>
      </c>
      <c r="J52">
        <f>VLOOKUP(B52,raw!A:K,8,0)</f>
        <v>0</v>
      </c>
      <c r="K52">
        <f>_xlfn.IFNA(VLOOKUP(B52,TDK!A:C,2,0),0)</f>
        <v>33</v>
      </c>
      <c r="L52">
        <f>_xlfn.IFNA(VLOOKUP(B52,TDK!A:C,3,0),0)</f>
        <v>0</v>
      </c>
      <c r="M52">
        <f>_xlfn.IFNA(VLOOKUP(B52,TDK!F:G,2,0),0)</f>
        <v>2</v>
      </c>
      <c r="N52">
        <f t="shared" si="0"/>
        <v>35</v>
      </c>
    </row>
    <row r="53" spans="1:14" x14ac:dyDescent="0.25">
      <c r="A53" t="s">
        <v>11</v>
      </c>
      <c r="B53" t="s">
        <v>1050</v>
      </c>
      <c r="C53">
        <f>VLOOKUP(B53,raw!A:K,11,0)</f>
        <v>88</v>
      </c>
      <c r="D53">
        <f>VLOOKUP(B53,raw!A:K,3,0)+VLOOKUP(B53,raw!A:K,7,0)</f>
        <v>88</v>
      </c>
      <c r="E53">
        <f>VLOOKUP(B53,raw!A:K,4,0)</f>
        <v>0</v>
      </c>
      <c r="F53">
        <f>VLOOKUP(B53,raw!A:K,5,0)</f>
        <v>0</v>
      </c>
      <c r="G53">
        <f>VLOOKUP(B53,raw!A:K,2,0)+VLOOKUP(B53,raw!A:K,10,0)</f>
        <v>0</v>
      </c>
      <c r="H53">
        <f>VLOOKUP(B53,raw!A:K,6,0)</f>
        <v>0</v>
      </c>
      <c r="I53">
        <f>VLOOKUP(B53,raw!A:K,9,0)</f>
        <v>0</v>
      </c>
      <c r="J53">
        <f>VLOOKUP(B53,raw!A:K,8,0)</f>
        <v>0</v>
      </c>
      <c r="K53">
        <f>_xlfn.IFNA(VLOOKUP(B53,TDK!A:C,2,0),0)</f>
        <v>25</v>
      </c>
      <c r="L53">
        <f>_xlfn.IFNA(VLOOKUP(B53,TDK!A:C,3,0),0)</f>
        <v>0</v>
      </c>
      <c r="M53">
        <f>_xlfn.IFNA(VLOOKUP(B53,TDK!F:G,2,0),0)</f>
        <v>5</v>
      </c>
      <c r="N53">
        <f t="shared" si="0"/>
        <v>30</v>
      </c>
    </row>
    <row r="54" spans="1:14" x14ac:dyDescent="0.25">
      <c r="A54" t="s">
        <v>11</v>
      </c>
      <c r="B54" t="s">
        <v>1051</v>
      </c>
      <c r="C54">
        <f>VLOOKUP(B54,raw!A:K,11,0)</f>
        <v>102</v>
      </c>
      <c r="D54">
        <f>VLOOKUP(B54,raw!A:K,3,0)+VLOOKUP(B54,raw!A:K,7,0)</f>
        <v>102</v>
      </c>
      <c r="E54">
        <f>VLOOKUP(B54,raw!A:K,4,0)</f>
        <v>0</v>
      </c>
      <c r="F54">
        <f>VLOOKUP(B54,raw!A:K,5,0)</f>
        <v>0</v>
      </c>
      <c r="G54">
        <f>VLOOKUP(B54,raw!A:K,2,0)+VLOOKUP(B54,raw!A:K,10,0)</f>
        <v>0</v>
      </c>
      <c r="H54">
        <f>VLOOKUP(B54,raw!A:K,6,0)</f>
        <v>0</v>
      </c>
      <c r="I54">
        <f>VLOOKUP(B54,raw!A:K,9,0)</f>
        <v>0</v>
      </c>
      <c r="J54">
        <f>VLOOKUP(B54,raw!A:K,8,0)</f>
        <v>0</v>
      </c>
      <c r="K54">
        <f>_xlfn.IFNA(VLOOKUP(B54,TDK!A:C,2,0),0)</f>
        <v>16</v>
      </c>
      <c r="L54">
        <f>_xlfn.IFNA(VLOOKUP(B54,TDK!A:C,3,0),0)</f>
        <v>0</v>
      </c>
      <c r="M54">
        <f>_xlfn.IFNA(VLOOKUP(B54,TDK!F:G,2,0),0)</f>
        <v>2</v>
      </c>
      <c r="N54">
        <f t="shared" si="0"/>
        <v>18</v>
      </c>
    </row>
    <row r="55" spans="1:14" x14ac:dyDescent="0.25">
      <c r="A55" t="s">
        <v>11</v>
      </c>
      <c r="B55" t="s">
        <v>1052</v>
      </c>
      <c r="C55">
        <f>VLOOKUP(B55,raw!A:K,11,0)</f>
        <v>98</v>
      </c>
      <c r="D55">
        <f>VLOOKUP(B55,raw!A:K,3,0)+VLOOKUP(B55,raw!A:K,7,0)</f>
        <v>98</v>
      </c>
      <c r="E55">
        <f>VLOOKUP(B55,raw!A:K,4,0)</f>
        <v>0</v>
      </c>
      <c r="F55">
        <f>VLOOKUP(B55,raw!A:K,5,0)</f>
        <v>0</v>
      </c>
      <c r="G55">
        <f>VLOOKUP(B55,raw!A:K,2,0)+VLOOKUP(B55,raw!A:K,10,0)</f>
        <v>0</v>
      </c>
      <c r="H55">
        <f>VLOOKUP(B55,raw!A:K,6,0)</f>
        <v>0</v>
      </c>
      <c r="I55">
        <f>VLOOKUP(B55,raw!A:K,9,0)</f>
        <v>0</v>
      </c>
      <c r="J55">
        <f>VLOOKUP(B55,raw!A:K,8,0)</f>
        <v>0</v>
      </c>
      <c r="K55">
        <f>_xlfn.IFNA(VLOOKUP(B55,TDK!A:C,2,0),0)</f>
        <v>30</v>
      </c>
      <c r="L55">
        <f>_xlfn.IFNA(VLOOKUP(B55,TDK!A:C,3,0),0)</f>
        <v>1</v>
      </c>
      <c r="M55">
        <f>_xlfn.IFNA(VLOOKUP(B55,TDK!F:G,2,0),0)</f>
        <v>19</v>
      </c>
      <c r="N55">
        <f t="shared" si="0"/>
        <v>50</v>
      </c>
    </row>
    <row r="56" spans="1:14" x14ac:dyDescent="0.25">
      <c r="A56" t="s">
        <v>11</v>
      </c>
      <c r="B56" t="s">
        <v>1053</v>
      </c>
      <c r="C56">
        <f>VLOOKUP(B56,raw!A:K,11,0)</f>
        <v>133</v>
      </c>
      <c r="D56">
        <f>VLOOKUP(B56,raw!A:K,3,0)+VLOOKUP(B56,raw!A:K,7,0)</f>
        <v>133</v>
      </c>
      <c r="E56">
        <f>VLOOKUP(B56,raw!A:K,4,0)</f>
        <v>0</v>
      </c>
      <c r="F56">
        <f>VLOOKUP(B56,raw!A:K,5,0)</f>
        <v>0</v>
      </c>
      <c r="G56">
        <f>VLOOKUP(B56,raw!A:K,2,0)+VLOOKUP(B56,raw!A:K,10,0)</f>
        <v>0</v>
      </c>
      <c r="H56">
        <f>VLOOKUP(B56,raw!A:K,6,0)</f>
        <v>0</v>
      </c>
      <c r="I56">
        <f>VLOOKUP(B56,raw!A:K,9,0)</f>
        <v>0</v>
      </c>
      <c r="J56">
        <f>VLOOKUP(B56,raw!A:K,8,0)</f>
        <v>0</v>
      </c>
      <c r="K56">
        <f>_xlfn.IFNA(VLOOKUP(B56,TDK!A:C,2,0),0)</f>
        <v>29</v>
      </c>
      <c r="L56">
        <f>_xlfn.IFNA(VLOOKUP(B56,TDK!A:C,3,0),0)</f>
        <v>1</v>
      </c>
      <c r="M56">
        <f>_xlfn.IFNA(VLOOKUP(B56,TDK!F:G,2,0),0)</f>
        <v>6</v>
      </c>
      <c r="N56">
        <f t="shared" si="0"/>
        <v>36</v>
      </c>
    </row>
    <row r="57" spans="1:14" x14ac:dyDescent="0.25">
      <c r="A57" t="s">
        <v>11</v>
      </c>
      <c r="B57" t="s">
        <v>1054</v>
      </c>
      <c r="C57">
        <f>VLOOKUP(B57,raw!A:K,11,0)</f>
        <v>76</v>
      </c>
      <c r="D57">
        <f>VLOOKUP(B57,raw!A:K,3,0)+VLOOKUP(B57,raw!A:K,7,0)</f>
        <v>76</v>
      </c>
      <c r="E57">
        <f>VLOOKUP(B57,raw!A:K,4,0)</f>
        <v>0</v>
      </c>
      <c r="F57">
        <f>VLOOKUP(B57,raw!A:K,5,0)</f>
        <v>0</v>
      </c>
      <c r="G57">
        <f>VLOOKUP(B57,raw!A:K,2,0)+VLOOKUP(B57,raw!A:K,10,0)</f>
        <v>0</v>
      </c>
      <c r="H57">
        <f>VLOOKUP(B57,raw!A:K,6,0)</f>
        <v>0</v>
      </c>
      <c r="I57">
        <f>VLOOKUP(B57,raw!A:K,9,0)</f>
        <v>0</v>
      </c>
      <c r="J57">
        <f>VLOOKUP(B57,raw!A:K,8,0)</f>
        <v>0</v>
      </c>
      <c r="K57">
        <f>_xlfn.IFNA(VLOOKUP(B57,TDK!A:C,2,0),0)</f>
        <v>26</v>
      </c>
      <c r="L57">
        <f>_xlfn.IFNA(VLOOKUP(B57,TDK!A:C,3,0),0)</f>
        <v>0</v>
      </c>
      <c r="M57">
        <f>_xlfn.IFNA(VLOOKUP(B57,TDK!F:G,2,0),0)</f>
        <v>7</v>
      </c>
      <c r="N57">
        <f t="shared" si="0"/>
        <v>33</v>
      </c>
    </row>
    <row r="58" spans="1:14" x14ac:dyDescent="0.25">
      <c r="A58" t="s">
        <v>11</v>
      </c>
      <c r="B58" t="s">
        <v>1055</v>
      </c>
      <c r="C58">
        <f>VLOOKUP(B58,raw!A:K,11,0)</f>
        <v>47</v>
      </c>
      <c r="D58">
        <f>VLOOKUP(B58,raw!A:K,3,0)+VLOOKUP(B58,raw!A:K,7,0)</f>
        <v>47</v>
      </c>
      <c r="E58">
        <f>VLOOKUP(B58,raw!A:K,4,0)</f>
        <v>0</v>
      </c>
      <c r="F58">
        <f>VLOOKUP(B58,raw!A:K,5,0)</f>
        <v>0</v>
      </c>
      <c r="G58">
        <f>VLOOKUP(B58,raw!A:K,2,0)+VLOOKUP(B58,raw!A:K,10,0)</f>
        <v>0</v>
      </c>
      <c r="H58">
        <f>VLOOKUP(B58,raw!A:K,6,0)</f>
        <v>0</v>
      </c>
      <c r="I58">
        <f>VLOOKUP(B58,raw!A:K,9,0)</f>
        <v>0</v>
      </c>
      <c r="J58">
        <f>VLOOKUP(B58,raw!A:K,8,0)</f>
        <v>0</v>
      </c>
      <c r="K58">
        <f>_xlfn.IFNA(VLOOKUP(B58,TDK!A:C,2,0),0)</f>
        <v>8</v>
      </c>
      <c r="L58">
        <f>_xlfn.IFNA(VLOOKUP(B58,TDK!A:C,3,0),0)</f>
        <v>0</v>
      </c>
      <c r="M58">
        <f>_xlfn.IFNA(VLOOKUP(B58,TDK!F:G,2,0),0)</f>
        <v>5</v>
      </c>
      <c r="N58">
        <f t="shared" si="0"/>
        <v>13</v>
      </c>
    </row>
    <row r="59" spans="1:14" x14ac:dyDescent="0.25">
      <c r="A59" t="s">
        <v>11</v>
      </c>
      <c r="B59" t="s">
        <v>1056</v>
      </c>
      <c r="C59">
        <f>VLOOKUP(B59,raw!A:K,11,0)</f>
        <v>79</v>
      </c>
      <c r="D59">
        <f>VLOOKUP(B59,raw!A:K,3,0)+VLOOKUP(B59,raw!A:K,7,0)</f>
        <v>79</v>
      </c>
      <c r="E59">
        <f>VLOOKUP(B59,raw!A:K,4,0)</f>
        <v>0</v>
      </c>
      <c r="F59">
        <f>VLOOKUP(B59,raw!A:K,5,0)</f>
        <v>0</v>
      </c>
      <c r="G59">
        <f>VLOOKUP(B59,raw!A:K,2,0)+VLOOKUP(B59,raw!A:K,10,0)</f>
        <v>0</v>
      </c>
      <c r="H59">
        <f>VLOOKUP(B59,raw!A:K,6,0)</f>
        <v>0</v>
      </c>
      <c r="I59">
        <f>VLOOKUP(B59,raw!A:K,9,0)</f>
        <v>0</v>
      </c>
      <c r="J59">
        <f>VLOOKUP(B59,raw!A:K,8,0)</f>
        <v>0</v>
      </c>
      <c r="K59">
        <f>_xlfn.IFNA(VLOOKUP(B59,TDK!A:C,2,0),0)</f>
        <v>20</v>
      </c>
      <c r="L59">
        <f>_xlfn.IFNA(VLOOKUP(B59,TDK!A:C,3,0),0)</f>
        <v>0</v>
      </c>
      <c r="M59">
        <f>_xlfn.IFNA(VLOOKUP(B59,TDK!F:G,2,0),0)</f>
        <v>8</v>
      </c>
      <c r="N59">
        <f t="shared" si="0"/>
        <v>28</v>
      </c>
    </row>
    <row r="60" spans="1:14" x14ac:dyDescent="0.25">
      <c r="A60" t="s">
        <v>985</v>
      </c>
      <c r="B60" t="s">
        <v>1057</v>
      </c>
      <c r="C60">
        <f>VLOOKUP(B60,raw!A:K,11,0)</f>
        <v>91</v>
      </c>
      <c r="D60">
        <f>VLOOKUP(B60,raw!A:K,3,0)+VLOOKUP(B60,raw!A:K,7,0)</f>
        <v>80</v>
      </c>
      <c r="E60">
        <f>VLOOKUP(B60,raw!A:K,4,0)</f>
        <v>0</v>
      </c>
      <c r="F60">
        <f>VLOOKUP(B60,raw!A:K,5,0)</f>
        <v>0</v>
      </c>
      <c r="G60">
        <f>VLOOKUP(B60,raw!A:K,2,0)+VLOOKUP(B60,raw!A:K,10,0)</f>
        <v>0</v>
      </c>
      <c r="H60">
        <f>VLOOKUP(B60,raw!A:K,6,0)</f>
        <v>0</v>
      </c>
      <c r="I60">
        <f>VLOOKUP(B60,raw!A:K,9,0)</f>
        <v>11</v>
      </c>
      <c r="J60">
        <f>VLOOKUP(B60,raw!A:K,8,0)</f>
        <v>0</v>
      </c>
      <c r="K60">
        <f>_xlfn.IFNA(VLOOKUP(B60,TDK!A:C,2,0),0)</f>
        <v>25</v>
      </c>
      <c r="L60">
        <f>_xlfn.IFNA(VLOOKUP(B60,TDK!A:C,3,0),0)</f>
        <v>0</v>
      </c>
      <c r="M60">
        <f>_xlfn.IFNA(VLOOKUP(B60,TDK!F:G,2,0),0)</f>
        <v>0</v>
      </c>
      <c r="N60">
        <f t="shared" si="0"/>
        <v>25</v>
      </c>
    </row>
    <row r="61" spans="1:14" x14ac:dyDescent="0.25">
      <c r="A61" t="s">
        <v>985</v>
      </c>
      <c r="B61" t="s">
        <v>1058</v>
      </c>
      <c r="C61">
        <f>VLOOKUP(B61,raw!A:K,11,0)</f>
        <v>70</v>
      </c>
      <c r="D61">
        <f>VLOOKUP(B61,raw!A:K,3,0)+VLOOKUP(B61,raw!A:K,7,0)</f>
        <v>57</v>
      </c>
      <c r="E61">
        <f>VLOOKUP(B61,raw!A:K,4,0)</f>
        <v>0</v>
      </c>
      <c r="F61">
        <f>VLOOKUP(B61,raw!A:K,5,0)</f>
        <v>0</v>
      </c>
      <c r="G61">
        <f>VLOOKUP(B61,raw!A:K,2,0)+VLOOKUP(B61,raw!A:K,10,0)</f>
        <v>0</v>
      </c>
      <c r="H61">
        <f>VLOOKUP(B61,raw!A:K,6,0)</f>
        <v>0</v>
      </c>
      <c r="I61">
        <f>VLOOKUP(B61,raw!A:K,9,0)</f>
        <v>13</v>
      </c>
      <c r="J61">
        <f>VLOOKUP(B61,raw!A:K,8,0)</f>
        <v>0</v>
      </c>
      <c r="K61">
        <f>_xlfn.IFNA(VLOOKUP(B61,TDK!A:C,2,0),0)</f>
        <v>19</v>
      </c>
      <c r="L61">
        <f>_xlfn.IFNA(VLOOKUP(B61,TDK!A:C,3,0),0)</f>
        <v>7</v>
      </c>
      <c r="M61">
        <f>_xlfn.IFNA(VLOOKUP(B61,TDK!F:G,2,0),0)</f>
        <v>1</v>
      </c>
      <c r="N61">
        <f t="shared" si="0"/>
        <v>27</v>
      </c>
    </row>
    <row r="62" spans="1:14" x14ac:dyDescent="0.25">
      <c r="A62" t="s">
        <v>985</v>
      </c>
      <c r="B62" t="s">
        <v>1059</v>
      </c>
      <c r="C62">
        <f>VLOOKUP(B62,raw!A:K,11,0)</f>
        <v>79</v>
      </c>
      <c r="D62">
        <f>VLOOKUP(B62,raw!A:K,3,0)+VLOOKUP(B62,raw!A:K,7,0)</f>
        <v>28</v>
      </c>
      <c r="E62">
        <f>VLOOKUP(B62,raw!A:K,4,0)</f>
        <v>0</v>
      </c>
      <c r="F62">
        <f>VLOOKUP(B62,raw!A:K,5,0)</f>
        <v>0</v>
      </c>
      <c r="G62">
        <f>VLOOKUP(B62,raw!A:K,2,0)+VLOOKUP(B62,raw!A:K,10,0)</f>
        <v>0</v>
      </c>
      <c r="H62">
        <f>VLOOKUP(B62,raw!A:K,6,0)</f>
        <v>0</v>
      </c>
      <c r="I62">
        <f>VLOOKUP(B62,raw!A:K,9,0)</f>
        <v>51</v>
      </c>
      <c r="J62">
        <f>VLOOKUP(B62,raw!A:K,8,0)</f>
        <v>0</v>
      </c>
      <c r="K62">
        <f>_xlfn.IFNA(VLOOKUP(B62,TDK!A:C,2,0),0)</f>
        <v>32</v>
      </c>
      <c r="L62">
        <f>_xlfn.IFNA(VLOOKUP(B62,TDK!A:C,3,0),0)</f>
        <v>2</v>
      </c>
      <c r="M62">
        <f>_xlfn.IFNA(VLOOKUP(B62,TDK!F:G,2,0),0)</f>
        <v>11</v>
      </c>
      <c r="N62">
        <f t="shared" si="0"/>
        <v>45</v>
      </c>
    </row>
    <row r="63" spans="1:14" x14ac:dyDescent="0.25">
      <c r="A63" t="s">
        <v>985</v>
      </c>
      <c r="B63" t="s">
        <v>1060</v>
      </c>
      <c r="C63">
        <f>VLOOKUP(B63,raw!A:K,11,0)</f>
        <v>32</v>
      </c>
      <c r="D63">
        <f>VLOOKUP(B63,raw!A:K,3,0)+VLOOKUP(B63,raw!A:K,7,0)</f>
        <v>3</v>
      </c>
      <c r="E63">
        <f>VLOOKUP(B63,raw!A:K,4,0)</f>
        <v>0</v>
      </c>
      <c r="F63">
        <f>VLOOKUP(B63,raw!A:K,5,0)</f>
        <v>0</v>
      </c>
      <c r="G63">
        <f>VLOOKUP(B63,raw!A:K,2,0)+VLOOKUP(B63,raw!A:K,10,0)</f>
        <v>0</v>
      </c>
      <c r="H63">
        <f>VLOOKUP(B63,raw!A:K,6,0)</f>
        <v>0</v>
      </c>
      <c r="I63">
        <f>VLOOKUP(B63,raw!A:K,9,0)</f>
        <v>29</v>
      </c>
      <c r="J63">
        <f>VLOOKUP(B63,raw!A:K,8,0)</f>
        <v>0</v>
      </c>
      <c r="K63">
        <f>_xlfn.IFNA(VLOOKUP(B63,TDK!A:C,2,0),0)</f>
        <v>8</v>
      </c>
      <c r="L63">
        <f>_xlfn.IFNA(VLOOKUP(B63,TDK!A:C,3,0),0)</f>
        <v>4</v>
      </c>
      <c r="M63">
        <f>_xlfn.IFNA(VLOOKUP(B63,TDK!F:G,2,0),0)</f>
        <v>5</v>
      </c>
      <c r="N63">
        <f t="shared" si="0"/>
        <v>17</v>
      </c>
    </row>
    <row r="64" spans="1:14" x14ac:dyDescent="0.25">
      <c r="A64" t="s">
        <v>985</v>
      </c>
      <c r="B64" t="s">
        <v>1061</v>
      </c>
      <c r="C64">
        <f>VLOOKUP(B64,raw!A:K,11,0)</f>
        <v>35</v>
      </c>
      <c r="D64">
        <f>VLOOKUP(B64,raw!A:K,3,0)+VLOOKUP(B64,raw!A:K,7,0)</f>
        <v>0</v>
      </c>
      <c r="E64">
        <f>VLOOKUP(B64,raw!A:K,4,0)</f>
        <v>0</v>
      </c>
      <c r="F64">
        <f>VLOOKUP(B64,raw!A:K,5,0)</f>
        <v>0</v>
      </c>
      <c r="G64">
        <f>VLOOKUP(B64,raw!A:K,2,0)+VLOOKUP(B64,raw!A:K,10,0)</f>
        <v>0</v>
      </c>
      <c r="H64">
        <f>VLOOKUP(B64,raw!A:K,6,0)</f>
        <v>0</v>
      </c>
      <c r="I64">
        <f>VLOOKUP(B64,raw!A:K,9,0)</f>
        <v>35</v>
      </c>
      <c r="J64">
        <f>VLOOKUP(B64,raw!A:K,8,0)</f>
        <v>0</v>
      </c>
      <c r="K64">
        <f>_xlfn.IFNA(VLOOKUP(B64,TDK!A:C,2,0),0)</f>
        <v>15</v>
      </c>
      <c r="L64">
        <f>_xlfn.IFNA(VLOOKUP(B64,TDK!A:C,3,0),0)</f>
        <v>7</v>
      </c>
      <c r="M64">
        <f>_xlfn.IFNA(VLOOKUP(B64,TDK!F:G,2,0),0)</f>
        <v>0</v>
      </c>
      <c r="N64">
        <f t="shared" si="0"/>
        <v>22</v>
      </c>
    </row>
    <row r="65" spans="1:14" x14ac:dyDescent="0.25">
      <c r="A65" t="s">
        <v>985</v>
      </c>
      <c r="B65" t="s">
        <v>1062</v>
      </c>
      <c r="C65">
        <f>VLOOKUP(B65,raw!A:K,11,0)</f>
        <v>56</v>
      </c>
      <c r="D65">
        <f>VLOOKUP(B65,raw!A:K,3,0)+VLOOKUP(B65,raw!A:K,7,0)</f>
        <v>47</v>
      </c>
      <c r="E65">
        <f>VLOOKUP(B65,raw!A:K,4,0)</f>
        <v>0</v>
      </c>
      <c r="F65">
        <f>VLOOKUP(B65,raw!A:K,5,0)</f>
        <v>0</v>
      </c>
      <c r="G65">
        <f>VLOOKUP(B65,raw!A:K,2,0)+VLOOKUP(B65,raw!A:K,10,0)</f>
        <v>0</v>
      </c>
      <c r="H65">
        <f>VLOOKUP(B65,raw!A:K,6,0)</f>
        <v>0</v>
      </c>
      <c r="I65">
        <f>VLOOKUP(B65,raw!A:K,9,0)</f>
        <v>9</v>
      </c>
      <c r="J65">
        <f>VLOOKUP(B65,raw!A:K,8,0)</f>
        <v>0</v>
      </c>
      <c r="K65">
        <f>_xlfn.IFNA(VLOOKUP(B65,TDK!A:C,2,0),0)</f>
        <v>19</v>
      </c>
      <c r="L65">
        <f>_xlfn.IFNA(VLOOKUP(B65,TDK!A:C,3,0),0)</f>
        <v>0</v>
      </c>
      <c r="M65">
        <f>_xlfn.IFNA(VLOOKUP(B65,TDK!F:G,2,0),0)</f>
        <v>0</v>
      </c>
      <c r="N65">
        <f t="shared" si="0"/>
        <v>19</v>
      </c>
    </row>
    <row r="66" spans="1:14" x14ac:dyDescent="0.25">
      <c r="A66" t="s">
        <v>985</v>
      </c>
      <c r="B66" t="s">
        <v>1063</v>
      </c>
      <c r="C66">
        <f>VLOOKUP(B66,raw!A:K,11,0)</f>
        <v>92</v>
      </c>
      <c r="D66">
        <f>VLOOKUP(B66,raw!A:K,3,0)+VLOOKUP(B66,raw!A:K,7,0)</f>
        <v>0</v>
      </c>
      <c r="E66">
        <f>VLOOKUP(B66,raw!A:K,4,0)</f>
        <v>0</v>
      </c>
      <c r="F66">
        <f>VLOOKUP(B66,raw!A:K,5,0)</f>
        <v>0</v>
      </c>
      <c r="G66">
        <f>VLOOKUP(B66,raw!A:K,2,0)+VLOOKUP(B66,raw!A:K,10,0)</f>
        <v>0</v>
      </c>
      <c r="H66">
        <f>VLOOKUP(B66,raw!A:K,6,0)</f>
        <v>0</v>
      </c>
      <c r="I66">
        <f>VLOOKUP(B66,raw!A:K,9,0)</f>
        <v>92</v>
      </c>
      <c r="J66">
        <f>VLOOKUP(B66,raw!A:K,8,0)</f>
        <v>0</v>
      </c>
      <c r="K66">
        <f>_xlfn.IFNA(VLOOKUP(B66,TDK!A:C,2,0),0)</f>
        <v>31</v>
      </c>
      <c r="L66">
        <f>_xlfn.IFNA(VLOOKUP(B66,TDK!A:C,3,0),0)</f>
        <v>8</v>
      </c>
      <c r="M66">
        <f>_xlfn.IFNA(VLOOKUP(B66,TDK!F:G,2,0),0)</f>
        <v>10</v>
      </c>
      <c r="N66">
        <f t="shared" si="0"/>
        <v>49</v>
      </c>
    </row>
    <row r="67" spans="1:14" x14ac:dyDescent="0.25">
      <c r="A67" t="s">
        <v>985</v>
      </c>
      <c r="B67" t="s">
        <v>1064</v>
      </c>
      <c r="C67">
        <f>VLOOKUP(B67,raw!A:K,11,0)</f>
        <v>60</v>
      </c>
      <c r="D67">
        <f>VLOOKUP(B67,raw!A:K,3,0)+VLOOKUP(B67,raw!A:K,7,0)</f>
        <v>48</v>
      </c>
      <c r="E67">
        <f>VLOOKUP(B67,raw!A:K,4,0)</f>
        <v>0</v>
      </c>
      <c r="F67">
        <f>VLOOKUP(B67,raw!A:K,5,0)</f>
        <v>0</v>
      </c>
      <c r="G67">
        <f>VLOOKUP(B67,raw!A:K,2,0)+VLOOKUP(B67,raw!A:K,10,0)</f>
        <v>0</v>
      </c>
      <c r="H67">
        <f>VLOOKUP(B67,raw!A:K,6,0)</f>
        <v>0</v>
      </c>
      <c r="I67">
        <f>VLOOKUP(B67,raw!A:K,9,0)</f>
        <v>12</v>
      </c>
      <c r="J67">
        <f>VLOOKUP(B67,raw!A:K,8,0)</f>
        <v>0</v>
      </c>
      <c r="K67">
        <f>_xlfn.IFNA(VLOOKUP(B67,TDK!A:C,2,0),0)</f>
        <v>17</v>
      </c>
      <c r="L67">
        <f>_xlfn.IFNA(VLOOKUP(B67,TDK!A:C,3,0),0)</f>
        <v>4</v>
      </c>
      <c r="M67">
        <f>_xlfn.IFNA(VLOOKUP(B67,TDK!F:G,2,0),0)</f>
        <v>1</v>
      </c>
      <c r="N67">
        <f t="shared" ref="N67:N130" si="1">SUM(K67:M67)</f>
        <v>22</v>
      </c>
    </row>
    <row r="68" spans="1:14" x14ac:dyDescent="0.25">
      <c r="A68" t="s">
        <v>985</v>
      </c>
      <c r="B68" t="s">
        <v>1065</v>
      </c>
      <c r="C68">
        <f>VLOOKUP(B68,raw!A:K,11,0)</f>
        <v>53</v>
      </c>
      <c r="D68">
        <f>VLOOKUP(B68,raw!A:K,3,0)+VLOOKUP(B68,raw!A:K,7,0)</f>
        <v>42</v>
      </c>
      <c r="E68">
        <f>VLOOKUP(B68,raw!A:K,4,0)</f>
        <v>0</v>
      </c>
      <c r="F68">
        <f>VLOOKUP(B68,raw!A:K,5,0)</f>
        <v>0</v>
      </c>
      <c r="G68">
        <f>VLOOKUP(B68,raw!A:K,2,0)+VLOOKUP(B68,raw!A:K,10,0)</f>
        <v>0</v>
      </c>
      <c r="H68">
        <f>VLOOKUP(B68,raw!A:K,6,0)</f>
        <v>1</v>
      </c>
      <c r="I68">
        <f>VLOOKUP(B68,raw!A:K,9,0)</f>
        <v>10</v>
      </c>
      <c r="J68">
        <f>VLOOKUP(B68,raw!A:K,8,0)</f>
        <v>0</v>
      </c>
      <c r="K68">
        <f>_xlfn.IFNA(VLOOKUP(B68,TDK!A:C,2,0),0)</f>
        <v>15</v>
      </c>
      <c r="L68">
        <f>_xlfn.IFNA(VLOOKUP(B68,TDK!A:C,3,0),0)</f>
        <v>2</v>
      </c>
      <c r="M68">
        <f>_xlfn.IFNA(VLOOKUP(B68,TDK!F:G,2,0),0)</f>
        <v>0</v>
      </c>
      <c r="N68">
        <f t="shared" si="1"/>
        <v>17</v>
      </c>
    </row>
    <row r="69" spans="1:14" x14ac:dyDescent="0.25">
      <c r="A69" t="s">
        <v>985</v>
      </c>
      <c r="B69" t="s">
        <v>1066</v>
      </c>
      <c r="C69">
        <f>VLOOKUP(B69,raw!A:K,11,0)</f>
        <v>76</v>
      </c>
      <c r="D69">
        <f>VLOOKUP(B69,raw!A:K,3,0)+VLOOKUP(B69,raw!A:K,7,0)</f>
        <v>76</v>
      </c>
      <c r="E69">
        <f>VLOOKUP(B69,raw!A:K,4,0)</f>
        <v>0</v>
      </c>
      <c r="F69">
        <f>VLOOKUP(B69,raw!A:K,5,0)</f>
        <v>0</v>
      </c>
      <c r="G69">
        <f>VLOOKUP(B69,raw!A:K,2,0)+VLOOKUP(B69,raw!A:K,10,0)</f>
        <v>0</v>
      </c>
      <c r="H69">
        <f>VLOOKUP(B69,raw!A:K,6,0)</f>
        <v>0</v>
      </c>
      <c r="I69">
        <f>VLOOKUP(B69,raw!A:K,9,0)</f>
        <v>0</v>
      </c>
      <c r="J69">
        <f>VLOOKUP(B69,raw!A:K,8,0)</f>
        <v>0</v>
      </c>
      <c r="K69">
        <f>_xlfn.IFNA(VLOOKUP(B69,TDK!A:C,2,0),0)</f>
        <v>26</v>
      </c>
      <c r="L69">
        <f>_xlfn.IFNA(VLOOKUP(B69,TDK!A:C,3,0),0)</f>
        <v>4</v>
      </c>
      <c r="M69">
        <f>_xlfn.IFNA(VLOOKUP(B69,TDK!F:G,2,0),0)</f>
        <v>0</v>
      </c>
      <c r="N69">
        <f t="shared" si="1"/>
        <v>30</v>
      </c>
    </row>
    <row r="70" spans="1:14" x14ac:dyDescent="0.25">
      <c r="A70" t="s">
        <v>13</v>
      </c>
      <c r="B70" t="s">
        <v>1067</v>
      </c>
      <c r="C70">
        <f>VLOOKUP(B70,raw!A:K,11,0)</f>
        <v>85</v>
      </c>
      <c r="D70">
        <f>VLOOKUP(B70,raw!A:K,3,0)+VLOOKUP(B70,raw!A:K,7,0)</f>
        <v>85</v>
      </c>
      <c r="E70">
        <f>VLOOKUP(B70,raw!A:K,4,0)</f>
        <v>0</v>
      </c>
      <c r="F70">
        <f>VLOOKUP(B70,raw!A:K,5,0)</f>
        <v>0</v>
      </c>
      <c r="G70">
        <f>VLOOKUP(B70,raw!A:K,2,0)+VLOOKUP(B70,raw!A:K,10,0)</f>
        <v>0</v>
      </c>
      <c r="H70">
        <f>VLOOKUP(B70,raw!A:K,6,0)</f>
        <v>0</v>
      </c>
      <c r="I70">
        <f>VLOOKUP(B70,raw!A:K,9,0)</f>
        <v>0</v>
      </c>
      <c r="J70">
        <f>VLOOKUP(B70,raw!A:K,8,0)</f>
        <v>0</v>
      </c>
      <c r="K70">
        <f>_xlfn.IFNA(VLOOKUP(B70,TDK!A:C,2,0),0)</f>
        <v>26</v>
      </c>
      <c r="L70">
        <f>_xlfn.IFNA(VLOOKUP(B70,TDK!A:C,3,0),0)</f>
        <v>7</v>
      </c>
      <c r="M70">
        <f>_xlfn.IFNA(VLOOKUP(B70,TDK!F:G,2,0),0)</f>
        <v>5</v>
      </c>
      <c r="N70">
        <f t="shared" si="1"/>
        <v>38</v>
      </c>
    </row>
    <row r="71" spans="1:14" x14ac:dyDescent="0.25">
      <c r="A71" t="s">
        <v>13</v>
      </c>
      <c r="B71" t="s">
        <v>1068</v>
      </c>
      <c r="C71">
        <f>VLOOKUP(B71,raw!A:K,11,0)</f>
        <v>66</v>
      </c>
      <c r="D71">
        <f>VLOOKUP(B71,raw!A:K,3,0)+VLOOKUP(B71,raw!A:K,7,0)</f>
        <v>54</v>
      </c>
      <c r="E71">
        <f>VLOOKUP(B71,raw!A:K,4,0)</f>
        <v>0</v>
      </c>
      <c r="F71">
        <f>VLOOKUP(B71,raw!A:K,5,0)</f>
        <v>0</v>
      </c>
      <c r="G71">
        <f>VLOOKUP(B71,raw!A:K,2,0)+VLOOKUP(B71,raw!A:K,10,0)</f>
        <v>2</v>
      </c>
      <c r="H71">
        <f>VLOOKUP(B71,raw!A:K,6,0)</f>
        <v>0</v>
      </c>
      <c r="I71">
        <f>VLOOKUP(B71,raw!A:K,9,0)</f>
        <v>10</v>
      </c>
      <c r="J71">
        <f>VLOOKUP(B71,raw!A:K,8,0)</f>
        <v>0</v>
      </c>
      <c r="K71">
        <f>_xlfn.IFNA(VLOOKUP(B71,TDK!A:C,2,0),0)</f>
        <v>18</v>
      </c>
      <c r="L71">
        <f>_xlfn.IFNA(VLOOKUP(B71,TDK!A:C,3,0),0)</f>
        <v>0</v>
      </c>
      <c r="M71">
        <f>_xlfn.IFNA(VLOOKUP(B71,TDK!F:G,2,0),0)</f>
        <v>18</v>
      </c>
      <c r="N71">
        <f t="shared" si="1"/>
        <v>36</v>
      </c>
    </row>
    <row r="72" spans="1:14" x14ac:dyDescent="0.25">
      <c r="A72" t="s">
        <v>13</v>
      </c>
      <c r="B72" t="s">
        <v>1069</v>
      </c>
      <c r="C72">
        <f>VLOOKUP(B72,raw!A:K,11,0)</f>
        <v>82</v>
      </c>
      <c r="D72">
        <f>VLOOKUP(B72,raw!A:K,3,0)+VLOOKUP(B72,raw!A:K,7,0)</f>
        <v>77</v>
      </c>
      <c r="E72">
        <f>VLOOKUP(B72,raw!A:K,4,0)</f>
        <v>1</v>
      </c>
      <c r="F72">
        <f>VLOOKUP(B72,raw!A:K,5,0)</f>
        <v>0</v>
      </c>
      <c r="G72">
        <f>VLOOKUP(B72,raw!A:K,2,0)+VLOOKUP(B72,raw!A:K,10,0)</f>
        <v>0</v>
      </c>
      <c r="H72">
        <f>VLOOKUP(B72,raw!A:K,6,0)</f>
        <v>0</v>
      </c>
      <c r="I72">
        <f>VLOOKUP(B72,raw!A:K,9,0)</f>
        <v>4</v>
      </c>
      <c r="J72">
        <f>VLOOKUP(B72,raw!A:K,8,0)</f>
        <v>0</v>
      </c>
      <c r="K72">
        <f>_xlfn.IFNA(VLOOKUP(B72,TDK!A:C,2,0),0)</f>
        <v>14</v>
      </c>
      <c r="L72">
        <f>_xlfn.IFNA(VLOOKUP(B72,TDK!A:C,3,0),0)</f>
        <v>4</v>
      </c>
      <c r="M72">
        <f>_xlfn.IFNA(VLOOKUP(B72,TDK!F:G,2,0),0)</f>
        <v>7</v>
      </c>
      <c r="N72">
        <f t="shared" si="1"/>
        <v>25</v>
      </c>
    </row>
    <row r="73" spans="1:14" x14ac:dyDescent="0.25">
      <c r="A73" t="s">
        <v>13</v>
      </c>
      <c r="B73" t="s">
        <v>1070</v>
      </c>
      <c r="C73">
        <f>VLOOKUP(B73,raw!A:K,11,0)</f>
        <v>78</v>
      </c>
      <c r="D73">
        <f>VLOOKUP(B73,raw!A:K,3,0)+VLOOKUP(B73,raw!A:K,7,0)</f>
        <v>57</v>
      </c>
      <c r="E73">
        <f>VLOOKUP(B73,raw!A:K,4,0)</f>
        <v>0</v>
      </c>
      <c r="F73">
        <f>VLOOKUP(B73,raw!A:K,5,0)</f>
        <v>0</v>
      </c>
      <c r="G73">
        <f>VLOOKUP(B73,raw!A:K,2,0)+VLOOKUP(B73,raw!A:K,10,0)</f>
        <v>0</v>
      </c>
      <c r="H73">
        <f>VLOOKUP(B73,raw!A:K,6,0)</f>
        <v>0</v>
      </c>
      <c r="I73">
        <f>VLOOKUP(B73,raw!A:K,9,0)</f>
        <v>21</v>
      </c>
      <c r="J73">
        <f>VLOOKUP(B73,raw!A:K,8,0)</f>
        <v>0</v>
      </c>
      <c r="K73">
        <f>_xlfn.IFNA(VLOOKUP(B73,TDK!A:C,2,0),0)</f>
        <v>27</v>
      </c>
      <c r="L73">
        <f>_xlfn.IFNA(VLOOKUP(B73,TDK!A:C,3,0),0)</f>
        <v>0</v>
      </c>
      <c r="M73">
        <f>_xlfn.IFNA(VLOOKUP(B73,TDK!F:G,2,0),0)</f>
        <v>2</v>
      </c>
      <c r="N73">
        <f t="shared" si="1"/>
        <v>29</v>
      </c>
    </row>
    <row r="74" spans="1:14" x14ac:dyDescent="0.25">
      <c r="A74" t="s">
        <v>13</v>
      </c>
      <c r="B74" t="s">
        <v>1071</v>
      </c>
      <c r="C74">
        <f>VLOOKUP(B74,raw!A:K,11,0)</f>
        <v>74</v>
      </c>
      <c r="D74">
        <f>VLOOKUP(B74,raw!A:K,3,0)+VLOOKUP(B74,raw!A:K,7,0)</f>
        <v>20</v>
      </c>
      <c r="E74">
        <f>VLOOKUP(B74,raw!A:K,4,0)</f>
        <v>0</v>
      </c>
      <c r="F74">
        <f>VLOOKUP(B74,raw!A:K,5,0)</f>
        <v>0</v>
      </c>
      <c r="G74">
        <f>VLOOKUP(B74,raw!A:K,2,0)+VLOOKUP(B74,raw!A:K,10,0)</f>
        <v>0</v>
      </c>
      <c r="H74">
        <f>VLOOKUP(B74,raw!A:K,6,0)</f>
        <v>0</v>
      </c>
      <c r="I74">
        <f>VLOOKUP(B74,raw!A:K,9,0)</f>
        <v>54</v>
      </c>
      <c r="J74">
        <f>VLOOKUP(B74,raw!A:K,8,0)</f>
        <v>0</v>
      </c>
      <c r="K74">
        <f>_xlfn.IFNA(VLOOKUP(B74,TDK!A:C,2,0),0)</f>
        <v>27</v>
      </c>
      <c r="L74">
        <f>_xlfn.IFNA(VLOOKUP(B74,TDK!A:C,3,0),0)</f>
        <v>1</v>
      </c>
      <c r="M74">
        <f>_xlfn.IFNA(VLOOKUP(B74,TDK!F:G,2,0),0)</f>
        <v>2</v>
      </c>
      <c r="N74">
        <f t="shared" si="1"/>
        <v>30</v>
      </c>
    </row>
    <row r="75" spans="1:14" x14ac:dyDescent="0.25">
      <c r="A75" t="s">
        <v>13</v>
      </c>
      <c r="B75" t="s">
        <v>1072</v>
      </c>
      <c r="C75">
        <f>VLOOKUP(B75,raw!A:K,11,0)</f>
        <v>86</v>
      </c>
      <c r="D75">
        <f>VLOOKUP(B75,raw!A:K,3,0)+VLOOKUP(B75,raw!A:K,7,0)</f>
        <v>84</v>
      </c>
      <c r="E75">
        <f>VLOOKUP(B75,raw!A:K,4,0)</f>
        <v>0</v>
      </c>
      <c r="F75">
        <f>VLOOKUP(B75,raw!A:K,5,0)</f>
        <v>0</v>
      </c>
      <c r="G75">
        <f>VLOOKUP(B75,raw!A:K,2,0)+VLOOKUP(B75,raw!A:K,10,0)</f>
        <v>0</v>
      </c>
      <c r="H75">
        <f>VLOOKUP(B75,raw!A:K,6,0)</f>
        <v>0</v>
      </c>
      <c r="I75">
        <f>VLOOKUP(B75,raw!A:K,9,0)</f>
        <v>2</v>
      </c>
      <c r="J75">
        <f>VLOOKUP(B75,raw!A:K,8,0)</f>
        <v>0</v>
      </c>
      <c r="K75">
        <f>_xlfn.IFNA(VLOOKUP(B75,TDK!A:C,2,0),0)</f>
        <v>25</v>
      </c>
      <c r="L75">
        <f>_xlfn.IFNA(VLOOKUP(B75,TDK!A:C,3,0),0)</f>
        <v>2</v>
      </c>
      <c r="M75">
        <f>_xlfn.IFNA(VLOOKUP(B75,TDK!F:G,2,0),0)</f>
        <v>5</v>
      </c>
      <c r="N75">
        <f t="shared" si="1"/>
        <v>32</v>
      </c>
    </row>
    <row r="76" spans="1:14" x14ac:dyDescent="0.25">
      <c r="A76" t="s">
        <v>13</v>
      </c>
      <c r="B76" t="s">
        <v>1073</v>
      </c>
      <c r="C76">
        <f>VLOOKUP(B76,raw!A:K,11,0)</f>
        <v>40</v>
      </c>
      <c r="D76">
        <f>VLOOKUP(B76,raw!A:K,3,0)+VLOOKUP(B76,raw!A:K,7,0)</f>
        <v>40</v>
      </c>
      <c r="E76">
        <f>VLOOKUP(B76,raw!A:K,4,0)</f>
        <v>0</v>
      </c>
      <c r="F76">
        <f>VLOOKUP(B76,raw!A:K,5,0)</f>
        <v>0</v>
      </c>
      <c r="G76">
        <f>VLOOKUP(B76,raw!A:K,2,0)+VLOOKUP(B76,raw!A:K,10,0)</f>
        <v>0</v>
      </c>
      <c r="H76">
        <f>VLOOKUP(B76,raw!A:K,6,0)</f>
        <v>0</v>
      </c>
      <c r="I76">
        <f>VLOOKUP(B76,raw!A:K,9,0)</f>
        <v>0</v>
      </c>
      <c r="J76">
        <f>VLOOKUP(B76,raw!A:K,8,0)</f>
        <v>0</v>
      </c>
      <c r="K76">
        <f>_xlfn.IFNA(VLOOKUP(B76,TDK!A:C,2,0),0)</f>
        <v>11</v>
      </c>
      <c r="L76">
        <f>_xlfn.IFNA(VLOOKUP(B76,TDK!A:C,3,0),0)</f>
        <v>0</v>
      </c>
      <c r="M76">
        <f>_xlfn.IFNA(VLOOKUP(B76,TDK!F:G,2,0),0)</f>
        <v>4</v>
      </c>
      <c r="N76">
        <f t="shared" si="1"/>
        <v>15</v>
      </c>
    </row>
    <row r="77" spans="1:14" x14ac:dyDescent="0.25">
      <c r="A77" t="s">
        <v>13</v>
      </c>
      <c r="B77" t="s">
        <v>1074</v>
      </c>
      <c r="C77">
        <f>VLOOKUP(B77,raw!A:K,11,0)</f>
        <v>52</v>
      </c>
      <c r="D77">
        <f>VLOOKUP(B77,raw!A:K,3,0)+VLOOKUP(B77,raw!A:K,7,0)</f>
        <v>0</v>
      </c>
      <c r="E77">
        <f>VLOOKUP(B77,raw!A:K,4,0)</f>
        <v>0</v>
      </c>
      <c r="F77">
        <f>VLOOKUP(B77,raw!A:K,5,0)</f>
        <v>0</v>
      </c>
      <c r="G77">
        <f>VLOOKUP(B77,raw!A:K,2,0)+VLOOKUP(B77,raw!A:K,10,0)</f>
        <v>0</v>
      </c>
      <c r="H77">
        <f>VLOOKUP(B77,raw!A:K,6,0)</f>
        <v>0</v>
      </c>
      <c r="I77">
        <f>VLOOKUP(B77,raw!A:K,9,0)</f>
        <v>52</v>
      </c>
      <c r="J77">
        <f>VLOOKUP(B77,raw!A:K,8,0)</f>
        <v>0</v>
      </c>
      <c r="K77">
        <f>_xlfn.IFNA(VLOOKUP(B77,TDK!A:C,2,0),0)</f>
        <v>18</v>
      </c>
      <c r="L77">
        <f>_xlfn.IFNA(VLOOKUP(B77,TDK!A:C,3,0),0)</f>
        <v>5</v>
      </c>
      <c r="M77">
        <f>_xlfn.IFNA(VLOOKUP(B77,TDK!F:G,2,0),0)</f>
        <v>6</v>
      </c>
      <c r="N77">
        <f t="shared" si="1"/>
        <v>29</v>
      </c>
    </row>
    <row r="78" spans="1:14" x14ac:dyDescent="0.25">
      <c r="A78" t="s">
        <v>13</v>
      </c>
      <c r="B78" t="s">
        <v>1075</v>
      </c>
      <c r="C78">
        <f>VLOOKUP(B78,raw!A:K,11,0)</f>
        <v>49</v>
      </c>
      <c r="D78">
        <f>VLOOKUP(B78,raw!A:K,3,0)+VLOOKUP(B78,raw!A:K,7,0)</f>
        <v>0</v>
      </c>
      <c r="E78">
        <f>VLOOKUP(B78,raw!A:K,4,0)</f>
        <v>0</v>
      </c>
      <c r="F78">
        <f>VLOOKUP(B78,raw!A:K,5,0)</f>
        <v>0</v>
      </c>
      <c r="G78">
        <f>VLOOKUP(B78,raw!A:K,2,0)+VLOOKUP(B78,raw!A:K,10,0)</f>
        <v>0</v>
      </c>
      <c r="H78">
        <f>VLOOKUP(B78,raw!A:K,6,0)</f>
        <v>0</v>
      </c>
      <c r="I78">
        <f>VLOOKUP(B78,raw!A:K,9,0)</f>
        <v>49</v>
      </c>
      <c r="J78">
        <f>VLOOKUP(B78,raw!A:K,8,0)</f>
        <v>0</v>
      </c>
      <c r="K78">
        <f>_xlfn.IFNA(VLOOKUP(B78,TDK!A:C,2,0),0)</f>
        <v>16</v>
      </c>
      <c r="L78">
        <f>_xlfn.IFNA(VLOOKUP(B78,TDK!A:C,3,0),0)</f>
        <v>1</v>
      </c>
      <c r="M78">
        <f>_xlfn.IFNA(VLOOKUP(B78,TDK!F:G,2,0),0)</f>
        <v>7</v>
      </c>
      <c r="N78">
        <f t="shared" si="1"/>
        <v>24</v>
      </c>
    </row>
    <row r="79" spans="1:14" x14ac:dyDescent="0.25">
      <c r="A79" t="s">
        <v>13</v>
      </c>
      <c r="B79" t="s">
        <v>1076</v>
      </c>
      <c r="C79">
        <f>VLOOKUP(B79,raw!A:K,11,0)</f>
        <v>52</v>
      </c>
      <c r="D79">
        <f>VLOOKUP(B79,raw!A:K,3,0)+VLOOKUP(B79,raw!A:K,7,0)</f>
        <v>0</v>
      </c>
      <c r="E79">
        <f>VLOOKUP(B79,raw!A:K,4,0)</f>
        <v>0</v>
      </c>
      <c r="F79">
        <f>VLOOKUP(B79,raw!A:K,5,0)</f>
        <v>0</v>
      </c>
      <c r="G79">
        <f>VLOOKUP(B79,raw!A:K,2,0)+VLOOKUP(B79,raw!A:K,10,0)</f>
        <v>0</v>
      </c>
      <c r="H79">
        <f>VLOOKUP(B79,raw!A:K,6,0)</f>
        <v>0</v>
      </c>
      <c r="I79">
        <f>VLOOKUP(B79,raw!A:K,9,0)</f>
        <v>52</v>
      </c>
      <c r="J79">
        <f>VLOOKUP(B79,raw!A:K,8,0)</f>
        <v>0</v>
      </c>
      <c r="K79">
        <f>_xlfn.IFNA(VLOOKUP(B79,TDK!A:C,2,0),0)</f>
        <v>11</v>
      </c>
      <c r="L79">
        <f>_xlfn.IFNA(VLOOKUP(B79,TDK!A:C,3,0),0)</f>
        <v>2</v>
      </c>
      <c r="M79">
        <f>_xlfn.IFNA(VLOOKUP(B79,TDK!F:G,2,0),0)</f>
        <v>6</v>
      </c>
      <c r="N79">
        <f t="shared" si="1"/>
        <v>19</v>
      </c>
    </row>
    <row r="80" spans="1:14" x14ac:dyDescent="0.25">
      <c r="A80" t="s">
        <v>13</v>
      </c>
      <c r="B80" t="s">
        <v>1077</v>
      </c>
      <c r="C80">
        <f>VLOOKUP(B80,raw!A:K,11,0)</f>
        <v>23</v>
      </c>
      <c r="D80">
        <f>VLOOKUP(B80,raw!A:K,3,0)+VLOOKUP(B80,raw!A:K,7,0)</f>
        <v>23</v>
      </c>
      <c r="E80">
        <f>VLOOKUP(B80,raw!A:K,4,0)</f>
        <v>0</v>
      </c>
      <c r="F80">
        <f>VLOOKUP(B80,raw!A:K,5,0)</f>
        <v>0</v>
      </c>
      <c r="G80">
        <f>VLOOKUP(B80,raw!A:K,2,0)+VLOOKUP(B80,raw!A:K,10,0)</f>
        <v>0</v>
      </c>
      <c r="H80">
        <f>VLOOKUP(B80,raw!A:K,6,0)</f>
        <v>0</v>
      </c>
      <c r="I80">
        <f>VLOOKUP(B80,raw!A:K,9,0)</f>
        <v>0</v>
      </c>
      <c r="J80">
        <f>VLOOKUP(B80,raw!A:K,8,0)</f>
        <v>0</v>
      </c>
      <c r="K80">
        <f>_xlfn.IFNA(VLOOKUP(B80,TDK!A:C,2,0),0)</f>
        <v>5</v>
      </c>
      <c r="L80">
        <f>_xlfn.IFNA(VLOOKUP(B80,TDK!A:C,3,0),0)</f>
        <v>1</v>
      </c>
      <c r="M80">
        <f>_xlfn.IFNA(VLOOKUP(B80,TDK!F:G,2,0),0)</f>
        <v>5</v>
      </c>
      <c r="N80">
        <f t="shared" si="1"/>
        <v>11</v>
      </c>
    </row>
    <row r="81" spans="1:14" x14ac:dyDescent="0.25">
      <c r="A81" t="s">
        <v>13</v>
      </c>
      <c r="B81" t="s">
        <v>1078</v>
      </c>
      <c r="C81">
        <f>VLOOKUP(B81,raw!A:K,11,0)</f>
        <v>40</v>
      </c>
      <c r="D81">
        <f>VLOOKUP(B81,raw!A:K,3,0)+VLOOKUP(B81,raw!A:K,7,0)</f>
        <v>0</v>
      </c>
      <c r="E81">
        <f>VLOOKUP(B81,raw!A:K,4,0)</f>
        <v>0</v>
      </c>
      <c r="F81">
        <f>VLOOKUP(B81,raw!A:K,5,0)</f>
        <v>0</v>
      </c>
      <c r="G81">
        <f>VLOOKUP(B81,raw!A:K,2,0)+VLOOKUP(B81,raw!A:K,10,0)</f>
        <v>0</v>
      </c>
      <c r="H81">
        <f>VLOOKUP(B81,raw!A:K,6,0)</f>
        <v>0</v>
      </c>
      <c r="I81">
        <f>VLOOKUP(B81,raw!A:K,9,0)</f>
        <v>40</v>
      </c>
      <c r="J81">
        <f>VLOOKUP(B81,raw!A:K,8,0)</f>
        <v>0</v>
      </c>
      <c r="K81">
        <f>_xlfn.IFNA(VLOOKUP(B81,TDK!A:C,2,0),0)</f>
        <v>14</v>
      </c>
      <c r="L81">
        <f>_xlfn.IFNA(VLOOKUP(B81,TDK!A:C,3,0),0)</f>
        <v>1</v>
      </c>
      <c r="M81">
        <f>_xlfn.IFNA(VLOOKUP(B81,TDK!F:G,2,0),0)</f>
        <v>8</v>
      </c>
      <c r="N81">
        <f t="shared" si="1"/>
        <v>23</v>
      </c>
    </row>
    <row r="82" spans="1:14" x14ac:dyDescent="0.25">
      <c r="A82" t="s">
        <v>13</v>
      </c>
      <c r="B82" t="s">
        <v>1079</v>
      </c>
      <c r="C82">
        <f>VLOOKUP(B82,raw!A:K,11,0)</f>
        <v>55</v>
      </c>
      <c r="D82">
        <f>VLOOKUP(B82,raw!A:K,3,0)+VLOOKUP(B82,raw!A:K,7,0)</f>
        <v>18</v>
      </c>
      <c r="E82">
        <f>VLOOKUP(B82,raw!A:K,4,0)</f>
        <v>0</v>
      </c>
      <c r="F82">
        <f>VLOOKUP(B82,raw!A:K,5,0)</f>
        <v>0</v>
      </c>
      <c r="G82">
        <f>VLOOKUP(B82,raw!A:K,2,0)+VLOOKUP(B82,raw!A:K,10,0)</f>
        <v>0</v>
      </c>
      <c r="H82">
        <f>VLOOKUP(B82,raw!A:K,6,0)</f>
        <v>0</v>
      </c>
      <c r="I82">
        <f>VLOOKUP(B82,raw!A:K,9,0)</f>
        <v>37</v>
      </c>
      <c r="J82">
        <f>VLOOKUP(B82,raw!A:K,8,0)</f>
        <v>0</v>
      </c>
      <c r="K82">
        <f>_xlfn.IFNA(VLOOKUP(B82,TDK!A:C,2,0),0)</f>
        <v>24</v>
      </c>
      <c r="L82">
        <f>_xlfn.IFNA(VLOOKUP(B82,TDK!A:C,3,0),0)</f>
        <v>0</v>
      </c>
      <c r="M82">
        <f>_xlfn.IFNA(VLOOKUP(B82,TDK!F:G,2,0),0)</f>
        <v>9</v>
      </c>
      <c r="N82">
        <f t="shared" si="1"/>
        <v>33</v>
      </c>
    </row>
    <row r="83" spans="1:14" x14ac:dyDescent="0.25">
      <c r="A83" t="s">
        <v>14</v>
      </c>
      <c r="B83" t="s">
        <v>1080</v>
      </c>
      <c r="C83">
        <f>VLOOKUP(B83,raw!A:K,11,0)</f>
        <v>61</v>
      </c>
      <c r="D83">
        <f>VLOOKUP(B83,raw!A:K,3,0)+VLOOKUP(B83,raw!A:K,7,0)</f>
        <v>61</v>
      </c>
      <c r="E83">
        <f>VLOOKUP(B83,raw!A:K,4,0)</f>
        <v>0</v>
      </c>
      <c r="F83">
        <f>VLOOKUP(B83,raw!A:K,5,0)</f>
        <v>0</v>
      </c>
      <c r="G83">
        <f>VLOOKUP(B83,raw!A:K,2,0)+VLOOKUP(B83,raw!A:K,10,0)</f>
        <v>0</v>
      </c>
      <c r="H83">
        <f>VLOOKUP(B83,raw!A:K,6,0)</f>
        <v>0</v>
      </c>
      <c r="I83">
        <f>VLOOKUP(B83,raw!A:K,9,0)</f>
        <v>0</v>
      </c>
      <c r="J83">
        <f>VLOOKUP(B83,raw!A:K,8,0)</f>
        <v>0</v>
      </c>
      <c r="K83">
        <f>_xlfn.IFNA(VLOOKUP(B83,TDK!A:C,2,0),0)</f>
        <v>23</v>
      </c>
      <c r="L83">
        <f>_xlfn.IFNA(VLOOKUP(B83,TDK!A:C,3,0),0)</f>
        <v>0</v>
      </c>
      <c r="M83">
        <f>_xlfn.IFNA(VLOOKUP(B83,TDK!F:G,2,0),0)</f>
        <v>2</v>
      </c>
      <c r="N83">
        <f t="shared" si="1"/>
        <v>25</v>
      </c>
    </row>
    <row r="84" spans="1:14" x14ac:dyDescent="0.25">
      <c r="A84" t="s">
        <v>14</v>
      </c>
      <c r="B84" t="s">
        <v>1081</v>
      </c>
      <c r="C84">
        <f>VLOOKUP(B84,raw!A:K,11,0)</f>
        <v>55</v>
      </c>
      <c r="D84">
        <f>VLOOKUP(B84,raw!A:K,3,0)+VLOOKUP(B84,raw!A:K,7,0)</f>
        <v>55</v>
      </c>
      <c r="E84">
        <f>VLOOKUP(B84,raw!A:K,4,0)</f>
        <v>0</v>
      </c>
      <c r="F84">
        <f>VLOOKUP(B84,raw!A:K,5,0)</f>
        <v>0</v>
      </c>
      <c r="G84">
        <f>VLOOKUP(B84,raw!A:K,2,0)+VLOOKUP(B84,raw!A:K,10,0)</f>
        <v>0</v>
      </c>
      <c r="H84">
        <f>VLOOKUP(B84,raw!A:K,6,0)</f>
        <v>0</v>
      </c>
      <c r="I84">
        <f>VLOOKUP(B84,raw!A:K,9,0)</f>
        <v>0</v>
      </c>
      <c r="J84">
        <f>VLOOKUP(B84,raw!A:K,8,0)</f>
        <v>0</v>
      </c>
      <c r="K84">
        <f>_xlfn.IFNA(VLOOKUP(B84,TDK!A:C,2,0),0)</f>
        <v>24</v>
      </c>
      <c r="L84">
        <f>_xlfn.IFNA(VLOOKUP(B84,TDK!A:C,3,0),0)</f>
        <v>0</v>
      </c>
      <c r="M84">
        <f>_xlfn.IFNA(VLOOKUP(B84,TDK!F:G,2,0),0)</f>
        <v>8</v>
      </c>
      <c r="N84">
        <f t="shared" si="1"/>
        <v>32</v>
      </c>
    </row>
    <row r="85" spans="1:14" x14ac:dyDescent="0.25">
      <c r="A85" t="s">
        <v>14</v>
      </c>
      <c r="B85" t="s">
        <v>1082</v>
      </c>
      <c r="C85">
        <f>VLOOKUP(B85,raw!A:K,11,0)</f>
        <v>38</v>
      </c>
      <c r="D85">
        <f>VLOOKUP(B85,raw!A:K,3,0)+VLOOKUP(B85,raw!A:K,7,0)</f>
        <v>38</v>
      </c>
      <c r="E85">
        <f>VLOOKUP(B85,raw!A:K,4,0)</f>
        <v>0</v>
      </c>
      <c r="F85">
        <f>VLOOKUP(B85,raw!A:K,5,0)</f>
        <v>0</v>
      </c>
      <c r="G85">
        <f>VLOOKUP(B85,raw!A:K,2,0)+VLOOKUP(B85,raw!A:K,10,0)</f>
        <v>0</v>
      </c>
      <c r="H85">
        <f>VLOOKUP(B85,raw!A:K,6,0)</f>
        <v>0</v>
      </c>
      <c r="I85">
        <f>VLOOKUP(B85,raw!A:K,9,0)</f>
        <v>0</v>
      </c>
      <c r="J85">
        <f>VLOOKUP(B85,raw!A:K,8,0)</f>
        <v>0</v>
      </c>
      <c r="K85">
        <f>_xlfn.IFNA(VLOOKUP(B85,TDK!A:C,2,0),0)</f>
        <v>17</v>
      </c>
      <c r="L85">
        <f>_xlfn.IFNA(VLOOKUP(B85,TDK!A:C,3,0),0)</f>
        <v>2</v>
      </c>
      <c r="M85">
        <f>_xlfn.IFNA(VLOOKUP(B85,TDK!F:G,2,0),0)</f>
        <v>1</v>
      </c>
      <c r="N85">
        <f t="shared" si="1"/>
        <v>20</v>
      </c>
    </row>
    <row r="86" spans="1:14" x14ac:dyDescent="0.25">
      <c r="A86" t="s">
        <v>14</v>
      </c>
      <c r="B86" t="s">
        <v>1083</v>
      </c>
      <c r="C86">
        <f>VLOOKUP(B86,raw!A:K,11,0)</f>
        <v>41</v>
      </c>
      <c r="D86">
        <f>VLOOKUP(B86,raw!A:K,3,0)+VLOOKUP(B86,raw!A:K,7,0)</f>
        <v>12</v>
      </c>
      <c r="E86">
        <f>VLOOKUP(B86,raw!A:K,4,0)</f>
        <v>0</v>
      </c>
      <c r="F86">
        <f>VLOOKUP(B86,raw!A:K,5,0)</f>
        <v>0</v>
      </c>
      <c r="G86">
        <f>VLOOKUP(B86,raw!A:K,2,0)+VLOOKUP(B86,raw!A:K,10,0)</f>
        <v>0</v>
      </c>
      <c r="H86">
        <f>VLOOKUP(B86,raw!A:K,6,0)</f>
        <v>0</v>
      </c>
      <c r="I86">
        <f>VLOOKUP(B86,raw!A:K,9,0)</f>
        <v>29</v>
      </c>
      <c r="J86">
        <f>VLOOKUP(B86,raw!A:K,8,0)</f>
        <v>0</v>
      </c>
      <c r="K86">
        <f>_xlfn.IFNA(VLOOKUP(B86,TDK!A:C,2,0),0)</f>
        <v>9</v>
      </c>
      <c r="L86">
        <f>_xlfn.IFNA(VLOOKUP(B86,TDK!A:C,3,0),0)</f>
        <v>2</v>
      </c>
      <c r="M86">
        <f>_xlfn.IFNA(VLOOKUP(B86,TDK!F:G,2,0),0)</f>
        <v>4</v>
      </c>
      <c r="N86">
        <f t="shared" si="1"/>
        <v>15</v>
      </c>
    </row>
    <row r="87" spans="1:14" x14ac:dyDescent="0.25">
      <c r="A87" t="s">
        <v>14</v>
      </c>
      <c r="B87" t="s">
        <v>1084</v>
      </c>
      <c r="C87">
        <f>VLOOKUP(B87,raw!A:K,11,0)</f>
        <v>44</v>
      </c>
      <c r="D87">
        <f>VLOOKUP(B87,raw!A:K,3,0)+VLOOKUP(B87,raw!A:K,7,0)</f>
        <v>11</v>
      </c>
      <c r="E87">
        <f>VLOOKUP(B87,raw!A:K,4,0)</f>
        <v>0</v>
      </c>
      <c r="F87">
        <f>VLOOKUP(B87,raw!A:K,5,0)</f>
        <v>0</v>
      </c>
      <c r="G87">
        <f>VLOOKUP(B87,raw!A:K,2,0)+VLOOKUP(B87,raw!A:K,10,0)</f>
        <v>0</v>
      </c>
      <c r="H87">
        <f>VLOOKUP(B87,raw!A:K,6,0)</f>
        <v>0</v>
      </c>
      <c r="I87">
        <f>VLOOKUP(B87,raw!A:K,9,0)</f>
        <v>33</v>
      </c>
      <c r="J87">
        <f>VLOOKUP(B87,raw!A:K,8,0)</f>
        <v>0</v>
      </c>
      <c r="K87">
        <f>_xlfn.IFNA(VLOOKUP(B87,TDK!A:C,2,0),0)</f>
        <v>17</v>
      </c>
      <c r="L87">
        <f>_xlfn.IFNA(VLOOKUP(B87,TDK!A:C,3,0),0)</f>
        <v>0</v>
      </c>
      <c r="M87">
        <f>_xlfn.IFNA(VLOOKUP(B87,TDK!F:G,2,0),0)</f>
        <v>6</v>
      </c>
      <c r="N87">
        <f t="shared" si="1"/>
        <v>23</v>
      </c>
    </row>
    <row r="88" spans="1:14" x14ac:dyDescent="0.25">
      <c r="A88" t="s">
        <v>14</v>
      </c>
      <c r="B88" t="s">
        <v>1085</v>
      </c>
      <c r="C88">
        <f>VLOOKUP(B88,raw!A:K,11,0)</f>
        <v>37</v>
      </c>
      <c r="D88">
        <f>VLOOKUP(B88,raw!A:K,3,0)+VLOOKUP(B88,raw!A:K,7,0)</f>
        <v>37</v>
      </c>
      <c r="E88">
        <f>VLOOKUP(B88,raw!A:K,4,0)</f>
        <v>0</v>
      </c>
      <c r="F88">
        <f>VLOOKUP(B88,raw!A:K,5,0)</f>
        <v>0</v>
      </c>
      <c r="G88">
        <f>VLOOKUP(B88,raw!A:K,2,0)+VLOOKUP(B88,raw!A:K,10,0)</f>
        <v>0</v>
      </c>
      <c r="H88">
        <f>VLOOKUP(B88,raw!A:K,6,0)</f>
        <v>0</v>
      </c>
      <c r="I88">
        <f>VLOOKUP(B88,raw!A:K,9,0)</f>
        <v>0</v>
      </c>
      <c r="J88">
        <f>VLOOKUP(B88,raw!A:K,8,0)</f>
        <v>0</v>
      </c>
      <c r="K88">
        <f>_xlfn.IFNA(VLOOKUP(B88,TDK!A:C,2,0),0)</f>
        <v>8</v>
      </c>
      <c r="L88">
        <f>_xlfn.IFNA(VLOOKUP(B88,TDK!A:C,3,0),0)</f>
        <v>2</v>
      </c>
      <c r="M88">
        <f>_xlfn.IFNA(VLOOKUP(B88,TDK!F:G,2,0),0)</f>
        <v>2</v>
      </c>
      <c r="N88">
        <f t="shared" si="1"/>
        <v>12</v>
      </c>
    </row>
    <row r="89" spans="1:14" x14ac:dyDescent="0.25">
      <c r="A89" t="s">
        <v>14</v>
      </c>
      <c r="B89" t="s">
        <v>1086</v>
      </c>
      <c r="C89">
        <f>VLOOKUP(B89,raw!A:K,11,0)</f>
        <v>23</v>
      </c>
      <c r="D89">
        <f>VLOOKUP(B89,raw!A:K,3,0)+VLOOKUP(B89,raw!A:K,7,0)</f>
        <v>23</v>
      </c>
      <c r="E89">
        <f>VLOOKUP(B89,raw!A:K,4,0)</f>
        <v>0</v>
      </c>
      <c r="F89">
        <f>VLOOKUP(B89,raw!A:K,5,0)</f>
        <v>0</v>
      </c>
      <c r="G89">
        <f>VLOOKUP(B89,raw!A:K,2,0)+VLOOKUP(B89,raw!A:K,10,0)</f>
        <v>0</v>
      </c>
      <c r="H89">
        <f>VLOOKUP(B89,raw!A:K,6,0)</f>
        <v>0</v>
      </c>
      <c r="I89">
        <f>VLOOKUP(B89,raw!A:K,9,0)</f>
        <v>0</v>
      </c>
      <c r="J89">
        <f>VLOOKUP(B89,raw!A:K,8,0)</f>
        <v>0</v>
      </c>
      <c r="K89">
        <f>_xlfn.IFNA(VLOOKUP(B89,TDK!A:C,2,0),0)</f>
        <v>7</v>
      </c>
      <c r="L89">
        <f>_xlfn.IFNA(VLOOKUP(B89,TDK!A:C,3,0),0)</f>
        <v>1</v>
      </c>
      <c r="M89">
        <f>_xlfn.IFNA(VLOOKUP(B89,TDK!F:G,2,0),0)</f>
        <v>0</v>
      </c>
      <c r="N89">
        <f t="shared" si="1"/>
        <v>8</v>
      </c>
    </row>
    <row r="90" spans="1:14" x14ac:dyDescent="0.25">
      <c r="A90" t="s">
        <v>14</v>
      </c>
      <c r="B90" t="s">
        <v>1087</v>
      </c>
      <c r="C90">
        <f>VLOOKUP(B90,raw!A:K,11,0)</f>
        <v>46</v>
      </c>
      <c r="D90">
        <f>VLOOKUP(B90,raw!A:K,3,0)+VLOOKUP(B90,raw!A:K,7,0)</f>
        <v>46</v>
      </c>
      <c r="E90">
        <f>VLOOKUP(B90,raw!A:K,4,0)</f>
        <v>0</v>
      </c>
      <c r="F90">
        <f>VLOOKUP(B90,raw!A:K,5,0)</f>
        <v>0</v>
      </c>
      <c r="G90">
        <f>VLOOKUP(B90,raw!A:K,2,0)+VLOOKUP(B90,raw!A:K,10,0)</f>
        <v>0</v>
      </c>
      <c r="H90">
        <f>VLOOKUP(B90,raw!A:K,6,0)</f>
        <v>0</v>
      </c>
      <c r="I90">
        <f>VLOOKUP(B90,raw!A:K,9,0)</f>
        <v>0</v>
      </c>
      <c r="J90">
        <f>VLOOKUP(B90,raw!A:K,8,0)</f>
        <v>0</v>
      </c>
      <c r="K90">
        <f>_xlfn.IFNA(VLOOKUP(B90,TDK!A:C,2,0),0)</f>
        <v>22</v>
      </c>
      <c r="L90">
        <f>_xlfn.IFNA(VLOOKUP(B90,TDK!A:C,3,0),0)</f>
        <v>1</v>
      </c>
      <c r="M90">
        <f>_xlfn.IFNA(VLOOKUP(B90,TDK!F:G,2,0),0)</f>
        <v>3</v>
      </c>
      <c r="N90">
        <f t="shared" si="1"/>
        <v>26</v>
      </c>
    </row>
    <row r="91" spans="1:14" x14ac:dyDescent="0.25">
      <c r="A91" t="s">
        <v>14</v>
      </c>
      <c r="B91" t="s">
        <v>1088</v>
      </c>
      <c r="C91">
        <f>VLOOKUP(B91,raw!A:K,11,0)</f>
        <v>47</v>
      </c>
      <c r="D91">
        <f>VLOOKUP(B91,raw!A:K,3,0)+VLOOKUP(B91,raw!A:K,7,0)</f>
        <v>17</v>
      </c>
      <c r="E91">
        <f>VLOOKUP(B91,raw!A:K,4,0)</f>
        <v>0</v>
      </c>
      <c r="F91">
        <f>VLOOKUP(B91,raw!A:K,5,0)</f>
        <v>0</v>
      </c>
      <c r="G91">
        <f>VLOOKUP(B91,raw!A:K,2,0)+VLOOKUP(B91,raw!A:K,10,0)</f>
        <v>0</v>
      </c>
      <c r="H91">
        <f>VLOOKUP(B91,raw!A:K,6,0)</f>
        <v>0</v>
      </c>
      <c r="I91">
        <f>VLOOKUP(B91,raw!A:K,9,0)</f>
        <v>30</v>
      </c>
      <c r="J91">
        <f>VLOOKUP(B91,raw!A:K,8,0)</f>
        <v>0</v>
      </c>
      <c r="K91">
        <f>_xlfn.IFNA(VLOOKUP(B91,TDK!A:C,2,0),0)</f>
        <v>15</v>
      </c>
      <c r="L91">
        <f>_xlfn.IFNA(VLOOKUP(B91,TDK!A:C,3,0),0)</f>
        <v>0</v>
      </c>
      <c r="M91">
        <f>_xlfn.IFNA(VLOOKUP(B91,TDK!F:G,2,0),0)</f>
        <v>2</v>
      </c>
      <c r="N91">
        <f t="shared" si="1"/>
        <v>17</v>
      </c>
    </row>
    <row r="92" spans="1:14" x14ac:dyDescent="0.25">
      <c r="A92" t="s">
        <v>14</v>
      </c>
      <c r="B92" t="s">
        <v>1089</v>
      </c>
      <c r="C92">
        <f>VLOOKUP(B92,raw!A:K,11,0)</f>
        <v>32</v>
      </c>
      <c r="D92">
        <f>VLOOKUP(B92,raw!A:K,3,0)+VLOOKUP(B92,raw!A:K,7,0)</f>
        <v>20</v>
      </c>
      <c r="E92">
        <f>VLOOKUP(B92,raw!A:K,4,0)</f>
        <v>0</v>
      </c>
      <c r="F92">
        <f>VLOOKUP(B92,raw!A:K,5,0)</f>
        <v>0</v>
      </c>
      <c r="G92">
        <f>VLOOKUP(B92,raw!A:K,2,0)+VLOOKUP(B92,raw!A:K,10,0)</f>
        <v>0</v>
      </c>
      <c r="H92">
        <f>VLOOKUP(B92,raw!A:K,6,0)</f>
        <v>0</v>
      </c>
      <c r="I92">
        <f>VLOOKUP(B92,raw!A:K,9,0)</f>
        <v>12</v>
      </c>
      <c r="J92">
        <f>VLOOKUP(B92,raw!A:K,8,0)</f>
        <v>0</v>
      </c>
      <c r="K92">
        <f>_xlfn.IFNA(VLOOKUP(B92,TDK!A:C,2,0),0)</f>
        <v>8</v>
      </c>
      <c r="L92">
        <f>_xlfn.IFNA(VLOOKUP(B92,TDK!A:C,3,0),0)</f>
        <v>2</v>
      </c>
      <c r="M92">
        <f>_xlfn.IFNA(VLOOKUP(B92,TDK!F:G,2,0),0)</f>
        <v>3</v>
      </c>
      <c r="N92">
        <f t="shared" si="1"/>
        <v>13</v>
      </c>
    </row>
    <row r="93" spans="1:14" x14ac:dyDescent="0.25">
      <c r="A93" t="s">
        <v>14</v>
      </c>
      <c r="B93" t="s">
        <v>1090</v>
      </c>
      <c r="C93">
        <f>VLOOKUP(B93,raw!A:K,11,0)</f>
        <v>40</v>
      </c>
      <c r="D93">
        <f>VLOOKUP(B93,raw!A:K,3,0)+VLOOKUP(B93,raw!A:K,7,0)</f>
        <v>19</v>
      </c>
      <c r="E93">
        <f>VLOOKUP(B93,raw!A:K,4,0)</f>
        <v>0</v>
      </c>
      <c r="F93">
        <f>VLOOKUP(B93,raw!A:K,5,0)</f>
        <v>0</v>
      </c>
      <c r="G93">
        <f>VLOOKUP(B93,raw!A:K,2,0)+VLOOKUP(B93,raw!A:K,10,0)</f>
        <v>0</v>
      </c>
      <c r="H93">
        <f>VLOOKUP(B93,raw!A:K,6,0)</f>
        <v>0</v>
      </c>
      <c r="I93">
        <f>VLOOKUP(B93,raw!A:K,9,0)</f>
        <v>21</v>
      </c>
      <c r="J93">
        <f>VLOOKUP(B93,raw!A:K,8,0)</f>
        <v>0</v>
      </c>
      <c r="K93">
        <f>_xlfn.IFNA(VLOOKUP(B93,TDK!A:C,2,0),0)</f>
        <v>16</v>
      </c>
      <c r="L93">
        <f>_xlfn.IFNA(VLOOKUP(B93,TDK!A:C,3,0),0)</f>
        <v>0</v>
      </c>
      <c r="M93">
        <f>_xlfn.IFNA(VLOOKUP(B93,TDK!F:G,2,0),0)</f>
        <v>2</v>
      </c>
      <c r="N93">
        <f t="shared" si="1"/>
        <v>18</v>
      </c>
    </row>
    <row r="94" spans="1:14" x14ac:dyDescent="0.25">
      <c r="A94" t="s">
        <v>14</v>
      </c>
      <c r="B94" t="s">
        <v>1091</v>
      </c>
      <c r="C94">
        <f>VLOOKUP(B94,raw!A:K,11,0)</f>
        <v>66</v>
      </c>
      <c r="D94">
        <f>VLOOKUP(B94,raw!A:K,3,0)+VLOOKUP(B94,raw!A:K,7,0)</f>
        <v>60</v>
      </c>
      <c r="E94">
        <f>VLOOKUP(B94,raw!A:K,4,0)</f>
        <v>0</v>
      </c>
      <c r="F94">
        <f>VLOOKUP(B94,raw!A:K,5,0)</f>
        <v>0</v>
      </c>
      <c r="G94">
        <f>VLOOKUP(B94,raw!A:K,2,0)+VLOOKUP(B94,raw!A:K,10,0)</f>
        <v>0</v>
      </c>
      <c r="H94">
        <f>VLOOKUP(B94,raw!A:K,6,0)</f>
        <v>0</v>
      </c>
      <c r="I94">
        <f>VLOOKUP(B94,raw!A:K,9,0)</f>
        <v>6</v>
      </c>
      <c r="J94">
        <f>VLOOKUP(B94,raw!A:K,8,0)</f>
        <v>0</v>
      </c>
      <c r="K94">
        <f>_xlfn.IFNA(VLOOKUP(B94,TDK!A:C,2,0),0)</f>
        <v>24</v>
      </c>
      <c r="L94">
        <f>_xlfn.IFNA(VLOOKUP(B94,TDK!A:C,3,0),0)</f>
        <v>3</v>
      </c>
      <c r="M94">
        <f>_xlfn.IFNA(VLOOKUP(B94,TDK!F:G,2,0),0)</f>
        <v>0</v>
      </c>
      <c r="N94">
        <f t="shared" si="1"/>
        <v>27</v>
      </c>
    </row>
    <row r="95" spans="1:14" x14ac:dyDescent="0.25">
      <c r="A95" t="s">
        <v>14</v>
      </c>
      <c r="B95" t="s">
        <v>1092</v>
      </c>
      <c r="C95">
        <f>VLOOKUP(B95,raw!A:K,11,0)</f>
        <v>72</v>
      </c>
      <c r="D95">
        <f>VLOOKUP(B95,raw!A:K,3,0)+VLOOKUP(B95,raw!A:K,7,0)</f>
        <v>31</v>
      </c>
      <c r="E95">
        <f>VLOOKUP(B95,raw!A:K,4,0)</f>
        <v>0</v>
      </c>
      <c r="F95">
        <f>VLOOKUP(B95,raw!A:K,5,0)</f>
        <v>0</v>
      </c>
      <c r="G95">
        <f>VLOOKUP(B95,raw!A:K,2,0)+VLOOKUP(B95,raw!A:K,10,0)</f>
        <v>0</v>
      </c>
      <c r="H95">
        <f>VLOOKUP(B95,raw!A:K,6,0)</f>
        <v>0</v>
      </c>
      <c r="I95">
        <f>VLOOKUP(B95,raw!A:K,9,0)</f>
        <v>41</v>
      </c>
      <c r="J95">
        <f>VLOOKUP(B95,raw!A:K,8,0)</f>
        <v>0</v>
      </c>
      <c r="K95">
        <f>_xlfn.IFNA(VLOOKUP(B95,TDK!A:C,2,0),0)</f>
        <v>26</v>
      </c>
      <c r="L95">
        <f>_xlfn.IFNA(VLOOKUP(B95,TDK!A:C,3,0),0)</f>
        <v>1</v>
      </c>
      <c r="M95">
        <f>_xlfn.IFNA(VLOOKUP(B95,TDK!F:G,2,0),0)</f>
        <v>1</v>
      </c>
      <c r="N95">
        <f t="shared" si="1"/>
        <v>28</v>
      </c>
    </row>
    <row r="96" spans="1:14" x14ac:dyDescent="0.25">
      <c r="A96" t="s">
        <v>14</v>
      </c>
      <c r="B96" t="s">
        <v>1093</v>
      </c>
      <c r="C96">
        <f>VLOOKUP(B96,raw!A:K,11,0)</f>
        <v>78</v>
      </c>
      <c r="D96">
        <f>VLOOKUP(B96,raw!A:K,3,0)+VLOOKUP(B96,raw!A:K,7,0)</f>
        <v>18</v>
      </c>
      <c r="E96">
        <f>VLOOKUP(B96,raw!A:K,4,0)</f>
        <v>0</v>
      </c>
      <c r="F96">
        <f>VLOOKUP(B96,raw!A:K,5,0)</f>
        <v>0</v>
      </c>
      <c r="G96">
        <f>VLOOKUP(B96,raw!A:K,2,0)+VLOOKUP(B96,raw!A:K,10,0)</f>
        <v>0</v>
      </c>
      <c r="H96">
        <f>VLOOKUP(B96,raw!A:K,6,0)</f>
        <v>0</v>
      </c>
      <c r="I96">
        <f>VLOOKUP(B96,raw!A:K,9,0)</f>
        <v>60</v>
      </c>
      <c r="J96">
        <f>VLOOKUP(B96,raw!A:K,8,0)</f>
        <v>0</v>
      </c>
      <c r="K96">
        <f>_xlfn.IFNA(VLOOKUP(B96,TDK!A:C,2,0),0)</f>
        <v>20</v>
      </c>
      <c r="L96">
        <f>_xlfn.IFNA(VLOOKUP(B96,TDK!A:C,3,0),0)</f>
        <v>1</v>
      </c>
      <c r="M96">
        <f>_xlfn.IFNA(VLOOKUP(B96,TDK!F:G,2,0),0)</f>
        <v>6</v>
      </c>
      <c r="N96">
        <f t="shared" si="1"/>
        <v>27</v>
      </c>
    </row>
    <row r="97" spans="1:14" x14ac:dyDescent="0.25">
      <c r="A97" t="s">
        <v>14</v>
      </c>
      <c r="B97" t="s">
        <v>1094</v>
      </c>
      <c r="C97">
        <f>VLOOKUP(B97,raw!A:K,11,0)</f>
        <v>54</v>
      </c>
      <c r="D97">
        <f>VLOOKUP(B97,raw!A:K,3,0)+VLOOKUP(B97,raw!A:K,7,0)</f>
        <v>16</v>
      </c>
      <c r="E97">
        <f>VLOOKUP(B97,raw!A:K,4,0)</f>
        <v>0</v>
      </c>
      <c r="F97">
        <f>VLOOKUP(B97,raw!A:K,5,0)</f>
        <v>0</v>
      </c>
      <c r="G97">
        <f>VLOOKUP(B97,raw!A:K,2,0)+VLOOKUP(B97,raw!A:K,10,0)</f>
        <v>0</v>
      </c>
      <c r="H97">
        <f>VLOOKUP(B97,raw!A:K,6,0)</f>
        <v>0</v>
      </c>
      <c r="I97">
        <f>VLOOKUP(B97,raw!A:K,9,0)</f>
        <v>38</v>
      </c>
      <c r="J97">
        <f>VLOOKUP(B97,raw!A:K,8,0)</f>
        <v>0</v>
      </c>
      <c r="K97">
        <f>_xlfn.IFNA(VLOOKUP(B97,TDK!A:C,2,0),0)</f>
        <v>14</v>
      </c>
      <c r="L97">
        <f>_xlfn.IFNA(VLOOKUP(B97,TDK!A:C,3,0),0)</f>
        <v>1</v>
      </c>
      <c r="M97">
        <f>_xlfn.IFNA(VLOOKUP(B97,TDK!F:G,2,0),0)</f>
        <v>4</v>
      </c>
      <c r="N97">
        <f t="shared" si="1"/>
        <v>19</v>
      </c>
    </row>
    <row r="98" spans="1:14" x14ac:dyDescent="0.25">
      <c r="A98" t="s">
        <v>15</v>
      </c>
      <c r="B98" t="s">
        <v>1095</v>
      </c>
      <c r="C98">
        <f>VLOOKUP(B98,raw!A:K,11,0)</f>
        <v>89</v>
      </c>
      <c r="D98">
        <f>VLOOKUP(B98,raw!A:K,3,0)+VLOOKUP(B98,raw!A:K,7,0)</f>
        <v>89</v>
      </c>
      <c r="E98">
        <f>VLOOKUP(B98,raw!A:K,4,0)</f>
        <v>0</v>
      </c>
      <c r="F98">
        <f>VLOOKUP(B98,raw!A:K,5,0)</f>
        <v>0</v>
      </c>
      <c r="G98">
        <f>VLOOKUP(B98,raw!A:K,2,0)+VLOOKUP(B98,raw!A:K,10,0)</f>
        <v>0</v>
      </c>
      <c r="H98">
        <f>VLOOKUP(B98,raw!A:K,6,0)</f>
        <v>0</v>
      </c>
      <c r="I98">
        <f>VLOOKUP(B98,raw!A:K,9,0)</f>
        <v>0</v>
      </c>
      <c r="J98">
        <f>VLOOKUP(B98,raw!A:K,8,0)</f>
        <v>0</v>
      </c>
      <c r="K98">
        <f>_xlfn.IFNA(VLOOKUP(B98,TDK!A:C,2,0),0)</f>
        <v>24</v>
      </c>
      <c r="L98">
        <f>_xlfn.IFNA(VLOOKUP(B98,TDK!A:C,3,0),0)</f>
        <v>2</v>
      </c>
      <c r="M98">
        <f>_xlfn.IFNA(VLOOKUP(B98,TDK!F:G,2,0),0)</f>
        <v>8</v>
      </c>
      <c r="N98">
        <f t="shared" si="1"/>
        <v>34</v>
      </c>
    </row>
    <row r="99" spans="1:14" x14ac:dyDescent="0.25">
      <c r="A99" t="s">
        <v>15</v>
      </c>
      <c r="B99" t="s">
        <v>1096</v>
      </c>
      <c r="C99">
        <f>VLOOKUP(B99,raw!A:K,11,0)</f>
        <v>50</v>
      </c>
      <c r="D99">
        <f>VLOOKUP(B99,raw!A:K,3,0)+VLOOKUP(B99,raw!A:K,7,0)</f>
        <v>50</v>
      </c>
      <c r="E99">
        <f>VLOOKUP(B99,raw!A:K,4,0)</f>
        <v>0</v>
      </c>
      <c r="F99">
        <f>VLOOKUP(B99,raw!A:K,5,0)</f>
        <v>0</v>
      </c>
      <c r="G99">
        <f>VLOOKUP(B99,raw!A:K,2,0)+VLOOKUP(B99,raw!A:K,10,0)</f>
        <v>0</v>
      </c>
      <c r="H99">
        <f>VLOOKUP(B99,raw!A:K,6,0)</f>
        <v>0</v>
      </c>
      <c r="I99">
        <f>VLOOKUP(B99,raw!A:K,9,0)</f>
        <v>0</v>
      </c>
      <c r="J99">
        <f>VLOOKUP(B99,raw!A:K,8,0)</f>
        <v>0</v>
      </c>
      <c r="K99">
        <f>_xlfn.IFNA(VLOOKUP(B99,TDK!A:C,2,0),0)</f>
        <v>22</v>
      </c>
      <c r="L99">
        <f>_xlfn.IFNA(VLOOKUP(B99,TDK!A:C,3,0),0)</f>
        <v>3</v>
      </c>
      <c r="M99">
        <f>_xlfn.IFNA(VLOOKUP(B99,TDK!F:G,2,0),0)</f>
        <v>5</v>
      </c>
      <c r="N99">
        <f t="shared" si="1"/>
        <v>30</v>
      </c>
    </row>
    <row r="100" spans="1:14" x14ac:dyDescent="0.25">
      <c r="A100" t="s">
        <v>15</v>
      </c>
      <c r="B100" t="s">
        <v>1097</v>
      </c>
      <c r="C100">
        <f>VLOOKUP(B100,raw!A:K,11,0)</f>
        <v>48</v>
      </c>
      <c r="D100">
        <f>VLOOKUP(B100,raw!A:K,3,0)+VLOOKUP(B100,raw!A:K,7,0)</f>
        <v>48</v>
      </c>
      <c r="E100">
        <f>VLOOKUP(B100,raw!A:K,4,0)</f>
        <v>0</v>
      </c>
      <c r="F100">
        <f>VLOOKUP(B100,raw!A:K,5,0)</f>
        <v>0</v>
      </c>
      <c r="G100">
        <f>VLOOKUP(B100,raw!A:K,2,0)+VLOOKUP(B100,raw!A:K,10,0)</f>
        <v>0</v>
      </c>
      <c r="H100">
        <f>VLOOKUP(B100,raw!A:K,6,0)</f>
        <v>0</v>
      </c>
      <c r="I100">
        <f>VLOOKUP(B100,raw!A:K,9,0)</f>
        <v>0</v>
      </c>
      <c r="J100">
        <f>VLOOKUP(B100,raw!A:K,8,0)</f>
        <v>0</v>
      </c>
      <c r="K100">
        <f>_xlfn.IFNA(VLOOKUP(B100,TDK!A:C,2,0),0)</f>
        <v>18</v>
      </c>
      <c r="L100">
        <f>_xlfn.IFNA(VLOOKUP(B100,TDK!A:C,3,0),0)</f>
        <v>0</v>
      </c>
      <c r="M100">
        <f>_xlfn.IFNA(VLOOKUP(B100,TDK!F:G,2,0),0)</f>
        <v>4</v>
      </c>
      <c r="N100">
        <f t="shared" si="1"/>
        <v>22</v>
      </c>
    </row>
    <row r="101" spans="1:14" x14ac:dyDescent="0.25">
      <c r="A101" t="s">
        <v>15</v>
      </c>
      <c r="B101" t="s">
        <v>1098</v>
      </c>
      <c r="C101">
        <f>VLOOKUP(B101,raw!A:K,11,0)</f>
        <v>82</v>
      </c>
      <c r="D101">
        <f>VLOOKUP(B101,raw!A:K,3,0)+VLOOKUP(B101,raw!A:K,7,0)</f>
        <v>82</v>
      </c>
      <c r="E101">
        <f>VLOOKUP(B101,raw!A:K,4,0)</f>
        <v>0</v>
      </c>
      <c r="F101">
        <f>VLOOKUP(B101,raw!A:K,5,0)</f>
        <v>0</v>
      </c>
      <c r="G101">
        <f>VLOOKUP(B101,raw!A:K,2,0)+VLOOKUP(B101,raw!A:K,10,0)</f>
        <v>0</v>
      </c>
      <c r="H101">
        <f>VLOOKUP(B101,raw!A:K,6,0)</f>
        <v>0</v>
      </c>
      <c r="I101">
        <f>VLOOKUP(B101,raw!A:K,9,0)</f>
        <v>0</v>
      </c>
      <c r="J101">
        <f>VLOOKUP(B101,raw!A:K,8,0)</f>
        <v>0</v>
      </c>
      <c r="K101">
        <f>_xlfn.IFNA(VLOOKUP(B101,TDK!A:C,2,0),0)</f>
        <v>41</v>
      </c>
      <c r="L101">
        <f>_xlfn.IFNA(VLOOKUP(B101,TDK!A:C,3,0),0)</f>
        <v>0</v>
      </c>
      <c r="M101">
        <f>_xlfn.IFNA(VLOOKUP(B101,TDK!F:G,2,0),0)</f>
        <v>2</v>
      </c>
      <c r="N101">
        <f t="shared" si="1"/>
        <v>43</v>
      </c>
    </row>
    <row r="102" spans="1:14" x14ac:dyDescent="0.25">
      <c r="A102" t="s">
        <v>15</v>
      </c>
      <c r="B102" t="s">
        <v>1099</v>
      </c>
      <c r="C102">
        <f>VLOOKUP(B102,raw!A:K,11,0)</f>
        <v>38</v>
      </c>
      <c r="D102">
        <f>VLOOKUP(B102,raw!A:K,3,0)+VLOOKUP(B102,raw!A:K,7,0)</f>
        <v>38</v>
      </c>
      <c r="E102">
        <f>VLOOKUP(B102,raw!A:K,4,0)</f>
        <v>0</v>
      </c>
      <c r="F102">
        <f>VLOOKUP(B102,raw!A:K,5,0)</f>
        <v>0</v>
      </c>
      <c r="G102">
        <f>VLOOKUP(B102,raw!A:K,2,0)+VLOOKUP(B102,raw!A:K,10,0)</f>
        <v>0</v>
      </c>
      <c r="H102">
        <f>VLOOKUP(B102,raw!A:K,6,0)</f>
        <v>0</v>
      </c>
      <c r="I102">
        <f>VLOOKUP(B102,raw!A:K,9,0)</f>
        <v>0</v>
      </c>
      <c r="J102">
        <f>VLOOKUP(B102,raw!A:K,8,0)</f>
        <v>0</v>
      </c>
      <c r="K102">
        <f>_xlfn.IFNA(VLOOKUP(B102,TDK!A:C,2,0),0)</f>
        <v>8</v>
      </c>
      <c r="L102">
        <f>_xlfn.IFNA(VLOOKUP(B102,TDK!A:C,3,0),0)</f>
        <v>0</v>
      </c>
      <c r="M102">
        <f>_xlfn.IFNA(VLOOKUP(B102,TDK!F:G,2,0),0)</f>
        <v>1</v>
      </c>
      <c r="N102">
        <f t="shared" si="1"/>
        <v>9</v>
      </c>
    </row>
    <row r="103" spans="1:14" x14ac:dyDescent="0.25">
      <c r="A103" t="s">
        <v>15</v>
      </c>
      <c r="B103" t="s">
        <v>1100</v>
      </c>
      <c r="C103">
        <f>VLOOKUP(B103,raw!A:K,11,0)</f>
        <v>71</v>
      </c>
      <c r="D103">
        <f>VLOOKUP(B103,raw!A:K,3,0)+VLOOKUP(B103,raw!A:K,7,0)</f>
        <v>71</v>
      </c>
      <c r="E103">
        <f>VLOOKUP(B103,raw!A:K,4,0)</f>
        <v>0</v>
      </c>
      <c r="F103">
        <f>VLOOKUP(B103,raw!A:K,5,0)</f>
        <v>0</v>
      </c>
      <c r="G103">
        <f>VLOOKUP(B103,raw!A:K,2,0)+VLOOKUP(B103,raw!A:K,10,0)</f>
        <v>0</v>
      </c>
      <c r="H103">
        <f>VLOOKUP(B103,raw!A:K,6,0)</f>
        <v>0</v>
      </c>
      <c r="I103">
        <f>VLOOKUP(B103,raw!A:K,9,0)</f>
        <v>0</v>
      </c>
      <c r="J103">
        <f>VLOOKUP(B103,raw!A:K,8,0)</f>
        <v>0</v>
      </c>
      <c r="K103">
        <f>_xlfn.IFNA(VLOOKUP(B103,TDK!A:C,2,0),0)</f>
        <v>18</v>
      </c>
      <c r="L103">
        <f>_xlfn.IFNA(VLOOKUP(B103,TDK!A:C,3,0),0)</f>
        <v>2</v>
      </c>
      <c r="M103">
        <f>_xlfn.IFNA(VLOOKUP(B103,TDK!F:G,2,0),0)</f>
        <v>9</v>
      </c>
      <c r="N103">
        <f t="shared" si="1"/>
        <v>29</v>
      </c>
    </row>
    <row r="104" spans="1:14" x14ac:dyDescent="0.25">
      <c r="A104" t="s">
        <v>15</v>
      </c>
      <c r="B104" t="s">
        <v>1101</v>
      </c>
      <c r="C104">
        <f>VLOOKUP(B104,raw!A:K,11,0)</f>
        <v>50</v>
      </c>
      <c r="D104">
        <f>VLOOKUP(B104,raw!A:K,3,0)+VLOOKUP(B104,raw!A:K,7,0)</f>
        <v>50</v>
      </c>
      <c r="E104">
        <f>VLOOKUP(B104,raw!A:K,4,0)</f>
        <v>0</v>
      </c>
      <c r="F104">
        <f>VLOOKUP(B104,raw!A:K,5,0)</f>
        <v>0</v>
      </c>
      <c r="G104">
        <f>VLOOKUP(B104,raw!A:K,2,0)+VLOOKUP(B104,raw!A:K,10,0)</f>
        <v>0</v>
      </c>
      <c r="H104">
        <f>VLOOKUP(B104,raw!A:K,6,0)</f>
        <v>0</v>
      </c>
      <c r="I104">
        <f>VLOOKUP(B104,raw!A:K,9,0)</f>
        <v>0</v>
      </c>
      <c r="J104">
        <f>VLOOKUP(B104,raw!A:K,8,0)</f>
        <v>0</v>
      </c>
      <c r="K104">
        <f>_xlfn.IFNA(VLOOKUP(B104,TDK!A:C,2,0),0)</f>
        <v>13</v>
      </c>
      <c r="L104">
        <f>_xlfn.IFNA(VLOOKUP(B104,TDK!A:C,3,0),0)</f>
        <v>7</v>
      </c>
      <c r="M104">
        <f>_xlfn.IFNA(VLOOKUP(B104,TDK!F:G,2,0),0)</f>
        <v>3</v>
      </c>
      <c r="N104">
        <f t="shared" si="1"/>
        <v>23</v>
      </c>
    </row>
    <row r="105" spans="1:14" x14ac:dyDescent="0.25">
      <c r="A105" t="s">
        <v>15</v>
      </c>
      <c r="B105" t="s">
        <v>1102</v>
      </c>
      <c r="C105">
        <f>VLOOKUP(B105,raw!A:K,11,0)</f>
        <v>77</v>
      </c>
      <c r="D105">
        <f>VLOOKUP(B105,raw!A:K,3,0)+VLOOKUP(B105,raw!A:K,7,0)</f>
        <v>77</v>
      </c>
      <c r="E105">
        <f>VLOOKUP(B105,raw!A:K,4,0)</f>
        <v>0</v>
      </c>
      <c r="F105">
        <f>VLOOKUP(B105,raw!A:K,5,0)</f>
        <v>0</v>
      </c>
      <c r="G105">
        <f>VLOOKUP(B105,raw!A:K,2,0)+VLOOKUP(B105,raw!A:K,10,0)</f>
        <v>0</v>
      </c>
      <c r="H105">
        <f>VLOOKUP(B105,raw!A:K,6,0)</f>
        <v>0</v>
      </c>
      <c r="I105">
        <f>VLOOKUP(B105,raw!A:K,9,0)</f>
        <v>0</v>
      </c>
      <c r="J105">
        <f>VLOOKUP(B105,raw!A:K,8,0)</f>
        <v>0</v>
      </c>
      <c r="K105">
        <f>_xlfn.IFNA(VLOOKUP(B105,TDK!A:C,2,0),0)</f>
        <v>21</v>
      </c>
      <c r="L105">
        <f>_xlfn.IFNA(VLOOKUP(B105,TDK!A:C,3,0),0)</f>
        <v>3</v>
      </c>
      <c r="M105">
        <f>_xlfn.IFNA(VLOOKUP(B105,TDK!F:G,2,0),0)</f>
        <v>18</v>
      </c>
      <c r="N105">
        <f t="shared" si="1"/>
        <v>42</v>
      </c>
    </row>
    <row r="106" spans="1:14" x14ac:dyDescent="0.25">
      <c r="A106" t="s">
        <v>15</v>
      </c>
      <c r="B106" t="s">
        <v>1103</v>
      </c>
      <c r="C106">
        <f>VLOOKUP(B106,raw!A:K,11,0)</f>
        <v>40</v>
      </c>
      <c r="D106">
        <f>VLOOKUP(B106,raw!A:K,3,0)+VLOOKUP(B106,raw!A:K,7,0)</f>
        <v>40</v>
      </c>
      <c r="E106">
        <f>VLOOKUP(B106,raw!A:K,4,0)</f>
        <v>0</v>
      </c>
      <c r="F106">
        <f>VLOOKUP(B106,raw!A:K,5,0)</f>
        <v>0</v>
      </c>
      <c r="G106">
        <f>VLOOKUP(B106,raw!A:K,2,0)+VLOOKUP(B106,raw!A:K,10,0)</f>
        <v>0</v>
      </c>
      <c r="H106">
        <f>VLOOKUP(B106,raw!A:K,6,0)</f>
        <v>0</v>
      </c>
      <c r="I106">
        <f>VLOOKUP(B106,raw!A:K,9,0)</f>
        <v>0</v>
      </c>
      <c r="J106">
        <f>VLOOKUP(B106,raw!A:K,8,0)</f>
        <v>0</v>
      </c>
      <c r="K106">
        <f>_xlfn.IFNA(VLOOKUP(B106,TDK!A:C,2,0),0)</f>
        <v>7</v>
      </c>
      <c r="L106">
        <f>_xlfn.IFNA(VLOOKUP(B106,TDK!A:C,3,0),0)</f>
        <v>1</v>
      </c>
      <c r="M106">
        <f>_xlfn.IFNA(VLOOKUP(B106,TDK!F:G,2,0),0)</f>
        <v>7</v>
      </c>
      <c r="N106">
        <f t="shared" si="1"/>
        <v>15</v>
      </c>
    </row>
    <row r="107" spans="1:14" x14ac:dyDescent="0.25">
      <c r="A107" t="s">
        <v>15</v>
      </c>
      <c r="B107" t="s">
        <v>1104</v>
      </c>
      <c r="C107">
        <f>VLOOKUP(B107,raw!A:K,11,0)</f>
        <v>47</v>
      </c>
      <c r="D107">
        <f>VLOOKUP(B107,raw!A:K,3,0)+VLOOKUP(B107,raw!A:K,7,0)</f>
        <v>47</v>
      </c>
      <c r="E107">
        <f>VLOOKUP(B107,raw!A:K,4,0)</f>
        <v>0</v>
      </c>
      <c r="F107">
        <f>VLOOKUP(B107,raw!A:K,5,0)</f>
        <v>0</v>
      </c>
      <c r="G107">
        <f>VLOOKUP(B107,raw!A:K,2,0)+VLOOKUP(B107,raw!A:K,10,0)</f>
        <v>0</v>
      </c>
      <c r="H107">
        <f>VLOOKUP(B107,raw!A:K,6,0)</f>
        <v>0</v>
      </c>
      <c r="I107">
        <f>VLOOKUP(B107,raw!A:K,9,0)</f>
        <v>0</v>
      </c>
      <c r="J107">
        <f>VLOOKUP(B107,raw!A:K,8,0)</f>
        <v>0</v>
      </c>
      <c r="K107">
        <f>_xlfn.IFNA(VLOOKUP(B107,TDK!A:C,2,0),0)</f>
        <v>11</v>
      </c>
      <c r="L107">
        <f>_xlfn.IFNA(VLOOKUP(B107,TDK!A:C,3,0),0)</f>
        <v>1</v>
      </c>
      <c r="M107">
        <f>_xlfn.IFNA(VLOOKUP(B107,TDK!F:G,2,0),0)</f>
        <v>3</v>
      </c>
      <c r="N107">
        <f t="shared" si="1"/>
        <v>15</v>
      </c>
    </row>
    <row r="108" spans="1:14" x14ac:dyDescent="0.25">
      <c r="A108" t="s">
        <v>15</v>
      </c>
      <c r="B108" t="s">
        <v>1105</v>
      </c>
      <c r="C108">
        <f>VLOOKUP(B108,raw!A:K,11,0)</f>
        <v>90</v>
      </c>
      <c r="D108">
        <f>VLOOKUP(B108,raw!A:K,3,0)+VLOOKUP(B108,raw!A:K,7,0)</f>
        <v>90</v>
      </c>
      <c r="E108">
        <f>VLOOKUP(B108,raw!A:K,4,0)</f>
        <v>0</v>
      </c>
      <c r="F108">
        <f>VLOOKUP(B108,raw!A:K,5,0)</f>
        <v>0</v>
      </c>
      <c r="G108">
        <f>VLOOKUP(B108,raw!A:K,2,0)+VLOOKUP(B108,raw!A:K,10,0)</f>
        <v>0</v>
      </c>
      <c r="H108">
        <f>VLOOKUP(B108,raw!A:K,6,0)</f>
        <v>0</v>
      </c>
      <c r="I108">
        <f>VLOOKUP(B108,raw!A:K,9,0)</f>
        <v>0</v>
      </c>
      <c r="J108">
        <f>VLOOKUP(B108,raw!A:K,8,0)</f>
        <v>0</v>
      </c>
      <c r="K108">
        <f>_xlfn.IFNA(VLOOKUP(B108,TDK!A:C,2,0),0)</f>
        <v>14</v>
      </c>
      <c r="L108">
        <f>_xlfn.IFNA(VLOOKUP(B108,TDK!A:C,3,0),0)</f>
        <v>3</v>
      </c>
      <c r="M108">
        <f>_xlfn.IFNA(VLOOKUP(B108,TDK!F:G,2,0),0)</f>
        <v>29</v>
      </c>
      <c r="N108">
        <f t="shared" si="1"/>
        <v>46</v>
      </c>
    </row>
    <row r="109" spans="1:14" x14ac:dyDescent="0.25">
      <c r="A109" t="s">
        <v>15</v>
      </c>
      <c r="B109" t="s">
        <v>1106</v>
      </c>
      <c r="C109">
        <f>VLOOKUP(B109,raw!A:K,11,0)</f>
        <v>81</v>
      </c>
      <c r="D109">
        <f>VLOOKUP(B109,raw!A:K,3,0)+VLOOKUP(B109,raw!A:K,7,0)</f>
        <v>81</v>
      </c>
      <c r="E109">
        <f>VLOOKUP(B109,raw!A:K,4,0)</f>
        <v>0</v>
      </c>
      <c r="F109">
        <f>VLOOKUP(B109,raw!A:K,5,0)</f>
        <v>0</v>
      </c>
      <c r="G109">
        <f>VLOOKUP(B109,raw!A:K,2,0)+VLOOKUP(B109,raw!A:K,10,0)</f>
        <v>0</v>
      </c>
      <c r="H109">
        <f>VLOOKUP(B109,raw!A:K,6,0)</f>
        <v>0</v>
      </c>
      <c r="I109">
        <f>VLOOKUP(B109,raw!A:K,9,0)</f>
        <v>0</v>
      </c>
      <c r="J109">
        <f>VLOOKUP(B109,raw!A:K,8,0)</f>
        <v>0</v>
      </c>
      <c r="K109">
        <f>_xlfn.IFNA(VLOOKUP(B109,TDK!A:C,2,0),0)</f>
        <v>33</v>
      </c>
      <c r="L109">
        <f>_xlfn.IFNA(VLOOKUP(B109,TDK!A:C,3,0),0)</f>
        <v>0</v>
      </c>
      <c r="M109">
        <f>_xlfn.IFNA(VLOOKUP(B109,TDK!F:G,2,0),0)</f>
        <v>11</v>
      </c>
      <c r="N109">
        <f t="shared" si="1"/>
        <v>44</v>
      </c>
    </row>
    <row r="110" spans="1:14" x14ac:dyDescent="0.25">
      <c r="A110" t="s">
        <v>15</v>
      </c>
      <c r="B110" t="s">
        <v>1107</v>
      </c>
      <c r="C110">
        <f>VLOOKUP(B110,raw!A:K,11,0)</f>
        <v>55</v>
      </c>
      <c r="D110">
        <f>VLOOKUP(B110,raw!A:K,3,0)+VLOOKUP(B110,raw!A:K,7,0)</f>
        <v>55</v>
      </c>
      <c r="E110">
        <f>VLOOKUP(B110,raw!A:K,4,0)</f>
        <v>0</v>
      </c>
      <c r="F110">
        <f>VLOOKUP(B110,raw!A:K,5,0)</f>
        <v>0</v>
      </c>
      <c r="G110">
        <f>VLOOKUP(B110,raw!A:K,2,0)+VLOOKUP(B110,raw!A:K,10,0)</f>
        <v>0</v>
      </c>
      <c r="H110">
        <f>VLOOKUP(B110,raw!A:K,6,0)</f>
        <v>0</v>
      </c>
      <c r="I110">
        <f>VLOOKUP(B110,raw!A:K,9,0)</f>
        <v>0</v>
      </c>
      <c r="J110">
        <f>VLOOKUP(B110,raw!A:K,8,0)</f>
        <v>0</v>
      </c>
      <c r="K110">
        <f>_xlfn.IFNA(VLOOKUP(B110,TDK!A:C,2,0),0)</f>
        <v>16</v>
      </c>
      <c r="L110">
        <f>_xlfn.IFNA(VLOOKUP(B110,TDK!A:C,3,0),0)</f>
        <v>5</v>
      </c>
      <c r="M110">
        <f>_xlfn.IFNA(VLOOKUP(B110,TDK!F:G,2,0),0)</f>
        <v>11</v>
      </c>
      <c r="N110">
        <f t="shared" si="1"/>
        <v>32</v>
      </c>
    </row>
    <row r="111" spans="1:14" x14ac:dyDescent="0.25">
      <c r="A111" t="s">
        <v>16</v>
      </c>
      <c r="B111" t="s">
        <v>1108</v>
      </c>
      <c r="C111">
        <f>VLOOKUP(B111,raw!A:K,11,0)</f>
        <v>30</v>
      </c>
      <c r="D111">
        <f>VLOOKUP(B111,raw!A:K,3,0)+VLOOKUP(B111,raw!A:K,7,0)</f>
        <v>30</v>
      </c>
      <c r="E111">
        <f>VLOOKUP(B111,raw!A:K,4,0)</f>
        <v>0</v>
      </c>
      <c r="F111">
        <f>VLOOKUP(B111,raw!A:K,5,0)</f>
        <v>0</v>
      </c>
      <c r="G111">
        <f>VLOOKUP(B111,raw!A:K,2,0)+VLOOKUP(B111,raw!A:K,10,0)</f>
        <v>0</v>
      </c>
      <c r="H111">
        <f>VLOOKUP(B111,raw!A:K,6,0)</f>
        <v>0</v>
      </c>
      <c r="I111">
        <f>VLOOKUP(B111,raw!A:K,9,0)</f>
        <v>0</v>
      </c>
      <c r="J111">
        <f>VLOOKUP(B111,raw!A:K,8,0)</f>
        <v>0</v>
      </c>
      <c r="K111">
        <f>_xlfn.IFNA(VLOOKUP(B111,TDK!A:C,2,0),0)</f>
        <v>6</v>
      </c>
      <c r="L111">
        <f>_xlfn.IFNA(VLOOKUP(B111,TDK!A:C,3,0),0)</f>
        <v>1</v>
      </c>
      <c r="M111">
        <f>_xlfn.IFNA(VLOOKUP(B111,TDK!F:G,2,0),0)</f>
        <v>2</v>
      </c>
      <c r="N111">
        <f t="shared" si="1"/>
        <v>9</v>
      </c>
    </row>
    <row r="112" spans="1:14" x14ac:dyDescent="0.25">
      <c r="A112" t="s">
        <v>16</v>
      </c>
      <c r="B112" t="s">
        <v>1109</v>
      </c>
      <c r="C112">
        <f>VLOOKUP(B112,raw!A:K,11,0)</f>
        <v>65</v>
      </c>
      <c r="D112">
        <f>VLOOKUP(B112,raw!A:K,3,0)+VLOOKUP(B112,raw!A:K,7,0)</f>
        <v>65</v>
      </c>
      <c r="E112">
        <f>VLOOKUP(B112,raw!A:K,4,0)</f>
        <v>0</v>
      </c>
      <c r="F112">
        <f>VLOOKUP(B112,raw!A:K,5,0)</f>
        <v>0</v>
      </c>
      <c r="G112">
        <f>VLOOKUP(B112,raw!A:K,2,0)+VLOOKUP(B112,raw!A:K,10,0)</f>
        <v>0</v>
      </c>
      <c r="H112">
        <f>VLOOKUP(B112,raw!A:K,6,0)</f>
        <v>0</v>
      </c>
      <c r="I112">
        <f>VLOOKUP(B112,raw!A:K,9,0)</f>
        <v>0</v>
      </c>
      <c r="J112">
        <f>VLOOKUP(B112,raw!A:K,8,0)</f>
        <v>0</v>
      </c>
      <c r="K112">
        <f>_xlfn.IFNA(VLOOKUP(B112,TDK!A:C,2,0),0)</f>
        <v>16</v>
      </c>
      <c r="L112">
        <f>_xlfn.IFNA(VLOOKUP(B112,TDK!A:C,3,0),0)</f>
        <v>3</v>
      </c>
      <c r="M112">
        <f>_xlfn.IFNA(VLOOKUP(B112,TDK!F:G,2,0),0)</f>
        <v>29</v>
      </c>
      <c r="N112">
        <f t="shared" si="1"/>
        <v>48</v>
      </c>
    </row>
    <row r="113" spans="1:14" x14ac:dyDescent="0.25">
      <c r="A113" t="s">
        <v>16</v>
      </c>
      <c r="B113" t="s">
        <v>1110</v>
      </c>
      <c r="C113">
        <f>VLOOKUP(B113,raw!A:K,11,0)</f>
        <v>78</v>
      </c>
      <c r="D113">
        <f>VLOOKUP(B113,raw!A:K,3,0)+VLOOKUP(B113,raw!A:K,7,0)</f>
        <v>78</v>
      </c>
      <c r="E113">
        <f>VLOOKUP(B113,raw!A:K,4,0)</f>
        <v>0</v>
      </c>
      <c r="F113">
        <f>VLOOKUP(B113,raw!A:K,5,0)</f>
        <v>0</v>
      </c>
      <c r="G113">
        <f>VLOOKUP(B113,raw!A:K,2,0)+VLOOKUP(B113,raw!A:K,10,0)</f>
        <v>0</v>
      </c>
      <c r="H113">
        <f>VLOOKUP(B113,raw!A:K,6,0)</f>
        <v>0</v>
      </c>
      <c r="I113">
        <f>VLOOKUP(B113,raw!A:K,9,0)</f>
        <v>0</v>
      </c>
      <c r="J113">
        <f>VLOOKUP(B113,raw!A:K,8,0)</f>
        <v>0</v>
      </c>
      <c r="K113">
        <f>_xlfn.IFNA(VLOOKUP(B113,TDK!A:C,2,0),0)</f>
        <v>23</v>
      </c>
      <c r="L113">
        <f>_xlfn.IFNA(VLOOKUP(B113,TDK!A:C,3,0),0)</f>
        <v>0</v>
      </c>
      <c r="M113">
        <f>_xlfn.IFNA(VLOOKUP(B113,TDK!F:G,2,0),0)</f>
        <v>26</v>
      </c>
      <c r="N113">
        <f t="shared" si="1"/>
        <v>49</v>
      </c>
    </row>
    <row r="114" spans="1:14" x14ac:dyDescent="0.25">
      <c r="A114" t="s">
        <v>16</v>
      </c>
      <c r="B114" t="s">
        <v>1111</v>
      </c>
      <c r="C114">
        <f>VLOOKUP(B114,raw!A:K,11,0)</f>
        <v>30</v>
      </c>
      <c r="D114">
        <f>VLOOKUP(B114,raw!A:K,3,0)+VLOOKUP(B114,raw!A:K,7,0)</f>
        <v>30</v>
      </c>
      <c r="E114">
        <f>VLOOKUP(B114,raw!A:K,4,0)</f>
        <v>0</v>
      </c>
      <c r="F114">
        <f>VLOOKUP(B114,raw!A:K,5,0)</f>
        <v>0</v>
      </c>
      <c r="G114">
        <f>VLOOKUP(B114,raw!A:K,2,0)+VLOOKUP(B114,raw!A:K,10,0)</f>
        <v>0</v>
      </c>
      <c r="H114">
        <f>VLOOKUP(B114,raw!A:K,6,0)</f>
        <v>0</v>
      </c>
      <c r="I114">
        <f>VLOOKUP(B114,raw!A:K,9,0)</f>
        <v>0</v>
      </c>
      <c r="J114">
        <f>VLOOKUP(B114,raw!A:K,8,0)</f>
        <v>0</v>
      </c>
      <c r="K114">
        <f>_xlfn.IFNA(VLOOKUP(B114,TDK!A:C,2,0),0)</f>
        <v>11</v>
      </c>
      <c r="L114">
        <f>_xlfn.IFNA(VLOOKUP(B114,TDK!A:C,3,0),0)</f>
        <v>0</v>
      </c>
      <c r="M114">
        <f>_xlfn.IFNA(VLOOKUP(B114,TDK!F:G,2,0),0)</f>
        <v>8</v>
      </c>
      <c r="N114">
        <f t="shared" si="1"/>
        <v>19</v>
      </c>
    </row>
    <row r="115" spans="1:14" x14ac:dyDescent="0.25">
      <c r="A115" t="s">
        <v>16</v>
      </c>
      <c r="B115" t="s">
        <v>1112</v>
      </c>
      <c r="C115">
        <f>VLOOKUP(B115,raw!A:K,11,0)</f>
        <v>53</v>
      </c>
      <c r="D115">
        <f>VLOOKUP(B115,raw!A:K,3,0)+VLOOKUP(B115,raw!A:K,7,0)</f>
        <v>53</v>
      </c>
      <c r="E115">
        <f>VLOOKUP(B115,raw!A:K,4,0)</f>
        <v>0</v>
      </c>
      <c r="F115">
        <f>VLOOKUP(B115,raw!A:K,5,0)</f>
        <v>0</v>
      </c>
      <c r="G115">
        <f>VLOOKUP(B115,raw!A:K,2,0)+VLOOKUP(B115,raw!A:K,10,0)</f>
        <v>0</v>
      </c>
      <c r="H115">
        <f>VLOOKUP(B115,raw!A:K,6,0)</f>
        <v>0</v>
      </c>
      <c r="I115">
        <f>VLOOKUP(B115,raw!A:K,9,0)</f>
        <v>0</v>
      </c>
      <c r="J115">
        <f>VLOOKUP(B115,raw!A:K,8,0)</f>
        <v>0</v>
      </c>
      <c r="K115">
        <f>_xlfn.IFNA(VLOOKUP(B115,TDK!A:C,2,0),0)</f>
        <v>18</v>
      </c>
      <c r="L115">
        <f>_xlfn.IFNA(VLOOKUP(B115,TDK!A:C,3,0),0)</f>
        <v>0</v>
      </c>
      <c r="M115">
        <f>_xlfn.IFNA(VLOOKUP(B115,TDK!F:G,2,0),0)</f>
        <v>2</v>
      </c>
      <c r="N115">
        <f t="shared" si="1"/>
        <v>20</v>
      </c>
    </row>
    <row r="116" spans="1:14" x14ac:dyDescent="0.25">
      <c r="A116" t="s">
        <v>16</v>
      </c>
      <c r="B116" t="s">
        <v>1113</v>
      </c>
      <c r="C116">
        <f>VLOOKUP(B116,raw!A:K,11,0)</f>
        <v>72</v>
      </c>
      <c r="D116">
        <f>VLOOKUP(B116,raw!A:K,3,0)+VLOOKUP(B116,raw!A:K,7,0)</f>
        <v>72</v>
      </c>
      <c r="E116">
        <f>VLOOKUP(B116,raw!A:K,4,0)</f>
        <v>0</v>
      </c>
      <c r="F116">
        <f>VLOOKUP(B116,raw!A:K,5,0)</f>
        <v>0</v>
      </c>
      <c r="G116">
        <f>VLOOKUP(B116,raw!A:K,2,0)+VLOOKUP(B116,raw!A:K,10,0)</f>
        <v>0</v>
      </c>
      <c r="H116">
        <f>VLOOKUP(B116,raw!A:K,6,0)</f>
        <v>0</v>
      </c>
      <c r="I116">
        <f>VLOOKUP(B116,raw!A:K,9,0)</f>
        <v>0</v>
      </c>
      <c r="J116">
        <f>VLOOKUP(B116,raw!A:K,8,0)</f>
        <v>0</v>
      </c>
      <c r="K116">
        <f>_xlfn.IFNA(VLOOKUP(B116,TDK!A:C,2,0),0)</f>
        <v>26</v>
      </c>
      <c r="L116">
        <f>_xlfn.IFNA(VLOOKUP(B116,TDK!A:C,3,0),0)</f>
        <v>0</v>
      </c>
      <c r="M116">
        <f>_xlfn.IFNA(VLOOKUP(B116,TDK!F:G,2,0),0)</f>
        <v>9</v>
      </c>
      <c r="N116">
        <f t="shared" si="1"/>
        <v>35</v>
      </c>
    </row>
    <row r="117" spans="1:14" x14ac:dyDescent="0.25">
      <c r="A117" t="s">
        <v>16</v>
      </c>
      <c r="B117" t="s">
        <v>1114</v>
      </c>
      <c r="C117">
        <f>VLOOKUP(B117,raw!A:K,11,0)</f>
        <v>29</v>
      </c>
      <c r="D117">
        <f>VLOOKUP(B117,raw!A:K,3,0)+VLOOKUP(B117,raw!A:K,7,0)</f>
        <v>0</v>
      </c>
      <c r="E117">
        <f>VLOOKUP(B117,raw!A:K,4,0)</f>
        <v>0</v>
      </c>
      <c r="F117">
        <f>VLOOKUP(B117,raw!A:K,5,0)</f>
        <v>0</v>
      </c>
      <c r="G117">
        <f>VLOOKUP(B117,raw!A:K,2,0)+VLOOKUP(B117,raw!A:K,10,0)</f>
        <v>0</v>
      </c>
      <c r="H117">
        <f>VLOOKUP(B117,raw!A:K,6,0)</f>
        <v>0</v>
      </c>
      <c r="I117">
        <f>VLOOKUP(B117,raw!A:K,9,0)</f>
        <v>29</v>
      </c>
      <c r="J117">
        <f>VLOOKUP(B117,raw!A:K,8,0)</f>
        <v>0</v>
      </c>
      <c r="K117">
        <f>_xlfn.IFNA(VLOOKUP(B117,TDK!A:C,2,0),0)</f>
        <v>8</v>
      </c>
      <c r="L117">
        <f>_xlfn.IFNA(VLOOKUP(B117,TDK!A:C,3,0),0)</f>
        <v>3</v>
      </c>
      <c r="M117">
        <f>_xlfn.IFNA(VLOOKUP(B117,TDK!F:G,2,0),0)</f>
        <v>1</v>
      </c>
      <c r="N117">
        <f t="shared" si="1"/>
        <v>12</v>
      </c>
    </row>
    <row r="118" spans="1:14" x14ac:dyDescent="0.25">
      <c r="A118" t="s">
        <v>16</v>
      </c>
      <c r="B118" t="s">
        <v>1115</v>
      </c>
      <c r="C118">
        <f>VLOOKUP(B118,raw!A:K,11,0)</f>
        <v>64</v>
      </c>
      <c r="D118">
        <f>VLOOKUP(B118,raw!A:K,3,0)+VLOOKUP(B118,raw!A:K,7,0)</f>
        <v>18</v>
      </c>
      <c r="E118">
        <f>VLOOKUP(B118,raw!A:K,4,0)</f>
        <v>0</v>
      </c>
      <c r="F118">
        <f>VLOOKUP(B118,raw!A:K,5,0)</f>
        <v>0</v>
      </c>
      <c r="G118">
        <f>VLOOKUP(B118,raw!A:K,2,0)+VLOOKUP(B118,raw!A:K,10,0)</f>
        <v>0</v>
      </c>
      <c r="H118">
        <f>VLOOKUP(B118,raw!A:K,6,0)</f>
        <v>0</v>
      </c>
      <c r="I118">
        <f>VLOOKUP(B118,raw!A:K,9,0)</f>
        <v>46</v>
      </c>
      <c r="J118">
        <f>VLOOKUP(B118,raw!A:K,8,0)</f>
        <v>0</v>
      </c>
      <c r="K118">
        <f>_xlfn.IFNA(VLOOKUP(B118,TDK!A:C,2,0),0)</f>
        <v>18</v>
      </c>
      <c r="L118">
        <f>_xlfn.IFNA(VLOOKUP(B118,TDK!A:C,3,0),0)</f>
        <v>0</v>
      </c>
      <c r="M118">
        <f>_xlfn.IFNA(VLOOKUP(B118,TDK!F:G,2,0),0)</f>
        <v>15</v>
      </c>
      <c r="N118">
        <f t="shared" si="1"/>
        <v>33</v>
      </c>
    </row>
    <row r="119" spans="1:14" x14ac:dyDescent="0.25">
      <c r="A119" t="s">
        <v>16</v>
      </c>
      <c r="B119" t="s">
        <v>1116</v>
      </c>
      <c r="C119">
        <f>VLOOKUP(B119,raw!A:K,11,0)</f>
        <v>89</v>
      </c>
      <c r="D119">
        <f>VLOOKUP(B119,raw!A:K,3,0)+VLOOKUP(B119,raw!A:K,7,0)</f>
        <v>54</v>
      </c>
      <c r="E119">
        <f>VLOOKUP(B119,raw!A:K,4,0)</f>
        <v>0</v>
      </c>
      <c r="F119">
        <f>VLOOKUP(B119,raw!A:K,5,0)</f>
        <v>0</v>
      </c>
      <c r="G119">
        <f>VLOOKUP(B119,raw!A:K,2,0)+VLOOKUP(B119,raw!A:K,10,0)</f>
        <v>0</v>
      </c>
      <c r="H119">
        <f>VLOOKUP(B119,raw!A:K,6,0)</f>
        <v>0</v>
      </c>
      <c r="I119">
        <f>VLOOKUP(B119,raw!A:K,9,0)</f>
        <v>35</v>
      </c>
      <c r="J119">
        <f>VLOOKUP(B119,raw!A:K,8,0)</f>
        <v>0</v>
      </c>
      <c r="K119">
        <f>_xlfn.IFNA(VLOOKUP(B119,TDK!A:C,2,0),0)</f>
        <v>19</v>
      </c>
      <c r="L119">
        <f>_xlfn.IFNA(VLOOKUP(B119,TDK!A:C,3,0),0)</f>
        <v>0</v>
      </c>
      <c r="M119">
        <f>_xlfn.IFNA(VLOOKUP(B119,TDK!F:G,2,0),0)</f>
        <v>36</v>
      </c>
      <c r="N119">
        <f t="shared" si="1"/>
        <v>55</v>
      </c>
    </row>
    <row r="120" spans="1:14" x14ac:dyDescent="0.25">
      <c r="A120" t="s">
        <v>16</v>
      </c>
      <c r="B120" t="s">
        <v>1117</v>
      </c>
      <c r="C120">
        <f>VLOOKUP(B120,raw!A:K,11,0)</f>
        <v>77</v>
      </c>
      <c r="D120">
        <f>VLOOKUP(B120,raw!A:K,3,0)+VLOOKUP(B120,raw!A:K,7,0)</f>
        <v>0</v>
      </c>
      <c r="E120">
        <f>VLOOKUP(B120,raw!A:K,4,0)</f>
        <v>0</v>
      </c>
      <c r="F120">
        <f>VLOOKUP(B120,raw!A:K,5,0)</f>
        <v>0</v>
      </c>
      <c r="G120">
        <f>VLOOKUP(B120,raw!A:K,2,0)+VLOOKUP(B120,raw!A:K,10,0)</f>
        <v>0</v>
      </c>
      <c r="H120">
        <f>VLOOKUP(B120,raw!A:K,6,0)</f>
        <v>0</v>
      </c>
      <c r="I120">
        <f>VLOOKUP(B120,raw!A:K,9,0)</f>
        <v>77</v>
      </c>
      <c r="J120">
        <f>VLOOKUP(B120,raw!A:K,8,0)</f>
        <v>0</v>
      </c>
      <c r="K120">
        <f>_xlfn.IFNA(VLOOKUP(B120,TDK!A:C,2,0),0)</f>
        <v>18</v>
      </c>
      <c r="L120">
        <f>_xlfn.IFNA(VLOOKUP(B120,TDK!A:C,3,0),0)</f>
        <v>1</v>
      </c>
      <c r="M120">
        <f>_xlfn.IFNA(VLOOKUP(B120,TDK!F:G,2,0),0)</f>
        <v>8</v>
      </c>
      <c r="N120">
        <f t="shared" si="1"/>
        <v>27</v>
      </c>
    </row>
    <row r="121" spans="1:14" x14ac:dyDescent="0.25">
      <c r="A121" t="s">
        <v>16</v>
      </c>
      <c r="B121" t="s">
        <v>1118</v>
      </c>
      <c r="C121">
        <f>VLOOKUP(B121,raw!A:K,11,0)</f>
        <v>115</v>
      </c>
      <c r="D121">
        <f>VLOOKUP(B121,raw!A:K,3,0)+VLOOKUP(B121,raw!A:K,7,0)</f>
        <v>9</v>
      </c>
      <c r="E121">
        <f>VLOOKUP(B121,raw!A:K,4,0)</f>
        <v>0</v>
      </c>
      <c r="F121">
        <f>VLOOKUP(B121,raw!A:K,5,0)</f>
        <v>0</v>
      </c>
      <c r="G121">
        <f>VLOOKUP(B121,raw!A:K,2,0)+VLOOKUP(B121,raw!A:K,10,0)</f>
        <v>0</v>
      </c>
      <c r="H121">
        <f>VLOOKUP(B121,raw!A:K,6,0)</f>
        <v>0</v>
      </c>
      <c r="I121">
        <f>VLOOKUP(B121,raw!A:K,9,0)</f>
        <v>106</v>
      </c>
      <c r="J121">
        <f>VLOOKUP(B121,raw!A:K,8,0)</f>
        <v>0</v>
      </c>
      <c r="K121">
        <f>_xlfn.IFNA(VLOOKUP(B121,TDK!A:C,2,0),0)</f>
        <v>35</v>
      </c>
      <c r="L121">
        <f>_xlfn.IFNA(VLOOKUP(B121,TDK!A:C,3,0),0)</f>
        <v>0</v>
      </c>
      <c r="M121">
        <f>_xlfn.IFNA(VLOOKUP(B121,TDK!F:G,2,0),0)</f>
        <v>12</v>
      </c>
      <c r="N121">
        <f t="shared" si="1"/>
        <v>47</v>
      </c>
    </row>
    <row r="122" spans="1:14" x14ac:dyDescent="0.25">
      <c r="A122" t="s">
        <v>16</v>
      </c>
      <c r="B122" t="s">
        <v>1119</v>
      </c>
      <c r="C122">
        <f>VLOOKUP(B122,raw!A:K,11,0)</f>
        <v>59</v>
      </c>
      <c r="D122">
        <f>VLOOKUP(B122,raw!A:K,3,0)+VLOOKUP(B122,raw!A:K,7,0)</f>
        <v>27</v>
      </c>
      <c r="E122">
        <f>VLOOKUP(B122,raw!A:K,4,0)</f>
        <v>0</v>
      </c>
      <c r="F122">
        <f>VLOOKUP(B122,raw!A:K,5,0)</f>
        <v>0</v>
      </c>
      <c r="G122">
        <f>VLOOKUP(B122,raw!A:K,2,0)+VLOOKUP(B122,raw!A:K,10,0)</f>
        <v>0</v>
      </c>
      <c r="H122">
        <f>VLOOKUP(B122,raw!A:K,6,0)</f>
        <v>0</v>
      </c>
      <c r="I122">
        <f>VLOOKUP(B122,raw!A:K,9,0)</f>
        <v>32</v>
      </c>
      <c r="J122">
        <f>VLOOKUP(B122,raw!A:K,8,0)</f>
        <v>0</v>
      </c>
      <c r="K122">
        <f>_xlfn.IFNA(VLOOKUP(B122,TDK!A:C,2,0),0)</f>
        <v>11</v>
      </c>
      <c r="L122">
        <f>_xlfn.IFNA(VLOOKUP(B122,TDK!A:C,3,0),0)</f>
        <v>1</v>
      </c>
      <c r="M122">
        <f>_xlfn.IFNA(VLOOKUP(B122,TDK!F:G,2,0),0)</f>
        <v>1</v>
      </c>
      <c r="N122">
        <f t="shared" si="1"/>
        <v>13</v>
      </c>
    </row>
    <row r="123" spans="1:14" x14ac:dyDescent="0.25">
      <c r="A123" t="s">
        <v>17</v>
      </c>
      <c r="B123" t="s">
        <v>1120</v>
      </c>
      <c r="C123">
        <f>VLOOKUP(B123,raw!A:K,11,0)</f>
        <v>92</v>
      </c>
      <c r="D123">
        <f>VLOOKUP(B123,raw!A:K,3,0)+VLOOKUP(B123,raw!A:K,7,0)</f>
        <v>92</v>
      </c>
      <c r="E123">
        <f>VLOOKUP(B123,raw!A:K,4,0)</f>
        <v>0</v>
      </c>
      <c r="F123">
        <f>VLOOKUP(B123,raw!A:K,5,0)</f>
        <v>0</v>
      </c>
      <c r="G123">
        <f>VLOOKUP(B123,raw!A:K,2,0)+VLOOKUP(B123,raw!A:K,10,0)</f>
        <v>0</v>
      </c>
      <c r="H123">
        <f>VLOOKUP(B123,raw!A:K,6,0)</f>
        <v>0</v>
      </c>
      <c r="I123">
        <f>VLOOKUP(B123,raw!A:K,9,0)</f>
        <v>0</v>
      </c>
      <c r="J123">
        <f>VLOOKUP(B123,raw!A:K,8,0)</f>
        <v>0</v>
      </c>
      <c r="K123">
        <f>_xlfn.IFNA(VLOOKUP(B123,TDK!A:C,2,0),0)</f>
        <v>32</v>
      </c>
      <c r="L123">
        <f>_xlfn.IFNA(VLOOKUP(B123,TDK!A:C,3,0),0)</f>
        <v>4</v>
      </c>
      <c r="M123">
        <f>_xlfn.IFNA(VLOOKUP(B123,TDK!F:G,2,0),0)</f>
        <v>21</v>
      </c>
      <c r="N123">
        <f t="shared" si="1"/>
        <v>57</v>
      </c>
    </row>
    <row r="124" spans="1:14" x14ac:dyDescent="0.25">
      <c r="A124" t="s">
        <v>17</v>
      </c>
      <c r="B124" t="s">
        <v>1121</v>
      </c>
      <c r="C124">
        <f>VLOOKUP(B124,raw!A:K,11,0)</f>
        <v>82</v>
      </c>
      <c r="D124">
        <f>VLOOKUP(B124,raw!A:K,3,0)+VLOOKUP(B124,raw!A:K,7,0)</f>
        <v>82</v>
      </c>
      <c r="E124">
        <f>VLOOKUP(B124,raw!A:K,4,0)</f>
        <v>0</v>
      </c>
      <c r="F124">
        <f>VLOOKUP(B124,raw!A:K,5,0)</f>
        <v>0</v>
      </c>
      <c r="G124">
        <f>VLOOKUP(B124,raw!A:K,2,0)+VLOOKUP(B124,raw!A:K,10,0)</f>
        <v>0</v>
      </c>
      <c r="H124">
        <f>VLOOKUP(B124,raw!A:K,6,0)</f>
        <v>0</v>
      </c>
      <c r="I124">
        <f>VLOOKUP(B124,raw!A:K,9,0)</f>
        <v>0</v>
      </c>
      <c r="J124">
        <f>VLOOKUP(B124,raw!A:K,8,0)</f>
        <v>0</v>
      </c>
      <c r="K124">
        <f>_xlfn.IFNA(VLOOKUP(B124,TDK!A:C,2,0),0)</f>
        <v>20</v>
      </c>
      <c r="L124">
        <f>_xlfn.IFNA(VLOOKUP(B124,TDK!A:C,3,0),0)</f>
        <v>0</v>
      </c>
      <c r="M124">
        <f>_xlfn.IFNA(VLOOKUP(B124,TDK!F:G,2,0),0)</f>
        <v>12</v>
      </c>
      <c r="N124">
        <f t="shared" si="1"/>
        <v>32</v>
      </c>
    </row>
    <row r="125" spans="1:14" x14ac:dyDescent="0.25">
      <c r="A125" t="s">
        <v>17</v>
      </c>
      <c r="B125" t="s">
        <v>1122</v>
      </c>
      <c r="C125">
        <f>VLOOKUP(B125,raw!A:K,11,0)</f>
        <v>64</v>
      </c>
      <c r="D125">
        <f>VLOOKUP(B125,raw!A:K,3,0)+VLOOKUP(B125,raw!A:K,7,0)</f>
        <v>64</v>
      </c>
      <c r="E125">
        <f>VLOOKUP(B125,raw!A:K,4,0)</f>
        <v>0</v>
      </c>
      <c r="F125">
        <f>VLOOKUP(B125,raw!A:K,5,0)</f>
        <v>0</v>
      </c>
      <c r="G125">
        <f>VLOOKUP(B125,raw!A:K,2,0)+VLOOKUP(B125,raw!A:K,10,0)</f>
        <v>0</v>
      </c>
      <c r="H125">
        <f>VLOOKUP(B125,raw!A:K,6,0)</f>
        <v>0</v>
      </c>
      <c r="I125">
        <f>VLOOKUP(B125,raw!A:K,9,0)</f>
        <v>0</v>
      </c>
      <c r="J125">
        <f>VLOOKUP(B125,raw!A:K,8,0)</f>
        <v>0</v>
      </c>
      <c r="K125">
        <f>_xlfn.IFNA(VLOOKUP(B125,TDK!A:C,2,0),0)</f>
        <v>21</v>
      </c>
      <c r="L125">
        <f>_xlfn.IFNA(VLOOKUP(B125,TDK!A:C,3,0),0)</f>
        <v>0</v>
      </c>
      <c r="M125">
        <f>_xlfn.IFNA(VLOOKUP(B125,TDK!F:G,2,0),0)</f>
        <v>7</v>
      </c>
      <c r="N125">
        <f t="shared" si="1"/>
        <v>28</v>
      </c>
    </row>
    <row r="126" spans="1:14" x14ac:dyDescent="0.25">
      <c r="A126" t="s">
        <v>17</v>
      </c>
      <c r="B126" t="s">
        <v>1123</v>
      </c>
      <c r="C126">
        <f>VLOOKUP(B126,raw!A:K,11,0)</f>
        <v>80</v>
      </c>
      <c r="D126">
        <f>VLOOKUP(B126,raw!A:K,3,0)+VLOOKUP(B126,raw!A:K,7,0)</f>
        <v>78</v>
      </c>
      <c r="E126">
        <f>VLOOKUP(B126,raw!A:K,4,0)</f>
        <v>0</v>
      </c>
      <c r="F126">
        <f>VLOOKUP(B126,raw!A:K,5,0)</f>
        <v>0</v>
      </c>
      <c r="G126">
        <f>VLOOKUP(B126,raw!A:K,2,0)+VLOOKUP(B126,raw!A:K,10,0)</f>
        <v>2</v>
      </c>
      <c r="H126">
        <f>VLOOKUP(B126,raw!A:K,6,0)</f>
        <v>0</v>
      </c>
      <c r="I126">
        <f>VLOOKUP(B126,raw!A:K,9,0)</f>
        <v>0</v>
      </c>
      <c r="J126">
        <f>VLOOKUP(B126,raw!A:K,8,0)</f>
        <v>0</v>
      </c>
      <c r="K126">
        <f>_xlfn.IFNA(VLOOKUP(B126,TDK!A:C,2,0),0)</f>
        <v>18</v>
      </c>
      <c r="L126">
        <f>_xlfn.IFNA(VLOOKUP(B126,TDK!A:C,3,0),0)</f>
        <v>0</v>
      </c>
      <c r="M126">
        <f>_xlfn.IFNA(VLOOKUP(B126,TDK!F:G,2,0),0)</f>
        <v>4</v>
      </c>
      <c r="N126">
        <f t="shared" si="1"/>
        <v>22</v>
      </c>
    </row>
    <row r="127" spans="1:14" x14ac:dyDescent="0.25">
      <c r="A127" t="s">
        <v>17</v>
      </c>
      <c r="B127" t="s">
        <v>1124</v>
      </c>
      <c r="C127">
        <f>VLOOKUP(B127,raw!A:K,11,0)</f>
        <v>45</v>
      </c>
      <c r="D127">
        <f>VLOOKUP(B127,raw!A:K,3,0)+VLOOKUP(B127,raw!A:K,7,0)</f>
        <v>45</v>
      </c>
      <c r="E127">
        <f>VLOOKUP(B127,raw!A:K,4,0)</f>
        <v>0</v>
      </c>
      <c r="F127">
        <f>VLOOKUP(B127,raw!A:K,5,0)</f>
        <v>0</v>
      </c>
      <c r="G127">
        <f>VLOOKUP(B127,raw!A:K,2,0)+VLOOKUP(B127,raw!A:K,10,0)</f>
        <v>0</v>
      </c>
      <c r="H127">
        <f>VLOOKUP(B127,raw!A:K,6,0)</f>
        <v>0</v>
      </c>
      <c r="I127">
        <f>VLOOKUP(B127,raw!A:K,9,0)</f>
        <v>0</v>
      </c>
      <c r="J127">
        <f>VLOOKUP(B127,raw!A:K,8,0)</f>
        <v>0</v>
      </c>
      <c r="K127">
        <f>_xlfn.IFNA(VLOOKUP(B127,TDK!A:C,2,0),0)</f>
        <v>9</v>
      </c>
      <c r="L127">
        <f>_xlfn.IFNA(VLOOKUP(B127,TDK!A:C,3,0),0)</f>
        <v>1</v>
      </c>
      <c r="M127">
        <f>_xlfn.IFNA(VLOOKUP(B127,TDK!F:G,2,0),0)</f>
        <v>6</v>
      </c>
      <c r="N127">
        <f t="shared" si="1"/>
        <v>16</v>
      </c>
    </row>
    <row r="128" spans="1:14" x14ac:dyDescent="0.25">
      <c r="A128" t="s">
        <v>18</v>
      </c>
      <c r="B128" t="s">
        <v>1125</v>
      </c>
      <c r="C128">
        <f>VLOOKUP(B128,raw!A:K,11,0)</f>
        <v>55</v>
      </c>
      <c r="D128">
        <f>VLOOKUP(B128,raw!A:K,3,0)+VLOOKUP(B128,raw!A:K,7,0)</f>
        <v>55</v>
      </c>
      <c r="E128">
        <f>VLOOKUP(B128,raw!A:K,4,0)</f>
        <v>0</v>
      </c>
      <c r="F128">
        <f>VLOOKUP(B128,raw!A:K,5,0)</f>
        <v>0</v>
      </c>
      <c r="G128">
        <f>VLOOKUP(B128,raw!A:K,2,0)+VLOOKUP(B128,raw!A:K,10,0)</f>
        <v>0</v>
      </c>
      <c r="H128">
        <f>VLOOKUP(B128,raw!A:K,6,0)</f>
        <v>0</v>
      </c>
      <c r="I128">
        <f>VLOOKUP(B128,raw!A:K,9,0)</f>
        <v>0</v>
      </c>
      <c r="J128">
        <f>VLOOKUP(B128,raw!A:K,8,0)</f>
        <v>0</v>
      </c>
      <c r="K128">
        <f>_xlfn.IFNA(VLOOKUP(B128,TDK!A:C,2,0),0)</f>
        <v>17</v>
      </c>
      <c r="L128">
        <f>_xlfn.IFNA(VLOOKUP(B128,TDK!A:C,3,0),0)</f>
        <v>0</v>
      </c>
      <c r="M128">
        <f>_xlfn.IFNA(VLOOKUP(B128,TDK!F:G,2,0),0)</f>
        <v>3</v>
      </c>
      <c r="N128">
        <f t="shared" si="1"/>
        <v>20</v>
      </c>
    </row>
    <row r="129" spans="1:14" x14ac:dyDescent="0.25">
      <c r="A129" t="s">
        <v>19</v>
      </c>
      <c r="B129" t="s">
        <v>1126</v>
      </c>
      <c r="C129">
        <f>VLOOKUP(B129,raw!A:K,11,0)</f>
        <v>88</v>
      </c>
      <c r="D129">
        <f>VLOOKUP(B129,raw!A:K,3,0)+VLOOKUP(B129,raw!A:K,7,0)</f>
        <v>87</v>
      </c>
      <c r="E129">
        <f>VLOOKUP(B129,raw!A:K,4,0)</f>
        <v>0</v>
      </c>
      <c r="F129">
        <f>VLOOKUP(B129,raw!A:K,5,0)</f>
        <v>0</v>
      </c>
      <c r="G129">
        <f>VLOOKUP(B129,raw!A:K,2,0)+VLOOKUP(B129,raw!A:K,10,0)</f>
        <v>0</v>
      </c>
      <c r="H129">
        <f>VLOOKUP(B129,raw!A:K,6,0)</f>
        <v>0</v>
      </c>
      <c r="I129">
        <f>VLOOKUP(B129,raw!A:K,9,0)</f>
        <v>1</v>
      </c>
      <c r="J129">
        <f>VLOOKUP(B129,raw!A:K,8,0)</f>
        <v>0</v>
      </c>
      <c r="K129">
        <f>_xlfn.IFNA(VLOOKUP(B129,TDK!A:C,2,0),0)</f>
        <v>23</v>
      </c>
      <c r="L129">
        <f>_xlfn.IFNA(VLOOKUP(B129,TDK!A:C,3,0),0)</f>
        <v>3</v>
      </c>
      <c r="M129">
        <f>_xlfn.IFNA(VLOOKUP(B129,TDK!F:G,2,0),0)</f>
        <v>19</v>
      </c>
      <c r="N129">
        <f t="shared" si="1"/>
        <v>45</v>
      </c>
    </row>
    <row r="130" spans="1:14" x14ac:dyDescent="0.25">
      <c r="A130" t="s">
        <v>20</v>
      </c>
      <c r="B130" t="s">
        <v>1127</v>
      </c>
      <c r="C130">
        <f>VLOOKUP(B130,raw!A:K,11,0)</f>
        <v>93</v>
      </c>
      <c r="D130">
        <f>VLOOKUP(B130,raw!A:K,3,0)+VLOOKUP(B130,raw!A:K,7,0)</f>
        <v>0</v>
      </c>
      <c r="E130">
        <f>VLOOKUP(B130,raw!A:K,4,0)</f>
        <v>0</v>
      </c>
      <c r="F130">
        <f>VLOOKUP(B130,raw!A:K,5,0)</f>
        <v>0</v>
      </c>
      <c r="G130">
        <f>VLOOKUP(B130,raw!A:K,2,0)+VLOOKUP(B130,raw!A:K,10,0)</f>
        <v>0</v>
      </c>
      <c r="H130">
        <f>VLOOKUP(B130,raw!A:K,6,0)</f>
        <v>0</v>
      </c>
      <c r="I130">
        <f>VLOOKUP(B130,raw!A:K,9,0)</f>
        <v>93</v>
      </c>
      <c r="J130">
        <f>VLOOKUP(B130,raw!A:K,8,0)</f>
        <v>0</v>
      </c>
      <c r="K130">
        <f>_xlfn.IFNA(VLOOKUP(B130,TDK!A:C,2,0),0)</f>
        <v>16</v>
      </c>
      <c r="L130">
        <f>_xlfn.IFNA(VLOOKUP(B130,TDK!A:C,3,0),0)</f>
        <v>7</v>
      </c>
      <c r="M130">
        <f>_xlfn.IFNA(VLOOKUP(B130,TDK!F:G,2,0),0)</f>
        <v>5</v>
      </c>
      <c r="N130">
        <f t="shared" si="1"/>
        <v>28</v>
      </c>
    </row>
    <row r="131" spans="1:14" x14ac:dyDescent="0.25">
      <c r="A131" t="s">
        <v>9</v>
      </c>
      <c r="B131" t="s">
        <v>1128</v>
      </c>
      <c r="C131">
        <f>VLOOKUP(B131,raw!A:K,11,0)</f>
        <v>73</v>
      </c>
      <c r="D131">
        <f>VLOOKUP(B131,raw!A:K,3,0)+VLOOKUP(B131,raw!A:K,7,0)</f>
        <v>68</v>
      </c>
      <c r="E131">
        <f>VLOOKUP(B131,raw!A:K,4,0)</f>
        <v>1</v>
      </c>
      <c r="F131">
        <f>VLOOKUP(B131,raw!A:K,5,0)</f>
        <v>0</v>
      </c>
      <c r="G131">
        <f>VLOOKUP(B131,raw!A:K,2,0)+VLOOKUP(B131,raw!A:K,10,0)</f>
        <v>0</v>
      </c>
      <c r="H131">
        <f>VLOOKUP(B131,raw!A:K,6,0)</f>
        <v>0</v>
      </c>
      <c r="I131">
        <f>VLOOKUP(B131,raw!A:K,9,0)</f>
        <v>4</v>
      </c>
      <c r="J131">
        <f>VLOOKUP(B131,raw!A:K,8,0)</f>
        <v>0</v>
      </c>
      <c r="K131">
        <f>_xlfn.IFNA(VLOOKUP(B131,TDK!A:C,2,0),0)</f>
        <v>11</v>
      </c>
      <c r="L131">
        <f>_xlfn.IFNA(VLOOKUP(B131,TDK!A:C,3,0),0)</f>
        <v>1</v>
      </c>
      <c r="M131">
        <f>_xlfn.IFNA(VLOOKUP(B131,TDK!F:G,2,0),0)</f>
        <v>7</v>
      </c>
      <c r="N131">
        <f t="shared" ref="N131:N194" si="2">SUM(K131:M131)</f>
        <v>19</v>
      </c>
    </row>
    <row r="132" spans="1:14" x14ac:dyDescent="0.25">
      <c r="A132" t="s">
        <v>21</v>
      </c>
      <c r="B132" t="s">
        <v>1129</v>
      </c>
      <c r="C132">
        <f>VLOOKUP(B132,raw!A:K,11,0)</f>
        <v>145</v>
      </c>
      <c r="D132">
        <f>VLOOKUP(B132,raw!A:K,3,0)+VLOOKUP(B132,raw!A:K,7,0)</f>
        <v>145</v>
      </c>
      <c r="E132">
        <f>VLOOKUP(B132,raw!A:K,4,0)</f>
        <v>0</v>
      </c>
      <c r="F132">
        <f>VLOOKUP(B132,raw!A:K,5,0)</f>
        <v>0</v>
      </c>
      <c r="G132">
        <f>VLOOKUP(B132,raw!A:K,2,0)+VLOOKUP(B132,raw!A:K,10,0)</f>
        <v>0</v>
      </c>
      <c r="H132">
        <f>VLOOKUP(B132,raw!A:K,6,0)</f>
        <v>0</v>
      </c>
      <c r="I132">
        <f>VLOOKUP(B132,raw!A:K,9,0)</f>
        <v>0</v>
      </c>
      <c r="J132">
        <f>VLOOKUP(B132,raw!A:K,8,0)</f>
        <v>0</v>
      </c>
      <c r="K132">
        <f>_xlfn.IFNA(VLOOKUP(B132,TDK!A:C,2,0),0)</f>
        <v>23</v>
      </c>
      <c r="L132">
        <f>_xlfn.IFNA(VLOOKUP(B132,TDK!A:C,3,0),0)</f>
        <v>0</v>
      </c>
      <c r="M132">
        <f>_xlfn.IFNA(VLOOKUP(B132,TDK!F:G,2,0),0)</f>
        <v>58</v>
      </c>
      <c r="N132">
        <f t="shared" si="2"/>
        <v>81</v>
      </c>
    </row>
    <row r="133" spans="1:14" x14ac:dyDescent="0.25">
      <c r="A133" t="s">
        <v>22</v>
      </c>
      <c r="B133" t="s">
        <v>1130</v>
      </c>
      <c r="C133">
        <f>VLOOKUP(B133,raw!A:K,11,0)</f>
        <v>59</v>
      </c>
      <c r="D133">
        <f>VLOOKUP(B133,raw!A:K,3,0)+VLOOKUP(B133,raw!A:K,7,0)</f>
        <v>59</v>
      </c>
      <c r="E133">
        <f>VLOOKUP(B133,raw!A:K,4,0)</f>
        <v>0</v>
      </c>
      <c r="F133">
        <f>VLOOKUP(B133,raw!A:K,5,0)</f>
        <v>0</v>
      </c>
      <c r="G133">
        <f>VLOOKUP(B133,raw!A:K,2,0)+VLOOKUP(B133,raw!A:K,10,0)</f>
        <v>0</v>
      </c>
      <c r="H133">
        <f>VLOOKUP(B133,raw!A:K,6,0)</f>
        <v>0</v>
      </c>
      <c r="I133">
        <f>VLOOKUP(B133,raw!A:K,9,0)</f>
        <v>0</v>
      </c>
      <c r="J133">
        <f>VLOOKUP(B133,raw!A:K,8,0)</f>
        <v>0</v>
      </c>
      <c r="K133">
        <f>_xlfn.IFNA(VLOOKUP(B133,TDK!A:C,2,0),0)</f>
        <v>8</v>
      </c>
      <c r="L133">
        <f>_xlfn.IFNA(VLOOKUP(B133,TDK!A:C,3,0),0)</f>
        <v>1</v>
      </c>
      <c r="M133">
        <f>_xlfn.IFNA(VLOOKUP(B133,TDK!F:G,2,0),0)</f>
        <v>10</v>
      </c>
      <c r="N133">
        <f t="shared" si="2"/>
        <v>19</v>
      </c>
    </row>
    <row r="134" spans="1:14" x14ac:dyDescent="0.25">
      <c r="A134" t="s">
        <v>23</v>
      </c>
      <c r="B134" t="s">
        <v>1131</v>
      </c>
      <c r="C134">
        <f>VLOOKUP(B134,raw!A:K,11,0)</f>
        <v>43</v>
      </c>
      <c r="D134">
        <f>VLOOKUP(B134,raw!A:K,3,0)+VLOOKUP(B134,raw!A:K,7,0)</f>
        <v>43</v>
      </c>
      <c r="E134">
        <f>VLOOKUP(B134,raw!A:K,4,0)</f>
        <v>0</v>
      </c>
      <c r="F134">
        <f>VLOOKUP(B134,raw!A:K,5,0)</f>
        <v>0</v>
      </c>
      <c r="G134">
        <f>VLOOKUP(B134,raw!A:K,2,0)+VLOOKUP(B134,raw!A:K,10,0)</f>
        <v>0</v>
      </c>
      <c r="H134">
        <f>VLOOKUP(B134,raw!A:K,6,0)</f>
        <v>0</v>
      </c>
      <c r="I134">
        <f>VLOOKUP(B134,raw!A:K,9,0)</f>
        <v>0</v>
      </c>
      <c r="J134">
        <f>VLOOKUP(B134,raw!A:K,8,0)</f>
        <v>0</v>
      </c>
      <c r="K134">
        <f>_xlfn.IFNA(VLOOKUP(B134,TDK!A:C,2,0),0)</f>
        <v>13</v>
      </c>
      <c r="L134">
        <f>_xlfn.IFNA(VLOOKUP(B134,TDK!A:C,3,0),0)</f>
        <v>1</v>
      </c>
      <c r="M134">
        <f>_xlfn.IFNA(VLOOKUP(B134,TDK!F:G,2,0),0)</f>
        <v>5</v>
      </c>
      <c r="N134">
        <f t="shared" si="2"/>
        <v>19</v>
      </c>
    </row>
    <row r="135" spans="1:14" x14ac:dyDescent="0.25">
      <c r="A135" t="s">
        <v>6</v>
      </c>
      <c r="B135" t="s">
        <v>1132</v>
      </c>
      <c r="C135">
        <f>VLOOKUP(B135,raw!A:K,11,0)</f>
        <v>52</v>
      </c>
      <c r="D135">
        <f>VLOOKUP(B135,raw!A:K,3,0)+VLOOKUP(B135,raw!A:K,7,0)</f>
        <v>0</v>
      </c>
      <c r="E135">
        <f>VLOOKUP(B135,raw!A:K,4,0)</f>
        <v>0</v>
      </c>
      <c r="F135">
        <f>VLOOKUP(B135,raw!A:K,5,0)</f>
        <v>0</v>
      </c>
      <c r="G135">
        <f>VLOOKUP(B135,raw!A:K,2,0)+VLOOKUP(B135,raw!A:K,10,0)</f>
        <v>0</v>
      </c>
      <c r="H135">
        <f>VLOOKUP(B135,raw!A:K,6,0)</f>
        <v>0</v>
      </c>
      <c r="I135">
        <f>VLOOKUP(B135,raw!A:K,9,0)</f>
        <v>52</v>
      </c>
      <c r="J135">
        <f>VLOOKUP(B135,raw!A:K,8,0)</f>
        <v>0</v>
      </c>
      <c r="K135">
        <f>_xlfn.IFNA(VLOOKUP(B135,TDK!A:C,2,0),0)</f>
        <v>22</v>
      </c>
      <c r="L135">
        <f>_xlfn.IFNA(VLOOKUP(B135,TDK!A:C,3,0),0)</f>
        <v>4</v>
      </c>
      <c r="M135">
        <f>_xlfn.IFNA(VLOOKUP(B135,TDK!F:G,2,0),0)</f>
        <v>0</v>
      </c>
      <c r="N135">
        <f t="shared" si="2"/>
        <v>26</v>
      </c>
    </row>
    <row r="136" spans="1:14" x14ac:dyDescent="0.25">
      <c r="A136" t="s">
        <v>21</v>
      </c>
      <c r="B136" t="s">
        <v>1133</v>
      </c>
      <c r="C136">
        <f>VLOOKUP(B136,raw!A:K,11,0)</f>
        <v>118</v>
      </c>
      <c r="D136">
        <f>VLOOKUP(B136,raw!A:K,3,0)+VLOOKUP(B136,raw!A:K,7,0)</f>
        <v>118</v>
      </c>
      <c r="E136">
        <f>VLOOKUP(B136,raw!A:K,4,0)</f>
        <v>0</v>
      </c>
      <c r="F136">
        <f>VLOOKUP(B136,raw!A:K,5,0)</f>
        <v>0</v>
      </c>
      <c r="G136">
        <f>VLOOKUP(B136,raw!A:K,2,0)+VLOOKUP(B136,raw!A:K,10,0)</f>
        <v>0</v>
      </c>
      <c r="H136">
        <f>VLOOKUP(B136,raw!A:K,6,0)</f>
        <v>0</v>
      </c>
      <c r="I136">
        <f>VLOOKUP(B136,raw!A:K,9,0)</f>
        <v>0</v>
      </c>
      <c r="J136">
        <f>VLOOKUP(B136,raw!A:K,8,0)</f>
        <v>0</v>
      </c>
      <c r="K136">
        <f>_xlfn.IFNA(VLOOKUP(B136,TDK!A:C,2,0),0)</f>
        <v>30</v>
      </c>
      <c r="L136">
        <f>_xlfn.IFNA(VLOOKUP(B136,TDK!A:C,3,0),0)</f>
        <v>0</v>
      </c>
      <c r="M136">
        <f>_xlfn.IFNA(VLOOKUP(B136,TDK!F:G,2,0),0)</f>
        <v>23</v>
      </c>
      <c r="N136">
        <f t="shared" si="2"/>
        <v>53</v>
      </c>
    </row>
    <row r="137" spans="1:14" x14ac:dyDescent="0.25">
      <c r="A137" t="s">
        <v>21</v>
      </c>
      <c r="B137" t="s">
        <v>1134</v>
      </c>
      <c r="C137">
        <f>VLOOKUP(B137,raw!A:K,11,0)</f>
        <v>146</v>
      </c>
      <c r="D137">
        <f>VLOOKUP(B137,raw!A:K,3,0)+VLOOKUP(B137,raw!A:K,7,0)</f>
        <v>146</v>
      </c>
      <c r="E137">
        <f>VLOOKUP(B137,raw!A:K,4,0)</f>
        <v>0</v>
      </c>
      <c r="F137">
        <f>VLOOKUP(B137,raw!A:K,5,0)</f>
        <v>0</v>
      </c>
      <c r="G137">
        <f>VLOOKUP(B137,raw!A:K,2,0)+VLOOKUP(B137,raw!A:K,10,0)</f>
        <v>0</v>
      </c>
      <c r="H137">
        <f>VLOOKUP(B137,raw!A:K,6,0)</f>
        <v>0</v>
      </c>
      <c r="I137">
        <f>VLOOKUP(B137,raw!A:K,9,0)</f>
        <v>0</v>
      </c>
      <c r="J137">
        <f>VLOOKUP(B137,raw!A:K,8,0)</f>
        <v>0</v>
      </c>
      <c r="K137">
        <f>_xlfn.IFNA(VLOOKUP(B137,TDK!A:C,2,0),0)</f>
        <v>39</v>
      </c>
      <c r="L137">
        <f>_xlfn.IFNA(VLOOKUP(B137,TDK!A:C,3,0),0)</f>
        <v>1</v>
      </c>
      <c r="M137">
        <f>_xlfn.IFNA(VLOOKUP(B137,TDK!F:G,2,0),0)</f>
        <v>8</v>
      </c>
      <c r="N137">
        <f t="shared" si="2"/>
        <v>48</v>
      </c>
    </row>
    <row r="138" spans="1:14" x14ac:dyDescent="0.25">
      <c r="A138" t="s">
        <v>21</v>
      </c>
      <c r="B138" t="s">
        <v>1135</v>
      </c>
      <c r="C138">
        <f>VLOOKUP(B138,raw!A:K,11,0)</f>
        <v>69</v>
      </c>
      <c r="D138">
        <f>VLOOKUP(B138,raw!A:K,3,0)+VLOOKUP(B138,raw!A:K,7,0)</f>
        <v>69</v>
      </c>
      <c r="E138">
        <f>VLOOKUP(B138,raw!A:K,4,0)</f>
        <v>0</v>
      </c>
      <c r="F138">
        <f>VLOOKUP(B138,raw!A:K,5,0)</f>
        <v>0</v>
      </c>
      <c r="G138">
        <f>VLOOKUP(B138,raw!A:K,2,0)+VLOOKUP(B138,raw!A:K,10,0)</f>
        <v>0</v>
      </c>
      <c r="H138">
        <f>VLOOKUP(B138,raw!A:K,6,0)</f>
        <v>0</v>
      </c>
      <c r="I138">
        <f>VLOOKUP(B138,raw!A:K,9,0)</f>
        <v>0</v>
      </c>
      <c r="J138">
        <f>VLOOKUP(B138,raw!A:K,8,0)</f>
        <v>0</v>
      </c>
      <c r="K138">
        <f>_xlfn.IFNA(VLOOKUP(B138,TDK!A:C,2,0),0)</f>
        <v>19</v>
      </c>
      <c r="L138">
        <f>_xlfn.IFNA(VLOOKUP(B138,TDK!A:C,3,0),0)</f>
        <v>1</v>
      </c>
      <c r="M138">
        <f>_xlfn.IFNA(VLOOKUP(B138,TDK!F:G,2,0),0)</f>
        <v>5</v>
      </c>
      <c r="N138">
        <f t="shared" si="2"/>
        <v>25</v>
      </c>
    </row>
    <row r="139" spans="1:14" x14ac:dyDescent="0.25">
      <c r="A139" t="s">
        <v>21</v>
      </c>
      <c r="B139" t="s">
        <v>1136</v>
      </c>
      <c r="C139">
        <f>VLOOKUP(B139,raw!A:K,11,0)</f>
        <v>218</v>
      </c>
      <c r="D139">
        <f>VLOOKUP(B139,raw!A:K,3,0)+VLOOKUP(B139,raw!A:K,7,0)</f>
        <v>218</v>
      </c>
      <c r="E139">
        <f>VLOOKUP(B139,raw!A:K,4,0)</f>
        <v>0</v>
      </c>
      <c r="F139">
        <f>VLOOKUP(B139,raw!A:K,5,0)</f>
        <v>0</v>
      </c>
      <c r="G139">
        <f>VLOOKUP(B139,raw!A:K,2,0)+VLOOKUP(B139,raw!A:K,10,0)</f>
        <v>0</v>
      </c>
      <c r="H139">
        <f>VLOOKUP(B139,raw!A:K,6,0)</f>
        <v>0</v>
      </c>
      <c r="I139">
        <f>VLOOKUP(B139,raw!A:K,9,0)</f>
        <v>0</v>
      </c>
      <c r="J139">
        <f>VLOOKUP(B139,raw!A:K,8,0)</f>
        <v>0</v>
      </c>
      <c r="K139">
        <f>_xlfn.IFNA(VLOOKUP(B139,TDK!A:C,2,0),0)</f>
        <v>38</v>
      </c>
      <c r="L139">
        <f>_xlfn.IFNA(VLOOKUP(B139,TDK!A:C,3,0),0)</f>
        <v>1</v>
      </c>
      <c r="M139">
        <f>_xlfn.IFNA(VLOOKUP(B139,TDK!F:G,2,0),0)</f>
        <v>27</v>
      </c>
      <c r="N139">
        <f t="shared" si="2"/>
        <v>66</v>
      </c>
    </row>
    <row r="140" spans="1:14" x14ac:dyDescent="0.25">
      <c r="A140" t="s">
        <v>21</v>
      </c>
      <c r="B140" t="s">
        <v>1137</v>
      </c>
      <c r="C140">
        <f>VLOOKUP(B140,raw!A:K,11,0)</f>
        <v>121</v>
      </c>
      <c r="D140">
        <f>VLOOKUP(B140,raw!A:K,3,0)+VLOOKUP(B140,raw!A:K,7,0)</f>
        <v>121</v>
      </c>
      <c r="E140">
        <f>VLOOKUP(B140,raw!A:K,4,0)</f>
        <v>0</v>
      </c>
      <c r="F140">
        <f>VLOOKUP(B140,raw!A:K,5,0)</f>
        <v>0</v>
      </c>
      <c r="G140">
        <f>VLOOKUP(B140,raw!A:K,2,0)+VLOOKUP(B140,raw!A:K,10,0)</f>
        <v>0</v>
      </c>
      <c r="H140">
        <f>VLOOKUP(B140,raw!A:K,6,0)</f>
        <v>0</v>
      </c>
      <c r="I140">
        <f>VLOOKUP(B140,raw!A:K,9,0)</f>
        <v>0</v>
      </c>
      <c r="J140">
        <f>VLOOKUP(B140,raw!A:K,8,0)</f>
        <v>0</v>
      </c>
      <c r="K140">
        <f>_xlfn.IFNA(VLOOKUP(B140,TDK!A:C,2,0),0)</f>
        <v>42</v>
      </c>
      <c r="L140">
        <f>_xlfn.IFNA(VLOOKUP(B140,TDK!A:C,3,0),0)</f>
        <v>0</v>
      </c>
      <c r="M140">
        <f>_xlfn.IFNA(VLOOKUP(B140,TDK!F:G,2,0),0)</f>
        <v>9</v>
      </c>
      <c r="N140">
        <f t="shared" si="2"/>
        <v>51</v>
      </c>
    </row>
    <row r="141" spans="1:14" x14ac:dyDescent="0.25">
      <c r="A141" t="s">
        <v>21</v>
      </c>
      <c r="B141" t="s">
        <v>1138</v>
      </c>
      <c r="C141">
        <f>VLOOKUP(B141,raw!A:K,11,0)</f>
        <v>75</v>
      </c>
      <c r="D141">
        <f>VLOOKUP(B141,raw!A:K,3,0)+VLOOKUP(B141,raw!A:K,7,0)</f>
        <v>75</v>
      </c>
      <c r="E141">
        <f>VLOOKUP(B141,raw!A:K,4,0)</f>
        <v>0</v>
      </c>
      <c r="F141">
        <f>VLOOKUP(B141,raw!A:K,5,0)</f>
        <v>0</v>
      </c>
      <c r="G141">
        <f>VLOOKUP(B141,raw!A:K,2,0)+VLOOKUP(B141,raw!A:K,10,0)</f>
        <v>0</v>
      </c>
      <c r="H141">
        <f>VLOOKUP(B141,raw!A:K,6,0)</f>
        <v>0</v>
      </c>
      <c r="I141">
        <f>VLOOKUP(B141,raw!A:K,9,0)</f>
        <v>0</v>
      </c>
      <c r="J141">
        <f>VLOOKUP(B141,raw!A:K,8,0)</f>
        <v>0</v>
      </c>
      <c r="K141">
        <f>_xlfn.IFNA(VLOOKUP(B141,TDK!A:C,2,0),0)</f>
        <v>29</v>
      </c>
      <c r="L141">
        <f>_xlfn.IFNA(VLOOKUP(B141,TDK!A:C,3,0),0)</f>
        <v>2</v>
      </c>
      <c r="M141">
        <f>_xlfn.IFNA(VLOOKUP(B141,TDK!F:G,2,0),0)</f>
        <v>5</v>
      </c>
      <c r="N141">
        <f t="shared" si="2"/>
        <v>36</v>
      </c>
    </row>
    <row r="142" spans="1:14" x14ac:dyDescent="0.25">
      <c r="A142" t="s">
        <v>22</v>
      </c>
      <c r="B142" t="s">
        <v>1139</v>
      </c>
      <c r="C142">
        <f>VLOOKUP(B142,raw!A:K,11,0)</f>
        <v>155</v>
      </c>
      <c r="D142">
        <f>VLOOKUP(B142,raw!A:K,3,0)+VLOOKUP(B142,raw!A:K,7,0)</f>
        <v>155</v>
      </c>
      <c r="E142">
        <f>VLOOKUP(B142,raw!A:K,4,0)</f>
        <v>0</v>
      </c>
      <c r="F142">
        <f>VLOOKUP(B142,raw!A:K,5,0)</f>
        <v>0</v>
      </c>
      <c r="G142">
        <f>VLOOKUP(B142,raw!A:K,2,0)+VLOOKUP(B142,raw!A:K,10,0)</f>
        <v>0</v>
      </c>
      <c r="H142">
        <f>VLOOKUP(B142,raw!A:K,6,0)</f>
        <v>0</v>
      </c>
      <c r="I142">
        <f>VLOOKUP(B142,raw!A:K,9,0)</f>
        <v>0</v>
      </c>
      <c r="J142">
        <f>VLOOKUP(B142,raw!A:K,8,0)</f>
        <v>0</v>
      </c>
      <c r="K142">
        <f>_xlfn.IFNA(VLOOKUP(B142,TDK!A:C,2,0),0)</f>
        <v>42</v>
      </c>
      <c r="L142">
        <f>_xlfn.IFNA(VLOOKUP(B142,TDK!A:C,3,0),0)</f>
        <v>0</v>
      </c>
      <c r="M142">
        <f>_xlfn.IFNA(VLOOKUP(B142,TDK!F:G,2,0),0)</f>
        <v>8</v>
      </c>
      <c r="N142">
        <f t="shared" si="2"/>
        <v>50</v>
      </c>
    </row>
    <row r="143" spans="1:14" x14ac:dyDescent="0.25">
      <c r="A143" t="s">
        <v>22</v>
      </c>
      <c r="B143" t="s">
        <v>1140</v>
      </c>
      <c r="C143">
        <f>VLOOKUP(B143,raw!A:K,11,0)</f>
        <v>125</v>
      </c>
      <c r="D143">
        <f>VLOOKUP(B143,raw!A:K,3,0)+VLOOKUP(B143,raw!A:K,7,0)</f>
        <v>125</v>
      </c>
      <c r="E143">
        <f>VLOOKUP(B143,raw!A:K,4,0)</f>
        <v>0</v>
      </c>
      <c r="F143">
        <f>VLOOKUP(B143,raw!A:K,5,0)</f>
        <v>0</v>
      </c>
      <c r="G143">
        <f>VLOOKUP(B143,raw!A:K,2,0)+VLOOKUP(B143,raw!A:K,10,0)</f>
        <v>0</v>
      </c>
      <c r="H143">
        <f>VLOOKUP(B143,raw!A:K,6,0)</f>
        <v>0</v>
      </c>
      <c r="I143">
        <f>VLOOKUP(B143,raw!A:K,9,0)</f>
        <v>0</v>
      </c>
      <c r="J143">
        <f>VLOOKUP(B143,raw!A:K,8,0)</f>
        <v>0</v>
      </c>
      <c r="K143">
        <f>_xlfn.IFNA(VLOOKUP(B143,TDK!A:C,2,0),0)</f>
        <v>32</v>
      </c>
      <c r="L143">
        <f>_xlfn.IFNA(VLOOKUP(B143,TDK!A:C,3,0),0)</f>
        <v>1</v>
      </c>
      <c r="M143">
        <f>_xlfn.IFNA(VLOOKUP(B143,TDK!F:G,2,0),0)</f>
        <v>9</v>
      </c>
      <c r="N143">
        <f t="shared" si="2"/>
        <v>42</v>
      </c>
    </row>
    <row r="144" spans="1:14" x14ac:dyDescent="0.25">
      <c r="A144" t="s">
        <v>22</v>
      </c>
      <c r="B144" t="s">
        <v>1141</v>
      </c>
      <c r="C144">
        <f>VLOOKUP(B144,raw!A:K,11,0)</f>
        <v>193</v>
      </c>
      <c r="D144">
        <f>VLOOKUP(B144,raw!A:K,3,0)+VLOOKUP(B144,raw!A:K,7,0)</f>
        <v>193</v>
      </c>
      <c r="E144">
        <f>VLOOKUP(B144,raw!A:K,4,0)</f>
        <v>0</v>
      </c>
      <c r="F144">
        <f>VLOOKUP(B144,raw!A:K,5,0)</f>
        <v>0</v>
      </c>
      <c r="G144">
        <f>VLOOKUP(B144,raw!A:K,2,0)+VLOOKUP(B144,raw!A:K,10,0)</f>
        <v>0</v>
      </c>
      <c r="H144">
        <f>VLOOKUP(B144,raw!A:K,6,0)</f>
        <v>0</v>
      </c>
      <c r="I144">
        <f>VLOOKUP(B144,raw!A:K,9,0)</f>
        <v>0</v>
      </c>
      <c r="J144">
        <f>VLOOKUP(B144,raw!A:K,8,0)</f>
        <v>0</v>
      </c>
      <c r="K144">
        <f>_xlfn.IFNA(VLOOKUP(B144,TDK!A:C,2,0),0)</f>
        <v>45</v>
      </c>
      <c r="L144">
        <f>_xlfn.IFNA(VLOOKUP(B144,TDK!A:C,3,0),0)</f>
        <v>1</v>
      </c>
      <c r="M144">
        <f>_xlfn.IFNA(VLOOKUP(B144,TDK!F:G,2,0),0)</f>
        <v>24</v>
      </c>
      <c r="N144">
        <f t="shared" si="2"/>
        <v>70</v>
      </c>
    </row>
    <row r="145" spans="1:14" x14ac:dyDescent="0.25">
      <c r="A145" t="s">
        <v>22</v>
      </c>
      <c r="B145" t="s">
        <v>1142</v>
      </c>
      <c r="C145">
        <f>VLOOKUP(B145,raw!A:K,11,0)</f>
        <v>91</v>
      </c>
      <c r="D145">
        <f>VLOOKUP(B145,raw!A:K,3,0)+VLOOKUP(B145,raw!A:K,7,0)</f>
        <v>68</v>
      </c>
      <c r="E145">
        <f>VLOOKUP(B145,raw!A:K,4,0)</f>
        <v>0</v>
      </c>
      <c r="F145">
        <f>VLOOKUP(B145,raw!A:K,5,0)</f>
        <v>0</v>
      </c>
      <c r="G145">
        <f>VLOOKUP(B145,raw!A:K,2,0)+VLOOKUP(B145,raw!A:K,10,0)</f>
        <v>0</v>
      </c>
      <c r="H145">
        <f>VLOOKUP(B145,raw!A:K,6,0)</f>
        <v>0</v>
      </c>
      <c r="I145">
        <f>VLOOKUP(B145,raw!A:K,9,0)</f>
        <v>23</v>
      </c>
      <c r="J145">
        <f>VLOOKUP(B145,raw!A:K,8,0)</f>
        <v>0</v>
      </c>
      <c r="K145">
        <f>_xlfn.IFNA(VLOOKUP(B145,TDK!A:C,2,0),0)</f>
        <v>3</v>
      </c>
      <c r="L145">
        <f>_xlfn.IFNA(VLOOKUP(B145,TDK!A:C,3,0),0)</f>
        <v>0</v>
      </c>
      <c r="M145">
        <f>_xlfn.IFNA(VLOOKUP(B145,TDK!F:G,2,0),0)</f>
        <v>54</v>
      </c>
      <c r="N145">
        <f t="shared" si="2"/>
        <v>57</v>
      </c>
    </row>
    <row r="146" spans="1:14" x14ac:dyDescent="0.25">
      <c r="A146" t="s">
        <v>22</v>
      </c>
      <c r="B146" t="s">
        <v>1143</v>
      </c>
      <c r="C146">
        <f>VLOOKUP(B146,raw!A:K,11,0)</f>
        <v>140</v>
      </c>
      <c r="D146">
        <f>VLOOKUP(B146,raw!A:K,3,0)+VLOOKUP(B146,raw!A:K,7,0)</f>
        <v>90</v>
      </c>
      <c r="E146">
        <f>VLOOKUP(B146,raw!A:K,4,0)</f>
        <v>0</v>
      </c>
      <c r="F146">
        <f>VLOOKUP(B146,raw!A:K,5,0)</f>
        <v>0</v>
      </c>
      <c r="G146">
        <f>VLOOKUP(B146,raw!A:K,2,0)+VLOOKUP(B146,raw!A:K,10,0)</f>
        <v>0</v>
      </c>
      <c r="H146">
        <f>VLOOKUP(B146,raw!A:K,6,0)</f>
        <v>0</v>
      </c>
      <c r="I146">
        <f>VLOOKUP(B146,raw!A:K,9,0)</f>
        <v>50</v>
      </c>
      <c r="J146">
        <f>VLOOKUP(B146,raw!A:K,8,0)</f>
        <v>0</v>
      </c>
      <c r="K146">
        <f>_xlfn.IFNA(VLOOKUP(B146,TDK!A:C,2,0),0)</f>
        <v>78</v>
      </c>
      <c r="L146">
        <f>_xlfn.IFNA(VLOOKUP(B146,TDK!A:C,3,0),0)</f>
        <v>0</v>
      </c>
      <c r="M146">
        <f>_xlfn.IFNA(VLOOKUP(B146,TDK!F:G,2,0),0)</f>
        <v>4</v>
      </c>
      <c r="N146">
        <f t="shared" si="2"/>
        <v>82</v>
      </c>
    </row>
    <row r="147" spans="1:14" x14ac:dyDescent="0.25">
      <c r="A147" t="s">
        <v>22</v>
      </c>
      <c r="B147" t="s">
        <v>1144</v>
      </c>
      <c r="C147">
        <f>VLOOKUP(B147,raw!A:K,11,0)</f>
        <v>125</v>
      </c>
      <c r="D147">
        <f>VLOOKUP(B147,raw!A:K,3,0)+VLOOKUP(B147,raw!A:K,7,0)</f>
        <v>85</v>
      </c>
      <c r="E147">
        <f>VLOOKUP(B147,raw!A:K,4,0)</f>
        <v>0</v>
      </c>
      <c r="F147">
        <f>VLOOKUP(B147,raw!A:K,5,0)</f>
        <v>0</v>
      </c>
      <c r="G147">
        <f>VLOOKUP(B147,raw!A:K,2,0)+VLOOKUP(B147,raw!A:K,10,0)</f>
        <v>0</v>
      </c>
      <c r="H147">
        <f>VLOOKUP(B147,raw!A:K,6,0)</f>
        <v>0</v>
      </c>
      <c r="I147">
        <f>VLOOKUP(B147,raw!A:K,9,0)</f>
        <v>40</v>
      </c>
      <c r="J147">
        <f>VLOOKUP(B147,raw!A:K,8,0)</f>
        <v>0</v>
      </c>
      <c r="K147">
        <f>_xlfn.IFNA(VLOOKUP(B147,TDK!A:C,2,0),0)</f>
        <v>26</v>
      </c>
      <c r="L147">
        <f>_xlfn.IFNA(VLOOKUP(B147,TDK!A:C,3,0),0)</f>
        <v>1</v>
      </c>
      <c r="M147">
        <f>_xlfn.IFNA(VLOOKUP(B147,TDK!F:G,2,0),0)</f>
        <v>15</v>
      </c>
      <c r="N147">
        <f t="shared" si="2"/>
        <v>42</v>
      </c>
    </row>
    <row r="148" spans="1:14" x14ac:dyDescent="0.25">
      <c r="A148" t="s">
        <v>22</v>
      </c>
      <c r="B148" t="s">
        <v>1145</v>
      </c>
      <c r="C148">
        <f>VLOOKUP(B148,raw!A:K,11,0)</f>
        <v>201</v>
      </c>
      <c r="D148">
        <f>VLOOKUP(B148,raw!A:K,3,0)+VLOOKUP(B148,raw!A:K,7,0)</f>
        <v>180</v>
      </c>
      <c r="E148">
        <f>VLOOKUP(B148,raw!A:K,4,0)</f>
        <v>0</v>
      </c>
      <c r="F148">
        <f>VLOOKUP(B148,raw!A:K,5,0)</f>
        <v>0</v>
      </c>
      <c r="G148">
        <f>VLOOKUP(B148,raw!A:K,2,0)+VLOOKUP(B148,raw!A:K,10,0)</f>
        <v>0</v>
      </c>
      <c r="H148">
        <f>VLOOKUP(B148,raw!A:K,6,0)</f>
        <v>0</v>
      </c>
      <c r="I148">
        <f>VLOOKUP(B148,raw!A:K,9,0)</f>
        <v>21</v>
      </c>
      <c r="J148">
        <f>VLOOKUP(B148,raw!A:K,8,0)</f>
        <v>0</v>
      </c>
      <c r="K148">
        <f>_xlfn.IFNA(VLOOKUP(B148,TDK!A:C,2,0),0)</f>
        <v>55</v>
      </c>
      <c r="L148">
        <f>_xlfn.IFNA(VLOOKUP(B148,TDK!A:C,3,0),0)</f>
        <v>8</v>
      </c>
      <c r="M148">
        <f>_xlfn.IFNA(VLOOKUP(B148,TDK!F:G,2,0),0)</f>
        <v>27</v>
      </c>
      <c r="N148">
        <f t="shared" si="2"/>
        <v>90</v>
      </c>
    </row>
    <row r="149" spans="1:14" x14ac:dyDescent="0.25">
      <c r="A149" t="s">
        <v>8</v>
      </c>
      <c r="B149" t="s">
        <v>1146</v>
      </c>
      <c r="C149">
        <f>VLOOKUP(B149,raw!A:K,11,0)</f>
        <v>94</v>
      </c>
      <c r="D149">
        <f>VLOOKUP(B149,raw!A:K,3,0)+VLOOKUP(B149,raw!A:K,7,0)</f>
        <v>0</v>
      </c>
      <c r="E149">
        <f>VLOOKUP(B149,raw!A:K,4,0)</f>
        <v>0</v>
      </c>
      <c r="F149">
        <f>VLOOKUP(B149,raw!A:K,5,0)</f>
        <v>0</v>
      </c>
      <c r="G149">
        <f>VLOOKUP(B149,raw!A:K,2,0)+VLOOKUP(B149,raw!A:K,10,0)</f>
        <v>0</v>
      </c>
      <c r="H149">
        <f>VLOOKUP(B149,raw!A:K,6,0)</f>
        <v>0</v>
      </c>
      <c r="I149">
        <f>VLOOKUP(B149,raw!A:K,9,0)</f>
        <v>94</v>
      </c>
      <c r="J149">
        <f>VLOOKUP(B149,raw!A:K,8,0)</f>
        <v>0</v>
      </c>
      <c r="K149">
        <f>_xlfn.IFNA(VLOOKUP(B149,TDK!A:C,2,0),0)</f>
        <v>64</v>
      </c>
      <c r="L149">
        <f>_xlfn.IFNA(VLOOKUP(B149,TDK!A:C,3,0),0)</f>
        <v>1</v>
      </c>
      <c r="M149">
        <f>_xlfn.IFNA(VLOOKUP(B149,TDK!F:G,2,0),0)</f>
        <v>3</v>
      </c>
      <c r="N149">
        <f t="shared" si="2"/>
        <v>68</v>
      </c>
    </row>
    <row r="150" spans="1:14" x14ac:dyDescent="0.25">
      <c r="A150" t="s">
        <v>23</v>
      </c>
      <c r="B150" t="s">
        <v>1147</v>
      </c>
      <c r="C150">
        <f>VLOOKUP(B150,raw!A:K,11,0)</f>
        <v>106</v>
      </c>
      <c r="D150">
        <f>VLOOKUP(B150,raw!A:K,3,0)+VLOOKUP(B150,raw!A:K,7,0)</f>
        <v>106</v>
      </c>
      <c r="E150">
        <f>VLOOKUP(B150,raw!A:K,4,0)</f>
        <v>0</v>
      </c>
      <c r="F150">
        <f>VLOOKUP(B150,raw!A:K,5,0)</f>
        <v>0</v>
      </c>
      <c r="G150">
        <f>VLOOKUP(B150,raw!A:K,2,0)+VLOOKUP(B150,raw!A:K,10,0)</f>
        <v>0</v>
      </c>
      <c r="H150">
        <f>VLOOKUP(B150,raw!A:K,6,0)</f>
        <v>0</v>
      </c>
      <c r="I150">
        <f>VLOOKUP(B150,raw!A:K,9,0)</f>
        <v>0</v>
      </c>
      <c r="J150">
        <f>VLOOKUP(B150,raw!A:K,8,0)</f>
        <v>0</v>
      </c>
      <c r="K150">
        <f>_xlfn.IFNA(VLOOKUP(B150,TDK!A:C,2,0),0)</f>
        <v>52</v>
      </c>
      <c r="L150">
        <f>_xlfn.IFNA(VLOOKUP(B150,TDK!A:C,3,0),0)</f>
        <v>2</v>
      </c>
      <c r="M150">
        <f>_xlfn.IFNA(VLOOKUP(B150,TDK!F:G,2,0),0)</f>
        <v>3</v>
      </c>
      <c r="N150">
        <f t="shared" si="2"/>
        <v>57</v>
      </c>
    </row>
    <row r="151" spans="1:14" x14ac:dyDescent="0.25">
      <c r="A151" t="s">
        <v>23</v>
      </c>
      <c r="B151" t="s">
        <v>1148</v>
      </c>
      <c r="C151">
        <f>VLOOKUP(B151,raw!A:K,11,0)</f>
        <v>61</v>
      </c>
      <c r="D151">
        <f>VLOOKUP(B151,raw!A:K,3,0)+VLOOKUP(B151,raw!A:K,7,0)</f>
        <v>52</v>
      </c>
      <c r="E151">
        <f>VLOOKUP(B151,raw!A:K,4,0)</f>
        <v>0</v>
      </c>
      <c r="F151">
        <f>VLOOKUP(B151,raw!A:K,5,0)</f>
        <v>0</v>
      </c>
      <c r="G151">
        <f>VLOOKUP(B151,raw!A:K,2,0)+VLOOKUP(B151,raw!A:K,10,0)</f>
        <v>0</v>
      </c>
      <c r="H151">
        <f>VLOOKUP(B151,raw!A:K,6,0)</f>
        <v>0</v>
      </c>
      <c r="I151">
        <f>VLOOKUP(B151,raw!A:K,9,0)</f>
        <v>9</v>
      </c>
      <c r="J151">
        <f>VLOOKUP(B151,raw!A:K,8,0)</f>
        <v>0</v>
      </c>
      <c r="K151">
        <f>_xlfn.IFNA(VLOOKUP(B151,TDK!A:C,2,0),0)</f>
        <v>18</v>
      </c>
      <c r="L151">
        <f>_xlfn.IFNA(VLOOKUP(B151,TDK!A:C,3,0),0)</f>
        <v>0</v>
      </c>
      <c r="M151">
        <f>_xlfn.IFNA(VLOOKUP(B151,TDK!F:G,2,0),0)</f>
        <v>4</v>
      </c>
      <c r="N151">
        <f t="shared" si="2"/>
        <v>22</v>
      </c>
    </row>
    <row r="152" spans="1:14" x14ac:dyDescent="0.25">
      <c r="A152" t="s">
        <v>23</v>
      </c>
      <c r="B152" t="s">
        <v>1149</v>
      </c>
      <c r="C152">
        <f>VLOOKUP(B152,raw!A:K,11,0)</f>
        <v>100</v>
      </c>
      <c r="D152">
        <f>VLOOKUP(B152,raw!A:K,3,0)+VLOOKUP(B152,raw!A:K,7,0)</f>
        <v>100</v>
      </c>
      <c r="E152">
        <f>VLOOKUP(B152,raw!A:K,4,0)</f>
        <v>0</v>
      </c>
      <c r="F152">
        <f>VLOOKUP(B152,raw!A:K,5,0)</f>
        <v>0</v>
      </c>
      <c r="G152">
        <f>VLOOKUP(B152,raw!A:K,2,0)+VLOOKUP(B152,raw!A:K,10,0)</f>
        <v>0</v>
      </c>
      <c r="H152">
        <f>VLOOKUP(B152,raw!A:K,6,0)</f>
        <v>0</v>
      </c>
      <c r="I152">
        <f>VLOOKUP(B152,raw!A:K,9,0)</f>
        <v>0</v>
      </c>
      <c r="J152">
        <f>VLOOKUP(B152,raw!A:K,8,0)</f>
        <v>0</v>
      </c>
      <c r="K152">
        <f>_xlfn.IFNA(VLOOKUP(B152,TDK!A:C,2,0),0)</f>
        <v>24</v>
      </c>
      <c r="L152">
        <f>_xlfn.IFNA(VLOOKUP(B152,TDK!A:C,3,0),0)</f>
        <v>0</v>
      </c>
      <c r="M152">
        <f>_xlfn.IFNA(VLOOKUP(B152,TDK!F:G,2,0),0)</f>
        <v>9</v>
      </c>
      <c r="N152">
        <f t="shared" si="2"/>
        <v>33</v>
      </c>
    </row>
    <row r="153" spans="1:14" x14ac:dyDescent="0.25">
      <c r="A153" t="s">
        <v>23</v>
      </c>
      <c r="B153" t="s">
        <v>1150</v>
      </c>
      <c r="C153">
        <f>VLOOKUP(B153,raw!A:K,11,0)</f>
        <v>69</v>
      </c>
      <c r="D153">
        <f>VLOOKUP(B153,raw!A:K,3,0)+VLOOKUP(B153,raw!A:K,7,0)</f>
        <v>36</v>
      </c>
      <c r="E153">
        <f>VLOOKUP(B153,raw!A:K,4,0)</f>
        <v>0</v>
      </c>
      <c r="F153">
        <f>VLOOKUP(B153,raw!A:K,5,0)</f>
        <v>0</v>
      </c>
      <c r="G153">
        <f>VLOOKUP(B153,raw!A:K,2,0)+VLOOKUP(B153,raw!A:K,10,0)</f>
        <v>0</v>
      </c>
      <c r="H153">
        <f>VLOOKUP(B153,raw!A:K,6,0)</f>
        <v>0</v>
      </c>
      <c r="I153">
        <f>VLOOKUP(B153,raw!A:K,9,0)</f>
        <v>33</v>
      </c>
      <c r="J153">
        <f>VLOOKUP(B153,raw!A:K,8,0)</f>
        <v>0</v>
      </c>
      <c r="K153">
        <f>_xlfn.IFNA(VLOOKUP(B153,TDK!A:C,2,0),0)</f>
        <v>31</v>
      </c>
      <c r="L153">
        <f>_xlfn.IFNA(VLOOKUP(B153,TDK!A:C,3,0),0)</f>
        <v>0</v>
      </c>
      <c r="M153">
        <f>_xlfn.IFNA(VLOOKUP(B153,TDK!F:G,2,0),0)</f>
        <v>1</v>
      </c>
      <c r="N153">
        <f t="shared" si="2"/>
        <v>32</v>
      </c>
    </row>
    <row r="154" spans="1:14" x14ac:dyDescent="0.25">
      <c r="A154" t="s">
        <v>23</v>
      </c>
      <c r="B154" t="s">
        <v>1151</v>
      </c>
      <c r="C154">
        <f>VLOOKUP(B154,raw!A:K,11,0)</f>
        <v>150</v>
      </c>
      <c r="D154">
        <f>VLOOKUP(B154,raw!A:K,3,0)+VLOOKUP(B154,raw!A:K,7,0)</f>
        <v>122</v>
      </c>
      <c r="E154">
        <f>VLOOKUP(B154,raw!A:K,4,0)</f>
        <v>0</v>
      </c>
      <c r="F154">
        <f>VLOOKUP(B154,raw!A:K,5,0)</f>
        <v>0</v>
      </c>
      <c r="G154">
        <f>VLOOKUP(B154,raw!A:K,2,0)+VLOOKUP(B154,raw!A:K,10,0)</f>
        <v>0</v>
      </c>
      <c r="H154">
        <f>VLOOKUP(B154,raw!A:K,6,0)</f>
        <v>0</v>
      </c>
      <c r="I154">
        <f>VLOOKUP(B154,raw!A:K,9,0)</f>
        <v>28</v>
      </c>
      <c r="J154">
        <f>VLOOKUP(B154,raw!A:K,8,0)</f>
        <v>0</v>
      </c>
      <c r="K154">
        <f>_xlfn.IFNA(VLOOKUP(B154,TDK!A:C,2,0),0)</f>
        <v>32</v>
      </c>
      <c r="L154">
        <f>_xlfn.IFNA(VLOOKUP(B154,TDK!A:C,3,0),0)</f>
        <v>1</v>
      </c>
      <c r="M154">
        <f>_xlfn.IFNA(VLOOKUP(B154,TDK!F:G,2,0),0)</f>
        <v>11</v>
      </c>
      <c r="N154">
        <f t="shared" si="2"/>
        <v>44</v>
      </c>
    </row>
    <row r="155" spans="1:14" x14ac:dyDescent="0.25">
      <c r="A155" t="s">
        <v>23</v>
      </c>
      <c r="B155" t="s">
        <v>1152</v>
      </c>
      <c r="C155">
        <f>VLOOKUP(B155,raw!A:K,11,0)</f>
        <v>229</v>
      </c>
      <c r="D155">
        <f>VLOOKUP(B155,raw!A:K,3,0)+VLOOKUP(B155,raw!A:K,7,0)</f>
        <v>209</v>
      </c>
      <c r="E155">
        <f>VLOOKUP(B155,raw!A:K,4,0)</f>
        <v>0</v>
      </c>
      <c r="F155">
        <f>VLOOKUP(B155,raw!A:K,5,0)</f>
        <v>0</v>
      </c>
      <c r="G155">
        <f>VLOOKUP(B155,raw!A:K,2,0)+VLOOKUP(B155,raw!A:K,10,0)</f>
        <v>0</v>
      </c>
      <c r="H155">
        <f>VLOOKUP(B155,raw!A:K,6,0)</f>
        <v>0</v>
      </c>
      <c r="I155">
        <f>VLOOKUP(B155,raw!A:K,9,0)</f>
        <v>20</v>
      </c>
      <c r="J155">
        <f>VLOOKUP(B155,raw!A:K,8,0)</f>
        <v>0</v>
      </c>
      <c r="K155">
        <f>_xlfn.IFNA(VLOOKUP(B155,TDK!A:C,2,0),0)</f>
        <v>92</v>
      </c>
      <c r="L155">
        <f>_xlfn.IFNA(VLOOKUP(B155,TDK!A:C,3,0),0)</f>
        <v>3</v>
      </c>
      <c r="M155">
        <f>_xlfn.IFNA(VLOOKUP(B155,TDK!F:G,2,0),0)</f>
        <v>12</v>
      </c>
      <c r="N155">
        <f t="shared" si="2"/>
        <v>107</v>
      </c>
    </row>
    <row r="156" spans="1:14" x14ac:dyDescent="0.25">
      <c r="A156" t="s">
        <v>17</v>
      </c>
      <c r="B156" t="s">
        <v>1153</v>
      </c>
      <c r="C156">
        <f>VLOOKUP(B156,raw!A:K,11,0)</f>
        <v>252</v>
      </c>
      <c r="D156">
        <f>VLOOKUP(B156,raw!A:K,3,0)+VLOOKUP(B156,raw!A:K,7,0)</f>
        <v>226</v>
      </c>
      <c r="E156">
        <f>VLOOKUP(B156,raw!A:K,4,0)</f>
        <v>0</v>
      </c>
      <c r="F156">
        <f>VLOOKUP(B156,raw!A:K,5,0)</f>
        <v>0</v>
      </c>
      <c r="G156">
        <f>VLOOKUP(B156,raw!A:K,2,0)+VLOOKUP(B156,raw!A:K,10,0)</f>
        <v>0</v>
      </c>
      <c r="H156">
        <f>VLOOKUP(B156,raw!A:K,6,0)</f>
        <v>0</v>
      </c>
      <c r="I156">
        <f>VLOOKUP(B156,raw!A:K,9,0)</f>
        <v>26</v>
      </c>
      <c r="J156">
        <f>VLOOKUP(B156,raw!A:K,8,0)</f>
        <v>0</v>
      </c>
      <c r="K156">
        <f>_xlfn.IFNA(VLOOKUP(B156,TDK!A:C,2,0),0)</f>
        <v>89</v>
      </c>
      <c r="L156">
        <f>_xlfn.IFNA(VLOOKUP(B156,TDK!A:C,3,0),0)</f>
        <v>2</v>
      </c>
      <c r="M156">
        <f>_xlfn.IFNA(VLOOKUP(B156,TDK!F:G,2,0),0)</f>
        <v>28</v>
      </c>
      <c r="N156">
        <f t="shared" si="2"/>
        <v>119</v>
      </c>
    </row>
    <row r="157" spans="1:14" x14ac:dyDescent="0.25">
      <c r="A157" t="s">
        <v>17</v>
      </c>
      <c r="B157" t="s">
        <v>1154</v>
      </c>
      <c r="C157">
        <f>VLOOKUP(B157,raw!A:K,11,0)</f>
        <v>235</v>
      </c>
      <c r="D157">
        <f>VLOOKUP(B157,raw!A:K,3,0)+VLOOKUP(B157,raw!A:K,7,0)</f>
        <v>235</v>
      </c>
      <c r="E157">
        <f>VLOOKUP(B157,raw!A:K,4,0)</f>
        <v>0</v>
      </c>
      <c r="F157">
        <f>VLOOKUP(B157,raw!A:K,5,0)</f>
        <v>0</v>
      </c>
      <c r="G157">
        <f>VLOOKUP(B157,raw!A:K,2,0)+VLOOKUP(B157,raw!A:K,10,0)</f>
        <v>0</v>
      </c>
      <c r="H157">
        <f>VLOOKUP(B157,raw!A:K,6,0)</f>
        <v>0</v>
      </c>
      <c r="I157">
        <f>VLOOKUP(B157,raw!A:K,9,0)</f>
        <v>0</v>
      </c>
      <c r="J157">
        <f>VLOOKUP(B157,raw!A:K,8,0)</f>
        <v>0</v>
      </c>
      <c r="K157">
        <f>_xlfn.IFNA(VLOOKUP(B157,TDK!A:C,2,0),0)</f>
        <v>51</v>
      </c>
      <c r="L157">
        <f>_xlfn.IFNA(VLOOKUP(B157,TDK!A:C,3,0),0)</f>
        <v>3</v>
      </c>
      <c r="M157">
        <f>_xlfn.IFNA(VLOOKUP(B157,TDK!F:G,2,0),0)</f>
        <v>19</v>
      </c>
      <c r="N157">
        <f t="shared" si="2"/>
        <v>73</v>
      </c>
    </row>
    <row r="158" spans="1:14" x14ac:dyDescent="0.25">
      <c r="A158" t="s">
        <v>7</v>
      </c>
      <c r="B158" t="s">
        <v>1155</v>
      </c>
      <c r="C158">
        <f>VLOOKUP(B158,raw!A:K,11,0)</f>
        <v>35</v>
      </c>
      <c r="D158">
        <f>VLOOKUP(B158,raw!A:K,3,0)+VLOOKUP(B158,raw!A:K,7,0)</f>
        <v>35</v>
      </c>
      <c r="E158">
        <f>VLOOKUP(B158,raw!A:K,4,0)</f>
        <v>0</v>
      </c>
      <c r="F158">
        <f>VLOOKUP(B158,raw!A:K,5,0)</f>
        <v>0</v>
      </c>
      <c r="G158">
        <f>VLOOKUP(B158,raw!A:K,2,0)+VLOOKUP(B158,raw!A:K,10,0)</f>
        <v>0</v>
      </c>
      <c r="H158">
        <f>VLOOKUP(B158,raw!A:K,6,0)</f>
        <v>0</v>
      </c>
      <c r="I158">
        <f>VLOOKUP(B158,raw!A:K,9,0)</f>
        <v>0</v>
      </c>
      <c r="J158">
        <f>VLOOKUP(B158,raw!A:K,8,0)</f>
        <v>0</v>
      </c>
      <c r="K158">
        <f>_xlfn.IFNA(VLOOKUP(B158,TDK!A:C,2,0),0)</f>
        <v>11</v>
      </c>
      <c r="L158">
        <f>_xlfn.IFNA(VLOOKUP(B158,TDK!A:C,3,0),0)</f>
        <v>1</v>
      </c>
      <c r="M158">
        <f>_xlfn.IFNA(VLOOKUP(B158,TDK!F:G,2,0),0)</f>
        <v>2</v>
      </c>
      <c r="N158">
        <f t="shared" si="2"/>
        <v>14</v>
      </c>
    </row>
    <row r="159" spans="1:14" x14ac:dyDescent="0.25">
      <c r="A159" t="s">
        <v>7</v>
      </c>
      <c r="B159" t="s">
        <v>1156</v>
      </c>
      <c r="C159">
        <f>VLOOKUP(B159,raw!A:K,11,0)</f>
        <v>55</v>
      </c>
      <c r="D159">
        <f>VLOOKUP(B159,raw!A:K,3,0)+VLOOKUP(B159,raw!A:K,7,0)</f>
        <v>55</v>
      </c>
      <c r="E159">
        <f>VLOOKUP(B159,raw!A:K,4,0)</f>
        <v>0</v>
      </c>
      <c r="F159">
        <f>VLOOKUP(B159,raw!A:K,5,0)</f>
        <v>0</v>
      </c>
      <c r="G159">
        <f>VLOOKUP(B159,raw!A:K,2,0)+VLOOKUP(B159,raw!A:K,10,0)</f>
        <v>0</v>
      </c>
      <c r="H159">
        <f>VLOOKUP(B159,raw!A:K,6,0)</f>
        <v>0</v>
      </c>
      <c r="I159">
        <f>VLOOKUP(B159,raw!A:K,9,0)</f>
        <v>0</v>
      </c>
      <c r="J159">
        <f>VLOOKUP(B159,raw!A:K,8,0)</f>
        <v>0</v>
      </c>
      <c r="K159">
        <f>_xlfn.IFNA(VLOOKUP(B159,TDK!A:C,2,0),0)</f>
        <v>24</v>
      </c>
      <c r="L159">
        <f>_xlfn.IFNA(VLOOKUP(B159,TDK!A:C,3,0),0)</f>
        <v>0</v>
      </c>
      <c r="M159">
        <f>_xlfn.IFNA(VLOOKUP(B159,TDK!F:G,2,0),0)</f>
        <v>2</v>
      </c>
      <c r="N159">
        <f t="shared" si="2"/>
        <v>26</v>
      </c>
    </row>
    <row r="160" spans="1:14" x14ac:dyDescent="0.25">
      <c r="A160" t="s">
        <v>24</v>
      </c>
      <c r="B160" t="s">
        <v>1157</v>
      </c>
      <c r="C160">
        <f>VLOOKUP(B160,raw!A:K,11,0)</f>
        <v>66</v>
      </c>
      <c r="D160">
        <f>VLOOKUP(B160,raw!A:K,3,0)+VLOOKUP(B160,raw!A:K,7,0)</f>
        <v>0</v>
      </c>
      <c r="E160">
        <f>VLOOKUP(B160,raw!A:K,4,0)</f>
        <v>0</v>
      </c>
      <c r="F160">
        <f>VLOOKUP(B160,raw!A:K,5,0)</f>
        <v>0</v>
      </c>
      <c r="G160">
        <f>VLOOKUP(B160,raw!A:K,2,0)+VLOOKUP(B160,raw!A:K,10,0)</f>
        <v>0</v>
      </c>
      <c r="H160">
        <f>VLOOKUP(B160,raw!A:K,6,0)</f>
        <v>0</v>
      </c>
      <c r="I160">
        <f>VLOOKUP(B160,raw!A:K,9,0)</f>
        <v>66</v>
      </c>
      <c r="J160">
        <f>VLOOKUP(B160,raw!A:K,8,0)</f>
        <v>0</v>
      </c>
      <c r="K160">
        <f>_xlfn.IFNA(VLOOKUP(B160,TDK!A:C,2,0),0)</f>
        <v>13</v>
      </c>
      <c r="L160">
        <f>_xlfn.IFNA(VLOOKUP(B160,TDK!A:C,3,0),0)</f>
        <v>0</v>
      </c>
      <c r="M160">
        <f>_xlfn.IFNA(VLOOKUP(B160,TDK!F:G,2,0),0)</f>
        <v>11</v>
      </c>
      <c r="N160">
        <f t="shared" si="2"/>
        <v>24</v>
      </c>
    </row>
    <row r="161" spans="1:14" x14ac:dyDescent="0.25">
      <c r="A161" t="s">
        <v>24</v>
      </c>
      <c r="B161" t="s">
        <v>1158</v>
      </c>
      <c r="C161">
        <f>VLOOKUP(B161,raw!A:K,11,0)</f>
        <v>69</v>
      </c>
      <c r="D161">
        <f>VLOOKUP(B161,raw!A:K,3,0)+VLOOKUP(B161,raw!A:K,7,0)</f>
        <v>51</v>
      </c>
      <c r="E161">
        <f>VLOOKUP(B161,raw!A:K,4,0)</f>
        <v>0</v>
      </c>
      <c r="F161">
        <f>VLOOKUP(B161,raw!A:K,5,0)</f>
        <v>0</v>
      </c>
      <c r="G161">
        <f>VLOOKUP(B161,raw!A:K,2,0)+VLOOKUP(B161,raw!A:K,10,0)</f>
        <v>0</v>
      </c>
      <c r="H161">
        <f>VLOOKUP(B161,raw!A:K,6,0)</f>
        <v>0</v>
      </c>
      <c r="I161">
        <f>VLOOKUP(B161,raw!A:K,9,0)</f>
        <v>18</v>
      </c>
      <c r="J161">
        <f>VLOOKUP(B161,raw!A:K,8,0)</f>
        <v>0</v>
      </c>
      <c r="K161">
        <f>_xlfn.IFNA(VLOOKUP(B161,TDK!A:C,2,0),0)</f>
        <v>17</v>
      </c>
      <c r="L161">
        <f>_xlfn.IFNA(VLOOKUP(B161,TDK!A:C,3,0),0)</f>
        <v>6</v>
      </c>
      <c r="M161">
        <f>_xlfn.IFNA(VLOOKUP(B161,TDK!F:G,2,0),0)</f>
        <v>8</v>
      </c>
      <c r="N161">
        <f t="shared" si="2"/>
        <v>31</v>
      </c>
    </row>
    <row r="162" spans="1:14" x14ac:dyDescent="0.25">
      <c r="A162" t="s">
        <v>24</v>
      </c>
      <c r="B162" t="s">
        <v>1159</v>
      </c>
      <c r="C162">
        <f>VLOOKUP(B162,raw!A:K,11,0)</f>
        <v>104</v>
      </c>
      <c r="D162">
        <f>VLOOKUP(B162,raw!A:K,3,0)+VLOOKUP(B162,raw!A:K,7,0)</f>
        <v>64</v>
      </c>
      <c r="E162">
        <f>VLOOKUP(B162,raw!A:K,4,0)</f>
        <v>0</v>
      </c>
      <c r="F162">
        <f>VLOOKUP(B162,raw!A:K,5,0)</f>
        <v>0</v>
      </c>
      <c r="G162">
        <f>VLOOKUP(B162,raw!A:K,2,0)+VLOOKUP(B162,raw!A:K,10,0)</f>
        <v>2</v>
      </c>
      <c r="H162">
        <f>VLOOKUP(B162,raw!A:K,6,0)</f>
        <v>0</v>
      </c>
      <c r="I162">
        <f>VLOOKUP(B162,raw!A:K,9,0)</f>
        <v>38</v>
      </c>
      <c r="J162">
        <f>VLOOKUP(B162,raw!A:K,8,0)</f>
        <v>0</v>
      </c>
      <c r="K162">
        <f>_xlfn.IFNA(VLOOKUP(B162,TDK!A:C,2,0),0)</f>
        <v>28</v>
      </c>
      <c r="L162">
        <f>_xlfn.IFNA(VLOOKUP(B162,TDK!A:C,3,0),0)</f>
        <v>5</v>
      </c>
      <c r="M162">
        <f>_xlfn.IFNA(VLOOKUP(B162,TDK!F:G,2,0),0)</f>
        <v>14</v>
      </c>
      <c r="N162">
        <f t="shared" si="2"/>
        <v>47</v>
      </c>
    </row>
    <row r="163" spans="1:14" x14ac:dyDescent="0.25">
      <c r="A163" t="s">
        <v>24</v>
      </c>
      <c r="B163" t="s">
        <v>1160</v>
      </c>
      <c r="C163">
        <f>VLOOKUP(B163,raw!A:K,11,0)</f>
        <v>92</v>
      </c>
      <c r="D163">
        <f>VLOOKUP(B163,raw!A:K,3,0)+VLOOKUP(B163,raw!A:K,7,0)</f>
        <v>89</v>
      </c>
      <c r="E163">
        <f>VLOOKUP(B163,raw!A:K,4,0)</f>
        <v>0</v>
      </c>
      <c r="F163">
        <f>VLOOKUP(B163,raw!A:K,5,0)</f>
        <v>0</v>
      </c>
      <c r="G163">
        <f>VLOOKUP(B163,raw!A:K,2,0)+VLOOKUP(B163,raw!A:K,10,0)</f>
        <v>2</v>
      </c>
      <c r="H163">
        <f>VLOOKUP(B163,raw!A:K,6,0)</f>
        <v>0</v>
      </c>
      <c r="I163">
        <f>VLOOKUP(B163,raw!A:K,9,0)</f>
        <v>1</v>
      </c>
      <c r="J163">
        <f>VLOOKUP(B163,raw!A:K,8,0)</f>
        <v>0</v>
      </c>
      <c r="K163">
        <f>_xlfn.IFNA(VLOOKUP(B163,TDK!A:C,2,0),0)</f>
        <v>18</v>
      </c>
      <c r="L163">
        <f>_xlfn.IFNA(VLOOKUP(B163,TDK!A:C,3,0),0)</f>
        <v>5</v>
      </c>
      <c r="M163">
        <f>_xlfn.IFNA(VLOOKUP(B163,TDK!F:G,2,0),0)</f>
        <v>6</v>
      </c>
      <c r="N163">
        <f t="shared" si="2"/>
        <v>29</v>
      </c>
    </row>
    <row r="164" spans="1:14" x14ac:dyDescent="0.25">
      <c r="A164" t="s">
        <v>24</v>
      </c>
      <c r="B164" t="s">
        <v>1161</v>
      </c>
      <c r="C164">
        <f>VLOOKUP(B164,raw!A:K,11,0)</f>
        <v>82</v>
      </c>
      <c r="D164">
        <f>VLOOKUP(B164,raw!A:K,3,0)+VLOOKUP(B164,raw!A:K,7,0)</f>
        <v>82</v>
      </c>
      <c r="E164">
        <f>VLOOKUP(B164,raw!A:K,4,0)</f>
        <v>0</v>
      </c>
      <c r="F164">
        <f>VLOOKUP(B164,raw!A:K,5,0)</f>
        <v>0</v>
      </c>
      <c r="G164">
        <f>VLOOKUP(B164,raw!A:K,2,0)+VLOOKUP(B164,raw!A:K,10,0)</f>
        <v>0</v>
      </c>
      <c r="H164">
        <f>VLOOKUP(B164,raw!A:K,6,0)</f>
        <v>0</v>
      </c>
      <c r="I164">
        <f>VLOOKUP(B164,raw!A:K,9,0)</f>
        <v>0</v>
      </c>
      <c r="J164">
        <f>VLOOKUP(B164,raw!A:K,8,0)</f>
        <v>0</v>
      </c>
      <c r="K164">
        <f>_xlfn.IFNA(VLOOKUP(B164,TDK!A:C,2,0),0)</f>
        <v>24</v>
      </c>
      <c r="L164">
        <f>_xlfn.IFNA(VLOOKUP(B164,TDK!A:C,3,0),0)</f>
        <v>2</v>
      </c>
      <c r="M164">
        <f>_xlfn.IFNA(VLOOKUP(B164,TDK!F:G,2,0),0)</f>
        <v>5</v>
      </c>
      <c r="N164">
        <f t="shared" si="2"/>
        <v>31</v>
      </c>
    </row>
    <row r="165" spans="1:14" x14ac:dyDescent="0.25">
      <c r="A165" t="s">
        <v>24</v>
      </c>
      <c r="B165" t="s">
        <v>1162</v>
      </c>
      <c r="C165">
        <f>VLOOKUP(B165,raw!A:K,11,0)</f>
        <v>70</v>
      </c>
      <c r="D165">
        <f>VLOOKUP(B165,raw!A:K,3,0)+VLOOKUP(B165,raw!A:K,7,0)</f>
        <v>70</v>
      </c>
      <c r="E165">
        <f>VLOOKUP(B165,raw!A:K,4,0)</f>
        <v>0</v>
      </c>
      <c r="F165">
        <f>VLOOKUP(B165,raw!A:K,5,0)</f>
        <v>0</v>
      </c>
      <c r="G165">
        <f>VLOOKUP(B165,raw!A:K,2,0)+VLOOKUP(B165,raw!A:K,10,0)</f>
        <v>0</v>
      </c>
      <c r="H165">
        <f>VLOOKUP(B165,raw!A:K,6,0)</f>
        <v>0</v>
      </c>
      <c r="I165">
        <f>VLOOKUP(B165,raw!A:K,9,0)</f>
        <v>0</v>
      </c>
      <c r="J165">
        <f>VLOOKUP(B165,raw!A:K,8,0)</f>
        <v>0</v>
      </c>
      <c r="K165">
        <f>_xlfn.IFNA(VLOOKUP(B165,TDK!A:C,2,0),0)</f>
        <v>24</v>
      </c>
      <c r="L165">
        <f>_xlfn.IFNA(VLOOKUP(B165,TDK!A:C,3,0),0)</f>
        <v>1</v>
      </c>
      <c r="M165">
        <f>_xlfn.IFNA(VLOOKUP(B165,TDK!F:G,2,0),0)</f>
        <v>2</v>
      </c>
      <c r="N165">
        <f t="shared" si="2"/>
        <v>27</v>
      </c>
    </row>
    <row r="166" spans="1:14" x14ac:dyDescent="0.25">
      <c r="A166" t="s">
        <v>24</v>
      </c>
      <c r="B166" t="s">
        <v>1163</v>
      </c>
      <c r="C166">
        <f>VLOOKUP(B166,raw!A:K,11,0)</f>
        <v>64</v>
      </c>
      <c r="D166">
        <f>VLOOKUP(B166,raw!A:K,3,0)+VLOOKUP(B166,raw!A:K,7,0)</f>
        <v>63</v>
      </c>
      <c r="E166">
        <f>VLOOKUP(B166,raw!A:K,4,0)</f>
        <v>0</v>
      </c>
      <c r="F166">
        <f>VLOOKUP(B166,raw!A:K,5,0)</f>
        <v>0</v>
      </c>
      <c r="G166">
        <f>VLOOKUP(B166,raw!A:K,2,0)+VLOOKUP(B166,raw!A:K,10,0)</f>
        <v>0</v>
      </c>
      <c r="H166">
        <f>VLOOKUP(B166,raw!A:K,6,0)</f>
        <v>0</v>
      </c>
      <c r="I166">
        <f>VLOOKUP(B166,raw!A:K,9,0)</f>
        <v>1</v>
      </c>
      <c r="J166">
        <f>VLOOKUP(B166,raw!A:K,8,0)</f>
        <v>0</v>
      </c>
      <c r="K166">
        <f>_xlfn.IFNA(VLOOKUP(B166,TDK!A:C,2,0),0)</f>
        <v>12</v>
      </c>
      <c r="L166">
        <f>_xlfn.IFNA(VLOOKUP(B166,TDK!A:C,3,0),0)</f>
        <v>1</v>
      </c>
      <c r="M166">
        <f>_xlfn.IFNA(VLOOKUP(B166,TDK!F:G,2,0),0)</f>
        <v>10</v>
      </c>
      <c r="N166">
        <f t="shared" si="2"/>
        <v>23</v>
      </c>
    </row>
    <row r="167" spans="1:14" x14ac:dyDescent="0.25">
      <c r="A167" t="s">
        <v>24</v>
      </c>
      <c r="B167" t="s">
        <v>1164</v>
      </c>
      <c r="C167">
        <f>VLOOKUP(B167,raw!A:K,11,0)</f>
        <v>58</v>
      </c>
      <c r="D167">
        <f>VLOOKUP(B167,raw!A:K,3,0)+VLOOKUP(B167,raw!A:K,7,0)</f>
        <v>58</v>
      </c>
      <c r="E167">
        <f>VLOOKUP(B167,raw!A:K,4,0)</f>
        <v>0</v>
      </c>
      <c r="F167">
        <f>VLOOKUP(B167,raw!A:K,5,0)</f>
        <v>0</v>
      </c>
      <c r="G167">
        <f>VLOOKUP(B167,raw!A:K,2,0)+VLOOKUP(B167,raw!A:K,10,0)</f>
        <v>0</v>
      </c>
      <c r="H167">
        <f>VLOOKUP(B167,raw!A:K,6,0)</f>
        <v>0</v>
      </c>
      <c r="I167">
        <f>VLOOKUP(B167,raw!A:K,9,0)</f>
        <v>0</v>
      </c>
      <c r="J167">
        <f>VLOOKUP(B167,raw!A:K,8,0)</f>
        <v>0</v>
      </c>
      <c r="K167">
        <f>_xlfn.IFNA(VLOOKUP(B167,TDK!A:C,2,0),0)</f>
        <v>33</v>
      </c>
      <c r="L167">
        <f>_xlfn.IFNA(VLOOKUP(B167,TDK!A:C,3,0),0)</f>
        <v>2</v>
      </c>
      <c r="M167">
        <f>_xlfn.IFNA(VLOOKUP(B167,TDK!F:G,2,0),0)</f>
        <v>4</v>
      </c>
      <c r="N167">
        <f t="shared" si="2"/>
        <v>39</v>
      </c>
    </row>
    <row r="168" spans="1:14" x14ac:dyDescent="0.25">
      <c r="A168" t="s">
        <v>24</v>
      </c>
      <c r="B168" t="s">
        <v>1165</v>
      </c>
      <c r="C168">
        <f>VLOOKUP(B168,raw!A:K,11,0)</f>
        <v>41</v>
      </c>
      <c r="D168">
        <f>VLOOKUP(B168,raw!A:K,3,0)+VLOOKUP(B168,raw!A:K,7,0)</f>
        <v>39</v>
      </c>
      <c r="E168">
        <f>VLOOKUP(B168,raw!A:K,4,0)</f>
        <v>0</v>
      </c>
      <c r="F168">
        <f>VLOOKUP(B168,raw!A:K,5,0)</f>
        <v>0</v>
      </c>
      <c r="G168">
        <f>VLOOKUP(B168,raw!A:K,2,0)+VLOOKUP(B168,raw!A:K,10,0)</f>
        <v>2</v>
      </c>
      <c r="H168">
        <f>VLOOKUP(B168,raw!A:K,6,0)</f>
        <v>0</v>
      </c>
      <c r="I168">
        <f>VLOOKUP(B168,raw!A:K,9,0)</f>
        <v>0</v>
      </c>
      <c r="J168">
        <f>VLOOKUP(B168,raw!A:K,8,0)</f>
        <v>0</v>
      </c>
      <c r="K168">
        <f>_xlfn.IFNA(VLOOKUP(B168,TDK!A:C,2,0),0)</f>
        <v>9</v>
      </c>
      <c r="L168">
        <f>_xlfn.IFNA(VLOOKUP(B168,TDK!A:C,3,0),0)</f>
        <v>2</v>
      </c>
      <c r="M168">
        <f>_xlfn.IFNA(VLOOKUP(B168,TDK!F:G,2,0),0)</f>
        <v>3</v>
      </c>
      <c r="N168">
        <f t="shared" si="2"/>
        <v>14</v>
      </c>
    </row>
    <row r="169" spans="1:14" x14ac:dyDescent="0.25">
      <c r="A169" t="s">
        <v>24</v>
      </c>
      <c r="B169" t="s">
        <v>1166</v>
      </c>
      <c r="C169">
        <f>VLOOKUP(B169,raw!A:K,11,0)</f>
        <v>85</v>
      </c>
      <c r="D169">
        <f>VLOOKUP(B169,raw!A:K,3,0)+VLOOKUP(B169,raw!A:K,7,0)</f>
        <v>84</v>
      </c>
      <c r="E169">
        <f>VLOOKUP(B169,raw!A:K,4,0)</f>
        <v>0</v>
      </c>
      <c r="F169">
        <f>VLOOKUP(B169,raw!A:K,5,0)</f>
        <v>0</v>
      </c>
      <c r="G169">
        <f>VLOOKUP(B169,raw!A:K,2,0)+VLOOKUP(B169,raw!A:K,10,0)</f>
        <v>1</v>
      </c>
      <c r="H169">
        <f>VLOOKUP(B169,raw!A:K,6,0)</f>
        <v>0</v>
      </c>
      <c r="I169">
        <f>VLOOKUP(B169,raw!A:K,9,0)</f>
        <v>0</v>
      </c>
      <c r="J169">
        <f>VLOOKUP(B169,raw!A:K,8,0)</f>
        <v>0</v>
      </c>
      <c r="K169">
        <f>_xlfn.IFNA(VLOOKUP(B169,TDK!A:C,2,0),0)</f>
        <v>15</v>
      </c>
      <c r="L169">
        <f>_xlfn.IFNA(VLOOKUP(B169,TDK!A:C,3,0),0)</f>
        <v>2</v>
      </c>
      <c r="M169">
        <f>_xlfn.IFNA(VLOOKUP(B169,TDK!F:G,2,0),0)</f>
        <v>12</v>
      </c>
      <c r="N169">
        <f t="shared" si="2"/>
        <v>29</v>
      </c>
    </row>
    <row r="170" spans="1:14" x14ac:dyDescent="0.25">
      <c r="A170" t="s">
        <v>24</v>
      </c>
      <c r="B170" t="s">
        <v>1167</v>
      </c>
      <c r="C170">
        <f>VLOOKUP(B170,raw!A:K,11,0)</f>
        <v>108</v>
      </c>
      <c r="D170">
        <f>VLOOKUP(B170,raw!A:K,3,0)+VLOOKUP(B170,raw!A:K,7,0)</f>
        <v>108</v>
      </c>
      <c r="E170">
        <f>VLOOKUP(B170,raw!A:K,4,0)</f>
        <v>0</v>
      </c>
      <c r="F170">
        <f>VLOOKUP(B170,raw!A:K,5,0)</f>
        <v>0</v>
      </c>
      <c r="G170">
        <f>VLOOKUP(B170,raw!A:K,2,0)+VLOOKUP(B170,raw!A:K,10,0)</f>
        <v>0</v>
      </c>
      <c r="H170">
        <f>VLOOKUP(B170,raw!A:K,6,0)</f>
        <v>0</v>
      </c>
      <c r="I170">
        <f>VLOOKUP(B170,raw!A:K,9,0)</f>
        <v>0</v>
      </c>
      <c r="J170">
        <f>VLOOKUP(B170,raw!A:K,8,0)</f>
        <v>0</v>
      </c>
      <c r="K170">
        <f>_xlfn.IFNA(VLOOKUP(B170,TDK!A:C,2,0),0)</f>
        <v>18</v>
      </c>
      <c r="L170">
        <f>_xlfn.IFNA(VLOOKUP(B170,TDK!A:C,3,0),0)</f>
        <v>4</v>
      </c>
      <c r="M170">
        <f>_xlfn.IFNA(VLOOKUP(B170,TDK!F:G,2,0),0)</f>
        <v>9</v>
      </c>
      <c r="N170">
        <f t="shared" si="2"/>
        <v>31</v>
      </c>
    </row>
    <row r="171" spans="1:14" x14ac:dyDescent="0.25">
      <c r="A171" t="s">
        <v>20</v>
      </c>
      <c r="B171" t="s">
        <v>1168</v>
      </c>
      <c r="C171">
        <f>VLOOKUP(B171,raw!A:K,11,0)</f>
        <v>53</v>
      </c>
      <c r="D171">
        <f>VLOOKUP(B171,raw!A:K,3,0)+VLOOKUP(B171,raw!A:K,7,0)</f>
        <v>0</v>
      </c>
      <c r="E171">
        <f>VLOOKUP(B171,raw!A:K,4,0)</f>
        <v>0</v>
      </c>
      <c r="F171">
        <f>VLOOKUP(B171,raw!A:K,5,0)</f>
        <v>0</v>
      </c>
      <c r="G171">
        <f>VLOOKUP(B171,raw!A:K,2,0)+VLOOKUP(B171,raw!A:K,10,0)</f>
        <v>0</v>
      </c>
      <c r="H171">
        <f>VLOOKUP(B171,raw!A:K,6,0)</f>
        <v>0</v>
      </c>
      <c r="I171">
        <f>VLOOKUP(B171,raw!A:K,9,0)</f>
        <v>53</v>
      </c>
      <c r="J171">
        <f>VLOOKUP(B171,raw!A:K,8,0)</f>
        <v>0</v>
      </c>
      <c r="K171">
        <f>_xlfn.IFNA(VLOOKUP(B171,TDK!A:C,2,0),0)</f>
        <v>22</v>
      </c>
      <c r="L171">
        <f>_xlfn.IFNA(VLOOKUP(B171,TDK!A:C,3,0),0)</f>
        <v>4</v>
      </c>
      <c r="M171">
        <f>_xlfn.IFNA(VLOOKUP(B171,TDK!F:G,2,0),0)</f>
        <v>3</v>
      </c>
      <c r="N171">
        <f t="shared" si="2"/>
        <v>29</v>
      </c>
    </row>
    <row r="172" spans="1:14" x14ac:dyDescent="0.25">
      <c r="A172" t="s">
        <v>20</v>
      </c>
      <c r="B172" t="s">
        <v>1169</v>
      </c>
      <c r="C172">
        <f>VLOOKUP(B172,raw!A:K,11,0)</f>
        <v>51</v>
      </c>
      <c r="D172">
        <f>VLOOKUP(B172,raw!A:K,3,0)+VLOOKUP(B172,raw!A:K,7,0)</f>
        <v>51</v>
      </c>
      <c r="E172">
        <f>VLOOKUP(B172,raw!A:K,4,0)</f>
        <v>0</v>
      </c>
      <c r="F172">
        <f>VLOOKUP(B172,raw!A:K,5,0)</f>
        <v>0</v>
      </c>
      <c r="G172">
        <f>VLOOKUP(B172,raw!A:K,2,0)+VLOOKUP(B172,raw!A:K,10,0)</f>
        <v>0</v>
      </c>
      <c r="H172">
        <f>VLOOKUP(B172,raw!A:K,6,0)</f>
        <v>0</v>
      </c>
      <c r="I172">
        <f>VLOOKUP(B172,raw!A:K,9,0)</f>
        <v>0</v>
      </c>
      <c r="J172">
        <f>VLOOKUP(B172,raw!A:K,8,0)</f>
        <v>0</v>
      </c>
      <c r="K172">
        <f>_xlfn.IFNA(VLOOKUP(B172,TDK!A:C,2,0),0)</f>
        <v>13</v>
      </c>
      <c r="L172">
        <f>_xlfn.IFNA(VLOOKUP(B172,TDK!A:C,3,0),0)</f>
        <v>1</v>
      </c>
      <c r="M172">
        <f>_xlfn.IFNA(VLOOKUP(B172,TDK!F:G,2,0),0)</f>
        <v>9</v>
      </c>
      <c r="N172">
        <f t="shared" si="2"/>
        <v>23</v>
      </c>
    </row>
    <row r="173" spans="1:14" x14ac:dyDescent="0.25">
      <c r="A173" t="s">
        <v>20</v>
      </c>
      <c r="B173" t="s">
        <v>1170</v>
      </c>
      <c r="C173">
        <f>VLOOKUP(B173,raw!A:K,11,0)</f>
        <v>77</v>
      </c>
      <c r="D173">
        <f>VLOOKUP(B173,raw!A:K,3,0)+VLOOKUP(B173,raw!A:K,7,0)</f>
        <v>4</v>
      </c>
      <c r="E173">
        <f>VLOOKUP(B173,raw!A:K,4,0)</f>
        <v>0</v>
      </c>
      <c r="F173">
        <f>VLOOKUP(B173,raw!A:K,5,0)</f>
        <v>0</v>
      </c>
      <c r="G173">
        <f>VLOOKUP(B173,raw!A:K,2,0)+VLOOKUP(B173,raw!A:K,10,0)</f>
        <v>0</v>
      </c>
      <c r="H173">
        <f>VLOOKUP(B173,raw!A:K,6,0)</f>
        <v>0</v>
      </c>
      <c r="I173">
        <f>VLOOKUP(B173,raw!A:K,9,0)</f>
        <v>73</v>
      </c>
      <c r="J173">
        <f>VLOOKUP(B173,raw!A:K,8,0)</f>
        <v>0</v>
      </c>
      <c r="K173">
        <f>_xlfn.IFNA(VLOOKUP(B173,TDK!A:C,2,0),0)</f>
        <v>24</v>
      </c>
      <c r="L173">
        <f>_xlfn.IFNA(VLOOKUP(B173,TDK!A:C,3,0),0)</f>
        <v>2</v>
      </c>
      <c r="M173">
        <f>_xlfn.IFNA(VLOOKUP(B173,TDK!F:G,2,0),0)</f>
        <v>25</v>
      </c>
      <c r="N173">
        <f t="shared" si="2"/>
        <v>51</v>
      </c>
    </row>
    <row r="174" spans="1:14" x14ac:dyDescent="0.25">
      <c r="A174" t="s">
        <v>20</v>
      </c>
      <c r="B174" t="s">
        <v>1171</v>
      </c>
      <c r="C174">
        <f>VLOOKUP(B174,raw!A:K,11,0)</f>
        <v>119</v>
      </c>
      <c r="D174">
        <f>VLOOKUP(B174,raw!A:K,3,0)+VLOOKUP(B174,raw!A:K,7,0)</f>
        <v>115</v>
      </c>
      <c r="E174">
        <f>VLOOKUP(B174,raw!A:K,4,0)</f>
        <v>0</v>
      </c>
      <c r="F174">
        <f>VLOOKUP(B174,raw!A:K,5,0)</f>
        <v>0</v>
      </c>
      <c r="G174">
        <f>VLOOKUP(B174,raw!A:K,2,0)+VLOOKUP(B174,raw!A:K,10,0)</f>
        <v>4</v>
      </c>
      <c r="H174">
        <f>VLOOKUP(B174,raw!A:K,6,0)</f>
        <v>0</v>
      </c>
      <c r="I174">
        <f>VLOOKUP(B174,raw!A:K,9,0)</f>
        <v>0</v>
      </c>
      <c r="J174">
        <f>VLOOKUP(B174,raw!A:K,8,0)</f>
        <v>0</v>
      </c>
      <c r="K174">
        <f>_xlfn.IFNA(VLOOKUP(B174,TDK!A:C,2,0),0)</f>
        <v>29</v>
      </c>
      <c r="L174">
        <f>_xlfn.IFNA(VLOOKUP(B174,TDK!A:C,3,0),0)</f>
        <v>1</v>
      </c>
      <c r="M174">
        <f>_xlfn.IFNA(VLOOKUP(B174,TDK!F:G,2,0),0)</f>
        <v>27</v>
      </c>
      <c r="N174">
        <f t="shared" si="2"/>
        <v>57</v>
      </c>
    </row>
    <row r="175" spans="1:14" x14ac:dyDescent="0.25">
      <c r="A175" t="s">
        <v>20</v>
      </c>
      <c r="B175" t="s">
        <v>1172</v>
      </c>
      <c r="C175">
        <f>VLOOKUP(B175,raw!A:K,11,0)</f>
        <v>150</v>
      </c>
      <c r="D175">
        <f>VLOOKUP(B175,raw!A:K,3,0)+VLOOKUP(B175,raw!A:K,7,0)</f>
        <v>149</v>
      </c>
      <c r="E175">
        <f>VLOOKUP(B175,raw!A:K,4,0)</f>
        <v>0</v>
      </c>
      <c r="F175">
        <f>VLOOKUP(B175,raw!A:K,5,0)</f>
        <v>0</v>
      </c>
      <c r="G175">
        <f>VLOOKUP(B175,raw!A:K,2,0)+VLOOKUP(B175,raw!A:K,10,0)</f>
        <v>1</v>
      </c>
      <c r="H175">
        <f>VLOOKUP(B175,raw!A:K,6,0)</f>
        <v>0</v>
      </c>
      <c r="I175">
        <f>VLOOKUP(B175,raw!A:K,9,0)</f>
        <v>0</v>
      </c>
      <c r="J175">
        <f>VLOOKUP(B175,raw!A:K,8,0)</f>
        <v>0</v>
      </c>
      <c r="K175">
        <f>_xlfn.IFNA(VLOOKUP(B175,TDK!A:C,2,0),0)</f>
        <v>45</v>
      </c>
      <c r="L175">
        <f>_xlfn.IFNA(VLOOKUP(B175,TDK!A:C,3,0),0)</f>
        <v>3</v>
      </c>
      <c r="M175">
        <f>_xlfn.IFNA(VLOOKUP(B175,TDK!F:G,2,0),0)</f>
        <v>31</v>
      </c>
      <c r="N175">
        <f t="shared" si="2"/>
        <v>79</v>
      </c>
    </row>
    <row r="176" spans="1:14" x14ac:dyDescent="0.25">
      <c r="A176" t="s">
        <v>20</v>
      </c>
      <c r="B176" t="s">
        <v>1173</v>
      </c>
      <c r="C176">
        <f>VLOOKUP(B176,raw!A:K,11,0)</f>
        <v>104</v>
      </c>
      <c r="D176">
        <f>VLOOKUP(B176,raw!A:K,3,0)+VLOOKUP(B176,raw!A:K,7,0)</f>
        <v>104</v>
      </c>
      <c r="E176">
        <f>VLOOKUP(B176,raw!A:K,4,0)</f>
        <v>0</v>
      </c>
      <c r="F176">
        <f>VLOOKUP(B176,raw!A:K,5,0)</f>
        <v>0</v>
      </c>
      <c r="G176">
        <f>VLOOKUP(B176,raw!A:K,2,0)+VLOOKUP(B176,raw!A:K,10,0)</f>
        <v>0</v>
      </c>
      <c r="H176">
        <f>VLOOKUP(B176,raw!A:K,6,0)</f>
        <v>0</v>
      </c>
      <c r="I176">
        <f>VLOOKUP(B176,raw!A:K,9,0)</f>
        <v>0</v>
      </c>
      <c r="J176">
        <f>VLOOKUP(B176,raw!A:K,8,0)</f>
        <v>0</v>
      </c>
      <c r="K176">
        <f>_xlfn.IFNA(VLOOKUP(B176,TDK!A:C,2,0),0)</f>
        <v>19</v>
      </c>
      <c r="L176">
        <f>_xlfn.IFNA(VLOOKUP(B176,TDK!A:C,3,0),0)</f>
        <v>3</v>
      </c>
      <c r="M176">
        <f>_xlfn.IFNA(VLOOKUP(B176,TDK!F:G,2,0),0)</f>
        <v>20</v>
      </c>
      <c r="N176">
        <f t="shared" si="2"/>
        <v>42</v>
      </c>
    </row>
    <row r="177" spans="1:14" x14ac:dyDescent="0.25">
      <c r="A177" t="s">
        <v>20</v>
      </c>
      <c r="B177" t="s">
        <v>1174</v>
      </c>
      <c r="C177">
        <f>VLOOKUP(B177,raw!A:K,11,0)</f>
        <v>103</v>
      </c>
      <c r="D177">
        <f>VLOOKUP(B177,raw!A:K,3,0)+VLOOKUP(B177,raw!A:K,7,0)</f>
        <v>103</v>
      </c>
      <c r="E177">
        <f>VLOOKUP(B177,raw!A:K,4,0)</f>
        <v>0</v>
      </c>
      <c r="F177">
        <f>VLOOKUP(B177,raw!A:K,5,0)</f>
        <v>0</v>
      </c>
      <c r="G177">
        <f>VLOOKUP(B177,raw!A:K,2,0)+VLOOKUP(B177,raw!A:K,10,0)</f>
        <v>0</v>
      </c>
      <c r="H177">
        <f>VLOOKUP(B177,raw!A:K,6,0)</f>
        <v>0</v>
      </c>
      <c r="I177">
        <f>VLOOKUP(B177,raw!A:K,9,0)</f>
        <v>0</v>
      </c>
      <c r="J177">
        <f>VLOOKUP(B177,raw!A:K,8,0)</f>
        <v>0</v>
      </c>
      <c r="K177">
        <f>_xlfn.IFNA(VLOOKUP(B177,TDK!A:C,2,0),0)</f>
        <v>34</v>
      </c>
      <c r="L177">
        <f>_xlfn.IFNA(VLOOKUP(B177,TDK!A:C,3,0),0)</f>
        <v>1</v>
      </c>
      <c r="M177">
        <f>_xlfn.IFNA(VLOOKUP(B177,TDK!F:G,2,0),0)</f>
        <v>34</v>
      </c>
      <c r="N177">
        <f t="shared" si="2"/>
        <v>69</v>
      </c>
    </row>
    <row r="178" spans="1:14" x14ac:dyDescent="0.25">
      <c r="A178" t="s">
        <v>20</v>
      </c>
      <c r="B178" t="s">
        <v>1175</v>
      </c>
      <c r="C178">
        <f>VLOOKUP(B178,raw!A:K,11,0)</f>
        <v>72</v>
      </c>
      <c r="D178">
        <f>VLOOKUP(B178,raw!A:K,3,0)+VLOOKUP(B178,raw!A:K,7,0)</f>
        <v>72</v>
      </c>
      <c r="E178">
        <f>VLOOKUP(B178,raw!A:K,4,0)</f>
        <v>0</v>
      </c>
      <c r="F178">
        <f>VLOOKUP(B178,raw!A:K,5,0)</f>
        <v>0</v>
      </c>
      <c r="G178">
        <f>VLOOKUP(B178,raw!A:K,2,0)+VLOOKUP(B178,raw!A:K,10,0)</f>
        <v>0</v>
      </c>
      <c r="H178">
        <f>VLOOKUP(B178,raw!A:K,6,0)</f>
        <v>0</v>
      </c>
      <c r="I178">
        <f>VLOOKUP(B178,raw!A:K,9,0)</f>
        <v>0</v>
      </c>
      <c r="J178">
        <f>VLOOKUP(B178,raw!A:K,8,0)</f>
        <v>0</v>
      </c>
      <c r="K178">
        <f>_xlfn.IFNA(VLOOKUP(B178,TDK!A:C,2,0),0)</f>
        <v>26</v>
      </c>
      <c r="L178">
        <f>_xlfn.IFNA(VLOOKUP(B178,TDK!A:C,3,0),0)</f>
        <v>5</v>
      </c>
      <c r="M178">
        <f>_xlfn.IFNA(VLOOKUP(B178,TDK!F:G,2,0),0)</f>
        <v>11</v>
      </c>
      <c r="N178">
        <f t="shared" si="2"/>
        <v>42</v>
      </c>
    </row>
    <row r="179" spans="1:14" x14ac:dyDescent="0.25">
      <c r="A179" t="s">
        <v>20</v>
      </c>
      <c r="B179" t="s">
        <v>1176</v>
      </c>
      <c r="C179">
        <f>VLOOKUP(B179,raw!A:K,11,0)</f>
        <v>71</v>
      </c>
      <c r="D179">
        <f>VLOOKUP(B179,raw!A:K,3,0)+VLOOKUP(B179,raw!A:K,7,0)</f>
        <v>71</v>
      </c>
      <c r="E179">
        <f>VLOOKUP(B179,raw!A:K,4,0)</f>
        <v>0</v>
      </c>
      <c r="F179">
        <f>VLOOKUP(B179,raw!A:K,5,0)</f>
        <v>0</v>
      </c>
      <c r="G179">
        <f>VLOOKUP(B179,raw!A:K,2,0)+VLOOKUP(B179,raw!A:K,10,0)</f>
        <v>0</v>
      </c>
      <c r="H179">
        <f>VLOOKUP(B179,raw!A:K,6,0)</f>
        <v>0</v>
      </c>
      <c r="I179">
        <f>VLOOKUP(B179,raw!A:K,9,0)</f>
        <v>0</v>
      </c>
      <c r="J179">
        <f>VLOOKUP(B179,raw!A:K,8,0)</f>
        <v>0</v>
      </c>
      <c r="K179">
        <f>_xlfn.IFNA(VLOOKUP(B179,TDK!A:C,2,0),0)</f>
        <v>16</v>
      </c>
      <c r="L179">
        <f>_xlfn.IFNA(VLOOKUP(B179,TDK!A:C,3,0),0)</f>
        <v>3</v>
      </c>
      <c r="M179">
        <f>_xlfn.IFNA(VLOOKUP(B179,TDK!F:G,2,0),0)</f>
        <v>15</v>
      </c>
      <c r="N179">
        <f t="shared" si="2"/>
        <v>34</v>
      </c>
    </row>
    <row r="180" spans="1:14" x14ac:dyDescent="0.25">
      <c r="A180" t="s">
        <v>19</v>
      </c>
      <c r="B180" t="s">
        <v>1177</v>
      </c>
      <c r="C180">
        <f>VLOOKUP(B180,raw!A:K,11,0)</f>
        <v>239</v>
      </c>
      <c r="D180">
        <f>VLOOKUP(B180,raw!A:K,3,0)+VLOOKUP(B180,raw!A:K,7,0)</f>
        <v>239</v>
      </c>
      <c r="E180">
        <f>VLOOKUP(B180,raw!A:K,4,0)</f>
        <v>0</v>
      </c>
      <c r="F180">
        <f>VLOOKUP(B180,raw!A:K,5,0)</f>
        <v>0</v>
      </c>
      <c r="G180">
        <f>VLOOKUP(B180,raw!A:K,2,0)+VLOOKUP(B180,raw!A:K,10,0)</f>
        <v>0</v>
      </c>
      <c r="H180">
        <f>VLOOKUP(B180,raw!A:K,6,0)</f>
        <v>0</v>
      </c>
      <c r="I180">
        <f>VLOOKUP(B180,raw!A:K,9,0)</f>
        <v>0</v>
      </c>
      <c r="J180">
        <f>VLOOKUP(B180,raw!A:K,8,0)</f>
        <v>0</v>
      </c>
      <c r="K180">
        <f>_xlfn.IFNA(VLOOKUP(B180,TDK!A:C,2,0),0)</f>
        <v>87</v>
      </c>
      <c r="L180">
        <f>_xlfn.IFNA(VLOOKUP(B180,TDK!A:C,3,0),0)</f>
        <v>2</v>
      </c>
      <c r="M180">
        <f>_xlfn.IFNA(VLOOKUP(B180,TDK!F:G,2,0),0)</f>
        <v>7</v>
      </c>
      <c r="N180">
        <f t="shared" si="2"/>
        <v>96</v>
      </c>
    </row>
    <row r="181" spans="1:14" x14ac:dyDescent="0.25">
      <c r="A181" t="s">
        <v>19</v>
      </c>
      <c r="B181" t="s">
        <v>1178</v>
      </c>
      <c r="C181">
        <f>VLOOKUP(B181,raw!A:K,11,0)</f>
        <v>107</v>
      </c>
      <c r="D181">
        <f>VLOOKUP(B181,raw!A:K,3,0)+VLOOKUP(B181,raw!A:K,7,0)</f>
        <v>107</v>
      </c>
      <c r="E181">
        <f>VLOOKUP(B181,raw!A:K,4,0)</f>
        <v>0</v>
      </c>
      <c r="F181">
        <f>VLOOKUP(B181,raw!A:K,5,0)</f>
        <v>0</v>
      </c>
      <c r="G181">
        <f>VLOOKUP(B181,raw!A:K,2,0)+VLOOKUP(B181,raw!A:K,10,0)</f>
        <v>0</v>
      </c>
      <c r="H181">
        <f>VLOOKUP(B181,raw!A:K,6,0)</f>
        <v>0</v>
      </c>
      <c r="I181">
        <f>VLOOKUP(B181,raw!A:K,9,0)</f>
        <v>0</v>
      </c>
      <c r="J181">
        <f>VLOOKUP(B181,raw!A:K,8,0)</f>
        <v>0</v>
      </c>
      <c r="K181">
        <f>_xlfn.IFNA(VLOOKUP(B181,TDK!A:C,2,0),0)</f>
        <v>14</v>
      </c>
      <c r="L181">
        <f>_xlfn.IFNA(VLOOKUP(B181,TDK!A:C,3,0),0)</f>
        <v>2</v>
      </c>
      <c r="M181">
        <f>_xlfn.IFNA(VLOOKUP(B181,TDK!F:G,2,0),0)</f>
        <v>6</v>
      </c>
      <c r="N181">
        <f t="shared" si="2"/>
        <v>22</v>
      </c>
    </row>
    <row r="182" spans="1:14" x14ac:dyDescent="0.25">
      <c r="A182" t="s">
        <v>19</v>
      </c>
      <c r="B182" t="s">
        <v>1179</v>
      </c>
      <c r="C182">
        <f>VLOOKUP(B182,raw!A:K,11,0)</f>
        <v>178</v>
      </c>
      <c r="D182">
        <f>VLOOKUP(B182,raw!A:K,3,0)+VLOOKUP(B182,raw!A:K,7,0)</f>
        <v>177</v>
      </c>
      <c r="E182">
        <f>VLOOKUP(B182,raw!A:K,4,0)</f>
        <v>0</v>
      </c>
      <c r="F182">
        <f>VLOOKUP(B182,raw!A:K,5,0)</f>
        <v>0</v>
      </c>
      <c r="G182">
        <f>VLOOKUP(B182,raw!A:K,2,0)+VLOOKUP(B182,raw!A:K,10,0)</f>
        <v>0</v>
      </c>
      <c r="H182">
        <f>VLOOKUP(B182,raw!A:K,6,0)</f>
        <v>0</v>
      </c>
      <c r="I182">
        <f>VLOOKUP(B182,raw!A:K,9,0)</f>
        <v>0</v>
      </c>
      <c r="J182">
        <f>VLOOKUP(B182,raw!A:K,8,0)</f>
        <v>1</v>
      </c>
      <c r="K182">
        <f>_xlfn.IFNA(VLOOKUP(B182,TDK!A:C,2,0),0)</f>
        <v>30</v>
      </c>
      <c r="L182">
        <f>_xlfn.IFNA(VLOOKUP(B182,TDK!A:C,3,0),0)</f>
        <v>3</v>
      </c>
      <c r="M182">
        <f>_xlfn.IFNA(VLOOKUP(B182,TDK!F:G,2,0),0)</f>
        <v>43</v>
      </c>
      <c r="N182">
        <f t="shared" si="2"/>
        <v>76</v>
      </c>
    </row>
    <row r="183" spans="1:14" x14ac:dyDescent="0.25">
      <c r="A183" t="s">
        <v>19</v>
      </c>
      <c r="B183" t="s">
        <v>1180</v>
      </c>
      <c r="C183">
        <f>VLOOKUP(B183,raw!A:K,11,0)</f>
        <v>64</v>
      </c>
      <c r="D183">
        <f>VLOOKUP(B183,raw!A:K,3,0)+VLOOKUP(B183,raw!A:K,7,0)</f>
        <v>64</v>
      </c>
      <c r="E183">
        <f>VLOOKUP(B183,raw!A:K,4,0)</f>
        <v>0</v>
      </c>
      <c r="F183">
        <f>VLOOKUP(B183,raw!A:K,5,0)</f>
        <v>0</v>
      </c>
      <c r="G183">
        <f>VLOOKUP(B183,raw!A:K,2,0)+VLOOKUP(B183,raw!A:K,10,0)</f>
        <v>0</v>
      </c>
      <c r="H183">
        <f>VLOOKUP(B183,raw!A:K,6,0)</f>
        <v>0</v>
      </c>
      <c r="I183">
        <f>VLOOKUP(B183,raw!A:K,9,0)</f>
        <v>0</v>
      </c>
      <c r="J183">
        <f>VLOOKUP(B183,raw!A:K,8,0)</f>
        <v>0</v>
      </c>
      <c r="K183">
        <f>_xlfn.IFNA(VLOOKUP(B183,TDK!A:C,2,0),0)</f>
        <v>15</v>
      </c>
      <c r="L183">
        <f>_xlfn.IFNA(VLOOKUP(B183,TDK!A:C,3,0),0)</f>
        <v>1</v>
      </c>
      <c r="M183">
        <f>_xlfn.IFNA(VLOOKUP(B183,TDK!F:G,2,0),0)</f>
        <v>10</v>
      </c>
      <c r="N183">
        <f t="shared" si="2"/>
        <v>26</v>
      </c>
    </row>
    <row r="184" spans="1:14" x14ac:dyDescent="0.25">
      <c r="A184" t="s">
        <v>19</v>
      </c>
      <c r="B184" t="s">
        <v>1181</v>
      </c>
      <c r="C184">
        <f>VLOOKUP(B184,raw!A:K,11,0)</f>
        <v>53</v>
      </c>
      <c r="D184">
        <f>VLOOKUP(B184,raw!A:K,3,0)+VLOOKUP(B184,raw!A:K,7,0)</f>
        <v>53</v>
      </c>
      <c r="E184">
        <f>VLOOKUP(B184,raw!A:K,4,0)</f>
        <v>0</v>
      </c>
      <c r="F184">
        <f>VLOOKUP(B184,raw!A:K,5,0)</f>
        <v>0</v>
      </c>
      <c r="G184">
        <f>VLOOKUP(B184,raw!A:K,2,0)+VLOOKUP(B184,raw!A:K,10,0)</f>
        <v>0</v>
      </c>
      <c r="H184">
        <f>VLOOKUP(B184,raw!A:K,6,0)</f>
        <v>0</v>
      </c>
      <c r="I184">
        <f>VLOOKUP(B184,raw!A:K,9,0)</f>
        <v>0</v>
      </c>
      <c r="J184">
        <f>VLOOKUP(B184,raw!A:K,8,0)</f>
        <v>0</v>
      </c>
      <c r="K184">
        <f>_xlfn.IFNA(VLOOKUP(B184,TDK!A:C,2,0),0)</f>
        <v>20</v>
      </c>
      <c r="L184">
        <f>_xlfn.IFNA(VLOOKUP(B184,TDK!A:C,3,0),0)</f>
        <v>0</v>
      </c>
      <c r="M184">
        <f>_xlfn.IFNA(VLOOKUP(B184,TDK!F:G,2,0),0)</f>
        <v>2</v>
      </c>
      <c r="N184">
        <f t="shared" si="2"/>
        <v>22</v>
      </c>
    </row>
    <row r="185" spans="1:14" x14ac:dyDescent="0.25">
      <c r="A185" t="s">
        <v>19</v>
      </c>
      <c r="B185" t="s">
        <v>1182</v>
      </c>
      <c r="C185">
        <f>VLOOKUP(B185,raw!A:K,11,0)</f>
        <v>61</v>
      </c>
      <c r="D185">
        <f>VLOOKUP(B185,raw!A:K,3,0)+VLOOKUP(B185,raw!A:K,7,0)</f>
        <v>61</v>
      </c>
      <c r="E185">
        <f>VLOOKUP(B185,raw!A:K,4,0)</f>
        <v>0</v>
      </c>
      <c r="F185">
        <f>VLOOKUP(B185,raw!A:K,5,0)</f>
        <v>0</v>
      </c>
      <c r="G185">
        <f>VLOOKUP(B185,raw!A:K,2,0)+VLOOKUP(B185,raw!A:K,10,0)</f>
        <v>0</v>
      </c>
      <c r="H185">
        <f>VLOOKUP(B185,raw!A:K,6,0)</f>
        <v>0</v>
      </c>
      <c r="I185">
        <f>VLOOKUP(B185,raw!A:K,9,0)</f>
        <v>0</v>
      </c>
      <c r="J185">
        <f>VLOOKUP(B185,raw!A:K,8,0)</f>
        <v>0</v>
      </c>
      <c r="K185">
        <f>_xlfn.IFNA(VLOOKUP(B185,TDK!A:C,2,0),0)</f>
        <v>13</v>
      </c>
      <c r="L185">
        <f>_xlfn.IFNA(VLOOKUP(B185,TDK!A:C,3,0),0)</f>
        <v>0</v>
      </c>
      <c r="M185">
        <f>_xlfn.IFNA(VLOOKUP(B185,TDK!F:G,2,0),0)</f>
        <v>4</v>
      </c>
      <c r="N185">
        <f t="shared" si="2"/>
        <v>17</v>
      </c>
    </row>
    <row r="186" spans="1:14" x14ac:dyDescent="0.25">
      <c r="A186" t="s">
        <v>19</v>
      </c>
      <c r="B186" t="s">
        <v>1183</v>
      </c>
      <c r="C186">
        <f>VLOOKUP(B186,raw!A:K,11,0)</f>
        <v>71</v>
      </c>
      <c r="D186">
        <f>VLOOKUP(B186,raw!A:K,3,0)+VLOOKUP(B186,raw!A:K,7,0)</f>
        <v>23</v>
      </c>
      <c r="E186">
        <f>VLOOKUP(B186,raw!A:K,4,0)</f>
        <v>0</v>
      </c>
      <c r="F186">
        <f>VLOOKUP(B186,raw!A:K,5,0)</f>
        <v>0</v>
      </c>
      <c r="G186">
        <f>VLOOKUP(B186,raw!A:K,2,0)+VLOOKUP(B186,raw!A:K,10,0)</f>
        <v>0</v>
      </c>
      <c r="H186">
        <f>VLOOKUP(B186,raw!A:K,6,0)</f>
        <v>0</v>
      </c>
      <c r="I186">
        <f>VLOOKUP(B186,raw!A:K,9,0)</f>
        <v>48</v>
      </c>
      <c r="J186">
        <f>VLOOKUP(B186,raw!A:K,8,0)</f>
        <v>0</v>
      </c>
      <c r="K186">
        <f>_xlfn.IFNA(VLOOKUP(B186,TDK!A:C,2,0),0)</f>
        <v>10</v>
      </c>
      <c r="L186">
        <f>_xlfn.IFNA(VLOOKUP(B186,TDK!A:C,3,0),0)</f>
        <v>0</v>
      </c>
      <c r="M186">
        <f>_xlfn.IFNA(VLOOKUP(B186,TDK!F:G,2,0),0)</f>
        <v>13</v>
      </c>
      <c r="N186">
        <f t="shared" si="2"/>
        <v>23</v>
      </c>
    </row>
    <row r="187" spans="1:14" x14ac:dyDescent="0.25">
      <c r="A187" t="s">
        <v>19</v>
      </c>
      <c r="B187" t="s">
        <v>1184</v>
      </c>
      <c r="C187">
        <f>VLOOKUP(B187,raw!A:K,11,0)</f>
        <v>129</v>
      </c>
      <c r="D187">
        <f>VLOOKUP(B187,raw!A:K,3,0)+VLOOKUP(B187,raw!A:K,7,0)</f>
        <v>82</v>
      </c>
      <c r="E187">
        <f>VLOOKUP(B187,raw!A:K,4,0)</f>
        <v>0</v>
      </c>
      <c r="F187">
        <f>VLOOKUP(B187,raw!A:K,5,0)</f>
        <v>0</v>
      </c>
      <c r="G187">
        <f>VLOOKUP(B187,raw!A:K,2,0)+VLOOKUP(B187,raw!A:K,10,0)</f>
        <v>0</v>
      </c>
      <c r="H187">
        <f>VLOOKUP(B187,raw!A:K,6,0)</f>
        <v>0</v>
      </c>
      <c r="I187">
        <f>VLOOKUP(B187,raw!A:K,9,0)</f>
        <v>47</v>
      </c>
      <c r="J187">
        <f>VLOOKUP(B187,raw!A:K,8,0)</f>
        <v>0</v>
      </c>
      <c r="K187">
        <f>_xlfn.IFNA(VLOOKUP(B187,TDK!A:C,2,0),0)</f>
        <v>32</v>
      </c>
      <c r="L187">
        <f>_xlfn.IFNA(VLOOKUP(B187,TDK!A:C,3,0),0)</f>
        <v>1</v>
      </c>
      <c r="M187">
        <f>_xlfn.IFNA(VLOOKUP(B187,TDK!F:G,2,0),0)</f>
        <v>19</v>
      </c>
      <c r="N187">
        <f t="shared" si="2"/>
        <v>52</v>
      </c>
    </row>
    <row r="188" spans="1:14" x14ac:dyDescent="0.25">
      <c r="A188" t="s">
        <v>25</v>
      </c>
      <c r="B188" t="s">
        <v>1185</v>
      </c>
      <c r="C188">
        <f>VLOOKUP(B188,raw!A:K,11,0)</f>
        <v>105</v>
      </c>
      <c r="D188">
        <f>VLOOKUP(B188,raw!A:K,3,0)+VLOOKUP(B188,raw!A:K,7,0)</f>
        <v>42</v>
      </c>
      <c r="E188">
        <f>VLOOKUP(B188,raw!A:K,4,0)</f>
        <v>0</v>
      </c>
      <c r="F188">
        <f>VLOOKUP(B188,raw!A:K,5,0)</f>
        <v>0</v>
      </c>
      <c r="G188">
        <f>VLOOKUP(B188,raw!A:K,2,0)+VLOOKUP(B188,raw!A:K,10,0)</f>
        <v>0</v>
      </c>
      <c r="H188">
        <f>VLOOKUP(B188,raw!A:K,6,0)</f>
        <v>0</v>
      </c>
      <c r="I188">
        <f>VLOOKUP(B188,raw!A:K,9,0)</f>
        <v>63</v>
      </c>
      <c r="J188">
        <f>VLOOKUP(B188,raw!A:K,8,0)</f>
        <v>0</v>
      </c>
      <c r="K188">
        <f>_xlfn.IFNA(VLOOKUP(B188,TDK!A:C,2,0),0)</f>
        <v>25</v>
      </c>
      <c r="L188">
        <f>_xlfn.IFNA(VLOOKUP(B188,TDK!A:C,3,0),0)</f>
        <v>7</v>
      </c>
      <c r="M188">
        <f>_xlfn.IFNA(VLOOKUP(B188,TDK!F:G,2,0),0)</f>
        <v>51</v>
      </c>
      <c r="N188">
        <f t="shared" si="2"/>
        <v>83</v>
      </c>
    </row>
    <row r="189" spans="1:14" x14ac:dyDescent="0.25">
      <c r="A189" t="s">
        <v>25</v>
      </c>
      <c r="B189" t="s">
        <v>1186</v>
      </c>
      <c r="C189">
        <f>VLOOKUP(B189,raw!A:K,11,0)</f>
        <v>56</v>
      </c>
      <c r="D189">
        <f>VLOOKUP(B189,raw!A:K,3,0)+VLOOKUP(B189,raw!A:K,7,0)</f>
        <v>29</v>
      </c>
      <c r="E189">
        <f>VLOOKUP(B189,raw!A:K,4,0)</f>
        <v>0</v>
      </c>
      <c r="F189">
        <f>VLOOKUP(B189,raw!A:K,5,0)</f>
        <v>0</v>
      </c>
      <c r="G189">
        <f>VLOOKUP(B189,raw!A:K,2,0)+VLOOKUP(B189,raw!A:K,10,0)</f>
        <v>0</v>
      </c>
      <c r="H189">
        <f>VLOOKUP(B189,raw!A:K,6,0)</f>
        <v>0</v>
      </c>
      <c r="I189">
        <f>VLOOKUP(B189,raw!A:K,9,0)</f>
        <v>27</v>
      </c>
      <c r="J189">
        <f>VLOOKUP(B189,raw!A:K,8,0)</f>
        <v>0</v>
      </c>
      <c r="K189">
        <f>_xlfn.IFNA(VLOOKUP(B189,TDK!A:C,2,0),0)</f>
        <v>14</v>
      </c>
      <c r="L189">
        <f>_xlfn.IFNA(VLOOKUP(B189,TDK!A:C,3,0),0)</f>
        <v>5</v>
      </c>
      <c r="M189">
        <f>_xlfn.IFNA(VLOOKUP(B189,TDK!F:G,2,0),0)</f>
        <v>15</v>
      </c>
      <c r="N189">
        <f t="shared" si="2"/>
        <v>34</v>
      </c>
    </row>
    <row r="190" spans="1:14" x14ac:dyDescent="0.25">
      <c r="A190" t="s">
        <v>25</v>
      </c>
      <c r="B190" t="s">
        <v>1187</v>
      </c>
      <c r="C190">
        <f>VLOOKUP(B190,raw!A:K,11,0)</f>
        <v>69</v>
      </c>
      <c r="D190">
        <f>VLOOKUP(B190,raw!A:K,3,0)+VLOOKUP(B190,raw!A:K,7,0)</f>
        <v>24</v>
      </c>
      <c r="E190">
        <f>VLOOKUP(B190,raw!A:K,4,0)</f>
        <v>0</v>
      </c>
      <c r="F190">
        <f>VLOOKUP(B190,raw!A:K,5,0)</f>
        <v>0</v>
      </c>
      <c r="G190">
        <f>VLOOKUP(B190,raw!A:K,2,0)+VLOOKUP(B190,raw!A:K,10,0)</f>
        <v>0</v>
      </c>
      <c r="H190">
        <f>VLOOKUP(B190,raw!A:K,6,0)</f>
        <v>0</v>
      </c>
      <c r="I190">
        <f>VLOOKUP(B190,raw!A:K,9,0)</f>
        <v>45</v>
      </c>
      <c r="J190">
        <f>VLOOKUP(B190,raw!A:K,8,0)</f>
        <v>0</v>
      </c>
      <c r="K190">
        <f>_xlfn.IFNA(VLOOKUP(B190,TDK!A:C,2,0),0)</f>
        <v>16</v>
      </c>
      <c r="L190">
        <f>_xlfn.IFNA(VLOOKUP(B190,TDK!A:C,3,0),0)</f>
        <v>0</v>
      </c>
      <c r="M190">
        <f>_xlfn.IFNA(VLOOKUP(B190,TDK!F:G,2,0),0)</f>
        <v>13</v>
      </c>
      <c r="N190">
        <f t="shared" si="2"/>
        <v>29</v>
      </c>
    </row>
    <row r="191" spans="1:14" x14ac:dyDescent="0.25">
      <c r="A191" t="s">
        <v>25</v>
      </c>
      <c r="B191" t="s">
        <v>1188</v>
      </c>
      <c r="C191">
        <f>VLOOKUP(B191,raw!A:K,11,0)</f>
        <v>101</v>
      </c>
      <c r="D191">
        <f>VLOOKUP(B191,raw!A:K,3,0)+VLOOKUP(B191,raw!A:K,7,0)</f>
        <v>101</v>
      </c>
      <c r="E191">
        <f>VLOOKUP(B191,raw!A:K,4,0)</f>
        <v>0</v>
      </c>
      <c r="F191">
        <f>VLOOKUP(B191,raw!A:K,5,0)</f>
        <v>0</v>
      </c>
      <c r="G191">
        <f>VLOOKUP(B191,raw!A:K,2,0)+VLOOKUP(B191,raw!A:K,10,0)</f>
        <v>0</v>
      </c>
      <c r="H191">
        <f>VLOOKUP(B191,raw!A:K,6,0)</f>
        <v>0</v>
      </c>
      <c r="I191">
        <f>VLOOKUP(B191,raw!A:K,9,0)</f>
        <v>0</v>
      </c>
      <c r="J191">
        <f>VLOOKUP(B191,raw!A:K,8,0)</f>
        <v>0</v>
      </c>
      <c r="K191">
        <f>_xlfn.IFNA(VLOOKUP(B191,TDK!A:C,2,0),0)</f>
        <v>17</v>
      </c>
      <c r="L191">
        <f>_xlfn.IFNA(VLOOKUP(B191,TDK!A:C,3,0),0)</f>
        <v>1</v>
      </c>
      <c r="M191">
        <f>_xlfn.IFNA(VLOOKUP(B191,TDK!F:G,2,0),0)</f>
        <v>24</v>
      </c>
      <c r="N191">
        <f t="shared" si="2"/>
        <v>42</v>
      </c>
    </row>
    <row r="192" spans="1:14" x14ac:dyDescent="0.25">
      <c r="A192" t="s">
        <v>25</v>
      </c>
      <c r="B192" t="s">
        <v>1189</v>
      </c>
      <c r="C192">
        <f>VLOOKUP(B192,raw!A:K,11,0)</f>
        <v>65</v>
      </c>
      <c r="D192">
        <f>VLOOKUP(B192,raw!A:K,3,0)+VLOOKUP(B192,raw!A:K,7,0)</f>
        <v>36</v>
      </c>
      <c r="E192">
        <f>VLOOKUP(B192,raw!A:K,4,0)</f>
        <v>0</v>
      </c>
      <c r="F192">
        <f>VLOOKUP(B192,raw!A:K,5,0)</f>
        <v>0</v>
      </c>
      <c r="G192">
        <f>VLOOKUP(B192,raw!A:K,2,0)+VLOOKUP(B192,raw!A:K,10,0)</f>
        <v>0</v>
      </c>
      <c r="H192">
        <f>VLOOKUP(B192,raw!A:K,6,0)</f>
        <v>0</v>
      </c>
      <c r="I192">
        <f>VLOOKUP(B192,raw!A:K,9,0)</f>
        <v>29</v>
      </c>
      <c r="J192">
        <f>VLOOKUP(B192,raw!A:K,8,0)</f>
        <v>0</v>
      </c>
      <c r="K192">
        <f>_xlfn.IFNA(VLOOKUP(B192,TDK!A:C,2,0),0)</f>
        <v>18</v>
      </c>
      <c r="L192">
        <f>_xlfn.IFNA(VLOOKUP(B192,TDK!A:C,3,0),0)</f>
        <v>1</v>
      </c>
      <c r="M192">
        <f>_xlfn.IFNA(VLOOKUP(B192,TDK!F:G,2,0),0)</f>
        <v>9</v>
      </c>
      <c r="N192">
        <f t="shared" si="2"/>
        <v>28</v>
      </c>
    </row>
    <row r="193" spans="1:14" x14ac:dyDescent="0.25">
      <c r="A193" t="s">
        <v>25</v>
      </c>
      <c r="B193" t="s">
        <v>1190</v>
      </c>
      <c r="C193">
        <f>VLOOKUP(B193,raw!A:K,11,0)</f>
        <v>82</v>
      </c>
      <c r="D193">
        <f>VLOOKUP(B193,raw!A:K,3,0)+VLOOKUP(B193,raw!A:K,7,0)</f>
        <v>82</v>
      </c>
      <c r="E193">
        <f>VLOOKUP(B193,raw!A:K,4,0)</f>
        <v>0</v>
      </c>
      <c r="F193">
        <f>VLOOKUP(B193,raw!A:K,5,0)</f>
        <v>0</v>
      </c>
      <c r="G193">
        <f>VLOOKUP(B193,raw!A:K,2,0)+VLOOKUP(B193,raw!A:K,10,0)</f>
        <v>0</v>
      </c>
      <c r="H193">
        <f>VLOOKUP(B193,raw!A:K,6,0)</f>
        <v>0</v>
      </c>
      <c r="I193">
        <f>VLOOKUP(B193,raw!A:K,9,0)</f>
        <v>0</v>
      </c>
      <c r="J193">
        <f>VLOOKUP(B193,raw!A:K,8,0)</f>
        <v>0</v>
      </c>
      <c r="K193">
        <f>_xlfn.IFNA(VLOOKUP(B193,TDK!A:C,2,0),0)</f>
        <v>7</v>
      </c>
      <c r="L193">
        <f>_xlfn.IFNA(VLOOKUP(B193,TDK!A:C,3,0),0)</f>
        <v>5</v>
      </c>
      <c r="M193">
        <f>_xlfn.IFNA(VLOOKUP(B193,TDK!F:G,2,0),0)</f>
        <v>34</v>
      </c>
      <c r="N193">
        <f t="shared" si="2"/>
        <v>46</v>
      </c>
    </row>
    <row r="194" spans="1:14" x14ac:dyDescent="0.25">
      <c r="A194" t="s">
        <v>25</v>
      </c>
      <c r="B194" t="s">
        <v>1191</v>
      </c>
      <c r="C194">
        <f>VLOOKUP(B194,raw!A:K,11,0)</f>
        <v>104</v>
      </c>
      <c r="D194">
        <f>VLOOKUP(B194,raw!A:K,3,0)+VLOOKUP(B194,raw!A:K,7,0)</f>
        <v>104</v>
      </c>
      <c r="E194">
        <f>VLOOKUP(B194,raw!A:K,4,0)</f>
        <v>0</v>
      </c>
      <c r="F194">
        <f>VLOOKUP(B194,raw!A:K,5,0)</f>
        <v>0</v>
      </c>
      <c r="G194">
        <f>VLOOKUP(B194,raw!A:K,2,0)+VLOOKUP(B194,raw!A:K,10,0)</f>
        <v>0</v>
      </c>
      <c r="H194">
        <f>VLOOKUP(B194,raw!A:K,6,0)</f>
        <v>0</v>
      </c>
      <c r="I194">
        <f>VLOOKUP(B194,raw!A:K,9,0)</f>
        <v>0</v>
      </c>
      <c r="J194">
        <f>VLOOKUP(B194,raw!A:K,8,0)</f>
        <v>0</v>
      </c>
      <c r="K194">
        <f>_xlfn.IFNA(VLOOKUP(B194,TDK!A:C,2,0),0)</f>
        <v>13</v>
      </c>
      <c r="L194">
        <f>_xlfn.IFNA(VLOOKUP(B194,TDK!A:C,3,0),0)</f>
        <v>2</v>
      </c>
      <c r="M194">
        <f>_xlfn.IFNA(VLOOKUP(B194,TDK!F:G,2,0),0)</f>
        <v>18</v>
      </c>
      <c r="N194">
        <f t="shared" si="2"/>
        <v>33</v>
      </c>
    </row>
    <row r="195" spans="1:14" x14ac:dyDescent="0.25">
      <c r="A195" t="s">
        <v>25</v>
      </c>
      <c r="B195" t="s">
        <v>1192</v>
      </c>
      <c r="C195">
        <f>VLOOKUP(B195,raw!A:K,11,0)</f>
        <v>172</v>
      </c>
      <c r="D195">
        <f>VLOOKUP(B195,raw!A:K,3,0)+VLOOKUP(B195,raw!A:K,7,0)</f>
        <v>172</v>
      </c>
      <c r="E195">
        <f>VLOOKUP(B195,raw!A:K,4,0)</f>
        <v>0</v>
      </c>
      <c r="F195">
        <f>VLOOKUP(B195,raw!A:K,5,0)</f>
        <v>0</v>
      </c>
      <c r="G195">
        <f>VLOOKUP(B195,raw!A:K,2,0)+VLOOKUP(B195,raw!A:K,10,0)</f>
        <v>0</v>
      </c>
      <c r="H195">
        <f>VLOOKUP(B195,raw!A:K,6,0)</f>
        <v>0</v>
      </c>
      <c r="I195">
        <f>VLOOKUP(B195,raw!A:K,9,0)</f>
        <v>0</v>
      </c>
      <c r="J195">
        <f>VLOOKUP(B195,raw!A:K,8,0)</f>
        <v>0</v>
      </c>
      <c r="K195">
        <f>_xlfn.IFNA(VLOOKUP(B195,TDK!A:C,2,0),0)</f>
        <v>43</v>
      </c>
      <c r="L195">
        <f>_xlfn.IFNA(VLOOKUP(B195,TDK!A:C,3,0),0)</f>
        <v>1</v>
      </c>
      <c r="M195">
        <f>_xlfn.IFNA(VLOOKUP(B195,TDK!F:G,2,0),0)</f>
        <v>29</v>
      </c>
      <c r="N195">
        <f t="shared" ref="N195:N258" si="3">SUM(K195:M195)</f>
        <v>73</v>
      </c>
    </row>
    <row r="196" spans="1:14" x14ac:dyDescent="0.25">
      <c r="A196" t="s">
        <v>18</v>
      </c>
      <c r="B196" t="s">
        <v>1193</v>
      </c>
      <c r="C196">
        <f>VLOOKUP(B196,raw!A:K,11,0)</f>
        <v>139</v>
      </c>
      <c r="D196">
        <f>VLOOKUP(B196,raw!A:K,3,0)+VLOOKUP(B196,raw!A:K,7,0)</f>
        <v>139</v>
      </c>
      <c r="E196">
        <f>VLOOKUP(B196,raw!A:K,4,0)</f>
        <v>0</v>
      </c>
      <c r="F196">
        <f>VLOOKUP(B196,raw!A:K,5,0)</f>
        <v>0</v>
      </c>
      <c r="G196">
        <f>VLOOKUP(B196,raw!A:K,2,0)+VLOOKUP(B196,raw!A:K,10,0)</f>
        <v>0</v>
      </c>
      <c r="H196">
        <f>VLOOKUP(B196,raw!A:K,6,0)</f>
        <v>0</v>
      </c>
      <c r="I196">
        <f>VLOOKUP(B196,raw!A:K,9,0)</f>
        <v>0</v>
      </c>
      <c r="J196">
        <f>VLOOKUP(B196,raw!A:K,8,0)</f>
        <v>0</v>
      </c>
      <c r="K196">
        <f>_xlfn.IFNA(VLOOKUP(B196,TDK!A:C,2,0),0)</f>
        <v>38</v>
      </c>
      <c r="L196">
        <f>_xlfn.IFNA(VLOOKUP(B196,TDK!A:C,3,0),0)</f>
        <v>0</v>
      </c>
      <c r="M196">
        <f>_xlfn.IFNA(VLOOKUP(B196,TDK!F:G,2,0),0)</f>
        <v>17</v>
      </c>
      <c r="N196">
        <f t="shared" si="3"/>
        <v>55</v>
      </c>
    </row>
    <row r="197" spans="1:14" x14ac:dyDescent="0.25">
      <c r="A197" t="s">
        <v>25</v>
      </c>
      <c r="B197" t="s">
        <v>1194</v>
      </c>
      <c r="C197">
        <f>VLOOKUP(B197,raw!A:K,11,0)</f>
        <v>96</v>
      </c>
      <c r="D197">
        <f>VLOOKUP(B197,raw!A:K,3,0)+VLOOKUP(B197,raw!A:K,7,0)</f>
        <v>33</v>
      </c>
      <c r="E197">
        <f>VLOOKUP(B197,raw!A:K,4,0)</f>
        <v>0</v>
      </c>
      <c r="F197">
        <f>VLOOKUP(B197,raw!A:K,5,0)</f>
        <v>0</v>
      </c>
      <c r="G197">
        <f>VLOOKUP(B197,raw!A:K,2,0)+VLOOKUP(B197,raw!A:K,10,0)</f>
        <v>0</v>
      </c>
      <c r="H197">
        <f>VLOOKUP(B197,raw!A:K,6,0)</f>
        <v>0</v>
      </c>
      <c r="I197">
        <f>VLOOKUP(B197,raw!A:K,9,0)</f>
        <v>63</v>
      </c>
      <c r="J197">
        <f>VLOOKUP(B197,raw!A:K,8,0)</f>
        <v>0</v>
      </c>
      <c r="K197">
        <f>_xlfn.IFNA(VLOOKUP(B197,TDK!A:C,2,0),0)</f>
        <v>20</v>
      </c>
      <c r="L197">
        <f>_xlfn.IFNA(VLOOKUP(B197,TDK!A:C,3,0),0)</f>
        <v>3</v>
      </c>
      <c r="M197">
        <f>_xlfn.IFNA(VLOOKUP(B197,TDK!F:G,2,0),0)</f>
        <v>34</v>
      </c>
      <c r="N197">
        <f t="shared" si="3"/>
        <v>57</v>
      </c>
    </row>
    <row r="198" spans="1:14" x14ac:dyDescent="0.25">
      <c r="A198" t="s">
        <v>18</v>
      </c>
      <c r="B198" t="s">
        <v>1195</v>
      </c>
      <c r="C198">
        <f>VLOOKUP(B198,raw!A:K,11,0)</f>
        <v>105</v>
      </c>
      <c r="D198">
        <f>VLOOKUP(B198,raw!A:K,3,0)+VLOOKUP(B198,raw!A:K,7,0)</f>
        <v>62</v>
      </c>
      <c r="E198">
        <f>VLOOKUP(B198,raw!A:K,4,0)</f>
        <v>0</v>
      </c>
      <c r="F198">
        <f>VLOOKUP(B198,raw!A:K,5,0)</f>
        <v>0</v>
      </c>
      <c r="G198">
        <f>VLOOKUP(B198,raw!A:K,2,0)+VLOOKUP(B198,raw!A:K,10,0)</f>
        <v>0</v>
      </c>
      <c r="H198">
        <f>VLOOKUP(B198,raw!A:K,6,0)</f>
        <v>0</v>
      </c>
      <c r="I198">
        <f>VLOOKUP(B198,raw!A:K,9,0)</f>
        <v>43</v>
      </c>
      <c r="J198">
        <f>VLOOKUP(B198,raw!A:K,8,0)</f>
        <v>0</v>
      </c>
      <c r="K198">
        <f>_xlfn.IFNA(VLOOKUP(B198,TDK!A:C,2,0),0)</f>
        <v>33</v>
      </c>
      <c r="L198">
        <f>_xlfn.IFNA(VLOOKUP(B198,TDK!A:C,3,0),0)</f>
        <v>2</v>
      </c>
      <c r="M198">
        <f>_xlfn.IFNA(VLOOKUP(B198,TDK!F:G,2,0),0)</f>
        <v>27</v>
      </c>
      <c r="N198">
        <f t="shared" si="3"/>
        <v>62</v>
      </c>
    </row>
    <row r="199" spans="1:14" x14ac:dyDescent="0.25">
      <c r="A199" t="s">
        <v>18</v>
      </c>
      <c r="B199" t="s">
        <v>1196</v>
      </c>
      <c r="C199">
        <f>VLOOKUP(B199,raw!A:K,11,0)</f>
        <v>87</v>
      </c>
      <c r="D199">
        <f>VLOOKUP(B199,raw!A:K,3,0)+VLOOKUP(B199,raw!A:K,7,0)</f>
        <v>78</v>
      </c>
      <c r="E199">
        <f>VLOOKUP(B199,raw!A:K,4,0)</f>
        <v>0</v>
      </c>
      <c r="F199">
        <f>VLOOKUP(B199,raw!A:K,5,0)</f>
        <v>0</v>
      </c>
      <c r="G199">
        <f>VLOOKUP(B199,raw!A:K,2,0)+VLOOKUP(B199,raw!A:K,10,0)</f>
        <v>0</v>
      </c>
      <c r="H199">
        <f>VLOOKUP(B199,raw!A:K,6,0)</f>
        <v>0</v>
      </c>
      <c r="I199">
        <f>VLOOKUP(B199,raw!A:K,9,0)</f>
        <v>9</v>
      </c>
      <c r="J199">
        <f>VLOOKUP(B199,raw!A:K,8,0)</f>
        <v>0</v>
      </c>
      <c r="K199">
        <f>_xlfn.IFNA(VLOOKUP(B199,TDK!A:C,2,0),0)</f>
        <v>17</v>
      </c>
      <c r="L199">
        <f>_xlfn.IFNA(VLOOKUP(B199,TDK!A:C,3,0),0)</f>
        <v>3</v>
      </c>
      <c r="M199">
        <f>_xlfn.IFNA(VLOOKUP(B199,TDK!F:G,2,0),0)</f>
        <v>22</v>
      </c>
      <c r="N199">
        <f t="shared" si="3"/>
        <v>42</v>
      </c>
    </row>
    <row r="200" spans="1:14" x14ac:dyDescent="0.25">
      <c r="A200" t="s">
        <v>18</v>
      </c>
      <c r="B200" t="s">
        <v>1197</v>
      </c>
      <c r="C200">
        <f>VLOOKUP(B200,raw!A:K,11,0)</f>
        <v>41</v>
      </c>
      <c r="D200">
        <f>VLOOKUP(B200,raw!A:K,3,0)+VLOOKUP(B200,raw!A:K,7,0)</f>
        <v>41</v>
      </c>
      <c r="E200">
        <f>VLOOKUP(B200,raw!A:K,4,0)</f>
        <v>0</v>
      </c>
      <c r="F200">
        <f>VLOOKUP(B200,raw!A:K,5,0)</f>
        <v>0</v>
      </c>
      <c r="G200">
        <f>VLOOKUP(B200,raw!A:K,2,0)+VLOOKUP(B200,raw!A:K,10,0)</f>
        <v>0</v>
      </c>
      <c r="H200">
        <f>VLOOKUP(B200,raw!A:K,6,0)</f>
        <v>0</v>
      </c>
      <c r="I200">
        <f>VLOOKUP(B200,raw!A:K,9,0)</f>
        <v>0</v>
      </c>
      <c r="J200">
        <f>VLOOKUP(B200,raw!A:K,8,0)</f>
        <v>0</v>
      </c>
      <c r="K200">
        <f>_xlfn.IFNA(VLOOKUP(B200,TDK!A:C,2,0),0)</f>
        <v>8</v>
      </c>
      <c r="L200">
        <f>_xlfn.IFNA(VLOOKUP(B200,TDK!A:C,3,0),0)</f>
        <v>0</v>
      </c>
      <c r="M200">
        <f>_xlfn.IFNA(VLOOKUP(B200,TDK!F:G,2,0),0)</f>
        <v>6</v>
      </c>
      <c r="N200">
        <f t="shared" si="3"/>
        <v>14</v>
      </c>
    </row>
    <row r="201" spans="1:14" x14ac:dyDescent="0.25">
      <c r="A201" t="s">
        <v>18</v>
      </c>
      <c r="B201" t="s">
        <v>1198</v>
      </c>
      <c r="C201">
        <f>VLOOKUP(B201,raw!A:K,11,0)</f>
        <v>106</v>
      </c>
      <c r="D201">
        <f>VLOOKUP(B201,raw!A:K,3,0)+VLOOKUP(B201,raw!A:K,7,0)</f>
        <v>106</v>
      </c>
      <c r="E201">
        <f>VLOOKUP(B201,raw!A:K,4,0)</f>
        <v>0</v>
      </c>
      <c r="F201">
        <f>VLOOKUP(B201,raw!A:K,5,0)</f>
        <v>0</v>
      </c>
      <c r="G201">
        <f>VLOOKUP(B201,raw!A:K,2,0)+VLOOKUP(B201,raw!A:K,10,0)</f>
        <v>0</v>
      </c>
      <c r="H201">
        <f>VLOOKUP(B201,raw!A:K,6,0)</f>
        <v>0</v>
      </c>
      <c r="I201">
        <f>VLOOKUP(B201,raw!A:K,9,0)</f>
        <v>0</v>
      </c>
      <c r="J201">
        <f>VLOOKUP(B201,raw!A:K,8,0)</f>
        <v>0</v>
      </c>
      <c r="K201">
        <f>_xlfn.IFNA(VLOOKUP(B201,TDK!A:C,2,0),0)</f>
        <v>24</v>
      </c>
      <c r="L201">
        <f>_xlfn.IFNA(VLOOKUP(B201,TDK!A:C,3,0),0)</f>
        <v>0</v>
      </c>
      <c r="M201">
        <f>_xlfn.IFNA(VLOOKUP(B201,TDK!F:G,2,0),0)</f>
        <v>12</v>
      </c>
      <c r="N201">
        <f t="shared" si="3"/>
        <v>36</v>
      </c>
    </row>
    <row r="202" spans="1:14" x14ac:dyDescent="0.25">
      <c r="A202" t="s">
        <v>18</v>
      </c>
      <c r="B202" t="s">
        <v>1199</v>
      </c>
      <c r="C202">
        <f>VLOOKUP(B202,raw!A:K,11,0)</f>
        <v>111</v>
      </c>
      <c r="D202">
        <f>VLOOKUP(B202,raw!A:K,3,0)+VLOOKUP(B202,raw!A:K,7,0)</f>
        <v>111</v>
      </c>
      <c r="E202">
        <f>VLOOKUP(B202,raw!A:K,4,0)</f>
        <v>0</v>
      </c>
      <c r="F202">
        <f>VLOOKUP(B202,raw!A:K,5,0)</f>
        <v>0</v>
      </c>
      <c r="G202">
        <f>VLOOKUP(B202,raw!A:K,2,0)+VLOOKUP(B202,raw!A:K,10,0)</f>
        <v>0</v>
      </c>
      <c r="H202">
        <f>VLOOKUP(B202,raw!A:K,6,0)</f>
        <v>0</v>
      </c>
      <c r="I202">
        <f>VLOOKUP(B202,raw!A:K,9,0)</f>
        <v>0</v>
      </c>
      <c r="J202">
        <f>VLOOKUP(B202,raw!A:K,8,0)</f>
        <v>0</v>
      </c>
      <c r="K202">
        <f>_xlfn.IFNA(VLOOKUP(B202,TDK!A:C,2,0),0)</f>
        <v>18</v>
      </c>
      <c r="L202">
        <f>_xlfn.IFNA(VLOOKUP(B202,TDK!A:C,3,0),0)</f>
        <v>1</v>
      </c>
      <c r="M202">
        <f>_xlfn.IFNA(VLOOKUP(B202,TDK!F:G,2,0),0)</f>
        <v>39</v>
      </c>
      <c r="N202">
        <f t="shared" si="3"/>
        <v>58</v>
      </c>
    </row>
    <row r="203" spans="1:14" x14ac:dyDescent="0.25">
      <c r="A203" t="s">
        <v>18</v>
      </c>
      <c r="B203" t="s">
        <v>1200</v>
      </c>
      <c r="C203">
        <f>VLOOKUP(B203,raw!A:K,11,0)</f>
        <v>81</v>
      </c>
      <c r="D203">
        <f>VLOOKUP(B203,raw!A:K,3,0)+VLOOKUP(B203,raw!A:K,7,0)</f>
        <v>81</v>
      </c>
      <c r="E203">
        <f>VLOOKUP(B203,raw!A:K,4,0)</f>
        <v>0</v>
      </c>
      <c r="F203">
        <f>VLOOKUP(B203,raw!A:K,5,0)</f>
        <v>0</v>
      </c>
      <c r="G203">
        <f>VLOOKUP(B203,raw!A:K,2,0)+VLOOKUP(B203,raw!A:K,10,0)</f>
        <v>0</v>
      </c>
      <c r="H203">
        <f>VLOOKUP(B203,raw!A:K,6,0)</f>
        <v>0</v>
      </c>
      <c r="I203">
        <f>VLOOKUP(B203,raw!A:K,9,0)</f>
        <v>0</v>
      </c>
      <c r="J203">
        <f>VLOOKUP(B203,raw!A:K,8,0)</f>
        <v>0</v>
      </c>
      <c r="K203">
        <f>_xlfn.IFNA(VLOOKUP(B203,TDK!A:C,2,0),0)</f>
        <v>20</v>
      </c>
      <c r="L203">
        <f>_xlfn.IFNA(VLOOKUP(B203,TDK!A:C,3,0),0)</f>
        <v>1</v>
      </c>
      <c r="M203">
        <f>_xlfn.IFNA(VLOOKUP(B203,TDK!F:G,2,0),0)</f>
        <v>10</v>
      </c>
      <c r="N203">
        <f t="shared" si="3"/>
        <v>31</v>
      </c>
    </row>
    <row r="204" spans="1:14" x14ac:dyDescent="0.25">
      <c r="A204" t="s">
        <v>18</v>
      </c>
      <c r="B204" t="s">
        <v>1201</v>
      </c>
      <c r="C204">
        <f>VLOOKUP(B204,raw!A:K,11,0)</f>
        <v>165</v>
      </c>
      <c r="D204">
        <f>VLOOKUP(B204,raw!A:K,3,0)+VLOOKUP(B204,raw!A:K,7,0)</f>
        <v>165</v>
      </c>
      <c r="E204">
        <f>VLOOKUP(B204,raw!A:K,4,0)</f>
        <v>0</v>
      </c>
      <c r="F204">
        <f>VLOOKUP(B204,raw!A:K,5,0)</f>
        <v>0</v>
      </c>
      <c r="G204">
        <f>VLOOKUP(B204,raw!A:K,2,0)+VLOOKUP(B204,raw!A:K,10,0)</f>
        <v>0</v>
      </c>
      <c r="H204">
        <f>VLOOKUP(B204,raw!A:K,6,0)</f>
        <v>0</v>
      </c>
      <c r="I204">
        <f>VLOOKUP(B204,raw!A:K,9,0)</f>
        <v>0</v>
      </c>
      <c r="J204">
        <f>VLOOKUP(B204,raw!A:K,8,0)</f>
        <v>0</v>
      </c>
      <c r="K204">
        <f>_xlfn.IFNA(VLOOKUP(B204,TDK!A:C,2,0),0)</f>
        <v>18</v>
      </c>
      <c r="L204">
        <f>_xlfn.IFNA(VLOOKUP(B204,TDK!A:C,3,0),0)</f>
        <v>1</v>
      </c>
      <c r="M204">
        <f>_xlfn.IFNA(VLOOKUP(B204,TDK!F:G,2,0),0)</f>
        <v>89</v>
      </c>
      <c r="N204">
        <f t="shared" si="3"/>
        <v>108</v>
      </c>
    </row>
    <row r="205" spans="1:14" x14ac:dyDescent="0.25">
      <c r="A205" t="s">
        <v>26</v>
      </c>
      <c r="B205" t="s">
        <v>1202</v>
      </c>
      <c r="C205">
        <f>VLOOKUP(B205,raw!A:K,11,0)</f>
        <v>151</v>
      </c>
      <c r="D205">
        <f>VLOOKUP(B205,raw!A:K,3,0)+VLOOKUP(B205,raw!A:K,7,0)</f>
        <v>146</v>
      </c>
      <c r="E205">
        <f>VLOOKUP(B205,raw!A:K,4,0)</f>
        <v>5</v>
      </c>
      <c r="F205">
        <f>VLOOKUP(B205,raw!A:K,5,0)</f>
        <v>0</v>
      </c>
      <c r="G205">
        <f>VLOOKUP(B205,raw!A:K,2,0)+VLOOKUP(B205,raw!A:K,10,0)</f>
        <v>0</v>
      </c>
      <c r="H205">
        <f>VLOOKUP(B205,raw!A:K,6,0)</f>
        <v>0</v>
      </c>
      <c r="I205">
        <f>VLOOKUP(B205,raw!A:K,9,0)</f>
        <v>0</v>
      </c>
      <c r="J205">
        <f>VLOOKUP(B205,raw!A:K,8,0)</f>
        <v>0</v>
      </c>
      <c r="K205">
        <f>_xlfn.IFNA(VLOOKUP(B205,TDK!A:C,2,0),0)</f>
        <v>41</v>
      </c>
      <c r="L205">
        <f>_xlfn.IFNA(VLOOKUP(B205,TDK!A:C,3,0),0)</f>
        <v>3</v>
      </c>
      <c r="M205">
        <f>_xlfn.IFNA(VLOOKUP(B205,TDK!F:G,2,0),0)</f>
        <v>20</v>
      </c>
      <c r="N205">
        <f t="shared" si="3"/>
        <v>64</v>
      </c>
    </row>
    <row r="206" spans="1:14" x14ac:dyDescent="0.25">
      <c r="A206" t="s">
        <v>26</v>
      </c>
      <c r="B206" t="s">
        <v>1203</v>
      </c>
      <c r="C206">
        <f>VLOOKUP(B206,raw!A:K,11,0)</f>
        <v>96</v>
      </c>
      <c r="D206">
        <f>VLOOKUP(B206,raw!A:K,3,0)+VLOOKUP(B206,raw!A:K,7,0)</f>
        <v>94</v>
      </c>
      <c r="E206">
        <f>VLOOKUP(B206,raw!A:K,4,0)</f>
        <v>2</v>
      </c>
      <c r="F206">
        <f>VLOOKUP(B206,raw!A:K,5,0)</f>
        <v>0</v>
      </c>
      <c r="G206">
        <f>VLOOKUP(B206,raw!A:K,2,0)+VLOOKUP(B206,raw!A:K,10,0)</f>
        <v>0</v>
      </c>
      <c r="H206">
        <f>VLOOKUP(B206,raw!A:K,6,0)</f>
        <v>0</v>
      </c>
      <c r="I206">
        <f>VLOOKUP(B206,raw!A:K,9,0)</f>
        <v>0</v>
      </c>
      <c r="J206">
        <f>VLOOKUP(B206,raw!A:K,8,0)</f>
        <v>0</v>
      </c>
      <c r="K206">
        <f>_xlfn.IFNA(VLOOKUP(B206,TDK!A:C,2,0),0)</f>
        <v>21</v>
      </c>
      <c r="L206">
        <f>_xlfn.IFNA(VLOOKUP(B206,TDK!A:C,3,0),0)</f>
        <v>0</v>
      </c>
      <c r="M206">
        <f>_xlfn.IFNA(VLOOKUP(B206,TDK!F:G,2,0),0)</f>
        <v>9</v>
      </c>
      <c r="N206">
        <f t="shared" si="3"/>
        <v>30</v>
      </c>
    </row>
    <row r="207" spans="1:14" x14ac:dyDescent="0.25">
      <c r="A207" t="s">
        <v>26</v>
      </c>
      <c r="B207" t="s">
        <v>1204</v>
      </c>
      <c r="C207">
        <f>VLOOKUP(B207,raw!A:K,11,0)</f>
        <v>124</v>
      </c>
      <c r="D207">
        <f>VLOOKUP(B207,raw!A:K,3,0)+VLOOKUP(B207,raw!A:K,7,0)</f>
        <v>120</v>
      </c>
      <c r="E207">
        <f>VLOOKUP(B207,raw!A:K,4,0)</f>
        <v>2</v>
      </c>
      <c r="F207">
        <f>VLOOKUP(B207,raw!A:K,5,0)</f>
        <v>0</v>
      </c>
      <c r="G207">
        <f>VLOOKUP(B207,raw!A:K,2,0)+VLOOKUP(B207,raw!A:K,10,0)</f>
        <v>0</v>
      </c>
      <c r="H207">
        <f>VLOOKUP(B207,raw!A:K,6,0)</f>
        <v>0</v>
      </c>
      <c r="I207">
        <f>VLOOKUP(B207,raw!A:K,9,0)</f>
        <v>2</v>
      </c>
      <c r="J207">
        <f>VLOOKUP(B207,raw!A:K,8,0)</f>
        <v>0</v>
      </c>
      <c r="K207">
        <f>_xlfn.IFNA(VLOOKUP(B207,TDK!A:C,2,0),0)</f>
        <v>21</v>
      </c>
      <c r="L207">
        <f>_xlfn.IFNA(VLOOKUP(B207,TDK!A:C,3,0),0)</f>
        <v>0</v>
      </c>
      <c r="M207">
        <f>_xlfn.IFNA(VLOOKUP(B207,TDK!F:G,2,0),0)</f>
        <v>15</v>
      </c>
      <c r="N207">
        <f t="shared" si="3"/>
        <v>36</v>
      </c>
    </row>
    <row r="208" spans="1:14" x14ac:dyDescent="0.25">
      <c r="A208" t="s">
        <v>26</v>
      </c>
      <c r="B208" t="s">
        <v>1205</v>
      </c>
      <c r="C208">
        <f>VLOOKUP(B208,raw!A:K,11,0)</f>
        <v>79</v>
      </c>
      <c r="D208">
        <f>VLOOKUP(B208,raw!A:K,3,0)+VLOOKUP(B208,raw!A:K,7,0)</f>
        <v>79</v>
      </c>
      <c r="E208">
        <f>VLOOKUP(B208,raw!A:K,4,0)</f>
        <v>0</v>
      </c>
      <c r="F208">
        <f>VLOOKUP(B208,raw!A:K,5,0)</f>
        <v>0</v>
      </c>
      <c r="G208">
        <f>VLOOKUP(B208,raw!A:K,2,0)+VLOOKUP(B208,raw!A:K,10,0)</f>
        <v>0</v>
      </c>
      <c r="H208">
        <f>VLOOKUP(B208,raw!A:K,6,0)</f>
        <v>0</v>
      </c>
      <c r="I208">
        <f>VLOOKUP(B208,raw!A:K,9,0)</f>
        <v>0</v>
      </c>
      <c r="J208">
        <f>VLOOKUP(B208,raw!A:K,8,0)</f>
        <v>0</v>
      </c>
      <c r="K208">
        <f>_xlfn.IFNA(VLOOKUP(B208,TDK!A:C,2,0),0)</f>
        <v>19</v>
      </c>
      <c r="L208">
        <f>_xlfn.IFNA(VLOOKUP(B208,TDK!A:C,3,0),0)</f>
        <v>2</v>
      </c>
      <c r="M208">
        <f>_xlfn.IFNA(VLOOKUP(B208,TDK!F:G,2,0),0)</f>
        <v>8</v>
      </c>
      <c r="N208">
        <f t="shared" si="3"/>
        <v>29</v>
      </c>
    </row>
    <row r="209" spans="1:14" x14ac:dyDescent="0.25">
      <c r="A209" t="s">
        <v>26</v>
      </c>
      <c r="B209" t="s">
        <v>1206</v>
      </c>
      <c r="C209">
        <f>VLOOKUP(B209,raw!A:K,11,0)</f>
        <v>67</v>
      </c>
      <c r="D209">
        <f>VLOOKUP(B209,raw!A:K,3,0)+VLOOKUP(B209,raw!A:K,7,0)</f>
        <v>63</v>
      </c>
      <c r="E209">
        <f>VLOOKUP(B209,raw!A:K,4,0)</f>
        <v>0</v>
      </c>
      <c r="F209">
        <f>VLOOKUP(B209,raw!A:K,5,0)</f>
        <v>0</v>
      </c>
      <c r="G209">
        <f>VLOOKUP(B209,raw!A:K,2,0)+VLOOKUP(B209,raw!A:K,10,0)</f>
        <v>0</v>
      </c>
      <c r="H209">
        <f>VLOOKUP(B209,raw!A:K,6,0)</f>
        <v>0</v>
      </c>
      <c r="I209">
        <f>VLOOKUP(B209,raw!A:K,9,0)</f>
        <v>4</v>
      </c>
      <c r="J209">
        <f>VLOOKUP(B209,raw!A:K,8,0)</f>
        <v>0</v>
      </c>
      <c r="K209">
        <f>_xlfn.IFNA(VLOOKUP(B209,TDK!A:C,2,0),0)</f>
        <v>25</v>
      </c>
      <c r="L209">
        <f>_xlfn.IFNA(VLOOKUP(B209,TDK!A:C,3,0),0)</f>
        <v>2</v>
      </c>
      <c r="M209">
        <f>_xlfn.IFNA(VLOOKUP(B209,TDK!F:G,2,0),0)</f>
        <v>8</v>
      </c>
      <c r="N209">
        <f t="shared" si="3"/>
        <v>35</v>
      </c>
    </row>
    <row r="210" spans="1:14" x14ac:dyDescent="0.25">
      <c r="A210" t="s">
        <v>26</v>
      </c>
      <c r="B210" t="s">
        <v>1207</v>
      </c>
      <c r="C210">
        <f>VLOOKUP(B210,raw!A:K,11,0)</f>
        <v>91</v>
      </c>
      <c r="D210">
        <f>VLOOKUP(B210,raw!A:K,3,0)+VLOOKUP(B210,raw!A:K,7,0)</f>
        <v>87</v>
      </c>
      <c r="E210">
        <f>VLOOKUP(B210,raw!A:K,4,0)</f>
        <v>1</v>
      </c>
      <c r="F210">
        <f>VLOOKUP(B210,raw!A:K,5,0)</f>
        <v>0</v>
      </c>
      <c r="G210">
        <f>VLOOKUP(B210,raw!A:K,2,0)+VLOOKUP(B210,raw!A:K,10,0)</f>
        <v>0</v>
      </c>
      <c r="H210">
        <f>VLOOKUP(B210,raw!A:K,6,0)</f>
        <v>0</v>
      </c>
      <c r="I210">
        <f>VLOOKUP(B210,raw!A:K,9,0)</f>
        <v>3</v>
      </c>
      <c r="J210">
        <f>VLOOKUP(B210,raw!A:K,8,0)</f>
        <v>0</v>
      </c>
      <c r="K210">
        <f>_xlfn.IFNA(VLOOKUP(B210,TDK!A:C,2,0),0)</f>
        <v>14</v>
      </c>
      <c r="L210">
        <f>_xlfn.IFNA(VLOOKUP(B210,TDK!A:C,3,0),0)</f>
        <v>0</v>
      </c>
      <c r="M210">
        <f>_xlfn.IFNA(VLOOKUP(B210,TDK!F:G,2,0),0)</f>
        <v>18</v>
      </c>
      <c r="N210">
        <f t="shared" si="3"/>
        <v>32</v>
      </c>
    </row>
    <row r="211" spans="1:14" x14ac:dyDescent="0.25">
      <c r="A211" t="s">
        <v>27</v>
      </c>
      <c r="B211" t="s">
        <v>1208</v>
      </c>
      <c r="C211">
        <f>VLOOKUP(B211,raw!A:K,11,0)</f>
        <v>204</v>
      </c>
      <c r="D211">
        <f>VLOOKUP(B211,raw!A:K,3,0)+VLOOKUP(B211,raw!A:K,7,0)</f>
        <v>203</v>
      </c>
      <c r="E211">
        <f>VLOOKUP(B211,raw!A:K,4,0)</f>
        <v>1</v>
      </c>
      <c r="F211">
        <f>VLOOKUP(B211,raw!A:K,5,0)</f>
        <v>0</v>
      </c>
      <c r="G211">
        <f>VLOOKUP(B211,raw!A:K,2,0)+VLOOKUP(B211,raw!A:K,10,0)</f>
        <v>0</v>
      </c>
      <c r="H211">
        <f>VLOOKUP(B211,raw!A:K,6,0)</f>
        <v>0</v>
      </c>
      <c r="I211">
        <f>VLOOKUP(B211,raw!A:K,9,0)</f>
        <v>0</v>
      </c>
      <c r="J211">
        <f>VLOOKUP(B211,raw!A:K,8,0)</f>
        <v>0</v>
      </c>
      <c r="K211">
        <f>_xlfn.IFNA(VLOOKUP(B211,TDK!A:C,2,0),0)</f>
        <v>44</v>
      </c>
      <c r="L211">
        <f>_xlfn.IFNA(VLOOKUP(B211,TDK!A:C,3,0),0)</f>
        <v>0</v>
      </c>
      <c r="M211">
        <f>_xlfn.IFNA(VLOOKUP(B211,TDK!F:G,2,0),0)</f>
        <v>37</v>
      </c>
      <c r="N211">
        <f t="shared" si="3"/>
        <v>81</v>
      </c>
    </row>
    <row r="212" spans="1:14" x14ac:dyDescent="0.25">
      <c r="A212" t="s">
        <v>27</v>
      </c>
      <c r="B212" t="s">
        <v>1209</v>
      </c>
      <c r="C212">
        <f>VLOOKUP(B212,raw!A:K,11,0)</f>
        <v>88</v>
      </c>
      <c r="D212">
        <f>VLOOKUP(B212,raw!A:K,3,0)+VLOOKUP(B212,raw!A:K,7,0)</f>
        <v>88</v>
      </c>
      <c r="E212">
        <f>VLOOKUP(B212,raw!A:K,4,0)</f>
        <v>0</v>
      </c>
      <c r="F212">
        <f>VLOOKUP(B212,raw!A:K,5,0)</f>
        <v>0</v>
      </c>
      <c r="G212">
        <f>VLOOKUP(B212,raw!A:K,2,0)+VLOOKUP(B212,raw!A:K,10,0)</f>
        <v>0</v>
      </c>
      <c r="H212">
        <f>VLOOKUP(B212,raw!A:K,6,0)</f>
        <v>0</v>
      </c>
      <c r="I212">
        <f>VLOOKUP(B212,raw!A:K,9,0)</f>
        <v>0</v>
      </c>
      <c r="J212">
        <f>VLOOKUP(B212,raw!A:K,8,0)</f>
        <v>0</v>
      </c>
      <c r="K212">
        <f>_xlfn.IFNA(VLOOKUP(B212,TDK!A:C,2,0),0)</f>
        <v>28</v>
      </c>
      <c r="L212">
        <f>_xlfn.IFNA(VLOOKUP(B212,TDK!A:C,3,0),0)</f>
        <v>2</v>
      </c>
      <c r="M212">
        <f>_xlfn.IFNA(VLOOKUP(B212,TDK!F:G,2,0),0)</f>
        <v>8</v>
      </c>
      <c r="N212">
        <f t="shared" si="3"/>
        <v>38</v>
      </c>
    </row>
    <row r="213" spans="1:14" x14ac:dyDescent="0.25">
      <c r="A213" t="s">
        <v>27</v>
      </c>
      <c r="B213" t="s">
        <v>1210</v>
      </c>
      <c r="C213">
        <f>VLOOKUP(B213,raw!A:K,11,0)</f>
        <v>130</v>
      </c>
      <c r="D213">
        <f>VLOOKUP(B213,raw!A:K,3,0)+VLOOKUP(B213,raw!A:K,7,0)</f>
        <v>130</v>
      </c>
      <c r="E213">
        <f>VLOOKUP(B213,raw!A:K,4,0)</f>
        <v>0</v>
      </c>
      <c r="F213">
        <f>VLOOKUP(B213,raw!A:K,5,0)</f>
        <v>0</v>
      </c>
      <c r="G213">
        <f>VLOOKUP(B213,raw!A:K,2,0)+VLOOKUP(B213,raw!A:K,10,0)</f>
        <v>0</v>
      </c>
      <c r="H213">
        <f>VLOOKUP(B213,raw!A:K,6,0)</f>
        <v>0</v>
      </c>
      <c r="I213">
        <f>VLOOKUP(B213,raw!A:K,9,0)</f>
        <v>0</v>
      </c>
      <c r="J213">
        <f>VLOOKUP(B213,raw!A:K,8,0)</f>
        <v>0</v>
      </c>
      <c r="K213">
        <f>_xlfn.IFNA(VLOOKUP(B213,TDK!A:C,2,0),0)</f>
        <v>15</v>
      </c>
      <c r="L213">
        <f>_xlfn.IFNA(VLOOKUP(B213,TDK!A:C,3,0),0)</f>
        <v>4</v>
      </c>
      <c r="M213">
        <f>_xlfn.IFNA(VLOOKUP(B213,TDK!F:G,2,0),0)</f>
        <v>22</v>
      </c>
      <c r="N213">
        <f t="shared" si="3"/>
        <v>41</v>
      </c>
    </row>
    <row r="214" spans="1:14" x14ac:dyDescent="0.25">
      <c r="A214" t="s">
        <v>28</v>
      </c>
      <c r="B214" t="s">
        <v>1211</v>
      </c>
      <c r="C214">
        <f>VLOOKUP(B214,raw!A:K,11,0)</f>
        <v>251</v>
      </c>
      <c r="D214">
        <f>VLOOKUP(B214,raw!A:K,3,0)+VLOOKUP(B214,raw!A:K,7,0)</f>
        <v>246</v>
      </c>
      <c r="E214">
        <f>VLOOKUP(B214,raw!A:K,4,0)</f>
        <v>2</v>
      </c>
      <c r="F214">
        <f>VLOOKUP(B214,raw!A:K,5,0)</f>
        <v>0</v>
      </c>
      <c r="G214">
        <f>VLOOKUP(B214,raw!A:K,2,0)+VLOOKUP(B214,raw!A:K,10,0)</f>
        <v>0</v>
      </c>
      <c r="H214">
        <f>VLOOKUP(B214,raw!A:K,6,0)</f>
        <v>0</v>
      </c>
      <c r="I214">
        <f>VLOOKUP(B214,raw!A:K,9,0)</f>
        <v>3</v>
      </c>
      <c r="J214">
        <f>VLOOKUP(B214,raw!A:K,8,0)</f>
        <v>0</v>
      </c>
      <c r="K214">
        <f>_xlfn.IFNA(VLOOKUP(B214,TDK!A:C,2,0),0)</f>
        <v>60</v>
      </c>
      <c r="L214">
        <f>_xlfn.IFNA(VLOOKUP(B214,TDK!A:C,3,0),0)</f>
        <v>8</v>
      </c>
      <c r="M214">
        <f>_xlfn.IFNA(VLOOKUP(B214,TDK!F:G,2,0),0)</f>
        <v>64</v>
      </c>
      <c r="N214">
        <f t="shared" si="3"/>
        <v>132</v>
      </c>
    </row>
    <row r="215" spans="1:14" x14ac:dyDescent="0.25">
      <c r="A215" t="s">
        <v>28</v>
      </c>
      <c r="B215" t="s">
        <v>1212</v>
      </c>
      <c r="C215">
        <f>VLOOKUP(B215,raw!A:K,11,0)</f>
        <v>125</v>
      </c>
      <c r="D215">
        <f>VLOOKUP(B215,raw!A:K,3,0)+VLOOKUP(B215,raw!A:K,7,0)</f>
        <v>118</v>
      </c>
      <c r="E215">
        <f>VLOOKUP(B215,raw!A:K,4,0)</f>
        <v>3</v>
      </c>
      <c r="F215">
        <f>VLOOKUP(B215,raw!A:K,5,0)</f>
        <v>0</v>
      </c>
      <c r="G215">
        <f>VLOOKUP(B215,raw!A:K,2,0)+VLOOKUP(B215,raw!A:K,10,0)</f>
        <v>0</v>
      </c>
      <c r="H215">
        <f>VLOOKUP(B215,raw!A:K,6,0)</f>
        <v>0</v>
      </c>
      <c r="I215">
        <f>VLOOKUP(B215,raw!A:K,9,0)</f>
        <v>4</v>
      </c>
      <c r="J215">
        <f>VLOOKUP(B215,raw!A:K,8,0)</f>
        <v>0</v>
      </c>
      <c r="K215">
        <f>_xlfn.IFNA(VLOOKUP(B215,TDK!A:C,2,0),0)</f>
        <v>25</v>
      </c>
      <c r="L215">
        <f>_xlfn.IFNA(VLOOKUP(B215,TDK!A:C,3,0),0)</f>
        <v>9</v>
      </c>
      <c r="M215">
        <f>_xlfn.IFNA(VLOOKUP(B215,TDK!F:G,2,0),0)</f>
        <v>4</v>
      </c>
      <c r="N215">
        <f t="shared" si="3"/>
        <v>38</v>
      </c>
    </row>
    <row r="216" spans="1:14" x14ac:dyDescent="0.25">
      <c r="A216" t="s">
        <v>28</v>
      </c>
      <c r="B216" t="s">
        <v>1213</v>
      </c>
      <c r="C216">
        <f>VLOOKUP(B216,raw!A:K,11,0)</f>
        <v>100</v>
      </c>
      <c r="D216">
        <f>VLOOKUP(B216,raw!A:K,3,0)+VLOOKUP(B216,raw!A:K,7,0)</f>
        <v>97</v>
      </c>
      <c r="E216">
        <f>VLOOKUP(B216,raw!A:K,4,0)</f>
        <v>0</v>
      </c>
      <c r="F216">
        <f>VLOOKUP(B216,raw!A:K,5,0)</f>
        <v>0</v>
      </c>
      <c r="G216">
        <f>VLOOKUP(B216,raw!A:K,2,0)+VLOOKUP(B216,raw!A:K,10,0)</f>
        <v>1</v>
      </c>
      <c r="H216">
        <f>VLOOKUP(B216,raw!A:K,6,0)</f>
        <v>0</v>
      </c>
      <c r="I216">
        <f>VLOOKUP(B216,raw!A:K,9,0)</f>
        <v>2</v>
      </c>
      <c r="J216">
        <f>VLOOKUP(B216,raw!A:K,8,0)</f>
        <v>0</v>
      </c>
      <c r="K216">
        <f>_xlfn.IFNA(VLOOKUP(B216,TDK!A:C,2,0),0)</f>
        <v>20</v>
      </c>
      <c r="L216">
        <f>_xlfn.IFNA(VLOOKUP(B216,TDK!A:C,3,0),0)</f>
        <v>2</v>
      </c>
      <c r="M216">
        <f>_xlfn.IFNA(VLOOKUP(B216,TDK!F:G,2,0),0)</f>
        <v>5</v>
      </c>
      <c r="N216">
        <f t="shared" si="3"/>
        <v>27</v>
      </c>
    </row>
    <row r="217" spans="1:14" x14ac:dyDescent="0.25">
      <c r="A217" t="s">
        <v>28</v>
      </c>
      <c r="B217" t="s">
        <v>1214</v>
      </c>
      <c r="C217">
        <f>VLOOKUP(B217,raw!A:K,11,0)</f>
        <v>115</v>
      </c>
      <c r="D217">
        <f>VLOOKUP(B217,raw!A:K,3,0)+VLOOKUP(B217,raw!A:K,7,0)</f>
        <v>115</v>
      </c>
      <c r="E217">
        <f>VLOOKUP(B217,raw!A:K,4,0)</f>
        <v>0</v>
      </c>
      <c r="F217">
        <f>VLOOKUP(B217,raw!A:K,5,0)</f>
        <v>0</v>
      </c>
      <c r="G217">
        <f>VLOOKUP(B217,raw!A:K,2,0)+VLOOKUP(B217,raw!A:K,10,0)</f>
        <v>0</v>
      </c>
      <c r="H217">
        <f>VLOOKUP(B217,raw!A:K,6,0)</f>
        <v>0</v>
      </c>
      <c r="I217">
        <f>VLOOKUP(B217,raw!A:K,9,0)</f>
        <v>0</v>
      </c>
      <c r="J217">
        <f>VLOOKUP(B217,raw!A:K,8,0)</f>
        <v>0</v>
      </c>
      <c r="K217">
        <f>_xlfn.IFNA(VLOOKUP(B217,TDK!A:C,2,0),0)</f>
        <v>37</v>
      </c>
      <c r="L217">
        <f>_xlfn.IFNA(VLOOKUP(B217,TDK!A:C,3,0),0)</f>
        <v>0</v>
      </c>
      <c r="M217">
        <f>_xlfn.IFNA(VLOOKUP(B217,TDK!F:G,2,0),0)</f>
        <v>7</v>
      </c>
      <c r="N217">
        <f t="shared" si="3"/>
        <v>44</v>
      </c>
    </row>
    <row r="218" spans="1:14" x14ac:dyDescent="0.25">
      <c r="A218" t="s">
        <v>28</v>
      </c>
      <c r="B218" t="s">
        <v>1215</v>
      </c>
      <c r="C218">
        <f>VLOOKUP(B218,raw!A:K,11,0)</f>
        <v>110</v>
      </c>
      <c r="D218">
        <f>VLOOKUP(B218,raw!A:K,3,0)+VLOOKUP(B218,raw!A:K,7,0)</f>
        <v>104</v>
      </c>
      <c r="E218">
        <f>VLOOKUP(B218,raw!A:K,4,0)</f>
        <v>4</v>
      </c>
      <c r="F218">
        <f>VLOOKUP(B218,raw!A:K,5,0)</f>
        <v>0</v>
      </c>
      <c r="G218">
        <f>VLOOKUP(B218,raw!A:K,2,0)+VLOOKUP(B218,raw!A:K,10,0)</f>
        <v>0</v>
      </c>
      <c r="H218">
        <f>VLOOKUP(B218,raw!A:K,6,0)</f>
        <v>0</v>
      </c>
      <c r="I218">
        <f>VLOOKUP(B218,raw!A:K,9,0)</f>
        <v>2</v>
      </c>
      <c r="J218">
        <f>VLOOKUP(B218,raw!A:K,8,0)</f>
        <v>0</v>
      </c>
      <c r="K218">
        <f>_xlfn.IFNA(VLOOKUP(B218,TDK!A:C,2,0),0)</f>
        <v>20</v>
      </c>
      <c r="L218">
        <f>_xlfn.IFNA(VLOOKUP(B218,TDK!A:C,3,0),0)</f>
        <v>3</v>
      </c>
      <c r="M218">
        <f>_xlfn.IFNA(VLOOKUP(B218,TDK!F:G,2,0),0)</f>
        <v>21</v>
      </c>
      <c r="N218">
        <f t="shared" si="3"/>
        <v>44</v>
      </c>
    </row>
    <row r="219" spans="1:14" x14ac:dyDescent="0.25">
      <c r="A219" t="s">
        <v>27</v>
      </c>
      <c r="B219" t="s">
        <v>1216</v>
      </c>
      <c r="C219">
        <f>VLOOKUP(B219,raw!A:K,11,0)</f>
        <v>212</v>
      </c>
      <c r="D219">
        <f>VLOOKUP(B219,raw!A:K,3,0)+VLOOKUP(B219,raw!A:K,7,0)</f>
        <v>212</v>
      </c>
      <c r="E219">
        <f>VLOOKUP(B219,raw!A:K,4,0)</f>
        <v>0</v>
      </c>
      <c r="F219">
        <f>VLOOKUP(B219,raw!A:K,5,0)</f>
        <v>0</v>
      </c>
      <c r="G219">
        <f>VLOOKUP(B219,raw!A:K,2,0)+VLOOKUP(B219,raw!A:K,10,0)</f>
        <v>0</v>
      </c>
      <c r="H219">
        <f>VLOOKUP(B219,raw!A:K,6,0)</f>
        <v>0</v>
      </c>
      <c r="I219">
        <f>VLOOKUP(B219,raw!A:K,9,0)</f>
        <v>0</v>
      </c>
      <c r="J219">
        <f>VLOOKUP(B219,raw!A:K,8,0)</f>
        <v>0</v>
      </c>
      <c r="K219">
        <f>_xlfn.IFNA(VLOOKUP(B219,TDK!A:C,2,0),0)</f>
        <v>53</v>
      </c>
      <c r="L219">
        <f>_xlfn.IFNA(VLOOKUP(B219,TDK!A:C,3,0),0)</f>
        <v>1</v>
      </c>
      <c r="M219">
        <f>_xlfn.IFNA(VLOOKUP(B219,TDK!F:G,2,0),0)</f>
        <v>48</v>
      </c>
      <c r="N219">
        <f t="shared" si="3"/>
        <v>102</v>
      </c>
    </row>
    <row r="220" spans="1:14" x14ac:dyDescent="0.25">
      <c r="A220" t="s">
        <v>28</v>
      </c>
      <c r="B220" t="s">
        <v>1217</v>
      </c>
      <c r="C220">
        <f>VLOOKUP(B220,raw!A:K,11,0)</f>
        <v>116</v>
      </c>
      <c r="D220">
        <f>VLOOKUP(B220,raw!A:K,3,0)+VLOOKUP(B220,raw!A:K,7,0)</f>
        <v>110</v>
      </c>
      <c r="E220">
        <f>VLOOKUP(B220,raw!A:K,4,0)</f>
        <v>2</v>
      </c>
      <c r="F220">
        <f>VLOOKUP(B220,raw!A:K,5,0)</f>
        <v>0</v>
      </c>
      <c r="G220">
        <f>VLOOKUP(B220,raw!A:K,2,0)+VLOOKUP(B220,raw!A:K,10,0)</f>
        <v>0</v>
      </c>
      <c r="H220">
        <f>VLOOKUP(B220,raw!A:K,6,0)</f>
        <v>0</v>
      </c>
      <c r="I220">
        <f>VLOOKUP(B220,raw!A:K,9,0)</f>
        <v>4</v>
      </c>
      <c r="J220">
        <f>VLOOKUP(B220,raw!A:K,8,0)</f>
        <v>0</v>
      </c>
      <c r="K220">
        <f>_xlfn.IFNA(VLOOKUP(B220,TDK!A:C,2,0),0)</f>
        <v>37</v>
      </c>
      <c r="L220">
        <f>_xlfn.IFNA(VLOOKUP(B220,TDK!A:C,3,0),0)</f>
        <v>1</v>
      </c>
      <c r="M220">
        <f>_xlfn.IFNA(VLOOKUP(B220,TDK!F:G,2,0),0)</f>
        <v>19</v>
      </c>
      <c r="N220">
        <f t="shared" si="3"/>
        <v>57</v>
      </c>
    </row>
    <row r="221" spans="1:14" x14ac:dyDescent="0.25">
      <c r="A221" t="s">
        <v>28</v>
      </c>
      <c r="B221" t="s">
        <v>1218</v>
      </c>
      <c r="C221">
        <f>VLOOKUP(B221,raw!A:K,11,0)</f>
        <v>55</v>
      </c>
      <c r="D221">
        <f>VLOOKUP(B221,raw!A:K,3,0)+VLOOKUP(B221,raw!A:K,7,0)</f>
        <v>52</v>
      </c>
      <c r="E221">
        <f>VLOOKUP(B221,raw!A:K,4,0)</f>
        <v>1</v>
      </c>
      <c r="F221">
        <f>VLOOKUP(B221,raw!A:K,5,0)</f>
        <v>0</v>
      </c>
      <c r="G221">
        <f>VLOOKUP(B221,raw!A:K,2,0)+VLOOKUP(B221,raw!A:K,10,0)</f>
        <v>0</v>
      </c>
      <c r="H221">
        <f>VLOOKUP(B221,raw!A:K,6,0)</f>
        <v>0</v>
      </c>
      <c r="I221">
        <f>VLOOKUP(B221,raw!A:K,9,0)</f>
        <v>2</v>
      </c>
      <c r="J221">
        <f>VLOOKUP(B221,raw!A:K,8,0)</f>
        <v>0</v>
      </c>
      <c r="K221">
        <f>_xlfn.IFNA(VLOOKUP(B221,TDK!A:C,2,0),0)</f>
        <v>15</v>
      </c>
      <c r="L221">
        <f>_xlfn.IFNA(VLOOKUP(B221,TDK!A:C,3,0),0)</f>
        <v>2</v>
      </c>
      <c r="M221">
        <f>_xlfn.IFNA(VLOOKUP(B221,TDK!F:G,2,0),0)</f>
        <v>8</v>
      </c>
      <c r="N221">
        <f t="shared" si="3"/>
        <v>25</v>
      </c>
    </row>
    <row r="222" spans="1:14" x14ac:dyDescent="0.25">
      <c r="A222" t="s">
        <v>27</v>
      </c>
      <c r="B222" t="s">
        <v>1219</v>
      </c>
      <c r="C222">
        <f>VLOOKUP(B222,raw!A:K,11,0)</f>
        <v>242</v>
      </c>
      <c r="D222">
        <f>VLOOKUP(B222,raw!A:K,3,0)+VLOOKUP(B222,raw!A:K,7,0)</f>
        <v>242</v>
      </c>
      <c r="E222">
        <f>VLOOKUP(B222,raw!A:K,4,0)</f>
        <v>0</v>
      </c>
      <c r="F222">
        <f>VLOOKUP(B222,raw!A:K,5,0)</f>
        <v>0</v>
      </c>
      <c r="G222">
        <f>VLOOKUP(B222,raw!A:K,2,0)+VLOOKUP(B222,raw!A:K,10,0)</f>
        <v>0</v>
      </c>
      <c r="H222">
        <f>VLOOKUP(B222,raw!A:K,6,0)</f>
        <v>0</v>
      </c>
      <c r="I222">
        <f>VLOOKUP(B222,raw!A:K,9,0)</f>
        <v>0</v>
      </c>
      <c r="J222">
        <f>VLOOKUP(B222,raw!A:K,8,0)</f>
        <v>0</v>
      </c>
      <c r="K222">
        <f>_xlfn.IFNA(VLOOKUP(B222,TDK!A:C,2,0),0)</f>
        <v>41</v>
      </c>
      <c r="L222">
        <f>_xlfn.IFNA(VLOOKUP(B222,TDK!A:C,3,0),0)</f>
        <v>3</v>
      </c>
      <c r="M222">
        <f>_xlfn.IFNA(VLOOKUP(B222,TDK!F:G,2,0),0)</f>
        <v>48</v>
      </c>
      <c r="N222">
        <f t="shared" si="3"/>
        <v>92</v>
      </c>
    </row>
    <row r="223" spans="1:14" x14ac:dyDescent="0.25">
      <c r="A223" t="s">
        <v>27</v>
      </c>
      <c r="B223" t="s">
        <v>1220</v>
      </c>
      <c r="C223">
        <f>VLOOKUP(B223,raw!A:K,11,0)</f>
        <v>67</v>
      </c>
      <c r="D223">
        <f>VLOOKUP(B223,raw!A:K,3,0)+VLOOKUP(B223,raw!A:K,7,0)</f>
        <v>67</v>
      </c>
      <c r="E223">
        <f>VLOOKUP(B223,raw!A:K,4,0)</f>
        <v>0</v>
      </c>
      <c r="F223">
        <f>VLOOKUP(B223,raw!A:K,5,0)</f>
        <v>0</v>
      </c>
      <c r="G223">
        <f>VLOOKUP(B223,raw!A:K,2,0)+VLOOKUP(B223,raw!A:K,10,0)</f>
        <v>0</v>
      </c>
      <c r="H223">
        <f>VLOOKUP(B223,raw!A:K,6,0)</f>
        <v>0</v>
      </c>
      <c r="I223">
        <f>VLOOKUP(B223,raw!A:K,9,0)</f>
        <v>0</v>
      </c>
      <c r="J223">
        <f>VLOOKUP(B223,raw!A:K,8,0)</f>
        <v>0</v>
      </c>
      <c r="K223">
        <f>_xlfn.IFNA(VLOOKUP(B223,TDK!A:C,2,0),0)</f>
        <v>15</v>
      </c>
      <c r="L223">
        <f>_xlfn.IFNA(VLOOKUP(B223,TDK!A:C,3,0),0)</f>
        <v>3</v>
      </c>
      <c r="M223">
        <f>_xlfn.IFNA(VLOOKUP(B223,TDK!F:G,2,0),0)</f>
        <v>7</v>
      </c>
      <c r="N223">
        <f t="shared" si="3"/>
        <v>25</v>
      </c>
    </row>
    <row r="224" spans="1:14" x14ac:dyDescent="0.25">
      <c r="A224" t="s">
        <v>27</v>
      </c>
      <c r="B224" t="s">
        <v>1221</v>
      </c>
      <c r="C224">
        <f>VLOOKUP(B224,raw!A:K,11,0)</f>
        <v>86</v>
      </c>
      <c r="D224">
        <f>VLOOKUP(B224,raw!A:K,3,0)+VLOOKUP(B224,raw!A:K,7,0)</f>
        <v>86</v>
      </c>
      <c r="E224">
        <f>VLOOKUP(B224,raw!A:K,4,0)</f>
        <v>0</v>
      </c>
      <c r="F224">
        <f>VLOOKUP(B224,raw!A:K,5,0)</f>
        <v>0</v>
      </c>
      <c r="G224">
        <f>VLOOKUP(B224,raw!A:K,2,0)+VLOOKUP(B224,raw!A:K,10,0)</f>
        <v>0</v>
      </c>
      <c r="H224">
        <f>VLOOKUP(B224,raw!A:K,6,0)</f>
        <v>0</v>
      </c>
      <c r="I224">
        <f>VLOOKUP(B224,raw!A:K,9,0)</f>
        <v>0</v>
      </c>
      <c r="J224">
        <f>VLOOKUP(B224,raw!A:K,8,0)</f>
        <v>0</v>
      </c>
      <c r="K224">
        <f>_xlfn.IFNA(VLOOKUP(B224,TDK!A:C,2,0),0)</f>
        <v>16</v>
      </c>
      <c r="L224">
        <f>_xlfn.IFNA(VLOOKUP(B224,TDK!A:C,3,0),0)</f>
        <v>2</v>
      </c>
      <c r="M224">
        <f>_xlfn.IFNA(VLOOKUP(B224,TDK!F:G,2,0),0)</f>
        <v>18</v>
      </c>
      <c r="N224">
        <f t="shared" si="3"/>
        <v>36</v>
      </c>
    </row>
    <row r="225" spans="1:14" x14ac:dyDescent="0.25">
      <c r="A225" t="s">
        <v>29</v>
      </c>
      <c r="B225" t="s">
        <v>1222</v>
      </c>
      <c r="C225">
        <f>VLOOKUP(B225,raw!A:K,11,0)</f>
        <v>135</v>
      </c>
      <c r="D225">
        <f>VLOOKUP(B225,raw!A:K,3,0)+VLOOKUP(B225,raw!A:K,7,0)</f>
        <v>135</v>
      </c>
      <c r="E225">
        <f>VLOOKUP(B225,raw!A:K,4,0)</f>
        <v>0</v>
      </c>
      <c r="F225">
        <f>VLOOKUP(B225,raw!A:K,5,0)</f>
        <v>0</v>
      </c>
      <c r="G225">
        <f>VLOOKUP(B225,raw!A:K,2,0)+VLOOKUP(B225,raw!A:K,10,0)</f>
        <v>0</v>
      </c>
      <c r="H225">
        <f>VLOOKUP(B225,raw!A:K,6,0)</f>
        <v>0</v>
      </c>
      <c r="I225">
        <f>VLOOKUP(B225,raw!A:K,9,0)</f>
        <v>0</v>
      </c>
      <c r="J225">
        <f>VLOOKUP(B225,raw!A:K,8,0)</f>
        <v>0</v>
      </c>
      <c r="K225">
        <f>_xlfn.IFNA(VLOOKUP(B225,TDK!A:C,2,0),0)</f>
        <v>21</v>
      </c>
      <c r="L225">
        <f>_xlfn.IFNA(VLOOKUP(B225,TDK!A:C,3,0),0)</f>
        <v>7</v>
      </c>
      <c r="M225">
        <f>_xlfn.IFNA(VLOOKUP(B225,TDK!F:G,2,0),0)</f>
        <v>30</v>
      </c>
      <c r="N225">
        <f t="shared" si="3"/>
        <v>58</v>
      </c>
    </row>
    <row r="226" spans="1:14" x14ac:dyDescent="0.25">
      <c r="A226" t="s">
        <v>29</v>
      </c>
      <c r="B226" t="s">
        <v>1223</v>
      </c>
      <c r="C226">
        <f>VLOOKUP(B226,raw!A:K,11,0)</f>
        <v>90</v>
      </c>
      <c r="D226">
        <f>VLOOKUP(B226,raw!A:K,3,0)+VLOOKUP(B226,raw!A:K,7,0)</f>
        <v>90</v>
      </c>
      <c r="E226">
        <f>VLOOKUP(B226,raw!A:K,4,0)</f>
        <v>0</v>
      </c>
      <c r="F226">
        <f>VLOOKUP(B226,raw!A:K,5,0)</f>
        <v>0</v>
      </c>
      <c r="G226">
        <f>VLOOKUP(B226,raw!A:K,2,0)+VLOOKUP(B226,raw!A:K,10,0)</f>
        <v>0</v>
      </c>
      <c r="H226">
        <f>VLOOKUP(B226,raw!A:K,6,0)</f>
        <v>0</v>
      </c>
      <c r="I226">
        <f>VLOOKUP(B226,raw!A:K,9,0)</f>
        <v>0</v>
      </c>
      <c r="J226">
        <f>VLOOKUP(B226,raw!A:K,8,0)</f>
        <v>0</v>
      </c>
      <c r="K226">
        <f>_xlfn.IFNA(VLOOKUP(B226,TDK!A:C,2,0),0)</f>
        <v>19</v>
      </c>
      <c r="L226">
        <f>_xlfn.IFNA(VLOOKUP(B226,TDK!A:C,3,0),0)</f>
        <v>0</v>
      </c>
      <c r="M226">
        <f>_xlfn.IFNA(VLOOKUP(B226,TDK!F:G,2,0),0)</f>
        <v>15</v>
      </c>
      <c r="N226">
        <f t="shared" si="3"/>
        <v>34</v>
      </c>
    </row>
    <row r="227" spans="1:14" x14ac:dyDescent="0.25">
      <c r="A227" t="s">
        <v>29</v>
      </c>
      <c r="B227" t="s">
        <v>1224</v>
      </c>
      <c r="C227">
        <f>VLOOKUP(B227,raw!A:K,11,0)</f>
        <v>127</v>
      </c>
      <c r="D227">
        <f>VLOOKUP(B227,raw!A:K,3,0)+VLOOKUP(B227,raw!A:K,7,0)</f>
        <v>127</v>
      </c>
      <c r="E227">
        <f>VLOOKUP(B227,raw!A:K,4,0)</f>
        <v>0</v>
      </c>
      <c r="F227">
        <f>VLOOKUP(B227,raw!A:K,5,0)</f>
        <v>0</v>
      </c>
      <c r="G227">
        <f>VLOOKUP(B227,raw!A:K,2,0)+VLOOKUP(B227,raw!A:K,10,0)</f>
        <v>0</v>
      </c>
      <c r="H227">
        <f>VLOOKUP(B227,raw!A:K,6,0)</f>
        <v>0</v>
      </c>
      <c r="I227">
        <f>VLOOKUP(B227,raw!A:K,9,0)</f>
        <v>0</v>
      </c>
      <c r="J227">
        <f>VLOOKUP(B227,raw!A:K,8,0)</f>
        <v>0</v>
      </c>
      <c r="K227">
        <f>_xlfn.IFNA(VLOOKUP(B227,TDK!A:C,2,0),0)</f>
        <v>31</v>
      </c>
      <c r="L227">
        <f>_xlfn.IFNA(VLOOKUP(B227,TDK!A:C,3,0),0)</f>
        <v>4</v>
      </c>
      <c r="M227">
        <f>_xlfn.IFNA(VLOOKUP(B227,TDK!F:G,2,0),0)</f>
        <v>22</v>
      </c>
      <c r="N227">
        <f t="shared" si="3"/>
        <v>57</v>
      </c>
    </row>
    <row r="228" spans="1:14" x14ac:dyDescent="0.25">
      <c r="A228" t="s">
        <v>29</v>
      </c>
      <c r="B228" t="s">
        <v>1225</v>
      </c>
      <c r="C228">
        <f>VLOOKUP(B228,raw!A:K,11,0)</f>
        <v>120</v>
      </c>
      <c r="D228">
        <f>VLOOKUP(B228,raw!A:K,3,0)+VLOOKUP(B228,raw!A:K,7,0)</f>
        <v>120</v>
      </c>
      <c r="E228">
        <f>VLOOKUP(B228,raw!A:K,4,0)</f>
        <v>0</v>
      </c>
      <c r="F228">
        <f>VLOOKUP(B228,raw!A:K,5,0)</f>
        <v>0</v>
      </c>
      <c r="G228">
        <f>VLOOKUP(B228,raw!A:K,2,0)+VLOOKUP(B228,raw!A:K,10,0)</f>
        <v>0</v>
      </c>
      <c r="H228">
        <f>VLOOKUP(B228,raw!A:K,6,0)</f>
        <v>0</v>
      </c>
      <c r="I228">
        <f>VLOOKUP(B228,raw!A:K,9,0)</f>
        <v>0</v>
      </c>
      <c r="J228">
        <f>VLOOKUP(B228,raw!A:K,8,0)</f>
        <v>0</v>
      </c>
      <c r="K228">
        <f>_xlfn.IFNA(VLOOKUP(B228,TDK!A:C,2,0),0)</f>
        <v>32</v>
      </c>
      <c r="L228">
        <f>_xlfn.IFNA(VLOOKUP(B228,TDK!A:C,3,0),0)</f>
        <v>4</v>
      </c>
      <c r="M228">
        <f>_xlfn.IFNA(VLOOKUP(B228,TDK!F:G,2,0),0)</f>
        <v>17</v>
      </c>
      <c r="N228">
        <f t="shared" si="3"/>
        <v>53</v>
      </c>
    </row>
    <row r="229" spans="1:14" x14ac:dyDescent="0.25">
      <c r="A229" t="s">
        <v>29</v>
      </c>
      <c r="B229" t="s">
        <v>1226</v>
      </c>
      <c r="C229">
        <f>VLOOKUP(B229,raw!A:K,11,0)</f>
        <v>143</v>
      </c>
      <c r="D229">
        <f>VLOOKUP(B229,raw!A:K,3,0)+VLOOKUP(B229,raw!A:K,7,0)</f>
        <v>137</v>
      </c>
      <c r="E229">
        <f>VLOOKUP(B229,raw!A:K,4,0)</f>
        <v>1</v>
      </c>
      <c r="F229">
        <f>VLOOKUP(B229,raw!A:K,5,0)</f>
        <v>0</v>
      </c>
      <c r="G229">
        <f>VLOOKUP(B229,raw!A:K,2,0)+VLOOKUP(B229,raw!A:K,10,0)</f>
        <v>5</v>
      </c>
      <c r="H229">
        <f>VLOOKUP(B229,raw!A:K,6,0)</f>
        <v>0</v>
      </c>
      <c r="I229">
        <f>VLOOKUP(B229,raw!A:K,9,0)</f>
        <v>0</v>
      </c>
      <c r="J229">
        <f>VLOOKUP(B229,raw!A:K,8,0)</f>
        <v>0</v>
      </c>
      <c r="K229">
        <f>_xlfn.IFNA(VLOOKUP(B229,TDK!A:C,2,0),0)</f>
        <v>19</v>
      </c>
      <c r="L229">
        <f>_xlfn.IFNA(VLOOKUP(B229,TDK!A:C,3,0),0)</f>
        <v>0</v>
      </c>
      <c r="M229">
        <f>_xlfn.IFNA(VLOOKUP(B229,TDK!F:G,2,0),0)</f>
        <v>46</v>
      </c>
      <c r="N229">
        <f t="shared" si="3"/>
        <v>65</v>
      </c>
    </row>
    <row r="230" spans="1:14" x14ac:dyDescent="0.25">
      <c r="A230" t="s">
        <v>30</v>
      </c>
      <c r="B230" t="s">
        <v>1227</v>
      </c>
      <c r="C230">
        <f>VLOOKUP(B230,raw!A:K,11,0)</f>
        <v>176</v>
      </c>
      <c r="D230">
        <f>VLOOKUP(B230,raw!A:K,3,0)+VLOOKUP(B230,raw!A:K,7,0)</f>
        <v>176</v>
      </c>
      <c r="E230">
        <f>VLOOKUP(B230,raw!A:K,4,0)</f>
        <v>0</v>
      </c>
      <c r="F230">
        <f>VLOOKUP(B230,raw!A:K,5,0)</f>
        <v>0</v>
      </c>
      <c r="G230">
        <f>VLOOKUP(B230,raw!A:K,2,0)+VLOOKUP(B230,raw!A:K,10,0)</f>
        <v>0</v>
      </c>
      <c r="H230">
        <f>VLOOKUP(B230,raw!A:K,6,0)</f>
        <v>0</v>
      </c>
      <c r="I230">
        <f>VLOOKUP(B230,raw!A:K,9,0)</f>
        <v>0</v>
      </c>
      <c r="J230">
        <f>VLOOKUP(B230,raw!A:K,8,0)</f>
        <v>0</v>
      </c>
      <c r="K230">
        <f>_xlfn.IFNA(VLOOKUP(B230,TDK!A:C,2,0),0)</f>
        <v>39</v>
      </c>
      <c r="L230">
        <f>_xlfn.IFNA(VLOOKUP(B230,TDK!A:C,3,0),0)</f>
        <v>0</v>
      </c>
      <c r="M230">
        <f>_xlfn.IFNA(VLOOKUP(B230,TDK!F:G,2,0),0)</f>
        <v>34</v>
      </c>
      <c r="N230">
        <f t="shared" si="3"/>
        <v>73</v>
      </c>
    </row>
    <row r="231" spans="1:14" x14ac:dyDescent="0.25">
      <c r="A231" t="s">
        <v>31</v>
      </c>
      <c r="B231" t="s">
        <v>1228</v>
      </c>
      <c r="C231">
        <f>VLOOKUP(B231,raw!A:K,11,0)</f>
        <v>171</v>
      </c>
      <c r="D231">
        <f>VLOOKUP(B231,raw!A:K,3,0)+VLOOKUP(B231,raw!A:K,7,0)</f>
        <v>96</v>
      </c>
      <c r="E231">
        <f>VLOOKUP(B231,raw!A:K,4,0)</f>
        <v>2</v>
      </c>
      <c r="F231">
        <f>VLOOKUP(B231,raw!A:K,5,0)</f>
        <v>0</v>
      </c>
      <c r="G231">
        <f>VLOOKUP(B231,raw!A:K,2,0)+VLOOKUP(B231,raw!A:K,10,0)</f>
        <v>20</v>
      </c>
      <c r="H231">
        <f>VLOOKUP(B231,raw!A:K,6,0)</f>
        <v>0</v>
      </c>
      <c r="I231">
        <f>VLOOKUP(B231,raw!A:K,9,0)</f>
        <v>53</v>
      </c>
      <c r="J231">
        <f>VLOOKUP(B231,raw!A:K,8,0)</f>
        <v>0</v>
      </c>
      <c r="K231">
        <f>_xlfn.IFNA(VLOOKUP(B231,TDK!A:C,2,0),0)</f>
        <v>62</v>
      </c>
      <c r="L231">
        <f>_xlfn.IFNA(VLOOKUP(B231,TDK!A:C,3,0),0)</f>
        <v>5</v>
      </c>
      <c r="M231">
        <f>_xlfn.IFNA(VLOOKUP(B231,TDK!F:G,2,0),0)</f>
        <v>14</v>
      </c>
      <c r="N231">
        <f t="shared" si="3"/>
        <v>81</v>
      </c>
    </row>
    <row r="232" spans="1:14" x14ac:dyDescent="0.25">
      <c r="A232" t="s">
        <v>30</v>
      </c>
      <c r="B232" t="s">
        <v>1229</v>
      </c>
      <c r="C232">
        <f>VLOOKUP(B232,raw!A:K,11,0)</f>
        <v>205</v>
      </c>
      <c r="D232">
        <f>VLOOKUP(B232,raw!A:K,3,0)+VLOOKUP(B232,raw!A:K,7,0)</f>
        <v>163</v>
      </c>
      <c r="E232">
        <f>VLOOKUP(B232,raw!A:K,4,0)</f>
        <v>0</v>
      </c>
      <c r="F232">
        <f>VLOOKUP(B232,raw!A:K,5,0)</f>
        <v>0</v>
      </c>
      <c r="G232">
        <f>VLOOKUP(B232,raw!A:K,2,0)+VLOOKUP(B232,raw!A:K,10,0)</f>
        <v>0</v>
      </c>
      <c r="H232">
        <f>VLOOKUP(B232,raw!A:K,6,0)</f>
        <v>0</v>
      </c>
      <c r="I232">
        <f>VLOOKUP(B232,raw!A:K,9,0)</f>
        <v>42</v>
      </c>
      <c r="J232">
        <f>VLOOKUP(B232,raw!A:K,8,0)</f>
        <v>0</v>
      </c>
      <c r="K232">
        <f>_xlfn.IFNA(VLOOKUP(B232,TDK!A:C,2,0),0)</f>
        <v>21</v>
      </c>
      <c r="L232">
        <f>_xlfn.IFNA(VLOOKUP(B232,TDK!A:C,3,0),0)</f>
        <v>0</v>
      </c>
      <c r="M232">
        <f>_xlfn.IFNA(VLOOKUP(B232,TDK!F:G,2,0),0)</f>
        <v>72</v>
      </c>
      <c r="N232">
        <f t="shared" si="3"/>
        <v>93</v>
      </c>
    </row>
    <row r="233" spans="1:14" x14ac:dyDescent="0.25">
      <c r="A233" t="s">
        <v>978</v>
      </c>
      <c r="B233" t="s">
        <v>1230</v>
      </c>
      <c r="C233">
        <f>VLOOKUP(B233,raw!A:K,11,0)</f>
        <v>223</v>
      </c>
      <c r="D233">
        <f>VLOOKUP(B233,raw!A:K,3,0)+VLOOKUP(B233,raw!A:K,7,0)</f>
        <v>220</v>
      </c>
      <c r="E233">
        <f>VLOOKUP(B233,raw!A:K,4,0)</f>
        <v>1</v>
      </c>
      <c r="F233">
        <f>VLOOKUP(B233,raw!A:K,5,0)</f>
        <v>0</v>
      </c>
      <c r="G233">
        <f>VLOOKUP(B233,raw!A:K,2,0)+VLOOKUP(B233,raw!A:K,10,0)</f>
        <v>2</v>
      </c>
      <c r="H233">
        <f>VLOOKUP(B233,raw!A:K,6,0)</f>
        <v>0</v>
      </c>
      <c r="I233">
        <f>VLOOKUP(B233,raw!A:K,9,0)</f>
        <v>0</v>
      </c>
      <c r="J233">
        <f>VLOOKUP(B233,raw!A:K,8,0)</f>
        <v>0</v>
      </c>
      <c r="K233">
        <f>_xlfn.IFNA(VLOOKUP(B233,TDK!A:C,2,0),0)</f>
        <v>68</v>
      </c>
      <c r="L233">
        <f>_xlfn.IFNA(VLOOKUP(B233,TDK!A:C,3,0),0)</f>
        <v>1</v>
      </c>
      <c r="M233">
        <f>_xlfn.IFNA(VLOOKUP(B233,TDK!F:G,2,0),0)</f>
        <v>42</v>
      </c>
      <c r="N233">
        <f t="shared" si="3"/>
        <v>111</v>
      </c>
    </row>
    <row r="234" spans="1:14" x14ac:dyDescent="0.25">
      <c r="A234" t="s">
        <v>30</v>
      </c>
      <c r="B234" t="s">
        <v>1231</v>
      </c>
      <c r="C234">
        <f>VLOOKUP(B234,raw!A:K,11,0)</f>
        <v>185</v>
      </c>
      <c r="D234">
        <f>VLOOKUP(B234,raw!A:K,3,0)+VLOOKUP(B234,raw!A:K,7,0)</f>
        <v>166</v>
      </c>
      <c r="E234">
        <f>VLOOKUP(B234,raw!A:K,4,0)</f>
        <v>0</v>
      </c>
      <c r="F234">
        <f>VLOOKUP(B234,raw!A:K,5,0)</f>
        <v>0</v>
      </c>
      <c r="G234">
        <f>VLOOKUP(B234,raw!A:K,2,0)+VLOOKUP(B234,raw!A:K,10,0)</f>
        <v>1</v>
      </c>
      <c r="H234">
        <f>VLOOKUP(B234,raw!A:K,6,0)</f>
        <v>0</v>
      </c>
      <c r="I234">
        <f>VLOOKUP(B234,raw!A:K,9,0)</f>
        <v>18</v>
      </c>
      <c r="J234">
        <f>VLOOKUP(B234,raw!A:K,8,0)</f>
        <v>0</v>
      </c>
      <c r="K234">
        <f>_xlfn.IFNA(VLOOKUP(B234,TDK!A:C,2,0),0)</f>
        <v>53</v>
      </c>
      <c r="L234">
        <f>_xlfn.IFNA(VLOOKUP(B234,TDK!A:C,3,0),0)</f>
        <v>2</v>
      </c>
      <c r="M234">
        <f>_xlfn.IFNA(VLOOKUP(B234,TDK!F:G,2,0),0)</f>
        <v>52</v>
      </c>
      <c r="N234">
        <f t="shared" si="3"/>
        <v>107</v>
      </c>
    </row>
    <row r="235" spans="1:14" x14ac:dyDescent="0.25">
      <c r="A235" t="s">
        <v>978</v>
      </c>
      <c r="B235" t="s">
        <v>1232</v>
      </c>
      <c r="C235">
        <f>VLOOKUP(B235,raw!A:K,11,0)</f>
        <v>233</v>
      </c>
      <c r="D235">
        <f>VLOOKUP(B235,raw!A:K,3,0)+VLOOKUP(B235,raw!A:K,7,0)</f>
        <v>72</v>
      </c>
      <c r="E235">
        <f>VLOOKUP(B235,raw!A:K,4,0)</f>
        <v>3</v>
      </c>
      <c r="F235">
        <f>VLOOKUP(B235,raw!A:K,5,0)</f>
        <v>0</v>
      </c>
      <c r="G235">
        <f>VLOOKUP(B235,raw!A:K,2,0)+VLOOKUP(B235,raw!A:K,10,0)</f>
        <v>3</v>
      </c>
      <c r="H235">
        <f>VLOOKUP(B235,raw!A:K,6,0)</f>
        <v>0</v>
      </c>
      <c r="I235">
        <f>VLOOKUP(B235,raw!A:K,9,0)</f>
        <v>155</v>
      </c>
      <c r="J235">
        <f>VLOOKUP(B235,raw!A:K,8,0)</f>
        <v>0</v>
      </c>
      <c r="K235">
        <f>_xlfn.IFNA(VLOOKUP(B235,TDK!A:C,2,0),0)</f>
        <v>27</v>
      </c>
      <c r="L235">
        <f>_xlfn.IFNA(VLOOKUP(B235,TDK!A:C,3,0),0)</f>
        <v>5</v>
      </c>
      <c r="M235">
        <f>_xlfn.IFNA(VLOOKUP(B235,TDK!F:G,2,0),0)</f>
        <v>58</v>
      </c>
      <c r="N235">
        <f t="shared" si="3"/>
        <v>90</v>
      </c>
    </row>
    <row r="236" spans="1:14" x14ac:dyDescent="0.25">
      <c r="A236" t="s">
        <v>978</v>
      </c>
      <c r="B236" t="s">
        <v>1233</v>
      </c>
      <c r="C236">
        <f>VLOOKUP(B236,raw!A:K,11,0)</f>
        <v>260</v>
      </c>
      <c r="D236">
        <f>VLOOKUP(B236,raw!A:K,3,0)+VLOOKUP(B236,raw!A:K,7,0)</f>
        <v>36</v>
      </c>
      <c r="E236">
        <f>VLOOKUP(B236,raw!A:K,4,0)</f>
        <v>0</v>
      </c>
      <c r="F236">
        <f>VLOOKUP(B236,raw!A:K,5,0)</f>
        <v>0</v>
      </c>
      <c r="G236">
        <f>VLOOKUP(B236,raw!A:K,2,0)+VLOOKUP(B236,raw!A:K,10,0)</f>
        <v>0</v>
      </c>
      <c r="H236">
        <f>VLOOKUP(B236,raw!A:K,6,0)</f>
        <v>1</v>
      </c>
      <c r="I236">
        <f>VLOOKUP(B236,raw!A:K,9,0)</f>
        <v>223</v>
      </c>
      <c r="J236">
        <f>VLOOKUP(B236,raw!A:K,8,0)</f>
        <v>0</v>
      </c>
      <c r="K236">
        <f>_xlfn.IFNA(VLOOKUP(B236,TDK!A:C,2,0),0)</f>
        <v>74</v>
      </c>
      <c r="L236">
        <f>_xlfn.IFNA(VLOOKUP(B236,TDK!A:C,3,0),0)</f>
        <v>1</v>
      </c>
      <c r="M236">
        <f>_xlfn.IFNA(VLOOKUP(B236,TDK!F:G,2,0),0)</f>
        <v>49</v>
      </c>
      <c r="N236">
        <f t="shared" si="3"/>
        <v>124</v>
      </c>
    </row>
    <row r="237" spans="1:14" x14ac:dyDescent="0.25">
      <c r="A237" t="s">
        <v>30</v>
      </c>
      <c r="B237" t="s">
        <v>1234</v>
      </c>
      <c r="C237">
        <f>VLOOKUP(B237,raw!A:K,11,0)</f>
        <v>197</v>
      </c>
      <c r="D237">
        <f>VLOOKUP(B237,raw!A:K,3,0)+VLOOKUP(B237,raw!A:K,7,0)</f>
        <v>133</v>
      </c>
      <c r="E237">
        <f>VLOOKUP(B237,raw!A:K,4,0)</f>
        <v>0</v>
      </c>
      <c r="F237">
        <f>VLOOKUP(B237,raw!A:K,5,0)</f>
        <v>0</v>
      </c>
      <c r="G237">
        <f>VLOOKUP(B237,raw!A:K,2,0)+VLOOKUP(B237,raw!A:K,10,0)</f>
        <v>1</v>
      </c>
      <c r="H237">
        <f>VLOOKUP(B237,raw!A:K,6,0)</f>
        <v>0</v>
      </c>
      <c r="I237">
        <f>VLOOKUP(B237,raw!A:K,9,0)</f>
        <v>63</v>
      </c>
      <c r="J237">
        <f>VLOOKUP(B237,raw!A:K,8,0)</f>
        <v>0</v>
      </c>
      <c r="K237">
        <f>_xlfn.IFNA(VLOOKUP(B237,TDK!A:C,2,0),0)</f>
        <v>47</v>
      </c>
      <c r="L237">
        <f>_xlfn.IFNA(VLOOKUP(B237,TDK!A:C,3,0),0)</f>
        <v>2</v>
      </c>
      <c r="M237">
        <f>_xlfn.IFNA(VLOOKUP(B237,TDK!F:G,2,0),0)</f>
        <v>56</v>
      </c>
      <c r="N237">
        <f t="shared" si="3"/>
        <v>105</v>
      </c>
    </row>
    <row r="238" spans="1:14" x14ac:dyDescent="0.25">
      <c r="A238" t="s">
        <v>33</v>
      </c>
      <c r="B238" t="s">
        <v>1235</v>
      </c>
      <c r="C238">
        <f>VLOOKUP(B238,raw!A:K,11,0)</f>
        <v>146</v>
      </c>
      <c r="D238">
        <f>VLOOKUP(B238,raw!A:K,3,0)+VLOOKUP(B238,raw!A:K,7,0)</f>
        <v>145</v>
      </c>
      <c r="E238">
        <f>VLOOKUP(B238,raw!A:K,4,0)</f>
        <v>0</v>
      </c>
      <c r="F238">
        <f>VLOOKUP(B238,raw!A:K,5,0)</f>
        <v>0</v>
      </c>
      <c r="G238">
        <f>VLOOKUP(B238,raw!A:K,2,0)+VLOOKUP(B238,raw!A:K,10,0)</f>
        <v>0</v>
      </c>
      <c r="H238">
        <f>VLOOKUP(B238,raw!A:K,6,0)</f>
        <v>0</v>
      </c>
      <c r="I238">
        <f>VLOOKUP(B238,raw!A:K,9,0)</f>
        <v>1</v>
      </c>
      <c r="J238">
        <f>VLOOKUP(B238,raw!A:K,8,0)</f>
        <v>0</v>
      </c>
      <c r="K238">
        <f>_xlfn.IFNA(VLOOKUP(B238,TDK!A:C,2,0),0)</f>
        <v>45</v>
      </c>
      <c r="L238">
        <f>_xlfn.IFNA(VLOOKUP(B238,TDK!A:C,3,0),0)</f>
        <v>0</v>
      </c>
      <c r="M238">
        <f>_xlfn.IFNA(VLOOKUP(B238,TDK!F:G,2,0),0)</f>
        <v>23</v>
      </c>
      <c r="N238">
        <f t="shared" si="3"/>
        <v>68</v>
      </c>
    </row>
    <row r="239" spans="1:14" x14ac:dyDescent="0.25">
      <c r="A239" t="s">
        <v>34</v>
      </c>
      <c r="B239" t="s">
        <v>1236</v>
      </c>
      <c r="C239">
        <f>VLOOKUP(B239,raw!A:K,11,0)</f>
        <v>161</v>
      </c>
      <c r="D239">
        <f>VLOOKUP(B239,raw!A:K,3,0)+VLOOKUP(B239,raw!A:K,7,0)</f>
        <v>154</v>
      </c>
      <c r="E239">
        <f>VLOOKUP(B239,raw!A:K,4,0)</f>
        <v>2</v>
      </c>
      <c r="F239">
        <f>VLOOKUP(B239,raw!A:K,5,0)</f>
        <v>0</v>
      </c>
      <c r="G239">
        <f>VLOOKUP(B239,raw!A:K,2,0)+VLOOKUP(B239,raw!A:K,10,0)</f>
        <v>0</v>
      </c>
      <c r="H239">
        <f>VLOOKUP(B239,raw!A:K,6,0)</f>
        <v>0</v>
      </c>
      <c r="I239">
        <f>VLOOKUP(B239,raw!A:K,9,0)</f>
        <v>5</v>
      </c>
      <c r="J239">
        <f>VLOOKUP(B239,raw!A:K,8,0)</f>
        <v>0</v>
      </c>
      <c r="K239">
        <f>_xlfn.IFNA(VLOOKUP(B239,TDK!A:C,2,0),0)</f>
        <v>71</v>
      </c>
      <c r="L239">
        <f>_xlfn.IFNA(VLOOKUP(B239,TDK!A:C,3,0),0)</f>
        <v>4</v>
      </c>
      <c r="M239">
        <f>_xlfn.IFNA(VLOOKUP(B239,TDK!F:G,2,0),0)</f>
        <v>4</v>
      </c>
      <c r="N239">
        <f t="shared" si="3"/>
        <v>79</v>
      </c>
    </row>
    <row r="240" spans="1:14" x14ac:dyDescent="0.25">
      <c r="A240" t="s">
        <v>978</v>
      </c>
      <c r="B240" t="s">
        <v>1237</v>
      </c>
      <c r="C240">
        <f>VLOOKUP(B240,raw!A:K,11,0)</f>
        <v>145</v>
      </c>
      <c r="D240">
        <f>VLOOKUP(B240,raw!A:K,3,0)+VLOOKUP(B240,raw!A:K,7,0)</f>
        <v>42</v>
      </c>
      <c r="E240">
        <f>VLOOKUP(B240,raw!A:K,4,0)</f>
        <v>1</v>
      </c>
      <c r="F240">
        <f>VLOOKUP(B240,raw!A:K,5,0)</f>
        <v>0</v>
      </c>
      <c r="G240">
        <f>VLOOKUP(B240,raw!A:K,2,0)+VLOOKUP(B240,raw!A:K,10,0)</f>
        <v>0</v>
      </c>
      <c r="H240">
        <f>VLOOKUP(B240,raw!A:K,6,0)</f>
        <v>0</v>
      </c>
      <c r="I240">
        <f>VLOOKUP(B240,raw!A:K,9,0)</f>
        <v>102</v>
      </c>
      <c r="J240">
        <f>VLOOKUP(B240,raw!A:K,8,0)</f>
        <v>0</v>
      </c>
      <c r="K240">
        <f>_xlfn.IFNA(VLOOKUP(B240,TDK!A:C,2,0),0)</f>
        <v>75</v>
      </c>
      <c r="L240">
        <f>_xlfn.IFNA(VLOOKUP(B240,TDK!A:C,3,0),0)</f>
        <v>2</v>
      </c>
      <c r="M240">
        <f>_xlfn.IFNA(VLOOKUP(B240,TDK!F:G,2,0),0)</f>
        <v>24</v>
      </c>
      <c r="N240">
        <f t="shared" si="3"/>
        <v>101</v>
      </c>
    </row>
    <row r="241" spans="1:14" x14ac:dyDescent="0.25">
      <c r="A241" t="s">
        <v>35</v>
      </c>
      <c r="B241" t="s">
        <v>1238</v>
      </c>
      <c r="C241">
        <f>VLOOKUP(B241,raw!A:K,11,0)</f>
        <v>116</v>
      </c>
      <c r="D241">
        <f>VLOOKUP(B241,raw!A:K,3,0)+VLOOKUP(B241,raw!A:K,7,0)</f>
        <v>0</v>
      </c>
      <c r="E241">
        <f>VLOOKUP(B241,raw!A:K,4,0)</f>
        <v>11</v>
      </c>
      <c r="F241">
        <f>VLOOKUP(B241,raw!A:K,5,0)</f>
        <v>0</v>
      </c>
      <c r="G241">
        <f>VLOOKUP(B241,raw!A:K,2,0)+VLOOKUP(B241,raw!A:K,10,0)</f>
        <v>0</v>
      </c>
      <c r="H241">
        <f>VLOOKUP(B241,raw!A:K,6,0)</f>
        <v>0</v>
      </c>
      <c r="I241">
        <f>VLOOKUP(B241,raw!A:K,9,0)</f>
        <v>105</v>
      </c>
      <c r="J241">
        <f>VLOOKUP(B241,raw!A:K,8,0)</f>
        <v>0</v>
      </c>
      <c r="K241">
        <f>_xlfn.IFNA(VLOOKUP(B241,TDK!A:C,2,0),0)</f>
        <v>11</v>
      </c>
      <c r="L241">
        <f>_xlfn.IFNA(VLOOKUP(B241,TDK!A:C,3,0),0)</f>
        <v>1</v>
      </c>
      <c r="M241">
        <f>_xlfn.IFNA(VLOOKUP(B241,TDK!F:G,2,0),0)</f>
        <v>6</v>
      </c>
      <c r="N241">
        <f t="shared" si="3"/>
        <v>18</v>
      </c>
    </row>
    <row r="242" spans="1:14" x14ac:dyDescent="0.25">
      <c r="A242" t="s">
        <v>31</v>
      </c>
      <c r="B242" t="s">
        <v>1239</v>
      </c>
      <c r="C242">
        <f>VLOOKUP(B242,raw!A:K,11,0)</f>
        <v>277</v>
      </c>
      <c r="D242">
        <f>VLOOKUP(B242,raw!A:K,3,0)+VLOOKUP(B242,raw!A:K,7,0)</f>
        <v>196</v>
      </c>
      <c r="E242">
        <f>VLOOKUP(B242,raw!A:K,4,0)</f>
        <v>0</v>
      </c>
      <c r="F242">
        <f>VLOOKUP(B242,raw!A:K,5,0)</f>
        <v>0</v>
      </c>
      <c r="G242">
        <f>VLOOKUP(B242,raw!A:K,2,0)+VLOOKUP(B242,raw!A:K,10,0)</f>
        <v>18</v>
      </c>
      <c r="H242">
        <f>VLOOKUP(B242,raw!A:K,6,0)</f>
        <v>0</v>
      </c>
      <c r="I242">
        <f>VLOOKUP(B242,raw!A:K,9,0)</f>
        <v>63</v>
      </c>
      <c r="J242">
        <f>VLOOKUP(B242,raw!A:K,8,0)</f>
        <v>0</v>
      </c>
      <c r="K242">
        <f>_xlfn.IFNA(VLOOKUP(B242,TDK!A:C,2,0),0)</f>
        <v>103</v>
      </c>
      <c r="L242">
        <f>_xlfn.IFNA(VLOOKUP(B242,TDK!A:C,3,0),0)</f>
        <v>7</v>
      </c>
      <c r="M242">
        <f>_xlfn.IFNA(VLOOKUP(B242,TDK!F:G,2,0),0)</f>
        <v>7</v>
      </c>
      <c r="N242">
        <f t="shared" si="3"/>
        <v>117</v>
      </c>
    </row>
    <row r="243" spans="1:14" x14ac:dyDescent="0.25">
      <c r="A243" t="s">
        <v>34</v>
      </c>
      <c r="B243" t="s">
        <v>1240</v>
      </c>
      <c r="C243">
        <f>VLOOKUP(B243,raw!A:K,11,0)</f>
        <v>122</v>
      </c>
      <c r="D243">
        <f>VLOOKUP(B243,raw!A:K,3,0)+VLOOKUP(B243,raw!A:K,7,0)</f>
        <v>121</v>
      </c>
      <c r="E243">
        <f>VLOOKUP(B243,raw!A:K,4,0)</f>
        <v>0</v>
      </c>
      <c r="F243">
        <f>VLOOKUP(B243,raw!A:K,5,0)</f>
        <v>0</v>
      </c>
      <c r="G243">
        <f>VLOOKUP(B243,raw!A:K,2,0)+VLOOKUP(B243,raw!A:K,10,0)</f>
        <v>0</v>
      </c>
      <c r="H243">
        <f>VLOOKUP(B243,raw!A:K,6,0)</f>
        <v>0</v>
      </c>
      <c r="I243">
        <f>VLOOKUP(B243,raw!A:K,9,0)</f>
        <v>1</v>
      </c>
      <c r="J243">
        <f>VLOOKUP(B243,raw!A:K,8,0)</f>
        <v>0</v>
      </c>
      <c r="K243">
        <f>_xlfn.IFNA(VLOOKUP(B243,TDK!A:C,2,0),0)</f>
        <v>40</v>
      </c>
      <c r="L243">
        <f>_xlfn.IFNA(VLOOKUP(B243,TDK!A:C,3,0),0)</f>
        <v>8</v>
      </c>
      <c r="M243">
        <f>_xlfn.IFNA(VLOOKUP(B243,TDK!F:G,2,0),0)</f>
        <v>5</v>
      </c>
      <c r="N243">
        <f t="shared" si="3"/>
        <v>53</v>
      </c>
    </row>
    <row r="244" spans="1:14" x14ac:dyDescent="0.25">
      <c r="A244" t="s">
        <v>35</v>
      </c>
      <c r="B244" t="s">
        <v>1241</v>
      </c>
      <c r="C244">
        <f>VLOOKUP(B244,raw!A:K,11,0)</f>
        <v>92</v>
      </c>
      <c r="D244">
        <f>VLOOKUP(B244,raw!A:K,3,0)+VLOOKUP(B244,raw!A:K,7,0)</f>
        <v>63</v>
      </c>
      <c r="E244">
        <f>VLOOKUP(B244,raw!A:K,4,0)</f>
        <v>0</v>
      </c>
      <c r="F244">
        <f>VLOOKUP(B244,raw!A:K,5,0)</f>
        <v>0</v>
      </c>
      <c r="G244">
        <f>VLOOKUP(B244,raw!A:K,2,0)+VLOOKUP(B244,raw!A:K,10,0)</f>
        <v>0</v>
      </c>
      <c r="H244">
        <f>VLOOKUP(B244,raw!A:K,6,0)</f>
        <v>0</v>
      </c>
      <c r="I244">
        <f>VLOOKUP(B244,raw!A:K,9,0)</f>
        <v>29</v>
      </c>
      <c r="J244">
        <f>VLOOKUP(B244,raw!A:K,8,0)</f>
        <v>0</v>
      </c>
      <c r="K244">
        <f>_xlfn.IFNA(VLOOKUP(B244,TDK!A:C,2,0),0)</f>
        <v>35</v>
      </c>
      <c r="L244">
        <f>_xlfn.IFNA(VLOOKUP(B244,TDK!A:C,3,0),0)</f>
        <v>0</v>
      </c>
      <c r="M244">
        <f>_xlfn.IFNA(VLOOKUP(B244,TDK!F:G,2,0),0)</f>
        <v>21</v>
      </c>
      <c r="N244">
        <f t="shared" si="3"/>
        <v>56</v>
      </c>
    </row>
    <row r="245" spans="1:14" x14ac:dyDescent="0.25">
      <c r="A245" t="s">
        <v>34</v>
      </c>
      <c r="B245" t="s">
        <v>1242</v>
      </c>
      <c r="C245">
        <f>VLOOKUP(B245,raw!A:K,11,0)</f>
        <v>121</v>
      </c>
      <c r="D245">
        <f>VLOOKUP(B245,raw!A:K,3,0)+VLOOKUP(B245,raw!A:K,7,0)</f>
        <v>120</v>
      </c>
      <c r="E245">
        <f>VLOOKUP(B245,raw!A:K,4,0)</f>
        <v>0</v>
      </c>
      <c r="F245">
        <f>VLOOKUP(B245,raw!A:K,5,0)</f>
        <v>0</v>
      </c>
      <c r="G245">
        <f>VLOOKUP(B245,raw!A:K,2,0)+VLOOKUP(B245,raw!A:K,10,0)</f>
        <v>0</v>
      </c>
      <c r="H245">
        <f>VLOOKUP(B245,raw!A:K,6,0)</f>
        <v>0</v>
      </c>
      <c r="I245">
        <f>VLOOKUP(B245,raw!A:K,9,0)</f>
        <v>1</v>
      </c>
      <c r="J245">
        <f>VLOOKUP(B245,raw!A:K,8,0)</f>
        <v>0</v>
      </c>
      <c r="K245">
        <f>_xlfn.IFNA(VLOOKUP(B245,TDK!A:C,2,0),0)</f>
        <v>33</v>
      </c>
      <c r="L245">
        <f>_xlfn.IFNA(VLOOKUP(B245,TDK!A:C,3,0),0)</f>
        <v>1</v>
      </c>
      <c r="M245">
        <f>_xlfn.IFNA(VLOOKUP(B245,TDK!F:G,2,0),0)</f>
        <v>22</v>
      </c>
      <c r="N245">
        <f t="shared" si="3"/>
        <v>56</v>
      </c>
    </row>
    <row r="246" spans="1:14" x14ac:dyDescent="0.25">
      <c r="A246" t="s">
        <v>34</v>
      </c>
      <c r="B246" t="s">
        <v>1243</v>
      </c>
      <c r="C246">
        <f>VLOOKUP(B246,raw!A:K,11,0)</f>
        <v>111</v>
      </c>
      <c r="D246">
        <f>VLOOKUP(B246,raw!A:K,3,0)+VLOOKUP(B246,raw!A:K,7,0)</f>
        <v>109</v>
      </c>
      <c r="E246">
        <f>VLOOKUP(B246,raw!A:K,4,0)</f>
        <v>2</v>
      </c>
      <c r="F246">
        <f>VLOOKUP(B246,raw!A:K,5,0)</f>
        <v>0</v>
      </c>
      <c r="G246">
        <f>VLOOKUP(B246,raw!A:K,2,0)+VLOOKUP(B246,raw!A:K,10,0)</f>
        <v>0</v>
      </c>
      <c r="H246">
        <f>VLOOKUP(B246,raw!A:K,6,0)</f>
        <v>0</v>
      </c>
      <c r="I246">
        <f>VLOOKUP(B246,raw!A:K,9,0)</f>
        <v>0</v>
      </c>
      <c r="J246">
        <f>VLOOKUP(B246,raw!A:K,8,0)</f>
        <v>0</v>
      </c>
      <c r="K246">
        <f>_xlfn.IFNA(VLOOKUP(B246,TDK!A:C,2,0),0)</f>
        <v>26</v>
      </c>
      <c r="L246">
        <f>_xlfn.IFNA(VLOOKUP(B246,TDK!A:C,3,0),0)</f>
        <v>3</v>
      </c>
      <c r="M246">
        <f>_xlfn.IFNA(VLOOKUP(B246,TDK!F:G,2,0),0)</f>
        <v>8</v>
      </c>
      <c r="N246">
        <f t="shared" si="3"/>
        <v>37</v>
      </c>
    </row>
    <row r="247" spans="1:14" x14ac:dyDescent="0.25">
      <c r="A247" t="s">
        <v>34</v>
      </c>
      <c r="B247" t="s">
        <v>1244</v>
      </c>
      <c r="C247">
        <f>VLOOKUP(B247,raw!A:K,11,0)</f>
        <v>121</v>
      </c>
      <c r="D247">
        <f>VLOOKUP(B247,raw!A:K,3,0)+VLOOKUP(B247,raw!A:K,7,0)</f>
        <v>120</v>
      </c>
      <c r="E247">
        <f>VLOOKUP(B247,raw!A:K,4,0)</f>
        <v>0</v>
      </c>
      <c r="F247">
        <f>VLOOKUP(B247,raw!A:K,5,0)</f>
        <v>0</v>
      </c>
      <c r="G247">
        <f>VLOOKUP(B247,raw!A:K,2,0)+VLOOKUP(B247,raw!A:K,10,0)</f>
        <v>0</v>
      </c>
      <c r="H247">
        <f>VLOOKUP(B247,raw!A:K,6,0)</f>
        <v>0</v>
      </c>
      <c r="I247">
        <f>VLOOKUP(B247,raw!A:K,9,0)</f>
        <v>1</v>
      </c>
      <c r="J247">
        <f>VLOOKUP(B247,raw!A:K,8,0)</f>
        <v>0</v>
      </c>
      <c r="K247">
        <f>_xlfn.IFNA(VLOOKUP(B247,TDK!A:C,2,0),0)</f>
        <v>42</v>
      </c>
      <c r="L247">
        <f>_xlfn.IFNA(VLOOKUP(B247,TDK!A:C,3,0),0)</f>
        <v>0</v>
      </c>
      <c r="M247">
        <f>_xlfn.IFNA(VLOOKUP(B247,TDK!F:G,2,0),0)</f>
        <v>10</v>
      </c>
      <c r="N247">
        <f t="shared" si="3"/>
        <v>52</v>
      </c>
    </row>
    <row r="248" spans="1:14" x14ac:dyDescent="0.25">
      <c r="A248" t="s">
        <v>35</v>
      </c>
      <c r="B248" t="s">
        <v>1245</v>
      </c>
      <c r="C248">
        <f>VLOOKUP(B248,raw!A:K,11,0)</f>
        <v>106</v>
      </c>
      <c r="D248">
        <f>VLOOKUP(B248,raw!A:K,3,0)+VLOOKUP(B248,raw!A:K,7,0)</f>
        <v>66</v>
      </c>
      <c r="E248">
        <f>VLOOKUP(B248,raw!A:K,4,0)</f>
        <v>6</v>
      </c>
      <c r="F248">
        <f>VLOOKUP(B248,raw!A:K,5,0)</f>
        <v>0</v>
      </c>
      <c r="G248">
        <f>VLOOKUP(B248,raw!A:K,2,0)+VLOOKUP(B248,raw!A:K,10,0)</f>
        <v>0</v>
      </c>
      <c r="H248">
        <f>VLOOKUP(B248,raw!A:K,6,0)</f>
        <v>0</v>
      </c>
      <c r="I248">
        <f>VLOOKUP(B248,raw!A:K,9,0)</f>
        <v>34</v>
      </c>
      <c r="J248">
        <f>VLOOKUP(B248,raw!A:K,8,0)</f>
        <v>0</v>
      </c>
      <c r="K248">
        <f>_xlfn.IFNA(VLOOKUP(B248,TDK!A:C,2,0),0)</f>
        <v>34</v>
      </c>
      <c r="L248">
        <f>_xlfn.IFNA(VLOOKUP(B248,TDK!A:C,3,0),0)</f>
        <v>0</v>
      </c>
      <c r="M248">
        <f>_xlfn.IFNA(VLOOKUP(B248,TDK!F:G,2,0),0)</f>
        <v>24</v>
      </c>
      <c r="N248">
        <f t="shared" si="3"/>
        <v>58</v>
      </c>
    </row>
    <row r="249" spans="1:14" x14ac:dyDescent="0.25">
      <c r="A249" t="s">
        <v>35</v>
      </c>
      <c r="B249" t="s">
        <v>1246</v>
      </c>
      <c r="C249">
        <f>VLOOKUP(B249,raw!A:K,11,0)</f>
        <v>297</v>
      </c>
      <c r="D249">
        <f>VLOOKUP(B249,raw!A:K,3,0)+VLOOKUP(B249,raw!A:K,7,0)</f>
        <v>72</v>
      </c>
      <c r="E249">
        <f>VLOOKUP(B249,raw!A:K,4,0)</f>
        <v>1</v>
      </c>
      <c r="F249">
        <f>VLOOKUP(B249,raw!A:K,5,0)</f>
        <v>0</v>
      </c>
      <c r="G249">
        <f>VLOOKUP(B249,raw!A:K,2,0)+VLOOKUP(B249,raw!A:K,10,0)</f>
        <v>0</v>
      </c>
      <c r="H249">
        <f>VLOOKUP(B249,raw!A:K,6,0)</f>
        <v>0</v>
      </c>
      <c r="I249">
        <f>VLOOKUP(B249,raw!A:K,9,0)</f>
        <v>224</v>
      </c>
      <c r="J249">
        <f>VLOOKUP(B249,raw!A:K,8,0)</f>
        <v>0</v>
      </c>
      <c r="K249">
        <f>_xlfn.IFNA(VLOOKUP(B249,TDK!A:C,2,0),0)</f>
        <v>147</v>
      </c>
      <c r="L249">
        <f>_xlfn.IFNA(VLOOKUP(B249,TDK!A:C,3,0),0)</f>
        <v>7</v>
      </c>
      <c r="M249">
        <f>_xlfn.IFNA(VLOOKUP(B249,TDK!F:G,2,0),0)</f>
        <v>37</v>
      </c>
      <c r="N249">
        <f t="shared" si="3"/>
        <v>191</v>
      </c>
    </row>
    <row r="250" spans="1:14" x14ac:dyDescent="0.25">
      <c r="A250" t="s">
        <v>35</v>
      </c>
      <c r="B250" t="s">
        <v>1247</v>
      </c>
      <c r="C250">
        <f>VLOOKUP(B250,raw!A:K,11,0)</f>
        <v>114</v>
      </c>
      <c r="D250">
        <f>VLOOKUP(B250,raw!A:K,3,0)+VLOOKUP(B250,raw!A:K,7,0)</f>
        <v>21</v>
      </c>
      <c r="E250">
        <f>VLOOKUP(B250,raw!A:K,4,0)</f>
        <v>0</v>
      </c>
      <c r="F250">
        <f>VLOOKUP(B250,raw!A:K,5,0)</f>
        <v>0</v>
      </c>
      <c r="G250">
        <f>VLOOKUP(B250,raw!A:K,2,0)+VLOOKUP(B250,raw!A:K,10,0)</f>
        <v>0</v>
      </c>
      <c r="H250">
        <f>VLOOKUP(B250,raw!A:K,6,0)</f>
        <v>0</v>
      </c>
      <c r="I250">
        <f>VLOOKUP(B250,raw!A:K,9,0)</f>
        <v>93</v>
      </c>
      <c r="J250">
        <f>VLOOKUP(B250,raw!A:K,8,0)</f>
        <v>0</v>
      </c>
      <c r="K250">
        <f>_xlfn.IFNA(VLOOKUP(B250,TDK!A:C,2,0),0)</f>
        <v>28</v>
      </c>
      <c r="L250">
        <f>_xlfn.IFNA(VLOOKUP(B250,TDK!A:C,3,0),0)</f>
        <v>0</v>
      </c>
      <c r="M250">
        <f>_xlfn.IFNA(VLOOKUP(B250,TDK!F:G,2,0),0)</f>
        <v>16</v>
      </c>
      <c r="N250">
        <f t="shared" si="3"/>
        <v>44</v>
      </c>
    </row>
    <row r="251" spans="1:14" x14ac:dyDescent="0.25">
      <c r="A251" t="s">
        <v>30</v>
      </c>
      <c r="B251" t="s">
        <v>1248</v>
      </c>
      <c r="C251">
        <f>VLOOKUP(B251,raw!A:K,11,0)</f>
        <v>228</v>
      </c>
      <c r="D251">
        <f>VLOOKUP(B251,raw!A:K,3,0)+VLOOKUP(B251,raw!A:K,7,0)</f>
        <v>211</v>
      </c>
      <c r="E251">
        <f>VLOOKUP(B251,raw!A:K,4,0)</f>
        <v>0</v>
      </c>
      <c r="F251">
        <f>VLOOKUP(B251,raw!A:K,5,0)</f>
        <v>0</v>
      </c>
      <c r="G251">
        <f>VLOOKUP(B251,raw!A:K,2,0)+VLOOKUP(B251,raw!A:K,10,0)</f>
        <v>6</v>
      </c>
      <c r="H251">
        <f>VLOOKUP(B251,raw!A:K,6,0)</f>
        <v>0</v>
      </c>
      <c r="I251">
        <f>VLOOKUP(B251,raw!A:K,9,0)</f>
        <v>11</v>
      </c>
      <c r="J251">
        <f>VLOOKUP(B251,raw!A:K,8,0)</f>
        <v>0</v>
      </c>
      <c r="K251">
        <f>_xlfn.IFNA(VLOOKUP(B251,TDK!A:C,2,0),0)</f>
        <v>27</v>
      </c>
      <c r="L251">
        <f>_xlfn.IFNA(VLOOKUP(B251,TDK!A:C,3,0),0)</f>
        <v>1</v>
      </c>
      <c r="M251">
        <f>_xlfn.IFNA(VLOOKUP(B251,TDK!F:G,2,0),0)</f>
        <v>89</v>
      </c>
      <c r="N251">
        <f t="shared" si="3"/>
        <v>117</v>
      </c>
    </row>
    <row r="252" spans="1:14" x14ac:dyDescent="0.25">
      <c r="A252" t="s">
        <v>35</v>
      </c>
      <c r="B252" t="s">
        <v>1249</v>
      </c>
      <c r="C252">
        <f>VLOOKUP(B252,raw!A:K,11,0)</f>
        <v>146</v>
      </c>
      <c r="D252">
        <f>VLOOKUP(B252,raw!A:K,3,0)+VLOOKUP(B252,raw!A:K,7,0)</f>
        <v>92</v>
      </c>
      <c r="E252">
        <f>VLOOKUP(B252,raw!A:K,4,0)</f>
        <v>1</v>
      </c>
      <c r="F252">
        <f>VLOOKUP(B252,raw!A:K,5,0)</f>
        <v>0</v>
      </c>
      <c r="G252">
        <f>VLOOKUP(B252,raw!A:K,2,0)+VLOOKUP(B252,raw!A:K,10,0)</f>
        <v>1</v>
      </c>
      <c r="H252">
        <f>VLOOKUP(B252,raw!A:K,6,0)</f>
        <v>0</v>
      </c>
      <c r="I252">
        <f>VLOOKUP(B252,raw!A:K,9,0)</f>
        <v>52</v>
      </c>
      <c r="J252">
        <f>VLOOKUP(B252,raw!A:K,8,0)</f>
        <v>0</v>
      </c>
      <c r="K252">
        <f>_xlfn.IFNA(VLOOKUP(B252,TDK!A:C,2,0),0)</f>
        <v>44</v>
      </c>
      <c r="L252">
        <f>_xlfn.IFNA(VLOOKUP(B252,TDK!A:C,3,0),0)</f>
        <v>1</v>
      </c>
      <c r="M252">
        <f>_xlfn.IFNA(VLOOKUP(B252,TDK!F:G,2,0),0)</f>
        <v>27</v>
      </c>
      <c r="N252">
        <f t="shared" si="3"/>
        <v>72</v>
      </c>
    </row>
    <row r="253" spans="1:14" x14ac:dyDescent="0.25">
      <c r="A253" t="s">
        <v>36</v>
      </c>
      <c r="B253" t="s">
        <v>1250</v>
      </c>
      <c r="C253">
        <f>VLOOKUP(B253,raw!A:K,11,0)</f>
        <v>157</v>
      </c>
      <c r="D253">
        <f>VLOOKUP(B253,raw!A:K,3,0)+VLOOKUP(B253,raw!A:K,7,0)</f>
        <v>36</v>
      </c>
      <c r="E253">
        <f>VLOOKUP(B253,raw!A:K,4,0)</f>
        <v>5</v>
      </c>
      <c r="F253">
        <f>VLOOKUP(B253,raw!A:K,5,0)</f>
        <v>0</v>
      </c>
      <c r="G253">
        <f>VLOOKUP(B253,raw!A:K,2,0)+VLOOKUP(B253,raw!A:K,10,0)</f>
        <v>0</v>
      </c>
      <c r="H253">
        <f>VLOOKUP(B253,raw!A:K,6,0)</f>
        <v>1</v>
      </c>
      <c r="I253">
        <f>VLOOKUP(B253,raw!A:K,9,0)</f>
        <v>115</v>
      </c>
      <c r="J253">
        <f>VLOOKUP(B253,raw!A:K,8,0)</f>
        <v>0</v>
      </c>
      <c r="K253">
        <f>_xlfn.IFNA(VLOOKUP(B253,TDK!A:C,2,0),0)</f>
        <v>41</v>
      </c>
      <c r="L253">
        <f>_xlfn.IFNA(VLOOKUP(B253,TDK!A:C,3,0),0)</f>
        <v>2</v>
      </c>
      <c r="M253">
        <f>_xlfn.IFNA(VLOOKUP(B253,TDK!F:G,2,0),0)</f>
        <v>21</v>
      </c>
      <c r="N253">
        <f t="shared" si="3"/>
        <v>64</v>
      </c>
    </row>
    <row r="254" spans="1:14" x14ac:dyDescent="0.25">
      <c r="A254" t="s">
        <v>36</v>
      </c>
      <c r="B254" t="s">
        <v>1251</v>
      </c>
      <c r="C254">
        <f>VLOOKUP(B254,raw!A:K,11,0)</f>
        <v>175</v>
      </c>
      <c r="D254">
        <f>VLOOKUP(B254,raw!A:K,3,0)+VLOOKUP(B254,raw!A:K,7,0)</f>
        <v>62</v>
      </c>
      <c r="E254">
        <f>VLOOKUP(B254,raw!A:K,4,0)</f>
        <v>10</v>
      </c>
      <c r="F254">
        <f>VLOOKUP(B254,raw!A:K,5,0)</f>
        <v>0</v>
      </c>
      <c r="G254">
        <f>VLOOKUP(B254,raw!A:K,2,0)+VLOOKUP(B254,raw!A:K,10,0)</f>
        <v>0</v>
      </c>
      <c r="H254">
        <f>VLOOKUP(B254,raw!A:K,6,0)</f>
        <v>0</v>
      </c>
      <c r="I254">
        <f>VLOOKUP(B254,raw!A:K,9,0)</f>
        <v>103</v>
      </c>
      <c r="J254">
        <f>VLOOKUP(B254,raw!A:K,8,0)</f>
        <v>0</v>
      </c>
      <c r="K254">
        <f>_xlfn.IFNA(VLOOKUP(B254,TDK!A:C,2,0),0)</f>
        <v>44</v>
      </c>
      <c r="L254">
        <f>_xlfn.IFNA(VLOOKUP(B254,TDK!A:C,3,0),0)</f>
        <v>0</v>
      </c>
      <c r="M254">
        <f>_xlfn.IFNA(VLOOKUP(B254,TDK!F:G,2,0),0)</f>
        <v>36</v>
      </c>
      <c r="N254">
        <f t="shared" si="3"/>
        <v>80</v>
      </c>
    </row>
    <row r="255" spans="1:14" x14ac:dyDescent="0.25">
      <c r="A255" t="s">
        <v>36</v>
      </c>
      <c r="B255" t="s">
        <v>1252</v>
      </c>
      <c r="C255">
        <f>VLOOKUP(B255,raw!A:K,11,0)</f>
        <v>108</v>
      </c>
      <c r="D255">
        <f>VLOOKUP(B255,raw!A:K,3,0)+VLOOKUP(B255,raw!A:K,7,0)</f>
        <v>20</v>
      </c>
      <c r="E255">
        <f>VLOOKUP(B255,raw!A:K,4,0)</f>
        <v>3</v>
      </c>
      <c r="F255">
        <f>VLOOKUP(B255,raw!A:K,5,0)</f>
        <v>0</v>
      </c>
      <c r="G255">
        <f>VLOOKUP(B255,raw!A:K,2,0)+VLOOKUP(B255,raw!A:K,10,0)</f>
        <v>0</v>
      </c>
      <c r="H255">
        <f>VLOOKUP(B255,raw!A:K,6,0)</f>
        <v>0</v>
      </c>
      <c r="I255">
        <f>VLOOKUP(B255,raw!A:K,9,0)</f>
        <v>85</v>
      </c>
      <c r="J255">
        <f>VLOOKUP(B255,raw!A:K,8,0)</f>
        <v>0</v>
      </c>
      <c r="K255">
        <f>_xlfn.IFNA(VLOOKUP(B255,TDK!A:C,2,0),0)</f>
        <v>28</v>
      </c>
      <c r="L255">
        <f>_xlfn.IFNA(VLOOKUP(B255,TDK!A:C,3,0),0)</f>
        <v>1</v>
      </c>
      <c r="M255">
        <f>_xlfn.IFNA(VLOOKUP(B255,TDK!F:G,2,0),0)</f>
        <v>25</v>
      </c>
      <c r="N255">
        <f t="shared" si="3"/>
        <v>54</v>
      </c>
    </row>
    <row r="256" spans="1:14" x14ac:dyDescent="0.25">
      <c r="A256" t="s">
        <v>36</v>
      </c>
      <c r="B256" t="s">
        <v>1253</v>
      </c>
      <c r="C256">
        <f>VLOOKUP(B256,raw!A:K,11,0)</f>
        <v>145</v>
      </c>
      <c r="D256">
        <f>VLOOKUP(B256,raw!A:K,3,0)+VLOOKUP(B256,raw!A:K,7,0)</f>
        <v>67</v>
      </c>
      <c r="E256">
        <f>VLOOKUP(B256,raw!A:K,4,0)</f>
        <v>3</v>
      </c>
      <c r="F256">
        <f>VLOOKUP(B256,raw!A:K,5,0)</f>
        <v>0</v>
      </c>
      <c r="G256">
        <f>VLOOKUP(B256,raw!A:K,2,0)+VLOOKUP(B256,raw!A:K,10,0)</f>
        <v>0</v>
      </c>
      <c r="H256">
        <f>VLOOKUP(B256,raw!A:K,6,0)</f>
        <v>0</v>
      </c>
      <c r="I256">
        <f>VLOOKUP(B256,raw!A:K,9,0)</f>
        <v>75</v>
      </c>
      <c r="J256">
        <f>VLOOKUP(B256,raw!A:K,8,0)</f>
        <v>0</v>
      </c>
      <c r="K256">
        <f>_xlfn.IFNA(VLOOKUP(B256,TDK!A:C,2,0),0)</f>
        <v>66</v>
      </c>
      <c r="L256">
        <f>_xlfn.IFNA(VLOOKUP(B256,TDK!A:C,3,0),0)</f>
        <v>1</v>
      </c>
      <c r="M256">
        <f>_xlfn.IFNA(VLOOKUP(B256,TDK!F:G,2,0),0)</f>
        <v>19</v>
      </c>
      <c r="N256">
        <f t="shared" si="3"/>
        <v>86</v>
      </c>
    </row>
    <row r="257" spans="1:14" x14ac:dyDescent="0.25">
      <c r="A257" t="s">
        <v>36</v>
      </c>
      <c r="B257" t="s">
        <v>1254</v>
      </c>
      <c r="C257">
        <f>VLOOKUP(B257,raw!A:K,11,0)</f>
        <v>195</v>
      </c>
      <c r="D257">
        <f>VLOOKUP(B257,raw!A:K,3,0)+VLOOKUP(B257,raw!A:K,7,0)</f>
        <v>153</v>
      </c>
      <c r="E257">
        <f>VLOOKUP(B257,raw!A:K,4,0)</f>
        <v>5</v>
      </c>
      <c r="F257">
        <f>VLOOKUP(B257,raw!A:K,5,0)</f>
        <v>0</v>
      </c>
      <c r="G257">
        <f>VLOOKUP(B257,raw!A:K,2,0)+VLOOKUP(B257,raw!A:K,10,0)</f>
        <v>0</v>
      </c>
      <c r="H257">
        <f>VLOOKUP(B257,raw!A:K,6,0)</f>
        <v>0</v>
      </c>
      <c r="I257">
        <f>VLOOKUP(B257,raw!A:K,9,0)</f>
        <v>37</v>
      </c>
      <c r="J257">
        <f>VLOOKUP(B257,raw!A:K,8,0)</f>
        <v>0</v>
      </c>
      <c r="K257">
        <f>_xlfn.IFNA(VLOOKUP(B257,TDK!A:C,2,0),0)</f>
        <v>91</v>
      </c>
      <c r="L257">
        <f>_xlfn.IFNA(VLOOKUP(B257,TDK!A:C,3,0),0)</f>
        <v>7</v>
      </c>
      <c r="M257">
        <f>_xlfn.IFNA(VLOOKUP(B257,TDK!F:G,2,0),0)</f>
        <v>21</v>
      </c>
      <c r="N257">
        <f t="shared" si="3"/>
        <v>119</v>
      </c>
    </row>
    <row r="258" spans="1:14" x14ac:dyDescent="0.25">
      <c r="A258" t="s">
        <v>36</v>
      </c>
      <c r="B258" t="s">
        <v>1255</v>
      </c>
      <c r="C258">
        <f>VLOOKUP(B258,raw!A:K,11,0)</f>
        <v>106</v>
      </c>
      <c r="D258">
        <f>VLOOKUP(B258,raw!A:K,3,0)+VLOOKUP(B258,raw!A:K,7,0)</f>
        <v>53</v>
      </c>
      <c r="E258">
        <f>VLOOKUP(B258,raw!A:K,4,0)</f>
        <v>1</v>
      </c>
      <c r="F258">
        <f>VLOOKUP(B258,raw!A:K,5,0)</f>
        <v>0</v>
      </c>
      <c r="G258">
        <f>VLOOKUP(B258,raw!A:K,2,0)+VLOOKUP(B258,raw!A:K,10,0)</f>
        <v>0</v>
      </c>
      <c r="H258">
        <f>VLOOKUP(B258,raw!A:K,6,0)</f>
        <v>0</v>
      </c>
      <c r="I258">
        <f>VLOOKUP(B258,raw!A:K,9,0)</f>
        <v>52</v>
      </c>
      <c r="J258">
        <f>VLOOKUP(B258,raw!A:K,8,0)</f>
        <v>0</v>
      </c>
      <c r="K258">
        <f>_xlfn.IFNA(VLOOKUP(B258,TDK!A:C,2,0),0)</f>
        <v>9</v>
      </c>
      <c r="L258">
        <f>_xlfn.IFNA(VLOOKUP(B258,TDK!A:C,3,0),0)</f>
        <v>0</v>
      </c>
      <c r="M258">
        <f>_xlfn.IFNA(VLOOKUP(B258,TDK!F:G,2,0),0)</f>
        <v>43</v>
      </c>
      <c r="N258">
        <f t="shared" si="3"/>
        <v>52</v>
      </c>
    </row>
    <row r="259" spans="1:14" x14ac:dyDescent="0.25">
      <c r="A259" t="s">
        <v>31</v>
      </c>
      <c r="B259" t="s">
        <v>1256</v>
      </c>
      <c r="C259">
        <f>VLOOKUP(B259,raw!A:K,11,0)</f>
        <v>72</v>
      </c>
      <c r="D259">
        <f>VLOOKUP(B259,raw!A:K,3,0)+VLOOKUP(B259,raw!A:K,7,0)</f>
        <v>0</v>
      </c>
      <c r="E259">
        <f>VLOOKUP(B259,raw!A:K,4,0)</f>
        <v>5</v>
      </c>
      <c r="F259">
        <f>VLOOKUP(B259,raw!A:K,5,0)</f>
        <v>0</v>
      </c>
      <c r="G259">
        <f>VLOOKUP(B259,raw!A:K,2,0)+VLOOKUP(B259,raw!A:K,10,0)</f>
        <v>5</v>
      </c>
      <c r="H259">
        <f>VLOOKUP(B259,raw!A:K,6,0)</f>
        <v>0</v>
      </c>
      <c r="I259">
        <f>VLOOKUP(B259,raw!A:K,9,0)</f>
        <v>62</v>
      </c>
      <c r="J259">
        <f>VLOOKUP(B259,raw!A:K,8,0)</f>
        <v>0</v>
      </c>
      <c r="K259">
        <f>_xlfn.IFNA(VLOOKUP(B259,TDK!A:C,2,0),0)</f>
        <v>5</v>
      </c>
      <c r="L259">
        <f>_xlfn.IFNA(VLOOKUP(B259,TDK!A:C,3,0),0)</f>
        <v>0</v>
      </c>
      <c r="M259">
        <f>_xlfn.IFNA(VLOOKUP(B259,TDK!F:G,2,0),0)</f>
        <v>3</v>
      </c>
      <c r="N259">
        <f t="shared" ref="N259:N322" si="4">SUM(K259:M259)</f>
        <v>8</v>
      </c>
    </row>
    <row r="260" spans="1:14" x14ac:dyDescent="0.25">
      <c r="A260" t="s">
        <v>37</v>
      </c>
      <c r="B260" t="s">
        <v>1257</v>
      </c>
      <c r="C260">
        <f>VLOOKUP(B260,raw!A:K,11,0)</f>
        <v>203</v>
      </c>
      <c r="D260">
        <f>VLOOKUP(B260,raw!A:K,3,0)+VLOOKUP(B260,raw!A:K,7,0)</f>
        <v>193</v>
      </c>
      <c r="E260">
        <f>VLOOKUP(B260,raw!A:K,4,0)</f>
        <v>0</v>
      </c>
      <c r="F260">
        <f>VLOOKUP(B260,raw!A:K,5,0)</f>
        <v>0</v>
      </c>
      <c r="G260">
        <f>VLOOKUP(B260,raw!A:K,2,0)+VLOOKUP(B260,raw!A:K,10,0)</f>
        <v>10</v>
      </c>
      <c r="H260">
        <f>VLOOKUP(B260,raw!A:K,6,0)</f>
        <v>0</v>
      </c>
      <c r="I260">
        <f>VLOOKUP(B260,raw!A:K,9,0)</f>
        <v>0</v>
      </c>
      <c r="J260">
        <f>VLOOKUP(B260,raw!A:K,8,0)</f>
        <v>0</v>
      </c>
      <c r="K260">
        <f>_xlfn.IFNA(VLOOKUP(B260,TDK!A:C,2,0),0)</f>
        <v>59</v>
      </c>
      <c r="L260">
        <f>_xlfn.IFNA(VLOOKUP(B260,TDK!A:C,3,0),0)</f>
        <v>1</v>
      </c>
      <c r="M260">
        <f>_xlfn.IFNA(VLOOKUP(B260,TDK!F:G,2,0),0)</f>
        <v>38</v>
      </c>
      <c r="N260">
        <f t="shared" si="4"/>
        <v>98</v>
      </c>
    </row>
    <row r="261" spans="1:14" x14ac:dyDescent="0.25">
      <c r="A261" t="s">
        <v>37</v>
      </c>
      <c r="B261" t="s">
        <v>1258</v>
      </c>
      <c r="C261">
        <f>VLOOKUP(B261,raw!A:K,11,0)</f>
        <v>213</v>
      </c>
      <c r="D261">
        <f>VLOOKUP(B261,raw!A:K,3,0)+VLOOKUP(B261,raw!A:K,7,0)</f>
        <v>189</v>
      </c>
      <c r="E261">
        <f>VLOOKUP(B261,raw!A:K,4,0)</f>
        <v>0</v>
      </c>
      <c r="F261">
        <f>VLOOKUP(B261,raw!A:K,5,0)</f>
        <v>0</v>
      </c>
      <c r="G261">
        <f>VLOOKUP(B261,raw!A:K,2,0)+VLOOKUP(B261,raw!A:K,10,0)</f>
        <v>3</v>
      </c>
      <c r="H261">
        <f>VLOOKUP(B261,raw!A:K,6,0)</f>
        <v>0</v>
      </c>
      <c r="I261">
        <f>VLOOKUP(B261,raw!A:K,9,0)</f>
        <v>21</v>
      </c>
      <c r="J261">
        <f>VLOOKUP(B261,raw!A:K,8,0)</f>
        <v>0</v>
      </c>
      <c r="K261">
        <f>_xlfn.IFNA(VLOOKUP(B261,TDK!A:C,2,0),0)</f>
        <v>68</v>
      </c>
      <c r="L261">
        <f>_xlfn.IFNA(VLOOKUP(B261,TDK!A:C,3,0),0)</f>
        <v>4</v>
      </c>
      <c r="M261">
        <f>_xlfn.IFNA(VLOOKUP(B261,TDK!F:G,2,0),0)</f>
        <v>61</v>
      </c>
      <c r="N261">
        <f t="shared" si="4"/>
        <v>133</v>
      </c>
    </row>
    <row r="262" spans="1:14" x14ac:dyDescent="0.25">
      <c r="A262" t="s">
        <v>37</v>
      </c>
      <c r="B262" t="s">
        <v>1259</v>
      </c>
      <c r="C262">
        <f>VLOOKUP(B262,raw!A:K,11,0)</f>
        <v>243</v>
      </c>
      <c r="D262">
        <f>VLOOKUP(B262,raw!A:K,3,0)+VLOOKUP(B262,raw!A:K,7,0)</f>
        <v>202</v>
      </c>
      <c r="E262">
        <f>VLOOKUP(B262,raw!A:K,4,0)</f>
        <v>0</v>
      </c>
      <c r="F262">
        <f>VLOOKUP(B262,raw!A:K,5,0)</f>
        <v>0</v>
      </c>
      <c r="G262">
        <f>VLOOKUP(B262,raw!A:K,2,0)+VLOOKUP(B262,raw!A:K,10,0)</f>
        <v>4</v>
      </c>
      <c r="H262">
        <f>VLOOKUP(B262,raw!A:K,6,0)</f>
        <v>0</v>
      </c>
      <c r="I262">
        <f>VLOOKUP(B262,raw!A:K,9,0)</f>
        <v>37</v>
      </c>
      <c r="J262">
        <f>VLOOKUP(B262,raw!A:K,8,0)</f>
        <v>0</v>
      </c>
      <c r="K262">
        <f>_xlfn.IFNA(VLOOKUP(B262,TDK!A:C,2,0),0)</f>
        <v>18</v>
      </c>
      <c r="L262">
        <f>_xlfn.IFNA(VLOOKUP(B262,TDK!A:C,3,0),0)</f>
        <v>2</v>
      </c>
      <c r="M262">
        <f>_xlfn.IFNA(VLOOKUP(B262,TDK!F:G,2,0),0)</f>
        <v>50</v>
      </c>
      <c r="N262">
        <f t="shared" si="4"/>
        <v>70</v>
      </c>
    </row>
    <row r="263" spans="1:14" x14ac:dyDescent="0.25">
      <c r="A263" t="s">
        <v>37</v>
      </c>
      <c r="B263" t="s">
        <v>1260</v>
      </c>
      <c r="C263">
        <f>VLOOKUP(B263,raw!A:K,11,0)</f>
        <v>103</v>
      </c>
      <c r="D263">
        <f>VLOOKUP(B263,raw!A:K,3,0)+VLOOKUP(B263,raw!A:K,7,0)</f>
        <v>28</v>
      </c>
      <c r="E263">
        <f>VLOOKUP(B263,raw!A:K,4,0)</f>
        <v>0</v>
      </c>
      <c r="F263">
        <f>VLOOKUP(B263,raw!A:K,5,0)</f>
        <v>0</v>
      </c>
      <c r="G263">
        <f>VLOOKUP(B263,raw!A:K,2,0)+VLOOKUP(B263,raw!A:K,10,0)</f>
        <v>0</v>
      </c>
      <c r="H263">
        <f>VLOOKUP(B263,raw!A:K,6,0)</f>
        <v>0</v>
      </c>
      <c r="I263">
        <f>VLOOKUP(B263,raw!A:K,9,0)</f>
        <v>75</v>
      </c>
      <c r="J263">
        <f>VLOOKUP(B263,raw!A:K,8,0)</f>
        <v>0</v>
      </c>
      <c r="K263">
        <f>_xlfn.IFNA(VLOOKUP(B263,TDK!A:C,2,0),0)</f>
        <v>11</v>
      </c>
      <c r="L263">
        <f>_xlfn.IFNA(VLOOKUP(B263,TDK!A:C,3,0),0)</f>
        <v>1</v>
      </c>
      <c r="M263">
        <f>_xlfn.IFNA(VLOOKUP(B263,TDK!F:G,2,0),0)</f>
        <v>30</v>
      </c>
      <c r="N263">
        <f t="shared" si="4"/>
        <v>42</v>
      </c>
    </row>
    <row r="264" spans="1:14" x14ac:dyDescent="0.25">
      <c r="A264" t="s">
        <v>38</v>
      </c>
      <c r="B264" t="s">
        <v>1261</v>
      </c>
      <c r="C264">
        <f>VLOOKUP(B264,raw!A:K,11,0)</f>
        <v>148</v>
      </c>
      <c r="D264">
        <f>VLOOKUP(B264,raw!A:K,3,0)+VLOOKUP(B264,raw!A:K,7,0)</f>
        <v>115</v>
      </c>
      <c r="E264">
        <f>VLOOKUP(B264,raw!A:K,4,0)</f>
        <v>1</v>
      </c>
      <c r="F264">
        <f>VLOOKUP(B264,raw!A:K,5,0)</f>
        <v>0</v>
      </c>
      <c r="G264">
        <f>VLOOKUP(B264,raw!A:K,2,0)+VLOOKUP(B264,raw!A:K,10,0)</f>
        <v>0</v>
      </c>
      <c r="H264">
        <f>VLOOKUP(B264,raw!A:K,6,0)</f>
        <v>0</v>
      </c>
      <c r="I264">
        <f>VLOOKUP(B264,raw!A:K,9,0)</f>
        <v>32</v>
      </c>
      <c r="J264">
        <f>VLOOKUP(B264,raw!A:K,8,0)</f>
        <v>0</v>
      </c>
      <c r="K264">
        <f>_xlfn.IFNA(VLOOKUP(B264,TDK!A:C,2,0),0)</f>
        <v>24</v>
      </c>
      <c r="L264">
        <f>_xlfn.IFNA(VLOOKUP(B264,TDK!A:C,3,0),0)</f>
        <v>5</v>
      </c>
      <c r="M264">
        <f>_xlfn.IFNA(VLOOKUP(B264,TDK!F:G,2,0),0)</f>
        <v>21</v>
      </c>
      <c r="N264">
        <f t="shared" si="4"/>
        <v>50</v>
      </c>
    </row>
    <row r="265" spans="1:14" x14ac:dyDescent="0.25">
      <c r="A265" t="s">
        <v>38</v>
      </c>
      <c r="B265" t="s">
        <v>1262</v>
      </c>
      <c r="C265">
        <f>VLOOKUP(B265,raw!A:K,11,0)</f>
        <v>138</v>
      </c>
      <c r="D265">
        <f>VLOOKUP(B265,raw!A:K,3,0)+VLOOKUP(B265,raw!A:K,7,0)</f>
        <v>91</v>
      </c>
      <c r="E265">
        <f>VLOOKUP(B265,raw!A:K,4,0)</f>
        <v>3</v>
      </c>
      <c r="F265">
        <f>VLOOKUP(B265,raw!A:K,5,0)</f>
        <v>0</v>
      </c>
      <c r="G265">
        <f>VLOOKUP(B265,raw!A:K,2,0)+VLOOKUP(B265,raw!A:K,10,0)</f>
        <v>0</v>
      </c>
      <c r="H265">
        <f>VLOOKUP(B265,raw!A:K,6,0)</f>
        <v>0</v>
      </c>
      <c r="I265">
        <f>VLOOKUP(B265,raw!A:K,9,0)</f>
        <v>44</v>
      </c>
      <c r="J265">
        <f>VLOOKUP(B265,raw!A:K,8,0)</f>
        <v>0</v>
      </c>
      <c r="K265">
        <f>_xlfn.IFNA(VLOOKUP(B265,TDK!A:C,2,0),0)</f>
        <v>45</v>
      </c>
      <c r="L265">
        <f>_xlfn.IFNA(VLOOKUP(B265,TDK!A:C,3,0),0)</f>
        <v>2</v>
      </c>
      <c r="M265">
        <f>_xlfn.IFNA(VLOOKUP(B265,TDK!F:G,2,0),0)</f>
        <v>16</v>
      </c>
      <c r="N265">
        <f t="shared" si="4"/>
        <v>63</v>
      </c>
    </row>
    <row r="266" spans="1:14" x14ac:dyDescent="0.25">
      <c r="A266" t="s">
        <v>38</v>
      </c>
      <c r="B266" t="s">
        <v>1263</v>
      </c>
      <c r="C266">
        <f>VLOOKUP(B266,raw!A:K,11,0)</f>
        <v>125</v>
      </c>
      <c r="D266">
        <f>VLOOKUP(B266,raw!A:K,3,0)+VLOOKUP(B266,raw!A:K,7,0)</f>
        <v>83</v>
      </c>
      <c r="E266">
        <f>VLOOKUP(B266,raw!A:K,4,0)</f>
        <v>1</v>
      </c>
      <c r="F266">
        <f>VLOOKUP(B266,raw!A:K,5,0)</f>
        <v>0</v>
      </c>
      <c r="G266">
        <f>VLOOKUP(B266,raw!A:K,2,0)+VLOOKUP(B266,raw!A:K,10,0)</f>
        <v>1</v>
      </c>
      <c r="H266">
        <f>VLOOKUP(B266,raw!A:K,6,0)</f>
        <v>0</v>
      </c>
      <c r="I266">
        <f>VLOOKUP(B266,raw!A:K,9,0)</f>
        <v>40</v>
      </c>
      <c r="J266">
        <f>VLOOKUP(B266,raw!A:K,8,0)</f>
        <v>0</v>
      </c>
      <c r="K266">
        <f>_xlfn.IFNA(VLOOKUP(B266,TDK!A:C,2,0),0)</f>
        <v>22</v>
      </c>
      <c r="L266">
        <f>_xlfn.IFNA(VLOOKUP(B266,TDK!A:C,3,0),0)</f>
        <v>0</v>
      </c>
      <c r="M266">
        <f>_xlfn.IFNA(VLOOKUP(B266,TDK!F:G,2,0),0)</f>
        <v>12</v>
      </c>
      <c r="N266">
        <f t="shared" si="4"/>
        <v>34</v>
      </c>
    </row>
    <row r="267" spans="1:14" x14ac:dyDescent="0.25">
      <c r="A267" t="s">
        <v>38</v>
      </c>
      <c r="B267" t="s">
        <v>1264</v>
      </c>
      <c r="C267">
        <f>VLOOKUP(B267,raw!A:K,11,0)</f>
        <v>113</v>
      </c>
      <c r="D267">
        <f>VLOOKUP(B267,raw!A:K,3,0)+VLOOKUP(B267,raw!A:K,7,0)</f>
        <v>79</v>
      </c>
      <c r="E267">
        <f>VLOOKUP(B267,raw!A:K,4,0)</f>
        <v>0</v>
      </c>
      <c r="F267">
        <f>VLOOKUP(B267,raw!A:K,5,0)</f>
        <v>0</v>
      </c>
      <c r="G267">
        <f>VLOOKUP(B267,raw!A:K,2,0)+VLOOKUP(B267,raw!A:K,10,0)</f>
        <v>0</v>
      </c>
      <c r="H267">
        <f>VLOOKUP(B267,raw!A:K,6,0)</f>
        <v>0</v>
      </c>
      <c r="I267">
        <f>VLOOKUP(B267,raw!A:K,9,0)</f>
        <v>34</v>
      </c>
      <c r="J267">
        <f>VLOOKUP(B267,raw!A:K,8,0)</f>
        <v>0</v>
      </c>
      <c r="K267">
        <f>_xlfn.IFNA(VLOOKUP(B267,TDK!A:C,2,0),0)</f>
        <v>38</v>
      </c>
      <c r="L267">
        <f>_xlfn.IFNA(VLOOKUP(B267,TDK!A:C,3,0),0)</f>
        <v>0</v>
      </c>
      <c r="M267">
        <f>_xlfn.IFNA(VLOOKUP(B267,TDK!F:G,2,0),0)</f>
        <v>14</v>
      </c>
      <c r="N267">
        <f t="shared" si="4"/>
        <v>52</v>
      </c>
    </row>
    <row r="268" spans="1:14" x14ac:dyDescent="0.25">
      <c r="A268" t="s">
        <v>38</v>
      </c>
      <c r="B268" t="s">
        <v>1265</v>
      </c>
      <c r="C268">
        <f>VLOOKUP(B268,raw!A:K,11,0)</f>
        <v>144</v>
      </c>
      <c r="D268">
        <f>VLOOKUP(B268,raw!A:K,3,0)+VLOOKUP(B268,raw!A:K,7,0)</f>
        <v>86</v>
      </c>
      <c r="E268">
        <f>VLOOKUP(B268,raw!A:K,4,0)</f>
        <v>2</v>
      </c>
      <c r="F268">
        <f>VLOOKUP(B268,raw!A:K,5,0)</f>
        <v>0</v>
      </c>
      <c r="G268">
        <f>VLOOKUP(B268,raw!A:K,2,0)+VLOOKUP(B268,raw!A:K,10,0)</f>
        <v>2</v>
      </c>
      <c r="H268">
        <f>VLOOKUP(B268,raw!A:K,6,0)</f>
        <v>0</v>
      </c>
      <c r="I268">
        <f>VLOOKUP(B268,raw!A:K,9,0)</f>
        <v>54</v>
      </c>
      <c r="J268">
        <f>VLOOKUP(B268,raw!A:K,8,0)</f>
        <v>0</v>
      </c>
      <c r="K268">
        <f>_xlfn.IFNA(VLOOKUP(B268,TDK!A:C,2,0),0)</f>
        <v>31</v>
      </c>
      <c r="L268">
        <f>_xlfn.IFNA(VLOOKUP(B268,TDK!A:C,3,0),0)</f>
        <v>2</v>
      </c>
      <c r="M268">
        <f>_xlfn.IFNA(VLOOKUP(B268,TDK!F:G,2,0),0)</f>
        <v>18</v>
      </c>
      <c r="N268">
        <f t="shared" si="4"/>
        <v>51</v>
      </c>
    </row>
    <row r="269" spans="1:14" x14ac:dyDescent="0.25">
      <c r="A269" t="s">
        <v>38</v>
      </c>
      <c r="B269" t="s">
        <v>1266</v>
      </c>
      <c r="C269">
        <f>VLOOKUP(B269,raw!A:K,11,0)</f>
        <v>208</v>
      </c>
      <c r="D269">
        <f>VLOOKUP(B269,raw!A:K,3,0)+VLOOKUP(B269,raw!A:K,7,0)</f>
        <v>157</v>
      </c>
      <c r="E269">
        <f>VLOOKUP(B269,raw!A:K,4,0)</f>
        <v>7</v>
      </c>
      <c r="F269">
        <f>VLOOKUP(B269,raw!A:K,5,0)</f>
        <v>0</v>
      </c>
      <c r="G269">
        <f>VLOOKUP(B269,raw!A:K,2,0)+VLOOKUP(B269,raw!A:K,10,0)</f>
        <v>0</v>
      </c>
      <c r="H269">
        <f>VLOOKUP(B269,raw!A:K,6,0)</f>
        <v>0</v>
      </c>
      <c r="I269">
        <f>VLOOKUP(B269,raw!A:K,9,0)</f>
        <v>44</v>
      </c>
      <c r="J269">
        <f>VLOOKUP(B269,raw!A:K,8,0)</f>
        <v>0</v>
      </c>
      <c r="K269">
        <f>_xlfn.IFNA(VLOOKUP(B269,TDK!A:C,2,0),0)</f>
        <v>46</v>
      </c>
      <c r="L269">
        <f>_xlfn.IFNA(VLOOKUP(B269,TDK!A:C,3,0),0)</f>
        <v>0</v>
      </c>
      <c r="M269">
        <f>_xlfn.IFNA(VLOOKUP(B269,TDK!F:G,2,0),0)</f>
        <v>34</v>
      </c>
      <c r="N269">
        <f t="shared" si="4"/>
        <v>80</v>
      </c>
    </row>
    <row r="270" spans="1:14" x14ac:dyDescent="0.25">
      <c r="A270" t="s">
        <v>33</v>
      </c>
      <c r="B270" t="s">
        <v>1267</v>
      </c>
      <c r="C270">
        <f>VLOOKUP(B270,raw!A:K,11,0)</f>
        <v>157</v>
      </c>
      <c r="D270">
        <f>VLOOKUP(B270,raw!A:K,3,0)+VLOOKUP(B270,raw!A:K,7,0)</f>
        <v>150</v>
      </c>
      <c r="E270">
        <f>VLOOKUP(B270,raw!A:K,4,0)</f>
        <v>0</v>
      </c>
      <c r="F270">
        <f>VLOOKUP(B270,raw!A:K,5,0)</f>
        <v>0</v>
      </c>
      <c r="G270">
        <f>VLOOKUP(B270,raw!A:K,2,0)+VLOOKUP(B270,raw!A:K,10,0)</f>
        <v>0</v>
      </c>
      <c r="H270">
        <f>VLOOKUP(B270,raw!A:K,6,0)</f>
        <v>0</v>
      </c>
      <c r="I270">
        <f>VLOOKUP(B270,raw!A:K,9,0)</f>
        <v>7</v>
      </c>
      <c r="J270">
        <f>VLOOKUP(B270,raw!A:K,8,0)</f>
        <v>0</v>
      </c>
      <c r="K270">
        <f>_xlfn.IFNA(VLOOKUP(B270,TDK!A:C,2,0),0)</f>
        <v>49</v>
      </c>
      <c r="L270">
        <f>_xlfn.IFNA(VLOOKUP(B270,TDK!A:C,3,0),0)</f>
        <v>5</v>
      </c>
      <c r="M270">
        <f>_xlfn.IFNA(VLOOKUP(B270,TDK!F:G,2,0),0)</f>
        <v>17</v>
      </c>
      <c r="N270">
        <f t="shared" si="4"/>
        <v>71</v>
      </c>
    </row>
    <row r="271" spans="1:14" x14ac:dyDescent="0.25">
      <c r="A271" t="s">
        <v>33</v>
      </c>
      <c r="B271" t="s">
        <v>1268</v>
      </c>
      <c r="C271">
        <f>VLOOKUP(B271,raw!A:K,11,0)</f>
        <v>249</v>
      </c>
      <c r="D271">
        <f>VLOOKUP(B271,raw!A:K,3,0)+VLOOKUP(B271,raw!A:K,7,0)</f>
        <v>242</v>
      </c>
      <c r="E271">
        <f>VLOOKUP(B271,raw!A:K,4,0)</f>
        <v>2</v>
      </c>
      <c r="F271">
        <f>VLOOKUP(B271,raw!A:K,5,0)</f>
        <v>0</v>
      </c>
      <c r="G271">
        <f>VLOOKUP(B271,raw!A:K,2,0)+VLOOKUP(B271,raw!A:K,10,0)</f>
        <v>0</v>
      </c>
      <c r="H271">
        <f>VLOOKUP(B271,raw!A:K,6,0)</f>
        <v>0</v>
      </c>
      <c r="I271">
        <f>VLOOKUP(B271,raw!A:K,9,0)</f>
        <v>5</v>
      </c>
      <c r="J271">
        <f>VLOOKUP(B271,raw!A:K,8,0)</f>
        <v>0</v>
      </c>
      <c r="K271">
        <f>_xlfn.IFNA(VLOOKUP(B271,TDK!A:C,2,0),0)</f>
        <v>37</v>
      </c>
      <c r="L271">
        <f>_xlfn.IFNA(VLOOKUP(B271,TDK!A:C,3,0),0)</f>
        <v>11</v>
      </c>
      <c r="M271">
        <f>_xlfn.IFNA(VLOOKUP(B271,TDK!F:G,2,0),0)</f>
        <v>47</v>
      </c>
      <c r="N271">
        <f t="shared" si="4"/>
        <v>95</v>
      </c>
    </row>
    <row r="272" spans="1:14" x14ac:dyDescent="0.25">
      <c r="A272" t="s">
        <v>33</v>
      </c>
      <c r="B272" t="s">
        <v>1269</v>
      </c>
      <c r="C272">
        <f>VLOOKUP(B272,raw!A:K,11,0)</f>
        <v>93</v>
      </c>
      <c r="D272">
        <f>VLOOKUP(B272,raw!A:K,3,0)+VLOOKUP(B272,raw!A:K,7,0)</f>
        <v>91</v>
      </c>
      <c r="E272">
        <f>VLOOKUP(B272,raw!A:K,4,0)</f>
        <v>2</v>
      </c>
      <c r="F272">
        <f>VLOOKUP(B272,raw!A:K,5,0)</f>
        <v>0</v>
      </c>
      <c r="G272">
        <f>VLOOKUP(B272,raw!A:K,2,0)+VLOOKUP(B272,raw!A:K,10,0)</f>
        <v>0</v>
      </c>
      <c r="H272">
        <f>VLOOKUP(B272,raw!A:K,6,0)</f>
        <v>0</v>
      </c>
      <c r="I272">
        <f>VLOOKUP(B272,raw!A:K,9,0)</f>
        <v>0</v>
      </c>
      <c r="J272">
        <f>VLOOKUP(B272,raw!A:K,8,0)</f>
        <v>0</v>
      </c>
      <c r="K272">
        <f>_xlfn.IFNA(VLOOKUP(B272,TDK!A:C,2,0),0)</f>
        <v>26</v>
      </c>
      <c r="L272">
        <f>_xlfn.IFNA(VLOOKUP(B272,TDK!A:C,3,0),0)</f>
        <v>3</v>
      </c>
      <c r="M272">
        <f>_xlfn.IFNA(VLOOKUP(B272,TDK!F:G,2,0),0)</f>
        <v>14</v>
      </c>
      <c r="N272">
        <f t="shared" si="4"/>
        <v>43</v>
      </c>
    </row>
    <row r="273" spans="1:14" x14ac:dyDescent="0.25">
      <c r="A273" t="s">
        <v>37</v>
      </c>
      <c r="B273" t="s">
        <v>1270</v>
      </c>
      <c r="C273">
        <f>VLOOKUP(B273,raw!A:K,11,0)</f>
        <v>181</v>
      </c>
      <c r="D273">
        <f>VLOOKUP(B273,raw!A:K,3,0)+VLOOKUP(B273,raw!A:K,7,0)</f>
        <v>116</v>
      </c>
      <c r="E273">
        <f>VLOOKUP(B273,raw!A:K,4,0)</f>
        <v>0</v>
      </c>
      <c r="F273">
        <f>VLOOKUP(B273,raw!A:K,5,0)</f>
        <v>0</v>
      </c>
      <c r="G273">
        <f>VLOOKUP(B273,raw!A:K,2,0)+VLOOKUP(B273,raw!A:K,10,0)</f>
        <v>0</v>
      </c>
      <c r="H273">
        <f>VLOOKUP(B273,raw!A:K,6,0)</f>
        <v>0</v>
      </c>
      <c r="I273">
        <f>VLOOKUP(B273,raw!A:K,9,0)</f>
        <v>65</v>
      </c>
      <c r="J273">
        <f>VLOOKUP(B273,raw!A:K,8,0)</f>
        <v>0</v>
      </c>
      <c r="K273">
        <f>_xlfn.IFNA(VLOOKUP(B273,TDK!A:C,2,0),0)</f>
        <v>62</v>
      </c>
      <c r="L273">
        <f>_xlfn.IFNA(VLOOKUP(B273,TDK!A:C,3,0),0)</f>
        <v>5</v>
      </c>
      <c r="M273">
        <f>_xlfn.IFNA(VLOOKUP(B273,TDK!F:G,2,0),0)</f>
        <v>40</v>
      </c>
      <c r="N273">
        <f t="shared" si="4"/>
        <v>107</v>
      </c>
    </row>
    <row r="274" spans="1:14" x14ac:dyDescent="0.25">
      <c r="A274" t="s">
        <v>33</v>
      </c>
      <c r="B274" t="s">
        <v>1271</v>
      </c>
      <c r="C274">
        <f>VLOOKUP(B274,raw!A:K,11,0)</f>
        <v>73</v>
      </c>
      <c r="D274">
        <f>VLOOKUP(B274,raw!A:K,3,0)+VLOOKUP(B274,raw!A:K,7,0)</f>
        <v>64</v>
      </c>
      <c r="E274">
        <f>VLOOKUP(B274,raw!A:K,4,0)</f>
        <v>1</v>
      </c>
      <c r="F274">
        <f>VLOOKUP(B274,raw!A:K,5,0)</f>
        <v>0</v>
      </c>
      <c r="G274">
        <f>VLOOKUP(B274,raw!A:K,2,0)+VLOOKUP(B274,raw!A:K,10,0)</f>
        <v>0</v>
      </c>
      <c r="H274">
        <f>VLOOKUP(B274,raw!A:K,6,0)</f>
        <v>1</v>
      </c>
      <c r="I274">
        <f>VLOOKUP(B274,raw!A:K,9,0)</f>
        <v>7</v>
      </c>
      <c r="J274">
        <f>VLOOKUP(B274,raw!A:K,8,0)</f>
        <v>0</v>
      </c>
      <c r="K274">
        <f>_xlfn.IFNA(VLOOKUP(B274,TDK!A:C,2,0),0)</f>
        <v>13</v>
      </c>
      <c r="L274">
        <f>_xlfn.IFNA(VLOOKUP(B274,TDK!A:C,3,0),0)</f>
        <v>0</v>
      </c>
      <c r="M274">
        <f>_xlfn.IFNA(VLOOKUP(B274,TDK!F:G,2,0),0)</f>
        <v>29</v>
      </c>
      <c r="N274">
        <f t="shared" si="4"/>
        <v>42</v>
      </c>
    </row>
    <row r="275" spans="1:14" x14ac:dyDescent="0.25">
      <c r="A275" t="s">
        <v>33</v>
      </c>
      <c r="B275" t="s">
        <v>1272</v>
      </c>
      <c r="C275">
        <f>VLOOKUP(B275,raw!A:K,11,0)</f>
        <v>151</v>
      </c>
      <c r="D275">
        <f>VLOOKUP(B275,raw!A:K,3,0)+VLOOKUP(B275,raw!A:K,7,0)</f>
        <v>124</v>
      </c>
      <c r="E275">
        <f>VLOOKUP(B275,raw!A:K,4,0)</f>
        <v>1</v>
      </c>
      <c r="F275">
        <f>VLOOKUP(B275,raw!A:K,5,0)</f>
        <v>0</v>
      </c>
      <c r="G275">
        <f>VLOOKUP(B275,raw!A:K,2,0)+VLOOKUP(B275,raw!A:K,10,0)</f>
        <v>0</v>
      </c>
      <c r="H275">
        <f>VLOOKUP(B275,raw!A:K,6,0)</f>
        <v>0</v>
      </c>
      <c r="I275">
        <f>VLOOKUP(B275,raw!A:K,9,0)</f>
        <v>26</v>
      </c>
      <c r="J275">
        <f>VLOOKUP(B275,raw!A:K,8,0)</f>
        <v>0</v>
      </c>
      <c r="K275">
        <f>_xlfn.IFNA(VLOOKUP(B275,TDK!A:C,2,0),0)</f>
        <v>26</v>
      </c>
      <c r="L275">
        <f>_xlfn.IFNA(VLOOKUP(B275,TDK!A:C,3,0),0)</f>
        <v>2</v>
      </c>
      <c r="M275">
        <f>_xlfn.IFNA(VLOOKUP(B275,TDK!F:G,2,0),0)</f>
        <v>28</v>
      </c>
      <c r="N275">
        <f t="shared" si="4"/>
        <v>56</v>
      </c>
    </row>
    <row r="276" spans="1:14" x14ac:dyDescent="0.25">
      <c r="A276" t="s">
        <v>31</v>
      </c>
      <c r="B276" t="s">
        <v>1273</v>
      </c>
      <c r="C276">
        <f>VLOOKUP(B276,raw!A:K,11,0)</f>
        <v>273</v>
      </c>
      <c r="D276">
        <f>VLOOKUP(B276,raw!A:K,3,0)+VLOOKUP(B276,raw!A:K,7,0)</f>
        <v>129</v>
      </c>
      <c r="E276">
        <f>VLOOKUP(B276,raw!A:K,4,0)</f>
        <v>6</v>
      </c>
      <c r="F276">
        <f>VLOOKUP(B276,raw!A:K,5,0)</f>
        <v>0</v>
      </c>
      <c r="G276">
        <f>VLOOKUP(B276,raw!A:K,2,0)+VLOOKUP(B276,raw!A:K,10,0)</f>
        <v>31</v>
      </c>
      <c r="H276">
        <f>VLOOKUP(B276,raw!A:K,6,0)</f>
        <v>0</v>
      </c>
      <c r="I276">
        <f>VLOOKUP(B276,raw!A:K,9,0)</f>
        <v>107</v>
      </c>
      <c r="J276">
        <f>VLOOKUP(B276,raw!A:K,8,0)</f>
        <v>0</v>
      </c>
      <c r="K276">
        <f>_xlfn.IFNA(VLOOKUP(B276,TDK!A:C,2,0),0)</f>
        <v>51</v>
      </c>
      <c r="L276">
        <f>_xlfn.IFNA(VLOOKUP(B276,TDK!A:C,3,0),0)</f>
        <v>7</v>
      </c>
      <c r="M276">
        <f>_xlfn.IFNA(VLOOKUP(B276,TDK!F:G,2,0),0)</f>
        <v>37</v>
      </c>
      <c r="N276">
        <f t="shared" si="4"/>
        <v>95</v>
      </c>
    </row>
    <row r="277" spans="1:14" x14ac:dyDescent="0.25">
      <c r="A277" t="s">
        <v>39</v>
      </c>
      <c r="B277" t="s">
        <v>1274</v>
      </c>
      <c r="C277">
        <f>VLOOKUP(B277,raw!A:K,11,0)</f>
        <v>176</v>
      </c>
      <c r="D277">
        <f>VLOOKUP(B277,raw!A:K,3,0)+VLOOKUP(B277,raw!A:K,7,0)</f>
        <v>162</v>
      </c>
      <c r="E277">
        <f>VLOOKUP(B277,raw!A:K,4,0)</f>
        <v>3</v>
      </c>
      <c r="F277">
        <f>VLOOKUP(B277,raw!A:K,5,0)</f>
        <v>0</v>
      </c>
      <c r="G277">
        <f>VLOOKUP(B277,raw!A:K,2,0)+VLOOKUP(B277,raw!A:K,10,0)</f>
        <v>0</v>
      </c>
      <c r="H277">
        <f>VLOOKUP(B277,raw!A:K,6,0)</f>
        <v>0</v>
      </c>
      <c r="I277">
        <f>VLOOKUP(B277,raw!A:K,9,0)</f>
        <v>11</v>
      </c>
      <c r="J277">
        <f>VLOOKUP(B277,raw!A:K,8,0)</f>
        <v>0</v>
      </c>
      <c r="K277">
        <f>_xlfn.IFNA(VLOOKUP(B277,TDK!A:C,2,0),0)</f>
        <v>55</v>
      </c>
      <c r="L277">
        <f>_xlfn.IFNA(VLOOKUP(B277,TDK!A:C,3,0),0)</f>
        <v>5</v>
      </c>
      <c r="M277">
        <f>_xlfn.IFNA(VLOOKUP(B277,TDK!F:G,2,0),0)</f>
        <v>33</v>
      </c>
      <c r="N277">
        <f t="shared" si="4"/>
        <v>93</v>
      </c>
    </row>
    <row r="278" spans="1:14" x14ac:dyDescent="0.25">
      <c r="A278" t="s">
        <v>39</v>
      </c>
      <c r="B278" t="s">
        <v>1275</v>
      </c>
      <c r="C278">
        <f>VLOOKUP(B278,raw!A:K,11,0)</f>
        <v>121</v>
      </c>
      <c r="D278">
        <f>VLOOKUP(B278,raw!A:K,3,0)+VLOOKUP(B278,raw!A:K,7,0)</f>
        <v>102</v>
      </c>
      <c r="E278">
        <f>VLOOKUP(B278,raw!A:K,4,0)</f>
        <v>4</v>
      </c>
      <c r="F278">
        <f>VLOOKUP(B278,raw!A:K,5,0)</f>
        <v>0</v>
      </c>
      <c r="G278">
        <f>VLOOKUP(B278,raw!A:K,2,0)+VLOOKUP(B278,raw!A:K,10,0)</f>
        <v>2</v>
      </c>
      <c r="H278">
        <f>VLOOKUP(B278,raw!A:K,6,0)</f>
        <v>0</v>
      </c>
      <c r="I278">
        <f>VLOOKUP(B278,raw!A:K,9,0)</f>
        <v>13</v>
      </c>
      <c r="J278">
        <f>VLOOKUP(B278,raw!A:K,8,0)</f>
        <v>0</v>
      </c>
      <c r="K278">
        <f>_xlfn.IFNA(VLOOKUP(B278,TDK!A:C,2,0),0)</f>
        <v>49</v>
      </c>
      <c r="L278">
        <f>_xlfn.IFNA(VLOOKUP(B278,TDK!A:C,3,0),0)</f>
        <v>2</v>
      </c>
      <c r="M278">
        <f>_xlfn.IFNA(VLOOKUP(B278,TDK!F:G,2,0),0)</f>
        <v>19</v>
      </c>
      <c r="N278">
        <f t="shared" si="4"/>
        <v>70</v>
      </c>
    </row>
    <row r="279" spans="1:14" x14ac:dyDescent="0.25">
      <c r="A279" t="s">
        <v>39</v>
      </c>
      <c r="B279" t="s">
        <v>1276</v>
      </c>
      <c r="C279">
        <f>VLOOKUP(B279,raw!A:K,11,0)</f>
        <v>77</v>
      </c>
      <c r="D279">
        <f>VLOOKUP(B279,raw!A:K,3,0)+VLOOKUP(B279,raw!A:K,7,0)</f>
        <v>71</v>
      </c>
      <c r="E279">
        <f>VLOOKUP(B279,raw!A:K,4,0)</f>
        <v>0</v>
      </c>
      <c r="F279">
        <f>VLOOKUP(B279,raw!A:K,5,0)</f>
        <v>0</v>
      </c>
      <c r="G279">
        <f>VLOOKUP(B279,raw!A:K,2,0)+VLOOKUP(B279,raw!A:K,10,0)</f>
        <v>0</v>
      </c>
      <c r="H279">
        <f>VLOOKUP(B279,raw!A:K,6,0)</f>
        <v>0</v>
      </c>
      <c r="I279">
        <f>VLOOKUP(B279,raw!A:K,9,0)</f>
        <v>6</v>
      </c>
      <c r="J279">
        <f>VLOOKUP(B279,raw!A:K,8,0)</f>
        <v>0</v>
      </c>
      <c r="K279">
        <f>_xlfn.IFNA(VLOOKUP(B279,TDK!A:C,2,0),0)</f>
        <v>30</v>
      </c>
      <c r="L279">
        <f>_xlfn.IFNA(VLOOKUP(B279,TDK!A:C,3,0),0)</f>
        <v>1</v>
      </c>
      <c r="M279">
        <f>_xlfn.IFNA(VLOOKUP(B279,TDK!F:G,2,0),0)</f>
        <v>10</v>
      </c>
      <c r="N279">
        <f t="shared" si="4"/>
        <v>41</v>
      </c>
    </row>
    <row r="280" spans="1:14" x14ac:dyDescent="0.25">
      <c r="A280" t="s">
        <v>39</v>
      </c>
      <c r="B280" t="s">
        <v>1277</v>
      </c>
      <c r="C280">
        <f>VLOOKUP(B280,raw!A:K,11,0)</f>
        <v>98</v>
      </c>
      <c r="D280">
        <f>VLOOKUP(B280,raw!A:K,3,0)+VLOOKUP(B280,raw!A:K,7,0)</f>
        <v>96</v>
      </c>
      <c r="E280">
        <f>VLOOKUP(B280,raw!A:K,4,0)</f>
        <v>1</v>
      </c>
      <c r="F280">
        <f>VLOOKUP(B280,raw!A:K,5,0)</f>
        <v>0</v>
      </c>
      <c r="G280">
        <f>VLOOKUP(B280,raw!A:K,2,0)+VLOOKUP(B280,raw!A:K,10,0)</f>
        <v>1</v>
      </c>
      <c r="H280">
        <f>VLOOKUP(B280,raw!A:K,6,0)</f>
        <v>0</v>
      </c>
      <c r="I280">
        <f>VLOOKUP(B280,raw!A:K,9,0)</f>
        <v>0</v>
      </c>
      <c r="J280">
        <f>VLOOKUP(B280,raw!A:K,8,0)</f>
        <v>0</v>
      </c>
      <c r="K280">
        <f>_xlfn.IFNA(VLOOKUP(B280,TDK!A:C,2,0),0)</f>
        <v>36</v>
      </c>
      <c r="L280">
        <f>_xlfn.IFNA(VLOOKUP(B280,TDK!A:C,3,0),0)</f>
        <v>3</v>
      </c>
      <c r="M280">
        <f>_xlfn.IFNA(VLOOKUP(B280,TDK!F:G,2,0),0)</f>
        <v>14</v>
      </c>
      <c r="N280">
        <f t="shared" si="4"/>
        <v>53</v>
      </c>
    </row>
    <row r="281" spans="1:14" x14ac:dyDescent="0.25">
      <c r="A281" t="s">
        <v>39</v>
      </c>
      <c r="B281" t="s">
        <v>1278</v>
      </c>
      <c r="C281">
        <f>VLOOKUP(B281,raw!A:K,11,0)</f>
        <v>136</v>
      </c>
      <c r="D281">
        <f>VLOOKUP(B281,raw!A:K,3,0)+VLOOKUP(B281,raw!A:K,7,0)</f>
        <v>108</v>
      </c>
      <c r="E281">
        <f>VLOOKUP(B281,raw!A:K,4,0)</f>
        <v>7</v>
      </c>
      <c r="F281">
        <f>VLOOKUP(B281,raw!A:K,5,0)</f>
        <v>0</v>
      </c>
      <c r="G281">
        <f>VLOOKUP(B281,raw!A:K,2,0)+VLOOKUP(B281,raw!A:K,10,0)</f>
        <v>2</v>
      </c>
      <c r="H281">
        <f>VLOOKUP(B281,raw!A:K,6,0)</f>
        <v>0</v>
      </c>
      <c r="I281">
        <f>VLOOKUP(B281,raw!A:K,9,0)</f>
        <v>19</v>
      </c>
      <c r="J281">
        <f>VLOOKUP(B281,raw!A:K,8,0)</f>
        <v>0</v>
      </c>
      <c r="K281">
        <f>_xlfn.IFNA(VLOOKUP(B281,TDK!A:C,2,0),0)</f>
        <v>41</v>
      </c>
      <c r="L281">
        <f>_xlfn.IFNA(VLOOKUP(B281,TDK!A:C,3,0),0)</f>
        <v>4</v>
      </c>
      <c r="M281">
        <f>_xlfn.IFNA(VLOOKUP(B281,TDK!F:G,2,0),0)</f>
        <v>23</v>
      </c>
      <c r="N281">
        <f t="shared" si="4"/>
        <v>68</v>
      </c>
    </row>
    <row r="282" spans="1:14" x14ac:dyDescent="0.25">
      <c r="A282" t="s">
        <v>39</v>
      </c>
      <c r="B282" t="s">
        <v>1279</v>
      </c>
      <c r="C282">
        <f>VLOOKUP(B282,raw!A:K,11,0)</f>
        <v>170</v>
      </c>
      <c r="D282">
        <f>VLOOKUP(B282,raw!A:K,3,0)+VLOOKUP(B282,raw!A:K,7,0)</f>
        <v>120</v>
      </c>
      <c r="E282">
        <f>VLOOKUP(B282,raw!A:K,4,0)</f>
        <v>0</v>
      </c>
      <c r="F282">
        <f>VLOOKUP(B282,raw!A:K,5,0)</f>
        <v>0</v>
      </c>
      <c r="G282">
        <f>VLOOKUP(B282,raw!A:K,2,0)+VLOOKUP(B282,raw!A:K,10,0)</f>
        <v>0</v>
      </c>
      <c r="H282">
        <f>VLOOKUP(B282,raw!A:K,6,0)</f>
        <v>0</v>
      </c>
      <c r="I282">
        <f>VLOOKUP(B282,raw!A:K,9,0)</f>
        <v>50</v>
      </c>
      <c r="J282">
        <f>VLOOKUP(B282,raw!A:K,8,0)</f>
        <v>0</v>
      </c>
      <c r="K282">
        <f>_xlfn.IFNA(VLOOKUP(B282,TDK!A:C,2,0),0)</f>
        <v>41</v>
      </c>
      <c r="L282">
        <f>_xlfn.IFNA(VLOOKUP(B282,TDK!A:C,3,0),0)</f>
        <v>1</v>
      </c>
      <c r="M282">
        <f>_xlfn.IFNA(VLOOKUP(B282,TDK!F:G,2,0),0)</f>
        <v>42</v>
      </c>
      <c r="N282">
        <f t="shared" si="4"/>
        <v>84</v>
      </c>
    </row>
    <row r="283" spans="1:14" x14ac:dyDescent="0.25">
      <c r="A283" t="s">
        <v>40</v>
      </c>
      <c r="B283" t="s">
        <v>1280</v>
      </c>
      <c r="C283">
        <f>VLOOKUP(B283,raw!A:K,11,0)</f>
        <v>140</v>
      </c>
      <c r="D283">
        <f>VLOOKUP(B283,raw!A:K,3,0)+VLOOKUP(B283,raw!A:K,7,0)</f>
        <v>136</v>
      </c>
      <c r="E283">
        <f>VLOOKUP(B283,raw!A:K,4,0)</f>
        <v>1</v>
      </c>
      <c r="F283">
        <f>VLOOKUP(B283,raw!A:K,5,0)</f>
        <v>0</v>
      </c>
      <c r="G283">
        <f>VLOOKUP(B283,raw!A:K,2,0)+VLOOKUP(B283,raw!A:K,10,0)</f>
        <v>0</v>
      </c>
      <c r="H283">
        <f>VLOOKUP(B283,raw!A:K,6,0)</f>
        <v>1</v>
      </c>
      <c r="I283">
        <f>VLOOKUP(B283,raw!A:K,9,0)</f>
        <v>2</v>
      </c>
      <c r="J283">
        <f>VLOOKUP(B283,raw!A:K,8,0)</f>
        <v>0</v>
      </c>
      <c r="K283">
        <f>_xlfn.IFNA(VLOOKUP(B283,TDK!A:C,2,0),0)</f>
        <v>20</v>
      </c>
      <c r="L283">
        <f>_xlfn.IFNA(VLOOKUP(B283,TDK!A:C,3,0),0)</f>
        <v>4</v>
      </c>
      <c r="M283">
        <f>_xlfn.IFNA(VLOOKUP(B283,TDK!F:G,2,0),0)</f>
        <v>9</v>
      </c>
      <c r="N283">
        <f t="shared" si="4"/>
        <v>33</v>
      </c>
    </row>
    <row r="284" spans="1:14" x14ac:dyDescent="0.25">
      <c r="A284" t="s">
        <v>41</v>
      </c>
      <c r="B284" t="s">
        <v>1281</v>
      </c>
      <c r="C284">
        <f>VLOOKUP(B284,raw!A:K,11,0)</f>
        <v>83</v>
      </c>
      <c r="D284">
        <f>VLOOKUP(B284,raw!A:K,3,0)+VLOOKUP(B284,raw!A:K,7,0)</f>
        <v>79</v>
      </c>
      <c r="E284">
        <f>VLOOKUP(B284,raw!A:K,4,0)</f>
        <v>0</v>
      </c>
      <c r="F284">
        <f>VLOOKUP(B284,raw!A:K,5,0)</f>
        <v>0</v>
      </c>
      <c r="G284">
        <f>VLOOKUP(B284,raw!A:K,2,0)+VLOOKUP(B284,raw!A:K,10,0)</f>
        <v>0</v>
      </c>
      <c r="H284">
        <f>VLOOKUP(B284,raw!A:K,6,0)</f>
        <v>0</v>
      </c>
      <c r="I284">
        <f>VLOOKUP(B284,raw!A:K,9,0)</f>
        <v>4</v>
      </c>
      <c r="J284">
        <f>VLOOKUP(B284,raw!A:K,8,0)</f>
        <v>0</v>
      </c>
      <c r="K284">
        <f>_xlfn.IFNA(VLOOKUP(B284,TDK!A:C,2,0),0)</f>
        <v>19</v>
      </c>
      <c r="L284">
        <f>_xlfn.IFNA(VLOOKUP(B284,TDK!A:C,3,0),0)</f>
        <v>1</v>
      </c>
      <c r="M284">
        <f>_xlfn.IFNA(VLOOKUP(B284,TDK!F:G,2,0),0)</f>
        <v>7</v>
      </c>
      <c r="N284">
        <f t="shared" si="4"/>
        <v>27</v>
      </c>
    </row>
    <row r="285" spans="1:14" x14ac:dyDescent="0.25">
      <c r="A285" t="s">
        <v>40</v>
      </c>
      <c r="B285" t="s">
        <v>1282</v>
      </c>
      <c r="C285">
        <f>VLOOKUP(B285,raw!A:K,11,0)</f>
        <v>199</v>
      </c>
      <c r="D285">
        <f>VLOOKUP(B285,raw!A:K,3,0)+VLOOKUP(B285,raw!A:K,7,0)</f>
        <v>104</v>
      </c>
      <c r="E285">
        <f>VLOOKUP(B285,raw!A:K,4,0)</f>
        <v>25</v>
      </c>
      <c r="F285">
        <f>VLOOKUP(B285,raw!A:K,5,0)</f>
        <v>0</v>
      </c>
      <c r="G285">
        <f>VLOOKUP(B285,raw!A:K,2,0)+VLOOKUP(B285,raw!A:K,10,0)</f>
        <v>0</v>
      </c>
      <c r="H285">
        <f>VLOOKUP(B285,raw!A:K,6,0)</f>
        <v>0</v>
      </c>
      <c r="I285">
        <f>VLOOKUP(B285,raw!A:K,9,0)</f>
        <v>70</v>
      </c>
      <c r="J285">
        <f>VLOOKUP(B285,raw!A:K,8,0)</f>
        <v>0</v>
      </c>
      <c r="K285">
        <f>_xlfn.IFNA(VLOOKUP(B285,TDK!A:C,2,0),0)</f>
        <v>37</v>
      </c>
      <c r="L285">
        <f>_xlfn.IFNA(VLOOKUP(B285,TDK!A:C,3,0),0)</f>
        <v>4</v>
      </c>
      <c r="M285">
        <f>_xlfn.IFNA(VLOOKUP(B285,TDK!F:G,2,0),0)</f>
        <v>27</v>
      </c>
      <c r="N285">
        <f t="shared" si="4"/>
        <v>68</v>
      </c>
    </row>
    <row r="286" spans="1:14" x14ac:dyDescent="0.25">
      <c r="A286" t="s">
        <v>40</v>
      </c>
      <c r="B286" t="s">
        <v>1283</v>
      </c>
      <c r="C286">
        <f>VLOOKUP(B286,raw!A:K,11,0)</f>
        <v>116</v>
      </c>
      <c r="D286">
        <f>VLOOKUP(B286,raw!A:K,3,0)+VLOOKUP(B286,raw!A:K,7,0)</f>
        <v>75</v>
      </c>
      <c r="E286">
        <f>VLOOKUP(B286,raw!A:K,4,0)</f>
        <v>12</v>
      </c>
      <c r="F286">
        <f>VLOOKUP(B286,raw!A:K,5,0)</f>
        <v>0</v>
      </c>
      <c r="G286">
        <f>VLOOKUP(B286,raw!A:K,2,0)+VLOOKUP(B286,raw!A:K,10,0)</f>
        <v>0</v>
      </c>
      <c r="H286">
        <f>VLOOKUP(B286,raw!A:K,6,0)</f>
        <v>0</v>
      </c>
      <c r="I286">
        <f>VLOOKUP(B286,raw!A:K,9,0)</f>
        <v>29</v>
      </c>
      <c r="J286">
        <f>VLOOKUP(B286,raw!A:K,8,0)</f>
        <v>0</v>
      </c>
      <c r="K286">
        <f>_xlfn.IFNA(VLOOKUP(B286,TDK!A:C,2,0),0)</f>
        <v>54</v>
      </c>
      <c r="L286">
        <f>_xlfn.IFNA(VLOOKUP(B286,TDK!A:C,3,0),0)</f>
        <v>5</v>
      </c>
      <c r="M286">
        <f>_xlfn.IFNA(VLOOKUP(B286,TDK!F:G,2,0),0)</f>
        <v>14</v>
      </c>
      <c r="N286">
        <f t="shared" si="4"/>
        <v>73</v>
      </c>
    </row>
    <row r="287" spans="1:14" x14ac:dyDescent="0.25">
      <c r="A287" t="s">
        <v>40</v>
      </c>
      <c r="B287" t="s">
        <v>1284</v>
      </c>
      <c r="C287">
        <f>VLOOKUP(B287,raw!A:K,11,0)</f>
        <v>75</v>
      </c>
      <c r="D287">
        <f>VLOOKUP(B287,raw!A:K,3,0)+VLOOKUP(B287,raw!A:K,7,0)</f>
        <v>25</v>
      </c>
      <c r="E287">
        <f>VLOOKUP(B287,raw!A:K,4,0)</f>
        <v>5</v>
      </c>
      <c r="F287">
        <f>VLOOKUP(B287,raw!A:K,5,0)</f>
        <v>0</v>
      </c>
      <c r="G287">
        <f>VLOOKUP(B287,raw!A:K,2,0)+VLOOKUP(B287,raw!A:K,10,0)</f>
        <v>0</v>
      </c>
      <c r="H287">
        <f>VLOOKUP(B287,raw!A:K,6,0)</f>
        <v>0</v>
      </c>
      <c r="I287">
        <f>VLOOKUP(B287,raw!A:K,9,0)</f>
        <v>45</v>
      </c>
      <c r="J287">
        <f>VLOOKUP(B287,raw!A:K,8,0)</f>
        <v>0</v>
      </c>
      <c r="K287">
        <f>_xlfn.IFNA(VLOOKUP(B287,TDK!A:C,2,0),0)</f>
        <v>17</v>
      </c>
      <c r="L287">
        <f>_xlfn.IFNA(VLOOKUP(B287,TDK!A:C,3,0),0)</f>
        <v>1</v>
      </c>
      <c r="M287">
        <f>_xlfn.IFNA(VLOOKUP(B287,TDK!F:G,2,0),0)</f>
        <v>7</v>
      </c>
      <c r="N287">
        <f t="shared" si="4"/>
        <v>25</v>
      </c>
    </row>
    <row r="288" spans="1:14" x14ac:dyDescent="0.25">
      <c r="A288" t="s">
        <v>40</v>
      </c>
      <c r="B288" t="s">
        <v>1285</v>
      </c>
      <c r="C288">
        <f>VLOOKUP(B288,raw!A:K,11,0)</f>
        <v>195</v>
      </c>
      <c r="D288">
        <f>VLOOKUP(B288,raw!A:K,3,0)+VLOOKUP(B288,raw!A:K,7,0)</f>
        <v>195</v>
      </c>
      <c r="E288">
        <f>VLOOKUP(B288,raw!A:K,4,0)</f>
        <v>0</v>
      </c>
      <c r="F288">
        <f>VLOOKUP(B288,raw!A:K,5,0)</f>
        <v>0</v>
      </c>
      <c r="G288">
        <f>VLOOKUP(B288,raw!A:K,2,0)+VLOOKUP(B288,raw!A:K,10,0)</f>
        <v>0</v>
      </c>
      <c r="H288">
        <f>VLOOKUP(B288,raw!A:K,6,0)</f>
        <v>0</v>
      </c>
      <c r="I288">
        <f>VLOOKUP(B288,raw!A:K,9,0)</f>
        <v>0</v>
      </c>
      <c r="J288">
        <f>VLOOKUP(B288,raw!A:K,8,0)</f>
        <v>0</v>
      </c>
      <c r="K288">
        <f>_xlfn.IFNA(VLOOKUP(B288,TDK!A:C,2,0),0)</f>
        <v>61</v>
      </c>
      <c r="L288">
        <f>_xlfn.IFNA(VLOOKUP(B288,TDK!A:C,3,0),0)</f>
        <v>0</v>
      </c>
      <c r="M288">
        <f>_xlfn.IFNA(VLOOKUP(B288,TDK!F:G,2,0),0)</f>
        <v>21</v>
      </c>
      <c r="N288">
        <f t="shared" si="4"/>
        <v>82</v>
      </c>
    </row>
    <row r="289" spans="1:14" x14ac:dyDescent="0.25">
      <c r="A289" t="s">
        <v>41</v>
      </c>
      <c r="B289" t="s">
        <v>1286</v>
      </c>
      <c r="C289">
        <f>VLOOKUP(B289,raw!A:K,11,0)</f>
        <v>135</v>
      </c>
      <c r="D289">
        <f>VLOOKUP(B289,raw!A:K,3,0)+VLOOKUP(B289,raw!A:K,7,0)</f>
        <v>130</v>
      </c>
      <c r="E289">
        <f>VLOOKUP(B289,raw!A:K,4,0)</f>
        <v>1</v>
      </c>
      <c r="F289">
        <f>VLOOKUP(B289,raw!A:K,5,0)</f>
        <v>0</v>
      </c>
      <c r="G289">
        <f>VLOOKUP(B289,raw!A:K,2,0)+VLOOKUP(B289,raw!A:K,10,0)</f>
        <v>0</v>
      </c>
      <c r="H289">
        <f>VLOOKUP(B289,raw!A:K,6,0)</f>
        <v>0</v>
      </c>
      <c r="I289">
        <f>VLOOKUP(B289,raw!A:K,9,0)</f>
        <v>4</v>
      </c>
      <c r="J289">
        <f>VLOOKUP(B289,raw!A:K,8,0)</f>
        <v>0</v>
      </c>
      <c r="K289">
        <f>_xlfn.IFNA(VLOOKUP(B289,TDK!A:C,2,0),0)</f>
        <v>54</v>
      </c>
      <c r="L289">
        <f>_xlfn.IFNA(VLOOKUP(B289,TDK!A:C,3,0),0)</f>
        <v>2</v>
      </c>
      <c r="M289">
        <f>_xlfn.IFNA(VLOOKUP(B289,TDK!F:G,2,0),0)</f>
        <v>25</v>
      </c>
      <c r="N289">
        <f t="shared" si="4"/>
        <v>81</v>
      </c>
    </row>
    <row r="290" spans="1:14" x14ac:dyDescent="0.25">
      <c r="A290" t="s">
        <v>42</v>
      </c>
      <c r="B290" t="s">
        <v>1287</v>
      </c>
      <c r="C290">
        <f>VLOOKUP(B290,raw!A:K,11,0)</f>
        <v>88</v>
      </c>
      <c r="D290">
        <f>VLOOKUP(B290,raw!A:K,3,0)+VLOOKUP(B290,raw!A:K,7,0)</f>
        <v>85</v>
      </c>
      <c r="E290">
        <f>VLOOKUP(B290,raw!A:K,4,0)</f>
        <v>0</v>
      </c>
      <c r="F290">
        <f>VLOOKUP(B290,raw!A:K,5,0)</f>
        <v>0</v>
      </c>
      <c r="G290">
        <f>VLOOKUP(B290,raw!A:K,2,0)+VLOOKUP(B290,raw!A:K,10,0)</f>
        <v>0</v>
      </c>
      <c r="H290">
        <f>VLOOKUP(B290,raw!A:K,6,0)</f>
        <v>0</v>
      </c>
      <c r="I290">
        <f>VLOOKUP(B290,raw!A:K,9,0)</f>
        <v>3</v>
      </c>
      <c r="J290">
        <f>VLOOKUP(B290,raw!A:K,8,0)</f>
        <v>0</v>
      </c>
      <c r="K290">
        <f>_xlfn.IFNA(VLOOKUP(B290,TDK!A:C,2,0),0)</f>
        <v>12</v>
      </c>
      <c r="L290">
        <f>_xlfn.IFNA(VLOOKUP(B290,TDK!A:C,3,0),0)</f>
        <v>0</v>
      </c>
      <c r="M290">
        <f>_xlfn.IFNA(VLOOKUP(B290,TDK!F:G,2,0),0)</f>
        <v>36</v>
      </c>
      <c r="N290">
        <f t="shared" si="4"/>
        <v>48</v>
      </c>
    </row>
    <row r="291" spans="1:14" x14ac:dyDescent="0.25">
      <c r="A291" t="s">
        <v>41</v>
      </c>
      <c r="B291" t="s">
        <v>1288</v>
      </c>
      <c r="C291">
        <f>VLOOKUP(B291,raw!A:K,11,0)</f>
        <v>152</v>
      </c>
      <c r="D291">
        <f>VLOOKUP(B291,raw!A:K,3,0)+VLOOKUP(B291,raw!A:K,7,0)</f>
        <v>151</v>
      </c>
      <c r="E291">
        <f>VLOOKUP(B291,raw!A:K,4,0)</f>
        <v>0</v>
      </c>
      <c r="F291">
        <f>VLOOKUP(B291,raw!A:K,5,0)</f>
        <v>0</v>
      </c>
      <c r="G291">
        <f>VLOOKUP(B291,raw!A:K,2,0)+VLOOKUP(B291,raw!A:K,10,0)</f>
        <v>0</v>
      </c>
      <c r="H291">
        <f>VLOOKUP(B291,raw!A:K,6,0)</f>
        <v>1</v>
      </c>
      <c r="I291">
        <f>VLOOKUP(B291,raw!A:K,9,0)</f>
        <v>0</v>
      </c>
      <c r="J291">
        <f>VLOOKUP(B291,raw!A:K,8,0)</f>
        <v>0</v>
      </c>
      <c r="K291">
        <f>_xlfn.IFNA(VLOOKUP(B291,TDK!A:C,2,0),0)</f>
        <v>72</v>
      </c>
      <c r="L291">
        <f>_xlfn.IFNA(VLOOKUP(B291,TDK!A:C,3,0),0)</f>
        <v>1</v>
      </c>
      <c r="M291">
        <f>_xlfn.IFNA(VLOOKUP(B291,TDK!F:G,2,0),0)</f>
        <v>8</v>
      </c>
      <c r="N291">
        <f t="shared" si="4"/>
        <v>81</v>
      </c>
    </row>
    <row r="292" spans="1:14" x14ac:dyDescent="0.25">
      <c r="A292" t="s">
        <v>41</v>
      </c>
      <c r="B292" t="s">
        <v>1289</v>
      </c>
      <c r="C292">
        <f>VLOOKUP(B292,raw!A:K,11,0)</f>
        <v>123</v>
      </c>
      <c r="D292">
        <f>VLOOKUP(B292,raw!A:K,3,0)+VLOOKUP(B292,raw!A:K,7,0)</f>
        <v>119</v>
      </c>
      <c r="E292">
        <f>VLOOKUP(B292,raw!A:K,4,0)</f>
        <v>0</v>
      </c>
      <c r="F292">
        <f>VLOOKUP(B292,raw!A:K,5,0)</f>
        <v>0</v>
      </c>
      <c r="G292">
        <f>VLOOKUP(B292,raw!A:K,2,0)+VLOOKUP(B292,raw!A:K,10,0)</f>
        <v>0</v>
      </c>
      <c r="H292">
        <f>VLOOKUP(B292,raw!A:K,6,0)</f>
        <v>0</v>
      </c>
      <c r="I292">
        <f>VLOOKUP(B292,raw!A:K,9,0)</f>
        <v>4</v>
      </c>
      <c r="J292">
        <f>VLOOKUP(B292,raw!A:K,8,0)</f>
        <v>0</v>
      </c>
      <c r="K292">
        <f>_xlfn.IFNA(VLOOKUP(B292,TDK!A:C,2,0),0)</f>
        <v>36</v>
      </c>
      <c r="L292">
        <f>_xlfn.IFNA(VLOOKUP(B292,TDK!A:C,3,0),0)</f>
        <v>2</v>
      </c>
      <c r="M292">
        <f>_xlfn.IFNA(VLOOKUP(B292,TDK!F:G,2,0),0)</f>
        <v>22</v>
      </c>
      <c r="N292">
        <f t="shared" si="4"/>
        <v>60</v>
      </c>
    </row>
    <row r="293" spans="1:14" x14ac:dyDescent="0.25">
      <c r="A293" t="s">
        <v>41</v>
      </c>
      <c r="B293" t="s">
        <v>1290</v>
      </c>
      <c r="C293">
        <f>VLOOKUP(B293,raw!A:K,11,0)</f>
        <v>102</v>
      </c>
      <c r="D293">
        <f>VLOOKUP(B293,raw!A:K,3,0)+VLOOKUP(B293,raw!A:K,7,0)</f>
        <v>98</v>
      </c>
      <c r="E293">
        <f>VLOOKUP(B293,raw!A:K,4,0)</f>
        <v>0</v>
      </c>
      <c r="F293">
        <f>VLOOKUP(B293,raw!A:K,5,0)</f>
        <v>0</v>
      </c>
      <c r="G293">
        <f>VLOOKUP(B293,raw!A:K,2,0)+VLOOKUP(B293,raw!A:K,10,0)</f>
        <v>0</v>
      </c>
      <c r="H293">
        <f>VLOOKUP(B293,raw!A:K,6,0)</f>
        <v>0</v>
      </c>
      <c r="I293">
        <f>VLOOKUP(B293,raw!A:K,9,0)</f>
        <v>4</v>
      </c>
      <c r="J293">
        <f>VLOOKUP(B293,raw!A:K,8,0)</f>
        <v>0</v>
      </c>
      <c r="K293">
        <f>_xlfn.IFNA(VLOOKUP(B293,TDK!A:C,2,0),0)</f>
        <v>30</v>
      </c>
      <c r="L293">
        <f>_xlfn.IFNA(VLOOKUP(B293,TDK!A:C,3,0),0)</f>
        <v>2</v>
      </c>
      <c r="M293">
        <f>_xlfn.IFNA(VLOOKUP(B293,TDK!F:G,2,0),0)</f>
        <v>21</v>
      </c>
      <c r="N293">
        <f t="shared" si="4"/>
        <v>53</v>
      </c>
    </row>
    <row r="294" spans="1:14" x14ac:dyDescent="0.25">
      <c r="A294" t="s">
        <v>41</v>
      </c>
      <c r="B294" t="s">
        <v>1291</v>
      </c>
      <c r="C294">
        <f>VLOOKUP(B294,raw!A:K,11,0)</f>
        <v>285</v>
      </c>
      <c r="D294">
        <f>VLOOKUP(B294,raw!A:K,3,0)+VLOOKUP(B294,raw!A:K,7,0)</f>
        <v>280</v>
      </c>
      <c r="E294">
        <f>VLOOKUP(B294,raw!A:K,4,0)</f>
        <v>0</v>
      </c>
      <c r="F294">
        <f>VLOOKUP(B294,raw!A:K,5,0)</f>
        <v>0</v>
      </c>
      <c r="G294">
        <f>VLOOKUP(B294,raw!A:K,2,0)+VLOOKUP(B294,raw!A:K,10,0)</f>
        <v>0</v>
      </c>
      <c r="H294">
        <f>VLOOKUP(B294,raw!A:K,6,0)</f>
        <v>0</v>
      </c>
      <c r="I294">
        <f>VLOOKUP(B294,raw!A:K,9,0)</f>
        <v>5</v>
      </c>
      <c r="J294">
        <f>VLOOKUP(B294,raw!A:K,8,0)</f>
        <v>0</v>
      </c>
      <c r="K294">
        <f>_xlfn.IFNA(VLOOKUP(B294,TDK!A:C,2,0),0)</f>
        <v>36</v>
      </c>
      <c r="L294">
        <f>_xlfn.IFNA(VLOOKUP(B294,TDK!A:C,3,0),0)</f>
        <v>4</v>
      </c>
      <c r="M294">
        <f>_xlfn.IFNA(VLOOKUP(B294,TDK!F:G,2,0),0)</f>
        <v>76</v>
      </c>
      <c r="N294">
        <f t="shared" si="4"/>
        <v>116</v>
      </c>
    </row>
    <row r="295" spans="1:14" x14ac:dyDescent="0.25">
      <c r="A295" t="s">
        <v>41</v>
      </c>
      <c r="B295" t="s">
        <v>1292</v>
      </c>
      <c r="C295">
        <f>VLOOKUP(B295,raw!A:K,11,0)</f>
        <v>113</v>
      </c>
      <c r="D295">
        <f>VLOOKUP(B295,raw!A:K,3,0)+VLOOKUP(B295,raw!A:K,7,0)</f>
        <v>99</v>
      </c>
      <c r="E295">
        <f>VLOOKUP(B295,raw!A:K,4,0)</f>
        <v>0</v>
      </c>
      <c r="F295">
        <f>VLOOKUP(B295,raw!A:K,5,0)</f>
        <v>0</v>
      </c>
      <c r="G295">
        <f>VLOOKUP(B295,raw!A:K,2,0)+VLOOKUP(B295,raw!A:K,10,0)</f>
        <v>0</v>
      </c>
      <c r="H295">
        <f>VLOOKUP(B295,raw!A:K,6,0)</f>
        <v>0</v>
      </c>
      <c r="I295">
        <f>VLOOKUP(B295,raw!A:K,9,0)</f>
        <v>14</v>
      </c>
      <c r="J295">
        <f>VLOOKUP(B295,raw!A:K,8,0)</f>
        <v>0</v>
      </c>
      <c r="K295">
        <f>_xlfn.IFNA(VLOOKUP(B295,TDK!A:C,2,0),0)</f>
        <v>22</v>
      </c>
      <c r="L295">
        <f>_xlfn.IFNA(VLOOKUP(B295,TDK!A:C,3,0),0)</f>
        <v>2</v>
      </c>
      <c r="M295">
        <f>_xlfn.IFNA(VLOOKUP(B295,TDK!F:G,2,0),0)</f>
        <v>15</v>
      </c>
      <c r="N295">
        <f t="shared" si="4"/>
        <v>39</v>
      </c>
    </row>
    <row r="296" spans="1:14" x14ac:dyDescent="0.25">
      <c r="A296" t="s">
        <v>26</v>
      </c>
      <c r="B296" t="s">
        <v>1293</v>
      </c>
      <c r="C296">
        <f>VLOOKUP(B296,raw!A:K,11,0)</f>
        <v>168</v>
      </c>
      <c r="D296">
        <f>VLOOKUP(B296,raw!A:K,3,0)+VLOOKUP(B296,raw!A:K,7,0)</f>
        <v>91</v>
      </c>
      <c r="E296">
        <f>VLOOKUP(B296,raw!A:K,4,0)</f>
        <v>24</v>
      </c>
      <c r="F296">
        <f>VLOOKUP(B296,raw!A:K,5,0)</f>
        <v>0</v>
      </c>
      <c r="G296">
        <f>VLOOKUP(B296,raw!A:K,2,0)+VLOOKUP(B296,raw!A:K,10,0)</f>
        <v>1</v>
      </c>
      <c r="H296">
        <f>VLOOKUP(B296,raw!A:K,6,0)</f>
        <v>0</v>
      </c>
      <c r="I296">
        <f>VLOOKUP(B296,raw!A:K,9,0)</f>
        <v>52</v>
      </c>
      <c r="J296">
        <f>VLOOKUP(B296,raw!A:K,8,0)</f>
        <v>0</v>
      </c>
      <c r="K296">
        <f>_xlfn.IFNA(VLOOKUP(B296,TDK!A:C,2,0),0)</f>
        <v>34</v>
      </c>
      <c r="L296">
        <f>_xlfn.IFNA(VLOOKUP(B296,TDK!A:C,3,0),0)</f>
        <v>0</v>
      </c>
      <c r="M296">
        <f>_xlfn.IFNA(VLOOKUP(B296,TDK!F:G,2,0),0)</f>
        <v>24</v>
      </c>
      <c r="N296">
        <f t="shared" si="4"/>
        <v>58</v>
      </c>
    </row>
    <row r="297" spans="1:14" x14ac:dyDescent="0.25">
      <c r="A297" t="s">
        <v>26</v>
      </c>
      <c r="B297" t="s">
        <v>1294</v>
      </c>
      <c r="C297">
        <f>VLOOKUP(B297,raw!A:K,11,0)</f>
        <v>116</v>
      </c>
      <c r="D297">
        <f>VLOOKUP(B297,raw!A:K,3,0)+VLOOKUP(B297,raw!A:K,7,0)</f>
        <v>67</v>
      </c>
      <c r="E297">
        <f>VLOOKUP(B297,raw!A:K,4,0)</f>
        <v>20</v>
      </c>
      <c r="F297">
        <f>VLOOKUP(B297,raw!A:K,5,0)</f>
        <v>0</v>
      </c>
      <c r="G297">
        <f>VLOOKUP(B297,raw!A:K,2,0)+VLOOKUP(B297,raw!A:K,10,0)</f>
        <v>5</v>
      </c>
      <c r="H297">
        <f>VLOOKUP(B297,raw!A:K,6,0)</f>
        <v>0</v>
      </c>
      <c r="I297">
        <f>VLOOKUP(B297,raw!A:K,9,0)</f>
        <v>24</v>
      </c>
      <c r="J297">
        <f>VLOOKUP(B297,raw!A:K,8,0)</f>
        <v>0</v>
      </c>
      <c r="K297">
        <f>_xlfn.IFNA(VLOOKUP(B297,TDK!A:C,2,0),0)</f>
        <v>32</v>
      </c>
      <c r="L297">
        <f>_xlfn.IFNA(VLOOKUP(B297,TDK!A:C,3,0),0)</f>
        <v>1</v>
      </c>
      <c r="M297">
        <f>_xlfn.IFNA(VLOOKUP(B297,TDK!F:G,2,0),0)</f>
        <v>12</v>
      </c>
      <c r="N297">
        <f t="shared" si="4"/>
        <v>45</v>
      </c>
    </row>
    <row r="298" spans="1:14" x14ac:dyDescent="0.25">
      <c r="A298" t="s">
        <v>29</v>
      </c>
      <c r="B298" t="s">
        <v>1295</v>
      </c>
      <c r="C298">
        <f>VLOOKUP(B298,raw!A:K,11,0)</f>
        <v>36</v>
      </c>
      <c r="D298">
        <f>VLOOKUP(B298,raw!A:K,3,0)+VLOOKUP(B298,raw!A:K,7,0)</f>
        <v>36</v>
      </c>
      <c r="E298">
        <f>VLOOKUP(B298,raw!A:K,4,0)</f>
        <v>0</v>
      </c>
      <c r="F298">
        <f>VLOOKUP(B298,raw!A:K,5,0)</f>
        <v>0</v>
      </c>
      <c r="G298">
        <f>VLOOKUP(B298,raw!A:K,2,0)+VLOOKUP(B298,raw!A:K,10,0)</f>
        <v>0</v>
      </c>
      <c r="H298">
        <f>VLOOKUP(B298,raw!A:K,6,0)</f>
        <v>0</v>
      </c>
      <c r="I298">
        <f>VLOOKUP(B298,raw!A:K,9,0)</f>
        <v>0</v>
      </c>
      <c r="J298">
        <f>VLOOKUP(B298,raw!A:K,8,0)</f>
        <v>0</v>
      </c>
      <c r="K298">
        <f>_xlfn.IFNA(VLOOKUP(B298,TDK!A:C,2,0),0)</f>
        <v>14</v>
      </c>
      <c r="L298">
        <f>_xlfn.IFNA(VLOOKUP(B298,TDK!A:C,3,0),0)</f>
        <v>1</v>
      </c>
      <c r="M298">
        <f>_xlfn.IFNA(VLOOKUP(B298,TDK!F:G,2,0),0)</f>
        <v>5</v>
      </c>
      <c r="N298">
        <f t="shared" si="4"/>
        <v>20</v>
      </c>
    </row>
    <row r="299" spans="1:14" x14ac:dyDescent="0.25">
      <c r="A299" t="s">
        <v>29</v>
      </c>
      <c r="B299" t="s">
        <v>1296</v>
      </c>
      <c r="C299">
        <f>VLOOKUP(B299,raw!A:K,11,0)</f>
        <v>49</v>
      </c>
      <c r="D299">
        <f>VLOOKUP(B299,raw!A:K,3,0)+VLOOKUP(B299,raw!A:K,7,0)</f>
        <v>49</v>
      </c>
      <c r="E299">
        <f>VLOOKUP(B299,raw!A:K,4,0)</f>
        <v>0</v>
      </c>
      <c r="F299">
        <f>VLOOKUP(B299,raw!A:K,5,0)</f>
        <v>0</v>
      </c>
      <c r="G299">
        <f>VLOOKUP(B299,raw!A:K,2,0)+VLOOKUP(B299,raw!A:K,10,0)</f>
        <v>0</v>
      </c>
      <c r="H299">
        <f>VLOOKUP(B299,raw!A:K,6,0)</f>
        <v>0</v>
      </c>
      <c r="I299">
        <f>VLOOKUP(B299,raw!A:K,9,0)</f>
        <v>0</v>
      </c>
      <c r="J299">
        <f>VLOOKUP(B299,raw!A:K,8,0)</f>
        <v>0</v>
      </c>
      <c r="K299">
        <f>_xlfn.IFNA(VLOOKUP(B299,TDK!A:C,2,0),0)</f>
        <v>16</v>
      </c>
      <c r="L299">
        <f>_xlfn.IFNA(VLOOKUP(B299,TDK!A:C,3,0),0)</f>
        <v>1</v>
      </c>
      <c r="M299">
        <f>_xlfn.IFNA(VLOOKUP(B299,TDK!F:G,2,0),0)</f>
        <v>8</v>
      </c>
      <c r="N299">
        <f t="shared" si="4"/>
        <v>25</v>
      </c>
    </row>
    <row r="300" spans="1:14" x14ac:dyDescent="0.25">
      <c r="A300" t="s">
        <v>29</v>
      </c>
      <c r="B300" t="s">
        <v>1297</v>
      </c>
      <c r="C300">
        <f>VLOOKUP(B300,raw!A:K,11,0)</f>
        <v>69</v>
      </c>
      <c r="D300">
        <f>VLOOKUP(B300,raw!A:K,3,0)+VLOOKUP(B300,raw!A:K,7,0)</f>
        <v>47</v>
      </c>
      <c r="E300">
        <f>VLOOKUP(B300,raw!A:K,4,0)</f>
        <v>0</v>
      </c>
      <c r="F300">
        <f>VLOOKUP(B300,raw!A:K,5,0)</f>
        <v>0</v>
      </c>
      <c r="G300">
        <f>VLOOKUP(B300,raw!A:K,2,0)+VLOOKUP(B300,raw!A:K,10,0)</f>
        <v>0</v>
      </c>
      <c r="H300">
        <f>VLOOKUP(B300,raw!A:K,6,0)</f>
        <v>0</v>
      </c>
      <c r="I300">
        <f>VLOOKUP(B300,raw!A:K,9,0)</f>
        <v>22</v>
      </c>
      <c r="J300">
        <f>VLOOKUP(B300,raw!A:K,8,0)</f>
        <v>0</v>
      </c>
      <c r="K300">
        <f>_xlfn.IFNA(VLOOKUP(B300,TDK!A:C,2,0),0)</f>
        <v>22</v>
      </c>
      <c r="L300">
        <f>_xlfn.IFNA(VLOOKUP(B300,TDK!A:C,3,0),0)</f>
        <v>2</v>
      </c>
      <c r="M300">
        <f>_xlfn.IFNA(VLOOKUP(B300,TDK!F:G,2,0),0)</f>
        <v>10</v>
      </c>
      <c r="N300">
        <f t="shared" si="4"/>
        <v>34</v>
      </c>
    </row>
    <row r="301" spans="1:14" x14ac:dyDescent="0.25">
      <c r="A301" t="s">
        <v>29</v>
      </c>
      <c r="B301" t="s">
        <v>1298</v>
      </c>
      <c r="C301">
        <f>VLOOKUP(B301,raw!A:K,11,0)</f>
        <v>96</v>
      </c>
      <c r="D301">
        <f>VLOOKUP(B301,raw!A:K,3,0)+VLOOKUP(B301,raw!A:K,7,0)</f>
        <v>0</v>
      </c>
      <c r="E301">
        <f>VLOOKUP(B301,raw!A:K,4,0)</f>
        <v>0</v>
      </c>
      <c r="F301">
        <f>VLOOKUP(B301,raw!A:K,5,0)</f>
        <v>0</v>
      </c>
      <c r="G301">
        <f>VLOOKUP(B301,raw!A:K,2,0)+VLOOKUP(B301,raw!A:K,10,0)</f>
        <v>0</v>
      </c>
      <c r="H301">
        <f>VLOOKUP(B301,raw!A:K,6,0)</f>
        <v>0</v>
      </c>
      <c r="I301">
        <f>VLOOKUP(B301,raw!A:K,9,0)</f>
        <v>96</v>
      </c>
      <c r="J301">
        <f>VLOOKUP(B301,raw!A:K,8,0)</f>
        <v>0</v>
      </c>
      <c r="K301">
        <f>_xlfn.IFNA(VLOOKUP(B301,TDK!A:C,2,0),0)</f>
        <v>27</v>
      </c>
      <c r="L301">
        <f>_xlfn.IFNA(VLOOKUP(B301,TDK!A:C,3,0),0)</f>
        <v>1</v>
      </c>
      <c r="M301">
        <f>_xlfn.IFNA(VLOOKUP(B301,TDK!F:G,2,0),0)</f>
        <v>14</v>
      </c>
      <c r="N301">
        <f t="shared" si="4"/>
        <v>42</v>
      </c>
    </row>
    <row r="302" spans="1:14" x14ac:dyDescent="0.25">
      <c r="A302" t="s">
        <v>29</v>
      </c>
      <c r="B302" t="s">
        <v>1299</v>
      </c>
      <c r="C302">
        <f>VLOOKUP(B302,raw!A:K,11,0)</f>
        <v>86</v>
      </c>
      <c r="D302">
        <f>VLOOKUP(B302,raw!A:K,3,0)+VLOOKUP(B302,raw!A:K,7,0)</f>
        <v>78</v>
      </c>
      <c r="E302">
        <f>VLOOKUP(B302,raw!A:K,4,0)</f>
        <v>1</v>
      </c>
      <c r="F302">
        <f>VLOOKUP(B302,raw!A:K,5,0)</f>
        <v>0</v>
      </c>
      <c r="G302">
        <f>VLOOKUP(B302,raw!A:K,2,0)+VLOOKUP(B302,raw!A:K,10,0)</f>
        <v>0</v>
      </c>
      <c r="H302">
        <f>VLOOKUP(B302,raw!A:K,6,0)</f>
        <v>0</v>
      </c>
      <c r="I302">
        <f>VLOOKUP(B302,raw!A:K,9,0)</f>
        <v>7</v>
      </c>
      <c r="J302">
        <f>VLOOKUP(B302,raw!A:K,8,0)</f>
        <v>0</v>
      </c>
      <c r="K302">
        <f>_xlfn.IFNA(VLOOKUP(B302,TDK!A:C,2,0),0)</f>
        <v>14</v>
      </c>
      <c r="L302">
        <f>_xlfn.IFNA(VLOOKUP(B302,TDK!A:C,3,0),0)</f>
        <v>2</v>
      </c>
      <c r="M302">
        <f>_xlfn.IFNA(VLOOKUP(B302,TDK!F:G,2,0),0)</f>
        <v>12</v>
      </c>
      <c r="N302">
        <f t="shared" si="4"/>
        <v>28</v>
      </c>
    </row>
    <row r="303" spans="1:14" x14ac:dyDescent="0.25">
      <c r="A303" t="s">
        <v>43</v>
      </c>
      <c r="B303" t="s">
        <v>1300</v>
      </c>
      <c r="C303">
        <f>VLOOKUP(B303,raw!A:K,11,0)</f>
        <v>74</v>
      </c>
      <c r="D303">
        <f>VLOOKUP(B303,raw!A:K,3,0)+VLOOKUP(B303,raw!A:K,7,0)</f>
        <v>57</v>
      </c>
      <c r="E303">
        <f>VLOOKUP(B303,raw!A:K,4,0)</f>
        <v>0</v>
      </c>
      <c r="F303">
        <f>VLOOKUP(B303,raw!A:K,5,0)</f>
        <v>0</v>
      </c>
      <c r="G303">
        <f>VLOOKUP(B303,raw!A:K,2,0)+VLOOKUP(B303,raw!A:K,10,0)</f>
        <v>0</v>
      </c>
      <c r="H303">
        <f>VLOOKUP(B303,raw!A:K,6,0)</f>
        <v>0</v>
      </c>
      <c r="I303">
        <f>VLOOKUP(B303,raw!A:K,9,0)</f>
        <v>17</v>
      </c>
      <c r="J303">
        <f>VLOOKUP(B303,raw!A:K,8,0)</f>
        <v>0</v>
      </c>
      <c r="K303">
        <f>_xlfn.IFNA(VLOOKUP(B303,TDK!A:C,2,0),0)</f>
        <v>20</v>
      </c>
      <c r="L303">
        <f>_xlfn.IFNA(VLOOKUP(B303,TDK!A:C,3,0),0)</f>
        <v>2</v>
      </c>
      <c r="M303">
        <f>_xlfn.IFNA(VLOOKUP(B303,TDK!F:G,2,0),0)</f>
        <v>12</v>
      </c>
      <c r="N303">
        <f t="shared" si="4"/>
        <v>34</v>
      </c>
    </row>
    <row r="304" spans="1:14" x14ac:dyDescent="0.25">
      <c r="A304" t="s">
        <v>43</v>
      </c>
      <c r="B304" t="s">
        <v>1301</v>
      </c>
      <c r="C304">
        <f>VLOOKUP(B304,raw!A:K,11,0)</f>
        <v>27</v>
      </c>
      <c r="D304">
        <f>VLOOKUP(B304,raw!A:K,3,0)+VLOOKUP(B304,raw!A:K,7,0)</f>
        <v>23</v>
      </c>
      <c r="E304">
        <f>VLOOKUP(B304,raw!A:K,4,0)</f>
        <v>0</v>
      </c>
      <c r="F304">
        <f>VLOOKUP(B304,raw!A:K,5,0)</f>
        <v>0</v>
      </c>
      <c r="G304">
        <f>VLOOKUP(B304,raw!A:K,2,0)+VLOOKUP(B304,raw!A:K,10,0)</f>
        <v>0</v>
      </c>
      <c r="H304">
        <f>VLOOKUP(B304,raw!A:K,6,0)</f>
        <v>0</v>
      </c>
      <c r="I304">
        <f>VLOOKUP(B304,raw!A:K,9,0)</f>
        <v>4</v>
      </c>
      <c r="J304">
        <f>VLOOKUP(B304,raw!A:K,8,0)</f>
        <v>0</v>
      </c>
      <c r="K304">
        <f>_xlfn.IFNA(VLOOKUP(B304,TDK!A:C,2,0),0)</f>
        <v>10</v>
      </c>
      <c r="L304">
        <f>_xlfn.IFNA(VLOOKUP(B304,TDK!A:C,3,0),0)</f>
        <v>0</v>
      </c>
      <c r="M304">
        <f>_xlfn.IFNA(VLOOKUP(B304,TDK!F:G,2,0),0)</f>
        <v>5</v>
      </c>
      <c r="N304">
        <f t="shared" si="4"/>
        <v>15</v>
      </c>
    </row>
    <row r="305" spans="1:14" x14ac:dyDescent="0.25">
      <c r="A305" t="s">
        <v>43</v>
      </c>
      <c r="B305" t="s">
        <v>1302</v>
      </c>
      <c r="C305">
        <f>VLOOKUP(B305,raw!A:K,11,0)</f>
        <v>71</v>
      </c>
      <c r="D305">
        <f>VLOOKUP(B305,raw!A:K,3,0)+VLOOKUP(B305,raw!A:K,7,0)</f>
        <v>40</v>
      </c>
      <c r="E305">
        <f>VLOOKUP(B305,raw!A:K,4,0)</f>
        <v>0</v>
      </c>
      <c r="F305">
        <f>VLOOKUP(B305,raw!A:K,5,0)</f>
        <v>0</v>
      </c>
      <c r="G305">
        <f>VLOOKUP(B305,raw!A:K,2,0)+VLOOKUP(B305,raw!A:K,10,0)</f>
        <v>0</v>
      </c>
      <c r="H305">
        <f>VLOOKUP(B305,raw!A:K,6,0)</f>
        <v>0</v>
      </c>
      <c r="I305">
        <f>VLOOKUP(B305,raw!A:K,9,0)</f>
        <v>31</v>
      </c>
      <c r="J305">
        <f>VLOOKUP(B305,raw!A:K,8,0)</f>
        <v>0</v>
      </c>
      <c r="K305">
        <f>_xlfn.IFNA(VLOOKUP(B305,TDK!A:C,2,0),0)</f>
        <v>17</v>
      </c>
      <c r="L305">
        <f>_xlfn.IFNA(VLOOKUP(B305,TDK!A:C,3,0),0)</f>
        <v>1</v>
      </c>
      <c r="M305">
        <f>_xlfn.IFNA(VLOOKUP(B305,TDK!F:G,2,0),0)</f>
        <v>9</v>
      </c>
      <c r="N305">
        <f t="shared" si="4"/>
        <v>27</v>
      </c>
    </row>
    <row r="306" spans="1:14" x14ac:dyDescent="0.25">
      <c r="A306" t="s">
        <v>43</v>
      </c>
      <c r="B306" t="s">
        <v>1303</v>
      </c>
      <c r="C306">
        <f>VLOOKUP(B306,raw!A:K,11,0)</f>
        <v>66</v>
      </c>
      <c r="D306">
        <f>VLOOKUP(B306,raw!A:K,3,0)+VLOOKUP(B306,raw!A:K,7,0)</f>
        <v>52</v>
      </c>
      <c r="E306">
        <f>VLOOKUP(B306,raw!A:K,4,0)</f>
        <v>0</v>
      </c>
      <c r="F306">
        <f>VLOOKUP(B306,raw!A:K,5,0)</f>
        <v>0</v>
      </c>
      <c r="G306">
        <f>VLOOKUP(B306,raw!A:K,2,0)+VLOOKUP(B306,raw!A:K,10,0)</f>
        <v>0</v>
      </c>
      <c r="H306">
        <f>VLOOKUP(B306,raw!A:K,6,0)</f>
        <v>0</v>
      </c>
      <c r="I306">
        <f>VLOOKUP(B306,raw!A:K,9,0)</f>
        <v>14</v>
      </c>
      <c r="J306">
        <f>VLOOKUP(B306,raw!A:K,8,0)</f>
        <v>0</v>
      </c>
      <c r="K306">
        <f>_xlfn.IFNA(VLOOKUP(B306,TDK!A:C,2,0),0)</f>
        <v>8</v>
      </c>
      <c r="L306">
        <f>_xlfn.IFNA(VLOOKUP(B306,TDK!A:C,3,0),0)</f>
        <v>0</v>
      </c>
      <c r="M306">
        <f>_xlfn.IFNA(VLOOKUP(B306,TDK!F:G,2,0),0)</f>
        <v>14</v>
      </c>
      <c r="N306">
        <f t="shared" si="4"/>
        <v>22</v>
      </c>
    </row>
    <row r="307" spans="1:14" x14ac:dyDescent="0.25">
      <c r="A307" t="s">
        <v>43</v>
      </c>
      <c r="B307" t="s">
        <v>1304</v>
      </c>
      <c r="C307">
        <f>VLOOKUP(B307,raw!A:K,11,0)</f>
        <v>47</v>
      </c>
      <c r="D307">
        <f>VLOOKUP(B307,raw!A:K,3,0)+VLOOKUP(B307,raw!A:K,7,0)</f>
        <v>17</v>
      </c>
      <c r="E307">
        <f>VLOOKUP(B307,raw!A:K,4,0)</f>
        <v>0</v>
      </c>
      <c r="F307">
        <f>VLOOKUP(B307,raw!A:K,5,0)</f>
        <v>0</v>
      </c>
      <c r="G307">
        <f>VLOOKUP(B307,raw!A:K,2,0)+VLOOKUP(B307,raw!A:K,10,0)</f>
        <v>0</v>
      </c>
      <c r="H307">
        <f>VLOOKUP(B307,raw!A:K,6,0)</f>
        <v>0</v>
      </c>
      <c r="I307">
        <f>VLOOKUP(B307,raw!A:K,9,0)</f>
        <v>30</v>
      </c>
      <c r="J307">
        <f>VLOOKUP(B307,raw!A:K,8,0)</f>
        <v>0</v>
      </c>
      <c r="K307">
        <f>_xlfn.IFNA(VLOOKUP(B307,TDK!A:C,2,0),0)</f>
        <v>13</v>
      </c>
      <c r="L307">
        <f>_xlfn.IFNA(VLOOKUP(B307,TDK!A:C,3,0),0)</f>
        <v>1</v>
      </c>
      <c r="M307">
        <f>_xlfn.IFNA(VLOOKUP(B307,TDK!F:G,2,0),0)</f>
        <v>9</v>
      </c>
      <c r="N307">
        <f t="shared" si="4"/>
        <v>23</v>
      </c>
    </row>
    <row r="308" spans="1:14" x14ac:dyDescent="0.25">
      <c r="A308" t="s">
        <v>43</v>
      </c>
      <c r="B308" t="s">
        <v>1305</v>
      </c>
      <c r="C308">
        <f>VLOOKUP(B308,raw!A:K,11,0)</f>
        <v>68</v>
      </c>
      <c r="D308">
        <f>VLOOKUP(B308,raw!A:K,3,0)+VLOOKUP(B308,raw!A:K,7,0)</f>
        <v>16</v>
      </c>
      <c r="E308">
        <f>VLOOKUP(B308,raw!A:K,4,0)</f>
        <v>1</v>
      </c>
      <c r="F308">
        <f>VLOOKUP(B308,raw!A:K,5,0)</f>
        <v>0</v>
      </c>
      <c r="G308">
        <f>VLOOKUP(B308,raw!A:K,2,0)+VLOOKUP(B308,raw!A:K,10,0)</f>
        <v>0</v>
      </c>
      <c r="H308">
        <f>VLOOKUP(B308,raw!A:K,6,0)</f>
        <v>0</v>
      </c>
      <c r="I308">
        <f>VLOOKUP(B308,raw!A:K,9,0)</f>
        <v>51</v>
      </c>
      <c r="J308">
        <f>VLOOKUP(B308,raw!A:K,8,0)</f>
        <v>0</v>
      </c>
      <c r="K308">
        <f>_xlfn.IFNA(VLOOKUP(B308,TDK!A:C,2,0),0)</f>
        <v>12</v>
      </c>
      <c r="L308">
        <f>_xlfn.IFNA(VLOOKUP(B308,TDK!A:C,3,0),0)</f>
        <v>0</v>
      </c>
      <c r="M308">
        <f>_xlfn.IFNA(VLOOKUP(B308,TDK!F:G,2,0),0)</f>
        <v>9</v>
      </c>
      <c r="N308">
        <f t="shared" si="4"/>
        <v>21</v>
      </c>
    </row>
    <row r="309" spans="1:14" x14ac:dyDescent="0.25">
      <c r="A309" t="s">
        <v>43</v>
      </c>
      <c r="B309" t="s">
        <v>1306</v>
      </c>
      <c r="C309">
        <f>VLOOKUP(B309,raw!A:K,11,0)</f>
        <v>48</v>
      </c>
      <c r="D309">
        <f>VLOOKUP(B309,raw!A:K,3,0)+VLOOKUP(B309,raw!A:K,7,0)</f>
        <v>12</v>
      </c>
      <c r="E309">
        <f>VLOOKUP(B309,raw!A:K,4,0)</f>
        <v>0</v>
      </c>
      <c r="F309">
        <f>VLOOKUP(B309,raw!A:K,5,0)</f>
        <v>0</v>
      </c>
      <c r="G309">
        <f>VLOOKUP(B309,raw!A:K,2,0)+VLOOKUP(B309,raw!A:K,10,0)</f>
        <v>0</v>
      </c>
      <c r="H309">
        <f>VLOOKUP(B309,raw!A:K,6,0)</f>
        <v>0</v>
      </c>
      <c r="I309">
        <f>VLOOKUP(B309,raw!A:K,9,0)</f>
        <v>36</v>
      </c>
      <c r="J309">
        <f>VLOOKUP(B309,raw!A:K,8,0)</f>
        <v>0</v>
      </c>
      <c r="K309">
        <f>_xlfn.IFNA(VLOOKUP(B309,TDK!A:C,2,0),0)</f>
        <v>21</v>
      </c>
      <c r="L309">
        <f>_xlfn.IFNA(VLOOKUP(B309,TDK!A:C,3,0),0)</f>
        <v>0</v>
      </c>
      <c r="M309">
        <f>_xlfn.IFNA(VLOOKUP(B309,TDK!F:G,2,0),0)</f>
        <v>6</v>
      </c>
      <c r="N309">
        <f t="shared" si="4"/>
        <v>27</v>
      </c>
    </row>
    <row r="310" spans="1:14" x14ac:dyDescent="0.25">
      <c r="A310" t="s">
        <v>43</v>
      </c>
      <c r="B310" t="s">
        <v>1307</v>
      </c>
      <c r="C310">
        <f>VLOOKUP(B310,raw!A:K,11,0)</f>
        <v>64</v>
      </c>
      <c r="D310">
        <f>VLOOKUP(B310,raw!A:K,3,0)+VLOOKUP(B310,raw!A:K,7,0)</f>
        <v>5</v>
      </c>
      <c r="E310">
        <f>VLOOKUP(B310,raw!A:K,4,0)</f>
        <v>0</v>
      </c>
      <c r="F310">
        <f>VLOOKUP(B310,raw!A:K,5,0)</f>
        <v>0</v>
      </c>
      <c r="G310">
        <f>VLOOKUP(B310,raw!A:K,2,0)+VLOOKUP(B310,raw!A:K,10,0)</f>
        <v>0</v>
      </c>
      <c r="H310">
        <f>VLOOKUP(B310,raw!A:K,6,0)</f>
        <v>0</v>
      </c>
      <c r="I310">
        <f>VLOOKUP(B310,raw!A:K,9,0)</f>
        <v>59</v>
      </c>
      <c r="J310">
        <f>VLOOKUP(B310,raw!A:K,8,0)</f>
        <v>0</v>
      </c>
      <c r="K310">
        <f>_xlfn.IFNA(VLOOKUP(B310,TDK!A:C,2,0),0)</f>
        <v>21</v>
      </c>
      <c r="L310">
        <f>_xlfn.IFNA(VLOOKUP(B310,TDK!A:C,3,0),0)</f>
        <v>0</v>
      </c>
      <c r="M310">
        <f>_xlfn.IFNA(VLOOKUP(B310,TDK!F:G,2,0),0)</f>
        <v>14</v>
      </c>
      <c r="N310">
        <f t="shared" si="4"/>
        <v>35</v>
      </c>
    </row>
    <row r="311" spans="1:14" x14ac:dyDescent="0.25">
      <c r="A311" t="s">
        <v>43</v>
      </c>
      <c r="B311" t="s">
        <v>1308</v>
      </c>
      <c r="C311">
        <f>VLOOKUP(B311,raw!A:K,11,0)</f>
        <v>67</v>
      </c>
      <c r="D311">
        <f>VLOOKUP(B311,raw!A:K,3,0)+VLOOKUP(B311,raw!A:K,7,0)</f>
        <v>16</v>
      </c>
      <c r="E311">
        <f>VLOOKUP(B311,raw!A:K,4,0)</f>
        <v>0</v>
      </c>
      <c r="F311">
        <f>VLOOKUP(B311,raw!A:K,5,0)</f>
        <v>0</v>
      </c>
      <c r="G311">
        <f>VLOOKUP(B311,raw!A:K,2,0)+VLOOKUP(B311,raw!A:K,10,0)</f>
        <v>0</v>
      </c>
      <c r="H311">
        <f>VLOOKUP(B311,raw!A:K,6,0)</f>
        <v>0</v>
      </c>
      <c r="I311">
        <f>VLOOKUP(B311,raw!A:K,9,0)</f>
        <v>51</v>
      </c>
      <c r="J311">
        <f>VLOOKUP(B311,raw!A:K,8,0)</f>
        <v>0</v>
      </c>
      <c r="K311">
        <f>_xlfn.IFNA(VLOOKUP(B311,TDK!A:C,2,0),0)</f>
        <v>25</v>
      </c>
      <c r="L311">
        <f>_xlfn.IFNA(VLOOKUP(B311,TDK!A:C,3,0),0)</f>
        <v>0</v>
      </c>
      <c r="M311">
        <f>_xlfn.IFNA(VLOOKUP(B311,TDK!F:G,2,0),0)</f>
        <v>12</v>
      </c>
      <c r="N311">
        <f t="shared" si="4"/>
        <v>37</v>
      </c>
    </row>
    <row r="312" spans="1:14" x14ac:dyDescent="0.25">
      <c r="A312" t="s">
        <v>43</v>
      </c>
      <c r="B312" t="s">
        <v>1309</v>
      </c>
      <c r="C312">
        <f>VLOOKUP(B312,raw!A:K,11,0)</f>
        <v>133</v>
      </c>
      <c r="D312">
        <f>VLOOKUP(B312,raw!A:K,3,0)+VLOOKUP(B312,raw!A:K,7,0)</f>
        <v>1</v>
      </c>
      <c r="E312">
        <f>VLOOKUP(B312,raw!A:K,4,0)</f>
        <v>1</v>
      </c>
      <c r="F312">
        <f>VLOOKUP(B312,raw!A:K,5,0)</f>
        <v>0</v>
      </c>
      <c r="G312">
        <f>VLOOKUP(B312,raw!A:K,2,0)+VLOOKUP(B312,raw!A:K,10,0)</f>
        <v>0</v>
      </c>
      <c r="H312">
        <f>VLOOKUP(B312,raw!A:K,6,0)</f>
        <v>0</v>
      </c>
      <c r="I312">
        <f>VLOOKUP(B312,raw!A:K,9,0)</f>
        <v>131</v>
      </c>
      <c r="J312">
        <f>VLOOKUP(B312,raw!A:K,8,0)</f>
        <v>0</v>
      </c>
      <c r="K312">
        <f>_xlfn.IFNA(VLOOKUP(B312,TDK!A:C,2,0),0)</f>
        <v>29</v>
      </c>
      <c r="L312">
        <f>_xlfn.IFNA(VLOOKUP(B312,TDK!A:C,3,0),0)</f>
        <v>2</v>
      </c>
      <c r="M312">
        <f>_xlfn.IFNA(VLOOKUP(B312,TDK!F:G,2,0),0)</f>
        <v>24</v>
      </c>
      <c r="N312">
        <f t="shared" si="4"/>
        <v>55</v>
      </c>
    </row>
    <row r="313" spans="1:14" x14ac:dyDescent="0.25">
      <c r="A313" t="s">
        <v>43</v>
      </c>
      <c r="B313" t="s">
        <v>1310</v>
      </c>
      <c r="C313">
        <f>VLOOKUP(B313,raw!A:K,11,0)</f>
        <v>600</v>
      </c>
      <c r="D313">
        <f>VLOOKUP(B313,raw!A:K,3,0)+VLOOKUP(B313,raw!A:K,7,0)</f>
        <v>183</v>
      </c>
      <c r="E313">
        <f>VLOOKUP(B313,raw!A:K,4,0)</f>
        <v>0</v>
      </c>
      <c r="F313">
        <f>VLOOKUP(B313,raw!A:K,5,0)</f>
        <v>0</v>
      </c>
      <c r="G313">
        <f>VLOOKUP(B313,raw!A:K,2,0)+VLOOKUP(B313,raw!A:K,10,0)</f>
        <v>0</v>
      </c>
      <c r="H313">
        <f>VLOOKUP(B313,raw!A:K,6,0)</f>
        <v>1</v>
      </c>
      <c r="I313">
        <f>VLOOKUP(B313,raw!A:K,9,0)</f>
        <v>416</v>
      </c>
      <c r="J313">
        <f>VLOOKUP(B313,raw!A:K,8,0)</f>
        <v>0</v>
      </c>
      <c r="K313">
        <f>_xlfn.IFNA(VLOOKUP(B313,TDK!A:C,2,0),0)</f>
        <v>29</v>
      </c>
      <c r="L313">
        <f>_xlfn.IFNA(VLOOKUP(B313,TDK!A:C,3,0),0)</f>
        <v>8</v>
      </c>
      <c r="M313">
        <f>_xlfn.IFNA(VLOOKUP(B313,TDK!F:G,2,0),0)</f>
        <v>339</v>
      </c>
      <c r="N313">
        <f t="shared" si="4"/>
        <v>376</v>
      </c>
    </row>
    <row r="314" spans="1:14" x14ac:dyDescent="0.25">
      <c r="A314" t="s">
        <v>43</v>
      </c>
      <c r="B314" t="s">
        <v>1311</v>
      </c>
      <c r="C314">
        <f>VLOOKUP(B314,raw!A:K,11,0)</f>
        <v>2</v>
      </c>
      <c r="D314">
        <f>VLOOKUP(B314,raw!A:K,3,0)+VLOOKUP(B314,raw!A:K,7,0)</f>
        <v>2</v>
      </c>
      <c r="E314">
        <f>VLOOKUP(B314,raw!A:K,4,0)</f>
        <v>0</v>
      </c>
      <c r="F314">
        <f>VLOOKUP(B314,raw!A:K,5,0)</f>
        <v>0</v>
      </c>
      <c r="G314">
        <f>VLOOKUP(B314,raw!A:K,2,0)+VLOOKUP(B314,raw!A:K,10,0)</f>
        <v>0</v>
      </c>
      <c r="H314">
        <f>VLOOKUP(B314,raw!A:K,6,0)</f>
        <v>0</v>
      </c>
      <c r="I314">
        <f>VLOOKUP(B314,raw!A:K,9,0)</f>
        <v>0</v>
      </c>
      <c r="J314">
        <f>VLOOKUP(B314,raw!A:K,8,0)</f>
        <v>0</v>
      </c>
      <c r="K314">
        <f>_xlfn.IFNA(VLOOKUP(B314,TDK!A:C,2,0),0)</f>
        <v>0</v>
      </c>
      <c r="L314">
        <f>_xlfn.IFNA(VLOOKUP(B314,TDK!A:C,3,0),0)</f>
        <v>2</v>
      </c>
      <c r="M314">
        <f>_xlfn.IFNA(VLOOKUP(B314,TDK!F:G,2,0),0)</f>
        <v>0</v>
      </c>
      <c r="N314">
        <f t="shared" si="4"/>
        <v>2</v>
      </c>
    </row>
    <row r="315" spans="1:14" x14ac:dyDescent="0.25">
      <c r="A315" t="s">
        <v>43</v>
      </c>
      <c r="B315" t="s">
        <v>1312</v>
      </c>
      <c r="C315">
        <f>VLOOKUP(B315,raw!A:K,11,0)</f>
        <v>1</v>
      </c>
      <c r="D315">
        <f>VLOOKUP(B315,raw!A:K,3,0)+VLOOKUP(B315,raw!A:K,7,0)</f>
        <v>1</v>
      </c>
      <c r="E315">
        <f>VLOOKUP(B315,raw!A:K,4,0)</f>
        <v>0</v>
      </c>
      <c r="F315">
        <f>VLOOKUP(B315,raw!A:K,5,0)</f>
        <v>0</v>
      </c>
      <c r="G315">
        <f>VLOOKUP(B315,raw!A:K,2,0)+VLOOKUP(B315,raw!A:K,10,0)</f>
        <v>0</v>
      </c>
      <c r="H315">
        <f>VLOOKUP(B315,raw!A:K,6,0)</f>
        <v>0</v>
      </c>
      <c r="I315">
        <f>VLOOKUP(B315,raw!A:K,9,0)</f>
        <v>0</v>
      </c>
      <c r="J315">
        <f>VLOOKUP(B315,raw!A:K,8,0)</f>
        <v>0</v>
      </c>
      <c r="K315">
        <f>_xlfn.IFNA(VLOOKUP(B315,TDK!A:C,2,0),0)</f>
        <v>0</v>
      </c>
      <c r="L315">
        <f>_xlfn.IFNA(VLOOKUP(B315,TDK!A:C,3,0),0)</f>
        <v>1</v>
      </c>
      <c r="M315">
        <f>_xlfn.IFNA(VLOOKUP(B315,TDK!F:G,2,0),0)</f>
        <v>1</v>
      </c>
      <c r="N315">
        <f t="shared" si="4"/>
        <v>2</v>
      </c>
    </row>
    <row r="316" spans="1:14" x14ac:dyDescent="0.25">
      <c r="A316" t="s">
        <v>976</v>
      </c>
      <c r="B316" t="s">
        <v>1313</v>
      </c>
      <c r="C316">
        <f>VLOOKUP(B316,raw!A:K,11,0)</f>
        <v>111</v>
      </c>
      <c r="D316">
        <f>VLOOKUP(B316,raw!A:K,3,0)+VLOOKUP(B316,raw!A:K,7,0)</f>
        <v>81</v>
      </c>
      <c r="E316">
        <f>VLOOKUP(B316,raw!A:K,4,0)</f>
        <v>0</v>
      </c>
      <c r="F316">
        <f>VLOOKUP(B316,raw!A:K,5,0)</f>
        <v>0</v>
      </c>
      <c r="G316">
        <f>VLOOKUP(B316,raw!A:K,2,0)+VLOOKUP(B316,raw!A:K,10,0)</f>
        <v>0</v>
      </c>
      <c r="H316">
        <f>VLOOKUP(B316,raw!A:K,6,0)</f>
        <v>0</v>
      </c>
      <c r="I316">
        <f>VLOOKUP(B316,raw!A:K,9,0)</f>
        <v>30</v>
      </c>
      <c r="J316">
        <f>VLOOKUP(B316,raw!A:K,8,0)</f>
        <v>0</v>
      </c>
      <c r="K316">
        <f>_xlfn.IFNA(VLOOKUP(B316,TDK!A:C,2,0),0)</f>
        <v>27</v>
      </c>
      <c r="L316">
        <f>_xlfn.IFNA(VLOOKUP(B316,TDK!A:C,3,0),0)</f>
        <v>0</v>
      </c>
      <c r="M316">
        <f>_xlfn.IFNA(VLOOKUP(B316,TDK!F:G,2,0),0)</f>
        <v>27</v>
      </c>
      <c r="N316">
        <f t="shared" si="4"/>
        <v>54</v>
      </c>
    </row>
    <row r="317" spans="1:14" x14ac:dyDescent="0.25">
      <c r="A317" t="s">
        <v>976</v>
      </c>
      <c r="B317" t="s">
        <v>1314</v>
      </c>
      <c r="C317">
        <f>VLOOKUP(B317,raw!A:K,11,0)</f>
        <v>146</v>
      </c>
      <c r="D317">
        <f>VLOOKUP(B317,raw!A:K,3,0)+VLOOKUP(B317,raw!A:K,7,0)</f>
        <v>104</v>
      </c>
      <c r="E317">
        <f>VLOOKUP(B317,raw!A:K,4,0)</f>
        <v>0</v>
      </c>
      <c r="F317">
        <f>VLOOKUP(B317,raw!A:K,5,0)</f>
        <v>0</v>
      </c>
      <c r="G317">
        <f>VLOOKUP(B317,raw!A:K,2,0)+VLOOKUP(B317,raw!A:K,10,0)</f>
        <v>0</v>
      </c>
      <c r="H317">
        <f>VLOOKUP(B317,raw!A:K,6,0)</f>
        <v>0</v>
      </c>
      <c r="I317">
        <f>VLOOKUP(B317,raw!A:K,9,0)</f>
        <v>42</v>
      </c>
      <c r="J317">
        <f>VLOOKUP(B317,raw!A:K,8,0)</f>
        <v>0</v>
      </c>
      <c r="K317">
        <f>_xlfn.IFNA(VLOOKUP(B317,TDK!A:C,2,0),0)</f>
        <v>35</v>
      </c>
      <c r="L317">
        <f>_xlfn.IFNA(VLOOKUP(B317,TDK!A:C,3,0),0)</f>
        <v>2</v>
      </c>
      <c r="M317">
        <f>_xlfn.IFNA(VLOOKUP(B317,TDK!F:G,2,0),0)</f>
        <v>38</v>
      </c>
      <c r="N317">
        <f t="shared" si="4"/>
        <v>75</v>
      </c>
    </row>
    <row r="318" spans="1:14" x14ac:dyDescent="0.25">
      <c r="A318" t="s">
        <v>976</v>
      </c>
      <c r="B318" t="s">
        <v>1315</v>
      </c>
      <c r="C318">
        <f>VLOOKUP(B318,raw!A:K,11,0)</f>
        <v>84</v>
      </c>
      <c r="D318">
        <f>VLOOKUP(B318,raw!A:K,3,0)+VLOOKUP(B318,raw!A:K,7,0)</f>
        <v>42</v>
      </c>
      <c r="E318">
        <f>VLOOKUP(B318,raw!A:K,4,0)</f>
        <v>0</v>
      </c>
      <c r="F318">
        <f>VLOOKUP(B318,raw!A:K,5,0)</f>
        <v>0</v>
      </c>
      <c r="G318">
        <f>VLOOKUP(B318,raw!A:K,2,0)+VLOOKUP(B318,raw!A:K,10,0)</f>
        <v>1</v>
      </c>
      <c r="H318">
        <f>VLOOKUP(B318,raw!A:K,6,0)</f>
        <v>0</v>
      </c>
      <c r="I318">
        <f>VLOOKUP(B318,raw!A:K,9,0)</f>
        <v>41</v>
      </c>
      <c r="J318">
        <f>VLOOKUP(B318,raw!A:K,8,0)</f>
        <v>0</v>
      </c>
      <c r="K318">
        <f>_xlfn.IFNA(VLOOKUP(B318,TDK!A:C,2,0),0)</f>
        <v>15</v>
      </c>
      <c r="L318">
        <f>_xlfn.IFNA(VLOOKUP(B318,TDK!A:C,3,0),0)</f>
        <v>1</v>
      </c>
      <c r="M318">
        <f>_xlfn.IFNA(VLOOKUP(B318,TDK!F:G,2,0),0)</f>
        <v>10</v>
      </c>
      <c r="N318">
        <f t="shared" si="4"/>
        <v>26</v>
      </c>
    </row>
    <row r="319" spans="1:14" x14ac:dyDescent="0.25">
      <c r="A319" t="s">
        <v>976</v>
      </c>
      <c r="B319" t="s">
        <v>1316</v>
      </c>
      <c r="C319">
        <f>VLOOKUP(B319,raw!A:K,11,0)</f>
        <v>107</v>
      </c>
      <c r="D319">
        <f>VLOOKUP(B319,raw!A:K,3,0)+VLOOKUP(B319,raw!A:K,7,0)</f>
        <v>92</v>
      </c>
      <c r="E319">
        <f>VLOOKUP(B319,raw!A:K,4,0)</f>
        <v>0</v>
      </c>
      <c r="F319">
        <f>VLOOKUP(B319,raw!A:K,5,0)</f>
        <v>0</v>
      </c>
      <c r="G319">
        <f>VLOOKUP(B319,raw!A:K,2,0)+VLOOKUP(B319,raw!A:K,10,0)</f>
        <v>0</v>
      </c>
      <c r="H319">
        <f>VLOOKUP(B319,raw!A:K,6,0)</f>
        <v>0</v>
      </c>
      <c r="I319">
        <f>VLOOKUP(B319,raw!A:K,9,0)</f>
        <v>15</v>
      </c>
      <c r="J319">
        <f>VLOOKUP(B319,raw!A:K,8,0)</f>
        <v>0</v>
      </c>
      <c r="K319">
        <f>_xlfn.IFNA(VLOOKUP(B319,TDK!A:C,2,0),0)</f>
        <v>30</v>
      </c>
      <c r="L319">
        <f>_xlfn.IFNA(VLOOKUP(B319,TDK!A:C,3,0),0)</f>
        <v>0</v>
      </c>
      <c r="M319">
        <f>_xlfn.IFNA(VLOOKUP(B319,TDK!F:G,2,0),0)</f>
        <v>24</v>
      </c>
      <c r="N319">
        <f t="shared" si="4"/>
        <v>54</v>
      </c>
    </row>
    <row r="320" spans="1:14" x14ac:dyDescent="0.25">
      <c r="A320" t="s">
        <v>976</v>
      </c>
      <c r="B320" t="s">
        <v>1317</v>
      </c>
      <c r="C320">
        <f>VLOOKUP(B320,raw!A:K,11,0)</f>
        <v>66</v>
      </c>
      <c r="D320">
        <f>VLOOKUP(B320,raw!A:K,3,0)+VLOOKUP(B320,raw!A:K,7,0)</f>
        <v>66</v>
      </c>
      <c r="E320">
        <f>VLOOKUP(B320,raw!A:K,4,0)</f>
        <v>0</v>
      </c>
      <c r="F320">
        <f>VLOOKUP(B320,raw!A:K,5,0)</f>
        <v>0</v>
      </c>
      <c r="G320">
        <f>VLOOKUP(B320,raw!A:K,2,0)+VLOOKUP(B320,raw!A:K,10,0)</f>
        <v>0</v>
      </c>
      <c r="H320">
        <f>VLOOKUP(B320,raw!A:K,6,0)</f>
        <v>0</v>
      </c>
      <c r="I320">
        <f>VLOOKUP(B320,raw!A:K,9,0)</f>
        <v>0</v>
      </c>
      <c r="J320">
        <f>VLOOKUP(B320,raw!A:K,8,0)</f>
        <v>0</v>
      </c>
      <c r="K320">
        <f>_xlfn.IFNA(VLOOKUP(B320,TDK!A:C,2,0),0)</f>
        <v>14</v>
      </c>
      <c r="L320">
        <f>_xlfn.IFNA(VLOOKUP(B320,TDK!A:C,3,0),0)</f>
        <v>1</v>
      </c>
      <c r="M320">
        <f>_xlfn.IFNA(VLOOKUP(B320,TDK!F:G,2,0),0)</f>
        <v>9</v>
      </c>
      <c r="N320">
        <f t="shared" si="4"/>
        <v>24</v>
      </c>
    </row>
    <row r="321" spans="1:14" x14ac:dyDescent="0.25">
      <c r="A321" t="s">
        <v>976</v>
      </c>
      <c r="B321" t="s">
        <v>1318</v>
      </c>
      <c r="C321">
        <f>VLOOKUP(B321,raw!A:K,11,0)</f>
        <v>53</v>
      </c>
      <c r="D321">
        <f>VLOOKUP(B321,raw!A:K,3,0)+VLOOKUP(B321,raw!A:K,7,0)</f>
        <v>51</v>
      </c>
      <c r="E321">
        <f>VLOOKUP(B321,raw!A:K,4,0)</f>
        <v>0</v>
      </c>
      <c r="F321">
        <f>VLOOKUP(B321,raw!A:K,5,0)</f>
        <v>0</v>
      </c>
      <c r="G321">
        <f>VLOOKUP(B321,raw!A:K,2,0)+VLOOKUP(B321,raw!A:K,10,0)</f>
        <v>2</v>
      </c>
      <c r="H321">
        <f>VLOOKUP(B321,raw!A:K,6,0)</f>
        <v>0</v>
      </c>
      <c r="I321">
        <f>VLOOKUP(B321,raw!A:K,9,0)</f>
        <v>0</v>
      </c>
      <c r="J321">
        <f>VLOOKUP(B321,raw!A:K,8,0)</f>
        <v>0</v>
      </c>
      <c r="K321">
        <f>_xlfn.IFNA(VLOOKUP(B321,TDK!A:C,2,0),0)</f>
        <v>14</v>
      </c>
      <c r="L321">
        <f>_xlfn.IFNA(VLOOKUP(B321,TDK!A:C,3,0),0)</f>
        <v>1</v>
      </c>
      <c r="M321">
        <f>_xlfn.IFNA(VLOOKUP(B321,TDK!F:G,2,0),0)</f>
        <v>13</v>
      </c>
      <c r="N321">
        <f t="shared" si="4"/>
        <v>28</v>
      </c>
    </row>
    <row r="322" spans="1:14" x14ac:dyDescent="0.25">
      <c r="A322" t="s">
        <v>976</v>
      </c>
      <c r="B322" t="s">
        <v>1319</v>
      </c>
      <c r="C322">
        <f>VLOOKUP(B322,raw!A:K,11,0)</f>
        <v>185</v>
      </c>
      <c r="D322">
        <f>VLOOKUP(B322,raw!A:K,3,0)+VLOOKUP(B322,raw!A:K,7,0)</f>
        <v>182</v>
      </c>
      <c r="E322">
        <f>VLOOKUP(B322,raw!A:K,4,0)</f>
        <v>0</v>
      </c>
      <c r="F322">
        <f>VLOOKUP(B322,raw!A:K,5,0)</f>
        <v>0</v>
      </c>
      <c r="G322">
        <f>VLOOKUP(B322,raw!A:K,2,0)+VLOOKUP(B322,raw!A:K,10,0)</f>
        <v>3</v>
      </c>
      <c r="H322">
        <f>VLOOKUP(B322,raw!A:K,6,0)</f>
        <v>0</v>
      </c>
      <c r="I322">
        <f>VLOOKUP(B322,raw!A:K,9,0)</f>
        <v>0</v>
      </c>
      <c r="J322">
        <f>VLOOKUP(B322,raw!A:K,8,0)</f>
        <v>0</v>
      </c>
      <c r="K322">
        <f>_xlfn.IFNA(VLOOKUP(B322,TDK!A:C,2,0),0)</f>
        <v>44</v>
      </c>
      <c r="L322">
        <f>_xlfn.IFNA(VLOOKUP(B322,TDK!A:C,3,0),0)</f>
        <v>0</v>
      </c>
      <c r="M322">
        <f>_xlfn.IFNA(VLOOKUP(B322,TDK!F:G,2,0),0)</f>
        <v>51</v>
      </c>
      <c r="N322">
        <f t="shared" si="4"/>
        <v>95</v>
      </c>
    </row>
    <row r="323" spans="1:14" x14ac:dyDescent="0.25">
      <c r="A323" t="s">
        <v>976</v>
      </c>
      <c r="B323" t="s">
        <v>1320</v>
      </c>
      <c r="C323">
        <f>VLOOKUP(B323,raw!A:K,11,0)</f>
        <v>81</v>
      </c>
      <c r="D323">
        <f>VLOOKUP(B323,raw!A:K,3,0)+VLOOKUP(B323,raw!A:K,7,0)</f>
        <v>81</v>
      </c>
      <c r="E323">
        <f>VLOOKUP(B323,raw!A:K,4,0)</f>
        <v>0</v>
      </c>
      <c r="F323">
        <f>VLOOKUP(B323,raw!A:K,5,0)</f>
        <v>0</v>
      </c>
      <c r="G323">
        <f>VLOOKUP(B323,raw!A:K,2,0)+VLOOKUP(B323,raw!A:K,10,0)</f>
        <v>0</v>
      </c>
      <c r="H323">
        <f>VLOOKUP(B323,raw!A:K,6,0)</f>
        <v>0</v>
      </c>
      <c r="I323">
        <f>VLOOKUP(B323,raw!A:K,9,0)</f>
        <v>0</v>
      </c>
      <c r="J323">
        <f>VLOOKUP(B323,raw!A:K,8,0)</f>
        <v>0</v>
      </c>
      <c r="K323">
        <f>_xlfn.IFNA(VLOOKUP(B323,TDK!A:C,2,0),0)</f>
        <v>21</v>
      </c>
      <c r="L323">
        <f>_xlfn.IFNA(VLOOKUP(B323,TDK!A:C,3,0),0)</f>
        <v>1</v>
      </c>
      <c r="M323">
        <f>_xlfn.IFNA(VLOOKUP(B323,TDK!F:G,2,0),0)</f>
        <v>17</v>
      </c>
      <c r="N323">
        <f t="shared" ref="N323:N386" si="5">SUM(K323:M323)</f>
        <v>39</v>
      </c>
    </row>
    <row r="324" spans="1:14" x14ac:dyDescent="0.25">
      <c r="A324" t="s">
        <v>976</v>
      </c>
      <c r="B324" t="s">
        <v>1321</v>
      </c>
      <c r="C324">
        <f>VLOOKUP(B324,raw!A:K,11,0)</f>
        <v>98</v>
      </c>
      <c r="D324">
        <f>VLOOKUP(B324,raw!A:K,3,0)+VLOOKUP(B324,raw!A:K,7,0)</f>
        <v>98</v>
      </c>
      <c r="E324">
        <f>VLOOKUP(B324,raw!A:K,4,0)</f>
        <v>0</v>
      </c>
      <c r="F324">
        <f>VLOOKUP(B324,raw!A:K,5,0)</f>
        <v>0</v>
      </c>
      <c r="G324">
        <f>VLOOKUP(B324,raw!A:K,2,0)+VLOOKUP(B324,raw!A:K,10,0)</f>
        <v>0</v>
      </c>
      <c r="H324">
        <f>VLOOKUP(B324,raw!A:K,6,0)</f>
        <v>0</v>
      </c>
      <c r="I324">
        <f>VLOOKUP(B324,raw!A:K,9,0)</f>
        <v>0</v>
      </c>
      <c r="J324">
        <f>VLOOKUP(B324,raw!A:K,8,0)</f>
        <v>0</v>
      </c>
      <c r="K324">
        <f>_xlfn.IFNA(VLOOKUP(B324,TDK!A:C,2,0),0)</f>
        <v>31</v>
      </c>
      <c r="L324">
        <f>_xlfn.IFNA(VLOOKUP(B324,TDK!A:C,3,0),0)</f>
        <v>1</v>
      </c>
      <c r="M324">
        <f>_xlfn.IFNA(VLOOKUP(B324,TDK!F:G,2,0),0)</f>
        <v>27</v>
      </c>
      <c r="N324">
        <f t="shared" si="5"/>
        <v>59</v>
      </c>
    </row>
    <row r="325" spans="1:14" x14ac:dyDescent="0.25">
      <c r="A325" t="s">
        <v>45</v>
      </c>
      <c r="B325" t="s">
        <v>1322</v>
      </c>
      <c r="C325">
        <f>VLOOKUP(B325,raw!A:K,11,0)</f>
        <v>155</v>
      </c>
      <c r="D325">
        <f>VLOOKUP(B325,raw!A:K,3,0)+VLOOKUP(B325,raw!A:K,7,0)</f>
        <v>148</v>
      </c>
      <c r="E325">
        <f>VLOOKUP(B325,raw!A:K,4,0)</f>
        <v>5</v>
      </c>
      <c r="F325">
        <f>VLOOKUP(B325,raw!A:K,5,0)</f>
        <v>0</v>
      </c>
      <c r="G325">
        <f>VLOOKUP(B325,raw!A:K,2,0)+VLOOKUP(B325,raw!A:K,10,0)</f>
        <v>2</v>
      </c>
      <c r="H325">
        <f>VLOOKUP(B325,raw!A:K,6,0)</f>
        <v>0</v>
      </c>
      <c r="I325">
        <f>VLOOKUP(B325,raw!A:K,9,0)</f>
        <v>0</v>
      </c>
      <c r="J325">
        <f>VLOOKUP(B325,raw!A:K,8,0)</f>
        <v>0</v>
      </c>
      <c r="K325">
        <f>_xlfn.IFNA(VLOOKUP(B325,TDK!A:C,2,0),0)</f>
        <v>51</v>
      </c>
      <c r="L325">
        <f>_xlfn.IFNA(VLOOKUP(B325,TDK!A:C,3,0),0)</f>
        <v>0</v>
      </c>
      <c r="M325">
        <f>_xlfn.IFNA(VLOOKUP(B325,TDK!F:G,2,0),0)</f>
        <v>18</v>
      </c>
      <c r="N325">
        <f t="shared" si="5"/>
        <v>69</v>
      </c>
    </row>
    <row r="326" spans="1:14" x14ac:dyDescent="0.25">
      <c r="A326" t="s">
        <v>45</v>
      </c>
      <c r="B326" t="s">
        <v>1323</v>
      </c>
      <c r="C326">
        <f>VLOOKUP(B326,raw!A:K,11,0)</f>
        <v>311</v>
      </c>
      <c r="D326">
        <f>VLOOKUP(B326,raw!A:K,3,0)+VLOOKUP(B326,raw!A:K,7,0)</f>
        <v>308</v>
      </c>
      <c r="E326">
        <f>VLOOKUP(B326,raw!A:K,4,0)</f>
        <v>2</v>
      </c>
      <c r="F326">
        <f>VLOOKUP(B326,raw!A:K,5,0)</f>
        <v>0</v>
      </c>
      <c r="G326">
        <f>VLOOKUP(B326,raw!A:K,2,0)+VLOOKUP(B326,raw!A:K,10,0)</f>
        <v>1</v>
      </c>
      <c r="H326">
        <f>VLOOKUP(B326,raw!A:K,6,0)</f>
        <v>0</v>
      </c>
      <c r="I326">
        <f>VLOOKUP(B326,raw!A:K,9,0)</f>
        <v>0</v>
      </c>
      <c r="J326">
        <f>VLOOKUP(B326,raw!A:K,8,0)</f>
        <v>0</v>
      </c>
      <c r="K326">
        <f>_xlfn.IFNA(VLOOKUP(B326,TDK!A:C,2,0),0)</f>
        <v>78</v>
      </c>
      <c r="L326">
        <f>_xlfn.IFNA(VLOOKUP(B326,TDK!A:C,3,0),0)</f>
        <v>1</v>
      </c>
      <c r="M326">
        <f>_xlfn.IFNA(VLOOKUP(B326,TDK!F:G,2,0),0)</f>
        <v>64</v>
      </c>
      <c r="N326">
        <f t="shared" si="5"/>
        <v>143</v>
      </c>
    </row>
    <row r="327" spans="1:14" x14ac:dyDescent="0.25">
      <c r="A327" t="s">
        <v>45</v>
      </c>
      <c r="B327" t="s">
        <v>1324</v>
      </c>
      <c r="C327">
        <f>VLOOKUP(B327,raw!A:K,11,0)</f>
        <v>150</v>
      </c>
      <c r="D327">
        <f>VLOOKUP(B327,raw!A:K,3,0)+VLOOKUP(B327,raw!A:K,7,0)</f>
        <v>150</v>
      </c>
      <c r="E327">
        <f>VLOOKUP(B327,raw!A:K,4,0)</f>
        <v>0</v>
      </c>
      <c r="F327">
        <f>VLOOKUP(B327,raw!A:K,5,0)</f>
        <v>0</v>
      </c>
      <c r="G327">
        <f>VLOOKUP(B327,raw!A:K,2,0)+VLOOKUP(B327,raw!A:K,10,0)</f>
        <v>0</v>
      </c>
      <c r="H327">
        <f>VLOOKUP(B327,raw!A:K,6,0)</f>
        <v>0</v>
      </c>
      <c r="I327">
        <f>VLOOKUP(B327,raw!A:K,9,0)</f>
        <v>0</v>
      </c>
      <c r="J327">
        <f>VLOOKUP(B327,raw!A:K,8,0)</f>
        <v>0</v>
      </c>
      <c r="K327">
        <f>_xlfn.IFNA(VLOOKUP(B327,TDK!A:C,2,0),0)</f>
        <v>45</v>
      </c>
      <c r="L327">
        <f>_xlfn.IFNA(VLOOKUP(B327,TDK!A:C,3,0),0)</f>
        <v>0</v>
      </c>
      <c r="M327">
        <f>_xlfn.IFNA(VLOOKUP(B327,TDK!F:G,2,0),0)</f>
        <v>26</v>
      </c>
      <c r="N327">
        <f t="shared" si="5"/>
        <v>71</v>
      </c>
    </row>
    <row r="328" spans="1:14" x14ac:dyDescent="0.25">
      <c r="A328" t="s">
        <v>45</v>
      </c>
      <c r="B328" t="s">
        <v>1325</v>
      </c>
      <c r="C328">
        <f>VLOOKUP(B328,raw!A:K,11,0)</f>
        <v>143</v>
      </c>
      <c r="D328">
        <f>VLOOKUP(B328,raw!A:K,3,0)+VLOOKUP(B328,raw!A:K,7,0)</f>
        <v>143</v>
      </c>
      <c r="E328">
        <f>VLOOKUP(B328,raw!A:K,4,0)</f>
        <v>0</v>
      </c>
      <c r="F328">
        <f>VLOOKUP(B328,raw!A:K,5,0)</f>
        <v>0</v>
      </c>
      <c r="G328">
        <f>VLOOKUP(B328,raw!A:K,2,0)+VLOOKUP(B328,raw!A:K,10,0)</f>
        <v>0</v>
      </c>
      <c r="H328">
        <f>VLOOKUP(B328,raw!A:K,6,0)</f>
        <v>0</v>
      </c>
      <c r="I328">
        <f>VLOOKUP(B328,raw!A:K,9,0)</f>
        <v>0</v>
      </c>
      <c r="J328">
        <f>VLOOKUP(B328,raw!A:K,8,0)</f>
        <v>0</v>
      </c>
      <c r="K328">
        <f>_xlfn.IFNA(VLOOKUP(B328,TDK!A:C,2,0),0)</f>
        <v>24</v>
      </c>
      <c r="L328">
        <f>_xlfn.IFNA(VLOOKUP(B328,TDK!A:C,3,0),0)</f>
        <v>0</v>
      </c>
      <c r="M328">
        <f>_xlfn.IFNA(VLOOKUP(B328,TDK!F:G,2,0),0)</f>
        <v>53</v>
      </c>
      <c r="N328">
        <f t="shared" si="5"/>
        <v>77</v>
      </c>
    </row>
    <row r="329" spans="1:14" x14ac:dyDescent="0.25">
      <c r="A329" t="s">
        <v>45</v>
      </c>
      <c r="B329" t="s">
        <v>1326</v>
      </c>
      <c r="C329">
        <f>VLOOKUP(B329,raw!A:K,11,0)</f>
        <v>3</v>
      </c>
      <c r="D329">
        <f>VLOOKUP(B329,raw!A:K,3,0)+VLOOKUP(B329,raw!A:K,7,0)</f>
        <v>3</v>
      </c>
      <c r="E329">
        <f>VLOOKUP(B329,raw!A:K,4,0)</f>
        <v>0</v>
      </c>
      <c r="F329">
        <f>VLOOKUP(B329,raw!A:K,5,0)</f>
        <v>0</v>
      </c>
      <c r="G329">
        <f>VLOOKUP(B329,raw!A:K,2,0)+VLOOKUP(B329,raw!A:K,10,0)</f>
        <v>0</v>
      </c>
      <c r="H329">
        <f>VLOOKUP(B329,raw!A:K,6,0)</f>
        <v>0</v>
      </c>
      <c r="I329">
        <f>VLOOKUP(B329,raw!A:K,9,0)</f>
        <v>0</v>
      </c>
      <c r="J329">
        <f>VLOOKUP(B329,raw!A:K,8,0)</f>
        <v>0</v>
      </c>
      <c r="K329">
        <f>_xlfn.IFNA(VLOOKUP(B329,TDK!A:C,2,0),0)</f>
        <v>0</v>
      </c>
      <c r="L329">
        <f>_xlfn.IFNA(VLOOKUP(B329,TDK!A:C,3,0),0)</f>
        <v>1</v>
      </c>
      <c r="M329">
        <f>_xlfn.IFNA(VLOOKUP(B329,TDK!F:G,2,0),0)</f>
        <v>1</v>
      </c>
      <c r="N329">
        <f t="shared" si="5"/>
        <v>2</v>
      </c>
    </row>
    <row r="330" spans="1:14" x14ac:dyDescent="0.25">
      <c r="A330" t="s">
        <v>45</v>
      </c>
      <c r="B330" t="s">
        <v>1327</v>
      </c>
      <c r="C330">
        <f>VLOOKUP(B330,raw!A:K,11,0)</f>
        <v>61</v>
      </c>
      <c r="D330">
        <f>VLOOKUP(B330,raw!A:K,3,0)+VLOOKUP(B330,raw!A:K,7,0)</f>
        <v>60</v>
      </c>
      <c r="E330">
        <f>VLOOKUP(B330,raw!A:K,4,0)</f>
        <v>0</v>
      </c>
      <c r="F330">
        <f>VLOOKUP(B330,raw!A:K,5,0)</f>
        <v>0</v>
      </c>
      <c r="G330">
        <f>VLOOKUP(B330,raw!A:K,2,0)+VLOOKUP(B330,raw!A:K,10,0)</f>
        <v>1</v>
      </c>
      <c r="H330">
        <f>VLOOKUP(B330,raw!A:K,6,0)</f>
        <v>0</v>
      </c>
      <c r="I330">
        <f>VLOOKUP(B330,raw!A:K,9,0)</f>
        <v>0</v>
      </c>
      <c r="J330">
        <f>VLOOKUP(B330,raw!A:K,8,0)</f>
        <v>0</v>
      </c>
      <c r="K330">
        <f>_xlfn.IFNA(VLOOKUP(B330,TDK!A:C,2,0),0)</f>
        <v>18</v>
      </c>
      <c r="L330">
        <f>_xlfn.IFNA(VLOOKUP(B330,TDK!A:C,3,0),0)</f>
        <v>0</v>
      </c>
      <c r="M330">
        <f>_xlfn.IFNA(VLOOKUP(B330,TDK!F:G,2,0),0)</f>
        <v>5</v>
      </c>
      <c r="N330">
        <f t="shared" si="5"/>
        <v>23</v>
      </c>
    </row>
    <row r="331" spans="1:14" x14ac:dyDescent="0.25">
      <c r="A331" t="s">
        <v>45</v>
      </c>
      <c r="B331" t="s">
        <v>1328</v>
      </c>
      <c r="C331">
        <f>VLOOKUP(B331,raw!A:K,11,0)</f>
        <v>60</v>
      </c>
      <c r="D331">
        <f>VLOOKUP(B331,raw!A:K,3,0)+VLOOKUP(B331,raw!A:K,7,0)</f>
        <v>59</v>
      </c>
      <c r="E331">
        <f>VLOOKUP(B331,raw!A:K,4,0)</f>
        <v>0</v>
      </c>
      <c r="F331">
        <f>VLOOKUP(B331,raw!A:K,5,0)</f>
        <v>0</v>
      </c>
      <c r="G331">
        <f>VLOOKUP(B331,raw!A:K,2,0)+VLOOKUP(B331,raw!A:K,10,0)</f>
        <v>1</v>
      </c>
      <c r="H331">
        <f>VLOOKUP(B331,raw!A:K,6,0)</f>
        <v>0</v>
      </c>
      <c r="I331">
        <f>VLOOKUP(B331,raw!A:K,9,0)</f>
        <v>0</v>
      </c>
      <c r="J331">
        <f>VLOOKUP(B331,raw!A:K,8,0)</f>
        <v>0</v>
      </c>
      <c r="K331">
        <f>_xlfn.IFNA(VLOOKUP(B331,TDK!A:C,2,0),0)</f>
        <v>11</v>
      </c>
      <c r="L331">
        <f>_xlfn.IFNA(VLOOKUP(B331,TDK!A:C,3,0),0)</f>
        <v>0</v>
      </c>
      <c r="M331">
        <f>_xlfn.IFNA(VLOOKUP(B331,TDK!F:G,2,0),0)</f>
        <v>9</v>
      </c>
      <c r="N331">
        <f t="shared" si="5"/>
        <v>20</v>
      </c>
    </row>
    <row r="332" spans="1:14" x14ac:dyDescent="0.25">
      <c r="A332" t="s">
        <v>984</v>
      </c>
      <c r="B332" t="s">
        <v>1329</v>
      </c>
      <c r="C332">
        <f>VLOOKUP(B332,raw!A:K,11,0)</f>
        <v>59</v>
      </c>
      <c r="D332">
        <f>VLOOKUP(B332,raw!A:K,3,0)+VLOOKUP(B332,raw!A:K,7,0)</f>
        <v>39</v>
      </c>
      <c r="E332">
        <f>VLOOKUP(B332,raw!A:K,4,0)</f>
        <v>0</v>
      </c>
      <c r="F332">
        <f>VLOOKUP(B332,raw!A:K,5,0)</f>
        <v>0</v>
      </c>
      <c r="G332">
        <f>VLOOKUP(B332,raw!A:K,2,0)+VLOOKUP(B332,raw!A:K,10,0)</f>
        <v>0</v>
      </c>
      <c r="H332">
        <f>VLOOKUP(B332,raw!A:K,6,0)</f>
        <v>0</v>
      </c>
      <c r="I332">
        <f>VLOOKUP(B332,raw!A:K,9,0)</f>
        <v>20</v>
      </c>
      <c r="J332">
        <f>VLOOKUP(B332,raw!A:K,8,0)</f>
        <v>0</v>
      </c>
      <c r="K332">
        <f>_xlfn.IFNA(VLOOKUP(B332,TDK!A:C,2,0),0)</f>
        <v>11</v>
      </c>
      <c r="L332">
        <f>_xlfn.IFNA(VLOOKUP(B332,TDK!A:C,3,0),0)</f>
        <v>0</v>
      </c>
      <c r="M332">
        <f>_xlfn.IFNA(VLOOKUP(B332,TDK!F:G,2,0),0)</f>
        <v>4</v>
      </c>
      <c r="N332">
        <f t="shared" si="5"/>
        <v>15</v>
      </c>
    </row>
    <row r="333" spans="1:14" x14ac:dyDescent="0.25">
      <c r="A333" t="s">
        <v>984</v>
      </c>
      <c r="B333" t="s">
        <v>1330</v>
      </c>
      <c r="C333">
        <f>VLOOKUP(B333,raw!A:K,11,0)</f>
        <v>40</v>
      </c>
      <c r="D333">
        <f>VLOOKUP(B333,raw!A:K,3,0)+VLOOKUP(B333,raw!A:K,7,0)</f>
        <v>22</v>
      </c>
      <c r="E333">
        <f>VLOOKUP(B333,raw!A:K,4,0)</f>
        <v>0</v>
      </c>
      <c r="F333">
        <f>VLOOKUP(B333,raw!A:K,5,0)</f>
        <v>0</v>
      </c>
      <c r="G333">
        <f>VLOOKUP(B333,raw!A:K,2,0)+VLOOKUP(B333,raw!A:K,10,0)</f>
        <v>1</v>
      </c>
      <c r="H333">
        <f>VLOOKUP(B333,raw!A:K,6,0)</f>
        <v>1</v>
      </c>
      <c r="I333">
        <f>VLOOKUP(B333,raw!A:K,9,0)</f>
        <v>16</v>
      </c>
      <c r="J333">
        <f>VLOOKUP(B333,raw!A:K,8,0)</f>
        <v>0</v>
      </c>
      <c r="K333">
        <f>_xlfn.IFNA(VLOOKUP(B333,TDK!A:C,2,0),0)</f>
        <v>10</v>
      </c>
      <c r="L333">
        <f>_xlfn.IFNA(VLOOKUP(B333,TDK!A:C,3,0),0)</f>
        <v>0</v>
      </c>
      <c r="M333">
        <f>_xlfn.IFNA(VLOOKUP(B333,TDK!F:G,2,0),0)</f>
        <v>4</v>
      </c>
      <c r="N333">
        <f t="shared" si="5"/>
        <v>14</v>
      </c>
    </row>
    <row r="334" spans="1:14" x14ac:dyDescent="0.25">
      <c r="A334" t="s">
        <v>984</v>
      </c>
      <c r="B334" t="s">
        <v>1331</v>
      </c>
      <c r="C334">
        <f>VLOOKUP(B334,raw!A:K,11,0)</f>
        <v>84</v>
      </c>
      <c r="D334">
        <f>VLOOKUP(B334,raw!A:K,3,0)+VLOOKUP(B334,raw!A:K,7,0)</f>
        <v>44</v>
      </c>
      <c r="E334">
        <f>VLOOKUP(B334,raw!A:K,4,0)</f>
        <v>0</v>
      </c>
      <c r="F334">
        <f>VLOOKUP(B334,raw!A:K,5,0)</f>
        <v>0</v>
      </c>
      <c r="G334">
        <f>VLOOKUP(B334,raw!A:K,2,0)+VLOOKUP(B334,raw!A:K,10,0)</f>
        <v>1</v>
      </c>
      <c r="H334">
        <f>VLOOKUP(B334,raw!A:K,6,0)</f>
        <v>0</v>
      </c>
      <c r="I334">
        <f>VLOOKUP(B334,raw!A:K,9,0)</f>
        <v>39</v>
      </c>
      <c r="J334">
        <f>VLOOKUP(B334,raw!A:K,8,0)</f>
        <v>0</v>
      </c>
      <c r="K334">
        <f>_xlfn.IFNA(VLOOKUP(B334,TDK!A:C,2,0),0)</f>
        <v>17</v>
      </c>
      <c r="L334">
        <f>_xlfn.IFNA(VLOOKUP(B334,TDK!A:C,3,0),0)</f>
        <v>1</v>
      </c>
      <c r="M334">
        <f>_xlfn.IFNA(VLOOKUP(B334,TDK!F:G,2,0),0)</f>
        <v>12</v>
      </c>
      <c r="N334">
        <f t="shared" si="5"/>
        <v>30</v>
      </c>
    </row>
    <row r="335" spans="1:14" x14ac:dyDescent="0.25">
      <c r="A335" t="s">
        <v>984</v>
      </c>
      <c r="B335" t="s">
        <v>1332</v>
      </c>
      <c r="C335">
        <f>VLOOKUP(B335,raw!A:K,11,0)</f>
        <v>62</v>
      </c>
      <c r="D335">
        <f>VLOOKUP(B335,raw!A:K,3,0)+VLOOKUP(B335,raw!A:K,7,0)</f>
        <v>34</v>
      </c>
      <c r="E335">
        <f>VLOOKUP(B335,raw!A:K,4,0)</f>
        <v>24</v>
      </c>
      <c r="F335">
        <f>VLOOKUP(B335,raw!A:K,5,0)</f>
        <v>0</v>
      </c>
      <c r="G335">
        <f>VLOOKUP(B335,raw!A:K,2,0)+VLOOKUP(B335,raw!A:K,10,0)</f>
        <v>1</v>
      </c>
      <c r="H335">
        <f>VLOOKUP(B335,raw!A:K,6,0)</f>
        <v>1</v>
      </c>
      <c r="I335">
        <f>VLOOKUP(B335,raw!A:K,9,0)</f>
        <v>2</v>
      </c>
      <c r="J335">
        <f>VLOOKUP(B335,raw!A:K,8,0)</f>
        <v>0</v>
      </c>
      <c r="K335">
        <f>_xlfn.IFNA(VLOOKUP(B335,TDK!A:C,2,0),0)</f>
        <v>10</v>
      </c>
      <c r="L335">
        <f>_xlfn.IFNA(VLOOKUP(B335,TDK!A:C,3,0),0)</f>
        <v>0</v>
      </c>
      <c r="M335">
        <f>_xlfn.IFNA(VLOOKUP(B335,TDK!F:G,2,0),0)</f>
        <v>7</v>
      </c>
      <c r="N335">
        <f t="shared" si="5"/>
        <v>17</v>
      </c>
    </row>
    <row r="336" spans="1:14" x14ac:dyDescent="0.25">
      <c r="A336" t="s">
        <v>984</v>
      </c>
      <c r="B336" t="s">
        <v>1333</v>
      </c>
      <c r="C336">
        <f>VLOOKUP(B336,raw!A:K,11,0)</f>
        <v>110</v>
      </c>
      <c r="D336">
        <f>VLOOKUP(B336,raw!A:K,3,0)+VLOOKUP(B336,raw!A:K,7,0)</f>
        <v>1</v>
      </c>
      <c r="E336">
        <f>VLOOKUP(B336,raw!A:K,4,0)</f>
        <v>2</v>
      </c>
      <c r="F336">
        <f>VLOOKUP(B336,raw!A:K,5,0)</f>
        <v>0</v>
      </c>
      <c r="G336">
        <f>VLOOKUP(B336,raw!A:K,2,0)+VLOOKUP(B336,raw!A:K,10,0)</f>
        <v>0</v>
      </c>
      <c r="H336">
        <f>VLOOKUP(B336,raw!A:K,6,0)</f>
        <v>0</v>
      </c>
      <c r="I336">
        <f>VLOOKUP(B336,raw!A:K,9,0)</f>
        <v>107</v>
      </c>
      <c r="J336">
        <f>VLOOKUP(B336,raw!A:K,8,0)</f>
        <v>0</v>
      </c>
      <c r="K336">
        <f>_xlfn.IFNA(VLOOKUP(B336,TDK!A:C,2,0),0)</f>
        <v>18</v>
      </c>
      <c r="L336">
        <f>_xlfn.IFNA(VLOOKUP(B336,TDK!A:C,3,0),0)</f>
        <v>0</v>
      </c>
      <c r="M336">
        <f>_xlfn.IFNA(VLOOKUP(B336,TDK!F:G,2,0),0)</f>
        <v>9</v>
      </c>
      <c r="N336">
        <f t="shared" si="5"/>
        <v>27</v>
      </c>
    </row>
    <row r="337" spans="1:14" x14ac:dyDescent="0.25">
      <c r="A337" t="s">
        <v>984</v>
      </c>
      <c r="B337" t="s">
        <v>1334</v>
      </c>
      <c r="C337">
        <f>VLOOKUP(B337,raw!A:K,11,0)</f>
        <v>94</v>
      </c>
      <c r="D337">
        <f>VLOOKUP(B337,raw!A:K,3,0)+VLOOKUP(B337,raw!A:K,7,0)</f>
        <v>71</v>
      </c>
      <c r="E337">
        <f>VLOOKUP(B337,raw!A:K,4,0)</f>
        <v>20</v>
      </c>
      <c r="F337">
        <f>VLOOKUP(B337,raw!A:K,5,0)</f>
        <v>0</v>
      </c>
      <c r="G337">
        <f>VLOOKUP(B337,raw!A:K,2,0)+VLOOKUP(B337,raw!A:K,10,0)</f>
        <v>0</v>
      </c>
      <c r="H337">
        <f>VLOOKUP(B337,raw!A:K,6,0)</f>
        <v>0</v>
      </c>
      <c r="I337">
        <f>VLOOKUP(B337,raw!A:K,9,0)</f>
        <v>3</v>
      </c>
      <c r="J337">
        <f>VLOOKUP(B337,raw!A:K,8,0)</f>
        <v>0</v>
      </c>
      <c r="K337">
        <f>_xlfn.IFNA(VLOOKUP(B337,TDK!A:C,2,0),0)</f>
        <v>21</v>
      </c>
      <c r="L337">
        <f>_xlfn.IFNA(VLOOKUP(B337,TDK!A:C,3,0),0)</f>
        <v>1</v>
      </c>
      <c r="M337">
        <f>_xlfn.IFNA(VLOOKUP(B337,TDK!F:G,2,0),0)</f>
        <v>11</v>
      </c>
      <c r="N337">
        <f t="shared" si="5"/>
        <v>33</v>
      </c>
    </row>
    <row r="338" spans="1:14" x14ac:dyDescent="0.25">
      <c r="A338" t="s">
        <v>984</v>
      </c>
      <c r="B338" t="s">
        <v>1335</v>
      </c>
      <c r="C338">
        <f>VLOOKUP(B338,raw!A:K,11,0)</f>
        <v>82</v>
      </c>
      <c r="D338">
        <f>VLOOKUP(B338,raw!A:K,3,0)+VLOOKUP(B338,raw!A:K,7,0)</f>
        <v>75</v>
      </c>
      <c r="E338">
        <f>VLOOKUP(B338,raw!A:K,4,0)</f>
        <v>1</v>
      </c>
      <c r="F338">
        <f>VLOOKUP(B338,raw!A:K,5,0)</f>
        <v>0</v>
      </c>
      <c r="G338">
        <f>VLOOKUP(B338,raw!A:K,2,0)+VLOOKUP(B338,raw!A:K,10,0)</f>
        <v>1</v>
      </c>
      <c r="H338">
        <f>VLOOKUP(B338,raw!A:K,6,0)</f>
        <v>0</v>
      </c>
      <c r="I338">
        <f>VLOOKUP(B338,raw!A:K,9,0)</f>
        <v>5</v>
      </c>
      <c r="J338">
        <f>VLOOKUP(B338,raw!A:K,8,0)</f>
        <v>0</v>
      </c>
      <c r="K338">
        <f>_xlfn.IFNA(VLOOKUP(B338,TDK!A:C,2,0),0)</f>
        <v>9</v>
      </c>
      <c r="L338">
        <f>_xlfn.IFNA(VLOOKUP(B338,TDK!A:C,3,0),0)</f>
        <v>1</v>
      </c>
      <c r="M338">
        <f>_xlfn.IFNA(VLOOKUP(B338,TDK!F:G,2,0),0)</f>
        <v>18</v>
      </c>
      <c r="N338">
        <f t="shared" si="5"/>
        <v>28</v>
      </c>
    </row>
    <row r="339" spans="1:14" x14ac:dyDescent="0.25">
      <c r="A339" t="s">
        <v>984</v>
      </c>
      <c r="B339" t="s">
        <v>1336</v>
      </c>
      <c r="C339">
        <f>VLOOKUP(B339,raw!A:K,11,0)</f>
        <v>58</v>
      </c>
      <c r="D339">
        <f>VLOOKUP(B339,raw!A:K,3,0)+VLOOKUP(B339,raw!A:K,7,0)</f>
        <v>0</v>
      </c>
      <c r="E339">
        <f>VLOOKUP(B339,raw!A:K,4,0)</f>
        <v>22</v>
      </c>
      <c r="F339">
        <f>VLOOKUP(B339,raw!A:K,5,0)</f>
        <v>0</v>
      </c>
      <c r="G339">
        <f>VLOOKUP(B339,raw!A:K,2,0)+VLOOKUP(B339,raw!A:K,10,0)</f>
        <v>4</v>
      </c>
      <c r="H339">
        <f>VLOOKUP(B339,raw!A:K,6,0)</f>
        <v>0</v>
      </c>
      <c r="I339">
        <f>VLOOKUP(B339,raw!A:K,9,0)</f>
        <v>32</v>
      </c>
      <c r="J339">
        <f>VLOOKUP(B339,raw!A:K,8,0)</f>
        <v>0</v>
      </c>
      <c r="K339">
        <f>_xlfn.IFNA(VLOOKUP(B339,TDK!A:C,2,0),0)</f>
        <v>10</v>
      </c>
      <c r="L339">
        <f>_xlfn.IFNA(VLOOKUP(B339,TDK!A:C,3,0),0)</f>
        <v>0</v>
      </c>
      <c r="M339">
        <f>_xlfn.IFNA(VLOOKUP(B339,TDK!F:G,2,0),0)</f>
        <v>2</v>
      </c>
      <c r="N339">
        <f t="shared" si="5"/>
        <v>12</v>
      </c>
    </row>
    <row r="340" spans="1:14" x14ac:dyDescent="0.25">
      <c r="A340" t="s">
        <v>984</v>
      </c>
      <c r="B340" t="s">
        <v>1337</v>
      </c>
      <c r="C340">
        <f>VLOOKUP(B340,raw!A:K,11,0)</f>
        <v>67</v>
      </c>
      <c r="D340">
        <f>VLOOKUP(B340,raw!A:K,3,0)+VLOOKUP(B340,raw!A:K,7,0)</f>
        <v>16</v>
      </c>
      <c r="E340">
        <f>VLOOKUP(B340,raw!A:K,4,0)</f>
        <v>19</v>
      </c>
      <c r="F340">
        <f>VLOOKUP(B340,raw!A:K,5,0)</f>
        <v>0</v>
      </c>
      <c r="G340">
        <f>VLOOKUP(B340,raw!A:K,2,0)+VLOOKUP(B340,raw!A:K,10,0)</f>
        <v>0</v>
      </c>
      <c r="H340">
        <f>VLOOKUP(B340,raw!A:K,6,0)</f>
        <v>0</v>
      </c>
      <c r="I340">
        <f>VLOOKUP(B340,raw!A:K,9,0)</f>
        <v>32</v>
      </c>
      <c r="J340">
        <f>VLOOKUP(B340,raw!A:K,8,0)</f>
        <v>0</v>
      </c>
      <c r="K340">
        <f>_xlfn.IFNA(VLOOKUP(B340,TDK!A:C,2,0),0)</f>
        <v>4</v>
      </c>
      <c r="L340">
        <f>_xlfn.IFNA(VLOOKUP(B340,TDK!A:C,3,0),0)</f>
        <v>0</v>
      </c>
      <c r="M340">
        <f>_xlfn.IFNA(VLOOKUP(B340,TDK!F:G,2,0),0)</f>
        <v>5</v>
      </c>
      <c r="N340">
        <f t="shared" si="5"/>
        <v>9</v>
      </c>
    </row>
    <row r="341" spans="1:14" x14ac:dyDescent="0.25">
      <c r="A341" t="s">
        <v>984</v>
      </c>
      <c r="B341" t="s">
        <v>1338</v>
      </c>
      <c r="C341">
        <f>VLOOKUP(B341,raw!A:K,11,0)</f>
        <v>72</v>
      </c>
      <c r="D341">
        <f>VLOOKUP(B341,raw!A:K,3,0)+VLOOKUP(B341,raw!A:K,7,0)</f>
        <v>23</v>
      </c>
      <c r="E341">
        <f>VLOOKUP(B341,raw!A:K,4,0)</f>
        <v>4</v>
      </c>
      <c r="F341">
        <f>VLOOKUP(B341,raw!A:K,5,0)</f>
        <v>0</v>
      </c>
      <c r="G341">
        <f>VLOOKUP(B341,raw!A:K,2,0)+VLOOKUP(B341,raw!A:K,10,0)</f>
        <v>1</v>
      </c>
      <c r="H341">
        <f>VLOOKUP(B341,raw!A:K,6,0)</f>
        <v>0</v>
      </c>
      <c r="I341">
        <f>VLOOKUP(B341,raw!A:K,9,0)</f>
        <v>44</v>
      </c>
      <c r="J341">
        <f>VLOOKUP(B341,raw!A:K,8,0)</f>
        <v>0</v>
      </c>
      <c r="K341">
        <f>_xlfn.IFNA(VLOOKUP(B341,TDK!A:C,2,0),0)</f>
        <v>12</v>
      </c>
      <c r="L341">
        <f>_xlfn.IFNA(VLOOKUP(B341,TDK!A:C,3,0),0)</f>
        <v>1</v>
      </c>
      <c r="M341">
        <f>_xlfn.IFNA(VLOOKUP(B341,TDK!F:G,2,0),0)</f>
        <v>5</v>
      </c>
      <c r="N341">
        <f t="shared" si="5"/>
        <v>18</v>
      </c>
    </row>
    <row r="342" spans="1:14" x14ac:dyDescent="0.25">
      <c r="A342" t="s">
        <v>984</v>
      </c>
      <c r="B342" t="s">
        <v>1339</v>
      </c>
      <c r="C342">
        <f>VLOOKUP(B342,raw!A:K,11,0)</f>
        <v>31</v>
      </c>
      <c r="D342">
        <f>VLOOKUP(B342,raw!A:K,3,0)+VLOOKUP(B342,raw!A:K,7,0)</f>
        <v>27</v>
      </c>
      <c r="E342">
        <f>VLOOKUP(B342,raw!A:K,4,0)</f>
        <v>0</v>
      </c>
      <c r="F342">
        <f>VLOOKUP(B342,raw!A:K,5,0)</f>
        <v>0</v>
      </c>
      <c r="G342">
        <f>VLOOKUP(B342,raw!A:K,2,0)+VLOOKUP(B342,raw!A:K,10,0)</f>
        <v>0</v>
      </c>
      <c r="H342">
        <f>VLOOKUP(B342,raw!A:K,6,0)</f>
        <v>0</v>
      </c>
      <c r="I342">
        <f>VLOOKUP(B342,raw!A:K,9,0)</f>
        <v>4</v>
      </c>
      <c r="J342">
        <f>VLOOKUP(B342,raw!A:K,8,0)</f>
        <v>0</v>
      </c>
      <c r="K342">
        <f>_xlfn.IFNA(VLOOKUP(B342,TDK!A:C,2,0),0)</f>
        <v>15</v>
      </c>
      <c r="L342">
        <f>_xlfn.IFNA(VLOOKUP(B342,TDK!A:C,3,0),0)</f>
        <v>1</v>
      </c>
      <c r="M342">
        <f>_xlfn.IFNA(VLOOKUP(B342,TDK!F:G,2,0),0)</f>
        <v>2</v>
      </c>
      <c r="N342">
        <f t="shared" si="5"/>
        <v>18</v>
      </c>
    </row>
    <row r="343" spans="1:14" x14ac:dyDescent="0.25">
      <c r="A343" t="s">
        <v>984</v>
      </c>
      <c r="B343" t="s">
        <v>1340</v>
      </c>
      <c r="C343">
        <f>VLOOKUP(B343,raw!A:K,11,0)</f>
        <v>37</v>
      </c>
      <c r="D343">
        <f>VLOOKUP(B343,raw!A:K,3,0)+VLOOKUP(B343,raw!A:K,7,0)</f>
        <v>36</v>
      </c>
      <c r="E343">
        <f>VLOOKUP(B343,raw!A:K,4,0)</f>
        <v>0</v>
      </c>
      <c r="F343">
        <f>VLOOKUP(B343,raw!A:K,5,0)</f>
        <v>0</v>
      </c>
      <c r="G343">
        <f>VLOOKUP(B343,raw!A:K,2,0)+VLOOKUP(B343,raw!A:K,10,0)</f>
        <v>0</v>
      </c>
      <c r="H343">
        <f>VLOOKUP(B343,raw!A:K,6,0)</f>
        <v>0</v>
      </c>
      <c r="I343">
        <f>VLOOKUP(B343,raw!A:K,9,0)</f>
        <v>1</v>
      </c>
      <c r="J343">
        <f>VLOOKUP(B343,raw!A:K,8,0)</f>
        <v>0</v>
      </c>
      <c r="K343">
        <f>_xlfn.IFNA(VLOOKUP(B343,TDK!A:C,2,0),0)</f>
        <v>20</v>
      </c>
      <c r="L343">
        <f>_xlfn.IFNA(VLOOKUP(B343,TDK!A:C,3,0),0)</f>
        <v>0</v>
      </c>
      <c r="M343">
        <f>_xlfn.IFNA(VLOOKUP(B343,TDK!F:G,2,0),0)</f>
        <v>3</v>
      </c>
      <c r="N343">
        <f t="shared" si="5"/>
        <v>23</v>
      </c>
    </row>
    <row r="344" spans="1:14" x14ac:dyDescent="0.25">
      <c r="A344" t="s">
        <v>984</v>
      </c>
      <c r="B344" t="s">
        <v>1341</v>
      </c>
      <c r="C344">
        <f>VLOOKUP(B344,raw!A:K,11,0)</f>
        <v>2</v>
      </c>
      <c r="D344">
        <f>VLOOKUP(B344,raw!A:K,3,0)+VLOOKUP(B344,raw!A:K,7,0)</f>
        <v>0</v>
      </c>
      <c r="E344">
        <f>VLOOKUP(B344,raw!A:K,4,0)</f>
        <v>1</v>
      </c>
      <c r="F344">
        <f>VLOOKUP(B344,raw!A:K,5,0)</f>
        <v>0</v>
      </c>
      <c r="G344">
        <f>VLOOKUP(B344,raw!A:K,2,0)+VLOOKUP(B344,raw!A:K,10,0)</f>
        <v>1</v>
      </c>
      <c r="H344">
        <f>VLOOKUP(B344,raw!A:K,6,0)</f>
        <v>0</v>
      </c>
      <c r="I344">
        <f>VLOOKUP(B344,raw!A:K,9,0)</f>
        <v>0</v>
      </c>
      <c r="J344">
        <f>VLOOKUP(B344,raw!A:K,8,0)</f>
        <v>0</v>
      </c>
      <c r="K344">
        <f>_xlfn.IFNA(VLOOKUP(B344,TDK!A:C,2,0),0)</f>
        <v>0</v>
      </c>
      <c r="L344">
        <f>_xlfn.IFNA(VLOOKUP(B344,TDK!A:C,3,0),0)</f>
        <v>0</v>
      </c>
      <c r="M344">
        <f>_xlfn.IFNA(VLOOKUP(B344,TDK!F:G,2,0),0)</f>
        <v>0</v>
      </c>
      <c r="N344">
        <f t="shared" si="5"/>
        <v>0</v>
      </c>
    </row>
    <row r="345" spans="1:14" x14ac:dyDescent="0.25">
      <c r="A345" t="s">
        <v>984</v>
      </c>
      <c r="B345" t="s">
        <v>1342</v>
      </c>
      <c r="C345">
        <f>VLOOKUP(B345,raw!A:K,11,0)</f>
        <v>10</v>
      </c>
      <c r="D345">
        <f>VLOOKUP(B345,raw!A:K,3,0)+VLOOKUP(B345,raw!A:K,7,0)</f>
        <v>0</v>
      </c>
      <c r="E345">
        <f>VLOOKUP(B345,raw!A:K,4,0)</f>
        <v>3</v>
      </c>
      <c r="F345">
        <f>VLOOKUP(B345,raw!A:K,5,0)</f>
        <v>0</v>
      </c>
      <c r="G345">
        <f>VLOOKUP(B345,raw!A:K,2,0)+VLOOKUP(B345,raw!A:K,10,0)</f>
        <v>0</v>
      </c>
      <c r="H345">
        <f>VLOOKUP(B345,raw!A:K,6,0)</f>
        <v>0</v>
      </c>
      <c r="I345">
        <f>VLOOKUP(B345,raw!A:K,9,0)</f>
        <v>7</v>
      </c>
      <c r="J345">
        <f>VLOOKUP(B345,raw!A:K,8,0)</f>
        <v>0</v>
      </c>
      <c r="K345">
        <f>_xlfn.IFNA(VLOOKUP(B345,TDK!A:C,2,0),0)</f>
        <v>1</v>
      </c>
      <c r="L345">
        <f>_xlfn.IFNA(VLOOKUP(B345,TDK!A:C,3,0),0)</f>
        <v>0</v>
      </c>
      <c r="M345">
        <f>_xlfn.IFNA(VLOOKUP(B345,TDK!F:G,2,0),0)</f>
        <v>4</v>
      </c>
      <c r="N345">
        <f t="shared" si="5"/>
        <v>5</v>
      </c>
    </row>
    <row r="346" spans="1:14" x14ac:dyDescent="0.25">
      <c r="A346" t="s">
        <v>47</v>
      </c>
      <c r="B346" t="s">
        <v>1343</v>
      </c>
      <c r="C346">
        <f>VLOOKUP(B346,raw!A:K,11,0)</f>
        <v>162</v>
      </c>
      <c r="D346">
        <f>VLOOKUP(B346,raw!A:K,3,0)+VLOOKUP(B346,raw!A:K,7,0)</f>
        <v>67</v>
      </c>
      <c r="E346">
        <f>VLOOKUP(B346,raw!A:K,4,0)</f>
        <v>1</v>
      </c>
      <c r="F346">
        <f>VLOOKUP(B346,raw!A:K,5,0)</f>
        <v>0</v>
      </c>
      <c r="G346">
        <f>VLOOKUP(B346,raw!A:K,2,0)+VLOOKUP(B346,raw!A:K,10,0)</f>
        <v>0</v>
      </c>
      <c r="H346">
        <f>VLOOKUP(B346,raw!A:K,6,0)</f>
        <v>1</v>
      </c>
      <c r="I346">
        <f>VLOOKUP(B346,raw!A:K,9,0)</f>
        <v>93</v>
      </c>
      <c r="J346">
        <f>VLOOKUP(B346,raw!A:K,8,0)</f>
        <v>0</v>
      </c>
      <c r="K346">
        <f>_xlfn.IFNA(VLOOKUP(B346,TDK!A:C,2,0),0)</f>
        <v>27</v>
      </c>
      <c r="L346">
        <f>_xlfn.IFNA(VLOOKUP(B346,TDK!A:C,3,0),0)</f>
        <v>16</v>
      </c>
      <c r="M346">
        <f>_xlfn.IFNA(VLOOKUP(B346,TDK!F:G,2,0),0)</f>
        <v>30</v>
      </c>
      <c r="N346">
        <f t="shared" si="5"/>
        <v>73</v>
      </c>
    </row>
    <row r="347" spans="1:14" x14ac:dyDescent="0.25">
      <c r="A347" t="s">
        <v>47</v>
      </c>
      <c r="B347" t="s">
        <v>1344</v>
      </c>
      <c r="C347">
        <f>VLOOKUP(B347,raw!A:K,11,0)</f>
        <v>166</v>
      </c>
      <c r="D347">
        <f>VLOOKUP(B347,raw!A:K,3,0)+VLOOKUP(B347,raw!A:K,7,0)</f>
        <v>39</v>
      </c>
      <c r="E347">
        <f>VLOOKUP(B347,raw!A:K,4,0)</f>
        <v>1</v>
      </c>
      <c r="F347">
        <f>VLOOKUP(B347,raw!A:K,5,0)</f>
        <v>0</v>
      </c>
      <c r="G347">
        <f>VLOOKUP(B347,raw!A:K,2,0)+VLOOKUP(B347,raw!A:K,10,0)</f>
        <v>37</v>
      </c>
      <c r="H347">
        <f>VLOOKUP(B347,raw!A:K,6,0)</f>
        <v>1</v>
      </c>
      <c r="I347">
        <f>VLOOKUP(B347,raw!A:K,9,0)</f>
        <v>88</v>
      </c>
      <c r="J347">
        <f>VLOOKUP(B347,raw!A:K,8,0)</f>
        <v>0</v>
      </c>
      <c r="K347">
        <f>_xlfn.IFNA(VLOOKUP(B347,TDK!A:C,2,0),0)</f>
        <v>57</v>
      </c>
      <c r="L347">
        <f>_xlfn.IFNA(VLOOKUP(B347,TDK!A:C,3,0),0)</f>
        <v>0</v>
      </c>
      <c r="M347">
        <f>_xlfn.IFNA(VLOOKUP(B347,TDK!F:G,2,0),0)</f>
        <v>34</v>
      </c>
      <c r="N347">
        <f t="shared" si="5"/>
        <v>91</v>
      </c>
    </row>
    <row r="348" spans="1:14" x14ac:dyDescent="0.25">
      <c r="A348" t="s">
        <v>47</v>
      </c>
      <c r="B348" t="s">
        <v>1345</v>
      </c>
      <c r="C348">
        <f>VLOOKUP(B348,raw!A:K,11,0)</f>
        <v>232</v>
      </c>
      <c r="D348">
        <f>VLOOKUP(B348,raw!A:K,3,0)+VLOOKUP(B348,raw!A:K,7,0)</f>
        <v>64</v>
      </c>
      <c r="E348">
        <f>VLOOKUP(B348,raw!A:K,4,0)</f>
        <v>4</v>
      </c>
      <c r="F348">
        <f>VLOOKUP(B348,raw!A:K,5,0)</f>
        <v>0</v>
      </c>
      <c r="G348">
        <f>VLOOKUP(B348,raw!A:K,2,0)+VLOOKUP(B348,raw!A:K,10,0)</f>
        <v>1</v>
      </c>
      <c r="H348">
        <f>VLOOKUP(B348,raw!A:K,6,0)</f>
        <v>0</v>
      </c>
      <c r="I348">
        <f>VLOOKUP(B348,raw!A:K,9,0)</f>
        <v>162</v>
      </c>
      <c r="J348">
        <f>VLOOKUP(B348,raw!A:K,8,0)</f>
        <v>1</v>
      </c>
      <c r="K348">
        <f>_xlfn.IFNA(VLOOKUP(B348,TDK!A:C,2,0),0)</f>
        <v>48</v>
      </c>
      <c r="L348">
        <f>_xlfn.IFNA(VLOOKUP(B348,TDK!A:C,3,0),0)</f>
        <v>3</v>
      </c>
      <c r="M348">
        <f>_xlfn.IFNA(VLOOKUP(B348,TDK!F:G,2,0),0)</f>
        <v>48</v>
      </c>
      <c r="N348">
        <f t="shared" si="5"/>
        <v>99</v>
      </c>
    </row>
    <row r="349" spans="1:14" x14ac:dyDescent="0.25">
      <c r="A349" t="s">
        <v>47</v>
      </c>
      <c r="B349" t="s">
        <v>1346</v>
      </c>
      <c r="C349">
        <f>VLOOKUP(B349,raw!A:K,11,0)</f>
        <v>121</v>
      </c>
      <c r="D349">
        <f>VLOOKUP(B349,raw!A:K,3,0)+VLOOKUP(B349,raw!A:K,7,0)</f>
        <v>43</v>
      </c>
      <c r="E349">
        <f>VLOOKUP(B349,raw!A:K,4,0)</f>
        <v>4</v>
      </c>
      <c r="F349">
        <f>VLOOKUP(B349,raw!A:K,5,0)</f>
        <v>0</v>
      </c>
      <c r="G349">
        <f>VLOOKUP(B349,raw!A:K,2,0)+VLOOKUP(B349,raw!A:K,10,0)</f>
        <v>0</v>
      </c>
      <c r="H349">
        <f>VLOOKUP(B349,raw!A:K,6,0)</f>
        <v>0</v>
      </c>
      <c r="I349">
        <f>VLOOKUP(B349,raw!A:K,9,0)</f>
        <v>74</v>
      </c>
      <c r="J349">
        <f>VLOOKUP(B349,raw!A:K,8,0)</f>
        <v>0</v>
      </c>
      <c r="K349">
        <f>_xlfn.IFNA(VLOOKUP(B349,TDK!A:C,2,0),0)</f>
        <v>27</v>
      </c>
      <c r="L349">
        <f>_xlfn.IFNA(VLOOKUP(B349,TDK!A:C,3,0),0)</f>
        <v>7</v>
      </c>
      <c r="M349">
        <f>_xlfn.IFNA(VLOOKUP(B349,TDK!F:G,2,0),0)</f>
        <v>26</v>
      </c>
      <c r="N349">
        <f t="shared" si="5"/>
        <v>60</v>
      </c>
    </row>
    <row r="350" spans="1:14" x14ac:dyDescent="0.25">
      <c r="A350" t="s">
        <v>48</v>
      </c>
      <c r="B350" t="s">
        <v>1347</v>
      </c>
      <c r="C350">
        <f>VLOOKUP(B350,raw!A:K,11,0)</f>
        <v>111</v>
      </c>
      <c r="D350">
        <f>VLOOKUP(B350,raw!A:K,3,0)+VLOOKUP(B350,raw!A:K,7,0)</f>
        <v>97</v>
      </c>
      <c r="E350">
        <f>VLOOKUP(B350,raw!A:K,4,0)</f>
        <v>0</v>
      </c>
      <c r="F350">
        <f>VLOOKUP(B350,raw!A:K,5,0)</f>
        <v>0</v>
      </c>
      <c r="G350">
        <f>VLOOKUP(B350,raw!A:K,2,0)+VLOOKUP(B350,raw!A:K,10,0)</f>
        <v>0</v>
      </c>
      <c r="H350">
        <f>VLOOKUP(B350,raw!A:K,6,0)</f>
        <v>0</v>
      </c>
      <c r="I350">
        <f>VLOOKUP(B350,raw!A:K,9,0)</f>
        <v>14</v>
      </c>
      <c r="J350">
        <f>VLOOKUP(B350,raw!A:K,8,0)</f>
        <v>0</v>
      </c>
      <c r="K350">
        <f>_xlfn.IFNA(VLOOKUP(B350,TDK!A:C,2,0),0)</f>
        <v>29</v>
      </c>
      <c r="L350">
        <f>_xlfn.IFNA(VLOOKUP(B350,TDK!A:C,3,0),0)</f>
        <v>1</v>
      </c>
      <c r="M350">
        <f>_xlfn.IFNA(VLOOKUP(B350,TDK!F:G,2,0),0)</f>
        <v>17</v>
      </c>
      <c r="N350">
        <f t="shared" si="5"/>
        <v>47</v>
      </c>
    </row>
    <row r="351" spans="1:14" x14ac:dyDescent="0.25">
      <c r="A351" t="s">
        <v>47</v>
      </c>
      <c r="B351" t="s">
        <v>1348</v>
      </c>
      <c r="C351">
        <f>VLOOKUP(B351,raw!A:K,11,0)</f>
        <v>196</v>
      </c>
      <c r="D351">
        <f>VLOOKUP(B351,raw!A:K,3,0)+VLOOKUP(B351,raw!A:K,7,0)</f>
        <v>121</v>
      </c>
      <c r="E351">
        <f>VLOOKUP(B351,raw!A:K,4,0)</f>
        <v>2</v>
      </c>
      <c r="F351">
        <f>VLOOKUP(B351,raw!A:K,5,0)</f>
        <v>0</v>
      </c>
      <c r="G351">
        <f>VLOOKUP(B351,raw!A:K,2,0)+VLOOKUP(B351,raw!A:K,10,0)</f>
        <v>3</v>
      </c>
      <c r="H351">
        <f>VLOOKUP(B351,raw!A:K,6,0)</f>
        <v>0</v>
      </c>
      <c r="I351">
        <f>VLOOKUP(B351,raw!A:K,9,0)</f>
        <v>70</v>
      </c>
      <c r="J351">
        <f>VLOOKUP(B351,raw!A:K,8,0)</f>
        <v>0</v>
      </c>
      <c r="K351">
        <f>_xlfn.IFNA(VLOOKUP(B351,TDK!A:C,2,0),0)</f>
        <v>76</v>
      </c>
      <c r="L351">
        <f>_xlfn.IFNA(VLOOKUP(B351,TDK!A:C,3,0),0)</f>
        <v>3</v>
      </c>
      <c r="M351">
        <f>_xlfn.IFNA(VLOOKUP(B351,TDK!F:G,2,0),0)</f>
        <v>26</v>
      </c>
      <c r="N351">
        <f t="shared" si="5"/>
        <v>105</v>
      </c>
    </row>
    <row r="352" spans="1:14" x14ac:dyDescent="0.25">
      <c r="A352" t="s">
        <v>48</v>
      </c>
      <c r="B352" t="s">
        <v>1349</v>
      </c>
      <c r="C352">
        <f>VLOOKUP(B352,raw!A:K,11,0)</f>
        <v>192</v>
      </c>
      <c r="D352">
        <f>VLOOKUP(B352,raw!A:K,3,0)+VLOOKUP(B352,raw!A:K,7,0)</f>
        <v>175</v>
      </c>
      <c r="E352">
        <f>VLOOKUP(B352,raw!A:K,4,0)</f>
        <v>0</v>
      </c>
      <c r="F352">
        <f>VLOOKUP(B352,raw!A:K,5,0)</f>
        <v>0</v>
      </c>
      <c r="G352">
        <f>VLOOKUP(B352,raw!A:K,2,0)+VLOOKUP(B352,raw!A:K,10,0)</f>
        <v>1</v>
      </c>
      <c r="H352">
        <f>VLOOKUP(B352,raw!A:K,6,0)</f>
        <v>0</v>
      </c>
      <c r="I352">
        <f>VLOOKUP(B352,raw!A:K,9,0)</f>
        <v>16</v>
      </c>
      <c r="J352">
        <f>VLOOKUP(B352,raw!A:K,8,0)</f>
        <v>0</v>
      </c>
      <c r="K352">
        <f>_xlfn.IFNA(VLOOKUP(B352,TDK!A:C,2,0),0)</f>
        <v>38</v>
      </c>
      <c r="L352">
        <f>_xlfn.IFNA(VLOOKUP(B352,TDK!A:C,3,0),0)</f>
        <v>3</v>
      </c>
      <c r="M352">
        <f>_xlfn.IFNA(VLOOKUP(B352,TDK!F:G,2,0),0)</f>
        <v>39</v>
      </c>
      <c r="N352">
        <f t="shared" si="5"/>
        <v>80</v>
      </c>
    </row>
    <row r="353" spans="1:14" x14ac:dyDescent="0.25">
      <c r="A353" t="s">
        <v>34</v>
      </c>
      <c r="B353" t="s">
        <v>1350</v>
      </c>
      <c r="C353">
        <f>VLOOKUP(B353,raw!A:K,11,0)</f>
        <v>69</v>
      </c>
      <c r="D353">
        <f>VLOOKUP(B353,raw!A:K,3,0)+VLOOKUP(B353,raw!A:K,7,0)</f>
        <v>64</v>
      </c>
      <c r="E353">
        <f>VLOOKUP(B353,raw!A:K,4,0)</f>
        <v>1</v>
      </c>
      <c r="F353">
        <f>VLOOKUP(B353,raw!A:K,5,0)</f>
        <v>0</v>
      </c>
      <c r="G353">
        <f>VLOOKUP(B353,raw!A:K,2,0)+VLOOKUP(B353,raw!A:K,10,0)</f>
        <v>0</v>
      </c>
      <c r="H353">
        <f>VLOOKUP(B353,raw!A:K,6,0)</f>
        <v>0</v>
      </c>
      <c r="I353">
        <f>VLOOKUP(B353,raw!A:K,9,0)</f>
        <v>4</v>
      </c>
      <c r="J353">
        <f>VLOOKUP(B353,raw!A:K,8,0)</f>
        <v>0</v>
      </c>
      <c r="K353">
        <f>_xlfn.IFNA(VLOOKUP(B353,TDK!A:C,2,0),0)</f>
        <v>25</v>
      </c>
      <c r="L353">
        <f>_xlfn.IFNA(VLOOKUP(B353,TDK!A:C,3,0),0)</f>
        <v>8</v>
      </c>
      <c r="M353">
        <f>_xlfn.IFNA(VLOOKUP(B353,TDK!F:G,2,0),0)</f>
        <v>0</v>
      </c>
      <c r="N353">
        <f t="shared" si="5"/>
        <v>33</v>
      </c>
    </row>
    <row r="354" spans="1:14" x14ac:dyDescent="0.25">
      <c r="A354" t="s">
        <v>48</v>
      </c>
      <c r="B354" t="s">
        <v>1351</v>
      </c>
      <c r="C354">
        <f>VLOOKUP(B354,raw!A:K,11,0)</f>
        <v>171</v>
      </c>
      <c r="D354">
        <f>VLOOKUP(B354,raw!A:K,3,0)+VLOOKUP(B354,raw!A:K,7,0)</f>
        <v>65</v>
      </c>
      <c r="E354">
        <f>VLOOKUP(B354,raw!A:K,4,0)</f>
        <v>0</v>
      </c>
      <c r="F354">
        <f>VLOOKUP(B354,raw!A:K,5,0)</f>
        <v>0</v>
      </c>
      <c r="G354">
        <f>VLOOKUP(B354,raw!A:K,2,0)+VLOOKUP(B354,raw!A:K,10,0)</f>
        <v>0</v>
      </c>
      <c r="H354">
        <f>VLOOKUP(B354,raw!A:K,6,0)</f>
        <v>0</v>
      </c>
      <c r="I354">
        <f>VLOOKUP(B354,raw!A:K,9,0)</f>
        <v>106</v>
      </c>
      <c r="J354">
        <f>VLOOKUP(B354,raw!A:K,8,0)</f>
        <v>0</v>
      </c>
      <c r="K354">
        <f>_xlfn.IFNA(VLOOKUP(B354,TDK!A:C,2,0),0)</f>
        <v>21</v>
      </c>
      <c r="L354">
        <f>_xlfn.IFNA(VLOOKUP(B354,TDK!A:C,3,0),0)</f>
        <v>4</v>
      </c>
      <c r="M354">
        <f>_xlfn.IFNA(VLOOKUP(B354,TDK!F:G,2,0),0)</f>
        <v>53</v>
      </c>
      <c r="N354">
        <f t="shared" si="5"/>
        <v>78</v>
      </c>
    </row>
    <row r="355" spans="1:14" x14ac:dyDescent="0.25">
      <c r="A355" t="s">
        <v>48</v>
      </c>
      <c r="B355" t="s">
        <v>1352</v>
      </c>
      <c r="C355">
        <f>VLOOKUP(B355,raw!A:K,11,0)</f>
        <v>84</v>
      </c>
      <c r="D355">
        <f>VLOOKUP(B355,raw!A:K,3,0)+VLOOKUP(B355,raw!A:K,7,0)</f>
        <v>61</v>
      </c>
      <c r="E355">
        <f>VLOOKUP(B355,raw!A:K,4,0)</f>
        <v>0</v>
      </c>
      <c r="F355">
        <f>VLOOKUP(B355,raw!A:K,5,0)</f>
        <v>0</v>
      </c>
      <c r="G355">
        <f>VLOOKUP(B355,raw!A:K,2,0)+VLOOKUP(B355,raw!A:K,10,0)</f>
        <v>0</v>
      </c>
      <c r="H355">
        <f>VLOOKUP(B355,raw!A:K,6,0)</f>
        <v>0</v>
      </c>
      <c r="I355">
        <f>VLOOKUP(B355,raw!A:K,9,0)</f>
        <v>23</v>
      </c>
      <c r="J355">
        <f>VLOOKUP(B355,raw!A:K,8,0)</f>
        <v>0</v>
      </c>
      <c r="K355">
        <f>_xlfn.IFNA(VLOOKUP(B355,TDK!A:C,2,0),0)</f>
        <v>17</v>
      </c>
      <c r="L355">
        <f>_xlfn.IFNA(VLOOKUP(B355,TDK!A:C,3,0),0)</f>
        <v>3</v>
      </c>
      <c r="M355">
        <f>_xlfn.IFNA(VLOOKUP(B355,TDK!F:G,2,0),0)</f>
        <v>8</v>
      </c>
      <c r="N355">
        <f t="shared" si="5"/>
        <v>28</v>
      </c>
    </row>
    <row r="356" spans="1:14" x14ac:dyDescent="0.25">
      <c r="A356" t="s">
        <v>48</v>
      </c>
      <c r="B356" t="s">
        <v>1353</v>
      </c>
      <c r="C356">
        <f>VLOOKUP(B356,raw!A:K,11,0)</f>
        <v>218</v>
      </c>
      <c r="D356">
        <f>VLOOKUP(B356,raw!A:K,3,0)+VLOOKUP(B356,raw!A:K,7,0)</f>
        <v>179</v>
      </c>
      <c r="E356">
        <f>VLOOKUP(B356,raw!A:K,4,0)</f>
        <v>0</v>
      </c>
      <c r="F356">
        <f>VLOOKUP(B356,raw!A:K,5,0)</f>
        <v>0</v>
      </c>
      <c r="G356">
        <f>VLOOKUP(B356,raw!A:K,2,0)+VLOOKUP(B356,raw!A:K,10,0)</f>
        <v>0</v>
      </c>
      <c r="H356">
        <f>VLOOKUP(B356,raw!A:K,6,0)</f>
        <v>0</v>
      </c>
      <c r="I356">
        <f>VLOOKUP(B356,raw!A:K,9,0)</f>
        <v>39</v>
      </c>
      <c r="J356">
        <f>VLOOKUP(B356,raw!A:K,8,0)</f>
        <v>0</v>
      </c>
      <c r="K356">
        <f>_xlfn.IFNA(VLOOKUP(B356,TDK!A:C,2,0),0)</f>
        <v>35</v>
      </c>
      <c r="L356">
        <f>_xlfn.IFNA(VLOOKUP(B356,TDK!A:C,3,0),0)</f>
        <v>8</v>
      </c>
      <c r="M356">
        <f>_xlfn.IFNA(VLOOKUP(B356,TDK!F:G,2,0),0)</f>
        <v>16</v>
      </c>
      <c r="N356">
        <f t="shared" si="5"/>
        <v>59</v>
      </c>
    </row>
    <row r="357" spans="1:14" x14ac:dyDescent="0.25">
      <c r="A357" t="s">
        <v>48</v>
      </c>
      <c r="B357" t="s">
        <v>1354</v>
      </c>
      <c r="C357">
        <f>VLOOKUP(B357,raw!A:K,11,0)</f>
        <v>241</v>
      </c>
      <c r="D357">
        <f>VLOOKUP(B357,raw!A:K,3,0)+VLOOKUP(B357,raw!A:K,7,0)</f>
        <v>209</v>
      </c>
      <c r="E357">
        <f>VLOOKUP(B357,raw!A:K,4,0)</f>
        <v>1</v>
      </c>
      <c r="F357">
        <f>VLOOKUP(B357,raw!A:K,5,0)</f>
        <v>0</v>
      </c>
      <c r="G357">
        <f>VLOOKUP(B357,raw!A:K,2,0)+VLOOKUP(B357,raw!A:K,10,0)</f>
        <v>0</v>
      </c>
      <c r="H357">
        <f>VLOOKUP(B357,raw!A:K,6,0)</f>
        <v>3</v>
      </c>
      <c r="I357">
        <f>VLOOKUP(B357,raw!A:K,9,0)</f>
        <v>28</v>
      </c>
      <c r="J357">
        <f>VLOOKUP(B357,raw!A:K,8,0)</f>
        <v>0</v>
      </c>
      <c r="K357">
        <f>_xlfn.IFNA(VLOOKUP(B357,TDK!A:C,2,0),0)</f>
        <v>43</v>
      </c>
      <c r="L357">
        <f>_xlfn.IFNA(VLOOKUP(B357,TDK!A:C,3,0),0)</f>
        <v>5</v>
      </c>
      <c r="M357">
        <f>_xlfn.IFNA(VLOOKUP(B357,TDK!F:G,2,0),0)</f>
        <v>45</v>
      </c>
      <c r="N357">
        <f t="shared" si="5"/>
        <v>93</v>
      </c>
    </row>
    <row r="358" spans="1:14" x14ac:dyDescent="0.25">
      <c r="A358" t="s">
        <v>42</v>
      </c>
      <c r="B358" t="s">
        <v>1355</v>
      </c>
      <c r="C358">
        <f>VLOOKUP(B358,raw!A:K,11,0)</f>
        <v>223</v>
      </c>
      <c r="D358">
        <f>VLOOKUP(B358,raw!A:K,3,0)+VLOOKUP(B358,raw!A:K,7,0)</f>
        <v>71</v>
      </c>
      <c r="E358">
        <f>VLOOKUP(B358,raw!A:K,4,0)</f>
        <v>3</v>
      </c>
      <c r="F358">
        <f>VLOOKUP(B358,raw!A:K,5,0)</f>
        <v>0</v>
      </c>
      <c r="G358">
        <f>VLOOKUP(B358,raw!A:K,2,0)+VLOOKUP(B358,raw!A:K,10,0)</f>
        <v>0</v>
      </c>
      <c r="H358">
        <f>VLOOKUP(B358,raw!A:K,6,0)</f>
        <v>0</v>
      </c>
      <c r="I358">
        <f>VLOOKUP(B358,raw!A:K,9,0)</f>
        <v>149</v>
      </c>
      <c r="J358">
        <f>VLOOKUP(B358,raw!A:K,8,0)</f>
        <v>0</v>
      </c>
      <c r="K358">
        <f>_xlfn.IFNA(VLOOKUP(B358,TDK!A:C,2,0),0)</f>
        <v>40</v>
      </c>
      <c r="L358">
        <f>_xlfn.IFNA(VLOOKUP(B358,TDK!A:C,3,0),0)</f>
        <v>5</v>
      </c>
      <c r="M358">
        <f>_xlfn.IFNA(VLOOKUP(B358,TDK!F:G,2,0),0)</f>
        <v>20</v>
      </c>
      <c r="N358">
        <f t="shared" si="5"/>
        <v>65</v>
      </c>
    </row>
    <row r="359" spans="1:14" x14ac:dyDescent="0.25">
      <c r="A359" t="s">
        <v>42</v>
      </c>
      <c r="B359" t="s">
        <v>1356</v>
      </c>
      <c r="C359">
        <f>VLOOKUP(B359,raw!A:K,11,0)</f>
        <v>132</v>
      </c>
      <c r="D359">
        <f>VLOOKUP(B359,raw!A:K,3,0)+VLOOKUP(B359,raw!A:K,7,0)</f>
        <v>89</v>
      </c>
      <c r="E359">
        <f>VLOOKUP(B359,raw!A:K,4,0)</f>
        <v>1</v>
      </c>
      <c r="F359">
        <f>VLOOKUP(B359,raw!A:K,5,0)</f>
        <v>0</v>
      </c>
      <c r="G359">
        <f>VLOOKUP(B359,raw!A:K,2,0)+VLOOKUP(B359,raw!A:K,10,0)</f>
        <v>0</v>
      </c>
      <c r="H359">
        <f>VLOOKUP(B359,raw!A:K,6,0)</f>
        <v>0</v>
      </c>
      <c r="I359">
        <f>VLOOKUP(B359,raw!A:K,9,0)</f>
        <v>42</v>
      </c>
      <c r="J359">
        <f>VLOOKUP(B359,raw!A:K,8,0)</f>
        <v>0</v>
      </c>
      <c r="K359">
        <f>_xlfn.IFNA(VLOOKUP(B359,TDK!A:C,2,0),0)</f>
        <v>37</v>
      </c>
      <c r="L359">
        <f>_xlfn.IFNA(VLOOKUP(B359,TDK!A:C,3,0),0)</f>
        <v>4</v>
      </c>
      <c r="M359">
        <f>_xlfn.IFNA(VLOOKUP(B359,TDK!F:G,2,0),0)</f>
        <v>20</v>
      </c>
      <c r="N359">
        <f t="shared" si="5"/>
        <v>61</v>
      </c>
    </row>
    <row r="360" spans="1:14" x14ac:dyDescent="0.25">
      <c r="A360" t="s">
        <v>42</v>
      </c>
      <c r="B360" t="s">
        <v>1357</v>
      </c>
      <c r="C360">
        <f>VLOOKUP(B360,raw!A:K,11,0)</f>
        <v>96</v>
      </c>
      <c r="D360">
        <f>VLOOKUP(B360,raw!A:K,3,0)+VLOOKUP(B360,raw!A:K,7,0)</f>
        <v>90</v>
      </c>
      <c r="E360">
        <f>VLOOKUP(B360,raw!A:K,4,0)</f>
        <v>0</v>
      </c>
      <c r="F360">
        <f>VLOOKUP(B360,raw!A:K,5,0)</f>
        <v>0</v>
      </c>
      <c r="G360">
        <f>VLOOKUP(B360,raw!A:K,2,0)+VLOOKUP(B360,raw!A:K,10,0)</f>
        <v>0</v>
      </c>
      <c r="H360">
        <f>VLOOKUP(B360,raw!A:K,6,0)</f>
        <v>0</v>
      </c>
      <c r="I360">
        <f>VLOOKUP(B360,raw!A:K,9,0)</f>
        <v>6</v>
      </c>
      <c r="J360">
        <f>VLOOKUP(B360,raw!A:K,8,0)</f>
        <v>0</v>
      </c>
      <c r="K360">
        <f>_xlfn.IFNA(VLOOKUP(B360,TDK!A:C,2,0),0)</f>
        <v>25</v>
      </c>
      <c r="L360">
        <f>_xlfn.IFNA(VLOOKUP(B360,TDK!A:C,3,0),0)</f>
        <v>1</v>
      </c>
      <c r="M360">
        <f>_xlfn.IFNA(VLOOKUP(B360,TDK!F:G,2,0),0)</f>
        <v>16</v>
      </c>
      <c r="N360">
        <f t="shared" si="5"/>
        <v>42</v>
      </c>
    </row>
    <row r="361" spans="1:14" x14ac:dyDescent="0.25">
      <c r="A361" t="s">
        <v>42</v>
      </c>
      <c r="B361" t="s">
        <v>1358</v>
      </c>
      <c r="C361">
        <f>VLOOKUP(B361,raw!A:K,11,0)</f>
        <v>118</v>
      </c>
      <c r="D361">
        <f>VLOOKUP(B361,raw!A:K,3,0)+VLOOKUP(B361,raw!A:K,7,0)</f>
        <v>118</v>
      </c>
      <c r="E361">
        <f>VLOOKUP(B361,raw!A:K,4,0)</f>
        <v>0</v>
      </c>
      <c r="F361">
        <f>VLOOKUP(B361,raw!A:K,5,0)</f>
        <v>0</v>
      </c>
      <c r="G361">
        <f>VLOOKUP(B361,raw!A:K,2,0)+VLOOKUP(B361,raw!A:K,10,0)</f>
        <v>0</v>
      </c>
      <c r="H361">
        <f>VLOOKUP(B361,raw!A:K,6,0)</f>
        <v>0</v>
      </c>
      <c r="I361">
        <f>VLOOKUP(B361,raw!A:K,9,0)</f>
        <v>0</v>
      </c>
      <c r="J361">
        <f>VLOOKUP(B361,raw!A:K,8,0)</f>
        <v>0</v>
      </c>
      <c r="K361">
        <f>_xlfn.IFNA(VLOOKUP(B361,TDK!A:C,2,0),0)</f>
        <v>22</v>
      </c>
      <c r="L361">
        <f>_xlfn.IFNA(VLOOKUP(B361,TDK!A:C,3,0),0)</f>
        <v>1</v>
      </c>
      <c r="M361">
        <f>_xlfn.IFNA(VLOOKUP(B361,TDK!F:G,2,0),0)</f>
        <v>14</v>
      </c>
      <c r="N361">
        <f t="shared" si="5"/>
        <v>37</v>
      </c>
    </row>
    <row r="362" spans="1:14" x14ac:dyDescent="0.25">
      <c r="A362" t="s">
        <v>42</v>
      </c>
      <c r="B362" t="s">
        <v>1359</v>
      </c>
      <c r="C362">
        <f>VLOOKUP(B362,raw!A:K,11,0)</f>
        <v>121</v>
      </c>
      <c r="D362">
        <f>VLOOKUP(B362,raw!A:K,3,0)+VLOOKUP(B362,raw!A:K,7,0)</f>
        <v>120</v>
      </c>
      <c r="E362">
        <f>VLOOKUP(B362,raw!A:K,4,0)</f>
        <v>0</v>
      </c>
      <c r="F362">
        <f>VLOOKUP(B362,raw!A:K,5,0)</f>
        <v>0</v>
      </c>
      <c r="G362">
        <f>VLOOKUP(B362,raw!A:K,2,0)+VLOOKUP(B362,raw!A:K,10,0)</f>
        <v>0</v>
      </c>
      <c r="H362">
        <f>VLOOKUP(B362,raw!A:K,6,0)</f>
        <v>0</v>
      </c>
      <c r="I362">
        <f>VLOOKUP(B362,raw!A:K,9,0)</f>
        <v>1</v>
      </c>
      <c r="J362">
        <f>VLOOKUP(B362,raw!A:K,8,0)</f>
        <v>0</v>
      </c>
      <c r="K362">
        <f>_xlfn.IFNA(VLOOKUP(B362,TDK!A:C,2,0),0)</f>
        <v>42</v>
      </c>
      <c r="L362">
        <f>_xlfn.IFNA(VLOOKUP(B362,TDK!A:C,3,0),0)</f>
        <v>6</v>
      </c>
      <c r="M362">
        <f>_xlfn.IFNA(VLOOKUP(B362,TDK!F:G,2,0),0)</f>
        <v>30</v>
      </c>
      <c r="N362">
        <f t="shared" si="5"/>
        <v>78</v>
      </c>
    </row>
    <row r="363" spans="1:14" x14ac:dyDescent="0.25">
      <c r="A363" t="s">
        <v>33</v>
      </c>
      <c r="B363" t="s">
        <v>1360</v>
      </c>
      <c r="C363">
        <f>VLOOKUP(B363,raw!A:K,11,0)</f>
        <v>118</v>
      </c>
      <c r="D363">
        <f>VLOOKUP(B363,raw!A:K,3,0)+VLOOKUP(B363,raw!A:K,7,0)</f>
        <v>115</v>
      </c>
      <c r="E363">
        <f>VLOOKUP(B363,raw!A:K,4,0)</f>
        <v>0</v>
      </c>
      <c r="F363">
        <f>VLOOKUP(B363,raw!A:K,5,0)</f>
        <v>0</v>
      </c>
      <c r="G363">
        <f>VLOOKUP(B363,raw!A:K,2,0)+VLOOKUP(B363,raw!A:K,10,0)</f>
        <v>0</v>
      </c>
      <c r="H363">
        <f>VLOOKUP(B363,raw!A:K,6,0)</f>
        <v>1</v>
      </c>
      <c r="I363">
        <f>VLOOKUP(B363,raw!A:K,9,0)</f>
        <v>2</v>
      </c>
      <c r="J363">
        <f>VLOOKUP(B363,raw!A:K,8,0)</f>
        <v>0</v>
      </c>
      <c r="K363">
        <f>_xlfn.IFNA(VLOOKUP(B363,TDK!A:C,2,0),0)</f>
        <v>4</v>
      </c>
      <c r="L363">
        <f>_xlfn.IFNA(VLOOKUP(B363,TDK!A:C,3,0),0)</f>
        <v>3</v>
      </c>
      <c r="M363">
        <f>_xlfn.IFNA(VLOOKUP(B363,TDK!F:G,2,0),0)</f>
        <v>49</v>
      </c>
      <c r="N363">
        <f t="shared" si="5"/>
        <v>56</v>
      </c>
    </row>
    <row r="364" spans="1:14" x14ac:dyDescent="0.25">
      <c r="A364" t="s">
        <v>42</v>
      </c>
      <c r="B364" t="s">
        <v>1361</v>
      </c>
      <c r="C364">
        <f>VLOOKUP(B364,raw!A:K,11,0)</f>
        <v>98</v>
      </c>
      <c r="D364">
        <f>VLOOKUP(B364,raw!A:K,3,0)+VLOOKUP(B364,raw!A:K,7,0)</f>
        <v>98</v>
      </c>
      <c r="E364">
        <f>VLOOKUP(B364,raw!A:K,4,0)</f>
        <v>0</v>
      </c>
      <c r="F364">
        <f>VLOOKUP(B364,raw!A:K,5,0)</f>
        <v>0</v>
      </c>
      <c r="G364">
        <f>VLOOKUP(B364,raw!A:K,2,0)+VLOOKUP(B364,raw!A:K,10,0)</f>
        <v>0</v>
      </c>
      <c r="H364">
        <f>VLOOKUP(B364,raw!A:K,6,0)</f>
        <v>0</v>
      </c>
      <c r="I364">
        <f>VLOOKUP(B364,raw!A:K,9,0)</f>
        <v>0</v>
      </c>
      <c r="J364">
        <f>VLOOKUP(B364,raw!A:K,8,0)</f>
        <v>0</v>
      </c>
      <c r="K364">
        <f>_xlfn.IFNA(VLOOKUP(B364,TDK!A:C,2,0),0)</f>
        <v>25</v>
      </c>
      <c r="L364">
        <f>_xlfn.IFNA(VLOOKUP(B364,TDK!A:C,3,0),0)</f>
        <v>0</v>
      </c>
      <c r="M364">
        <f>_xlfn.IFNA(VLOOKUP(B364,TDK!F:G,2,0),0)</f>
        <v>9</v>
      </c>
      <c r="N364">
        <f t="shared" si="5"/>
        <v>34</v>
      </c>
    </row>
    <row r="365" spans="1:14" x14ac:dyDescent="0.25">
      <c r="A365" t="s">
        <v>49</v>
      </c>
      <c r="B365" t="s">
        <v>1362</v>
      </c>
      <c r="C365">
        <f>VLOOKUP(B365,raw!A:K,11,0)</f>
        <v>125</v>
      </c>
      <c r="D365">
        <f>VLOOKUP(B365,raw!A:K,3,0)+VLOOKUP(B365,raw!A:K,7,0)</f>
        <v>124</v>
      </c>
      <c r="E365">
        <f>VLOOKUP(B365,raw!A:K,4,0)</f>
        <v>0</v>
      </c>
      <c r="F365">
        <f>VLOOKUP(B365,raw!A:K,5,0)</f>
        <v>0</v>
      </c>
      <c r="G365">
        <f>VLOOKUP(B365,raw!A:K,2,0)+VLOOKUP(B365,raw!A:K,10,0)</f>
        <v>0</v>
      </c>
      <c r="H365">
        <f>VLOOKUP(B365,raw!A:K,6,0)</f>
        <v>0</v>
      </c>
      <c r="I365">
        <f>VLOOKUP(B365,raw!A:K,9,0)</f>
        <v>1</v>
      </c>
      <c r="J365">
        <f>VLOOKUP(B365,raw!A:K,8,0)</f>
        <v>0</v>
      </c>
      <c r="K365">
        <f>_xlfn.IFNA(VLOOKUP(B365,TDK!A:C,2,0),0)</f>
        <v>67</v>
      </c>
      <c r="L365">
        <f>_xlfn.IFNA(VLOOKUP(B365,TDK!A:C,3,0),0)</f>
        <v>3</v>
      </c>
      <c r="M365">
        <f>_xlfn.IFNA(VLOOKUP(B365,TDK!F:G,2,0),0)</f>
        <v>4</v>
      </c>
      <c r="N365">
        <f t="shared" si="5"/>
        <v>74</v>
      </c>
    </row>
    <row r="366" spans="1:14" x14ac:dyDescent="0.25">
      <c r="A366" t="s">
        <v>50</v>
      </c>
      <c r="B366" t="s">
        <v>1363</v>
      </c>
      <c r="C366">
        <f>VLOOKUP(B366,raw!A:K,11,0)</f>
        <v>182</v>
      </c>
      <c r="D366">
        <f>VLOOKUP(B366,raw!A:K,3,0)+VLOOKUP(B366,raw!A:K,7,0)</f>
        <v>56</v>
      </c>
      <c r="E366">
        <f>VLOOKUP(B366,raw!A:K,4,0)</f>
        <v>0</v>
      </c>
      <c r="F366">
        <f>VLOOKUP(B366,raw!A:K,5,0)</f>
        <v>0</v>
      </c>
      <c r="G366">
        <f>VLOOKUP(B366,raw!A:K,2,0)+VLOOKUP(B366,raw!A:K,10,0)</f>
        <v>0</v>
      </c>
      <c r="H366">
        <f>VLOOKUP(B366,raw!A:K,6,0)</f>
        <v>0</v>
      </c>
      <c r="I366">
        <f>VLOOKUP(B366,raw!A:K,9,0)</f>
        <v>126</v>
      </c>
      <c r="J366">
        <f>VLOOKUP(B366,raw!A:K,8,0)</f>
        <v>0</v>
      </c>
      <c r="K366">
        <f>_xlfn.IFNA(VLOOKUP(B366,TDK!A:C,2,0),0)</f>
        <v>88</v>
      </c>
      <c r="L366">
        <f>_xlfn.IFNA(VLOOKUP(B366,TDK!A:C,3,0),0)</f>
        <v>10</v>
      </c>
      <c r="M366">
        <f>_xlfn.IFNA(VLOOKUP(B366,TDK!F:G,2,0),0)</f>
        <v>10</v>
      </c>
      <c r="N366">
        <f t="shared" si="5"/>
        <v>108</v>
      </c>
    </row>
    <row r="367" spans="1:14" x14ac:dyDescent="0.25">
      <c r="A367" t="s">
        <v>50</v>
      </c>
      <c r="B367" t="s">
        <v>1364</v>
      </c>
      <c r="C367">
        <f>VLOOKUP(B367,raw!A:K,11,0)</f>
        <v>242</v>
      </c>
      <c r="D367">
        <f>VLOOKUP(B367,raw!A:K,3,0)+VLOOKUP(B367,raw!A:K,7,0)</f>
        <v>42</v>
      </c>
      <c r="E367">
        <f>VLOOKUP(B367,raw!A:K,4,0)</f>
        <v>0</v>
      </c>
      <c r="F367">
        <f>VLOOKUP(B367,raw!A:K,5,0)</f>
        <v>0</v>
      </c>
      <c r="G367">
        <f>VLOOKUP(B367,raw!A:K,2,0)+VLOOKUP(B367,raw!A:K,10,0)</f>
        <v>0</v>
      </c>
      <c r="H367">
        <f>VLOOKUP(B367,raw!A:K,6,0)</f>
        <v>0</v>
      </c>
      <c r="I367">
        <f>VLOOKUP(B367,raw!A:K,9,0)</f>
        <v>200</v>
      </c>
      <c r="J367">
        <f>VLOOKUP(B367,raw!A:K,8,0)</f>
        <v>0</v>
      </c>
      <c r="K367">
        <f>_xlfn.IFNA(VLOOKUP(B367,TDK!A:C,2,0),0)</f>
        <v>51</v>
      </c>
      <c r="L367">
        <f>_xlfn.IFNA(VLOOKUP(B367,TDK!A:C,3,0),0)</f>
        <v>6</v>
      </c>
      <c r="M367">
        <f>_xlfn.IFNA(VLOOKUP(B367,TDK!F:G,2,0),0)</f>
        <v>9</v>
      </c>
      <c r="N367">
        <f t="shared" si="5"/>
        <v>66</v>
      </c>
    </row>
    <row r="368" spans="1:14" x14ac:dyDescent="0.25">
      <c r="A368" t="s">
        <v>50</v>
      </c>
      <c r="B368" t="s">
        <v>1365</v>
      </c>
      <c r="C368">
        <f>VLOOKUP(B368,raw!A:K,11,0)</f>
        <v>164</v>
      </c>
      <c r="D368">
        <f>VLOOKUP(B368,raw!A:K,3,0)+VLOOKUP(B368,raw!A:K,7,0)</f>
        <v>9</v>
      </c>
      <c r="E368">
        <f>VLOOKUP(B368,raw!A:K,4,0)</f>
        <v>0</v>
      </c>
      <c r="F368">
        <f>VLOOKUP(B368,raw!A:K,5,0)</f>
        <v>0</v>
      </c>
      <c r="G368">
        <f>VLOOKUP(B368,raw!A:K,2,0)+VLOOKUP(B368,raw!A:K,10,0)</f>
        <v>0</v>
      </c>
      <c r="H368">
        <f>VLOOKUP(B368,raw!A:K,6,0)</f>
        <v>0</v>
      </c>
      <c r="I368">
        <f>VLOOKUP(B368,raw!A:K,9,0)</f>
        <v>155</v>
      </c>
      <c r="J368">
        <f>VLOOKUP(B368,raw!A:K,8,0)</f>
        <v>0</v>
      </c>
      <c r="K368">
        <f>_xlfn.IFNA(VLOOKUP(B368,TDK!A:C,2,0),0)</f>
        <v>62</v>
      </c>
      <c r="L368">
        <f>_xlfn.IFNA(VLOOKUP(B368,TDK!A:C,3,0),0)</f>
        <v>9</v>
      </c>
      <c r="M368">
        <f>_xlfn.IFNA(VLOOKUP(B368,TDK!F:G,2,0),0)</f>
        <v>14</v>
      </c>
      <c r="N368">
        <f t="shared" si="5"/>
        <v>85</v>
      </c>
    </row>
    <row r="369" spans="1:14" x14ac:dyDescent="0.25">
      <c r="A369" t="s">
        <v>51</v>
      </c>
      <c r="B369" t="s">
        <v>1366</v>
      </c>
      <c r="C369">
        <f>VLOOKUP(B369,raw!A:K,11,0)</f>
        <v>201</v>
      </c>
      <c r="D369">
        <f>VLOOKUP(B369,raw!A:K,3,0)+VLOOKUP(B369,raw!A:K,7,0)</f>
        <v>188</v>
      </c>
      <c r="E369">
        <f>VLOOKUP(B369,raw!A:K,4,0)</f>
        <v>0</v>
      </c>
      <c r="F369">
        <f>VLOOKUP(B369,raw!A:K,5,0)</f>
        <v>0</v>
      </c>
      <c r="G369">
        <f>VLOOKUP(B369,raw!A:K,2,0)+VLOOKUP(B369,raw!A:K,10,0)</f>
        <v>0</v>
      </c>
      <c r="H369">
        <f>VLOOKUP(B369,raw!A:K,6,0)</f>
        <v>0</v>
      </c>
      <c r="I369">
        <f>VLOOKUP(B369,raw!A:K,9,0)</f>
        <v>13</v>
      </c>
      <c r="J369">
        <f>VLOOKUP(B369,raw!A:K,8,0)</f>
        <v>0</v>
      </c>
      <c r="K369">
        <f>_xlfn.IFNA(VLOOKUP(B369,TDK!A:C,2,0),0)</f>
        <v>40</v>
      </c>
      <c r="L369">
        <f>_xlfn.IFNA(VLOOKUP(B369,TDK!A:C,3,0),0)</f>
        <v>10</v>
      </c>
      <c r="M369">
        <f>_xlfn.IFNA(VLOOKUP(B369,TDK!F:G,2,0),0)</f>
        <v>13</v>
      </c>
      <c r="N369">
        <f t="shared" si="5"/>
        <v>63</v>
      </c>
    </row>
    <row r="370" spans="1:14" x14ac:dyDescent="0.25">
      <c r="A370" t="s">
        <v>51</v>
      </c>
      <c r="B370" t="s">
        <v>1367</v>
      </c>
      <c r="C370">
        <f>VLOOKUP(B370,raw!A:K,11,0)</f>
        <v>216</v>
      </c>
      <c r="D370">
        <f>VLOOKUP(B370,raw!A:K,3,0)+VLOOKUP(B370,raw!A:K,7,0)</f>
        <v>202</v>
      </c>
      <c r="E370">
        <f>VLOOKUP(B370,raw!A:K,4,0)</f>
        <v>0</v>
      </c>
      <c r="F370">
        <f>VLOOKUP(B370,raw!A:K,5,0)</f>
        <v>0</v>
      </c>
      <c r="G370">
        <f>VLOOKUP(B370,raw!A:K,2,0)+VLOOKUP(B370,raw!A:K,10,0)</f>
        <v>0</v>
      </c>
      <c r="H370">
        <f>VLOOKUP(B370,raw!A:K,6,0)</f>
        <v>0</v>
      </c>
      <c r="I370">
        <f>VLOOKUP(B370,raw!A:K,9,0)</f>
        <v>14</v>
      </c>
      <c r="J370">
        <f>VLOOKUP(B370,raw!A:K,8,0)</f>
        <v>0</v>
      </c>
      <c r="K370">
        <f>_xlfn.IFNA(VLOOKUP(B370,TDK!A:C,2,0),0)</f>
        <v>33</v>
      </c>
      <c r="L370">
        <f>_xlfn.IFNA(VLOOKUP(B370,TDK!A:C,3,0),0)</f>
        <v>66</v>
      </c>
      <c r="M370">
        <f>_xlfn.IFNA(VLOOKUP(B370,TDK!F:G,2,0),0)</f>
        <v>13</v>
      </c>
      <c r="N370">
        <f t="shared" si="5"/>
        <v>112</v>
      </c>
    </row>
    <row r="371" spans="1:14" x14ac:dyDescent="0.25">
      <c r="A371" t="s">
        <v>52</v>
      </c>
      <c r="B371" t="s">
        <v>1368</v>
      </c>
      <c r="C371">
        <f>VLOOKUP(B371,raw!A:K,11,0)</f>
        <v>335</v>
      </c>
      <c r="D371">
        <f>VLOOKUP(B371,raw!A:K,3,0)+VLOOKUP(B371,raw!A:K,7,0)</f>
        <v>335</v>
      </c>
      <c r="E371">
        <f>VLOOKUP(B371,raw!A:K,4,0)</f>
        <v>0</v>
      </c>
      <c r="F371">
        <f>VLOOKUP(B371,raw!A:K,5,0)</f>
        <v>0</v>
      </c>
      <c r="G371">
        <f>VLOOKUP(B371,raw!A:K,2,0)+VLOOKUP(B371,raw!A:K,10,0)</f>
        <v>0</v>
      </c>
      <c r="H371">
        <f>VLOOKUP(B371,raw!A:K,6,0)</f>
        <v>0</v>
      </c>
      <c r="I371">
        <f>VLOOKUP(B371,raw!A:K,9,0)</f>
        <v>0</v>
      </c>
      <c r="J371">
        <f>VLOOKUP(B371,raw!A:K,8,0)</f>
        <v>0</v>
      </c>
      <c r="K371">
        <f>_xlfn.IFNA(VLOOKUP(B371,TDK!A:C,2,0),0)</f>
        <v>4</v>
      </c>
      <c r="L371">
        <f>_xlfn.IFNA(VLOOKUP(B371,TDK!A:C,3,0),0)</f>
        <v>69</v>
      </c>
      <c r="M371">
        <f>_xlfn.IFNA(VLOOKUP(B371,TDK!F:G,2,0),0)</f>
        <v>16</v>
      </c>
      <c r="N371">
        <f t="shared" si="5"/>
        <v>89</v>
      </c>
    </row>
    <row r="372" spans="1:14" x14ac:dyDescent="0.25">
      <c r="A372" t="s">
        <v>52</v>
      </c>
      <c r="B372" t="s">
        <v>1369</v>
      </c>
      <c r="C372">
        <f>VLOOKUP(B372,raw!A:K,11,0)</f>
        <v>335</v>
      </c>
      <c r="D372">
        <f>VLOOKUP(B372,raw!A:K,3,0)+VLOOKUP(B372,raw!A:K,7,0)</f>
        <v>335</v>
      </c>
      <c r="E372">
        <f>VLOOKUP(B372,raw!A:K,4,0)</f>
        <v>0</v>
      </c>
      <c r="F372">
        <f>VLOOKUP(B372,raw!A:K,5,0)</f>
        <v>0</v>
      </c>
      <c r="G372">
        <f>VLOOKUP(B372,raw!A:K,2,0)+VLOOKUP(B372,raw!A:K,10,0)</f>
        <v>0</v>
      </c>
      <c r="H372">
        <f>VLOOKUP(B372,raw!A:K,6,0)</f>
        <v>0</v>
      </c>
      <c r="I372">
        <f>VLOOKUP(B372,raw!A:K,9,0)</f>
        <v>0</v>
      </c>
      <c r="J372">
        <f>VLOOKUP(B372,raw!A:K,8,0)</f>
        <v>0</v>
      </c>
      <c r="K372">
        <f>_xlfn.IFNA(VLOOKUP(B372,TDK!A:C,2,0),0)</f>
        <v>45</v>
      </c>
      <c r="L372">
        <f>_xlfn.IFNA(VLOOKUP(B372,TDK!A:C,3,0),0)</f>
        <v>86</v>
      </c>
      <c r="M372">
        <f>_xlfn.IFNA(VLOOKUP(B372,TDK!F:G,2,0),0)</f>
        <v>41</v>
      </c>
      <c r="N372">
        <f t="shared" si="5"/>
        <v>172</v>
      </c>
    </row>
    <row r="373" spans="1:14" x14ac:dyDescent="0.25">
      <c r="A373" t="s">
        <v>50</v>
      </c>
      <c r="B373" t="s">
        <v>1370</v>
      </c>
      <c r="C373">
        <f>VLOOKUP(B373,raw!A:K,11,0)</f>
        <v>134</v>
      </c>
      <c r="D373">
        <f>VLOOKUP(B373,raw!A:K,3,0)+VLOOKUP(B373,raw!A:K,7,0)</f>
        <v>82</v>
      </c>
      <c r="E373">
        <f>VLOOKUP(B373,raw!A:K,4,0)</f>
        <v>0</v>
      </c>
      <c r="F373">
        <f>VLOOKUP(B373,raw!A:K,5,0)</f>
        <v>0</v>
      </c>
      <c r="G373">
        <f>VLOOKUP(B373,raw!A:K,2,0)+VLOOKUP(B373,raw!A:K,10,0)</f>
        <v>9</v>
      </c>
      <c r="H373">
        <f>VLOOKUP(B373,raw!A:K,6,0)</f>
        <v>1</v>
      </c>
      <c r="I373">
        <f>VLOOKUP(B373,raw!A:K,9,0)</f>
        <v>42</v>
      </c>
      <c r="J373">
        <f>VLOOKUP(B373,raw!A:K,8,0)</f>
        <v>0</v>
      </c>
      <c r="K373">
        <f>_xlfn.IFNA(VLOOKUP(B373,TDK!A:C,2,0),0)</f>
        <v>45</v>
      </c>
      <c r="L373">
        <f>_xlfn.IFNA(VLOOKUP(B373,TDK!A:C,3,0),0)</f>
        <v>2</v>
      </c>
      <c r="M373">
        <f>_xlfn.IFNA(VLOOKUP(B373,TDK!F:G,2,0),0)</f>
        <v>3</v>
      </c>
      <c r="N373">
        <f t="shared" si="5"/>
        <v>50</v>
      </c>
    </row>
    <row r="374" spans="1:14" x14ac:dyDescent="0.25">
      <c r="A374" t="s">
        <v>50</v>
      </c>
      <c r="B374" t="s">
        <v>1371</v>
      </c>
      <c r="C374">
        <f>VLOOKUP(B374,raw!A:K,11,0)</f>
        <v>148</v>
      </c>
      <c r="D374">
        <f>VLOOKUP(B374,raw!A:K,3,0)+VLOOKUP(B374,raw!A:K,7,0)</f>
        <v>106</v>
      </c>
      <c r="E374">
        <f>VLOOKUP(B374,raw!A:K,4,0)</f>
        <v>0</v>
      </c>
      <c r="F374">
        <f>VLOOKUP(B374,raw!A:K,5,0)</f>
        <v>0</v>
      </c>
      <c r="G374">
        <f>VLOOKUP(B374,raw!A:K,2,0)+VLOOKUP(B374,raw!A:K,10,0)</f>
        <v>0</v>
      </c>
      <c r="H374">
        <f>VLOOKUP(B374,raw!A:K,6,0)</f>
        <v>0</v>
      </c>
      <c r="I374">
        <f>VLOOKUP(B374,raw!A:K,9,0)</f>
        <v>42</v>
      </c>
      <c r="J374">
        <f>VLOOKUP(B374,raw!A:K,8,0)</f>
        <v>0</v>
      </c>
      <c r="K374">
        <f>_xlfn.IFNA(VLOOKUP(B374,TDK!A:C,2,0),0)</f>
        <v>37</v>
      </c>
      <c r="L374">
        <f>_xlfn.IFNA(VLOOKUP(B374,TDK!A:C,3,0),0)</f>
        <v>6</v>
      </c>
      <c r="M374">
        <f>_xlfn.IFNA(VLOOKUP(B374,TDK!F:G,2,0),0)</f>
        <v>6</v>
      </c>
      <c r="N374">
        <f t="shared" si="5"/>
        <v>49</v>
      </c>
    </row>
    <row r="375" spans="1:14" x14ac:dyDescent="0.25">
      <c r="A375" t="s">
        <v>51</v>
      </c>
      <c r="B375" t="s">
        <v>1372</v>
      </c>
      <c r="C375">
        <f>VLOOKUP(B375,raw!A:K,11,0)</f>
        <v>204</v>
      </c>
      <c r="D375">
        <f>VLOOKUP(B375,raw!A:K,3,0)+VLOOKUP(B375,raw!A:K,7,0)</f>
        <v>180</v>
      </c>
      <c r="E375">
        <f>VLOOKUP(B375,raw!A:K,4,0)</f>
        <v>0</v>
      </c>
      <c r="F375">
        <f>VLOOKUP(B375,raw!A:K,5,0)</f>
        <v>0</v>
      </c>
      <c r="G375">
        <f>VLOOKUP(B375,raw!A:K,2,0)+VLOOKUP(B375,raw!A:K,10,0)</f>
        <v>2</v>
      </c>
      <c r="H375">
        <f>VLOOKUP(B375,raw!A:K,6,0)</f>
        <v>0</v>
      </c>
      <c r="I375">
        <f>VLOOKUP(B375,raw!A:K,9,0)</f>
        <v>22</v>
      </c>
      <c r="J375">
        <f>VLOOKUP(B375,raw!A:K,8,0)</f>
        <v>0</v>
      </c>
      <c r="K375">
        <f>_xlfn.IFNA(VLOOKUP(B375,TDK!A:C,2,0),0)</f>
        <v>26</v>
      </c>
      <c r="L375">
        <f>_xlfn.IFNA(VLOOKUP(B375,TDK!A:C,3,0),0)</f>
        <v>47</v>
      </c>
      <c r="M375">
        <f>_xlfn.IFNA(VLOOKUP(B375,TDK!F:G,2,0),0)</f>
        <v>23</v>
      </c>
      <c r="N375">
        <f t="shared" si="5"/>
        <v>96</v>
      </c>
    </row>
    <row r="376" spans="1:14" x14ac:dyDescent="0.25">
      <c r="A376" t="s">
        <v>49</v>
      </c>
      <c r="B376" t="s">
        <v>1373</v>
      </c>
      <c r="C376">
        <f>VLOOKUP(B376,raw!A:K,11,0)</f>
        <v>175</v>
      </c>
      <c r="D376">
        <f>VLOOKUP(B376,raw!A:K,3,0)+VLOOKUP(B376,raw!A:K,7,0)</f>
        <v>55</v>
      </c>
      <c r="E376">
        <f>VLOOKUP(B376,raw!A:K,4,0)</f>
        <v>1</v>
      </c>
      <c r="F376">
        <f>VLOOKUP(B376,raw!A:K,5,0)</f>
        <v>0</v>
      </c>
      <c r="G376">
        <f>VLOOKUP(B376,raw!A:K,2,0)+VLOOKUP(B376,raw!A:K,10,0)</f>
        <v>1</v>
      </c>
      <c r="H376">
        <f>VLOOKUP(B376,raw!A:K,6,0)</f>
        <v>0</v>
      </c>
      <c r="I376">
        <f>VLOOKUP(B376,raw!A:K,9,0)</f>
        <v>118</v>
      </c>
      <c r="J376">
        <f>VLOOKUP(B376,raw!A:K,8,0)</f>
        <v>0</v>
      </c>
      <c r="K376">
        <f>_xlfn.IFNA(VLOOKUP(B376,TDK!A:C,2,0),0)</f>
        <v>5</v>
      </c>
      <c r="L376">
        <f>_xlfn.IFNA(VLOOKUP(B376,TDK!A:C,3,0),0)</f>
        <v>48</v>
      </c>
      <c r="M376">
        <f>_xlfn.IFNA(VLOOKUP(B376,TDK!F:G,2,0),0)</f>
        <v>9</v>
      </c>
      <c r="N376">
        <f t="shared" si="5"/>
        <v>62</v>
      </c>
    </row>
    <row r="377" spans="1:14" x14ac:dyDescent="0.25">
      <c r="A377" t="s">
        <v>49</v>
      </c>
      <c r="B377" t="s">
        <v>1374</v>
      </c>
      <c r="C377">
        <f>VLOOKUP(B377,raw!A:K,11,0)</f>
        <v>156</v>
      </c>
      <c r="D377">
        <f>VLOOKUP(B377,raw!A:K,3,0)+VLOOKUP(B377,raw!A:K,7,0)</f>
        <v>71</v>
      </c>
      <c r="E377">
        <f>VLOOKUP(B377,raw!A:K,4,0)</f>
        <v>23</v>
      </c>
      <c r="F377">
        <f>VLOOKUP(B377,raw!A:K,5,0)</f>
        <v>0</v>
      </c>
      <c r="G377">
        <f>VLOOKUP(B377,raw!A:K,2,0)+VLOOKUP(B377,raw!A:K,10,0)</f>
        <v>1</v>
      </c>
      <c r="H377">
        <f>VLOOKUP(B377,raw!A:K,6,0)</f>
        <v>0</v>
      </c>
      <c r="I377">
        <f>VLOOKUP(B377,raw!A:K,9,0)</f>
        <v>61</v>
      </c>
      <c r="J377">
        <f>VLOOKUP(B377,raw!A:K,8,0)</f>
        <v>0</v>
      </c>
      <c r="K377">
        <f>_xlfn.IFNA(VLOOKUP(B377,TDK!A:C,2,0),0)</f>
        <v>8</v>
      </c>
      <c r="L377">
        <f>_xlfn.IFNA(VLOOKUP(B377,TDK!A:C,3,0),0)</f>
        <v>16</v>
      </c>
      <c r="M377">
        <f>_xlfn.IFNA(VLOOKUP(B377,TDK!F:G,2,0),0)</f>
        <v>10</v>
      </c>
      <c r="N377">
        <f t="shared" si="5"/>
        <v>34</v>
      </c>
    </row>
    <row r="378" spans="1:14" x14ac:dyDescent="0.25">
      <c r="A378" t="s">
        <v>49</v>
      </c>
      <c r="B378" t="s">
        <v>1375</v>
      </c>
      <c r="C378">
        <f>VLOOKUP(B378,raw!A:K,11,0)</f>
        <v>166</v>
      </c>
      <c r="D378">
        <f>VLOOKUP(B378,raw!A:K,3,0)+VLOOKUP(B378,raw!A:K,7,0)</f>
        <v>93</v>
      </c>
      <c r="E378">
        <f>VLOOKUP(B378,raw!A:K,4,0)</f>
        <v>19</v>
      </c>
      <c r="F378">
        <f>VLOOKUP(B378,raw!A:K,5,0)</f>
        <v>0</v>
      </c>
      <c r="G378">
        <f>VLOOKUP(B378,raw!A:K,2,0)+VLOOKUP(B378,raw!A:K,10,0)</f>
        <v>27</v>
      </c>
      <c r="H378">
        <f>VLOOKUP(B378,raw!A:K,6,0)</f>
        <v>0</v>
      </c>
      <c r="I378">
        <f>VLOOKUP(B378,raw!A:K,9,0)</f>
        <v>27</v>
      </c>
      <c r="J378">
        <f>VLOOKUP(B378,raw!A:K,8,0)</f>
        <v>0</v>
      </c>
      <c r="K378">
        <f>_xlfn.IFNA(VLOOKUP(B378,TDK!A:C,2,0),0)</f>
        <v>70</v>
      </c>
      <c r="L378">
        <f>_xlfn.IFNA(VLOOKUP(B378,TDK!A:C,3,0),0)</f>
        <v>4</v>
      </c>
      <c r="M378">
        <f>_xlfn.IFNA(VLOOKUP(B378,TDK!F:G,2,0),0)</f>
        <v>8</v>
      </c>
      <c r="N378">
        <f t="shared" si="5"/>
        <v>82</v>
      </c>
    </row>
    <row r="379" spans="1:14" x14ac:dyDescent="0.25">
      <c r="A379" t="s">
        <v>49</v>
      </c>
      <c r="B379" t="s">
        <v>1376</v>
      </c>
      <c r="C379">
        <f>VLOOKUP(B379,raw!A:K,11,0)</f>
        <v>92</v>
      </c>
      <c r="D379">
        <f>VLOOKUP(B379,raw!A:K,3,0)+VLOOKUP(B379,raw!A:K,7,0)</f>
        <v>11</v>
      </c>
      <c r="E379">
        <f>VLOOKUP(B379,raw!A:K,4,0)</f>
        <v>25</v>
      </c>
      <c r="F379">
        <f>VLOOKUP(B379,raw!A:K,5,0)</f>
        <v>0</v>
      </c>
      <c r="G379">
        <f>VLOOKUP(B379,raw!A:K,2,0)+VLOOKUP(B379,raw!A:K,10,0)</f>
        <v>2</v>
      </c>
      <c r="H379">
        <f>VLOOKUP(B379,raw!A:K,6,0)</f>
        <v>0</v>
      </c>
      <c r="I379">
        <f>VLOOKUP(B379,raw!A:K,9,0)</f>
        <v>54</v>
      </c>
      <c r="J379">
        <f>VLOOKUP(B379,raw!A:K,8,0)</f>
        <v>0</v>
      </c>
      <c r="K379">
        <f>_xlfn.IFNA(VLOOKUP(B379,TDK!A:C,2,0),0)</f>
        <v>14</v>
      </c>
      <c r="L379">
        <f>_xlfn.IFNA(VLOOKUP(B379,TDK!A:C,3,0),0)</f>
        <v>0</v>
      </c>
      <c r="M379">
        <f>_xlfn.IFNA(VLOOKUP(B379,TDK!F:G,2,0),0)</f>
        <v>1</v>
      </c>
      <c r="N379">
        <f t="shared" si="5"/>
        <v>15</v>
      </c>
    </row>
    <row r="380" spans="1:14" x14ac:dyDescent="0.25">
      <c r="A380" t="s">
        <v>53</v>
      </c>
      <c r="B380" t="s">
        <v>1377</v>
      </c>
      <c r="C380">
        <f>VLOOKUP(B380,raw!A:K,11,0)</f>
        <v>186</v>
      </c>
      <c r="D380">
        <f>VLOOKUP(B380,raw!A:K,3,0)+VLOOKUP(B380,raw!A:K,7,0)</f>
        <v>178</v>
      </c>
      <c r="E380">
        <f>VLOOKUP(B380,raw!A:K,4,0)</f>
        <v>1</v>
      </c>
      <c r="F380">
        <f>VLOOKUP(B380,raw!A:K,5,0)</f>
        <v>0</v>
      </c>
      <c r="G380">
        <f>VLOOKUP(B380,raw!A:K,2,0)+VLOOKUP(B380,raw!A:K,10,0)</f>
        <v>3</v>
      </c>
      <c r="H380">
        <f>VLOOKUP(B380,raw!A:K,6,0)</f>
        <v>1</v>
      </c>
      <c r="I380">
        <f>VLOOKUP(B380,raw!A:K,9,0)</f>
        <v>3</v>
      </c>
      <c r="J380">
        <f>VLOOKUP(B380,raw!A:K,8,0)</f>
        <v>0</v>
      </c>
      <c r="K380">
        <f>_xlfn.IFNA(VLOOKUP(B380,TDK!A:C,2,0),0)</f>
        <v>70</v>
      </c>
      <c r="L380">
        <f>_xlfn.IFNA(VLOOKUP(B380,TDK!A:C,3,0),0)</f>
        <v>13</v>
      </c>
      <c r="M380">
        <f>_xlfn.IFNA(VLOOKUP(B380,TDK!F:G,2,0),0)</f>
        <v>24</v>
      </c>
      <c r="N380">
        <f t="shared" si="5"/>
        <v>107</v>
      </c>
    </row>
    <row r="381" spans="1:14" x14ac:dyDescent="0.25">
      <c r="A381" t="s">
        <v>54</v>
      </c>
      <c r="B381" t="s">
        <v>1378</v>
      </c>
      <c r="C381">
        <f>VLOOKUP(B381,raw!A:K,11,0)</f>
        <v>110</v>
      </c>
      <c r="D381">
        <f>VLOOKUP(B381,raw!A:K,3,0)+VLOOKUP(B381,raw!A:K,7,0)</f>
        <v>96</v>
      </c>
      <c r="E381">
        <f>VLOOKUP(B381,raw!A:K,4,0)</f>
        <v>0</v>
      </c>
      <c r="F381">
        <f>VLOOKUP(B381,raw!A:K,5,0)</f>
        <v>0</v>
      </c>
      <c r="G381">
        <f>VLOOKUP(B381,raw!A:K,2,0)+VLOOKUP(B381,raw!A:K,10,0)</f>
        <v>0</v>
      </c>
      <c r="H381">
        <f>VLOOKUP(B381,raw!A:K,6,0)</f>
        <v>1</v>
      </c>
      <c r="I381">
        <f>VLOOKUP(B381,raw!A:K,9,0)</f>
        <v>13</v>
      </c>
      <c r="J381">
        <f>VLOOKUP(B381,raw!A:K,8,0)</f>
        <v>0</v>
      </c>
      <c r="K381">
        <f>_xlfn.IFNA(VLOOKUP(B381,TDK!A:C,2,0),0)</f>
        <v>34</v>
      </c>
      <c r="L381">
        <f>_xlfn.IFNA(VLOOKUP(B381,TDK!A:C,3,0),0)</f>
        <v>1</v>
      </c>
      <c r="M381">
        <f>_xlfn.IFNA(VLOOKUP(B381,TDK!F:G,2,0),0)</f>
        <v>15</v>
      </c>
      <c r="N381">
        <f t="shared" si="5"/>
        <v>50</v>
      </c>
    </row>
    <row r="382" spans="1:14" x14ac:dyDescent="0.25">
      <c r="A382" t="s">
        <v>54</v>
      </c>
      <c r="B382" t="s">
        <v>1379</v>
      </c>
      <c r="C382">
        <f>VLOOKUP(B382,raw!A:K,11,0)</f>
        <v>151</v>
      </c>
      <c r="D382">
        <f>VLOOKUP(B382,raw!A:K,3,0)+VLOOKUP(B382,raw!A:K,7,0)</f>
        <v>83</v>
      </c>
      <c r="E382">
        <f>VLOOKUP(B382,raw!A:K,4,0)</f>
        <v>0</v>
      </c>
      <c r="F382">
        <f>VLOOKUP(B382,raw!A:K,5,0)</f>
        <v>0</v>
      </c>
      <c r="G382">
        <f>VLOOKUP(B382,raw!A:K,2,0)+VLOOKUP(B382,raw!A:K,10,0)</f>
        <v>0</v>
      </c>
      <c r="H382">
        <f>VLOOKUP(B382,raw!A:K,6,0)</f>
        <v>0</v>
      </c>
      <c r="I382">
        <f>VLOOKUP(B382,raw!A:K,9,0)</f>
        <v>68</v>
      </c>
      <c r="J382">
        <f>VLOOKUP(B382,raw!A:K,8,0)</f>
        <v>0</v>
      </c>
      <c r="K382">
        <f>_xlfn.IFNA(VLOOKUP(B382,TDK!A:C,2,0),0)</f>
        <v>72</v>
      </c>
      <c r="L382">
        <f>_xlfn.IFNA(VLOOKUP(B382,TDK!A:C,3,0),0)</f>
        <v>3</v>
      </c>
      <c r="M382">
        <f>_xlfn.IFNA(VLOOKUP(B382,TDK!F:G,2,0),0)</f>
        <v>14</v>
      </c>
      <c r="N382">
        <f t="shared" si="5"/>
        <v>89</v>
      </c>
    </row>
    <row r="383" spans="1:14" x14ac:dyDescent="0.25">
      <c r="A383" t="s">
        <v>54</v>
      </c>
      <c r="B383" t="s">
        <v>1380</v>
      </c>
      <c r="C383">
        <f>VLOOKUP(B383,raw!A:K,11,0)</f>
        <v>117</v>
      </c>
      <c r="D383">
        <f>VLOOKUP(B383,raw!A:K,3,0)+VLOOKUP(B383,raw!A:K,7,0)</f>
        <v>25</v>
      </c>
      <c r="E383">
        <f>VLOOKUP(B383,raw!A:K,4,0)</f>
        <v>0</v>
      </c>
      <c r="F383">
        <f>VLOOKUP(B383,raw!A:K,5,0)</f>
        <v>0</v>
      </c>
      <c r="G383">
        <f>VLOOKUP(B383,raw!A:K,2,0)+VLOOKUP(B383,raw!A:K,10,0)</f>
        <v>0</v>
      </c>
      <c r="H383">
        <f>VLOOKUP(B383,raw!A:K,6,0)</f>
        <v>0</v>
      </c>
      <c r="I383">
        <f>VLOOKUP(B383,raw!A:K,9,0)</f>
        <v>92</v>
      </c>
      <c r="J383">
        <f>VLOOKUP(B383,raw!A:K,8,0)</f>
        <v>0</v>
      </c>
      <c r="K383">
        <f>_xlfn.IFNA(VLOOKUP(B383,TDK!A:C,2,0),0)</f>
        <v>33</v>
      </c>
      <c r="L383">
        <f>_xlfn.IFNA(VLOOKUP(B383,TDK!A:C,3,0),0)</f>
        <v>2</v>
      </c>
      <c r="M383">
        <f>_xlfn.IFNA(VLOOKUP(B383,TDK!F:G,2,0),0)</f>
        <v>4</v>
      </c>
      <c r="N383">
        <f t="shared" si="5"/>
        <v>39</v>
      </c>
    </row>
    <row r="384" spans="1:14" x14ac:dyDescent="0.25">
      <c r="A384" t="s">
        <v>49</v>
      </c>
      <c r="B384" t="s">
        <v>1381</v>
      </c>
      <c r="C384">
        <f>VLOOKUP(B384,raw!A:K,11,0)</f>
        <v>200</v>
      </c>
      <c r="D384">
        <f>VLOOKUP(B384,raw!A:K,3,0)+VLOOKUP(B384,raw!A:K,7,0)</f>
        <v>44</v>
      </c>
      <c r="E384">
        <f>VLOOKUP(B384,raw!A:K,4,0)</f>
        <v>41</v>
      </c>
      <c r="F384">
        <f>VLOOKUP(B384,raw!A:K,5,0)</f>
        <v>0</v>
      </c>
      <c r="G384">
        <f>VLOOKUP(B384,raw!A:K,2,0)+VLOOKUP(B384,raw!A:K,10,0)</f>
        <v>7</v>
      </c>
      <c r="H384">
        <f>VLOOKUP(B384,raw!A:K,6,0)</f>
        <v>3</v>
      </c>
      <c r="I384">
        <f>VLOOKUP(B384,raw!A:K,9,0)</f>
        <v>105</v>
      </c>
      <c r="J384">
        <f>VLOOKUP(B384,raw!A:K,8,0)</f>
        <v>0</v>
      </c>
      <c r="K384">
        <f>_xlfn.IFNA(VLOOKUP(B384,TDK!A:C,2,0),0)</f>
        <v>30</v>
      </c>
      <c r="L384">
        <f>_xlfn.IFNA(VLOOKUP(B384,TDK!A:C,3,0),0)</f>
        <v>6</v>
      </c>
      <c r="M384">
        <f>_xlfn.IFNA(VLOOKUP(B384,TDK!F:G,2,0),0)</f>
        <v>16</v>
      </c>
      <c r="N384">
        <f t="shared" si="5"/>
        <v>52</v>
      </c>
    </row>
    <row r="385" spans="1:14" x14ac:dyDescent="0.25">
      <c r="A385" t="s">
        <v>54</v>
      </c>
      <c r="B385" t="s">
        <v>1382</v>
      </c>
      <c r="C385">
        <f>VLOOKUP(B385,raw!A:K,11,0)</f>
        <v>134</v>
      </c>
      <c r="D385">
        <f>VLOOKUP(B385,raw!A:K,3,0)+VLOOKUP(B385,raw!A:K,7,0)</f>
        <v>115</v>
      </c>
      <c r="E385">
        <f>VLOOKUP(B385,raw!A:K,4,0)</f>
        <v>0</v>
      </c>
      <c r="F385">
        <f>VLOOKUP(B385,raw!A:K,5,0)</f>
        <v>0</v>
      </c>
      <c r="G385">
        <f>VLOOKUP(B385,raw!A:K,2,0)+VLOOKUP(B385,raw!A:K,10,0)</f>
        <v>0</v>
      </c>
      <c r="H385">
        <f>VLOOKUP(B385,raw!A:K,6,0)</f>
        <v>0</v>
      </c>
      <c r="I385">
        <f>VLOOKUP(B385,raw!A:K,9,0)</f>
        <v>19</v>
      </c>
      <c r="J385">
        <f>VLOOKUP(B385,raw!A:K,8,0)</f>
        <v>0</v>
      </c>
      <c r="K385">
        <f>_xlfn.IFNA(VLOOKUP(B385,TDK!A:C,2,0),0)</f>
        <v>42</v>
      </c>
      <c r="L385">
        <f>_xlfn.IFNA(VLOOKUP(B385,TDK!A:C,3,0),0)</f>
        <v>4</v>
      </c>
      <c r="M385">
        <f>_xlfn.IFNA(VLOOKUP(B385,TDK!F:G,2,0),0)</f>
        <v>20</v>
      </c>
      <c r="N385">
        <f t="shared" si="5"/>
        <v>66</v>
      </c>
    </row>
    <row r="386" spans="1:14" x14ac:dyDescent="0.25">
      <c r="A386" t="s">
        <v>54</v>
      </c>
      <c r="B386" t="s">
        <v>1383</v>
      </c>
      <c r="C386">
        <f>VLOOKUP(B386,raw!A:K,11,0)</f>
        <v>102</v>
      </c>
      <c r="D386">
        <f>VLOOKUP(B386,raw!A:K,3,0)+VLOOKUP(B386,raw!A:K,7,0)</f>
        <v>52</v>
      </c>
      <c r="E386">
        <f>VLOOKUP(B386,raw!A:K,4,0)</f>
        <v>0</v>
      </c>
      <c r="F386">
        <f>VLOOKUP(B386,raw!A:K,5,0)</f>
        <v>0</v>
      </c>
      <c r="G386">
        <f>VLOOKUP(B386,raw!A:K,2,0)+VLOOKUP(B386,raw!A:K,10,0)</f>
        <v>0</v>
      </c>
      <c r="H386">
        <f>VLOOKUP(B386,raw!A:K,6,0)</f>
        <v>0</v>
      </c>
      <c r="I386">
        <f>VLOOKUP(B386,raw!A:K,9,0)</f>
        <v>50</v>
      </c>
      <c r="J386">
        <f>VLOOKUP(B386,raw!A:K,8,0)</f>
        <v>0</v>
      </c>
      <c r="K386">
        <f>_xlfn.IFNA(VLOOKUP(B386,TDK!A:C,2,0),0)</f>
        <v>41</v>
      </c>
      <c r="L386">
        <f>_xlfn.IFNA(VLOOKUP(B386,TDK!A:C,3,0),0)</f>
        <v>2</v>
      </c>
      <c r="M386">
        <f>_xlfn.IFNA(VLOOKUP(B386,TDK!F:G,2,0),0)</f>
        <v>6</v>
      </c>
      <c r="N386">
        <f t="shared" si="5"/>
        <v>49</v>
      </c>
    </row>
    <row r="387" spans="1:14" x14ac:dyDescent="0.25">
      <c r="A387" t="s">
        <v>54</v>
      </c>
      <c r="B387" t="s">
        <v>1384</v>
      </c>
      <c r="C387">
        <f>VLOOKUP(B387,raw!A:K,11,0)</f>
        <v>126</v>
      </c>
      <c r="D387">
        <f>VLOOKUP(B387,raw!A:K,3,0)+VLOOKUP(B387,raw!A:K,7,0)</f>
        <v>28</v>
      </c>
      <c r="E387">
        <f>VLOOKUP(B387,raw!A:K,4,0)</f>
        <v>0</v>
      </c>
      <c r="F387">
        <f>VLOOKUP(B387,raw!A:K,5,0)</f>
        <v>0</v>
      </c>
      <c r="G387">
        <f>VLOOKUP(B387,raw!A:K,2,0)+VLOOKUP(B387,raw!A:K,10,0)</f>
        <v>0</v>
      </c>
      <c r="H387">
        <f>VLOOKUP(B387,raw!A:K,6,0)</f>
        <v>0</v>
      </c>
      <c r="I387">
        <f>VLOOKUP(B387,raw!A:K,9,0)</f>
        <v>98</v>
      </c>
      <c r="J387">
        <f>VLOOKUP(B387,raw!A:K,8,0)</f>
        <v>0</v>
      </c>
      <c r="K387">
        <f>_xlfn.IFNA(VLOOKUP(B387,TDK!A:C,2,0),0)</f>
        <v>51</v>
      </c>
      <c r="L387">
        <f>_xlfn.IFNA(VLOOKUP(B387,TDK!A:C,3,0),0)</f>
        <v>0</v>
      </c>
      <c r="M387">
        <f>_xlfn.IFNA(VLOOKUP(B387,TDK!F:G,2,0),0)</f>
        <v>5</v>
      </c>
      <c r="N387">
        <f t="shared" ref="N387:N450" si="6">SUM(K387:M387)</f>
        <v>56</v>
      </c>
    </row>
    <row r="388" spans="1:14" x14ac:dyDescent="0.25">
      <c r="A388" t="s">
        <v>53</v>
      </c>
      <c r="B388" t="s">
        <v>1385</v>
      </c>
      <c r="C388">
        <f>VLOOKUP(B388,raw!A:K,11,0)</f>
        <v>149</v>
      </c>
      <c r="D388">
        <f>VLOOKUP(B388,raw!A:K,3,0)+VLOOKUP(B388,raw!A:K,7,0)</f>
        <v>132</v>
      </c>
      <c r="E388">
        <f>VLOOKUP(B388,raw!A:K,4,0)</f>
        <v>1</v>
      </c>
      <c r="F388">
        <f>VLOOKUP(B388,raw!A:K,5,0)</f>
        <v>0</v>
      </c>
      <c r="G388">
        <f>VLOOKUP(B388,raw!A:K,2,0)+VLOOKUP(B388,raw!A:K,10,0)</f>
        <v>7</v>
      </c>
      <c r="H388">
        <f>VLOOKUP(B388,raw!A:K,6,0)</f>
        <v>0</v>
      </c>
      <c r="I388">
        <f>VLOOKUP(B388,raw!A:K,9,0)</f>
        <v>9</v>
      </c>
      <c r="J388">
        <f>VLOOKUP(B388,raw!A:K,8,0)</f>
        <v>0</v>
      </c>
      <c r="K388">
        <f>_xlfn.IFNA(VLOOKUP(B388,TDK!A:C,2,0),0)</f>
        <v>60</v>
      </c>
      <c r="L388">
        <f>_xlfn.IFNA(VLOOKUP(B388,TDK!A:C,3,0),0)</f>
        <v>4</v>
      </c>
      <c r="M388">
        <f>_xlfn.IFNA(VLOOKUP(B388,TDK!F:G,2,0),0)</f>
        <v>13</v>
      </c>
      <c r="N388">
        <f t="shared" si="6"/>
        <v>77</v>
      </c>
    </row>
    <row r="389" spans="1:14" x14ac:dyDescent="0.25">
      <c r="A389" t="s">
        <v>53</v>
      </c>
      <c r="B389" t="s">
        <v>1386</v>
      </c>
      <c r="C389">
        <f>VLOOKUP(B389,raw!A:K,11,0)</f>
        <v>139</v>
      </c>
      <c r="D389">
        <f>VLOOKUP(B389,raw!A:K,3,0)+VLOOKUP(B389,raw!A:K,7,0)</f>
        <v>17</v>
      </c>
      <c r="E389">
        <f>VLOOKUP(B389,raw!A:K,4,0)</f>
        <v>1</v>
      </c>
      <c r="F389">
        <f>VLOOKUP(B389,raw!A:K,5,0)</f>
        <v>0</v>
      </c>
      <c r="G389">
        <f>VLOOKUP(B389,raw!A:K,2,0)+VLOOKUP(B389,raw!A:K,10,0)</f>
        <v>15</v>
      </c>
      <c r="H389">
        <f>VLOOKUP(B389,raw!A:K,6,0)</f>
        <v>0</v>
      </c>
      <c r="I389">
        <f>VLOOKUP(B389,raw!A:K,9,0)</f>
        <v>106</v>
      </c>
      <c r="J389">
        <f>VLOOKUP(B389,raw!A:K,8,0)</f>
        <v>0</v>
      </c>
      <c r="K389">
        <f>_xlfn.IFNA(VLOOKUP(B389,TDK!A:C,2,0),0)</f>
        <v>43</v>
      </c>
      <c r="L389">
        <f>_xlfn.IFNA(VLOOKUP(B389,TDK!A:C,3,0),0)</f>
        <v>9</v>
      </c>
      <c r="M389">
        <f>_xlfn.IFNA(VLOOKUP(B389,TDK!F:G,2,0),0)</f>
        <v>9</v>
      </c>
      <c r="N389">
        <f t="shared" si="6"/>
        <v>61</v>
      </c>
    </row>
    <row r="390" spans="1:14" x14ac:dyDescent="0.25">
      <c r="A390" t="s">
        <v>53</v>
      </c>
      <c r="B390" t="s">
        <v>1387</v>
      </c>
      <c r="C390">
        <f>VLOOKUP(B390,raw!A:K,11,0)</f>
        <v>87</v>
      </c>
      <c r="D390">
        <f>VLOOKUP(B390,raw!A:K,3,0)+VLOOKUP(B390,raw!A:K,7,0)</f>
        <v>46</v>
      </c>
      <c r="E390">
        <f>VLOOKUP(B390,raw!A:K,4,0)</f>
        <v>1</v>
      </c>
      <c r="F390">
        <f>VLOOKUP(B390,raw!A:K,5,0)</f>
        <v>0</v>
      </c>
      <c r="G390">
        <f>VLOOKUP(B390,raw!A:K,2,0)+VLOOKUP(B390,raw!A:K,10,0)</f>
        <v>0</v>
      </c>
      <c r="H390">
        <f>VLOOKUP(B390,raw!A:K,6,0)</f>
        <v>0</v>
      </c>
      <c r="I390">
        <f>VLOOKUP(B390,raw!A:K,9,0)</f>
        <v>40</v>
      </c>
      <c r="J390">
        <f>VLOOKUP(B390,raw!A:K,8,0)</f>
        <v>0</v>
      </c>
      <c r="K390">
        <f>_xlfn.IFNA(VLOOKUP(B390,TDK!A:C,2,0),0)</f>
        <v>28</v>
      </c>
      <c r="L390">
        <f>_xlfn.IFNA(VLOOKUP(B390,TDK!A:C,3,0),0)</f>
        <v>1</v>
      </c>
      <c r="M390">
        <f>_xlfn.IFNA(VLOOKUP(B390,TDK!F:G,2,0),0)</f>
        <v>3</v>
      </c>
      <c r="N390">
        <f t="shared" si="6"/>
        <v>32</v>
      </c>
    </row>
    <row r="391" spans="1:14" x14ac:dyDescent="0.25">
      <c r="A391" t="s">
        <v>55</v>
      </c>
      <c r="B391" t="s">
        <v>1388</v>
      </c>
      <c r="C391">
        <f>VLOOKUP(B391,raw!A:K,11,0)</f>
        <v>66</v>
      </c>
      <c r="D391">
        <f>VLOOKUP(B391,raw!A:K,3,0)+VLOOKUP(B391,raw!A:K,7,0)</f>
        <v>20</v>
      </c>
      <c r="E391">
        <f>VLOOKUP(B391,raw!A:K,4,0)</f>
        <v>0</v>
      </c>
      <c r="F391">
        <f>VLOOKUP(B391,raw!A:K,5,0)</f>
        <v>0</v>
      </c>
      <c r="G391">
        <f>VLOOKUP(B391,raw!A:K,2,0)+VLOOKUP(B391,raw!A:K,10,0)</f>
        <v>0</v>
      </c>
      <c r="H391">
        <f>VLOOKUP(B391,raw!A:K,6,0)</f>
        <v>1</v>
      </c>
      <c r="I391">
        <f>VLOOKUP(B391,raw!A:K,9,0)</f>
        <v>45</v>
      </c>
      <c r="J391">
        <f>VLOOKUP(B391,raw!A:K,8,0)</f>
        <v>0</v>
      </c>
      <c r="K391">
        <f>_xlfn.IFNA(VLOOKUP(B391,TDK!A:C,2,0),0)</f>
        <v>32</v>
      </c>
      <c r="L391">
        <f>_xlfn.IFNA(VLOOKUP(B391,TDK!A:C,3,0),0)</f>
        <v>5</v>
      </c>
      <c r="M391">
        <f>_xlfn.IFNA(VLOOKUP(B391,TDK!F:G,2,0),0)</f>
        <v>7</v>
      </c>
      <c r="N391">
        <f t="shared" si="6"/>
        <v>44</v>
      </c>
    </row>
    <row r="392" spans="1:14" x14ac:dyDescent="0.25">
      <c r="A392" t="s">
        <v>56</v>
      </c>
      <c r="B392" t="s">
        <v>1389</v>
      </c>
      <c r="C392">
        <f>VLOOKUP(B392,raw!A:K,11,0)</f>
        <v>183</v>
      </c>
      <c r="D392">
        <f>VLOOKUP(B392,raw!A:K,3,0)+VLOOKUP(B392,raw!A:K,7,0)</f>
        <v>89</v>
      </c>
      <c r="E392">
        <f>VLOOKUP(B392,raw!A:K,4,0)</f>
        <v>1</v>
      </c>
      <c r="F392">
        <f>VLOOKUP(B392,raw!A:K,5,0)</f>
        <v>0</v>
      </c>
      <c r="G392">
        <f>VLOOKUP(B392,raw!A:K,2,0)+VLOOKUP(B392,raw!A:K,10,0)</f>
        <v>0</v>
      </c>
      <c r="H392">
        <f>VLOOKUP(B392,raw!A:K,6,0)</f>
        <v>0</v>
      </c>
      <c r="I392">
        <f>VLOOKUP(B392,raw!A:K,9,0)</f>
        <v>93</v>
      </c>
      <c r="J392">
        <f>VLOOKUP(B392,raw!A:K,8,0)</f>
        <v>0</v>
      </c>
      <c r="K392">
        <f>_xlfn.IFNA(VLOOKUP(B392,TDK!A:C,2,0),0)</f>
        <v>79</v>
      </c>
      <c r="L392">
        <f>_xlfn.IFNA(VLOOKUP(B392,TDK!A:C,3,0),0)</f>
        <v>7</v>
      </c>
      <c r="M392">
        <f>_xlfn.IFNA(VLOOKUP(B392,TDK!F:G,2,0),0)</f>
        <v>10</v>
      </c>
      <c r="N392">
        <f t="shared" si="6"/>
        <v>96</v>
      </c>
    </row>
    <row r="393" spans="1:14" x14ac:dyDescent="0.25">
      <c r="A393" t="s">
        <v>56</v>
      </c>
      <c r="B393" t="s">
        <v>1390</v>
      </c>
      <c r="C393">
        <f>VLOOKUP(B393,raw!A:K,11,0)</f>
        <v>162</v>
      </c>
      <c r="D393">
        <f>VLOOKUP(B393,raw!A:K,3,0)+VLOOKUP(B393,raw!A:K,7,0)</f>
        <v>129</v>
      </c>
      <c r="E393">
        <f>VLOOKUP(B393,raw!A:K,4,0)</f>
        <v>5</v>
      </c>
      <c r="F393">
        <f>VLOOKUP(B393,raw!A:K,5,0)</f>
        <v>0</v>
      </c>
      <c r="G393">
        <f>VLOOKUP(B393,raw!A:K,2,0)+VLOOKUP(B393,raw!A:K,10,0)</f>
        <v>0</v>
      </c>
      <c r="H393">
        <f>VLOOKUP(B393,raw!A:K,6,0)</f>
        <v>0</v>
      </c>
      <c r="I393">
        <f>VLOOKUP(B393,raw!A:K,9,0)</f>
        <v>28</v>
      </c>
      <c r="J393">
        <f>VLOOKUP(B393,raw!A:K,8,0)</f>
        <v>0</v>
      </c>
      <c r="K393">
        <f>_xlfn.IFNA(VLOOKUP(B393,TDK!A:C,2,0),0)</f>
        <v>26</v>
      </c>
      <c r="L393">
        <f>_xlfn.IFNA(VLOOKUP(B393,TDK!A:C,3,0),0)</f>
        <v>4</v>
      </c>
      <c r="M393">
        <f>_xlfn.IFNA(VLOOKUP(B393,TDK!F:G,2,0),0)</f>
        <v>31</v>
      </c>
      <c r="N393">
        <f t="shared" si="6"/>
        <v>61</v>
      </c>
    </row>
    <row r="394" spans="1:14" x14ac:dyDescent="0.25">
      <c r="A394" t="s">
        <v>56</v>
      </c>
      <c r="B394" t="s">
        <v>1391</v>
      </c>
      <c r="C394">
        <f>VLOOKUP(B394,raw!A:K,11,0)</f>
        <v>126</v>
      </c>
      <c r="D394">
        <f>VLOOKUP(B394,raw!A:K,3,0)+VLOOKUP(B394,raw!A:K,7,0)</f>
        <v>13</v>
      </c>
      <c r="E394">
        <f>VLOOKUP(B394,raw!A:K,4,0)</f>
        <v>9</v>
      </c>
      <c r="F394">
        <f>VLOOKUP(B394,raw!A:K,5,0)</f>
        <v>0</v>
      </c>
      <c r="G394">
        <f>VLOOKUP(B394,raw!A:K,2,0)+VLOOKUP(B394,raw!A:K,10,0)</f>
        <v>0</v>
      </c>
      <c r="H394">
        <f>VLOOKUP(B394,raw!A:K,6,0)</f>
        <v>0</v>
      </c>
      <c r="I394">
        <f>VLOOKUP(B394,raw!A:K,9,0)</f>
        <v>104</v>
      </c>
      <c r="J394">
        <f>VLOOKUP(B394,raw!A:K,8,0)</f>
        <v>0</v>
      </c>
      <c r="K394">
        <f>_xlfn.IFNA(VLOOKUP(B394,TDK!A:C,2,0),0)</f>
        <v>48</v>
      </c>
      <c r="L394">
        <f>_xlfn.IFNA(VLOOKUP(B394,TDK!A:C,3,0),0)</f>
        <v>8</v>
      </c>
      <c r="M394">
        <f>_xlfn.IFNA(VLOOKUP(B394,TDK!F:G,2,0),0)</f>
        <v>7</v>
      </c>
      <c r="N394">
        <f t="shared" si="6"/>
        <v>63</v>
      </c>
    </row>
    <row r="395" spans="1:14" x14ac:dyDescent="0.25">
      <c r="A395" t="s">
        <v>56</v>
      </c>
      <c r="B395" t="s">
        <v>1392</v>
      </c>
      <c r="C395">
        <f>VLOOKUP(B395,raw!A:K,11,0)</f>
        <v>137</v>
      </c>
      <c r="D395">
        <f>VLOOKUP(B395,raw!A:K,3,0)+VLOOKUP(B395,raw!A:K,7,0)</f>
        <v>12</v>
      </c>
      <c r="E395">
        <f>VLOOKUP(B395,raw!A:K,4,0)</f>
        <v>0</v>
      </c>
      <c r="F395">
        <f>VLOOKUP(B395,raw!A:K,5,0)</f>
        <v>0</v>
      </c>
      <c r="G395">
        <f>VLOOKUP(B395,raw!A:K,2,0)+VLOOKUP(B395,raw!A:K,10,0)</f>
        <v>0</v>
      </c>
      <c r="H395">
        <f>VLOOKUP(B395,raw!A:K,6,0)</f>
        <v>0</v>
      </c>
      <c r="I395">
        <f>VLOOKUP(B395,raw!A:K,9,0)</f>
        <v>125</v>
      </c>
      <c r="J395">
        <f>VLOOKUP(B395,raw!A:K,8,0)</f>
        <v>0</v>
      </c>
      <c r="K395">
        <f>_xlfn.IFNA(VLOOKUP(B395,TDK!A:C,2,0),0)</f>
        <v>48</v>
      </c>
      <c r="L395">
        <f>_xlfn.IFNA(VLOOKUP(B395,TDK!A:C,3,0),0)</f>
        <v>5</v>
      </c>
      <c r="M395">
        <f>_xlfn.IFNA(VLOOKUP(B395,TDK!F:G,2,0),0)</f>
        <v>7</v>
      </c>
      <c r="N395">
        <f t="shared" si="6"/>
        <v>60</v>
      </c>
    </row>
    <row r="396" spans="1:14" x14ac:dyDescent="0.25">
      <c r="A396" t="s">
        <v>53</v>
      </c>
      <c r="B396" t="s">
        <v>1393</v>
      </c>
      <c r="C396">
        <f>VLOOKUP(B396,raw!A:K,11,0)</f>
        <v>126</v>
      </c>
      <c r="D396">
        <f>VLOOKUP(B396,raw!A:K,3,0)+VLOOKUP(B396,raw!A:K,7,0)</f>
        <v>64</v>
      </c>
      <c r="E396">
        <f>VLOOKUP(B396,raw!A:K,4,0)</f>
        <v>0</v>
      </c>
      <c r="F396">
        <f>VLOOKUP(B396,raw!A:K,5,0)</f>
        <v>0</v>
      </c>
      <c r="G396">
        <f>VLOOKUP(B396,raw!A:K,2,0)+VLOOKUP(B396,raw!A:K,10,0)</f>
        <v>12</v>
      </c>
      <c r="H396">
        <f>VLOOKUP(B396,raw!A:K,6,0)</f>
        <v>1</v>
      </c>
      <c r="I396">
        <f>VLOOKUP(B396,raw!A:K,9,0)</f>
        <v>49</v>
      </c>
      <c r="J396">
        <f>VLOOKUP(B396,raw!A:K,8,0)</f>
        <v>0</v>
      </c>
      <c r="K396">
        <f>_xlfn.IFNA(VLOOKUP(B396,TDK!A:C,2,0),0)</f>
        <v>71</v>
      </c>
      <c r="L396">
        <f>_xlfn.IFNA(VLOOKUP(B396,TDK!A:C,3,0),0)</f>
        <v>9</v>
      </c>
      <c r="M396">
        <f>_xlfn.IFNA(VLOOKUP(B396,TDK!F:G,2,0),0)</f>
        <v>10</v>
      </c>
      <c r="N396">
        <f t="shared" si="6"/>
        <v>90</v>
      </c>
    </row>
    <row r="397" spans="1:14" x14ac:dyDescent="0.25">
      <c r="A397" t="s">
        <v>56</v>
      </c>
      <c r="B397" t="s">
        <v>1394</v>
      </c>
      <c r="C397">
        <f>VLOOKUP(B397,raw!A:K,11,0)</f>
        <v>144</v>
      </c>
      <c r="D397">
        <f>VLOOKUP(B397,raw!A:K,3,0)+VLOOKUP(B397,raw!A:K,7,0)</f>
        <v>16</v>
      </c>
      <c r="E397">
        <f>VLOOKUP(B397,raw!A:K,4,0)</f>
        <v>5</v>
      </c>
      <c r="F397">
        <f>VLOOKUP(B397,raw!A:K,5,0)</f>
        <v>0</v>
      </c>
      <c r="G397">
        <f>VLOOKUP(B397,raw!A:K,2,0)+VLOOKUP(B397,raw!A:K,10,0)</f>
        <v>0</v>
      </c>
      <c r="H397">
        <f>VLOOKUP(B397,raw!A:K,6,0)</f>
        <v>0</v>
      </c>
      <c r="I397">
        <f>VLOOKUP(B397,raw!A:K,9,0)</f>
        <v>123</v>
      </c>
      <c r="J397">
        <f>VLOOKUP(B397,raw!A:K,8,0)</f>
        <v>0</v>
      </c>
      <c r="K397">
        <f>_xlfn.IFNA(VLOOKUP(B397,TDK!A:C,2,0),0)</f>
        <v>47</v>
      </c>
      <c r="L397">
        <f>_xlfn.IFNA(VLOOKUP(B397,TDK!A:C,3,0),0)</f>
        <v>2</v>
      </c>
      <c r="M397">
        <f>_xlfn.IFNA(VLOOKUP(B397,TDK!F:G,2,0),0)</f>
        <v>9</v>
      </c>
      <c r="N397">
        <f t="shared" si="6"/>
        <v>58</v>
      </c>
    </row>
    <row r="398" spans="1:14" x14ac:dyDescent="0.25">
      <c r="A398" t="s">
        <v>56</v>
      </c>
      <c r="B398" t="s">
        <v>1395</v>
      </c>
      <c r="C398">
        <f>VLOOKUP(B398,raw!A:K,11,0)</f>
        <v>86</v>
      </c>
      <c r="D398">
        <f>VLOOKUP(B398,raw!A:K,3,0)+VLOOKUP(B398,raw!A:K,7,0)</f>
        <v>11</v>
      </c>
      <c r="E398">
        <f>VLOOKUP(B398,raw!A:K,4,0)</f>
        <v>0</v>
      </c>
      <c r="F398">
        <f>VLOOKUP(B398,raw!A:K,5,0)</f>
        <v>0</v>
      </c>
      <c r="G398">
        <f>VLOOKUP(B398,raw!A:K,2,0)+VLOOKUP(B398,raw!A:K,10,0)</f>
        <v>0</v>
      </c>
      <c r="H398">
        <f>VLOOKUP(B398,raw!A:K,6,0)</f>
        <v>0</v>
      </c>
      <c r="I398">
        <f>VLOOKUP(B398,raw!A:K,9,0)</f>
        <v>75</v>
      </c>
      <c r="J398">
        <f>VLOOKUP(B398,raw!A:K,8,0)</f>
        <v>0</v>
      </c>
      <c r="K398">
        <f>_xlfn.IFNA(VLOOKUP(B398,TDK!A:C,2,0),0)</f>
        <v>44</v>
      </c>
      <c r="L398">
        <f>_xlfn.IFNA(VLOOKUP(B398,TDK!A:C,3,0),0)</f>
        <v>1</v>
      </c>
      <c r="M398">
        <f>_xlfn.IFNA(VLOOKUP(B398,TDK!F:G,2,0),0)</f>
        <v>2</v>
      </c>
      <c r="N398">
        <f t="shared" si="6"/>
        <v>47</v>
      </c>
    </row>
    <row r="399" spans="1:14" x14ac:dyDescent="0.25">
      <c r="A399" t="s">
        <v>57</v>
      </c>
      <c r="B399" t="s">
        <v>1396</v>
      </c>
      <c r="C399">
        <f>VLOOKUP(B399,raw!A:K,11,0)</f>
        <v>56</v>
      </c>
      <c r="D399">
        <f>VLOOKUP(B399,raw!A:K,3,0)+VLOOKUP(B399,raw!A:K,7,0)</f>
        <v>54</v>
      </c>
      <c r="E399">
        <f>VLOOKUP(B399,raw!A:K,4,0)</f>
        <v>1</v>
      </c>
      <c r="F399">
        <f>VLOOKUP(B399,raw!A:K,5,0)</f>
        <v>0</v>
      </c>
      <c r="G399">
        <f>VLOOKUP(B399,raw!A:K,2,0)+VLOOKUP(B399,raw!A:K,10,0)</f>
        <v>0</v>
      </c>
      <c r="H399">
        <f>VLOOKUP(B399,raw!A:K,6,0)</f>
        <v>0</v>
      </c>
      <c r="I399">
        <f>VLOOKUP(B399,raw!A:K,9,0)</f>
        <v>1</v>
      </c>
      <c r="J399">
        <f>VLOOKUP(B399,raw!A:K,8,0)</f>
        <v>0</v>
      </c>
      <c r="K399">
        <f>_xlfn.IFNA(VLOOKUP(B399,TDK!A:C,2,0),0)</f>
        <v>26</v>
      </c>
      <c r="L399">
        <f>_xlfn.IFNA(VLOOKUP(B399,TDK!A:C,3,0),0)</f>
        <v>1</v>
      </c>
      <c r="M399">
        <f>_xlfn.IFNA(VLOOKUP(B399,TDK!F:G,2,0),0)</f>
        <v>0</v>
      </c>
      <c r="N399">
        <f t="shared" si="6"/>
        <v>27</v>
      </c>
    </row>
    <row r="400" spans="1:14" x14ac:dyDescent="0.25">
      <c r="A400" t="s">
        <v>58</v>
      </c>
      <c r="B400" t="s">
        <v>1397</v>
      </c>
      <c r="C400">
        <f>VLOOKUP(B400,raw!A:K,11,0)</f>
        <v>66</v>
      </c>
      <c r="D400">
        <f>VLOOKUP(B400,raw!A:K,3,0)+VLOOKUP(B400,raw!A:K,7,0)</f>
        <v>62</v>
      </c>
      <c r="E400">
        <f>VLOOKUP(B400,raw!A:K,4,0)</f>
        <v>0</v>
      </c>
      <c r="F400">
        <f>VLOOKUP(B400,raw!A:K,5,0)</f>
        <v>0</v>
      </c>
      <c r="G400">
        <f>VLOOKUP(B400,raw!A:K,2,0)+VLOOKUP(B400,raw!A:K,10,0)</f>
        <v>1</v>
      </c>
      <c r="H400">
        <f>VLOOKUP(B400,raw!A:K,6,0)</f>
        <v>0</v>
      </c>
      <c r="I400">
        <f>VLOOKUP(B400,raw!A:K,9,0)</f>
        <v>3</v>
      </c>
      <c r="J400">
        <f>VLOOKUP(B400,raw!A:K,8,0)</f>
        <v>0</v>
      </c>
      <c r="K400">
        <f>_xlfn.IFNA(VLOOKUP(B400,TDK!A:C,2,0),0)</f>
        <v>16</v>
      </c>
      <c r="L400">
        <f>_xlfn.IFNA(VLOOKUP(B400,TDK!A:C,3,0),0)</f>
        <v>0</v>
      </c>
      <c r="M400">
        <f>_xlfn.IFNA(VLOOKUP(B400,TDK!F:G,2,0),0)</f>
        <v>0</v>
      </c>
      <c r="N400">
        <f t="shared" si="6"/>
        <v>16</v>
      </c>
    </row>
    <row r="401" spans="1:14" x14ac:dyDescent="0.25">
      <c r="A401" t="s">
        <v>58</v>
      </c>
      <c r="B401" t="s">
        <v>1398</v>
      </c>
      <c r="C401">
        <f>VLOOKUP(B401,raw!A:K,11,0)</f>
        <v>78</v>
      </c>
      <c r="D401">
        <f>VLOOKUP(B401,raw!A:K,3,0)+VLOOKUP(B401,raw!A:K,7,0)</f>
        <v>76</v>
      </c>
      <c r="E401">
        <f>VLOOKUP(B401,raw!A:K,4,0)</f>
        <v>0</v>
      </c>
      <c r="F401">
        <f>VLOOKUP(B401,raw!A:K,5,0)</f>
        <v>0</v>
      </c>
      <c r="G401">
        <f>VLOOKUP(B401,raw!A:K,2,0)+VLOOKUP(B401,raw!A:K,10,0)</f>
        <v>1</v>
      </c>
      <c r="H401">
        <f>VLOOKUP(B401,raw!A:K,6,0)</f>
        <v>0</v>
      </c>
      <c r="I401">
        <f>VLOOKUP(B401,raw!A:K,9,0)</f>
        <v>1</v>
      </c>
      <c r="J401">
        <f>VLOOKUP(B401,raw!A:K,8,0)</f>
        <v>0</v>
      </c>
      <c r="K401">
        <f>_xlfn.IFNA(VLOOKUP(B401,TDK!A:C,2,0),0)</f>
        <v>18</v>
      </c>
      <c r="L401">
        <f>_xlfn.IFNA(VLOOKUP(B401,TDK!A:C,3,0),0)</f>
        <v>0</v>
      </c>
      <c r="M401">
        <f>_xlfn.IFNA(VLOOKUP(B401,TDK!F:G,2,0),0)</f>
        <v>13</v>
      </c>
      <c r="N401">
        <f t="shared" si="6"/>
        <v>31</v>
      </c>
    </row>
    <row r="402" spans="1:14" x14ac:dyDescent="0.25">
      <c r="A402" t="s">
        <v>58</v>
      </c>
      <c r="B402" t="s">
        <v>1399</v>
      </c>
      <c r="C402">
        <f>VLOOKUP(B402,raw!A:K,11,0)</f>
        <v>141</v>
      </c>
      <c r="D402">
        <f>VLOOKUP(B402,raw!A:K,3,0)+VLOOKUP(B402,raw!A:K,7,0)</f>
        <v>136</v>
      </c>
      <c r="E402">
        <f>VLOOKUP(B402,raw!A:K,4,0)</f>
        <v>0</v>
      </c>
      <c r="F402">
        <f>VLOOKUP(B402,raw!A:K,5,0)</f>
        <v>0</v>
      </c>
      <c r="G402">
        <f>VLOOKUP(B402,raw!A:K,2,0)+VLOOKUP(B402,raw!A:K,10,0)</f>
        <v>0</v>
      </c>
      <c r="H402">
        <f>VLOOKUP(B402,raw!A:K,6,0)</f>
        <v>0</v>
      </c>
      <c r="I402">
        <f>VLOOKUP(B402,raw!A:K,9,0)</f>
        <v>5</v>
      </c>
      <c r="J402">
        <f>VLOOKUP(B402,raw!A:K,8,0)</f>
        <v>0</v>
      </c>
      <c r="K402">
        <f>_xlfn.IFNA(VLOOKUP(B402,TDK!A:C,2,0),0)</f>
        <v>37</v>
      </c>
      <c r="L402">
        <f>_xlfn.IFNA(VLOOKUP(B402,TDK!A:C,3,0),0)</f>
        <v>1</v>
      </c>
      <c r="M402">
        <f>_xlfn.IFNA(VLOOKUP(B402,TDK!F:G,2,0),0)</f>
        <v>8</v>
      </c>
      <c r="N402">
        <f t="shared" si="6"/>
        <v>46</v>
      </c>
    </row>
    <row r="403" spans="1:14" x14ac:dyDescent="0.25">
      <c r="A403" t="s">
        <v>57</v>
      </c>
      <c r="B403" t="s">
        <v>1400</v>
      </c>
      <c r="C403">
        <f>VLOOKUP(B403,raw!A:K,11,0)</f>
        <v>75</v>
      </c>
      <c r="D403">
        <f>VLOOKUP(B403,raw!A:K,3,0)+VLOOKUP(B403,raw!A:K,7,0)</f>
        <v>68</v>
      </c>
      <c r="E403">
        <f>VLOOKUP(B403,raw!A:K,4,0)</f>
        <v>0</v>
      </c>
      <c r="F403">
        <f>VLOOKUP(B403,raw!A:K,5,0)</f>
        <v>0</v>
      </c>
      <c r="G403">
        <f>VLOOKUP(B403,raw!A:K,2,0)+VLOOKUP(B403,raw!A:K,10,0)</f>
        <v>0</v>
      </c>
      <c r="H403">
        <f>VLOOKUP(B403,raw!A:K,6,0)</f>
        <v>0</v>
      </c>
      <c r="I403">
        <f>VLOOKUP(B403,raw!A:K,9,0)</f>
        <v>7</v>
      </c>
      <c r="J403">
        <f>VLOOKUP(B403,raw!A:K,8,0)</f>
        <v>0</v>
      </c>
      <c r="K403">
        <f>_xlfn.IFNA(VLOOKUP(B403,TDK!A:C,2,0),0)</f>
        <v>24</v>
      </c>
      <c r="L403">
        <f>_xlfn.IFNA(VLOOKUP(B403,TDK!A:C,3,0),0)</f>
        <v>0</v>
      </c>
      <c r="M403">
        <f>_xlfn.IFNA(VLOOKUP(B403,TDK!F:G,2,0),0)</f>
        <v>11</v>
      </c>
      <c r="N403">
        <f t="shared" si="6"/>
        <v>35</v>
      </c>
    </row>
    <row r="404" spans="1:14" x14ac:dyDescent="0.25">
      <c r="A404" t="s">
        <v>57</v>
      </c>
      <c r="B404" t="s">
        <v>1401</v>
      </c>
      <c r="C404">
        <f>VLOOKUP(B404,raw!A:K,11,0)</f>
        <v>91</v>
      </c>
      <c r="D404">
        <f>VLOOKUP(B404,raw!A:K,3,0)+VLOOKUP(B404,raw!A:K,7,0)</f>
        <v>86</v>
      </c>
      <c r="E404">
        <f>VLOOKUP(B404,raw!A:K,4,0)</f>
        <v>0</v>
      </c>
      <c r="F404">
        <f>VLOOKUP(B404,raw!A:K,5,0)</f>
        <v>0</v>
      </c>
      <c r="G404">
        <f>VLOOKUP(B404,raw!A:K,2,0)+VLOOKUP(B404,raw!A:K,10,0)</f>
        <v>0</v>
      </c>
      <c r="H404">
        <f>VLOOKUP(B404,raw!A:K,6,0)</f>
        <v>0</v>
      </c>
      <c r="I404">
        <f>VLOOKUP(B404,raw!A:K,9,0)</f>
        <v>5</v>
      </c>
      <c r="J404">
        <f>VLOOKUP(B404,raw!A:K,8,0)</f>
        <v>0</v>
      </c>
      <c r="K404">
        <f>_xlfn.IFNA(VLOOKUP(B404,TDK!A:C,2,0),0)</f>
        <v>38</v>
      </c>
      <c r="L404">
        <f>_xlfn.IFNA(VLOOKUP(B404,TDK!A:C,3,0),0)</f>
        <v>2</v>
      </c>
      <c r="M404">
        <f>_xlfn.IFNA(VLOOKUP(B404,TDK!F:G,2,0),0)</f>
        <v>6</v>
      </c>
      <c r="N404">
        <f t="shared" si="6"/>
        <v>46</v>
      </c>
    </row>
    <row r="405" spans="1:14" x14ac:dyDescent="0.25">
      <c r="A405" t="s">
        <v>58</v>
      </c>
      <c r="B405" t="s">
        <v>1402</v>
      </c>
      <c r="C405">
        <f>VLOOKUP(B405,raw!A:K,11,0)</f>
        <v>74</v>
      </c>
      <c r="D405">
        <f>VLOOKUP(B405,raw!A:K,3,0)+VLOOKUP(B405,raw!A:K,7,0)</f>
        <v>73</v>
      </c>
      <c r="E405">
        <f>VLOOKUP(B405,raw!A:K,4,0)</f>
        <v>0</v>
      </c>
      <c r="F405">
        <f>VLOOKUP(B405,raw!A:K,5,0)</f>
        <v>0</v>
      </c>
      <c r="G405">
        <f>VLOOKUP(B405,raw!A:K,2,0)+VLOOKUP(B405,raw!A:K,10,0)</f>
        <v>0</v>
      </c>
      <c r="H405">
        <f>VLOOKUP(B405,raw!A:K,6,0)</f>
        <v>0</v>
      </c>
      <c r="I405">
        <f>VLOOKUP(B405,raw!A:K,9,0)</f>
        <v>1</v>
      </c>
      <c r="J405">
        <f>VLOOKUP(B405,raw!A:K,8,0)</f>
        <v>0</v>
      </c>
      <c r="K405">
        <f>_xlfn.IFNA(VLOOKUP(B405,TDK!A:C,2,0),0)</f>
        <v>33</v>
      </c>
      <c r="L405">
        <f>_xlfn.IFNA(VLOOKUP(B405,TDK!A:C,3,0),0)</f>
        <v>2</v>
      </c>
      <c r="M405">
        <f>_xlfn.IFNA(VLOOKUP(B405,TDK!F:G,2,0),0)</f>
        <v>6</v>
      </c>
      <c r="N405">
        <f t="shared" si="6"/>
        <v>41</v>
      </c>
    </row>
    <row r="406" spans="1:14" x14ac:dyDescent="0.25">
      <c r="A406" t="s">
        <v>57</v>
      </c>
      <c r="B406" t="s">
        <v>1403</v>
      </c>
      <c r="C406">
        <f>VLOOKUP(B406,raw!A:K,11,0)</f>
        <v>183</v>
      </c>
      <c r="D406">
        <f>VLOOKUP(B406,raw!A:K,3,0)+VLOOKUP(B406,raw!A:K,7,0)</f>
        <v>161</v>
      </c>
      <c r="E406">
        <f>VLOOKUP(B406,raw!A:K,4,0)</f>
        <v>1</v>
      </c>
      <c r="F406">
        <f>VLOOKUP(B406,raw!A:K,5,0)</f>
        <v>0</v>
      </c>
      <c r="G406">
        <f>VLOOKUP(B406,raw!A:K,2,0)+VLOOKUP(B406,raw!A:K,10,0)</f>
        <v>0</v>
      </c>
      <c r="H406">
        <f>VLOOKUP(B406,raw!A:K,6,0)</f>
        <v>0</v>
      </c>
      <c r="I406">
        <f>VLOOKUP(B406,raw!A:K,9,0)</f>
        <v>21</v>
      </c>
      <c r="J406">
        <f>VLOOKUP(B406,raw!A:K,8,0)</f>
        <v>0</v>
      </c>
      <c r="K406">
        <f>_xlfn.IFNA(VLOOKUP(B406,TDK!A:C,2,0),0)</f>
        <v>46</v>
      </c>
      <c r="L406">
        <f>_xlfn.IFNA(VLOOKUP(B406,TDK!A:C,3,0),0)</f>
        <v>2</v>
      </c>
      <c r="M406">
        <f>_xlfn.IFNA(VLOOKUP(B406,TDK!F:G,2,0),0)</f>
        <v>16</v>
      </c>
      <c r="N406">
        <f t="shared" si="6"/>
        <v>64</v>
      </c>
    </row>
    <row r="407" spans="1:14" x14ac:dyDescent="0.25">
      <c r="A407" t="s">
        <v>57</v>
      </c>
      <c r="B407" t="s">
        <v>1404</v>
      </c>
      <c r="C407">
        <f>VLOOKUP(B407,raw!A:K,11,0)</f>
        <v>84</v>
      </c>
      <c r="D407">
        <f>VLOOKUP(B407,raw!A:K,3,0)+VLOOKUP(B407,raw!A:K,7,0)</f>
        <v>75</v>
      </c>
      <c r="E407">
        <f>VLOOKUP(B407,raw!A:K,4,0)</f>
        <v>0</v>
      </c>
      <c r="F407">
        <f>VLOOKUP(B407,raw!A:K,5,0)</f>
        <v>0</v>
      </c>
      <c r="G407">
        <f>VLOOKUP(B407,raw!A:K,2,0)+VLOOKUP(B407,raw!A:K,10,0)</f>
        <v>0</v>
      </c>
      <c r="H407">
        <f>VLOOKUP(B407,raw!A:K,6,0)</f>
        <v>0</v>
      </c>
      <c r="I407">
        <f>VLOOKUP(B407,raw!A:K,9,0)</f>
        <v>9</v>
      </c>
      <c r="J407">
        <f>VLOOKUP(B407,raw!A:K,8,0)</f>
        <v>0</v>
      </c>
      <c r="K407">
        <f>_xlfn.IFNA(VLOOKUP(B407,TDK!A:C,2,0),0)</f>
        <v>34</v>
      </c>
      <c r="L407">
        <f>_xlfn.IFNA(VLOOKUP(B407,TDK!A:C,3,0),0)</f>
        <v>0</v>
      </c>
      <c r="M407">
        <f>_xlfn.IFNA(VLOOKUP(B407,TDK!F:G,2,0),0)</f>
        <v>11</v>
      </c>
      <c r="N407">
        <f t="shared" si="6"/>
        <v>45</v>
      </c>
    </row>
    <row r="408" spans="1:14" x14ac:dyDescent="0.25">
      <c r="A408" t="s">
        <v>57</v>
      </c>
      <c r="B408" t="s">
        <v>1405</v>
      </c>
      <c r="C408">
        <f>VLOOKUP(B408,raw!A:K,11,0)</f>
        <v>88</v>
      </c>
      <c r="D408">
        <f>VLOOKUP(B408,raw!A:K,3,0)+VLOOKUP(B408,raw!A:K,7,0)</f>
        <v>59</v>
      </c>
      <c r="E408">
        <f>VLOOKUP(B408,raw!A:K,4,0)</f>
        <v>0</v>
      </c>
      <c r="F408">
        <f>VLOOKUP(B408,raw!A:K,5,0)</f>
        <v>0</v>
      </c>
      <c r="G408">
        <f>VLOOKUP(B408,raw!A:K,2,0)+VLOOKUP(B408,raw!A:K,10,0)</f>
        <v>0</v>
      </c>
      <c r="H408">
        <f>VLOOKUP(B408,raw!A:K,6,0)</f>
        <v>0</v>
      </c>
      <c r="I408">
        <f>VLOOKUP(B408,raw!A:K,9,0)</f>
        <v>29</v>
      </c>
      <c r="J408">
        <f>VLOOKUP(B408,raw!A:K,8,0)</f>
        <v>0</v>
      </c>
      <c r="K408">
        <f>_xlfn.IFNA(VLOOKUP(B408,TDK!A:C,2,0),0)</f>
        <v>32</v>
      </c>
      <c r="L408">
        <f>_xlfn.IFNA(VLOOKUP(B408,TDK!A:C,3,0),0)</f>
        <v>8</v>
      </c>
      <c r="M408">
        <f>_xlfn.IFNA(VLOOKUP(B408,TDK!F:G,2,0),0)</f>
        <v>13</v>
      </c>
      <c r="N408">
        <f t="shared" si="6"/>
        <v>53</v>
      </c>
    </row>
    <row r="409" spans="1:14" x14ac:dyDescent="0.25">
      <c r="A409" t="s">
        <v>57</v>
      </c>
      <c r="B409" t="s">
        <v>1406</v>
      </c>
      <c r="C409">
        <f>VLOOKUP(B409,raw!A:K,11,0)</f>
        <v>130</v>
      </c>
      <c r="D409">
        <f>VLOOKUP(B409,raw!A:K,3,0)+VLOOKUP(B409,raw!A:K,7,0)</f>
        <v>98</v>
      </c>
      <c r="E409">
        <f>VLOOKUP(B409,raw!A:K,4,0)</f>
        <v>0</v>
      </c>
      <c r="F409">
        <f>VLOOKUP(B409,raw!A:K,5,0)</f>
        <v>0</v>
      </c>
      <c r="G409">
        <f>VLOOKUP(B409,raw!A:K,2,0)+VLOOKUP(B409,raw!A:K,10,0)</f>
        <v>0</v>
      </c>
      <c r="H409">
        <f>VLOOKUP(B409,raw!A:K,6,0)</f>
        <v>1</v>
      </c>
      <c r="I409">
        <f>VLOOKUP(B409,raw!A:K,9,0)</f>
        <v>31</v>
      </c>
      <c r="J409">
        <f>VLOOKUP(B409,raw!A:K,8,0)</f>
        <v>0</v>
      </c>
      <c r="K409">
        <f>_xlfn.IFNA(VLOOKUP(B409,TDK!A:C,2,0),0)</f>
        <v>33</v>
      </c>
      <c r="L409">
        <f>_xlfn.IFNA(VLOOKUP(B409,TDK!A:C,3,0),0)</f>
        <v>0</v>
      </c>
      <c r="M409">
        <f>_xlfn.IFNA(VLOOKUP(B409,TDK!F:G,2,0),0)</f>
        <v>30</v>
      </c>
      <c r="N409">
        <f t="shared" si="6"/>
        <v>63</v>
      </c>
    </row>
    <row r="410" spans="1:14" x14ac:dyDescent="0.25">
      <c r="A410" t="s">
        <v>57</v>
      </c>
      <c r="B410" t="s">
        <v>1407</v>
      </c>
      <c r="C410">
        <f>VLOOKUP(B410,raw!A:K,11,0)</f>
        <v>115</v>
      </c>
      <c r="D410">
        <f>VLOOKUP(B410,raw!A:K,3,0)+VLOOKUP(B410,raw!A:K,7,0)</f>
        <v>62</v>
      </c>
      <c r="E410">
        <f>VLOOKUP(B410,raw!A:K,4,0)</f>
        <v>3</v>
      </c>
      <c r="F410">
        <f>VLOOKUP(B410,raw!A:K,5,0)</f>
        <v>0</v>
      </c>
      <c r="G410">
        <f>VLOOKUP(B410,raw!A:K,2,0)+VLOOKUP(B410,raw!A:K,10,0)</f>
        <v>0</v>
      </c>
      <c r="H410">
        <f>VLOOKUP(B410,raw!A:K,6,0)</f>
        <v>0</v>
      </c>
      <c r="I410">
        <f>VLOOKUP(B410,raw!A:K,9,0)</f>
        <v>50</v>
      </c>
      <c r="J410">
        <f>VLOOKUP(B410,raw!A:K,8,0)</f>
        <v>0</v>
      </c>
      <c r="K410">
        <f>_xlfn.IFNA(VLOOKUP(B410,TDK!A:C,2,0),0)</f>
        <v>29</v>
      </c>
      <c r="L410">
        <f>_xlfn.IFNA(VLOOKUP(B410,TDK!A:C,3,0),0)</f>
        <v>20</v>
      </c>
      <c r="M410">
        <f>_xlfn.IFNA(VLOOKUP(B410,TDK!F:G,2,0),0)</f>
        <v>5</v>
      </c>
      <c r="N410">
        <f t="shared" si="6"/>
        <v>54</v>
      </c>
    </row>
    <row r="411" spans="1:14" x14ac:dyDescent="0.25">
      <c r="A411" t="s">
        <v>58</v>
      </c>
      <c r="B411" t="s">
        <v>1408</v>
      </c>
      <c r="C411">
        <f>VLOOKUP(B411,raw!A:K,11,0)</f>
        <v>125</v>
      </c>
      <c r="D411">
        <f>VLOOKUP(B411,raw!A:K,3,0)+VLOOKUP(B411,raw!A:K,7,0)</f>
        <v>68</v>
      </c>
      <c r="E411">
        <f>VLOOKUP(B411,raw!A:K,4,0)</f>
        <v>1</v>
      </c>
      <c r="F411">
        <f>VLOOKUP(B411,raw!A:K,5,0)</f>
        <v>0</v>
      </c>
      <c r="G411">
        <f>VLOOKUP(B411,raw!A:K,2,0)+VLOOKUP(B411,raw!A:K,10,0)</f>
        <v>37</v>
      </c>
      <c r="H411">
        <f>VLOOKUP(B411,raw!A:K,6,0)</f>
        <v>0</v>
      </c>
      <c r="I411">
        <f>VLOOKUP(B411,raw!A:K,9,0)</f>
        <v>19</v>
      </c>
      <c r="J411">
        <f>VLOOKUP(B411,raw!A:K,8,0)</f>
        <v>0</v>
      </c>
      <c r="K411">
        <f>_xlfn.IFNA(VLOOKUP(B411,TDK!A:C,2,0),0)</f>
        <v>63</v>
      </c>
      <c r="L411">
        <f>_xlfn.IFNA(VLOOKUP(B411,TDK!A:C,3,0),0)</f>
        <v>0</v>
      </c>
      <c r="M411">
        <f>_xlfn.IFNA(VLOOKUP(B411,TDK!F:G,2,0),0)</f>
        <v>11</v>
      </c>
      <c r="N411">
        <f t="shared" si="6"/>
        <v>74</v>
      </c>
    </row>
    <row r="412" spans="1:14" x14ac:dyDescent="0.25">
      <c r="A412" t="s">
        <v>58</v>
      </c>
      <c r="B412" t="s">
        <v>1409</v>
      </c>
      <c r="C412">
        <f>VLOOKUP(B412,raw!A:K,11,0)</f>
        <v>79</v>
      </c>
      <c r="D412">
        <f>VLOOKUP(B412,raw!A:K,3,0)+VLOOKUP(B412,raw!A:K,7,0)</f>
        <v>63</v>
      </c>
      <c r="E412">
        <f>VLOOKUP(B412,raw!A:K,4,0)</f>
        <v>0</v>
      </c>
      <c r="F412">
        <f>VLOOKUP(B412,raw!A:K,5,0)</f>
        <v>0</v>
      </c>
      <c r="G412">
        <f>VLOOKUP(B412,raw!A:K,2,0)+VLOOKUP(B412,raw!A:K,10,0)</f>
        <v>1</v>
      </c>
      <c r="H412">
        <f>VLOOKUP(B412,raw!A:K,6,0)</f>
        <v>0</v>
      </c>
      <c r="I412">
        <f>VLOOKUP(B412,raw!A:K,9,0)</f>
        <v>15</v>
      </c>
      <c r="J412">
        <f>VLOOKUP(B412,raw!A:K,8,0)</f>
        <v>0</v>
      </c>
      <c r="K412">
        <f>_xlfn.IFNA(VLOOKUP(B412,TDK!A:C,2,0),0)</f>
        <v>33</v>
      </c>
      <c r="L412">
        <f>_xlfn.IFNA(VLOOKUP(B412,TDK!A:C,3,0),0)</f>
        <v>2</v>
      </c>
      <c r="M412">
        <f>_xlfn.IFNA(VLOOKUP(B412,TDK!F:G,2,0),0)</f>
        <v>6</v>
      </c>
      <c r="N412">
        <f t="shared" si="6"/>
        <v>41</v>
      </c>
    </row>
    <row r="413" spans="1:14" x14ac:dyDescent="0.25">
      <c r="A413" t="s">
        <v>58</v>
      </c>
      <c r="B413" t="s">
        <v>1410</v>
      </c>
      <c r="C413">
        <f>VLOOKUP(B413,raw!A:K,11,0)</f>
        <v>112</v>
      </c>
      <c r="D413">
        <f>VLOOKUP(B413,raw!A:K,3,0)+VLOOKUP(B413,raw!A:K,7,0)</f>
        <v>51</v>
      </c>
      <c r="E413">
        <f>VLOOKUP(B413,raw!A:K,4,0)</f>
        <v>0</v>
      </c>
      <c r="F413">
        <f>VLOOKUP(B413,raw!A:K,5,0)</f>
        <v>0</v>
      </c>
      <c r="G413">
        <f>VLOOKUP(B413,raw!A:K,2,0)+VLOOKUP(B413,raw!A:K,10,0)</f>
        <v>1</v>
      </c>
      <c r="H413">
        <f>VLOOKUP(B413,raw!A:K,6,0)</f>
        <v>0</v>
      </c>
      <c r="I413">
        <f>VLOOKUP(B413,raw!A:K,9,0)</f>
        <v>60</v>
      </c>
      <c r="J413">
        <f>VLOOKUP(B413,raw!A:K,8,0)</f>
        <v>0</v>
      </c>
      <c r="K413">
        <f>_xlfn.IFNA(VLOOKUP(B413,TDK!A:C,2,0),0)</f>
        <v>54</v>
      </c>
      <c r="L413">
        <f>_xlfn.IFNA(VLOOKUP(B413,TDK!A:C,3,0),0)</f>
        <v>1</v>
      </c>
      <c r="M413">
        <f>_xlfn.IFNA(VLOOKUP(B413,TDK!F:G,2,0),0)</f>
        <v>0</v>
      </c>
      <c r="N413">
        <f t="shared" si="6"/>
        <v>55</v>
      </c>
    </row>
    <row r="414" spans="1:14" x14ac:dyDescent="0.25">
      <c r="A414" t="s">
        <v>59</v>
      </c>
      <c r="B414" t="s">
        <v>1411</v>
      </c>
      <c r="C414">
        <f>VLOOKUP(B414,raw!A:K,11,0)</f>
        <v>219</v>
      </c>
      <c r="D414">
        <f>VLOOKUP(B414,raw!A:K,3,0)+VLOOKUP(B414,raw!A:K,7,0)</f>
        <v>137</v>
      </c>
      <c r="E414">
        <f>VLOOKUP(B414,raw!A:K,4,0)</f>
        <v>0</v>
      </c>
      <c r="F414">
        <f>VLOOKUP(B414,raw!A:K,5,0)</f>
        <v>0</v>
      </c>
      <c r="G414">
        <f>VLOOKUP(B414,raw!A:K,2,0)+VLOOKUP(B414,raw!A:K,10,0)</f>
        <v>0</v>
      </c>
      <c r="H414">
        <f>VLOOKUP(B414,raw!A:K,6,0)</f>
        <v>0</v>
      </c>
      <c r="I414">
        <f>VLOOKUP(B414,raw!A:K,9,0)</f>
        <v>82</v>
      </c>
      <c r="J414">
        <f>VLOOKUP(B414,raw!A:K,8,0)</f>
        <v>0</v>
      </c>
      <c r="K414">
        <f>_xlfn.IFNA(VLOOKUP(B414,TDK!A:C,2,0),0)</f>
        <v>39</v>
      </c>
      <c r="L414">
        <f>_xlfn.IFNA(VLOOKUP(B414,TDK!A:C,3,0),0)</f>
        <v>5</v>
      </c>
      <c r="M414">
        <f>_xlfn.IFNA(VLOOKUP(B414,TDK!F:G,2,0),0)</f>
        <v>28</v>
      </c>
      <c r="N414">
        <f t="shared" si="6"/>
        <v>72</v>
      </c>
    </row>
    <row r="415" spans="1:14" x14ac:dyDescent="0.25">
      <c r="A415" t="s">
        <v>59</v>
      </c>
      <c r="B415" t="s">
        <v>1412</v>
      </c>
      <c r="C415">
        <f>VLOOKUP(B415,raw!A:K,11,0)</f>
        <v>245</v>
      </c>
      <c r="D415">
        <f>VLOOKUP(B415,raw!A:K,3,0)+VLOOKUP(B415,raw!A:K,7,0)</f>
        <v>154</v>
      </c>
      <c r="E415">
        <f>VLOOKUP(B415,raw!A:K,4,0)</f>
        <v>0</v>
      </c>
      <c r="F415">
        <f>VLOOKUP(B415,raw!A:K,5,0)</f>
        <v>0</v>
      </c>
      <c r="G415">
        <f>VLOOKUP(B415,raw!A:K,2,0)+VLOOKUP(B415,raw!A:K,10,0)</f>
        <v>0</v>
      </c>
      <c r="H415">
        <f>VLOOKUP(B415,raw!A:K,6,0)</f>
        <v>0</v>
      </c>
      <c r="I415">
        <f>VLOOKUP(B415,raw!A:K,9,0)</f>
        <v>91</v>
      </c>
      <c r="J415">
        <f>VLOOKUP(B415,raw!A:K,8,0)</f>
        <v>0</v>
      </c>
      <c r="K415">
        <f>_xlfn.IFNA(VLOOKUP(B415,TDK!A:C,2,0),0)</f>
        <v>46</v>
      </c>
      <c r="L415">
        <f>_xlfn.IFNA(VLOOKUP(B415,TDK!A:C,3,0),0)</f>
        <v>0</v>
      </c>
      <c r="M415">
        <f>_xlfn.IFNA(VLOOKUP(B415,TDK!F:G,2,0),0)</f>
        <v>53</v>
      </c>
      <c r="N415">
        <f t="shared" si="6"/>
        <v>99</v>
      </c>
    </row>
    <row r="416" spans="1:14" x14ac:dyDescent="0.25">
      <c r="A416" t="s">
        <v>59</v>
      </c>
      <c r="B416" t="s">
        <v>1413</v>
      </c>
      <c r="C416">
        <f>VLOOKUP(B416,raw!A:K,11,0)</f>
        <v>175</v>
      </c>
      <c r="D416">
        <f>VLOOKUP(B416,raw!A:K,3,0)+VLOOKUP(B416,raw!A:K,7,0)</f>
        <v>140</v>
      </c>
      <c r="E416">
        <f>VLOOKUP(B416,raw!A:K,4,0)</f>
        <v>0</v>
      </c>
      <c r="F416">
        <f>VLOOKUP(B416,raw!A:K,5,0)</f>
        <v>0</v>
      </c>
      <c r="G416">
        <f>VLOOKUP(B416,raw!A:K,2,0)+VLOOKUP(B416,raw!A:K,10,0)</f>
        <v>0</v>
      </c>
      <c r="H416">
        <f>VLOOKUP(B416,raw!A:K,6,0)</f>
        <v>0</v>
      </c>
      <c r="I416">
        <f>VLOOKUP(B416,raw!A:K,9,0)</f>
        <v>35</v>
      </c>
      <c r="J416">
        <f>VLOOKUP(B416,raw!A:K,8,0)</f>
        <v>0</v>
      </c>
      <c r="K416">
        <f>_xlfn.IFNA(VLOOKUP(B416,TDK!A:C,2,0),0)</f>
        <v>62</v>
      </c>
      <c r="L416">
        <f>_xlfn.IFNA(VLOOKUP(B416,TDK!A:C,3,0),0)</f>
        <v>1</v>
      </c>
      <c r="M416">
        <f>_xlfn.IFNA(VLOOKUP(B416,TDK!F:G,2,0),0)</f>
        <v>22</v>
      </c>
      <c r="N416">
        <f t="shared" si="6"/>
        <v>85</v>
      </c>
    </row>
    <row r="417" spans="1:14" x14ac:dyDescent="0.25">
      <c r="A417" t="s">
        <v>59</v>
      </c>
      <c r="B417" t="s">
        <v>1414</v>
      </c>
      <c r="C417">
        <f>VLOOKUP(B417,raw!A:K,11,0)</f>
        <v>134</v>
      </c>
      <c r="D417">
        <f>VLOOKUP(B417,raw!A:K,3,0)+VLOOKUP(B417,raw!A:K,7,0)</f>
        <v>96</v>
      </c>
      <c r="E417">
        <f>VLOOKUP(B417,raw!A:K,4,0)</f>
        <v>0</v>
      </c>
      <c r="F417">
        <f>VLOOKUP(B417,raw!A:K,5,0)</f>
        <v>0</v>
      </c>
      <c r="G417">
        <f>VLOOKUP(B417,raw!A:K,2,0)+VLOOKUP(B417,raw!A:K,10,0)</f>
        <v>0</v>
      </c>
      <c r="H417">
        <f>VLOOKUP(B417,raw!A:K,6,0)</f>
        <v>0</v>
      </c>
      <c r="I417">
        <f>VLOOKUP(B417,raw!A:K,9,0)</f>
        <v>38</v>
      </c>
      <c r="J417">
        <f>VLOOKUP(B417,raw!A:K,8,0)</f>
        <v>0</v>
      </c>
      <c r="K417">
        <f>_xlfn.IFNA(VLOOKUP(B417,TDK!A:C,2,0),0)</f>
        <v>35</v>
      </c>
      <c r="L417">
        <f>_xlfn.IFNA(VLOOKUP(B417,TDK!A:C,3,0),0)</f>
        <v>1</v>
      </c>
      <c r="M417">
        <f>_xlfn.IFNA(VLOOKUP(B417,TDK!F:G,2,0),0)</f>
        <v>3</v>
      </c>
      <c r="N417">
        <f t="shared" si="6"/>
        <v>39</v>
      </c>
    </row>
    <row r="418" spans="1:14" x14ac:dyDescent="0.25">
      <c r="A418" t="s">
        <v>59</v>
      </c>
      <c r="B418" t="s">
        <v>1415</v>
      </c>
      <c r="C418">
        <f>VLOOKUP(B418,raw!A:K,11,0)</f>
        <v>84</v>
      </c>
      <c r="D418">
        <f>VLOOKUP(B418,raw!A:K,3,0)+VLOOKUP(B418,raw!A:K,7,0)</f>
        <v>64</v>
      </c>
      <c r="E418">
        <f>VLOOKUP(B418,raw!A:K,4,0)</f>
        <v>0</v>
      </c>
      <c r="F418">
        <f>VLOOKUP(B418,raw!A:K,5,0)</f>
        <v>0</v>
      </c>
      <c r="G418">
        <f>VLOOKUP(B418,raw!A:K,2,0)+VLOOKUP(B418,raw!A:K,10,0)</f>
        <v>0</v>
      </c>
      <c r="H418">
        <f>VLOOKUP(B418,raw!A:K,6,0)</f>
        <v>0</v>
      </c>
      <c r="I418">
        <f>VLOOKUP(B418,raw!A:K,9,0)</f>
        <v>20</v>
      </c>
      <c r="J418">
        <f>VLOOKUP(B418,raw!A:K,8,0)</f>
        <v>0</v>
      </c>
      <c r="K418">
        <f>_xlfn.IFNA(VLOOKUP(B418,TDK!A:C,2,0),0)</f>
        <v>30</v>
      </c>
      <c r="L418">
        <f>_xlfn.IFNA(VLOOKUP(B418,TDK!A:C,3,0),0)</f>
        <v>3</v>
      </c>
      <c r="M418">
        <f>_xlfn.IFNA(VLOOKUP(B418,TDK!F:G,2,0),0)</f>
        <v>7</v>
      </c>
      <c r="N418">
        <f t="shared" si="6"/>
        <v>40</v>
      </c>
    </row>
    <row r="419" spans="1:14" x14ac:dyDescent="0.25">
      <c r="A419" t="s">
        <v>60</v>
      </c>
      <c r="B419" t="s">
        <v>1416</v>
      </c>
      <c r="C419">
        <f>VLOOKUP(B419,raw!A:K,11,0)</f>
        <v>185</v>
      </c>
      <c r="D419">
        <f>VLOOKUP(B419,raw!A:K,3,0)+VLOOKUP(B419,raw!A:K,7,0)</f>
        <v>173</v>
      </c>
      <c r="E419">
        <f>VLOOKUP(B419,raw!A:K,4,0)</f>
        <v>0</v>
      </c>
      <c r="F419">
        <f>VLOOKUP(B419,raw!A:K,5,0)</f>
        <v>0</v>
      </c>
      <c r="G419">
        <f>VLOOKUP(B419,raw!A:K,2,0)+VLOOKUP(B419,raw!A:K,10,0)</f>
        <v>0</v>
      </c>
      <c r="H419">
        <f>VLOOKUP(B419,raw!A:K,6,0)</f>
        <v>0</v>
      </c>
      <c r="I419">
        <f>VLOOKUP(B419,raw!A:K,9,0)</f>
        <v>12</v>
      </c>
      <c r="J419">
        <f>VLOOKUP(B419,raw!A:K,8,0)</f>
        <v>0</v>
      </c>
      <c r="K419">
        <f>_xlfn.IFNA(VLOOKUP(B419,TDK!A:C,2,0),0)</f>
        <v>89</v>
      </c>
      <c r="L419">
        <f>_xlfn.IFNA(VLOOKUP(B419,TDK!A:C,3,0),0)</f>
        <v>26</v>
      </c>
      <c r="M419">
        <f>_xlfn.IFNA(VLOOKUP(B419,TDK!F:G,2,0),0)</f>
        <v>30</v>
      </c>
      <c r="N419">
        <f t="shared" si="6"/>
        <v>145</v>
      </c>
    </row>
    <row r="420" spans="1:14" x14ac:dyDescent="0.25">
      <c r="A420" t="s">
        <v>59</v>
      </c>
      <c r="B420" t="s">
        <v>1417</v>
      </c>
      <c r="C420">
        <f>VLOOKUP(B420,raw!A:K,11,0)</f>
        <v>119</v>
      </c>
      <c r="D420">
        <f>VLOOKUP(B420,raw!A:K,3,0)+VLOOKUP(B420,raw!A:K,7,0)</f>
        <v>106</v>
      </c>
      <c r="E420">
        <f>VLOOKUP(B420,raw!A:K,4,0)</f>
        <v>0</v>
      </c>
      <c r="F420">
        <f>VLOOKUP(B420,raw!A:K,5,0)</f>
        <v>0</v>
      </c>
      <c r="G420">
        <f>VLOOKUP(B420,raw!A:K,2,0)+VLOOKUP(B420,raw!A:K,10,0)</f>
        <v>0</v>
      </c>
      <c r="H420">
        <f>VLOOKUP(B420,raw!A:K,6,0)</f>
        <v>0</v>
      </c>
      <c r="I420">
        <f>VLOOKUP(B420,raw!A:K,9,0)</f>
        <v>13</v>
      </c>
      <c r="J420">
        <f>VLOOKUP(B420,raw!A:K,8,0)</f>
        <v>0</v>
      </c>
      <c r="K420">
        <f>_xlfn.IFNA(VLOOKUP(B420,TDK!A:C,2,0),0)</f>
        <v>57</v>
      </c>
      <c r="L420">
        <f>_xlfn.IFNA(VLOOKUP(B420,TDK!A:C,3,0),0)</f>
        <v>2</v>
      </c>
      <c r="M420">
        <f>_xlfn.IFNA(VLOOKUP(B420,TDK!F:G,2,0),0)</f>
        <v>14</v>
      </c>
      <c r="N420">
        <f t="shared" si="6"/>
        <v>73</v>
      </c>
    </row>
    <row r="421" spans="1:14" x14ac:dyDescent="0.25">
      <c r="A421" t="s">
        <v>61</v>
      </c>
      <c r="B421" t="s">
        <v>1418</v>
      </c>
      <c r="C421">
        <f>VLOOKUP(B421,raw!A:K,11,0)</f>
        <v>67</v>
      </c>
      <c r="D421">
        <f>VLOOKUP(B421,raw!A:K,3,0)+VLOOKUP(B421,raw!A:K,7,0)</f>
        <v>66</v>
      </c>
      <c r="E421">
        <f>VLOOKUP(B421,raw!A:K,4,0)</f>
        <v>0</v>
      </c>
      <c r="F421">
        <f>VLOOKUP(B421,raw!A:K,5,0)</f>
        <v>0</v>
      </c>
      <c r="G421">
        <f>VLOOKUP(B421,raw!A:K,2,0)+VLOOKUP(B421,raw!A:K,10,0)</f>
        <v>0</v>
      </c>
      <c r="H421">
        <f>VLOOKUP(B421,raw!A:K,6,0)</f>
        <v>0</v>
      </c>
      <c r="I421">
        <f>VLOOKUP(B421,raw!A:K,9,0)</f>
        <v>1</v>
      </c>
      <c r="J421">
        <f>VLOOKUP(B421,raw!A:K,8,0)</f>
        <v>0</v>
      </c>
      <c r="K421">
        <f>_xlfn.IFNA(VLOOKUP(B421,TDK!A:C,2,0),0)</f>
        <v>7</v>
      </c>
      <c r="L421">
        <f>_xlfn.IFNA(VLOOKUP(B421,TDK!A:C,3,0),0)</f>
        <v>2</v>
      </c>
      <c r="M421">
        <f>_xlfn.IFNA(VLOOKUP(B421,TDK!F:G,2,0),0)</f>
        <v>16</v>
      </c>
      <c r="N421">
        <f t="shared" si="6"/>
        <v>25</v>
      </c>
    </row>
    <row r="422" spans="1:14" x14ac:dyDescent="0.25">
      <c r="A422" t="s">
        <v>61</v>
      </c>
      <c r="B422" t="s">
        <v>1419</v>
      </c>
      <c r="C422">
        <f>VLOOKUP(B422,raw!A:K,11,0)</f>
        <v>100</v>
      </c>
      <c r="D422">
        <f>VLOOKUP(B422,raw!A:K,3,0)+VLOOKUP(B422,raw!A:K,7,0)</f>
        <v>87</v>
      </c>
      <c r="E422">
        <f>VLOOKUP(B422,raw!A:K,4,0)</f>
        <v>0</v>
      </c>
      <c r="F422">
        <f>VLOOKUP(B422,raw!A:K,5,0)</f>
        <v>0</v>
      </c>
      <c r="G422">
        <f>VLOOKUP(B422,raw!A:K,2,0)+VLOOKUP(B422,raw!A:K,10,0)</f>
        <v>0</v>
      </c>
      <c r="H422">
        <f>VLOOKUP(B422,raw!A:K,6,0)</f>
        <v>0</v>
      </c>
      <c r="I422">
        <f>VLOOKUP(B422,raw!A:K,9,0)</f>
        <v>13</v>
      </c>
      <c r="J422">
        <f>VLOOKUP(B422,raw!A:K,8,0)</f>
        <v>0</v>
      </c>
      <c r="K422">
        <f>_xlfn.IFNA(VLOOKUP(B422,TDK!A:C,2,0),0)</f>
        <v>39</v>
      </c>
      <c r="L422">
        <f>_xlfn.IFNA(VLOOKUP(B422,TDK!A:C,3,0),0)</f>
        <v>10</v>
      </c>
      <c r="M422">
        <f>_xlfn.IFNA(VLOOKUP(B422,TDK!F:G,2,0),0)</f>
        <v>9</v>
      </c>
      <c r="N422">
        <f t="shared" si="6"/>
        <v>58</v>
      </c>
    </row>
    <row r="423" spans="1:14" x14ac:dyDescent="0.25">
      <c r="A423" t="s">
        <v>61</v>
      </c>
      <c r="B423" t="s">
        <v>1420</v>
      </c>
      <c r="C423">
        <f>VLOOKUP(B423,raw!A:K,11,0)</f>
        <v>181</v>
      </c>
      <c r="D423">
        <f>VLOOKUP(B423,raw!A:K,3,0)+VLOOKUP(B423,raw!A:K,7,0)</f>
        <v>178</v>
      </c>
      <c r="E423">
        <f>VLOOKUP(B423,raw!A:K,4,0)</f>
        <v>0</v>
      </c>
      <c r="F423">
        <f>VLOOKUP(B423,raw!A:K,5,0)</f>
        <v>0</v>
      </c>
      <c r="G423">
        <f>VLOOKUP(B423,raw!A:K,2,0)+VLOOKUP(B423,raw!A:K,10,0)</f>
        <v>0</v>
      </c>
      <c r="H423">
        <f>VLOOKUP(B423,raw!A:K,6,0)</f>
        <v>0</v>
      </c>
      <c r="I423">
        <f>VLOOKUP(B423,raw!A:K,9,0)</f>
        <v>3</v>
      </c>
      <c r="J423">
        <f>VLOOKUP(B423,raw!A:K,8,0)</f>
        <v>0</v>
      </c>
      <c r="K423">
        <f>_xlfn.IFNA(VLOOKUP(B423,TDK!A:C,2,0),0)</f>
        <v>64</v>
      </c>
      <c r="L423">
        <f>_xlfn.IFNA(VLOOKUP(B423,TDK!A:C,3,0),0)</f>
        <v>6</v>
      </c>
      <c r="M423">
        <f>_xlfn.IFNA(VLOOKUP(B423,TDK!F:G,2,0),0)</f>
        <v>12</v>
      </c>
      <c r="N423">
        <f t="shared" si="6"/>
        <v>82</v>
      </c>
    </row>
    <row r="424" spans="1:14" x14ac:dyDescent="0.25">
      <c r="A424" t="s">
        <v>61</v>
      </c>
      <c r="B424" t="s">
        <v>1421</v>
      </c>
      <c r="C424">
        <f>VLOOKUP(B424,raw!A:K,11,0)</f>
        <v>239</v>
      </c>
      <c r="D424">
        <f>VLOOKUP(B424,raw!A:K,3,0)+VLOOKUP(B424,raw!A:K,7,0)</f>
        <v>234</v>
      </c>
      <c r="E424">
        <f>VLOOKUP(B424,raw!A:K,4,0)</f>
        <v>0</v>
      </c>
      <c r="F424">
        <f>VLOOKUP(B424,raw!A:K,5,0)</f>
        <v>0</v>
      </c>
      <c r="G424">
        <f>VLOOKUP(B424,raw!A:K,2,0)+VLOOKUP(B424,raw!A:K,10,0)</f>
        <v>0</v>
      </c>
      <c r="H424">
        <f>VLOOKUP(B424,raw!A:K,6,0)</f>
        <v>0</v>
      </c>
      <c r="I424">
        <f>VLOOKUP(B424,raw!A:K,9,0)</f>
        <v>5</v>
      </c>
      <c r="J424">
        <f>VLOOKUP(B424,raw!A:K,8,0)</f>
        <v>0</v>
      </c>
      <c r="K424">
        <f>_xlfn.IFNA(VLOOKUP(B424,TDK!A:C,2,0),0)</f>
        <v>177</v>
      </c>
      <c r="L424">
        <f>_xlfn.IFNA(VLOOKUP(B424,TDK!A:C,3,0),0)</f>
        <v>13</v>
      </c>
      <c r="M424">
        <f>_xlfn.IFNA(VLOOKUP(B424,TDK!F:G,2,0),0)</f>
        <v>2</v>
      </c>
      <c r="N424">
        <f t="shared" si="6"/>
        <v>192</v>
      </c>
    </row>
    <row r="425" spans="1:14" x14ac:dyDescent="0.25">
      <c r="A425" t="s">
        <v>61</v>
      </c>
      <c r="B425" t="s">
        <v>1422</v>
      </c>
      <c r="C425">
        <f>VLOOKUP(B425,raw!A:K,11,0)</f>
        <v>141</v>
      </c>
      <c r="D425">
        <f>VLOOKUP(B425,raw!A:K,3,0)+VLOOKUP(B425,raw!A:K,7,0)</f>
        <v>136</v>
      </c>
      <c r="E425">
        <f>VLOOKUP(B425,raw!A:K,4,0)</f>
        <v>0</v>
      </c>
      <c r="F425">
        <f>VLOOKUP(B425,raw!A:K,5,0)</f>
        <v>0</v>
      </c>
      <c r="G425">
        <f>VLOOKUP(B425,raw!A:K,2,0)+VLOOKUP(B425,raw!A:K,10,0)</f>
        <v>0</v>
      </c>
      <c r="H425">
        <f>VLOOKUP(B425,raw!A:K,6,0)</f>
        <v>0</v>
      </c>
      <c r="I425">
        <f>VLOOKUP(B425,raw!A:K,9,0)</f>
        <v>5</v>
      </c>
      <c r="J425">
        <f>VLOOKUP(B425,raw!A:K,8,0)</f>
        <v>0</v>
      </c>
      <c r="K425">
        <f>_xlfn.IFNA(VLOOKUP(B425,TDK!A:C,2,0),0)</f>
        <v>14</v>
      </c>
      <c r="L425">
        <f>_xlfn.IFNA(VLOOKUP(B425,TDK!A:C,3,0),0)</f>
        <v>0</v>
      </c>
      <c r="M425">
        <f>_xlfn.IFNA(VLOOKUP(B425,TDK!F:G,2,0),0)</f>
        <v>10</v>
      </c>
      <c r="N425">
        <f t="shared" si="6"/>
        <v>24</v>
      </c>
    </row>
    <row r="426" spans="1:14" x14ac:dyDescent="0.25">
      <c r="A426" t="s">
        <v>983</v>
      </c>
      <c r="B426" t="s">
        <v>1423</v>
      </c>
      <c r="C426">
        <f>VLOOKUP(B426,raw!A:K,11,0)</f>
        <v>156</v>
      </c>
      <c r="D426">
        <f>VLOOKUP(B426,raw!A:K,3,0)+VLOOKUP(B426,raw!A:K,7,0)</f>
        <v>147</v>
      </c>
      <c r="E426">
        <f>VLOOKUP(B426,raw!A:K,4,0)</f>
        <v>0</v>
      </c>
      <c r="F426">
        <f>VLOOKUP(B426,raw!A:K,5,0)</f>
        <v>0</v>
      </c>
      <c r="G426">
        <f>VLOOKUP(B426,raw!A:K,2,0)+VLOOKUP(B426,raw!A:K,10,0)</f>
        <v>1</v>
      </c>
      <c r="H426">
        <f>VLOOKUP(B426,raw!A:K,6,0)</f>
        <v>0</v>
      </c>
      <c r="I426">
        <f>VLOOKUP(B426,raw!A:K,9,0)</f>
        <v>8</v>
      </c>
      <c r="J426">
        <f>VLOOKUP(B426,raw!A:K,8,0)</f>
        <v>0</v>
      </c>
      <c r="K426">
        <f>_xlfn.IFNA(VLOOKUP(B426,TDK!A:C,2,0),0)</f>
        <v>9</v>
      </c>
      <c r="L426">
        <f>_xlfn.IFNA(VLOOKUP(B426,TDK!A:C,3,0),0)</f>
        <v>1</v>
      </c>
      <c r="M426">
        <f>_xlfn.IFNA(VLOOKUP(B426,TDK!F:G,2,0),0)</f>
        <v>31</v>
      </c>
      <c r="N426">
        <f t="shared" si="6"/>
        <v>41</v>
      </c>
    </row>
    <row r="427" spans="1:14" x14ac:dyDescent="0.25">
      <c r="A427" t="s">
        <v>983</v>
      </c>
      <c r="B427" t="s">
        <v>1424</v>
      </c>
      <c r="C427">
        <f>VLOOKUP(B427,raw!A:K,11,0)</f>
        <v>97</v>
      </c>
      <c r="D427">
        <f>VLOOKUP(B427,raw!A:K,3,0)+VLOOKUP(B427,raw!A:K,7,0)</f>
        <v>94</v>
      </c>
      <c r="E427">
        <f>VLOOKUP(B427,raw!A:K,4,0)</f>
        <v>0</v>
      </c>
      <c r="F427">
        <f>VLOOKUP(B427,raw!A:K,5,0)</f>
        <v>0</v>
      </c>
      <c r="G427">
        <f>VLOOKUP(B427,raw!A:K,2,0)+VLOOKUP(B427,raw!A:K,10,0)</f>
        <v>0</v>
      </c>
      <c r="H427">
        <f>VLOOKUP(B427,raw!A:K,6,0)</f>
        <v>0</v>
      </c>
      <c r="I427">
        <f>VLOOKUP(B427,raw!A:K,9,0)</f>
        <v>3</v>
      </c>
      <c r="J427">
        <f>VLOOKUP(B427,raw!A:K,8,0)</f>
        <v>0</v>
      </c>
      <c r="K427">
        <f>_xlfn.IFNA(VLOOKUP(B427,TDK!A:C,2,0),0)</f>
        <v>22</v>
      </c>
      <c r="L427">
        <f>_xlfn.IFNA(VLOOKUP(B427,TDK!A:C,3,0),0)</f>
        <v>8</v>
      </c>
      <c r="M427">
        <f>_xlfn.IFNA(VLOOKUP(B427,TDK!F:G,2,0),0)</f>
        <v>9</v>
      </c>
      <c r="N427">
        <f t="shared" si="6"/>
        <v>39</v>
      </c>
    </row>
    <row r="428" spans="1:14" x14ac:dyDescent="0.25">
      <c r="A428" t="s">
        <v>60</v>
      </c>
      <c r="B428" t="s">
        <v>1425</v>
      </c>
      <c r="C428">
        <f>VLOOKUP(B428,raw!A:K,11,0)</f>
        <v>88</v>
      </c>
      <c r="D428">
        <f>VLOOKUP(B428,raw!A:K,3,0)+VLOOKUP(B428,raw!A:K,7,0)</f>
        <v>81</v>
      </c>
      <c r="E428">
        <f>VLOOKUP(B428,raw!A:K,4,0)</f>
        <v>0</v>
      </c>
      <c r="F428">
        <f>VLOOKUP(B428,raw!A:K,5,0)</f>
        <v>0</v>
      </c>
      <c r="G428">
        <f>VLOOKUP(B428,raw!A:K,2,0)+VLOOKUP(B428,raw!A:K,10,0)</f>
        <v>0</v>
      </c>
      <c r="H428">
        <f>VLOOKUP(B428,raw!A:K,6,0)</f>
        <v>0</v>
      </c>
      <c r="I428">
        <f>VLOOKUP(B428,raw!A:K,9,0)</f>
        <v>7</v>
      </c>
      <c r="J428">
        <f>VLOOKUP(B428,raw!A:K,8,0)</f>
        <v>0</v>
      </c>
      <c r="K428">
        <f>_xlfn.IFNA(VLOOKUP(B428,TDK!A:C,2,0),0)</f>
        <v>39</v>
      </c>
      <c r="L428">
        <f>_xlfn.IFNA(VLOOKUP(B428,TDK!A:C,3,0),0)</f>
        <v>10</v>
      </c>
      <c r="M428">
        <f>_xlfn.IFNA(VLOOKUP(B428,TDK!F:G,2,0),0)</f>
        <v>1</v>
      </c>
      <c r="N428">
        <f t="shared" si="6"/>
        <v>50</v>
      </c>
    </row>
    <row r="429" spans="1:14" x14ac:dyDescent="0.25">
      <c r="A429" t="s">
        <v>983</v>
      </c>
      <c r="B429" t="s">
        <v>1426</v>
      </c>
      <c r="C429">
        <f>VLOOKUP(B429,raw!A:K,11,0)</f>
        <v>154</v>
      </c>
      <c r="D429">
        <f>VLOOKUP(B429,raw!A:K,3,0)+VLOOKUP(B429,raw!A:K,7,0)</f>
        <v>67</v>
      </c>
      <c r="E429">
        <f>VLOOKUP(B429,raw!A:K,4,0)</f>
        <v>0</v>
      </c>
      <c r="F429">
        <f>VLOOKUP(B429,raw!A:K,5,0)</f>
        <v>0</v>
      </c>
      <c r="G429">
        <f>VLOOKUP(B429,raw!A:K,2,0)+VLOOKUP(B429,raw!A:K,10,0)</f>
        <v>0</v>
      </c>
      <c r="H429">
        <f>VLOOKUP(B429,raw!A:K,6,0)</f>
        <v>0</v>
      </c>
      <c r="I429">
        <f>VLOOKUP(B429,raw!A:K,9,0)</f>
        <v>87</v>
      </c>
      <c r="J429">
        <f>VLOOKUP(B429,raw!A:K,8,0)</f>
        <v>0</v>
      </c>
      <c r="K429">
        <f>_xlfn.IFNA(VLOOKUP(B429,TDK!A:C,2,0),0)</f>
        <v>46</v>
      </c>
      <c r="L429">
        <f>_xlfn.IFNA(VLOOKUP(B429,TDK!A:C,3,0),0)</f>
        <v>6</v>
      </c>
      <c r="M429">
        <f>_xlfn.IFNA(VLOOKUP(B429,TDK!F:G,2,0),0)</f>
        <v>26</v>
      </c>
      <c r="N429">
        <f t="shared" si="6"/>
        <v>78</v>
      </c>
    </row>
    <row r="430" spans="1:14" x14ac:dyDescent="0.25">
      <c r="A430" t="s">
        <v>983</v>
      </c>
      <c r="B430" t="s">
        <v>1427</v>
      </c>
      <c r="C430">
        <f>VLOOKUP(B430,raw!A:K,11,0)</f>
        <v>255</v>
      </c>
      <c r="D430">
        <f>VLOOKUP(B430,raw!A:K,3,0)+VLOOKUP(B430,raw!A:K,7,0)</f>
        <v>117</v>
      </c>
      <c r="E430">
        <f>VLOOKUP(B430,raw!A:K,4,0)</f>
        <v>0</v>
      </c>
      <c r="F430">
        <f>VLOOKUP(B430,raw!A:K,5,0)</f>
        <v>0</v>
      </c>
      <c r="G430">
        <f>VLOOKUP(B430,raw!A:K,2,0)+VLOOKUP(B430,raw!A:K,10,0)</f>
        <v>0</v>
      </c>
      <c r="H430">
        <f>VLOOKUP(B430,raw!A:K,6,0)</f>
        <v>0</v>
      </c>
      <c r="I430">
        <f>VLOOKUP(B430,raw!A:K,9,0)</f>
        <v>138</v>
      </c>
      <c r="J430">
        <f>VLOOKUP(B430,raw!A:K,8,0)</f>
        <v>0</v>
      </c>
      <c r="K430">
        <f>_xlfn.IFNA(VLOOKUP(B430,TDK!A:C,2,0),0)</f>
        <v>64</v>
      </c>
      <c r="L430">
        <f>_xlfn.IFNA(VLOOKUP(B430,TDK!A:C,3,0),0)</f>
        <v>27</v>
      </c>
      <c r="M430">
        <f>_xlfn.IFNA(VLOOKUP(B430,TDK!F:G,2,0),0)</f>
        <v>40</v>
      </c>
      <c r="N430">
        <f t="shared" si="6"/>
        <v>131</v>
      </c>
    </row>
    <row r="431" spans="1:14" x14ac:dyDescent="0.25">
      <c r="A431" t="s">
        <v>63</v>
      </c>
      <c r="B431" t="s">
        <v>1428</v>
      </c>
      <c r="C431">
        <f>VLOOKUP(B431,raw!A:K,11,0)</f>
        <v>354</v>
      </c>
      <c r="D431">
        <f>VLOOKUP(B431,raw!A:K,3,0)+VLOOKUP(B431,raw!A:K,7,0)</f>
        <v>158</v>
      </c>
      <c r="E431">
        <f>VLOOKUP(B431,raw!A:K,4,0)</f>
        <v>22</v>
      </c>
      <c r="F431">
        <f>VLOOKUP(B431,raw!A:K,5,0)</f>
        <v>0</v>
      </c>
      <c r="G431">
        <f>VLOOKUP(B431,raw!A:K,2,0)+VLOOKUP(B431,raw!A:K,10,0)</f>
        <v>16</v>
      </c>
      <c r="H431">
        <f>VLOOKUP(B431,raw!A:K,6,0)</f>
        <v>1</v>
      </c>
      <c r="I431">
        <f>VLOOKUP(B431,raw!A:K,9,0)</f>
        <v>157</v>
      </c>
      <c r="J431">
        <f>VLOOKUP(B431,raw!A:K,8,0)</f>
        <v>0</v>
      </c>
      <c r="K431">
        <f>_xlfn.IFNA(VLOOKUP(B431,TDK!A:C,2,0),0)</f>
        <v>182</v>
      </c>
      <c r="L431">
        <f>_xlfn.IFNA(VLOOKUP(B431,TDK!A:C,3,0),0)</f>
        <v>5</v>
      </c>
      <c r="M431">
        <f>_xlfn.IFNA(VLOOKUP(B431,TDK!F:G,2,0),0)</f>
        <v>12</v>
      </c>
      <c r="N431">
        <f t="shared" si="6"/>
        <v>199</v>
      </c>
    </row>
    <row r="432" spans="1:14" x14ac:dyDescent="0.25">
      <c r="A432" t="s">
        <v>983</v>
      </c>
      <c r="B432" t="s">
        <v>1429</v>
      </c>
      <c r="C432">
        <f>VLOOKUP(B432,raw!A:K,11,0)</f>
        <v>182</v>
      </c>
      <c r="D432">
        <f>VLOOKUP(B432,raw!A:K,3,0)+VLOOKUP(B432,raw!A:K,7,0)</f>
        <v>70</v>
      </c>
      <c r="E432">
        <f>VLOOKUP(B432,raw!A:K,4,0)</f>
        <v>0</v>
      </c>
      <c r="F432">
        <f>VLOOKUP(B432,raw!A:K,5,0)</f>
        <v>0</v>
      </c>
      <c r="G432">
        <f>VLOOKUP(B432,raw!A:K,2,0)+VLOOKUP(B432,raw!A:K,10,0)</f>
        <v>0</v>
      </c>
      <c r="H432">
        <f>VLOOKUP(B432,raw!A:K,6,0)</f>
        <v>0</v>
      </c>
      <c r="I432">
        <f>VLOOKUP(B432,raw!A:K,9,0)</f>
        <v>112</v>
      </c>
      <c r="J432">
        <f>VLOOKUP(B432,raw!A:K,8,0)</f>
        <v>0</v>
      </c>
      <c r="K432">
        <f>_xlfn.IFNA(VLOOKUP(B432,TDK!A:C,2,0),0)</f>
        <v>47</v>
      </c>
      <c r="L432">
        <f>_xlfn.IFNA(VLOOKUP(B432,TDK!A:C,3,0),0)</f>
        <v>3</v>
      </c>
      <c r="M432">
        <f>_xlfn.IFNA(VLOOKUP(B432,TDK!F:G,2,0),0)</f>
        <v>52</v>
      </c>
      <c r="N432">
        <f t="shared" si="6"/>
        <v>102</v>
      </c>
    </row>
    <row r="433" spans="1:14" x14ac:dyDescent="0.25">
      <c r="A433" t="s">
        <v>983</v>
      </c>
      <c r="B433" t="s">
        <v>1430</v>
      </c>
      <c r="C433">
        <f>VLOOKUP(B433,raw!A:K,11,0)</f>
        <v>177</v>
      </c>
      <c r="D433">
        <f>VLOOKUP(B433,raw!A:K,3,0)+VLOOKUP(B433,raw!A:K,7,0)</f>
        <v>19</v>
      </c>
      <c r="E433">
        <f>VLOOKUP(B433,raw!A:K,4,0)</f>
        <v>0</v>
      </c>
      <c r="F433">
        <f>VLOOKUP(B433,raw!A:K,5,0)</f>
        <v>0</v>
      </c>
      <c r="G433">
        <f>VLOOKUP(B433,raw!A:K,2,0)+VLOOKUP(B433,raw!A:K,10,0)</f>
        <v>0</v>
      </c>
      <c r="H433">
        <f>VLOOKUP(B433,raw!A:K,6,0)</f>
        <v>0</v>
      </c>
      <c r="I433">
        <f>VLOOKUP(B433,raw!A:K,9,0)</f>
        <v>158</v>
      </c>
      <c r="J433">
        <f>VLOOKUP(B433,raw!A:K,8,0)</f>
        <v>0</v>
      </c>
      <c r="K433">
        <f>_xlfn.IFNA(VLOOKUP(B433,TDK!A:C,2,0),0)</f>
        <v>70</v>
      </c>
      <c r="L433">
        <f>_xlfn.IFNA(VLOOKUP(B433,TDK!A:C,3,0),0)</f>
        <v>4</v>
      </c>
      <c r="M433">
        <f>_xlfn.IFNA(VLOOKUP(B433,TDK!F:G,2,0),0)</f>
        <v>11</v>
      </c>
      <c r="N433">
        <f t="shared" si="6"/>
        <v>85</v>
      </c>
    </row>
    <row r="434" spans="1:14" x14ac:dyDescent="0.25">
      <c r="A434" t="s">
        <v>60</v>
      </c>
      <c r="B434" t="s">
        <v>1431</v>
      </c>
      <c r="C434">
        <f>VLOOKUP(B434,raw!A:K,11,0)</f>
        <v>109</v>
      </c>
      <c r="D434">
        <f>VLOOKUP(B434,raw!A:K,3,0)+VLOOKUP(B434,raw!A:K,7,0)</f>
        <v>61</v>
      </c>
      <c r="E434">
        <f>VLOOKUP(B434,raw!A:K,4,0)</f>
        <v>0</v>
      </c>
      <c r="F434">
        <f>VLOOKUP(B434,raw!A:K,5,0)</f>
        <v>0</v>
      </c>
      <c r="G434">
        <f>VLOOKUP(B434,raw!A:K,2,0)+VLOOKUP(B434,raw!A:K,10,0)</f>
        <v>0</v>
      </c>
      <c r="H434">
        <f>VLOOKUP(B434,raw!A:K,6,0)</f>
        <v>0</v>
      </c>
      <c r="I434">
        <f>VLOOKUP(B434,raw!A:K,9,0)</f>
        <v>48</v>
      </c>
      <c r="J434">
        <f>VLOOKUP(B434,raw!A:K,8,0)</f>
        <v>0</v>
      </c>
      <c r="K434">
        <f>_xlfn.IFNA(VLOOKUP(B434,TDK!A:C,2,0),0)</f>
        <v>44</v>
      </c>
      <c r="L434">
        <f>_xlfn.IFNA(VLOOKUP(B434,TDK!A:C,3,0),0)</f>
        <v>6</v>
      </c>
      <c r="M434">
        <f>_xlfn.IFNA(VLOOKUP(B434,TDK!F:G,2,0),0)</f>
        <v>0</v>
      </c>
      <c r="N434">
        <f t="shared" si="6"/>
        <v>50</v>
      </c>
    </row>
    <row r="435" spans="1:14" x14ac:dyDescent="0.25">
      <c r="A435" t="s">
        <v>60</v>
      </c>
      <c r="B435" t="s">
        <v>1432</v>
      </c>
      <c r="C435">
        <f>VLOOKUP(B435,raw!A:K,11,0)</f>
        <v>180</v>
      </c>
      <c r="D435">
        <f>VLOOKUP(B435,raw!A:K,3,0)+VLOOKUP(B435,raw!A:K,7,0)</f>
        <v>180</v>
      </c>
      <c r="E435">
        <f>VLOOKUP(B435,raw!A:K,4,0)</f>
        <v>0</v>
      </c>
      <c r="F435">
        <f>VLOOKUP(B435,raw!A:K,5,0)</f>
        <v>0</v>
      </c>
      <c r="G435">
        <f>VLOOKUP(B435,raw!A:K,2,0)+VLOOKUP(B435,raw!A:K,10,0)</f>
        <v>0</v>
      </c>
      <c r="H435">
        <f>VLOOKUP(B435,raw!A:K,6,0)</f>
        <v>0</v>
      </c>
      <c r="I435">
        <f>VLOOKUP(B435,raw!A:K,9,0)</f>
        <v>0</v>
      </c>
      <c r="J435">
        <f>VLOOKUP(B435,raw!A:K,8,0)</f>
        <v>0</v>
      </c>
      <c r="K435">
        <f>_xlfn.IFNA(VLOOKUP(B435,TDK!A:C,2,0),0)</f>
        <v>45</v>
      </c>
      <c r="L435">
        <f>_xlfn.IFNA(VLOOKUP(B435,TDK!A:C,3,0),0)</f>
        <v>3</v>
      </c>
      <c r="M435">
        <f>_xlfn.IFNA(VLOOKUP(B435,TDK!F:G,2,0),0)</f>
        <v>10</v>
      </c>
      <c r="N435">
        <f t="shared" si="6"/>
        <v>58</v>
      </c>
    </row>
    <row r="436" spans="1:14" x14ac:dyDescent="0.25">
      <c r="A436" t="s">
        <v>63</v>
      </c>
      <c r="B436" t="s">
        <v>1433</v>
      </c>
      <c r="C436">
        <f>VLOOKUP(B436,raw!A:K,11,0)</f>
        <v>229</v>
      </c>
      <c r="D436">
        <f>VLOOKUP(B436,raw!A:K,3,0)+VLOOKUP(B436,raw!A:K,7,0)</f>
        <v>17</v>
      </c>
      <c r="E436">
        <f>VLOOKUP(B436,raw!A:K,4,0)</f>
        <v>4</v>
      </c>
      <c r="F436">
        <f>VLOOKUP(B436,raw!A:K,5,0)</f>
        <v>0</v>
      </c>
      <c r="G436">
        <f>VLOOKUP(B436,raw!A:K,2,0)+VLOOKUP(B436,raw!A:K,10,0)</f>
        <v>9</v>
      </c>
      <c r="H436">
        <f>VLOOKUP(B436,raw!A:K,6,0)</f>
        <v>0</v>
      </c>
      <c r="I436">
        <f>VLOOKUP(B436,raw!A:K,9,0)</f>
        <v>199</v>
      </c>
      <c r="J436">
        <f>VLOOKUP(B436,raw!A:K,8,0)</f>
        <v>0</v>
      </c>
      <c r="K436">
        <f>_xlfn.IFNA(VLOOKUP(B436,TDK!A:C,2,0),0)</f>
        <v>110</v>
      </c>
      <c r="L436">
        <f>_xlfn.IFNA(VLOOKUP(B436,TDK!A:C,3,0),0)</f>
        <v>1</v>
      </c>
      <c r="M436">
        <f>_xlfn.IFNA(VLOOKUP(B436,TDK!F:G,2,0),0)</f>
        <v>16</v>
      </c>
      <c r="N436">
        <f t="shared" si="6"/>
        <v>127</v>
      </c>
    </row>
    <row r="437" spans="1:14" x14ac:dyDescent="0.25">
      <c r="A437" t="s">
        <v>60</v>
      </c>
      <c r="B437" t="s">
        <v>1434</v>
      </c>
      <c r="C437">
        <f>VLOOKUP(B437,raw!A:K,11,0)</f>
        <v>104</v>
      </c>
      <c r="D437">
        <f>VLOOKUP(B437,raw!A:K,3,0)+VLOOKUP(B437,raw!A:K,7,0)</f>
        <v>54</v>
      </c>
      <c r="E437">
        <f>VLOOKUP(B437,raw!A:K,4,0)</f>
        <v>0</v>
      </c>
      <c r="F437">
        <f>VLOOKUP(B437,raw!A:K,5,0)</f>
        <v>0</v>
      </c>
      <c r="G437">
        <f>VLOOKUP(B437,raw!A:K,2,0)+VLOOKUP(B437,raw!A:K,10,0)</f>
        <v>0</v>
      </c>
      <c r="H437">
        <f>VLOOKUP(B437,raw!A:K,6,0)</f>
        <v>0</v>
      </c>
      <c r="I437">
        <f>VLOOKUP(B437,raw!A:K,9,0)</f>
        <v>50</v>
      </c>
      <c r="J437">
        <f>VLOOKUP(B437,raw!A:K,8,0)</f>
        <v>0</v>
      </c>
      <c r="K437">
        <f>_xlfn.IFNA(VLOOKUP(B437,TDK!A:C,2,0),0)</f>
        <v>52</v>
      </c>
      <c r="L437">
        <f>_xlfn.IFNA(VLOOKUP(B437,TDK!A:C,3,0),0)</f>
        <v>0</v>
      </c>
      <c r="M437">
        <f>_xlfn.IFNA(VLOOKUP(B437,TDK!F:G,2,0),0)</f>
        <v>0</v>
      </c>
      <c r="N437">
        <f t="shared" si="6"/>
        <v>52</v>
      </c>
    </row>
    <row r="438" spans="1:14" x14ac:dyDescent="0.25">
      <c r="A438" t="s">
        <v>63</v>
      </c>
      <c r="B438" t="s">
        <v>1435</v>
      </c>
      <c r="C438">
        <f>VLOOKUP(B438,raw!A:K,11,0)</f>
        <v>123</v>
      </c>
      <c r="D438">
        <f>VLOOKUP(B438,raw!A:K,3,0)+VLOOKUP(B438,raw!A:K,7,0)</f>
        <v>9</v>
      </c>
      <c r="E438">
        <f>VLOOKUP(B438,raw!A:K,4,0)</f>
        <v>0</v>
      </c>
      <c r="F438">
        <f>VLOOKUP(B438,raw!A:K,5,0)</f>
        <v>0</v>
      </c>
      <c r="G438">
        <f>VLOOKUP(B438,raw!A:K,2,0)+VLOOKUP(B438,raw!A:K,10,0)</f>
        <v>3</v>
      </c>
      <c r="H438">
        <f>VLOOKUP(B438,raw!A:K,6,0)</f>
        <v>3</v>
      </c>
      <c r="I438">
        <f>VLOOKUP(B438,raw!A:K,9,0)</f>
        <v>108</v>
      </c>
      <c r="J438">
        <f>VLOOKUP(B438,raw!A:K,8,0)</f>
        <v>0</v>
      </c>
      <c r="K438">
        <f>_xlfn.IFNA(VLOOKUP(B438,TDK!A:C,2,0),0)</f>
        <v>37</v>
      </c>
      <c r="L438">
        <f>_xlfn.IFNA(VLOOKUP(B438,TDK!A:C,3,0),0)</f>
        <v>3</v>
      </c>
      <c r="M438">
        <f>_xlfn.IFNA(VLOOKUP(B438,TDK!F:G,2,0),0)</f>
        <v>16</v>
      </c>
      <c r="N438">
        <f t="shared" si="6"/>
        <v>56</v>
      </c>
    </row>
    <row r="439" spans="1:14" x14ac:dyDescent="0.25">
      <c r="A439" t="s">
        <v>64</v>
      </c>
      <c r="B439" t="s">
        <v>1436</v>
      </c>
      <c r="C439">
        <f>VLOOKUP(B439,raw!A:K,11,0)</f>
        <v>211</v>
      </c>
      <c r="D439">
        <f>VLOOKUP(B439,raw!A:K,3,0)+VLOOKUP(B439,raw!A:K,7,0)</f>
        <v>64</v>
      </c>
      <c r="E439">
        <f>VLOOKUP(B439,raw!A:K,4,0)</f>
        <v>0</v>
      </c>
      <c r="F439">
        <f>VLOOKUP(B439,raw!A:K,5,0)</f>
        <v>0</v>
      </c>
      <c r="G439">
        <f>VLOOKUP(B439,raw!A:K,2,0)+VLOOKUP(B439,raw!A:K,10,0)</f>
        <v>0</v>
      </c>
      <c r="H439">
        <f>VLOOKUP(B439,raw!A:K,6,0)</f>
        <v>0</v>
      </c>
      <c r="I439">
        <f>VLOOKUP(B439,raw!A:K,9,0)</f>
        <v>147</v>
      </c>
      <c r="J439">
        <f>VLOOKUP(B439,raw!A:K,8,0)</f>
        <v>0</v>
      </c>
      <c r="K439">
        <f>_xlfn.IFNA(VLOOKUP(B439,TDK!A:C,2,0),0)</f>
        <v>57</v>
      </c>
      <c r="L439">
        <f>_xlfn.IFNA(VLOOKUP(B439,TDK!A:C,3,0),0)</f>
        <v>11</v>
      </c>
      <c r="M439">
        <f>_xlfn.IFNA(VLOOKUP(B439,TDK!F:G,2,0),0)</f>
        <v>23</v>
      </c>
      <c r="N439">
        <f t="shared" si="6"/>
        <v>91</v>
      </c>
    </row>
    <row r="440" spans="1:14" x14ac:dyDescent="0.25">
      <c r="A440" t="s">
        <v>64</v>
      </c>
      <c r="B440" t="s">
        <v>1437</v>
      </c>
      <c r="C440">
        <f>VLOOKUP(B440,raw!A:K,11,0)</f>
        <v>227</v>
      </c>
      <c r="D440">
        <f>VLOOKUP(B440,raw!A:K,3,0)+VLOOKUP(B440,raw!A:K,7,0)</f>
        <v>104</v>
      </c>
      <c r="E440">
        <f>VLOOKUP(B440,raw!A:K,4,0)</f>
        <v>0</v>
      </c>
      <c r="F440">
        <f>VLOOKUP(B440,raw!A:K,5,0)</f>
        <v>0</v>
      </c>
      <c r="G440">
        <f>VLOOKUP(B440,raw!A:K,2,0)+VLOOKUP(B440,raw!A:K,10,0)</f>
        <v>0</v>
      </c>
      <c r="H440">
        <f>VLOOKUP(B440,raw!A:K,6,0)</f>
        <v>0</v>
      </c>
      <c r="I440">
        <f>VLOOKUP(B440,raw!A:K,9,0)</f>
        <v>123</v>
      </c>
      <c r="J440">
        <f>VLOOKUP(B440,raw!A:K,8,0)</f>
        <v>0</v>
      </c>
      <c r="K440">
        <f>_xlfn.IFNA(VLOOKUP(B440,TDK!A:C,2,0),0)</f>
        <v>92</v>
      </c>
      <c r="L440">
        <f>_xlfn.IFNA(VLOOKUP(B440,TDK!A:C,3,0),0)</f>
        <v>2</v>
      </c>
      <c r="M440">
        <f>_xlfn.IFNA(VLOOKUP(B440,TDK!F:G,2,0),0)</f>
        <v>28</v>
      </c>
      <c r="N440">
        <f t="shared" si="6"/>
        <v>122</v>
      </c>
    </row>
    <row r="441" spans="1:14" x14ac:dyDescent="0.25">
      <c r="A441" t="s">
        <v>64</v>
      </c>
      <c r="B441" t="s">
        <v>1438</v>
      </c>
      <c r="C441">
        <f>VLOOKUP(B441,raw!A:K,11,0)</f>
        <v>145</v>
      </c>
      <c r="D441">
        <f>VLOOKUP(B441,raw!A:K,3,0)+VLOOKUP(B441,raw!A:K,7,0)</f>
        <v>114</v>
      </c>
      <c r="E441">
        <f>VLOOKUP(B441,raw!A:K,4,0)</f>
        <v>0</v>
      </c>
      <c r="F441">
        <f>VLOOKUP(B441,raw!A:K,5,0)</f>
        <v>0</v>
      </c>
      <c r="G441">
        <f>VLOOKUP(B441,raw!A:K,2,0)+VLOOKUP(B441,raw!A:K,10,0)</f>
        <v>1</v>
      </c>
      <c r="H441">
        <f>VLOOKUP(B441,raw!A:K,6,0)</f>
        <v>0</v>
      </c>
      <c r="I441">
        <f>VLOOKUP(B441,raw!A:K,9,0)</f>
        <v>30</v>
      </c>
      <c r="J441">
        <f>VLOOKUP(B441,raw!A:K,8,0)</f>
        <v>0</v>
      </c>
      <c r="K441">
        <f>_xlfn.IFNA(VLOOKUP(B441,TDK!A:C,2,0),0)</f>
        <v>43</v>
      </c>
      <c r="L441">
        <f>_xlfn.IFNA(VLOOKUP(B441,TDK!A:C,3,0),0)</f>
        <v>4</v>
      </c>
      <c r="M441">
        <f>_xlfn.IFNA(VLOOKUP(B441,TDK!F:G,2,0),0)</f>
        <v>9</v>
      </c>
      <c r="N441">
        <f t="shared" si="6"/>
        <v>56</v>
      </c>
    </row>
    <row r="442" spans="1:14" x14ac:dyDescent="0.25">
      <c r="A442" t="s">
        <v>63</v>
      </c>
      <c r="B442" t="s">
        <v>1439</v>
      </c>
      <c r="C442">
        <f>VLOOKUP(B442,raw!A:K,11,0)</f>
        <v>36</v>
      </c>
      <c r="D442">
        <f>VLOOKUP(B442,raw!A:K,3,0)+VLOOKUP(B442,raw!A:K,7,0)</f>
        <v>29</v>
      </c>
      <c r="E442">
        <f>VLOOKUP(B442,raw!A:K,4,0)</f>
        <v>2</v>
      </c>
      <c r="F442">
        <f>VLOOKUP(B442,raw!A:K,5,0)</f>
        <v>0</v>
      </c>
      <c r="G442">
        <f>VLOOKUP(B442,raw!A:K,2,0)+VLOOKUP(B442,raw!A:K,10,0)</f>
        <v>3</v>
      </c>
      <c r="H442">
        <f>VLOOKUP(B442,raw!A:K,6,0)</f>
        <v>1</v>
      </c>
      <c r="I442">
        <f>VLOOKUP(B442,raw!A:K,9,0)</f>
        <v>1</v>
      </c>
      <c r="J442">
        <f>VLOOKUP(B442,raw!A:K,8,0)</f>
        <v>0</v>
      </c>
      <c r="K442">
        <f>_xlfn.IFNA(VLOOKUP(B442,TDK!A:C,2,0),0)</f>
        <v>1</v>
      </c>
      <c r="L442">
        <f>_xlfn.IFNA(VLOOKUP(B442,TDK!A:C,3,0),0)</f>
        <v>0</v>
      </c>
      <c r="M442">
        <f>_xlfn.IFNA(VLOOKUP(B442,TDK!F:G,2,0),0)</f>
        <v>15</v>
      </c>
      <c r="N442">
        <f t="shared" si="6"/>
        <v>16</v>
      </c>
    </row>
    <row r="443" spans="1:14" x14ac:dyDescent="0.25">
      <c r="A443" t="s">
        <v>65</v>
      </c>
      <c r="B443" t="s">
        <v>1440</v>
      </c>
      <c r="C443">
        <f>VLOOKUP(B443,raw!A:K,11,0)</f>
        <v>92</v>
      </c>
      <c r="D443">
        <f>VLOOKUP(B443,raw!A:K,3,0)+VLOOKUP(B443,raw!A:K,7,0)</f>
        <v>92</v>
      </c>
      <c r="E443">
        <f>VLOOKUP(B443,raw!A:K,4,0)</f>
        <v>0</v>
      </c>
      <c r="F443">
        <f>VLOOKUP(B443,raw!A:K,5,0)</f>
        <v>0</v>
      </c>
      <c r="G443">
        <f>VLOOKUP(B443,raw!A:K,2,0)+VLOOKUP(B443,raw!A:K,10,0)</f>
        <v>0</v>
      </c>
      <c r="H443">
        <f>VLOOKUP(B443,raw!A:K,6,0)</f>
        <v>0</v>
      </c>
      <c r="I443">
        <f>VLOOKUP(B443,raw!A:K,9,0)</f>
        <v>0</v>
      </c>
      <c r="J443">
        <f>VLOOKUP(B443,raw!A:K,8,0)</f>
        <v>0</v>
      </c>
      <c r="K443">
        <f>_xlfn.IFNA(VLOOKUP(B443,TDK!A:C,2,0),0)</f>
        <v>17</v>
      </c>
      <c r="L443">
        <f>_xlfn.IFNA(VLOOKUP(B443,TDK!A:C,3,0),0)</f>
        <v>1</v>
      </c>
      <c r="M443">
        <f>_xlfn.IFNA(VLOOKUP(B443,TDK!F:G,2,0),0)</f>
        <v>7</v>
      </c>
      <c r="N443">
        <f t="shared" si="6"/>
        <v>25</v>
      </c>
    </row>
    <row r="444" spans="1:14" x14ac:dyDescent="0.25">
      <c r="A444" t="s">
        <v>64</v>
      </c>
      <c r="B444" t="s">
        <v>1441</v>
      </c>
      <c r="C444">
        <f>VLOOKUP(B444,raw!A:K,11,0)</f>
        <v>171</v>
      </c>
      <c r="D444">
        <f>VLOOKUP(B444,raw!A:K,3,0)+VLOOKUP(B444,raw!A:K,7,0)</f>
        <v>89</v>
      </c>
      <c r="E444">
        <f>VLOOKUP(B444,raw!A:K,4,0)</f>
        <v>0</v>
      </c>
      <c r="F444">
        <f>VLOOKUP(B444,raw!A:K,5,0)</f>
        <v>0</v>
      </c>
      <c r="G444">
        <f>VLOOKUP(B444,raw!A:K,2,0)+VLOOKUP(B444,raw!A:K,10,0)</f>
        <v>0</v>
      </c>
      <c r="H444">
        <f>VLOOKUP(B444,raw!A:K,6,0)</f>
        <v>0</v>
      </c>
      <c r="I444">
        <f>VLOOKUP(B444,raw!A:K,9,0)</f>
        <v>82</v>
      </c>
      <c r="J444">
        <f>VLOOKUP(B444,raw!A:K,8,0)</f>
        <v>0</v>
      </c>
      <c r="K444">
        <f>_xlfn.IFNA(VLOOKUP(B444,TDK!A:C,2,0),0)</f>
        <v>55</v>
      </c>
      <c r="L444">
        <f>_xlfn.IFNA(VLOOKUP(B444,TDK!A:C,3,0),0)</f>
        <v>3</v>
      </c>
      <c r="M444">
        <f>_xlfn.IFNA(VLOOKUP(B444,TDK!F:G,2,0),0)</f>
        <v>12</v>
      </c>
      <c r="N444">
        <f t="shared" si="6"/>
        <v>70</v>
      </c>
    </row>
    <row r="445" spans="1:14" x14ac:dyDescent="0.25">
      <c r="A445" t="s">
        <v>65</v>
      </c>
      <c r="B445" t="s">
        <v>1442</v>
      </c>
      <c r="C445">
        <f>VLOOKUP(B445,raw!A:K,11,0)</f>
        <v>131</v>
      </c>
      <c r="D445">
        <f>VLOOKUP(B445,raw!A:K,3,0)+VLOOKUP(B445,raw!A:K,7,0)</f>
        <v>131</v>
      </c>
      <c r="E445">
        <f>VLOOKUP(B445,raw!A:K,4,0)</f>
        <v>0</v>
      </c>
      <c r="F445">
        <f>VLOOKUP(B445,raw!A:K,5,0)</f>
        <v>0</v>
      </c>
      <c r="G445">
        <f>VLOOKUP(B445,raw!A:K,2,0)+VLOOKUP(B445,raw!A:K,10,0)</f>
        <v>0</v>
      </c>
      <c r="H445">
        <f>VLOOKUP(B445,raw!A:K,6,0)</f>
        <v>0</v>
      </c>
      <c r="I445">
        <f>VLOOKUP(B445,raw!A:K,9,0)</f>
        <v>0</v>
      </c>
      <c r="J445">
        <f>VLOOKUP(B445,raw!A:K,8,0)</f>
        <v>0</v>
      </c>
      <c r="K445">
        <f>_xlfn.IFNA(VLOOKUP(B445,TDK!A:C,2,0),0)</f>
        <v>38</v>
      </c>
      <c r="L445">
        <f>_xlfn.IFNA(VLOOKUP(B445,TDK!A:C,3,0),0)</f>
        <v>2</v>
      </c>
      <c r="M445">
        <f>_xlfn.IFNA(VLOOKUP(B445,TDK!F:G,2,0),0)</f>
        <v>5</v>
      </c>
      <c r="N445">
        <f t="shared" si="6"/>
        <v>45</v>
      </c>
    </row>
    <row r="446" spans="1:14" x14ac:dyDescent="0.25">
      <c r="A446" t="s">
        <v>65</v>
      </c>
      <c r="B446" t="s">
        <v>1443</v>
      </c>
      <c r="C446">
        <f>VLOOKUP(B446,raw!A:K,11,0)</f>
        <v>110</v>
      </c>
      <c r="D446">
        <f>VLOOKUP(B446,raw!A:K,3,0)+VLOOKUP(B446,raw!A:K,7,0)</f>
        <v>110</v>
      </c>
      <c r="E446">
        <f>VLOOKUP(B446,raw!A:K,4,0)</f>
        <v>0</v>
      </c>
      <c r="F446">
        <f>VLOOKUP(B446,raw!A:K,5,0)</f>
        <v>0</v>
      </c>
      <c r="G446">
        <f>VLOOKUP(B446,raw!A:K,2,0)+VLOOKUP(B446,raw!A:K,10,0)</f>
        <v>0</v>
      </c>
      <c r="H446">
        <f>VLOOKUP(B446,raw!A:K,6,0)</f>
        <v>0</v>
      </c>
      <c r="I446">
        <f>VLOOKUP(B446,raw!A:K,9,0)</f>
        <v>0</v>
      </c>
      <c r="J446">
        <f>VLOOKUP(B446,raw!A:K,8,0)</f>
        <v>0</v>
      </c>
      <c r="K446">
        <f>_xlfn.IFNA(VLOOKUP(B446,TDK!A:C,2,0),0)</f>
        <v>33</v>
      </c>
      <c r="L446">
        <f>_xlfn.IFNA(VLOOKUP(B446,TDK!A:C,3,0),0)</f>
        <v>21</v>
      </c>
      <c r="M446">
        <f>_xlfn.IFNA(VLOOKUP(B446,TDK!F:G,2,0),0)</f>
        <v>6</v>
      </c>
      <c r="N446">
        <f t="shared" si="6"/>
        <v>60</v>
      </c>
    </row>
    <row r="447" spans="1:14" x14ac:dyDescent="0.25">
      <c r="A447" t="s">
        <v>65</v>
      </c>
      <c r="B447" t="s">
        <v>1444</v>
      </c>
      <c r="C447">
        <f>VLOOKUP(B447,raw!A:K,11,0)</f>
        <v>55</v>
      </c>
      <c r="D447">
        <f>VLOOKUP(B447,raw!A:K,3,0)+VLOOKUP(B447,raw!A:K,7,0)</f>
        <v>55</v>
      </c>
      <c r="E447">
        <f>VLOOKUP(B447,raw!A:K,4,0)</f>
        <v>0</v>
      </c>
      <c r="F447">
        <f>VLOOKUP(B447,raw!A:K,5,0)</f>
        <v>0</v>
      </c>
      <c r="G447">
        <f>VLOOKUP(B447,raw!A:K,2,0)+VLOOKUP(B447,raw!A:K,10,0)</f>
        <v>0</v>
      </c>
      <c r="H447">
        <f>VLOOKUP(B447,raw!A:K,6,0)</f>
        <v>0</v>
      </c>
      <c r="I447">
        <f>VLOOKUP(B447,raw!A:K,9,0)</f>
        <v>0</v>
      </c>
      <c r="J447">
        <f>VLOOKUP(B447,raw!A:K,8,0)</f>
        <v>0</v>
      </c>
      <c r="K447">
        <f>_xlfn.IFNA(VLOOKUP(B447,TDK!A:C,2,0),0)</f>
        <v>18</v>
      </c>
      <c r="L447">
        <f>_xlfn.IFNA(VLOOKUP(B447,TDK!A:C,3,0),0)</f>
        <v>1</v>
      </c>
      <c r="M447">
        <f>_xlfn.IFNA(VLOOKUP(B447,TDK!F:G,2,0),0)</f>
        <v>3</v>
      </c>
      <c r="N447">
        <f t="shared" si="6"/>
        <v>22</v>
      </c>
    </row>
    <row r="448" spans="1:14" x14ac:dyDescent="0.25">
      <c r="A448" t="s">
        <v>66</v>
      </c>
      <c r="B448" t="s">
        <v>1445</v>
      </c>
      <c r="C448">
        <f>VLOOKUP(B448,raw!A:K,11,0)</f>
        <v>45</v>
      </c>
      <c r="D448">
        <f>VLOOKUP(B448,raw!A:K,3,0)+VLOOKUP(B448,raw!A:K,7,0)</f>
        <v>45</v>
      </c>
      <c r="E448">
        <f>VLOOKUP(B448,raw!A:K,4,0)</f>
        <v>0</v>
      </c>
      <c r="F448">
        <f>VLOOKUP(B448,raw!A:K,5,0)</f>
        <v>0</v>
      </c>
      <c r="G448">
        <f>VLOOKUP(B448,raw!A:K,2,0)+VLOOKUP(B448,raw!A:K,10,0)</f>
        <v>0</v>
      </c>
      <c r="H448">
        <f>VLOOKUP(B448,raw!A:K,6,0)</f>
        <v>0</v>
      </c>
      <c r="I448">
        <f>VLOOKUP(B448,raw!A:K,9,0)</f>
        <v>0</v>
      </c>
      <c r="J448">
        <f>VLOOKUP(B448,raw!A:K,8,0)</f>
        <v>0</v>
      </c>
      <c r="K448">
        <f>_xlfn.IFNA(VLOOKUP(B448,TDK!A:C,2,0),0)</f>
        <v>10</v>
      </c>
      <c r="L448">
        <f>_xlfn.IFNA(VLOOKUP(B448,TDK!A:C,3,0),0)</f>
        <v>3</v>
      </c>
      <c r="M448">
        <f>_xlfn.IFNA(VLOOKUP(B448,TDK!F:G,2,0),0)</f>
        <v>8</v>
      </c>
      <c r="N448">
        <f t="shared" si="6"/>
        <v>21</v>
      </c>
    </row>
    <row r="449" spans="1:14" x14ac:dyDescent="0.25">
      <c r="A449" t="s">
        <v>66</v>
      </c>
      <c r="B449" t="s">
        <v>1446</v>
      </c>
      <c r="C449">
        <f>VLOOKUP(B449,raw!A:K,11,0)</f>
        <v>63</v>
      </c>
      <c r="D449">
        <f>VLOOKUP(B449,raw!A:K,3,0)+VLOOKUP(B449,raw!A:K,7,0)</f>
        <v>61</v>
      </c>
      <c r="E449">
        <f>VLOOKUP(B449,raw!A:K,4,0)</f>
        <v>0</v>
      </c>
      <c r="F449">
        <f>VLOOKUP(B449,raw!A:K,5,0)</f>
        <v>0</v>
      </c>
      <c r="G449">
        <f>VLOOKUP(B449,raw!A:K,2,0)+VLOOKUP(B449,raw!A:K,10,0)</f>
        <v>1</v>
      </c>
      <c r="H449">
        <f>VLOOKUP(B449,raw!A:K,6,0)</f>
        <v>1</v>
      </c>
      <c r="I449">
        <f>VLOOKUP(B449,raw!A:K,9,0)</f>
        <v>0</v>
      </c>
      <c r="J449">
        <f>VLOOKUP(B449,raw!A:K,8,0)</f>
        <v>0</v>
      </c>
      <c r="K449">
        <f>_xlfn.IFNA(VLOOKUP(B449,TDK!A:C,2,0),0)</f>
        <v>14</v>
      </c>
      <c r="L449">
        <f>_xlfn.IFNA(VLOOKUP(B449,TDK!A:C,3,0),0)</f>
        <v>8</v>
      </c>
      <c r="M449">
        <f>_xlfn.IFNA(VLOOKUP(B449,TDK!F:G,2,0),0)</f>
        <v>8</v>
      </c>
      <c r="N449">
        <f t="shared" si="6"/>
        <v>30</v>
      </c>
    </row>
    <row r="450" spans="1:14" x14ac:dyDescent="0.25">
      <c r="A450" t="s">
        <v>66</v>
      </c>
      <c r="B450" t="s">
        <v>1447</v>
      </c>
      <c r="C450">
        <f>VLOOKUP(B450,raw!A:K,11,0)</f>
        <v>57</v>
      </c>
      <c r="D450">
        <f>VLOOKUP(B450,raw!A:K,3,0)+VLOOKUP(B450,raw!A:K,7,0)</f>
        <v>57</v>
      </c>
      <c r="E450">
        <f>VLOOKUP(B450,raw!A:K,4,0)</f>
        <v>0</v>
      </c>
      <c r="F450">
        <f>VLOOKUP(B450,raw!A:K,5,0)</f>
        <v>0</v>
      </c>
      <c r="G450">
        <f>VLOOKUP(B450,raw!A:K,2,0)+VLOOKUP(B450,raw!A:K,10,0)</f>
        <v>0</v>
      </c>
      <c r="H450">
        <f>VLOOKUP(B450,raw!A:K,6,0)</f>
        <v>0</v>
      </c>
      <c r="I450">
        <f>VLOOKUP(B450,raw!A:K,9,0)</f>
        <v>0</v>
      </c>
      <c r="J450">
        <f>VLOOKUP(B450,raw!A:K,8,0)</f>
        <v>0</v>
      </c>
      <c r="K450">
        <f>_xlfn.IFNA(VLOOKUP(B450,TDK!A:C,2,0),0)</f>
        <v>18</v>
      </c>
      <c r="L450">
        <f>_xlfn.IFNA(VLOOKUP(B450,TDK!A:C,3,0),0)</f>
        <v>1</v>
      </c>
      <c r="M450">
        <f>_xlfn.IFNA(VLOOKUP(B450,TDK!F:G,2,0),0)</f>
        <v>4</v>
      </c>
      <c r="N450">
        <f t="shared" si="6"/>
        <v>23</v>
      </c>
    </row>
    <row r="451" spans="1:14" x14ac:dyDescent="0.25">
      <c r="A451" t="s">
        <v>66</v>
      </c>
      <c r="B451" t="s">
        <v>1448</v>
      </c>
      <c r="C451">
        <f>VLOOKUP(B451,raw!A:K,11,0)</f>
        <v>60</v>
      </c>
      <c r="D451">
        <f>VLOOKUP(B451,raw!A:K,3,0)+VLOOKUP(B451,raw!A:K,7,0)</f>
        <v>57</v>
      </c>
      <c r="E451">
        <f>VLOOKUP(B451,raw!A:K,4,0)</f>
        <v>0</v>
      </c>
      <c r="F451">
        <f>VLOOKUP(B451,raw!A:K,5,0)</f>
        <v>0</v>
      </c>
      <c r="G451">
        <f>VLOOKUP(B451,raw!A:K,2,0)+VLOOKUP(B451,raw!A:K,10,0)</f>
        <v>2</v>
      </c>
      <c r="H451">
        <f>VLOOKUP(B451,raw!A:K,6,0)</f>
        <v>0</v>
      </c>
      <c r="I451">
        <f>VLOOKUP(B451,raw!A:K,9,0)</f>
        <v>1</v>
      </c>
      <c r="J451">
        <f>VLOOKUP(B451,raw!A:K,8,0)</f>
        <v>0</v>
      </c>
      <c r="K451">
        <f>_xlfn.IFNA(VLOOKUP(B451,TDK!A:C,2,0),0)</f>
        <v>21</v>
      </c>
      <c r="L451">
        <f>_xlfn.IFNA(VLOOKUP(B451,TDK!A:C,3,0),0)</f>
        <v>0</v>
      </c>
      <c r="M451">
        <f>_xlfn.IFNA(VLOOKUP(B451,TDK!F:G,2,0),0)</f>
        <v>5</v>
      </c>
      <c r="N451">
        <f t="shared" ref="N451:N514" si="7">SUM(K451:M451)</f>
        <v>26</v>
      </c>
    </row>
    <row r="452" spans="1:14" x14ac:dyDescent="0.25">
      <c r="A452" t="s">
        <v>67</v>
      </c>
      <c r="B452" t="s">
        <v>1449</v>
      </c>
      <c r="C452">
        <f>VLOOKUP(B452,raw!A:K,11,0)</f>
        <v>42</v>
      </c>
      <c r="D452">
        <f>VLOOKUP(B452,raw!A:K,3,0)+VLOOKUP(B452,raw!A:K,7,0)</f>
        <v>42</v>
      </c>
      <c r="E452">
        <f>VLOOKUP(B452,raw!A:K,4,0)</f>
        <v>0</v>
      </c>
      <c r="F452">
        <f>VLOOKUP(B452,raw!A:K,5,0)</f>
        <v>0</v>
      </c>
      <c r="G452">
        <f>VLOOKUP(B452,raw!A:K,2,0)+VLOOKUP(B452,raw!A:K,10,0)</f>
        <v>0</v>
      </c>
      <c r="H452">
        <f>VLOOKUP(B452,raw!A:K,6,0)</f>
        <v>0</v>
      </c>
      <c r="I452">
        <f>VLOOKUP(B452,raw!A:K,9,0)</f>
        <v>0</v>
      </c>
      <c r="J452">
        <f>VLOOKUP(B452,raw!A:K,8,0)</f>
        <v>0</v>
      </c>
      <c r="K452">
        <f>_xlfn.IFNA(VLOOKUP(B452,TDK!A:C,2,0),0)</f>
        <v>11</v>
      </c>
      <c r="L452">
        <f>_xlfn.IFNA(VLOOKUP(B452,TDK!A:C,3,0),0)</f>
        <v>0</v>
      </c>
      <c r="M452">
        <f>_xlfn.IFNA(VLOOKUP(B452,TDK!F:G,2,0),0)</f>
        <v>13</v>
      </c>
      <c r="N452">
        <f t="shared" si="7"/>
        <v>24</v>
      </c>
    </row>
    <row r="453" spans="1:14" x14ac:dyDescent="0.25">
      <c r="A453" t="s">
        <v>67</v>
      </c>
      <c r="B453" t="s">
        <v>1450</v>
      </c>
      <c r="C453">
        <f>VLOOKUP(B453,raw!A:K,11,0)</f>
        <v>54</v>
      </c>
      <c r="D453">
        <f>VLOOKUP(B453,raw!A:K,3,0)+VLOOKUP(B453,raw!A:K,7,0)</f>
        <v>50</v>
      </c>
      <c r="E453">
        <f>VLOOKUP(B453,raw!A:K,4,0)</f>
        <v>0</v>
      </c>
      <c r="F453">
        <f>VLOOKUP(B453,raw!A:K,5,0)</f>
        <v>0</v>
      </c>
      <c r="G453">
        <f>VLOOKUP(B453,raw!A:K,2,0)+VLOOKUP(B453,raw!A:K,10,0)</f>
        <v>0</v>
      </c>
      <c r="H453">
        <f>VLOOKUP(B453,raw!A:K,6,0)</f>
        <v>0</v>
      </c>
      <c r="I453">
        <f>VLOOKUP(B453,raw!A:K,9,0)</f>
        <v>4</v>
      </c>
      <c r="J453">
        <f>VLOOKUP(B453,raw!A:K,8,0)</f>
        <v>0</v>
      </c>
      <c r="K453">
        <f>_xlfn.IFNA(VLOOKUP(B453,TDK!A:C,2,0),0)</f>
        <v>19</v>
      </c>
      <c r="L453">
        <f>_xlfn.IFNA(VLOOKUP(B453,TDK!A:C,3,0),0)</f>
        <v>0</v>
      </c>
      <c r="M453">
        <f>_xlfn.IFNA(VLOOKUP(B453,TDK!F:G,2,0),0)</f>
        <v>11</v>
      </c>
      <c r="N453">
        <f t="shared" si="7"/>
        <v>30</v>
      </c>
    </row>
    <row r="454" spans="1:14" x14ac:dyDescent="0.25">
      <c r="A454" t="s">
        <v>65</v>
      </c>
      <c r="B454" t="s">
        <v>1451</v>
      </c>
      <c r="C454">
        <f>VLOOKUP(B454,raw!A:K,11,0)</f>
        <v>190</v>
      </c>
      <c r="D454">
        <f>VLOOKUP(B454,raw!A:K,3,0)+VLOOKUP(B454,raw!A:K,7,0)</f>
        <v>190</v>
      </c>
      <c r="E454">
        <f>VLOOKUP(B454,raw!A:K,4,0)</f>
        <v>0</v>
      </c>
      <c r="F454">
        <f>VLOOKUP(B454,raw!A:K,5,0)</f>
        <v>0</v>
      </c>
      <c r="G454">
        <f>VLOOKUP(B454,raw!A:K,2,0)+VLOOKUP(B454,raw!A:K,10,0)</f>
        <v>0</v>
      </c>
      <c r="H454">
        <f>VLOOKUP(B454,raw!A:K,6,0)</f>
        <v>0</v>
      </c>
      <c r="I454">
        <f>VLOOKUP(B454,raw!A:K,9,0)</f>
        <v>0</v>
      </c>
      <c r="J454">
        <f>VLOOKUP(B454,raw!A:K,8,0)</f>
        <v>0</v>
      </c>
      <c r="K454">
        <f>_xlfn.IFNA(VLOOKUP(B454,TDK!A:C,2,0),0)</f>
        <v>60</v>
      </c>
      <c r="L454">
        <f>_xlfn.IFNA(VLOOKUP(B454,TDK!A:C,3,0),0)</f>
        <v>5</v>
      </c>
      <c r="M454">
        <f>_xlfn.IFNA(VLOOKUP(B454,TDK!F:G,2,0),0)</f>
        <v>21</v>
      </c>
      <c r="N454">
        <f t="shared" si="7"/>
        <v>86</v>
      </c>
    </row>
    <row r="455" spans="1:14" x14ac:dyDescent="0.25">
      <c r="A455" t="s">
        <v>65</v>
      </c>
      <c r="B455" t="s">
        <v>1452</v>
      </c>
      <c r="C455">
        <f>VLOOKUP(B455,raw!A:K,11,0)</f>
        <v>131</v>
      </c>
      <c r="D455">
        <f>VLOOKUP(B455,raw!A:K,3,0)+VLOOKUP(B455,raw!A:K,7,0)</f>
        <v>131</v>
      </c>
      <c r="E455">
        <f>VLOOKUP(B455,raw!A:K,4,0)</f>
        <v>0</v>
      </c>
      <c r="F455">
        <f>VLOOKUP(B455,raw!A:K,5,0)</f>
        <v>0</v>
      </c>
      <c r="G455">
        <f>VLOOKUP(B455,raw!A:K,2,0)+VLOOKUP(B455,raw!A:K,10,0)</f>
        <v>0</v>
      </c>
      <c r="H455">
        <f>VLOOKUP(B455,raw!A:K,6,0)</f>
        <v>0</v>
      </c>
      <c r="I455">
        <f>VLOOKUP(B455,raw!A:K,9,0)</f>
        <v>0</v>
      </c>
      <c r="J455">
        <f>VLOOKUP(B455,raw!A:K,8,0)</f>
        <v>0</v>
      </c>
      <c r="K455">
        <f>_xlfn.IFNA(VLOOKUP(B455,TDK!A:C,2,0),0)</f>
        <v>37</v>
      </c>
      <c r="L455">
        <f>_xlfn.IFNA(VLOOKUP(B455,TDK!A:C,3,0),0)</f>
        <v>4</v>
      </c>
      <c r="M455">
        <f>_xlfn.IFNA(VLOOKUP(B455,TDK!F:G,2,0),0)</f>
        <v>28</v>
      </c>
      <c r="N455">
        <f t="shared" si="7"/>
        <v>69</v>
      </c>
    </row>
    <row r="456" spans="1:14" x14ac:dyDescent="0.25">
      <c r="A456" t="s">
        <v>65</v>
      </c>
      <c r="B456" t="s">
        <v>1453</v>
      </c>
      <c r="C456">
        <f>VLOOKUP(B456,raw!A:K,11,0)</f>
        <v>89</v>
      </c>
      <c r="D456">
        <f>VLOOKUP(B456,raw!A:K,3,0)+VLOOKUP(B456,raw!A:K,7,0)</f>
        <v>89</v>
      </c>
      <c r="E456">
        <f>VLOOKUP(B456,raw!A:K,4,0)</f>
        <v>0</v>
      </c>
      <c r="F456">
        <f>VLOOKUP(B456,raw!A:K,5,0)</f>
        <v>0</v>
      </c>
      <c r="G456">
        <f>VLOOKUP(B456,raw!A:K,2,0)+VLOOKUP(B456,raw!A:K,10,0)</f>
        <v>0</v>
      </c>
      <c r="H456">
        <f>VLOOKUP(B456,raw!A:K,6,0)</f>
        <v>0</v>
      </c>
      <c r="I456">
        <f>VLOOKUP(B456,raw!A:K,9,0)</f>
        <v>0</v>
      </c>
      <c r="J456">
        <f>VLOOKUP(B456,raw!A:K,8,0)</f>
        <v>0</v>
      </c>
      <c r="K456">
        <f>_xlfn.IFNA(VLOOKUP(B456,TDK!A:C,2,0),0)</f>
        <v>24</v>
      </c>
      <c r="L456">
        <f>_xlfn.IFNA(VLOOKUP(B456,TDK!A:C,3,0),0)</f>
        <v>7</v>
      </c>
      <c r="M456">
        <f>_xlfn.IFNA(VLOOKUP(B456,TDK!F:G,2,0),0)</f>
        <v>9</v>
      </c>
      <c r="N456">
        <f t="shared" si="7"/>
        <v>40</v>
      </c>
    </row>
    <row r="457" spans="1:14" x14ac:dyDescent="0.25">
      <c r="A457" t="s">
        <v>67</v>
      </c>
      <c r="B457" t="s">
        <v>1454</v>
      </c>
      <c r="C457">
        <f>VLOOKUP(B457,raw!A:K,11,0)</f>
        <v>79</v>
      </c>
      <c r="D457">
        <f>VLOOKUP(B457,raw!A:K,3,0)+VLOOKUP(B457,raw!A:K,7,0)</f>
        <v>72</v>
      </c>
      <c r="E457">
        <f>VLOOKUP(B457,raw!A:K,4,0)</f>
        <v>0</v>
      </c>
      <c r="F457">
        <f>VLOOKUP(B457,raw!A:K,5,0)</f>
        <v>0</v>
      </c>
      <c r="G457">
        <f>VLOOKUP(B457,raw!A:K,2,0)+VLOOKUP(B457,raw!A:K,10,0)</f>
        <v>0</v>
      </c>
      <c r="H457">
        <f>VLOOKUP(B457,raw!A:K,6,0)</f>
        <v>0</v>
      </c>
      <c r="I457">
        <f>VLOOKUP(B457,raw!A:K,9,0)</f>
        <v>7</v>
      </c>
      <c r="J457">
        <f>VLOOKUP(B457,raw!A:K,8,0)</f>
        <v>0</v>
      </c>
      <c r="K457">
        <f>_xlfn.IFNA(VLOOKUP(B457,TDK!A:C,2,0),0)</f>
        <v>24</v>
      </c>
      <c r="L457">
        <f>_xlfn.IFNA(VLOOKUP(B457,TDK!A:C,3,0),0)</f>
        <v>0</v>
      </c>
      <c r="M457">
        <f>_xlfn.IFNA(VLOOKUP(B457,TDK!F:G,2,0),0)</f>
        <v>15</v>
      </c>
      <c r="N457">
        <f t="shared" si="7"/>
        <v>39</v>
      </c>
    </row>
    <row r="458" spans="1:14" x14ac:dyDescent="0.25">
      <c r="A458" t="s">
        <v>67</v>
      </c>
      <c r="B458" t="s">
        <v>1455</v>
      </c>
      <c r="C458">
        <f>VLOOKUP(B458,raw!A:K,11,0)</f>
        <v>57</v>
      </c>
      <c r="D458">
        <f>VLOOKUP(B458,raw!A:K,3,0)+VLOOKUP(B458,raw!A:K,7,0)</f>
        <v>57</v>
      </c>
      <c r="E458">
        <f>VLOOKUP(B458,raw!A:K,4,0)</f>
        <v>0</v>
      </c>
      <c r="F458">
        <f>VLOOKUP(B458,raw!A:K,5,0)</f>
        <v>0</v>
      </c>
      <c r="G458">
        <f>VLOOKUP(B458,raw!A:K,2,0)+VLOOKUP(B458,raw!A:K,10,0)</f>
        <v>0</v>
      </c>
      <c r="H458">
        <f>VLOOKUP(B458,raw!A:K,6,0)</f>
        <v>0</v>
      </c>
      <c r="I458">
        <f>VLOOKUP(B458,raw!A:K,9,0)</f>
        <v>0</v>
      </c>
      <c r="J458">
        <f>VLOOKUP(B458,raw!A:K,8,0)</f>
        <v>0</v>
      </c>
      <c r="K458">
        <f>_xlfn.IFNA(VLOOKUP(B458,TDK!A:C,2,0),0)</f>
        <v>17</v>
      </c>
      <c r="L458">
        <f>_xlfn.IFNA(VLOOKUP(B458,TDK!A:C,3,0),0)</f>
        <v>0</v>
      </c>
      <c r="M458">
        <f>_xlfn.IFNA(VLOOKUP(B458,TDK!F:G,2,0),0)</f>
        <v>7</v>
      </c>
      <c r="N458">
        <f t="shared" si="7"/>
        <v>24</v>
      </c>
    </row>
    <row r="459" spans="1:14" x14ac:dyDescent="0.25">
      <c r="A459" t="s">
        <v>67</v>
      </c>
      <c r="B459" t="s">
        <v>1456</v>
      </c>
      <c r="C459">
        <f>VLOOKUP(B459,raw!A:K,11,0)</f>
        <v>211</v>
      </c>
      <c r="D459">
        <f>VLOOKUP(B459,raw!A:K,3,0)+VLOOKUP(B459,raw!A:K,7,0)</f>
        <v>211</v>
      </c>
      <c r="E459">
        <f>VLOOKUP(B459,raw!A:K,4,0)</f>
        <v>0</v>
      </c>
      <c r="F459">
        <f>VLOOKUP(B459,raw!A:K,5,0)</f>
        <v>0</v>
      </c>
      <c r="G459">
        <f>VLOOKUP(B459,raw!A:K,2,0)+VLOOKUP(B459,raw!A:K,10,0)</f>
        <v>0</v>
      </c>
      <c r="H459">
        <f>VLOOKUP(B459,raw!A:K,6,0)</f>
        <v>0</v>
      </c>
      <c r="I459">
        <f>VLOOKUP(B459,raw!A:K,9,0)</f>
        <v>0</v>
      </c>
      <c r="J459">
        <f>VLOOKUP(B459,raw!A:K,8,0)</f>
        <v>0</v>
      </c>
      <c r="K459">
        <f>_xlfn.IFNA(VLOOKUP(B459,TDK!A:C,2,0),0)</f>
        <v>47</v>
      </c>
      <c r="L459">
        <f>_xlfn.IFNA(VLOOKUP(B459,TDK!A:C,3,0),0)</f>
        <v>8</v>
      </c>
      <c r="M459">
        <f>_xlfn.IFNA(VLOOKUP(B459,TDK!F:G,2,0),0)</f>
        <v>41</v>
      </c>
      <c r="N459">
        <f t="shared" si="7"/>
        <v>96</v>
      </c>
    </row>
    <row r="460" spans="1:14" x14ac:dyDescent="0.25">
      <c r="A460" t="s">
        <v>67</v>
      </c>
      <c r="B460" t="s">
        <v>1457</v>
      </c>
      <c r="C460">
        <f>VLOOKUP(B460,raw!A:K,11,0)</f>
        <v>166</v>
      </c>
      <c r="D460">
        <f>VLOOKUP(B460,raw!A:K,3,0)+VLOOKUP(B460,raw!A:K,7,0)</f>
        <v>157</v>
      </c>
      <c r="E460">
        <f>VLOOKUP(B460,raw!A:K,4,0)</f>
        <v>0</v>
      </c>
      <c r="F460">
        <f>VLOOKUP(B460,raw!A:K,5,0)</f>
        <v>0</v>
      </c>
      <c r="G460">
        <f>VLOOKUP(B460,raw!A:K,2,0)+VLOOKUP(B460,raw!A:K,10,0)</f>
        <v>0</v>
      </c>
      <c r="H460">
        <f>VLOOKUP(B460,raw!A:K,6,0)</f>
        <v>0</v>
      </c>
      <c r="I460">
        <f>VLOOKUP(B460,raw!A:K,9,0)</f>
        <v>9</v>
      </c>
      <c r="J460">
        <f>VLOOKUP(B460,raw!A:K,8,0)</f>
        <v>0</v>
      </c>
      <c r="K460">
        <f>_xlfn.IFNA(VLOOKUP(B460,TDK!A:C,2,0),0)</f>
        <v>36</v>
      </c>
      <c r="L460">
        <f>_xlfn.IFNA(VLOOKUP(B460,TDK!A:C,3,0),0)</f>
        <v>14</v>
      </c>
      <c r="M460">
        <f>_xlfn.IFNA(VLOOKUP(B460,TDK!F:G,2,0),0)</f>
        <v>43</v>
      </c>
      <c r="N460">
        <f t="shared" si="7"/>
        <v>93</v>
      </c>
    </row>
    <row r="461" spans="1:14" x14ac:dyDescent="0.25">
      <c r="A461" t="s">
        <v>67</v>
      </c>
      <c r="B461" t="s">
        <v>1458</v>
      </c>
      <c r="C461">
        <f>VLOOKUP(B461,raw!A:K,11,0)</f>
        <v>65</v>
      </c>
      <c r="D461">
        <f>VLOOKUP(B461,raw!A:K,3,0)+VLOOKUP(B461,raw!A:K,7,0)</f>
        <v>62</v>
      </c>
      <c r="E461">
        <f>VLOOKUP(B461,raw!A:K,4,0)</f>
        <v>0</v>
      </c>
      <c r="F461">
        <f>VLOOKUP(B461,raw!A:K,5,0)</f>
        <v>0</v>
      </c>
      <c r="G461">
        <f>VLOOKUP(B461,raw!A:K,2,0)+VLOOKUP(B461,raw!A:K,10,0)</f>
        <v>0</v>
      </c>
      <c r="H461">
        <f>VLOOKUP(B461,raw!A:K,6,0)</f>
        <v>0</v>
      </c>
      <c r="I461">
        <f>VLOOKUP(B461,raw!A:K,9,0)</f>
        <v>3</v>
      </c>
      <c r="J461">
        <f>VLOOKUP(B461,raw!A:K,8,0)</f>
        <v>0</v>
      </c>
      <c r="K461">
        <f>_xlfn.IFNA(VLOOKUP(B461,TDK!A:C,2,0),0)</f>
        <v>23</v>
      </c>
      <c r="L461">
        <f>_xlfn.IFNA(VLOOKUP(B461,TDK!A:C,3,0),0)</f>
        <v>0</v>
      </c>
      <c r="M461">
        <f>_xlfn.IFNA(VLOOKUP(B461,TDK!F:G,2,0),0)</f>
        <v>11</v>
      </c>
      <c r="N461">
        <f t="shared" si="7"/>
        <v>34</v>
      </c>
    </row>
    <row r="462" spans="1:14" x14ac:dyDescent="0.25">
      <c r="A462" t="s">
        <v>67</v>
      </c>
      <c r="B462" t="s">
        <v>1459</v>
      </c>
      <c r="C462">
        <f>VLOOKUP(B462,raw!A:K,11,0)</f>
        <v>103</v>
      </c>
      <c r="D462">
        <f>VLOOKUP(B462,raw!A:K,3,0)+VLOOKUP(B462,raw!A:K,7,0)</f>
        <v>103</v>
      </c>
      <c r="E462">
        <f>VLOOKUP(B462,raw!A:K,4,0)</f>
        <v>0</v>
      </c>
      <c r="F462">
        <f>VLOOKUP(B462,raw!A:K,5,0)</f>
        <v>0</v>
      </c>
      <c r="G462">
        <f>VLOOKUP(B462,raw!A:K,2,0)+VLOOKUP(B462,raw!A:K,10,0)</f>
        <v>0</v>
      </c>
      <c r="H462">
        <f>VLOOKUP(B462,raw!A:K,6,0)</f>
        <v>0</v>
      </c>
      <c r="I462">
        <f>VLOOKUP(B462,raw!A:K,9,0)</f>
        <v>0</v>
      </c>
      <c r="J462">
        <f>VLOOKUP(B462,raw!A:K,8,0)</f>
        <v>0</v>
      </c>
      <c r="K462">
        <f>_xlfn.IFNA(VLOOKUP(B462,TDK!A:C,2,0),0)</f>
        <v>36</v>
      </c>
      <c r="L462">
        <f>_xlfn.IFNA(VLOOKUP(B462,TDK!A:C,3,0),0)</f>
        <v>1</v>
      </c>
      <c r="M462">
        <f>_xlfn.IFNA(VLOOKUP(B462,TDK!F:G,2,0),0)</f>
        <v>14</v>
      </c>
      <c r="N462">
        <f t="shared" si="7"/>
        <v>51</v>
      </c>
    </row>
    <row r="463" spans="1:14" x14ac:dyDescent="0.25">
      <c r="A463" t="s">
        <v>67</v>
      </c>
      <c r="B463" t="s">
        <v>1460</v>
      </c>
      <c r="C463">
        <f>VLOOKUP(B463,raw!A:K,11,0)</f>
        <v>79</v>
      </c>
      <c r="D463">
        <f>VLOOKUP(B463,raw!A:K,3,0)+VLOOKUP(B463,raw!A:K,7,0)</f>
        <v>79</v>
      </c>
      <c r="E463">
        <f>VLOOKUP(B463,raw!A:K,4,0)</f>
        <v>0</v>
      </c>
      <c r="F463">
        <f>VLOOKUP(B463,raw!A:K,5,0)</f>
        <v>0</v>
      </c>
      <c r="G463">
        <f>VLOOKUP(B463,raw!A:K,2,0)+VLOOKUP(B463,raw!A:K,10,0)</f>
        <v>0</v>
      </c>
      <c r="H463">
        <f>VLOOKUP(B463,raw!A:K,6,0)</f>
        <v>0</v>
      </c>
      <c r="I463">
        <f>VLOOKUP(B463,raw!A:K,9,0)</f>
        <v>0</v>
      </c>
      <c r="J463">
        <f>VLOOKUP(B463,raw!A:K,8,0)</f>
        <v>0</v>
      </c>
      <c r="K463">
        <f>_xlfn.IFNA(VLOOKUP(B463,TDK!A:C,2,0),0)</f>
        <v>39</v>
      </c>
      <c r="L463">
        <f>_xlfn.IFNA(VLOOKUP(B463,TDK!A:C,3,0),0)</f>
        <v>1</v>
      </c>
      <c r="M463">
        <f>_xlfn.IFNA(VLOOKUP(B463,TDK!F:G,2,0),0)</f>
        <v>6</v>
      </c>
      <c r="N463">
        <f t="shared" si="7"/>
        <v>46</v>
      </c>
    </row>
    <row r="464" spans="1:14" x14ac:dyDescent="0.25">
      <c r="A464" t="s">
        <v>66</v>
      </c>
      <c r="B464" t="s">
        <v>1461</v>
      </c>
      <c r="C464">
        <f>VLOOKUP(B464,raw!A:K,11,0)</f>
        <v>154</v>
      </c>
      <c r="D464">
        <f>VLOOKUP(B464,raw!A:K,3,0)+VLOOKUP(B464,raw!A:K,7,0)</f>
        <v>65</v>
      </c>
      <c r="E464">
        <f>VLOOKUP(B464,raw!A:K,4,0)</f>
        <v>0</v>
      </c>
      <c r="F464">
        <f>VLOOKUP(B464,raw!A:K,5,0)</f>
        <v>0</v>
      </c>
      <c r="G464">
        <f>VLOOKUP(B464,raw!A:K,2,0)+VLOOKUP(B464,raw!A:K,10,0)</f>
        <v>2</v>
      </c>
      <c r="H464">
        <f>VLOOKUP(B464,raw!A:K,6,0)</f>
        <v>0</v>
      </c>
      <c r="I464">
        <f>VLOOKUP(B464,raw!A:K,9,0)</f>
        <v>87</v>
      </c>
      <c r="J464">
        <f>VLOOKUP(B464,raw!A:K,8,0)</f>
        <v>0</v>
      </c>
      <c r="K464">
        <f>_xlfn.IFNA(VLOOKUP(B464,TDK!A:C,2,0),0)</f>
        <v>28</v>
      </c>
      <c r="L464">
        <f>_xlfn.IFNA(VLOOKUP(B464,TDK!A:C,3,0),0)</f>
        <v>9</v>
      </c>
      <c r="M464">
        <f>_xlfn.IFNA(VLOOKUP(B464,TDK!F:G,2,0),0)</f>
        <v>21</v>
      </c>
      <c r="N464">
        <f t="shared" si="7"/>
        <v>58</v>
      </c>
    </row>
    <row r="465" spans="1:14" x14ac:dyDescent="0.25">
      <c r="A465" t="s">
        <v>66</v>
      </c>
      <c r="B465" t="s">
        <v>1462</v>
      </c>
      <c r="C465">
        <f>VLOOKUP(B465,raw!A:K,11,0)</f>
        <v>35</v>
      </c>
      <c r="D465">
        <f>VLOOKUP(B465,raw!A:K,3,0)+VLOOKUP(B465,raw!A:K,7,0)</f>
        <v>33</v>
      </c>
      <c r="E465">
        <f>VLOOKUP(B465,raw!A:K,4,0)</f>
        <v>0</v>
      </c>
      <c r="F465">
        <f>VLOOKUP(B465,raw!A:K,5,0)</f>
        <v>0</v>
      </c>
      <c r="G465">
        <f>VLOOKUP(B465,raw!A:K,2,0)+VLOOKUP(B465,raw!A:K,10,0)</f>
        <v>2</v>
      </c>
      <c r="H465">
        <f>VLOOKUP(B465,raw!A:K,6,0)</f>
        <v>0</v>
      </c>
      <c r="I465">
        <f>VLOOKUP(B465,raw!A:K,9,0)</f>
        <v>0</v>
      </c>
      <c r="J465">
        <f>VLOOKUP(B465,raw!A:K,8,0)</f>
        <v>0</v>
      </c>
      <c r="K465">
        <f>_xlfn.IFNA(VLOOKUP(B465,TDK!A:C,2,0),0)</f>
        <v>8</v>
      </c>
      <c r="L465">
        <f>_xlfn.IFNA(VLOOKUP(B465,TDK!A:C,3,0),0)</f>
        <v>0</v>
      </c>
      <c r="M465">
        <f>_xlfn.IFNA(VLOOKUP(B465,TDK!F:G,2,0),0)</f>
        <v>6</v>
      </c>
      <c r="N465">
        <f t="shared" si="7"/>
        <v>14</v>
      </c>
    </row>
    <row r="466" spans="1:14" x14ac:dyDescent="0.25">
      <c r="A466" t="s">
        <v>66</v>
      </c>
      <c r="B466" t="s">
        <v>1463</v>
      </c>
      <c r="C466">
        <f>VLOOKUP(B466,raw!A:K,11,0)</f>
        <v>41</v>
      </c>
      <c r="D466">
        <f>VLOOKUP(B466,raw!A:K,3,0)+VLOOKUP(B466,raw!A:K,7,0)</f>
        <v>37</v>
      </c>
      <c r="E466">
        <f>VLOOKUP(B466,raw!A:K,4,0)</f>
        <v>0</v>
      </c>
      <c r="F466">
        <f>VLOOKUP(B466,raw!A:K,5,0)</f>
        <v>0</v>
      </c>
      <c r="G466">
        <f>VLOOKUP(B466,raw!A:K,2,0)+VLOOKUP(B466,raw!A:K,10,0)</f>
        <v>1</v>
      </c>
      <c r="H466">
        <f>VLOOKUP(B466,raw!A:K,6,0)</f>
        <v>0</v>
      </c>
      <c r="I466">
        <f>VLOOKUP(B466,raw!A:K,9,0)</f>
        <v>3</v>
      </c>
      <c r="J466">
        <f>VLOOKUP(B466,raw!A:K,8,0)</f>
        <v>0</v>
      </c>
      <c r="K466">
        <f>_xlfn.IFNA(VLOOKUP(B466,TDK!A:C,2,0),0)</f>
        <v>5</v>
      </c>
      <c r="L466">
        <f>_xlfn.IFNA(VLOOKUP(B466,TDK!A:C,3,0),0)</f>
        <v>1</v>
      </c>
      <c r="M466">
        <f>_xlfn.IFNA(VLOOKUP(B466,TDK!F:G,2,0),0)</f>
        <v>8</v>
      </c>
      <c r="N466">
        <f t="shared" si="7"/>
        <v>14</v>
      </c>
    </row>
    <row r="467" spans="1:14" x14ac:dyDescent="0.25">
      <c r="A467" t="s">
        <v>66</v>
      </c>
      <c r="B467" t="s">
        <v>1464</v>
      </c>
      <c r="C467">
        <f>VLOOKUP(B467,raw!A:K,11,0)</f>
        <v>55</v>
      </c>
      <c r="D467">
        <f>VLOOKUP(B467,raw!A:K,3,0)+VLOOKUP(B467,raw!A:K,7,0)</f>
        <v>54</v>
      </c>
      <c r="E467">
        <f>VLOOKUP(B467,raw!A:K,4,0)</f>
        <v>0</v>
      </c>
      <c r="F467">
        <f>VLOOKUP(B467,raw!A:K,5,0)</f>
        <v>0</v>
      </c>
      <c r="G467">
        <f>VLOOKUP(B467,raw!A:K,2,0)+VLOOKUP(B467,raw!A:K,10,0)</f>
        <v>0</v>
      </c>
      <c r="H467">
        <f>VLOOKUP(B467,raw!A:K,6,0)</f>
        <v>0</v>
      </c>
      <c r="I467">
        <f>VLOOKUP(B467,raw!A:K,9,0)</f>
        <v>1</v>
      </c>
      <c r="J467">
        <f>VLOOKUP(B467,raw!A:K,8,0)</f>
        <v>0</v>
      </c>
      <c r="K467">
        <f>_xlfn.IFNA(VLOOKUP(B467,TDK!A:C,2,0),0)</f>
        <v>16</v>
      </c>
      <c r="L467">
        <f>_xlfn.IFNA(VLOOKUP(B467,TDK!A:C,3,0),0)</f>
        <v>0</v>
      </c>
      <c r="M467">
        <f>_xlfn.IFNA(VLOOKUP(B467,TDK!F:G,2,0),0)</f>
        <v>11</v>
      </c>
      <c r="N467">
        <f t="shared" si="7"/>
        <v>27</v>
      </c>
    </row>
    <row r="468" spans="1:14" x14ac:dyDescent="0.25">
      <c r="A468" t="s">
        <v>66</v>
      </c>
      <c r="B468" t="s">
        <v>1465</v>
      </c>
      <c r="C468">
        <f>VLOOKUP(B468,raw!A:K,11,0)</f>
        <v>59</v>
      </c>
      <c r="D468">
        <f>VLOOKUP(B468,raw!A:K,3,0)+VLOOKUP(B468,raw!A:K,7,0)</f>
        <v>43</v>
      </c>
      <c r="E468">
        <f>VLOOKUP(B468,raw!A:K,4,0)</f>
        <v>0</v>
      </c>
      <c r="F468">
        <f>VLOOKUP(B468,raw!A:K,5,0)</f>
        <v>0</v>
      </c>
      <c r="G468">
        <f>VLOOKUP(B468,raw!A:K,2,0)+VLOOKUP(B468,raw!A:K,10,0)</f>
        <v>0</v>
      </c>
      <c r="H468">
        <f>VLOOKUP(B468,raw!A:K,6,0)</f>
        <v>0</v>
      </c>
      <c r="I468">
        <f>VLOOKUP(B468,raw!A:K,9,0)</f>
        <v>16</v>
      </c>
      <c r="J468">
        <f>VLOOKUP(B468,raw!A:K,8,0)</f>
        <v>0</v>
      </c>
      <c r="K468">
        <f>_xlfn.IFNA(VLOOKUP(B468,TDK!A:C,2,0),0)</f>
        <v>13</v>
      </c>
      <c r="L468">
        <f>_xlfn.IFNA(VLOOKUP(B468,TDK!A:C,3,0),0)</f>
        <v>0</v>
      </c>
      <c r="M468">
        <f>_xlfn.IFNA(VLOOKUP(B468,TDK!F:G,2,0),0)</f>
        <v>4</v>
      </c>
      <c r="N468">
        <f t="shared" si="7"/>
        <v>17</v>
      </c>
    </row>
    <row r="469" spans="1:14" x14ac:dyDescent="0.25">
      <c r="A469" t="s">
        <v>66</v>
      </c>
      <c r="B469" t="s">
        <v>1466</v>
      </c>
      <c r="C469">
        <f>VLOOKUP(B469,raw!A:K,11,0)</f>
        <v>62</v>
      </c>
      <c r="D469">
        <f>VLOOKUP(B469,raw!A:K,3,0)+VLOOKUP(B469,raw!A:K,7,0)</f>
        <v>58</v>
      </c>
      <c r="E469">
        <f>VLOOKUP(B469,raw!A:K,4,0)</f>
        <v>0</v>
      </c>
      <c r="F469">
        <f>VLOOKUP(B469,raw!A:K,5,0)</f>
        <v>0</v>
      </c>
      <c r="G469">
        <f>VLOOKUP(B469,raw!A:K,2,0)+VLOOKUP(B469,raw!A:K,10,0)</f>
        <v>0</v>
      </c>
      <c r="H469">
        <f>VLOOKUP(B469,raw!A:K,6,0)</f>
        <v>0</v>
      </c>
      <c r="I469">
        <f>VLOOKUP(B469,raw!A:K,9,0)</f>
        <v>4</v>
      </c>
      <c r="J469">
        <f>VLOOKUP(B469,raw!A:K,8,0)</f>
        <v>0</v>
      </c>
      <c r="K469">
        <f>_xlfn.IFNA(VLOOKUP(B469,TDK!A:C,2,0),0)</f>
        <v>13</v>
      </c>
      <c r="L469">
        <f>_xlfn.IFNA(VLOOKUP(B469,TDK!A:C,3,0),0)</f>
        <v>2</v>
      </c>
      <c r="M469">
        <f>_xlfn.IFNA(VLOOKUP(B469,TDK!F:G,2,0),0)</f>
        <v>9</v>
      </c>
      <c r="N469">
        <f t="shared" si="7"/>
        <v>24</v>
      </c>
    </row>
    <row r="470" spans="1:14" x14ac:dyDescent="0.25">
      <c r="A470" t="s">
        <v>68</v>
      </c>
      <c r="B470" t="s">
        <v>1467</v>
      </c>
      <c r="C470">
        <f>VLOOKUP(B470,raw!A:K,11,0)</f>
        <v>121</v>
      </c>
      <c r="D470">
        <f>VLOOKUP(B470,raw!A:K,3,0)+VLOOKUP(B470,raw!A:K,7,0)</f>
        <v>26</v>
      </c>
      <c r="E470">
        <f>VLOOKUP(B470,raw!A:K,4,0)</f>
        <v>0</v>
      </c>
      <c r="F470">
        <f>VLOOKUP(B470,raw!A:K,5,0)</f>
        <v>0</v>
      </c>
      <c r="G470">
        <f>VLOOKUP(B470,raw!A:K,2,0)+VLOOKUP(B470,raw!A:K,10,0)</f>
        <v>0</v>
      </c>
      <c r="H470">
        <f>VLOOKUP(B470,raw!A:K,6,0)</f>
        <v>0</v>
      </c>
      <c r="I470">
        <f>VLOOKUP(B470,raw!A:K,9,0)</f>
        <v>95</v>
      </c>
      <c r="J470">
        <f>VLOOKUP(B470,raw!A:K,8,0)</f>
        <v>0</v>
      </c>
      <c r="K470">
        <f>_xlfn.IFNA(VLOOKUP(B470,TDK!A:C,2,0),0)</f>
        <v>27</v>
      </c>
      <c r="L470">
        <f>_xlfn.IFNA(VLOOKUP(B470,TDK!A:C,3,0),0)</f>
        <v>27</v>
      </c>
      <c r="M470">
        <f>_xlfn.IFNA(VLOOKUP(B470,TDK!F:G,2,0),0)</f>
        <v>8</v>
      </c>
      <c r="N470">
        <f t="shared" si="7"/>
        <v>62</v>
      </c>
    </row>
    <row r="471" spans="1:14" x14ac:dyDescent="0.25">
      <c r="A471" t="s">
        <v>68</v>
      </c>
      <c r="B471" t="s">
        <v>1468</v>
      </c>
      <c r="C471">
        <f>VLOOKUP(B471,raw!A:K,11,0)</f>
        <v>63</v>
      </c>
      <c r="D471">
        <f>VLOOKUP(B471,raw!A:K,3,0)+VLOOKUP(B471,raw!A:K,7,0)</f>
        <v>3</v>
      </c>
      <c r="E471">
        <f>VLOOKUP(B471,raw!A:K,4,0)</f>
        <v>0</v>
      </c>
      <c r="F471">
        <f>VLOOKUP(B471,raw!A:K,5,0)</f>
        <v>0</v>
      </c>
      <c r="G471">
        <f>VLOOKUP(B471,raw!A:K,2,0)+VLOOKUP(B471,raw!A:K,10,0)</f>
        <v>0</v>
      </c>
      <c r="H471">
        <f>VLOOKUP(B471,raw!A:K,6,0)</f>
        <v>0</v>
      </c>
      <c r="I471">
        <f>VLOOKUP(B471,raw!A:K,9,0)</f>
        <v>60</v>
      </c>
      <c r="J471">
        <f>VLOOKUP(B471,raw!A:K,8,0)</f>
        <v>0</v>
      </c>
      <c r="K471">
        <f>_xlfn.IFNA(VLOOKUP(B471,TDK!A:C,2,0),0)</f>
        <v>16</v>
      </c>
      <c r="L471">
        <f>_xlfn.IFNA(VLOOKUP(B471,TDK!A:C,3,0),0)</f>
        <v>1</v>
      </c>
      <c r="M471">
        <f>_xlfn.IFNA(VLOOKUP(B471,TDK!F:G,2,0),0)</f>
        <v>2</v>
      </c>
      <c r="N471">
        <f t="shared" si="7"/>
        <v>19</v>
      </c>
    </row>
    <row r="472" spans="1:14" x14ac:dyDescent="0.25">
      <c r="A472" t="s">
        <v>68</v>
      </c>
      <c r="B472" t="s">
        <v>1469</v>
      </c>
      <c r="C472">
        <f>VLOOKUP(B472,raw!A:K,11,0)</f>
        <v>69</v>
      </c>
      <c r="D472">
        <f>VLOOKUP(B472,raw!A:K,3,0)+VLOOKUP(B472,raw!A:K,7,0)</f>
        <v>13</v>
      </c>
      <c r="E472">
        <f>VLOOKUP(B472,raw!A:K,4,0)</f>
        <v>0</v>
      </c>
      <c r="F472">
        <f>VLOOKUP(B472,raw!A:K,5,0)</f>
        <v>0</v>
      </c>
      <c r="G472">
        <f>VLOOKUP(B472,raw!A:K,2,0)+VLOOKUP(B472,raw!A:K,10,0)</f>
        <v>0</v>
      </c>
      <c r="H472">
        <f>VLOOKUP(B472,raw!A:K,6,0)</f>
        <v>0</v>
      </c>
      <c r="I472">
        <f>VLOOKUP(B472,raw!A:K,9,0)</f>
        <v>56</v>
      </c>
      <c r="J472">
        <f>VLOOKUP(B472,raw!A:K,8,0)</f>
        <v>0</v>
      </c>
      <c r="K472">
        <f>_xlfn.IFNA(VLOOKUP(B472,TDK!A:C,2,0),0)</f>
        <v>18</v>
      </c>
      <c r="L472">
        <f>_xlfn.IFNA(VLOOKUP(B472,TDK!A:C,3,0),0)</f>
        <v>5</v>
      </c>
      <c r="M472">
        <f>_xlfn.IFNA(VLOOKUP(B472,TDK!F:G,2,0),0)</f>
        <v>5</v>
      </c>
      <c r="N472">
        <f t="shared" si="7"/>
        <v>28</v>
      </c>
    </row>
    <row r="473" spans="1:14" x14ac:dyDescent="0.25">
      <c r="A473" t="s">
        <v>68</v>
      </c>
      <c r="B473" t="s">
        <v>1470</v>
      </c>
      <c r="C473">
        <f>VLOOKUP(B473,raw!A:K,11,0)</f>
        <v>98</v>
      </c>
      <c r="D473">
        <f>VLOOKUP(B473,raw!A:K,3,0)+VLOOKUP(B473,raw!A:K,7,0)</f>
        <v>24</v>
      </c>
      <c r="E473">
        <f>VLOOKUP(B473,raw!A:K,4,0)</f>
        <v>0</v>
      </c>
      <c r="F473">
        <f>VLOOKUP(B473,raw!A:K,5,0)</f>
        <v>0</v>
      </c>
      <c r="G473">
        <f>VLOOKUP(B473,raw!A:K,2,0)+VLOOKUP(B473,raw!A:K,10,0)</f>
        <v>0</v>
      </c>
      <c r="H473">
        <f>VLOOKUP(B473,raw!A:K,6,0)</f>
        <v>0</v>
      </c>
      <c r="I473">
        <f>VLOOKUP(B473,raw!A:K,9,0)</f>
        <v>74</v>
      </c>
      <c r="J473">
        <f>VLOOKUP(B473,raw!A:K,8,0)</f>
        <v>0</v>
      </c>
      <c r="K473">
        <f>_xlfn.IFNA(VLOOKUP(B473,TDK!A:C,2,0),0)</f>
        <v>12</v>
      </c>
      <c r="L473">
        <f>_xlfn.IFNA(VLOOKUP(B473,TDK!A:C,3,0),0)</f>
        <v>18</v>
      </c>
      <c r="M473">
        <f>_xlfn.IFNA(VLOOKUP(B473,TDK!F:G,2,0),0)</f>
        <v>4</v>
      </c>
      <c r="N473">
        <f t="shared" si="7"/>
        <v>34</v>
      </c>
    </row>
    <row r="474" spans="1:14" x14ac:dyDescent="0.25">
      <c r="A474" t="s">
        <v>69</v>
      </c>
      <c r="B474" t="s">
        <v>1471</v>
      </c>
      <c r="C474">
        <f>VLOOKUP(B474,raw!A:K,11,0)</f>
        <v>75</v>
      </c>
      <c r="D474">
        <f>VLOOKUP(B474,raw!A:K,3,0)+VLOOKUP(B474,raw!A:K,7,0)</f>
        <v>75</v>
      </c>
      <c r="E474">
        <f>VLOOKUP(B474,raw!A:K,4,0)</f>
        <v>0</v>
      </c>
      <c r="F474">
        <f>VLOOKUP(B474,raw!A:K,5,0)</f>
        <v>0</v>
      </c>
      <c r="G474">
        <f>VLOOKUP(B474,raw!A:K,2,0)+VLOOKUP(B474,raw!A:K,10,0)</f>
        <v>0</v>
      </c>
      <c r="H474">
        <f>VLOOKUP(B474,raw!A:K,6,0)</f>
        <v>0</v>
      </c>
      <c r="I474">
        <f>VLOOKUP(B474,raw!A:K,9,0)</f>
        <v>0</v>
      </c>
      <c r="J474">
        <f>VLOOKUP(B474,raw!A:K,8,0)</f>
        <v>0</v>
      </c>
      <c r="K474">
        <f>_xlfn.IFNA(VLOOKUP(B474,TDK!A:C,2,0),0)</f>
        <v>26</v>
      </c>
      <c r="L474">
        <f>_xlfn.IFNA(VLOOKUP(B474,TDK!A:C,3,0),0)</f>
        <v>3</v>
      </c>
      <c r="M474">
        <f>_xlfn.IFNA(VLOOKUP(B474,TDK!F:G,2,0),0)</f>
        <v>4</v>
      </c>
      <c r="N474">
        <f t="shared" si="7"/>
        <v>33</v>
      </c>
    </row>
    <row r="475" spans="1:14" x14ac:dyDescent="0.25">
      <c r="A475" t="s">
        <v>69</v>
      </c>
      <c r="B475" t="s">
        <v>1472</v>
      </c>
      <c r="C475">
        <f>VLOOKUP(B475,raw!A:K,11,0)</f>
        <v>121</v>
      </c>
      <c r="D475">
        <f>VLOOKUP(B475,raw!A:K,3,0)+VLOOKUP(B475,raw!A:K,7,0)</f>
        <v>108</v>
      </c>
      <c r="E475">
        <f>VLOOKUP(B475,raw!A:K,4,0)</f>
        <v>0</v>
      </c>
      <c r="F475">
        <f>VLOOKUP(B475,raw!A:K,5,0)</f>
        <v>0</v>
      </c>
      <c r="G475">
        <f>VLOOKUP(B475,raw!A:K,2,0)+VLOOKUP(B475,raw!A:K,10,0)</f>
        <v>0</v>
      </c>
      <c r="H475">
        <f>VLOOKUP(B475,raw!A:K,6,0)</f>
        <v>0</v>
      </c>
      <c r="I475">
        <f>VLOOKUP(B475,raw!A:K,9,0)</f>
        <v>13</v>
      </c>
      <c r="J475">
        <f>VLOOKUP(B475,raw!A:K,8,0)</f>
        <v>0</v>
      </c>
      <c r="K475">
        <f>_xlfn.IFNA(VLOOKUP(B475,TDK!A:C,2,0),0)</f>
        <v>41</v>
      </c>
      <c r="L475">
        <f>_xlfn.IFNA(VLOOKUP(B475,TDK!A:C,3,0),0)</f>
        <v>8</v>
      </c>
      <c r="M475">
        <f>_xlfn.IFNA(VLOOKUP(B475,TDK!F:G,2,0),0)</f>
        <v>24</v>
      </c>
      <c r="N475">
        <f t="shared" si="7"/>
        <v>73</v>
      </c>
    </row>
    <row r="476" spans="1:14" x14ac:dyDescent="0.25">
      <c r="A476" t="s">
        <v>69</v>
      </c>
      <c r="B476" t="s">
        <v>1473</v>
      </c>
      <c r="C476">
        <f>VLOOKUP(B476,raw!A:K,11,0)</f>
        <v>190</v>
      </c>
      <c r="D476">
        <f>VLOOKUP(B476,raw!A:K,3,0)+VLOOKUP(B476,raw!A:K,7,0)</f>
        <v>126</v>
      </c>
      <c r="E476">
        <f>VLOOKUP(B476,raw!A:K,4,0)</f>
        <v>0</v>
      </c>
      <c r="F476">
        <f>VLOOKUP(B476,raw!A:K,5,0)</f>
        <v>0</v>
      </c>
      <c r="G476">
        <f>VLOOKUP(B476,raw!A:K,2,0)+VLOOKUP(B476,raw!A:K,10,0)</f>
        <v>0</v>
      </c>
      <c r="H476">
        <f>VLOOKUP(B476,raw!A:K,6,0)</f>
        <v>0</v>
      </c>
      <c r="I476">
        <f>VLOOKUP(B476,raw!A:K,9,0)</f>
        <v>64</v>
      </c>
      <c r="J476">
        <f>VLOOKUP(B476,raw!A:K,8,0)</f>
        <v>0</v>
      </c>
      <c r="K476">
        <f>_xlfn.IFNA(VLOOKUP(B476,TDK!A:C,2,0),0)</f>
        <v>73</v>
      </c>
      <c r="L476">
        <f>_xlfn.IFNA(VLOOKUP(B476,TDK!A:C,3,0),0)</f>
        <v>1</v>
      </c>
      <c r="M476">
        <f>_xlfn.IFNA(VLOOKUP(B476,TDK!F:G,2,0),0)</f>
        <v>27</v>
      </c>
      <c r="N476">
        <f t="shared" si="7"/>
        <v>101</v>
      </c>
    </row>
    <row r="477" spans="1:14" x14ac:dyDescent="0.25">
      <c r="A477" t="s">
        <v>69</v>
      </c>
      <c r="B477" t="s">
        <v>1474</v>
      </c>
      <c r="C477">
        <f>VLOOKUP(B477,raw!A:K,11,0)</f>
        <v>168</v>
      </c>
      <c r="D477">
        <f>VLOOKUP(B477,raw!A:K,3,0)+VLOOKUP(B477,raw!A:K,7,0)</f>
        <v>138</v>
      </c>
      <c r="E477">
        <f>VLOOKUP(B477,raw!A:K,4,0)</f>
        <v>1</v>
      </c>
      <c r="F477">
        <f>VLOOKUP(B477,raw!A:K,5,0)</f>
        <v>0</v>
      </c>
      <c r="G477">
        <f>VLOOKUP(B477,raw!A:K,2,0)+VLOOKUP(B477,raw!A:K,10,0)</f>
        <v>0</v>
      </c>
      <c r="H477">
        <f>VLOOKUP(B477,raw!A:K,6,0)</f>
        <v>0</v>
      </c>
      <c r="I477">
        <f>VLOOKUP(B477,raw!A:K,9,0)</f>
        <v>29</v>
      </c>
      <c r="J477">
        <f>VLOOKUP(B477,raw!A:K,8,0)</f>
        <v>0</v>
      </c>
      <c r="K477">
        <f>_xlfn.IFNA(VLOOKUP(B477,TDK!A:C,2,0),0)</f>
        <v>61</v>
      </c>
      <c r="L477">
        <f>_xlfn.IFNA(VLOOKUP(B477,TDK!A:C,3,0),0)</f>
        <v>3</v>
      </c>
      <c r="M477">
        <f>_xlfn.IFNA(VLOOKUP(B477,TDK!F:G,2,0),0)</f>
        <v>34</v>
      </c>
      <c r="N477">
        <f t="shared" si="7"/>
        <v>98</v>
      </c>
    </row>
    <row r="478" spans="1:14" x14ac:dyDescent="0.25">
      <c r="A478" t="s">
        <v>69</v>
      </c>
      <c r="B478" t="s">
        <v>1475</v>
      </c>
      <c r="C478">
        <f>VLOOKUP(B478,raw!A:K,11,0)</f>
        <v>123</v>
      </c>
      <c r="D478">
        <f>VLOOKUP(B478,raw!A:K,3,0)+VLOOKUP(B478,raw!A:K,7,0)</f>
        <v>116</v>
      </c>
      <c r="E478">
        <f>VLOOKUP(B478,raw!A:K,4,0)</f>
        <v>1</v>
      </c>
      <c r="F478">
        <f>VLOOKUP(B478,raw!A:K,5,0)</f>
        <v>0</v>
      </c>
      <c r="G478">
        <f>VLOOKUP(B478,raw!A:K,2,0)+VLOOKUP(B478,raw!A:K,10,0)</f>
        <v>0</v>
      </c>
      <c r="H478">
        <f>VLOOKUP(B478,raw!A:K,6,0)</f>
        <v>0</v>
      </c>
      <c r="I478">
        <f>VLOOKUP(B478,raw!A:K,9,0)</f>
        <v>6</v>
      </c>
      <c r="J478">
        <f>VLOOKUP(B478,raw!A:K,8,0)</f>
        <v>0</v>
      </c>
      <c r="K478">
        <f>_xlfn.IFNA(VLOOKUP(B478,TDK!A:C,2,0),0)</f>
        <v>23</v>
      </c>
      <c r="L478">
        <f>_xlfn.IFNA(VLOOKUP(B478,TDK!A:C,3,0),0)</f>
        <v>1</v>
      </c>
      <c r="M478">
        <f>_xlfn.IFNA(VLOOKUP(B478,TDK!F:G,2,0),0)</f>
        <v>21</v>
      </c>
      <c r="N478">
        <f t="shared" si="7"/>
        <v>45</v>
      </c>
    </row>
    <row r="479" spans="1:14" x14ac:dyDescent="0.25">
      <c r="A479" t="s">
        <v>69</v>
      </c>
      <c r="B479" t="s">
        <v>1476</v>
      </c>
      <c r="C479">
        <f>VLOOKUP(B479,raw!A:K,11,0)</f>
        <v>162</v>
      </c>
      <c r="D479">
        <f>VLOOKUP(B479,raw!A:K,3,0)+VLOOKUP(B479,raw!A:K,7,0)</f>
        <v>36</v>
      </c>
      <c r="E479">
        <f>VLOOKUP(B479,raw!A:K,4,0)</f>
        <v>0</v>
      </c>
      <c r="F479">
        <f>VLOOKUP(B479,raw!A:K,5,0)</f>
        <v>0</v>
      </c>
      <c r="G479">
        <f>VLOOKUP(B479,raw!A:K,2,0)+VLOOKUP(B479,raw!A:K,10,0)</f>
        <v>0</v>
      </c>
      <c r="H479">
        <f>VLOOKUP(B479,raw!A:K,6,0)</f>
        <v>0</v>
      </c>
      <c r="I479">
        <f>VLOOKUP(B479,raw!A:K,9,0)</f>
        <v>126</v>
      </c>
      <c r="J479">
        <f>VLOOKUP(B479,raw!A:K,8,0)</f>
        <v>0</v>
      </c>
      <c r="K479">
        <f>_xlfn.IFNA(VLOOKUP(B479,TDK!A:C,2,0),0)</f>
        <v>90</v>
      </c>
      <c r="L479">
        <f>_xlfn.IFNA(VLOOKUP(B479,TDK!A:C,3,0),0)</f>
        <v>12</v>
      </c>
      <c r="M479">
        <f>_xlfn.IFNA(VLOOKUP(B479,TDK!F:G,2,0),0)</f>
        <v>9</v>
      </c>
      <c r="N479">
        <f t="shared" si="7"/>
        <v>111</v>
      </c>
    </row>
    <row r="480" spans="1:14" x14ac:dyDescent="0.25">
      <c r="A480" t="s">
        <v>70</v>
      </c>
      <c r="B480" t="s">
        <v>1477</v>
      </c>
      <c r="C480">
        <f>VLOOKUP(B480,raw!A:K,11,0)</f>
        <v>195</v>
      </c>
      <c r="D480">
        <f>VLOOKUP(B480,raw!A:K,3,0)+VLOOKUP(B480,raw!A:K,7,0)</f>
        <v>32</v>
      </c>
      <c r="E480">
        <f>VLOOKUP(B480,raw!A:K,4,0)</f>
        <v>0</v>
      </c>
      <c r="F480">
        <f>VLOOKUP(B480,raw!A:K,5,0)</f>
        <v>0</v>
      </c>
      <c r="G480">
        <f>VLOOKUP(B480,raw!A:K,2,0)+VLOOKUP(B480,raw!A:K,10,0)</f>
        <v>18</v>
      </c>
      <c r="H480">
        <f>VLOOKUP(B480,raw!A:K,6,0)</f>
        <v>0</v>
      </c>
      <c r="I480">
        <f>VLOOKUP(B480,raw!A:K,9,0)</f>
        <v>145</v>
      </c>
      <c r="J480">
        <f>VLOOKUP(B480,raw!A:K,8,0)</f>
        <v>0</v>
      </c>
      <c r="K480">
        <f>_xlfn.IFNA(VLOOKUP(B480,TDK!A:C,2,0),0)</f>
        <v>21</v>
      </c>
      <c r="L480">
        <f>_xlfn.IFNA(VLOOKUP(B480,TDK!A:C,3,0),0)</f>
        <v>8</v>
      </c>
      <c r="M480">
        <f>_xlfn.IFNA(VLOOKUP(B480,TDK!F:G,2,0),0)</f>
        <v>56</v>
      </c>
      <c r="N480">
        <f t="shared" si="7"/>
        <v>85</v>
      </c>
    </row>
    <row r="481" spans="1:14" x14ac:dyDescent="0.25">
      <c r="A481" t="s">
        <v>70</v>
      </c>
      <c r="B481" t="s">
        <v>1478</v>
      </c>
      <c r="C481">
        <f>VLOOKUP(B481,raw!A:K,11,0)</f>
        <v>130</v>
      </c>
      <c r="D481">
        <f>VLOOKUP(B481,raw!A:K,3,0)+VLOOKUP(B481,raw!A:K,7,0)</f>
        <v>2</v>
      </c>
      <c r="E481">
        <f>VLOOKUP(B481,raw!A:K,4,0)</f>
        <v>0</v>
      </c>
      <c r="F481">
        <f>VLOOKUP(B481,raw!A:K,5,0)</f>
        <v>0</v>
      </c>
      <c r="G481">
        <f>VLOOKUP(B481,raw!A:K,2,0)+VLOOKUP(B481,raw!A:K,10,0)</f>
        <v>2</v>
      </c>
      <c r="H481">
        <f>VLOOKUP(B481,raw!A:K,6,0)</f>
        <v>0</v>
      </c>
      <c r="I481">
        <f>VLOOKUP(B481,raw!A:K,9,0)</f>
        <v>126</v>
      </c>
      <c r="J481">
        <f>VLOOKUP(B481,raw!A:K,8,0)</f>
        <v>0</v>
      </c>
      <c r="K481">
        <f>_xlfn.IFNA(VLOOKUP(B481,TDK!A:C,2,0),0)</f>
        <v>23</v>
      </c>
      <c r="L481">
        <f>_xlfn.IFNA(VLOOKUP(B481,TDK!A:C,3,0),0)</f>
        <v>7</v>
      </c>
      <c r="M481">
        <f>_xlfn.IFNA(VLOOKUP(B481,TDK!F:G,2,0),0)</f>
        <v>22</v>
      </c>
      <c r="N481">
        <f t="shared" si="7"/>
        <v>52</v>
      </c>
    </row>
    <row r="482" spans="1:14" x14ac:dyDescent="0.25">
      <c r="A482" t="s">
        <v>70</v>
      </c>
      <c r="B482" t="s">
        <v>1479</v>
      </c>
      <c r="C482">
        <f>VLOOKUP(B482,raw!A:K,11,0)</f>
        <v>115</v>
      </c>
      <c r="D482">
        <f>VLOOKUP(B482,raw!A:K,3,0)+VLOOKUP(B482,raw!A:K,7,0)</f>
        <v>56</v>
      </c>
      <c r="E482">
        <f>VLOOKUP(B482,raw!A:K,4,0)</f>
        <v>0</v>
      </c>
      <c r="F482">
        <f>VLOOKUP(B482,raw!A:K,5,0)</f>
        <v>0</v>
      </c>
      <c r="G482">
        <f>VLOOKUP(B482,raw!A:K,2,0)+VLOOKUP(B482,raw!A:K,10,0)</f>
        <v>3</v>
      </c>
      <c r="H482">
        <f>VLOOKUP(B482,raw!A:K,6,0)</f>
        <v>0</v>
      </c>
      <c r="I482">
        <f>VLOOKUP(B482,raw!A:K,9,0)</f>
        <v>56</v>
      </c>
      <c r="J482">
        <f>VLOOKUP(B482,raw!A:K,8,0)</f>
        <v>0</v>
      </c>
      <c r="K482">
        <f>_xlfn.IFNA(VLOOKUP(B482,TDK!A:C,2,0),0)</f>
        <v>21</v>
      </c>
      <c r="L482">
        <f>_xlfn.IFNA(VLOOKUP(B482,TDK!A:C,3,0),0)</f>
        <v>5</v>
      </c>
      <c r="M482">
        <f>_xlfn.IFNA(VLOOKUP(B482,TDK!F:G,2,0),0)</f>
        <v>22</v>
      </c>
      <c r="N482">
        <f t="shared" si="7"/>
        <v>48</v>
      </c>
    </row>
    <row r="483" spans="1:14" x14ac:dyDescent="0.25">
      <c r="A483" t="s">
        <v>70</v>
      </c>
      <c r="B483" t="s">
        <v>1480</v>
      </c>
      <c r="C483">
        <f>VLOOKUP(B483,raw!A:K,11,0)</f>
        <v>51</v>
      </c>
      <c r="D483">
        <f>VLOOKUP(B483,raw!A:K,3,0)+VLOOKUP(B483,raw!A:K,7,0)</f>
        <v>47</v>
      </c>
      <c r="E483">
        <f>VLOOKUP(B483,raw!A:K,4,0)</f>
        <v>0</v>
      </c>
      <c r="F483">
        <f>VLOOKUP(B483,raw!A:K,5,0)</f>
        <v>0</v>
      </c>
      <c r="G483">
        <f>VLOOKUP(B483,raw!A:K,2,0)+VLOOKUP(B483,raw!A:K,10,0)</f>
        <v>0</v>
      </c>
      <c r="H483">
        <f>VLOOKUP(B483,raw!A:K,6,0)</f>
        <v>0</v>
      </c>
      <c r="I483">
        <f>VLOOKUP(B483,raw!A:K,9,0)</f>
        <v>4</v>
      </c>
      <c r="J483">
        <f>VLOOKUP(B483,raw!A:K,8,0)</f>
        <v>0</v>
      </c>
      <c r="K483">
        <f>_xlfn.IFNA(VLOOKUP(B483,TDK!A:C,2,0),0)</f>
        <v>10</v>
      </c>
      <c r="L483">
        <f>_xlfn.IFNA(VLOOKUP(B483,TDK!A:C,3,0),0)</f>
        <v>6</v>
      </c>
      <c r="M483">
        <f>_xlfn.IFNA(VLOOKUP(B483,TDK!F:G,2,0),0)</f>
        <v>6</v>
      </c>
      <c r="N483">
        <f t="shared" si="7"/>
        <v>22</v>
      </c>
    </row>
    <row r="484" spans="1:14" x14ac:dyDescent="0.25">
      <c r="A484" t="s">
        <v>70</v>
      </c>
      <c r="B484" t="s">
        <v>1481</v>
      </c>
      <c r="C484">
        <f>VLOOKUP(B484,raw!A:K,11,0)</f>
        <v>115</v>
      </c>
      <c r="D484">
        <f>VLOOKUP(B484,raw!A:K,3,0)+VLOOKUP(B484,raw!A:K,7,0)</f>
        <v>21</v>
      </c>
      <c r="E484">
        <f>VLOOKUP(B484,raw!A:K,4,0)</f>
        <v>0</v>
      </c>
      <c r="F484">
        <f>VLOOKUP(B484,raw!A:K,5,0)</f>
        <v>0</v>
      </c>
      <c r="G484">
        <f>VLOOKUP(B484,raw!A:K,2,0)+VLOOKUP(B484,raw!A:K,10,0)</f>
        <v>1</v>
      </c>
      <c r="H484">
        <f>VLOOKUP(B484,raw!A:K,6,0)</f>
        <v>0</v>
      </c>
      <c r="I484">
        <f>VLOOKUP(B484,raw!A:K,9,0)</f>
        <v>93</v>
      </c>
      <c r="J484">
        <f>VLOOKUP(B484,raw!A:K,8,0)</f>
        <v>0</v>
      </c>
      <c r="K484">
        <f>_xlfn.IFNA(VLOOKUP(B484,TDK!A:C,2,0),0)</f>
        <v>31</v>
      </c>
      <c r="L484">
        <f>_xlfn.IFNA(VLOOKUP(B484,TDK!A:C,3,0),0)</f>
        <v>3</v>
      </c>
      <c r="M484">
        <f>_xlfn.IFNA(VLOOKUP(B484,TDK!F:G,2,0),0)</f>
        <v>21</v>
      </c>
      <c r="N484">
        <f t="shared" si="7"/>
        <v>55</v>
      </c>
    </row>
    <row r="485" spans="1:14" x14ac:dyDescent="0.25">
      <c r="A485" t="s">
        <v>70</v>
      </c>
      <c r="B485" t="s">
        <v>1482</v>
      </c>
      <c r="C485">
        <f>VLOOKUP(B485,raw!A:K,11,0)</f>
        <v>125</v>
      </c>
      <c r="D485">
        <f>VLOOKUP(B485,raw!A:K,3,0)+VLOOKUP(B485,raw!A:K,7,0)</f>
        <v>46</v>
      </c>
      <c r="E485">
        <f>VLOOKUP(B485,raw!A:K,4,0)</f>
        <v>0</v>
      </c>
      <c r="F485">
        <f>VLOOKUP(B485,raw!A:K,5,0)</f>
        <v>0</v>
      </c>
      <c r="G485">
        <f>VLOOKUP(B485,raw!A:K,2,0)+VLOOKUP(B485,raw!A:K,10,0)</f>
        <v>1</v>
      </c>
      <c r="H485">
        <f>VLOOKUP(B485,raw!A:K,6,0)</f>
        <v>0</v>
      </c>
      <c r="I485">
        <f>VLOOKUP(B485,raw!A:K,9,0)</f>
        <v>78</v>
      </c>
      <c r="J485">
        <f>VLOOKUP(B485,raw!A:K,8,0)</f>
        <v>0</v>
      </c>
      <c r="K485">
        <f>_xlfn.IFNA(VLOOKUP(B485,TDK!A:C,2,0),0)</f>
        <v>32</v>
      </c>
      <c r="L485">
        <f>_xlfn.IFNA(VLOOKUP(B485,TDK!A:C,3,0),0)</f>
        <v>2</v>
      </c>
      <c r="M485">
        <f>_xlfn.IFNA(VLOOKUP(B485,TDK!F:G,2,0),0)</f>
        <v>15</v>
      </c>
      <c r="N485">
        <f t="shared" si="7"/>
        <v>49</v>
      </c>
    </row>
    <row r="486" spans="1:14" x14ac:dyDescent="0.25">
      <c r="A486" t="s">
        <v>55</v>
      </c>
      <c r="B486" t="s">
        <v>1483</v>
      </c>
      <c r="C486">
        <f>VLOOKUP(B486,raw!A:K,11,0)</f>
        <v>107</v>
      </c>
      <c r="D486">
        <f>VLOOKUP(B486,raw!A:K,3,0)+VLOOKUP(B486,raw!A:K,7,0)</f>
        <v>60</v>
      </c>
      <c r="E486">
        <f>VLOOKUP(B486,raw!A:K,4,0)</f>
        <v>0</v>
      </c>
      <c r="F486">
        <f>VLOOKUP(B486,raw!A:K,5,0)</f>
        <v>0</v>
      </c>
      <c r="G486">
        <f>VLOOKUP(B486,raw!A:K,2,0)+VLOOKUP(B486,raw!A:K,10,0)</f>
        <v>0</v>
      </c>
      <c r="H486">
        <f>VLOOKUP(B486,raw!A:K,6,0)</f>
        <v>0</v>
      </c>
      <c r="I486">
        <f>VLOOKUP(B486,raw!A:K,9,0)</f>
        <v>47</v>
      </c>
      <c r="J486">
        <f>VLOOKUP(B486,raw!A:K,8,0)</f>
        <v>0</v>
      </c>
      <c r="K486">
        <f>_xlfn.IFNA(VLOOKUP(B486,TDK!A:C,2,0),0)</f>
        <v>36</v>
      </c>
      <c r="L486">
        <f>_xlfn.IFNA(VLOOKUP(B486,TDK!A:C,3,0),0)</f>
        <v>1</v>
      </c>
      <c r="M486">
        <f>_xlfn.IFNA(VLOOKUP(B486,TDK!F:G,2,0),0)</f>
        <v>2</v>
      </c>
      <c r="N486">
        <f t="shared" si="7"/>
        <v>39</v>
      </c>
    </row>
    <row r="487" spans="1:14" x14ac:dyDescent="0.25">
      <c r="A487" t="s">
        <v>70</v>
      </c>
      <c r="B487" t="s">
        <v>1484</v>
      </c>
      <c r="C487">
        <f>VLOOKUP(B487,raw!A:K,11,0)</f>
        <v>101</v>
      </c>
      <c r="D487">
        <f>VLOOKUP(B487,raw!A:K,3,0)+VLOOKUP(B487,raw!A:K,7,0)</f>
        <v>50</v>
      </c>
      <c r="E487">
        <f>VLOOKUP(B487,raw!A:K,4,0)</f>
        <v>0</v>
      </c>
      <c r="F487">
        <f>VLOOKUP(B487,raw!A:K,5,0)</f>
        <v>0</v>
      </c>
      <c r="G487">
        <f>VLOOKUP(B487,raw!A:K,2,0)+VLOOKUP(B487,raw!A:K,10,0)</f>
        <v>0</v>
      </c>
      <c r="H487">
        <f>VLOOKUP(B487,raw!A:K,6,0)</f>
        <v>0</v>
      </c>
      <c r="I487">
        <f>VLOOKUP(B487,raw!A:K,9,0)</f>
        <v>51</v>
      </c>
      <c r="J487">
        <f>VLOOKUP(B487,raw!A:K,8,0)</f>
        <v>0</v>
      </c>
      <c r="K487">
        <f>_xlfn.IFNA(VLOOKUP(B487,TDK!A:C,2,0),0)</f>
        <v>44</v>
      </c>
      <c r="L487">
        <f>_xlfn.IFNA(VLOOKUP(B487,TDK!A:C,3,0),0)</f>
        <v>1</v>
      </c>
      <c r="M487">
        <f>_xlfn.IFNA(VLOOKUP(B487,TDK!F:G,2,0),0)</f>
        <v>12</v>
      </c>
      <c r="N487">
        <f t="shared" si="7"/>
        <v>57</v>
      </c>
    </row>
    <row r="488" spans="1:14" x14ac:dyDescent="0.25">
      <c r="A488" t="s">
        <v>70</v>
      </c>
      <c r="B488" t="s">
        <v>1485</v>
      </c>
      <c r="C488">
        <f>VLOOKUP(B488,raw!A:K,11,0)</f>
        <v>124</v>
      </c>
      <c r="D488">
        <f>VLOOKUP(B488,raw!A:K,3,0)+VLOOKUP(B488,raw!A:K,7,0)</f>
        <v>77</v>
      </c>
      <c r="E488">
        <f>VLOOKUP(B488,raw!A:K,4,0)</f>
        <v>0</v>
      </c>
      <c r="F488">
        <f>VLOOKUP(B488,raw!A:K,5,0)</f>
        <v>0</v>
      </c>
      <c r="G488">
        <f>VLOOKUP(B488,raw!A:K,2,0)+VLOOKUP(B488,raw!A:K,10,0)</f>
        <v>28</v>
      </c>
      <c r="H488">
        <f>VLOOKUP(B488,raw!A:K,6,0)</f>
        <v>0</v>
      </c>
      <c r="I488">
        <f>VLOOKUP(B488,raw!A:K,9,0)</f>
        <v>19</v>
      </c>
      <c r="J488">
        <f>VLOOKUP(B488,raw!A:K,8,0)</f>
        <v>0</v>
      </c>
      <c r="K488">
        <f>_xlfn.IFNA(VLOOKUP(B488,TDK!A:C,2,0),0)</f>
        <v>27</v>
      </c>
      <c r="L488">
        <f>_xlfn.IFNA(VLOOKUP(B488,TDK!A:C,3,0),0)</f>
        <v>7</v>
      </c>
      <c r="M488">
        <f>_xlfn.IFNA(VLOOKUP(B488,TDK!F:G,2,0),0)</f>
        <v>11</v>
      </c>
      <c r="N488">
        <f t="shared" si="7"/>
        <v>45</v>
      </c>
    </row>
    <row r="489" spans="1:14" x14ac:dyDescent="0.25">
      <c r="A489" t="s">
        <v>55</v>
      </c>
      <c r="B489" t="s">
        <v>1486</v>
      </c>
      <c r="C489">
        <f>VLOOKUP(B489,raw!A:K,11,0)</f>
        <v>189</v>
      </c>
      <c r="D489">
        <f>VLOOKUP(B489,raw!A:K,3,0)+VLOOKUP(B489,raw!A:K,7,0)</f>
        <v>23</v>
      </c>
      <c r="E489">
        <f>VLOOKUP(B489,raw!A:K,4,0)</f>
        <v>0</v>
      </c>
      <c r="F489">
        <f>VLOOKUP(B489,raw!A:K,5,0)</f>
        <v>0</v>
      </c>
      <c r="G489">
        <f>VLOOKUP(B489,raw!A:K,2,0)+VLOOKUP(B489,raw!A:K,10,0)</f>
        <v>0</v>
      </c>
      <c r="H489">
        <f>VLOOKUP(B489,raw!A:K,6,0)</f>
        <v>0</v>
      </c>
      <c r="I489">
        <f>VLOOKUP(B489,raw!A:K,9,0)</f>
        <v>166</v>
      </c>
      <c r="J489">
        <f>VLOOKUP(B489,raw!A:K,8,0)</f>
        <v>0</v>
      </c>
      <c r="K489">
        <f>_xlfn.IFNA(VLOOKUP(B489,TDK!A:C,2,0),0)</f>
        <v>70</v>
      </c>
      <c r="L489">
        <f>_xlfn.IFNA(VLOOKUP(B489,TDK!A:C,3,0),0)</f>
        <v>11</v>
      </c>
      <c r="M489">
        <f>_xlfn.IFNA(VLOOKUP(B489,TDK!F:G,2,0),0)</f>
        <v>20</v>
      </c>
      <c r="N489">
        <f t="shared" si="7"/>
        <v>101</v>
      </c>
    </row>
    <row r="490" spans="1:14" x14ac:dyDescent="0.25">
      <c r="A490" t="s">
        <v>55</v>
      </c>
      <c r="B490" t="s">
        <v>1487</v>
      </c>
      <c r="C490">
        <f>VLOOKUP(B490,raw!A:K,11,0)</f>
        <v>163</v>
      </c>
      <c r="D490">
        <f>VLOOKUP(B490,raw!A:K,3,0)+VLOOKUP(B490,raw!A:K,7,0)</f>
        <v>151</v>
      </c>
      <c r="E490">
        <f>VLOOKUP(B490,raw!A:K,4,0)</f>
        <v>0</v>
      </c>
      <c r="F490">
        <f>VLOOKUP(B490,raw!A:K,5,0)</f>
        <v>0</v>
      </c>
      <c r="G490">
        <f>VLOOKUP(B490,raw!A:K,2,0)+VLOOKUP(B490,raw!A:K,10,0)</f>
        <v>0</v>
      </c>
      <c r="H490">
        <f>VLOOKUP(B490,raw!A:K,6,0)</f>
        <v>0</v>
      </c>
      <c r="I490">
        <f>VLOOKUP(B490,raw!A:K,9,0)</f>
        <v>12</v>
      </c>
      <c r="J490">
        <f>VLOOKUP(B490,raw!A:K,8,0)</f>
        <v>0</v>
      </c>
      <c r="K490">
        <f>_xlfn.IFNA(VLOOKUP(B490,TDK!A:C,2,0),0)</f>
        <v>51</v>
      </c>
      <c r="L490">
        <f>_xlfn.IFNA(VLOOKUP(B490,TDK!A:C,3,0),0)</f>
        <v>0</v>
      </c>
      <c r="M490">
        <f>_xlfn.IFNA(VLOOKUP(B490,TDK!F:G,2,0),0)</f>
        <v>9</v>
      </c>
      <c r="N490">
        <f t="shared" si="7"/>
        <v>60</v>
      </c>
    </row>
    <row r="491" spans="1:14" x14ac:dyDescent="0.25">
      <c r="A491" t="s">
        <v>55</v>
      </c>
      <c r="B491" t="s">
        <v>1488</v>
      </c>
      <c r="C491">
        <f>VLOOKUP(B491,raw!A:K,11,0)</f>
        <v>186</v>
      </c>
      <c r="D491">
        <f>VLOOKUP(B491,raw!A:K,3,0)+VLOOKUP(B491,raw!A:K,7,0)</f>
        <v>40</v>
      </c>
      <c r="E491">
        <f>VLOOKUP(B491,raw!A:K,4,0)</f>
        <v>0</v>
      </c>
      <c r="F491">
        <f>VLOOKUP(B491,raw!A:K,5,0)</f>
        <v>0</v>
      </c>
      <c r="G491">
        <f>VLOOKUP(B491,raw!A:K,2,0)+VLOOKUP(B491,raw!A:K,10,0)</f>
        <v>0</v>
      </c>
      <c r="H491">
        <f>VLOOKUP(B491,raw!A:K,6,0)</f>
        <v>0</v>
      </c>
      <c r="I491">
        <f>VLOOKUP(B491,raw!A:K,9,0)</f>
        <v>146</v>
      </c>
      <c r="J491">
        <f>VLOOKUP(B491,raw!A:K,8,0)</f>
        <v>0</v>
      </c>
      <c r="K491">
        <f>_xlfn.IFNA(VLOOKUP(B491,TDK!A:C,2,0),0)</f>
        <v>55</v>
      </c>
      <c r="L491">
        <f>_xlfn.IFNA(VLOOKUP(B491,TDK!A:C,3,0),0)</f>
        <v>20</v>
      </c>
      <c r="M491">
        <f>_xlfn.IFNA(VLOOKUP(B491,TDK!F:G,2,0),0)</f>
        <v>21</v>
      </c>
      <c r="N491">
        <f t="shared" si="7"/>
        <v>96</v>
      </c>
    </row>
    <row r="492" spans="1:14" x14ac:dyDescent="0.25">
      <c r="A492" t="s">
        <v>66</v>
      </c>
      <c r="B492" t="s">
        <v>1489</v>
      </c>
      <c r="C492">
        <f>VLOOKUP(B492,raw!A:K,11,0)</f>
        <v>217</v>
      </c>
      <c r="D492">
        <f>VLOOKUP(B492,raw!A:K,3,0)+VLOOKUP(B492,raw!A:K,7,0)</f>
        <v>185</v>
      </c>
      <c r="E492">
        <f>VLOOKUP(B492,raw!A:K,4,0)</f>
        <v>0</v>
      </c>
      <c r="F492">
        <f>VLOOKUP(B492,raw!A:K,5,0)</f>
        <v>0</v>
      </c>
      <c r="G492">
        <f>VLOOKUP(B492,raw!A:K,2,0)+VLOOKUP(B492,raw!A:K,10,0)</f>
        <v>1</v>
      </c>
      <c r="H492">
        <f>VLOOKUP(B492,raw!A:K,6,0)</f>
        <v>0</v>
      </c>
      <c r="I492">
        <f>VLOOKUP(B492,raw!A:K,9,0)</f>
        <v>31</v>
      </c>
      <c r="J492">
        <f>VLOOKUP(B492,raw!A:K,8,0)</f>
        <v>0</v>
      </c>
      <c r="K492">
        <f>_xlfn.IFNA(VLOOKUP(B492,TDK!A:C,2,0),0)</f>
        <v>47</v>
      </c>
      <c r="L492">
        <f>_xlfn.IFNA(VLOOKUP(B492,TDK!A:C,3,0),0)</f>
        <v>14</v>
      </c>
      <c r="M492">
        <f>_xlfn.IFNA(VLOOKUP(B492,TDK!F:G,2,0),0)</f>
        <v>31</v>
      </c>
      <c r="N492">
        <f t="shared" si="7"/>
        <v>92</v>
      </c>
    </row>
    <row r="493" spans="1:14" x14ac:dyDescent="0.25">
      <c r="A493" t="s">
        <v>71</v>
      </c>
      <c r="B493" t="s">
        <v>1490</v>
      </c>
      <c r="C493">
        <f>VLOOKUP(B493,raw!A:K,11,0)</f>
        <v>135</v>
      </c>
      <c r="D493">
        <f>VLOOKUP(B493,raw!A:K,3,0)+VLOOKUP(B493,raw!A:K,7,0)</f>
        <v>134</v>
      </c>
      <c r="E493">
        <f>VLOOKUP(B493,raw!A:K,4,0)</f>
        <v>0</v>
      </c>
      <c r="F493">
        <f>VLOOKUP(B493,raw!A:K,5,0)</f>
        <v>0</v>
      </c>
      <c r="G493">
        <f>VLOOKUP(B493,raw!A:K,2,0)+VLOOKUP(B493,raw!A:K,10,0)</f>
        <v>0</v>
      </c>
      <c r="H493">
        <f>VLOOKUP(B493,raw!A:K,6,0)</f>
        <v>0</v>
      </c>
      <c r="I493">
        <f>VLOOKUP(B493,raw!A:K,9,0)</f>
        <v>1</v>
      </c>
      <c r="J493">
        <f>VLOOKUP(B493,raw!A:K,8,0)</f>
        <v>0</v>
      </c>
      <c r="K493">
        <f>_xlfn.IFNA(VLOOKUP(B493,TDK!A:C,2,0),0)</f>
        <v>45</v>
      </c>
      <c r="L493">
        <f>_xlfn.IFNA(VLOOKUP(B493,TDK!A:C,3,0),0)</f>
        <v>2</v>
      </c>
      <c r="M493">
        <f>_xlfn.IFNA(VLOOKUP(B493,TDK!F:G,2,0),0)</f>
        <v>7</v>
      </c>
      <c r="N493">
        <f t="shared" si="7"/>
        <v>54</v>
      </c>
    </row>
    <row r="494" spans="1:14" x14ac:dyDescent="0.25">
      <c r="A494" t="s">
        <v>71</v>
      </c>
      <c r="B494" t="s">
        <v>1491</v>
      </c>
      <c r="C494">
        <f>VLOOKUP(B494,raw!A:K,11,0)</f>
        <v>145</v>
      </c>
      <c r="D494">
        <f>VLOOKUP(B494,raw!A:K,3,0)+VLOOKUP(B494,raw!A:K,7,0)</f>
        <v>144</v>
      </c>
      <c r="E494">
        <f>VLOOKUP(B494,raw!A:K,4,0)</f>
        <v>0</v>
      </c>
      <c r="F494">
        <f>VLOOKUP(B494,raw!A:K,5,0)</f>
        <v>0</v>
      </c>
      <c r="G494">
        <f>VLOOKUP(B494,raw!A:K,2,0)+VLOOKUP(B494,raw!A:K,10,0)</f>
        <v>0</v>
      </c>
      <c r="H494">
        <f>VLOOKUP(B494,raw!A:K,6,0)</f>
        <v>0</v>
      </c>
      <c r="I494">
        <f>VLOOKUP(B494,raw!A:K,9,0)</f>
        <v>1</v>
      </c>
      <c r="J494">
        <f>VLOOKUP(B494,raw!A:K,8,0)</f>
        <v>0</v>
      </c>
      <c r="K494">
        <f>_xlfn.IFNA(VLOOKUP(B494,TDK!A:C,2,0),0)</f>
        <v>31</v>
      </c>
      <c r="L494">
        <f>_xlfn.IFNA(VLOOKUP(B494,TDK!A:C,3,0),0)</f>
        <v>3</v>
      </c>
      <c r="M494">
        <f>_xlfn.IFNA(VLOOKUP(B494,TDK!F:G,2,0),0)</f>
        <v>21</v>
      </c>
      <c r="N494">
        <f t="shared" si="7"/>
        <v>55</v>
      </c>
    </row>
    <row r="495" spans="1:14" x14ac:dyDescent="0.25">
      <c r="A495" t="s">
        <v>71</v>
      </c>
      <c r="B495" t="s">
        <v>1492</v>
      </c>
      <c r="C495">
        <f>VLOOKUP(B495,raw!A:K,11,0)</f>
        <v>124</v>
      </c>
      <c r="D495">
        <f>VLOOKUP(B495,raw!A:K,3,0)+VLOOKUP(B495,raw!A:K,7,0)</f>
        <v>122</v>
      </c>
      <c r="E495">
        <f>VLOOKUP(B495,raw!A:K,4,0)</f>
        <v>0</v>
      </c>
      <c r="F495">
        <f>VLOOKUP(B495,raw!A:K,5,0)</f>
        <v>0</v>
      </c>
      <c r="G495">
        <f>VLOOKUP(B495,raw!A:K,2,0)+VLOOKUP(B495,raw!A:K,10,0)</f>
        <v>0</v>
      </c>
      <c r="H495">
        <f>VLOOKUP(B495,raw!A:K,6,0)</f>
        <v>0</v>
      </c>
      <c r="I495">
        <f>VLOOKUP(B495,raw!A:K,9,0)</f>
        <v>2</v>
      </c>
      <c r="J495">
        <f>VLOOKUP(B495,raw!A:K,8,0)</f>
        <v>0</v>
      </c>
      <c r="K495">
        <f>_xlfn.IFNA(VLOOKUP(B495,TDK!A:C,2,0),0)</f>
        <v>41</v>
      </c>
      <c r="L495">
        <f>_xlfn.IFNA(VLOOKUP(B495,TDK!A:C,3,0),0)</f>
        <v>2</v>
      </c>
      <c r="M495">
        <f>_xlfn.IFNA(VLOOKUP(B495,TDK!F:G,2,0),0)</f>
        <v>5</v>
      </c>
      <c r="N495">
        <f t="shared" si="7"/>
        <v>48</v>
      </c>
    </row>
    <row r="496" spans="1:14" x14ac:dyDescent="0.25">
      <c r="A496" t="s">
        <v>72</v>
      </c>
      <c r="B496" t="s">
        <v>1493</v>
      </c>
      <c r="C496">
        <f>VLOOKUP(B496,raw!A:K,11,0)</f>
        <v>99</v>
      </c>
      <c r="D496">
        <f>VLOOKUP(B496,raw!A:K,3,0)+VLOOKUP(B496,raw!A:K,7,0)</f>
        <v>89</v>
      </c>
      <c r="E496">
        <f>VLOOKUP(B496,raw!A:K,4,0)</f>
        <v>0</v>
      </c>
      <c r="F496">
        <f>VLOOKUP(B496,raw!A:K,5,0)</f>
        <v>0</v>
      </c>
      <c r="G496">
        <f>VLOOKUP(B496,raw!A:K,2,0)+VLOOKUP(B496,raw!A:K,10,0)</f>
        <v>4</v>
      </c>
      <c r="H496">
        <f>VLOOKUP(B496,raw!A:K,6,0)</f>
        <v>0</v>
      </c>
      <c r="I496">
        <f>VLOOKUP(B496,raw!A:K,9,0)</f>
        <v>6</v>
      </c>
      <c r="J496">
        <f>VLOOKUP(B496,raw!A:K,8,0)</f>
        <v>0</v>
      </c>
      <c r="K496">
        <f>_xlfn.IFNA(VLOOKUP(B496,TDK!A:C,2,0),0)</f>
        <v>29</v>
      </c>
      <c r="L496">
        <f>_xlfn.IFNA(VLOOKUP(B496,TDK!A:C,3,0),0)</f>
        <v>1</v>
      </c>
      <c r="M496">
        <f>_xlfn.IFNA(VLOOKUP(B496,TDK!F:G,2,0),0)</f>
        <v>5</v>
      </c>
      <c r="N496">
        <f t="shared" si="7"/>
        <v>35</v>
      </c>
    </row>
    <row r="497" spans="1:14" x14ac:dyDescent="0.25">
      <c r="A497" t="s">
        <v>71</v>
      </c>
      <c r="B497" t="s">
        <v>1494</v>
      </c>
      <c r="C497">
        <f>VLOOKUP(B497,raw!A:K,11,0)</f>
        <v>289</v>
      </c>
      <c r="D497">
        <f>VLOOKUP(B497,raw!A:K,3,0)+VLOOKUP(B497,raw!A:K,7,0)</f>
        <v>289</v>
      </c>
      <c r="E497">
        <f>VLOOKUP(B497,raw!A:K,4,0)</f>
        <v>0</v>
      </c>
      <c r="F497">
        <f>VLOOKUP(B497,raw!A:K,5,0)</f>
        <v>0</v>
      </c>
      <c r="G497">
        <f>VLOOKUP(B497,raw!A:K,2,0)+VLOOKUP(B497,raw!A:K,10,0)</f>
        <v>0</v>
      </c>
      <c r="H497">
        <f>VLOOKUP(B497,raw!A:K,6,0)</f>
        <v>0</v>
      </c>
      <c r="I497">
        <f>VLOOKUP(B497,raw!A:K,9,0)</f>
        <v>0</v>
      </c>
      <c r="J497">
        <f>VLOOKUP(B497,raw!A:K,8,0)</f>
        <v>0</v>
      </c>
      <c r="K497">
        <f>_xlfn.IFNA(VLOOKUP(B497,TDK!A:C,2,0),0)</f>
        <v>51</v>
      </c>
      <c r="L497">
        <f>_xlfn.IFNA(VLOOKUP(B497,TDK!A:C,3,0),0)</f>
        <v>2</v>
      </c>
      <c r="M497">
        <f>_xlfn.IFNA(VLOOKUP(B497,TDK!F:G,2,0),0)</f>
        <v>8</v>
      </c>
      <c r="N497">
        <f t="shared" si="7"/>
        <v>61</v>
      </c>
    </row>
    <row r="498" spans="1:14" x14ac:dyDescent="0.25">
      <c r="A498" t="s">
        <v>71</v>
      </c>
      <c r="B498" t="s">
        <v>1495</v>
      </c>
      <c r="C498">
        <f>VLOOKUP(B498,raw!A:K,11,0)</f>
        <v>226</v>
      </c>
      <c r="D498">
        <f>VLOOKUP(B498,raw!A:K,3,0)+VLOOKUP(B498,raw!A:K,7,0)</f>
        <v>226</v>
      </c>
      <c r="E498">
        <f>VLOOKUP(B498,raw!A:K,4,0)</f>
        <v>0</v>
      </c>
      <c r="F498">
        <f>VLOOKUP(B498,raw!A:K,5,0)</f>
        <v>0</v>
      </c>
      <c r="G498">
        <f>VLOOKUP(B498,raw!A:K,2,0)+VLOOKUP(B498,raw!A:K,10,0)</f>
        <v>0</v>
      </c>
      <c r="H498">
        <f>VLOOKUP(B498,raw!A:K,6,0)</f>
        <v>0</v>
      </c>
      <c r="I498">
        <f>VLOOKUP(B498,raw!A:K,9,0)</f>
        <v>0</v>
      </c>
      <c r="J498">
        <f>VLOOKUP(B498,raw!A:K,8,0)</f>
        <v>0</v>
      </c>
      <c r="K498">
        <f>_xlfn.IFNA(VLOOKUP(B498,TDK!A:C,2,0),0)</f>
        <v>44</v>
      </c>
      <c r="L498">
        <f>_xlfn.IFNA(VLOOKUP(B498,TDK!A:C,3,0),0)</f>
        <v>18</v>
      </c>
      <c r="M498">
        <f>_xlfn.IFNA(VLOOKUP(B498,TDK!F:G,2,0),0)</f>
        <v>4</v>
      </c>
      <c r="N498">
        <f t="shared" si="7"/>
        <v>66</v>
      </c>
    </row>
    <row r="499" spans="1:14" x14ac:dyDescent="0.25">
      <c r="A499" t="s">
        <v>72</v>
      </c>
      <c r="B499" t="s">
        <v>1496</v>
      </c>
      <c r="C499">
        <f>VLOOKUP(B499,raw!A:K,11,0)</f>
        <v>173</v>
      </c>
      <c r="D499">
        <f>VLOOKUP(B499,raw!A:K,3,0)+VLOOKUP(B499,raw!A:K,7,0)</f>
        <v>90</v>
      </c>
      <c r="E499">
        <f>VLOOKUP(B499,raw!A:K,4,0)</f>
        <v>0</v>
      </c>
      <c r="F499">
        <f>VLOOKUP(B499,raw!A:K,5,0)</f>
        <v>0</v>
      </c>
      <c r="G499">
        <f>VLOOKUP(B499,raw!A:K,2,0)+VLOOKUP(B499,raw!A:K,10,0)</f>
        <v>49</v>
      </c>
      <c r="H499">
        <f>VLOOKUP(B499,raw!A:K,6,0)</f>
        <v>0</v>
      </c>
      <c r="I499">
        <f>VLOOKUP(B499,raw!A:K,9,0)</f>
        <v>34</v>
      </c>
      <c r="J499">
        <f>VLOOKUP(B499,raw!A:K,8,0)</f>
        <v>0</v>
      </c>
      <c r="K499">
        <f>_xlfn.IFNA(VLOOKUP(B499,TDK!A:C,2,0),0)</f>
        <v>58</v>
      </c>
      <c r="L499">
        <f>_xlfn.IFNA(VLOOKUP(B499,TDK!A:C,3,0),0)</f>
        <v>3</v>
      </c>
      <c r="M499">
        <f>_xlfn.IFNA(VLOOKUP(B499,TDK!F:G,2,0),0)</f>
        <v>23</v>
      </c>
      <c r="N499">
        <f t="shared" si="7"/>
        <v>84</v>
      </c>
    </row>
    <row r="500" spans="1:14" x14ac:dyDescent="0.25">
      <c r="A500" t="s">
        <v>72</v>
      </c>
      <c r="B500" t="s">
        <v>1497</v>
      </c>
      <c r="C500">
        <f>VLOOKUP(B500,raw!A:K,11,0)</f>
        <v>131</v>
      </c>
      <c r="D500">
        <f>VLOOKUP(B500,raw!A:K,3,0)+VLOOKUP(B500,raw!A:K,7,0)</f>
        <v>122</v>
      </c>
      <c r="E500">
        <f>VLOOKUP(B500,raw!A:K,4,0)</f>
        <v>0</v>
      </c>
      <c r="F500">
        <f>VLOOKUP(B500,raw!A:K,5,0)</f>
        <v>0</v>
      </c>
      <c r="G500">
        <f>VLOOKUP(B500,raw!A:K,2,0)+VLOOKUP(B500,raw!A:K,10,0)</f>
        <v>0</v>
      </c>
      <c r="H500">
        <f>VLOOKUP(B500,raw!A:K,6,0)</f>
        <v>0</v>
      </c>
      <c r="I500">
        <f>VLOOKUP(B500,raw!A:K,9,0)</f>
        <v>9</v>
      </c>
      <c r="J500">
        <f>VLOOKUP(B500,raw!A:K,8,0)</f>
        <v>0</v>
      </c>
      <c r="K500">
        <f>_xlfn.IFNA(VLOOKUP(B500,TDK!A:C,2,0),0)</f>
        <v>29</v>
      </c>
      <c r="L500">
        <f>_xlfn.IFNA(VLOOKUP(B500,TDK!A:C,3,0),0)</f>
        <v>0</v>
      </c>
      <c r="M500">
        <f>_xlfn.IFNA(VLOOKUP(B500,TDK!F:G,2,0),0)</f>
        <v>27</v>
      </c>
      <c r="N500">
        <f t="shared" si="7"/>
        <v>56</v>
      </c>
    </row>
    <row r="501" spans="1:14" x14ac:dyDescent="0.25">
      <c r="A501" t="s">
        <v>72</v>
      </c>
      <c r="B501" t="s">
        <v>1498</v>
      </c>
      <c r="C501">
        <f>VLOOKUP(B501,raw!A:K,11,0)</f>
        <v>104</v>
      </c>
      <c r="D501">
        <f>VLOOKUP(B501,raw!A:K,3,0)+VLOOKUP(B501,raw!A:K,7,0)</f>
        <v>97</v>
      </c>
      <c r="E501">
        <f>VLOOKUP(B501,raw!A:K,4,0)</f>
        <v>0</v>
      </c>
      <c r="F501">
        <f>VLOOKUP(B501,raw!A:K,5,0)</f>
        <v>0</v>
      </c>
      <c r="G501">
        <f>VLOOKUP(B501,raw!A:K,2,0)+VLOOKUP(B501,raw!A:K,10,0)</f>
        <v>4</v>
      </c>
      <c r="H501">
        <f>VLOOKUP(B501,raw!A:K,6,0)</f>
        <v>2</v>
      </c>
      <c r="I501">
        <f>VLOOKUP(B501,raw!A:K,9,0)</f>
        <v>1</v>
      </c>
      <c r="J501">
        <f>VLOOKUP(B501,raw!A:K,8,0)</f>
        <v>0</v>
      </c>
      <c r="K501">
        <f>_xlfn.IFNA(VLOOKUP(B501,TDK!A:C,2,0),0)</f>
        <v>32</v>
      </c>
      <c r="L501">
        <f>_xlfn.IFNA(VLOOKUP(B501,TDK!A:C,3,0),0)</f>
        <v>1</v>
      </c>
      <c r="M501">
        <f>_xlfn.IFNA(VLOOKUP(B501,TDK!F:G,2,0),0)</f>
        <v>6</v>
      </c>
      <c r="N501">
        <f t="shared" si="7"/>
        <v>39</v>
      </c>
    </row>
    <row r="502" spans="1:14" x14ac:dyDescent="0.25">
      <c r="A502" t="s">
        <v>72</v>
      </c>
      <c r="B502" t="s">
        <v>1499</v>
      </c>
      <c r="C502">
        <f>VLOOKUP(B502,raw!A:K,11,0)</f>
        <v>213</v>
      </c>
      <c r="D502">
        <f>VLOOKUP(B502,raw!A:K,3,0)+VLOOKUP(B502,raw!A:K,7,0)</f>
        <v>159</v>
      </c>
      <c r="E502">
        <f>VLOOKUP(B502,raw!A:K,4,0)</f>
        <v>0</v>
      </c>
      <c r="F502">
        <f>VLOOKUP(B502,raw!A:K,5,0)</f>
        <v>0</v>
      </c>
      <c r="G502">
        <f>VLOOKUP(B502,raw!A:K,2,0)+VLOOKUP(B502,raw!A:K,10,0)</f>
        <v>34</v>
      </c>
      <c r="H502">
        <f>VLOOKUP(B502,raw!A:K,6,0)</f>
        <v>0</v>
      </c>
      <c r="I502">
        <f>VLOOKUP(B502,raw!A:K,9,0)</f>
        <v>20</v>
      </c>
      <c r="J502">
        <f>VLOOKUP(B502,raw!A:K,8,0)</f>
        <v>0</v>
      </c>
      <c r="K502">
        <f>_xlfn.IFNA(VLOOKUP(B502,TDK!A:C,2,0),0)</f>
        <v>76</v>
      </c>
      <c r="L502">
        <f>_xlfn.IFNA(VLOOKUP(B502,TDK!A:C,3,0),0)</f>
        <v>6</v>
      </c>
      <c r="M502">
        <f>_xlfn.IFNA(VLOOKUP(B502,TDK!F:G,2,0),0)</f>
        <v>16</v>
      </c>
      <c r="N502">
        <f t="shared" si="7"/>
        <v>98</v>
      </c>
    </row>
    <row r="503" spans="1:14" x14ac:dyDescent="0.25">
      <c r="A503" t="s">
        <v>73</v>
      </c>
      <c r="B503" t="s">
        <v>1500</v>
      </c>
      <c r="C503">
        <f>VLOOKUP(B503,raw!A:K,11,0)</f>
        <v>126</v>
      </c>
      <c r="D503">
        <f>VLOOKUP(B503,raw!A:K,3,0)+VLOOKUP(B503,raw!A:K,7,0)</f>
        <v>58</v>
      </c>
      <c r="E503">
        <f>VLOOKUP(B503,raw!A:K,4,0)</f>
        <v>5</v>
      </c>
      <c r="F503">
        <f>VLOOKUP(B503,raw!A:K,5,0)</f>
        <v>0</v>
      </c>
      <c r="G503">
        <f>VLOOKUP(B503,raw!A:K,2,0)+VLOOKUP(B503,raw!A:K,10,0)</f>
        <v>12</v>
      </c>
      <c r="H503">
        <f>VLOOKUP(B503,raw!A:K,6,0)</f>
        <v>0</v>
      </c>
      <c r="I503">
        <f>VLOOKUP(B503,raw!A:K,9,0)</f>
        <v>51</v>
      </c>
      <c r="J503">
        <f>VLOOKUP(B503,raw!A:K,8,0)</f>
        <v>0</v>
      </c>
      <c r="K503">
        <f>_xlfn.IFNA(VLOOKUP(B503,TDK!A:C,2,0),0)</f>
        <v>37</v>
      </c>
      <c r="L503">
        <f>_xlfn.IFNA(VLOOKUP(B503,TDK!A:C,3,0),0)</f>
        <v>2</v>
      </c>
      <c r="M503">
        <f>_xlfn.IFNA(VLOOKUP(B503,TDK!F:G,2,0),0)</f>
        <v>16</v>
      </c>
      <c r="N503">
        <f t="shared" si="7"/>
        <v>55</v>
      </c>
    </row>
    <row r="504" spans="1:14" x14ac:dyDescent="0.25">
      <c r="A504" t="s">
        <v>73</v>
      </c>
      <c r="B504" t="s">
        <v>1501</v>
      </c>
      <c r="C504">
        <f>VLOOKUP(B504,raw!A:K,11,0)</f>
        <v>188</v>
      </c>
      <c r="D504">
        <f>VLOOKUP(B504,raw!A:K,3,0)+VLOOKUP(B504,raw!A:K,7,0)</f>
        <v>122</v>
      </c>
      <c r="E504">
        <f>VLOOKUP(B504,raw!A:K,4,0)</f>
        <v>6</v>
      </c>
      <c r="F504">
        <f>VLOOKUP(B504,raw!A:K,5,0)</f>
        <v>0</v>
      </c>
      <c r="G504">
        <f>VLOOKUP(B504,raw!A:K,2,0)+VLOOKUP(B504,raw!A:K,10,0)</f>
        <v>37</v>
      </c>
      <c r="H504">
        <f>VLOOKUP(B504,raw!A:K,6,0)</f>
        <v>2</v>
      </c>
      <c r="I504">
        <f>VLOOKUP(B504,raw!A:K,9,0)</f>
        <v>21</v>
      </c>
      <c r="J504">
        <f>VLOOKUP(B504,raw!A:K,8,0)</f>
        <v>0</v>
      </c>
      <c r="K504">
        <f>_xlfn.IFNA(VLOOKUP(B504,TDK!A:C,2,0),0)</f>
        <v>58</v>
      </c>
      <c r="L504">
        <f>_xlfn.IFNA(VLOOKUP(B504,TDK!A:C,3,0),0)</f>
        <v>3</v>
      </c>
      <c r="M504">
        <f>_xlfn.IFNA(VLOOKUP(B504,TDK!F:G,2,0),0)</f>
        <v>12</v>
      </c>
      <c r="N504">
        <f t="shared" si="7"/>
        <v>73</v>
      </c>
    </row>
    <row r="505" spans="1:14" x14ac:dyDescent="0.25">
      <c r="A505" t="s">
        <v>73</v>
      </c>
      <c r="B505" t="s">
        <v>1502</v>
      </c>
      <c r="C505">
        <f>VLOOKUP(B505,raw!A:K,11,0)</f>
        <v>126</v>
      </c>
      <c r="D505">
        <f>VLOOKUP(B505,raw!A:K,3,0)+VLOOKUP(B505,raw!A:K,7,0)</f>
        <v>74</v>
      </c>
      <c r="E505">
        <f>VLOOKUP(B505,raw!A:K,4,0)</f>
        <v>3</v>
      </c>
      <c r="F505">
        <f>VLOOKUP(B505,raw!A:K,5,0)</f>
        <v>0</v>
      </c>
      <c r="G505">
        <f>VLOOKUP(B505,raw!A:K,2,0)+VLOOKUP(B505,raw!A:K,10,0)</f>
        <v>1</v>
      </c>
      <c r="H505">
        <f>VLOOKUP(B505,raw!A:K,6,0)</f>
        <v>0</v>
      </c>
      <c r="I505">
        <f>VLOOKUP(B505,raw!A:K,9,0)</f>
        <v>48</v>
      </c>
      <c r="J505">
        <f>VLOOKUP(B505,raw!A:K,8,0)</f>
        <v>0</v>
      </c>
      <c r="K505">
        <f>_xlfn.IFNA(VLOOKUP(B505,TDK!A:C,2,0),0)</f>
        <v>56</v>
      </c>
      <c r="L505">
        <f>_xlfn.IFNA(VLOOKUP(B505,TDK!A:C,3,0),0)</f>
        <v>3</v>
      </c>
      <c r="M505">
        <f>_xlfn.IFNA(VLOOKUP(B505,TDK!F:G,2,0),0)</f>
        <v>11</v>
      </c>
      <c r="N505">
        <f t="shared" si="7"/>
        <v>70</v>
      </c>
    </row>
    <row r="506" spans="1:14" x14ac:dyDescent="0.25">
      <c r="A506" t="s">
        <v>73</v>
      </c>
      <c r="B506" t="s">
        <v>1503</v>
      </c>
      <c r="C506">
        <f>VLOOKUP(B506,raw!A:K,11,0)</f>
        <v>103</v>
      </c>
      <c r="D506">
        <f>VLOOKUP(B506,raw!A:K,3,0)+VLOOKUP(B506,raw!A:K,7,0)</f>
        <v>71</v>
      </c>
      <c r="E506">
        <f>VLOOKUP(B506,raw!A:K,4,0)</f>
        <v>3</v>
      </c>
      <c r="F506">
        <f>VLOOKUP(B506,raw!A:K,5,0)</f>
        <v>0</v>
      </c>
      <c r="G506">
        <f>VLOOKUP(B506,raw!A:K,2,0)+VLOOKUP(B506,raw!A:K,10,0)</f>
        <v>0</v>
      </c>
      <c r="H506">
        <f>VLOOKUP(B506,raw!A:K,6,0)</f>
        <v>0</v>
      </c>
      <c r="I506">
        <f>VLOOKUP(B506,raw!A:K,9,0)</f>
        <v>29</v>
      </c>
      <c r="J506">
        <f>VLOOKUP(B506,raw!A:K,8,0)</f>
        <v>0</v>
      </c>
      <c r="K506">
        <f>_xlfn.IFNA(VLOOKUP(B506,TDK!A:C,2,0),0)</f>
        <v>33</v>
      </c>
      <c r="L506">
        <f>_xlfn.IFNA(VLOOKUP(B506,TDK!A:C,3,0),0)</f>
        <v>1</v>
      </c>
      <c r="M506">
        <f>_xlfn.IFNA(VLOOKUP(B506,TDK!F:G,2,0),0)</f>
        <v>10</v>
      </c>
      <c r="N506">
        <f t="shared" si="7"/>
        <v>44</v>
      </c>
    </row>
    <row r="507" spans="1:14" x14ac:dyDescent="0.25">
      <c r="A507" t="s">
        <v>73</v>
      </c>
      <c r="B507" t="s">
        <v>1504</v>
      </c>
      <c r="C507">
        <f>VLOOKUP(B507,raw!A:K,11,0)</f>
        <v>114</v>
      </c>
      <c r="D507">
        <f>VLOOKUP(B507,raw!A:K,3,0)+VLOOKUP(B507,raw!A:K,7,0)</f>
        <v>70</v>
      </c>
      <c r="E507">
        <f>VLOOKUP(B507,raw!A:K,4,0)</f>
        <v>6</v>
      </c>
      <c r="F507">
        <f>VLOOKUP(B507,raw!A:K,5,0)</f>
        <v>0</v>
      </c>
      <c r="G507">
        <f>VLOOKUP(B507,raw!A:K,2,0)+VLOOKUP(B507,raw!A:K,10,0)</f>
        <v>1</v>
      </c>
      <c r="H507">
        <f>VLOOKUP(B507,raw!A:K,6,0)</f>
        <v>0</v>
      </c>
      <c r="I507">
        <f>VLOOKUP(B507,raw!A:K,9,0)</f>
        <v>37</v>
      </c>
      <c r="J507">
        <f>VLOOKUP(B507,raw!A:K,8,0)</f>
        <v>0</v>
      </c>
      <c r="K507">
        <f>_xlfn.IFNA(VLOOKUP(B507,TDK!A:C,2,0),0)</f>
        <v>37</v>
      </c>
      <c r="L507">
        <f>_xlfn.IFNA(VLOOKUP(B507,TDK!A:C,3,0),0)</f>
        <v>1</v>
      </c>
      <c r="M507">
        <f>_xlfn.IFNA(VLOOKUP(B507,TDK!F:G,2,0),0)</f>
        <v>11</v>
      </c>
      <c r="N507">
        <f t="shared" si="7"/>
        <v>49</v>
      </c>
    </row>
    <row r="508" spans="1:14" x14ac:dyDescent="0.25">
      <c r="A508" t="s">
        <v>68</v>
      </c>
      <c r="B508" t="s">
        <v>1505</v>
      </c>
      <c r="C508">
        <f>VLOOKUP(B508,raw!A:K,11,0)</f>
        <v>160</v>
      </c>
      <c r="D508">
        <f>VLOOKUP(B508,raw!A:K,3,0)+VLOOKUP(B508,raw!A:K,7,0)</f>
        <v>135</v>
      </c>
      <c r="E508">
        <f>VLOOKUP(B508,raw!A:K,4,0)</f>
        <v>0</v>
      </c>
      <c r="F508">
        <f>VLOOKUP(B508,raw!A:K,5,0)</f>
        <v>0</v>
      </c>
      <c r="G508">
        <f>VLOOKUP(B508,raw!A:K,2,0)+VLOOKUP(B508,raw!A:K,10,0)</f>
        <v>6</v>
      </c>
      <c r="H508">
        <f>VLOOKUP(B508,raw!A:K,6,0)</f>
        <v>0</v>
      </c>
      <c r="I508">
        <f>VLOOKUP(B508,raw!A:K,9,0)</f>
        <v>19</v>
      </c>
      <c r="J508">
        <f>VLOOKUP(B508,raw!A:K,8,0)</f>
        <v>0</v>
      </c>
      <c r="K508">
        <f>_xlfn.IFNA(VLOOKUP(B508,TDK!A:C,2,0),0)</f>
        <v>44</v>
      </c>
      <c r="L508">
        <f>_xlfn.IFNA(VLOOKUP(B508,TDK!A:C,3,0),0)</f>
        <v>0</v>
      </c>
      <c r="M508">
        <f>_xlfn.IFNA(VLOOKUP(B508,TDK!F:G,2,0),0)</f>
        <v>27</v>
      </c>
      <c r="N508">
        <f t="shared" si="7"/>
        <v>71</v>
      </c>
    </row>
    <row r="509" spans="1:14" x14ac:dyDescent="0.25">
      <c r="A509" t="s">
        <v>68</v>
      </c>
      <c r="B509" t="s">
        <v>1506</v>
      </c>
      <c r="C509">
        <f>VLOOKUP(B509,raw!A:K,11,0)</f>
        <v>142</v>
      </c>
      <c r="D509">
        <f>VLOOKUP(B509,raw!A:K,3,0)+VLOOKUP(B509,raw!A:K,7,0)</f>
        <v>120</v>
      </c>
      <c r="E509">
        <f>VLOOKUP(B509,raw!A:K,4,0)</f>
        <v>0</v>
      </c>
      <c r="F509">
        <f>VLOOKUP(B509,raw!A:K,5,0)</f>
        <v>0</v>
      </c>
      <c r="G509">
        <f>VLOOKUP(B509,raw!A:K,2,0)+VLOOKUP(B509,raw!A:K,10,0)</f>
        <v>17</v>
      </c>
      <c r="H509">
        <f>VLOOKUP(B509,raw!A:K,6,0)</f>
        <v>0</v>
      </c>
      <c r="I509">
        <f>VLOOKUP(B509,raw!A:K,9,0)</f>
        <v>5</v>
      </c>
      <c r="J509">
        <f>VLOOKUP(B509,raw!A:K,8,0)</f>
        <v>0</v>
      </c>
      <c r="K509">
        <f>_xlfn.IFNA(VLOOKUP(B509,TDK!A:C,2,0),0)</f>
        <v>33</v>
      </c>
      <c r="L509">
        <f>_xlfn.IFNA(VLOOKUP(B509,TDK!A:C,3,0),0)</f>
        <v>2</v>
      </c>
      <c r="M509">
        <f>_xlfn.IFNA(VLOOKUP(B509,TDK!F:G,2,0),0)</f>
        <v>20</v>
      </c>
      <c r="N509">
        <f t="shared" si="7"/>
        <v>55</v>
      </c>
    </row>
    <row r="510" spans="1:14" x14ac:dyDescent="0.25">
      <c r="A510" t="s">
        <v>73</v>
      </c>
      <c r="B510" t="s">
        <v>1507</v>
      </c>
      <c r="C510">
        <f>VLOOKUP(B510,raw!A:K,11,0)</f>
        <v>102</v>
      </c>
      <c r="D510">
        <f>VLOOKUP(B510,raw!A:K,3,0)+VLOOKUP(B510,raw!A:K,7,0)</f>
        <v>49</v>
      </c>
      <c r="E510">
        <f>VLOOKUP(B510,raw!A:K,4,0)</f>
        <v>16</v>
      </c>
      <c r="F510">
        <f>VLOOKUP(B510,raw!A:K,5,0)</f>
        <v>0</v>
      </c>
      <c r="G510">
        <f>VLOOKUP(B510,raw!A:K,2,0)+VLOOKUP(B510,raw!A:K,10,0)</f>
        <v>0</v>
      </c>
      <c r="H510">
        <f>VLOOKUP(B510,raw!A:K,6,0)</f>
        <v>0</v>
      </c>
      <c r="I510">
        <f>VLOOKUP(B510,raw!A:K,9,0)</f>
        <v>37</v>
      </c>
      <c r="J510">
        <f>VLOOKUP(B510,raw!A:K,8,0)</f>
        <v>0</v>
      </c>
      <c r="K510">
        <f>_xlfn.IFNA(VLOOKUP(B510,TDK!A:C,2,0),0)</f>
        <v>39</v>
      </c>
      <c r="L510">
        <f>_xlfn.IFNA(VLOOKUP(B510,TDK!A:C,3,0),0)</f>
        <v>3</v>
      </c>
      <c r="M510">
        <f>_xlfn.IFNA(VLOOKUP(B510,TDK!F:G,2,0),0)</f>
        <v>8</v>
      </c>
      <c r="N510">
        <f t="shared" si="7"/>
        <v>50</v>
      </c>
    </row>
    <row r="511" spans="1:14" x14ac:dyDescent="0.25">
      <c r="A511" t="s">
        <v>68</v>
      </c>
      <c r="B511" t="s">
        <v>1508</v>
      </c>
      <c r="C511">
        <f>VLOOKUP(B511,raw!A:K,11,0)</f>
        <v>131</v>
      </c>
      <c r="D511">
        <f>VLOOKUP(B511,raw!A:K,3,0)+VLOOKUP(B511,raw!A:K,7,0)</f>
        <v>125</v>
      </c>
      <c r="E511">
        <f>VLOOKUP(B511,raw!A:K,4,0)</f>
        <v>0</v>
      </c>
      <c r="F511">
        <f>VLOOKUP(B511,raw!A:K,5,0)</f>
        <v>0</v>
      </c>
      <c r="G511">
        <f>VLOOKUP(B511,raw!A:K,2,0)+VLOOKUP(B511,raw!A:K,10,0)</f>
        <v>3</v>
      </c>
      <c r="H511">
        <f>VLOOKUP(B511,raw!A:K,6,0)</f>
        <v>0</v>
      </c>
      <c r="I511">
        <f>VLOOKUP(B511,raw!A:K,9,0)</f>
        <v>3</v>
      </c>
      <c r="J511">
        <f>VLOOKUP(B511,raw!A:K,8,0)</f>
        <v>0</v>
      </c>
      <c r="K511">
        <f>_xlfn.IFNA(VLOOKUP(B511,TDK!A:C,2,0),0)</f>
        <v>23</v>
      </c>
      <c r="L511">
        <f>_xlfn.IFNA(VLOOKUP(B511,TDK!A:C,3,0),0)</f>
        <v>2</v>
      </c>
      <c r="M511">
        <f>_xlfn.IFNA(VLOOKUP(B511,TDK!F:G,2,0),0)</f>
        <v>24</v>
      </c>
      <c r="N511">
        <f t="shared" si="7"/>
        <v>49</v>
      </c>
    </row>
    <row r="512" spans="1:14" x14ac:dyDescent="0.25">
      <c r="A512" t="s">
        <v>68</v>
      </c>
      <c r="B512" t="s">
        <v>1509</v>
      </c>
      <c r="C512">
        <f>VLOOKUP(B512,raw!A:K,11,0)</f>
        <v>122</v>
      </c>
      <c r="D512">
        <f>VLOOKUP(B512,raw!A:K,3,0)+VLOOKUP(B512,raw!A:K,7,0)</f>
        <v>117</v>
      </c>
      <c r="E512">
        <f>VLOOKUP(B512,raw!A:K,4,0)</f>
        <v>1</v>
      </c>
      <c r="F512">
        <f>VLOOKUP(B512,raw!A:K,5,0)</f>
        <v>0</v>
      </c>
      <c r="G512">
        <f>VLOOKUP(B512,raw!A:K,2,0)+VLOOKUP(B512,raw!A:K,10,0)</f>
        <v>1</v>
      </c>
      <c r="H512">
        <f>VLOOKUP(B512,raw!A:K,6,0)</f>
        <v>0</v>
      </c>
      <c r="I512">
        <f>VLOOKUP(B512,raw!A:K,9,0)</f>
        <v>3</v>
      </c>
      <c r="J512">
        <f>VLOOKUP(B512,raw!A:K,8,0)</f>
        <v>0</v>
      </c>
      <c r="K512">
        <f>_xlfn.IFNA(VLOOKUP(B512,TDK!A:C,2,0),0)</f>
        <v>20</v>
      </c>
      <c r="L512">
        <f>_xlfn.IFNA(VLOOKUP(B512,TDK!A:C,3,0),0)</f>
        <v>0</v>
      </c>
      <c r="M512">
        <f>_xlfn.IFNA(VLOOKUP(B512,TDK!F:G,2,0),0)</f>
        <v>19</v>
      </c>
      <c r="N512">
        <f t="shared" si="7"/>
        <v>39</v>
      </c>
    </row>
    <row r="513" spans="1:14" x14ac:dyDescent="0.25">
      <c r="A513" t="s">
        <v>74</v>
      </c>
      <c r="B513" t="s">
        <v>1510</v>
      </c>
      <c r="C513">
        <f>VLOOKUP(B513,raw!A:K,11,0)</f>
        <v>32</v>
      </c>
      <c r="D513">
        <f>VLOOKUP(B513,raw!A:K,3,0)+VLOOKUP(B513,raw!A:K,7,0)</f>
        <v>32</v>
      </c>
      <c r="E513">
        <f>VLOOKUP(B513,raw!A:K,4,0)</f>
        <v>0</v>
      </c>
      <c r="F513">
        <f>VLOOKUP(B513,raw!A:K,5,0)</f>
        <v>0</v>
      </c>
      <c r="G513">
        <f>VLOOKUP(B513,raw!A:K,2,0)+VLOOKUP(B513,raw!A:K,10,0)</f>
        <v>0</v>
      </c>
      <c r="H513">
        <f>VLOOKUP(B513,raw!A:K,6,0)</f>
        <v>0</v>
      </c>
      <c r="I513">
        <f>VLOOKUP(B513,raw!A:K,9,0)</f>
        <v>0</v>
      </c>
      <c r="J513">
        <f>VLOOKUP(B513,raw!A:K,8,0)</f>
        <v>0</v>
      </c>
      <c r="K513">
        <f>_xlfn.IFNA(VLOOKUP(B513,TDK!A:C,2,0),0)</f>
        <v>7</v>
      </c>
      <c r="L513">
        <f>_xlfn.IFNA(VLOOKUP(B513,TDK!A:C,3,0),0)</f>
        <v>0</v>
      </c>
      <c r="M513">
        <f>_xlfn.IFNA(VLOOKUP(B513,TDK!F:G,2,0),0)</f>
        <v>3</v>
      </c>
      <c r="N513">
        <f t="shared" si="7"/>
        <v>10</v>
      </c>
    </row>
    <row r="514" spans="1:14" x14ac:dyDescent="0.25">
      <c r="A514" t="s">
        <v>74</v>
      </c>
      <c r="B514" t="s">
        <v>1511</v>
      </c>
      <c r="C514">
        <f>VLOOKUP(B514,raw!A:K,11,0)</f>
        <v>44</v>
      </c>
      <c r="D514">
        <f>VLOOKUP(B514,raw!A:K,3,0)+VLOOKUP(B514,raw!A:K,7,0)</f>
        <v>44</v>
      </c>
      <c r="E514">
        <f>VLOOKUP(B514,raw!A:K,4,0)</f>
        <v>0</v>
      </c>
      <c r="F514">
        <f>VLOOKUP(B514,raw!A:K,5,0)</f>
        <v>0</v>
      </c>
      <c r="G514">
        <f>VLOOKUP(B514,raw!A:K,2,0)+VLOOKUP(B514,raw!A:K,10,0)</f>
        <v>0</v>
      </c>
      <c r="H514">
        <f>VLOOKUP(B514,raw!A:K,6,0)</f>
        <v>0</v>
      </c>
      <c r="I514">
        <f>VLOOKUP(B514,raw!A:K,9,0)</f>
        <v>0</v>
      </c>
      <c r="J514">
        <f>VLOOKUP(B514,raw!A:K,8,0)</f>
        <v>0</v>
      </c>
      <c r="K514">
        <f>_xlfn.IFNA(VLOOKUP(B514,TDK!A:C,2,0),0)</f>
        <v>8</v>
      </c>
      <c r="L514">
        <f>_xlfn.IFNA(VLOOKUP(B514,TDK!A:C,3,0),0)</f>
        <v>0</v>
      </c>
      <c r="M514">
        <f>_xlfn.IFNA(VLOOKUP(B514,TDK!F:G,2,0),0)</f>
        <v>5</v>
      </c>
      <c r="N514">
        <f t="shared" si="7"/>
        <v>13</v>
      </c>
    </row>
    <row r="515" spans="1:14" x14ac:dyDescent="0.25">
      <c r="A515" t="s">
        <v>74</v>
      </c>
      <c r="B515" t="s">
        <v>1512</v>
      </c>
      <c r="C515">
        <f>VLOOKUP(B515,raw!A:K,11,0)</f>
        <v>73</v>
      </c>
      <c r="D515">
        <f>VLOOKUP(B515,raw!A:K,3,0)+VLOOKUP(B515,raw!A:K,7,0)</f>
        <v>72</v>
      </c>
      <c r="E515">
        <f>VLOOKUP(B515,raw!A:K,4,0)</f>
        <v>0</v>
      </c>
      <c r="F515">
        <f>VLOOKUP(B515,raw!A:K,5,0)</f>
        <v>0</v>
      </c>
      <c r="G515">
        <f>VLOOKUP(B515,raw!A:K,2,0)+VLOOKUP(B515,raw!A:K,10,0)</f>
        <v>0</v>
      </c>
      <c r="H515">
        <f>VLOOKUP(B515,raw!A:K,6,0)</f>
        <v>0</v>
      </c>
      <c r="I515">
        <f>VLOOKUP(B515,raw!A:K,9,0)</f>
        <v>1</v>
      </c>
      <c r="J515">
        <f>VLOOKUP(B515,raw!A:K,8,0)</f>
        <v>0</v>
      </c>
      <c r="K515">
        <f>_xlfn.IFNA(VLOOKUP(B515,TDK!A:C,2,0),0)</f>
        <v>13</v>
      </c>
      <c r="L515">
        <f>_xlfn.IFNA(VLOOKUP(B515,TDK!A:C,3,0),0)</f>
        <v>0</v>
      </c>
      <c r="M515">
        <f>_xlfn.IFNA(VLOOKUP(B515,TDK!F:G,2,0),0)</f>
        <v>5</v>
      </c>
      <c r="N515">
        <f t="shared" ref="N515:N578" si="8">SUM(K515:M515)</f>
        <v>18</v>
      </c>
    </row>
    <row r="516" spans="1:14" x14ac:dyDescent="0.25">
      <c r="A516" t="s">
        <v>74</v>
      </c>
      <c r="B516" t="s">
        <v>1513</v>
      </c>
      <c r="C516">
        <f>VLOOKUP(B516,raw!A:K,11,0)</f>
        <v>43</v>
      </c>
      <c r="D516">
        <f>VLOOKUP(B516,raw!A:K,3,0)+VLOOKUP(B516,raw!A:K,7,0)</f>
        <v>43</v>
      </c>
      <c r="E516">
        <f>VLOOKUP(B516,raw!A:K,4,0)</f>
        <v>0</v>
      </c>
      <c r="F516">
        <f>VLOOKUP(B516,raw!A:K,5,0)</f>
        <v>0</v>
      </c>
      <c r="G516">
        <f>VLOOKUP(B516,raw!A:K,2,0)+VLOOKUP(B516,raw!A:K,10,0)</f>
        <v>0</v>
      </c>
      <c r="H516">
        <f>VLOOKUP(B516,raw!A:K,6,0)</f>
        <v>0</v>
      </c>
      <c r="I516">
        <f>VLOOKUP(B516,raw!A:K,9,0)</f>
        <v>0</v>
      </c>
      <c r="J516">
        <f>VLOOKUP(B516,raw!A:K,8,0)</f>
        <v>0</v>
      </c>
      <c r="K516">
        <f>_xlfn.IFNA(VLOOKUP(B516,TDK!A:C,2,0),0)</f>
        <v>11</v>
      </c>
      <c r="L516">
        <f>_xlfn.IFNA(VLOOKUP(B516,TDK!A:C,3,0),0)</f>
        <v>0</v>
      </c>
      <c r="M516">
        <f>_xlfn.IFNA(VLOOKUP(B516,TDK!F:G,2,0),0)</f>
        <v>6</v>
      </c>
      <c r="N516">
        <f t="shared" si="8"/>
        <v>17</v>
      </c>
    </row>
    <row r="517" spans="1:14" x14ac:dyDescent="0.25">
      <c r="A517" t="s">
        <v>74</v>
      </c>
      <c r="B517" t="s">
        <v>1514</v>
      </c>
      <c r="C517">
        <f>VLOOKUP(B517,raw!A:K,11,0)</f>
        <v>67</v>
      </c>
      <c r="D517">
        <f>VLOOKUP(B517,raw!A:K,3,0)+VLOOKUP(B517,raw!A:K,7,0)</f>
        <v>65</v>
      </c>
      <c r="E517">
        <f>VLOOKUP(B517,raw!A:K,4,0)</f>
        <v>0</v>
      </c>
      <c r="F517">
        <f>VLOOKUP(B517,raw!A:K,5,0)</f>
        <v>0</v>
      </c>
      <c r="G517">
        <f>VLOOKUP(B517,raw!A:K,2,0)+VLOOKUP(B517,raw!A:K,10,0)</f>
        <v>0</v>
      </c>
      <c r="H517">
        <f>VLOOKUP(B517,raw!A:K,6,0)</f>
        <v>0</v>
      </c>
      <c r="I517">
        <f>VLOOKUP(B517,raw!A:K,9,0)</f>
        <v>2</v>
      </c>
      <c r="J517">
        <f>VLOOKUP(B517,raw!A:K,8,0)</f>
        <v>0</v>
      </c>
      <c r="K517">
        <f>_xlfn.IFNA(VLOOKUP(B517,TDK!A:C,2,0),0)</f>
        <v>13</v>
      </c>
      <c r="L517">
        <f>_xlfn.IFNA(VLOOKUP(B517,TDK!A:C,3,0),0)</f>
        <v>0</v>
      </c>
      <c r="M517">
        <f>_xlfn.IFNA(VLOOKUP(B517,TDK!F:G,2,0),0)</f>
        <v>4</v>
      </c>
      <c r="N517">
        <f t="shared" si="8"/>
        <v>17</v>
      </c>
    </row>
    <row r="518" spans="1:14" x14ac:dyDescent="0.25">
      <c r="A518" t="s">
        <v>74</v>
      </c>
      <c r="B518" t="s">
        <v>1515</v>
      </c>
      <c r="C518">
        <f>VLOOKUP(B518,raw!A:K,11,0)</f>
        <v>90</v>
      </c>
      <c r="D518">
        <f>VLOOKUP(B518,raw!A:K,3,0)+VLOOKUP(B518,raw!A:K,7,0)</f>
        <v>88</v>
      </c>
      <c r="E518">
        <f>VLOOKUP(B518,raw!A:K,4,0)</f>
        <v>0</v>
      </c>
      <c r="F518">
        <f>VLOOKUP(B518,raw!A:K,5,0)</f>
        <v>0</v>
      </c>
      <c r="G518">
        <f>VLOOKUP(B518,raw!A:K,2,0)+VLOOKUP(B518,raw!A:K,10,0)</f>
        <v>0</v>
      </c>
      <c r="H518">
        <f>VLOOKUP(B518,raw!A:K,6,0)</f>
        <v>0</v>
      </c>
      <c r="I518">
        <f>VLOOKUP(B518,raw!A:K,9,0)</f>
        <v>2</v>
      </c>
      <c r="J518">
        <f>VLOOKUP(B518,raw!A:K,8,0)</f>
        <v>0</v>
      </c>
      <c r="K518">
        <f>_xlfn.IFNA(VLOOKUP(B518,TDK!A:C,2,0),0)</f>
        <v>22</v>
      </c>
      <c r="L518">
        <f>_xlfn.IFNA(VLOOKUP(B518,TDK!A:C,3,0),0)</f>
        <v>1</v>
      </c>
      <c r="M518">
        <f>_xlfn.IFNA(VLOOKUP(B518,TDK!F:G,2,0),0)</f>
        <v>8</v>
      </c>
      <c r="N518">
        <f t="shared" si="8"/>
        <v>31</v>
      </c>
    </row>
    <row r="519" spans="1:14" x14ac:dyDescent="0.25">
      <c r="A519" t="s">
        <v>74</v>
      </c>
      <c r="B519" t="s">
        <v>1516</v>
      </c>
      <c r="C519">
        <f>VLOOKUP(B519,raw!A:K,11,0)</f>
        <v>89</v>
      </c>
      <c r="D519">
        <f>VLOOKUP(B519,raw!A:K,3,0)+VLOOKUP(B519,raw!A:K,7,0)</f>
        <v>88</v>
      </c>
      <c r="E519">
        <f>VLOOKUP(B519,raw!A:K,4,0)</f>
        <v>0</v>
      </c>
      <c r="F519">
        <f>VLOOKUP(B519,raw!A:K,5,0)</f>
        <v>0</v>
      </c>
      <c r="G519">
        <f>VLOOKUP(B519,raw!A:K,2,0)+VLOOKUP(B519,raw!A:K,10,0)</f>
        <v>0</v>
      </c>
      <c r="H519">
        <f>VLOOKUP(B519,raw!A:K,6,0)</f>
        <v>0</v>
      </c>
      <c r="I519">
        <f>VLOOKUP(B519,raw!A:K,9,0)</f>
        <v>1</v>
      </c>
      <c r="J519">
        <f>VLOOKUP(B519,raw!A:K,8,0)</f>
        <v>0</v>
      </c>
      <c r="K519">
        <f>_xlfn.IFNA(VLOOKUP(B519,TDK!A:C,2,0),0)</f>
        <v>30</v>
      </c>
      <c r="L519">
        <f>_xlfn.IFNA(VLOOKUP(B519,TDK!A:C,3,0),0)</f>
        <v>0</v>
      </c>
      <c r="M519">
        <f>_xlfn.IFNA(VLOOKUP(B519,TDK!F:G,2,0),0)</f>
        <v>10</v>
      </c>
      <c r="N519">
        <f t="shared" si="8"/>
        <v>40</v>
      </c>
    </row>
    <row r="520" spans="1:14" x14ac:dyDescent="0.25">
      <c r="A520" t="s">
        <v>75</v>
      </c>
      <c r="B520" t="s">
        <v>1517</v>
      </c>
      <c r="C520">
        <f>VLOOKUP(B520,raw!A:K,11,0)</f>
        <v>39</v>
      </c>
      <c r="D520">
        <f>VLOOKUP(B520,raw!A:K,3,0)+VLOOKUP(B520,raw!A:K,7,0)</f>
        <v>39</v>
      </c>
      <c r="E520">
        <f>VLOOKUP(B520,raw!A:K,4,0)</f>
        <v>0</v>
      </c>
      <c r="F520">
        <f>VLOOKUP(B520,raw!A:K,5,0)</f>
        <v>0</v>
      </c>
      <c r="G520">
        <f>VLOOKUP(B520,raw!A:K,2,0)+VLOOKUP(B520,raw!A:K,10,0)</f>
        <v>0</v>
      </c>
      <c r="H520">
        <f>VLOOKUP(B520,raw!A:K,6,0)</f>
        <v>0</v>
      </c>
      <c r="I520">
        <f>VLOOKUP(B520,raw!A:K,9,0)</f>
        <v>0</v>
      </c>
      <c r="J520">
        <f>VLOOKUP(B520,raw!A:K,8,0)</f>
        <v>0</v>
      </c>
      <c r="K520">
        <f>_xlfn.IFNA(VLOOKUP(B520,TDK!A:C,2,0),0)</f>
        <v>7</v>
      </c>
      <c r="L520">
        <f>_xlfn.IFNA(VLOOKUP(B520,TDK!A:C,3,0),0)</f>
        <v>0</v>
      </c>
      <c r="M520">
        <f>_xlfn.IFNA(VLOOKUP(B520,TDK!F:G,2,0),0)</f>
        <v>2</v>
      </c>
      <c r="N520">
        <f t="shared" si="8"/>
        <v>9</v>
      </c>
    </row>
    <row r="521" spans="1:14" x14ac:dyDescent="0.25">
      <c r="A521" t="s">
        <v>74</v>
      </c>
      <c r="B521" t="s">
        <v>1518</v>
      </c>
      <c r="C521">
        <f>VLOOKUP(B521,raw!A:K,11,0)</f>
        <v>106</v>
      </c>
      <c r="D521">
        <f>VLOOKUP(B521,raw!A:K,3,0)+VLOOKUP(B521,raw!A:K,7,0)</f>
        <v>105</v>
      </c>
      <c r="E521">
        <f>VLOOKUP(B521,raw!A:K,4,0)</f>
        <v>0</v>
      </c>
      <c r="F521">
        <f>VLOOKUP(B521,raw!A:K,5,0)</f>
        <v>0</v>
      </c>
      <c r="G521">
        <f>VLOOKUP(B521,raw!A:K,2,0)+VLOOKUP(B521,raw!A:K,10,0)</f>
        <v>0</v>
      </c>
      <c r="H521">
        <f>VLOOKUP(B521,raw!A:K,6,0)</f>
        <v>0</v>
      </c>
      <c r="I521">
        <f>VLOOKUP(B521,raw!A:K,9,0)</f>
        <v>1</v>
      </c>
      <c r="J521">
        <f>VLOOKUP(B521,raw!A:K,8,0)</f>
        <v>0</v>
      </c>
      <c r="K521">
        <f>_xlfn.IFNA(VLOOKUP(B521,TDK!A:C,2,0),0)</f>
        <v>32</v>
      </c>
      <c r="L521">
        <f>_xlfn.IFNA(VLOOKUP(B521,TDK!A:C,3,0),0)</f>
        <v>1</v>
      </c>
      <c r="M521">
        <f>_xlfn.IFNA(VLOOKUP(B521,TDK!F:G,2,0),0)</f>
        <v>12</v>
      </c>
      <c r="N521">
        <f t="shared" si="8"/>
        <v>45</v>
      </c>
    </row>
    <row r="522" spans="1:14" x14ac:dyDescent="0.25">
      <c r="A522" t="s">
        <v>76</v>
      </c>
      <c r="B522" t="s">
        <v>1519</v>
      </c>
      <c r="C522">
        <f>VLOOKUP(B522,raw!A:K,11,0)</f>
        <v>71</v>
      </c>
      <c r="D522">
        <f>VLOOKUP(B522,raw!A:K,3,0)+VLOOKUP(B522,raw!A:K,7,0)</f>
        <v>67</v>
      </c>
      <c r="E522">
        <f>VLOOKUP(B522,raw!A:K,4,0)</f>
        <v>0</v>
      </c>
      <c r="F522">
        <f>VLOOKUP(B522,raw!A:K,5,0)</f>
        <v>0</v>
      </c>
      <c r="G522">
        <f>VLOOKUP(B522,raw!A:K,2,0)+VLOOKUP(B522,raw!A:K,10,0)</f>
        <v>0</v>
      </c>
      <c r="H522">
        <f>VLOOKUP(B522,raw!A:K,6,0)</f>
        <v>0</v>
      </c>
      <c r="I522">
        <f>VLOOKUP(B522,raw!A:K,9,0)</f>
        <v>4</v>
      </c>
      <c r="J522">
        <f>VLOOKUP(B522,raw!A:K,8,0)</f>
        <v>0</v>
      </c>
      <c r="K522">
        <f>_xlfn.IFNA(VLOOKUP(B522,TDK!A:C,2,0),0)</f>
        <v>9</v>
      </c>
      <c r="L522">
        <f>_xlfn.IFNA(VLOOKUP(B522,TDK!A:C,3,0),0)</f>
        <v>1</v>
      </c>
      <c r="M522">
        <f>_xlfn.IFNA(VLOOKUP(B522,TDK!F:G,2,0),0)</f>
        <v>1</v>
      </c>
      <c r="N522">
        <f t="shared" si="8"/>
        <v>11</v>
      </c>
    </row>
    <row r="523" spans="1:14" x14ac:dyDescent="0.25">
      <c r="A523" t="s">
        <v>76</v>
      </c>
      <c r="B523" t="s">
        <v>1520</v>
      </c>
      <c r="C523">
        <f>VLOOKUP(B523,raw!A:K,11,0)</f>
        <v>128</v>
      </c>
      <c r="D523">
        <f>VLOOKUP(B523,raw!A:K,3,0)+VLOOKUP(B523,raw!A:K,7,0)</f>
        <v>127</v>
      </c>
      <c r="E523">
        <f>VLOOKUP(B523,raw!A:K,4,0)</f>
        <v>0</v>
      </c>
      <c r="F523">
        <f>VLOOKUP(B523,raw!A:K,5,0)</f>
        <v>0</v>
      </c>
      <c r="G523">
        <f>VLOOKUP(B523,raw!A:K,2,0)+VLOOKUP(B523,raw!A:K,10,0)</f>
        <v>0</v>
      </c>
      <c r="H523">
        <f>VLOOKUP(B523,raw!A:K,6,0)</f>
        <v>0</v>
      </c>
      <c r="I523">
        <f>VLOOKUP(B523,raw!A:K,9,0)</f>
        <v>1</v>
      </c>
      <c r="J523">
        <f>VLOOKUP(B523,raw!A:K,8,0)</f>
        <v>0</v>
      </c>
      <c r="K523">
        <f>_xlfn.IFNA(VLOOKUP(B523,TDK!A:C,2,0),0)</f>
        <v>28</v>
      </c>
      <c r="L523">
        <f>_xlfn.IFNA(VLOOKUP(B523,TDK!A:C,3,0),0)</f>
        <v>2</v>
      </c>
      <c r="M523">
        <f>_xlfn.IFNA(VLOOKUP(B523,TDK!F:G,2,0),0)</f>
        <v>14</v>
      </c>
      <c r="N523">
        <f t="shared" si="8"/>
        <v>44</v>
      </c>
    </row>
    <row r="524" spans="1:14" x14ac:dyDescent="0.25">
      <c r="A524" t="s">
        <v>77</v>
      </c>
      <c r="B524" t="s">
        <v>1521</v>
      </c>
      <c r="C524">
        <f>VLOOKUP(B524,raw!A:K,11,0)</f>
        <v>114</v>
      </c>
      <c r="D524">
        <f>VLOOKUP(B524,raw!A:K,3,0)+VLOOKUP(B524,raw!A:K,7,0)</f>
        <v>113</v>
      </c>
      <c r="E524">
        <f>VLOOKUP(B524,raw!A:K,4,0)</f>
        <v>0</v>
      </c>
      <c r="F524">
        <f>VLOOKUP(B524,raw!A:K,5,0)</f>
        <v>0</v>
      </c>
      <c r="G524">
        <f>VLOOKUP(B524,raw!A:K,2,0)+VLOOKUP(B524,raw!A:K,10,0)</f>
        <v>0</v>
      </c>
      <c r="H524">
        <f>VLOOKUP(B524,raw!A:K,6,0)</f>
        <v>0</v>
      </c>
      <c r="I524">
        <f>VLOOKUP(B524,raw!A:K,9,0)</f>
        <v>1</v>
      </c>
      <c r="J524">
        <f>VLOOKUP(B524,raw!A:K,8,0)</f>
        <v>0</v>
      </c>
      <c r="K524">
        <f>_xlfn.IFNA(VLOOKUP(B524,TDK!A:C,2,0),0)</f>
        <v>28</v>
      </c>
      <c r="L524">
        <f>_xlfn.IFNA(VLOOKUP(B524,TDK!A:C,3,0),0)</f>
        <v>2</v>
      </c>
      <c r="M524">
        <f>_xlfn.IFNA(VLOOKUP(B524,TDK!F:G,2,0),0)</f>
        <v>2</v>
      </c>
      <c r="N524">
        <f t="shared" si="8"/>
        <v>32</v>
      </c>
    </row>
    <row r="525" spans="1:14" x14ac:dyDescent="0.25">
      <c r="A525" t="s">
        <v>76</v>
      </c>
      <c r="B525" t="s">
        <v>1522</v>
      </c>
      <c r="C525">
        <f>VLOOKUP(B525,raw!A:K,11,0)</f>
        <v>81</v>
      </c>
      <c r="D525">
        <f>VLOOKUP(B525,raw!A:K,3,0)+VLOOKUP(B525,raw!A:K,7,0)</f>
        <v>66</v>
      </c>
      <c r="E525">
        <f>VLOOKUP(B525,raw!A:K,4,0)</f>
        <v>0</v>
      </c>
      <c r="F525">
        <f>VLOOKUP(B525,raw!A:K,5,0)</f>
        <v>0</v>
      </c>
      <c r="G525">
        <f>VLOOKUP(B525,raw!A:K,2,0)+VLOOKUP(B525,raw!A:K,10,0)</f>
        <v>12</v>
      </c>
      <c r="H525">
        <f>VLOOKUP(B525,raw!A:K,6,0)</f>
        <v>0</v>
      </c>
      <c r="I525">
        <f>VLOOKUP(B525,raw!A:K,9,0)</f>
        <v>3</v>
      </c>
      <c r="J525">
        <f>VLOOKUP(B525,raw!A:K,8,0)</f>
        <v>0</v>
      </c>
      <c r="K525">
        <f>_xlfn.IFNA(VLOOKUP(B525,TDK!A:C,2,0),0)</f>
        <v>12</v>
      </c>
      <c r="L525">
        <f>_xlfn.IFNA(VLOOKUP(B525,TDK!A:C,3,0),0)</f>
        <v>1</v>
      </c>
      <c r="M525">
        <f>_xlfn.IFNA(VLOOKUP(B525,TDK!F:G,2,0),0)</f>
        <v>1</v>
      </c>
      <c r="N525">
        <f t="shared" si="8"/>
        <v>14</v>
      </c>
    </row>
    <row r="526" spans="1:14" x14ac:dyDescent="0.25">
      <c r="A526" t="s">
        <v>77</v>
      </c>
      <c r="B526" t="s">
        <v>1523</v>
      </c>
      <c r="C526">
        <f>VLOOKUP(B526,raw!A:K,11,0)</f>
        <v>126</v>
      </c>
      <c r="D526">
        <f>VLOOKUP(B526,raw!A:K,3,0)+VLOOKUP(B526,raw!A:K,7,0)</f>
        <v>126</v>
      </c>
      <c r="E526">
        <f>VLOOKUP(B526,raw!A:K,4,0)</f>
        <v>0</v>
      </c>
      <c r="F526">
        <f>VLOOKUP(B526,raw!A:K,5,0)</f>
        <v>0</v>
      </c>
      <c r="G526">
        <f>VLOOKUP(B526,raw!A:K,2,0)+VLOOKUP(B526,raw!A:K,10,0)</f>
        <v>0</v>
      </c>
      <c r="H526">
        <f>VLOOKUP(B526,raw!A:K,6,0)</f>
        <v>0</v>
      </c>
      <c r="I526">
        <f>VLOOKUP(B526,raw!A:K,9,0)</f>
        <v>0</v>
      </c>
      <c r="J526">
        <f>VLOOKUP(B526,raw!A:K,8,0)</f>
        <v>0</v>
      </c>
      <c r="K526">
        <f>_xlfn.IFNA(VLOOKUP(B526,TDK!A:C,2,0),0)</f>
        <v>25</v>
      </c>
      <c r="L526">
        <f>_xlfn.IFNA(VLOOKUP(B526,TDK!A:C,3,0),0)</f>
        <v>0</v>
      </c>
      <c r="M526">
        <f>_xlfn.IFNA(VLOOKUP(B526,TDK!F:G,2,0),0)</f>
        <v>5</v>
      </c>
      <c r="N526">
        <f t="shared" si="8"/>
        <v>30</v>
      </c>
    </row>
    <row r="527" spans="1:14" x14ac:dyDescent="0.25">
      <c r="A527" t="s">
        <v>77</v>
      </c>
      <c r="B527" t="s">
        <v>1524</v>
      </c>
      <c r="C527">
        <f>VLOOKUP(B527,raw!A:K,11,0)</f>
        <v>108</v>
      </c>
      <c r="D527">
        <f>VLOOKUP(B527,raw!A:K,3,0)+VLOOKUP(B527,raw!A:K,7,0)</f>
        <v>108</v>
      </c>
      <c r="E527">
        <f>VLOOKUP(B527,raw!A:K,4,0)</f>
        <v>0</v>
      </c>
      <c r="F527">
        <f>VLOOKUP(B527,raw!A:K,5,0)</f>
        <v>0</v>
      </c>
      <c r="G527">
        <f>VLOOKUP(B527,raw!A:K,2,0)+VLOOKUP(B527,raw!A:K,10,0)</f>
        <v>0</v>
      </c>
      <c r="H527">
        <f>VLOOKUP(B527,raw!A:K,6,0)</f>
        <v>0</v>
      </c>
      <c r="I527">
        <f>VLOOKUP(B527,raw!A:K,9,0)</f>
        <v>0</v>
      </c>
      <c r="J527">
        <f>VLOOKUP(B527,raw!A:K,8,0)</f>
        <v>0</v>
      </c>
      <c r="K527">
        <f>_xlfn.IFNA(VLOOKUP(B527,TDK!A:C,2,0),0)</f>
        <v>21</v>
      </c>
      <c r="L527">
        <f>_xlfn.IFNA(VLOOKUP(B527,TDK!A:C,3,0),0)</f>
        <v>2</v>
      </c>
      <c r="M527">
        <f>_xlfn.IFNA(VLOOKUP(B527,TDK!F:G,2,0),0)</f>
        <v>6</v>
      </c>
      <c r="N527">
        <f t="shared" si="8"/>
        <v>29</v>
      </c>
    </row>
    <row r="528" spans="1:14" x14ac:dyDescent="0.25">
      <c r="A528" t="s">
        <v>77</v>
      </c>
      <c r="B528" t="s">
        <v>1525</v>
      </c>
      <c r="C528">
        <f>VLOOKUP(B528,raw!A:K,11,0)</f>
        <v>91</v>
      </c>
      <c r="D528">
        <f>VLOOKUP(B528,raw!A:K,3,0)+VLOOKUP(B528,raw!A:K,7,0)</f>
        <v>91</v>
      </c>
      <c r="E528">
        <f>VLOOKUP(B528,raw!A:K,4,0)</f>
        <v>0</v>
      </c>
      <c r="F528">
        <f>VLOOKUP(B528,raw!A:K,5,0)</f>
        <v>0</v>
      </c>
      <c r="G528">
        <f>VLOOKUP(B528,raw!A:K,2,0)+VLOOKUP(B528,raw!A:K,10,0)</f>
        <v>0</v>
      </c>
      <c r="H528">
        <f>VLOOKUP(B528,raw!A:K,6,0)</f>
        <v>0</v>
      </c>
      <c r="I528">
        <f>VLOOKUP(B528,raw!A:K,9,0)</f>
        <v>0</v>
      </c>
      <c r="J528">
        <f>VLOOKUP(B528,raw!A:K,8,0)</f>
        <v>0</v>
      </c>
      <c r="K528">
        <f>_xlfn.IFNA(VLOOKUP(B528,TDK!A:C,2,0),0)</f>
        <v>24</v>
      </c>
      <c r="L528">
        <f>_xlfn.IFNA(VLOOKUP(B528,TDK!A:C,3,0),0)</f>
        <v>2</v>
      </c>
      <c r="M528">
        <f>_xlfn.IFNA(VLOOKUP(B528,TDK!F:G,2,0),0)</f>
        <v>3</v>
      </c>
      <c r="N528">
        <f t="shared" si="8"/>
        <v>29</v>
      </c>
    </row>
    <row r="529" spans="1:14" x14ac:dyDescent="0.25">
      <c r="A529" t="s">
        <v>77</v>
      </c>
      <c r="B529" t="s">
        <v>1526</v>
      </c>
      <c r="C529">
        <f>VLOOKUP(B529,raw!A:K,11,0)</f>
        <v>60</v>
      </c>
      <c r="D529">
        <f>VLOOKUP(B529,raw!A:K,3,0)+VLOOKUP(B529,raw!A:K,7,0)</f>
        <v>60</v>
      </c>
      <c r="E529">
        <f>VLOOKUP(B529,raw!A:K,4,0)</f>
        <v>0</v>
      </c>
      <c r="F529">
        <f>VLOOKUP(B529,raw!A:K,5,0)</f>
        <v>0</v>
      </c>
      <c r="G529">
        <f>VLOOKUP(B529,raw!A:K,2,0)+VLOOKUP(B529,raw!A:K,10,0)</f>
        <v>0</v>
      </c>
      <c r="H529">
        <f>VLOOKUP(B529,raw!A:K,6,0)</f>
        <v>0</v>
      </c>
      <c r="I529">
        <f>VLOOKUP(B529,raw!A:K,9,0)</f>
        <v>0</v>
      </c>
      <c r="J529">
        <f>VLOOKUP(B529,raw!A:K,8,0)</f>
        <v>0</v>
      </c>
      <c r="K529">
        <f>_xlfn.IFNA(VLOOKUP(B529,TDK!A:C,2,0),0)</f>
        <v>15</v>
      </c>
      <c r="L529">
        <f>_xlfn.IFNA(VLOOKUP(B529,TDK!A:C,3,0),0)</f>
        <v>0</v>
      </c>
      <c r="M529">
        <f>_xlfn.IFNA(VLOOKUP(B529,TDK!F:G,2,0),0)</f>
        <v>6</v>
      </c>
      <c r="N529">
        <f t="shared" si="8"/>
        <v>21</v>
      </c>
    </row>
    <row r="530" spans="1:14" x14ac:dyDescent="0.25">
      <c r="A530" t="s">
        <v>75</v>
      </c>
      <c r="B530" t="s">
        <v>1527</v>
      </c>
      <c r="C530">
        <f>VLOOKUP(B530,raw!A:K,11,0)</f>
        <v>124</v>
      </c>
      <c r="D530">
        <f>VLOOKUP(B530,raw!A:K,3,0)+VLOOKUP(B530,raw!A:K,7,0)</f>
        <v>98</v>
      </c>
      <c r="E530">
        <f>VLOOKUP(B530,raw!A:K,4,0)</f>
        <v>0</v>
      </c>
      <c r="F530">
        <f>VLOOKUP(B530,raw!A:K,5,0)</f>
        <v>0</v>
      </c>
      <c r="G530">
        <f>VLOOKUP(B530,raw!A:K,2,0)+VLOOKUP(B530,raw!A:K,10,0)</f>
        <v>1</v>
      </c>
      <c r="H530">
        <f>VLOOKUP(B530,raw!A:K,6,0)</f>
        <v>3</v>
      </c>
      <c r="I530">
        <f>VLOOKUP(B530,raw!A:K,9,0)</f>
        <v>22</v>
      </c>
      <c r="J530">
        <f>VLOOKUP(B530,raw!A:K,8,0)</f>
        <v>0</v>
      </c>
      <c r="K530">
        <f>_xlfn.IFNA(VLOOKUP(B530,TDK!A:C,2,0),0)</f>
        <v>23</v>
      </c>
      <c r="L530">
        <f>_xlfn.IFNA(VLOOKUP(B530,TDK!A:C,3,0),0)</f>
        <v>0</v>
      </c>
      <c r="M530">
        <f>_xlfn.IFNA(VLOOKUP(B530,TDK!F:G,2,0),0)</f>
        <v>3</v>
      </c>
      <c r="N530">
        <f t="shared" si="8"/>
        <v>26</v>
      </c>
    </row>
    <row r="531" spans="1:14" x14ac:dyDescent="0.25">
      <c r="A531" t="s">
        <v>75</v>
      </c>
      <c r="B531" t="s">
        <v>1528</v>
      </c>
      <c r="C531">
        <f>VLOOKUP(B531,raw!A:K,11,0)</f>
        <v>78</v>
      </c>
      <c r="D531">
        <f>VLOOKUP(B531,raw!A:K,3,0)+VLOOKUP(B531,raw!A:K,7,0)</f>
        <v>28</v>
      </c>
      <c r="E531">
        <f>VLOOKUP(B531,raw!A:K,4,0)</f>
        <v>0</v>
      </c>
      <c r="F531">
        <f>VLOOKUP(B531,raw!A:K,5,0)</f>
        <v>0</v>
      </c>
      <c r="G531">
        <f>VLOOKUP(B531,raw!A:K,2,0)+VLOOKUP(B531,raw!A:K,10,0)</f>
        <v>0</v>
      </c>
      <c r="H531">
        <f>VLOOKUP(B531,raw!A:K,6,0)</f>
        <v>0</v>
      </c>
      <c r="I531">
        <f>VLOOKUP(B531,raw!A:K,9,0)</f>
        <v>50</v>
      </c>
      <c r="J531">
        <f>VLOOKUP(B531,raw!A:K,8,0)</f>
        <v>0</v>
      </c>
      <c r="K531">
        <f>_xlfn.IFNA(VLOOKUP(B531,TDK!A:C,2,0),0)</f>
        <v>15</v>
      </c>
      <c r="L531">
        <f>_xlfn.IFNA(VLOOKUP(B531,TDK!A:C,3,0),0)</f>
        <v>2</v>
      </c>
      <c r="M531">
        <f>_xlfn.IFNA(VLOOKUP(B531,TDK!F:G,2,0),0)</f>
        <v>6</v>
      </c>
      <c r="N531">
        <f t="shared" si="8"/>
        <v>23</v>
      </c>
    </row>
    <row r="532" spans="1:14" x14ac:dyDescent="0.25">
      <c r="A532" t="s">
        <v>75</v>
      </c>
      <c r="B532" t="s">
        <v>1529</v>
      </c>
      <c r="C532">
        <f>VLOOKUP(B532,raw!A:K,11,0)</f>
        <v>64</v>
      </c>
      <c r="D532">
        <f>VLOOKUP(B532,raw!A:K,3,0)+VLOOKUP(B532,raw!A:K,7,0)</f>
        <v>64</v>
      </c>
      <c r="E532">
        <f>VLOOKUP(B532,raw!A:K,4,0)</f>
        <v>0</v>
      </c>
      <c r="F532">
        <f>VLOOKUP(B532,raw!A:K,5,0)</f>
        <v>0</v>
      </c>
      <c r="G532">
        <f>VLOOKUP(B532,raw!A:K,2,0)+VLOOKUP(B532,raw!A:K,10,0)</f>
        <v>0</v>
      </c>
      <c r="H532">
        <f>VLOOKUP(B532,raw!A:K,6,0)</f>
        <v>0</v>
      </c>
      <c r="I532">
        <f>VLOOKUP(B532,raw!A:K,9,0)</f>
        <v>0</v>
      </c>
      <c r="J532">
        <f>VLOOKUP(B532,raw!A:K,8,0)</f>
        <v>0</v>
      </c>
      <c r="K532">
        <f>_xlfn.IFNA(VLOOKUP(B532,TDK!A:C,2,0),0)</f>
        <v>12</v>
      </c>
      <c r="L532">
        <f>_xlfn.IFNA(VLOOKUP(B532,TDK!A:C,3,0),0)</f>
        <v>2</v>
      </c>
      <c r="M532">
        <f>_xlfn.IFNA(VLOOKUP(B532,TDK!F:G,2,0),0)</f>
        <v>2</v>
      </c>
      <c r="N532">
        <f t="shared" si="8"/>
        <v>16</v>
      </c>
    </row>
    <row r="533" spans="1:14" x14ac:dyDescent="0.25">
      <c r="A533" t="s">
        <v>75</v>
      </c>
      <c r="B533" t="s">
        <v>1530</v>
      </c>
      <c r="C533">
        <f>VLOOKUP(B533,raw!A:K,11,0)</f>
        <v>121</v>
      </c>
      <c r="D533">
        <f>VLOOKUP(B533,raw!A:K,3,0)+VLOOKUP(B533,raw!A:K,7,0)</f>
        <v>104</v>
      </c>
      <c r="E533">
        <f>VLOOKUP(B533,raw!A:K,4,0)</f>
        <v>0</v>
      </c>
      <c r="F533">
        <f>VLOOKUP(B533,raw!A:K,5,0)</f>
        <v>0</v>
      </c>
      <c r="G533">
        <f>VLOOKUP(B533,raw!A:K,2,0)+VLOOKUP(B533,raw!A:K,10,0)</f>
        <v>5</v>
      </c>
      <c r="H533">
        <f>VLOOKUP(B533,raw!A:K,6,0)</f>
        <v>0</v>
      </c>
      <c r="I533">
        <f>VLOOKUP(B533,raw!A:K,9,0)</f>
        <v>12</v>
      </c>
      <c r="J533">
        <f>VLOOKUP(B533,raw!A:K,8,0)</f>
        <v>0</v>
      </c>
      <c r="K533">
        <f>_xlfn.IFNA(VLOOKUP(B533,TDK!A:C,2,0),0)</f>
        <v>25</v>
      </c>
      <c r="L533">
        <f>_xlfn.IFNA(VLOOKUP(B533,TDK!A:C,3,0),0)</f>
        <v>1</v>
      </c>
      <c r="M533">
        <f>_xlfn.IFNA(VLOOKUP(B533,TDK!F:G,2,0),0)</f>
        <v>10</v>
      </c>
      <c r="N533">
        <f t="shared" si="8"/>
        <v>36</v>
      </c>
    </row>
    <row r="534" spans="1:14" x14ac:dyDescent="0.25">
      <c r="A534" t="s">
        <v>76</v>
      </c>
      <c r="B534" t="s">
        <v>1531</v>
      </c>
      <c r="C534">
        <f>VLOOKUP(B534,raw!A:K,11,0)</f>
        <v>79</v>
      </c>
      <c r="D534">
        <f>VLOOKUP(B534,raw!A:K,3,0)+VLOOKUP(B534,raw!A:K,7,0)</f>
        <v>79</v>
      </c>
      <c r="E534">
        <f>VLOOKUP(B534,raw!A:K,4,0)</f>
        <v>0</v>
      </c>
      <c r="F534">
        <f>VLOOKUP(B534,raw!A:K,5,0)</f>
        <v>0</v>
      </c>
      <c r="G534">
        <f>VLOOKUP(B534,raw!A:K,2,0)+VLOOKUP(B534,raw!A:K,10,0)</f>
        <v>0</v>
      </c>
      <c r="H534">
        <f>VLOOKUP(B534,raw!A:K,6,0)</f>
        <v>0</v>
      </c>
      <c r="I534">
        <f>VLOOKUP(B534,raw!A:K,9,0)</f>
        <v>0</v>
      </c>
      <c r="J534">
        <f>VLOOKUP(B534,raw!A:K,8,0)</f>
        <v>0</v>
      </c>
      <c r="K534">
        <f>_xlfn.IFNA(VLOOKUP(B534,TDK!A:C,2,0),0)</f>
        <v>21</v>
      </c>
      <c r="L534">
        <f>_xlfn.IFNA(VLOOKUP(B534,TDK!A:C,3,0),0)</f>
        <v>0</v>
      </c>
      <c r="M534">
        <f>_xlfn.IFNA(VLOOKUP(B534,TDK!F:G,2,0),0)</f>
        <v>4</v>
      </c>
      <c r="N534">
        <f t="shared" si="8"/>
        <v>25</v>
      </c>
    </row>
    <row r="535" spans="1:14" x14ac:dyDescent="0.25">
      <c r="A535" t="s">
        <v>78</v>
      </c>
      <c r="B535" t="s">
        <v>1532</v>
      </c>
      <c r="C535">
        <f>VLOOKUP(B535,raw!A:K,11,0)</f>
        <v>76</v>
      </c>
      <c r="D535">
        <f>VLOOKUP(B535,raw!A:K,3,0)+VLOOKUP(B535,raw!A:K,7,0)</f>
        <v>76</v>
      </c>
      <c r="E535">
        <f>VLOOKUP(B535,raw!A:K,4,0)</f>
        <v>0</v>
      </c>
      <c r="F535">
        <f>VLOOKUP(B535,raw!A:K,5,0)</f>
        <v>0</v>
      </c>
      <c r="G535">
        <f>VLOOKUP(B535,raw!A:K,2,0)+VLOOKUP(B535,raw!A:K,10,0)</f>
        <v>0</v>
      </c>
      <c r="H535">
        <f>VLOOKUP(B535,raw!A:K,6,0)</f>
        <v>0</v>
      </c>
      <c r="I535">
        <f>VLOOKUP(B535,raw!A:K,9,0)</f>
        <v>0</v>
      </c>
      <c r="J535">
        <f>VLOOKUP(B535,raw!A:K,8,0)</f>
        <v>0</v>
      </c>
      <c r="K535">
        <f>_xlfn.IFNA(VLOOKUP(B535,TDK!A:C,2,0),0)</f>
        <v>14</v>
      </c>
      <c r="L535">
        <f>_xlfn.IFNA(VLOOKUP(B535,TDK!A:C,3,0),0)</f>
        <v>0</v>
      </c>
      <c r="M535">
        <f>_xlfn.IFNA(VLOOKUP(B535,TDK!F:G,2,0),0)</f>
        <v>8</v>
      </c>
      <c r="N535">
        <f t="shared" si="8"/>
        <v>22</v>
      </c>
    </row>
    <row r="536" spans="1:14" x14ac:dyDescent="0.25">
      <c r="A536" t="s">
        <v>78</v>
      </c>
      <c r="B536" t="s">
        <v>1533</v>
      </c>
      <c r="C536">
        <f>VLOOKUP(B536,raw!A:K,11,0)</f>
        <v>100</v>
      </c>
      <c r="D536">
        <f>VLOOKUP(B536,raw!A:K,3,0)+VLOOKUP(B536,raw!A:K,7,0)</f>
        <v>100</v>
      </c>
      <c r="E536">
        <f>VLOOKUP(B536,raw!A:K,4,0)</f>
        <v>0</v>
      </c>
      <c r="F536">
        <f>VLOOKUP(B536,raw!A:K,5,0)</f>
        <v>0</v>
      </c>
      <c r="G536">
        <f>VLOOKUP(B536,raw!A:K,2,0)+VLOOKUP(B536,raw!A:K,10,0)</f>
        <v>0</v>
      </c>
      <c r="H536">
        <f>VLOOKUP(B536,raw!A:K,6,0)</f>
        <v>0</v>
      </c>
      <c r="I536">
        <f>VLOOKUP(B536,raw!A:K,9,0)</f>
        <v>0</v>
      </c>
      <c r="J536">
        <f>VLOOKUP(B536,raw!A:K,8,0)</f>
        <v>0</v>
      </c>
      <c r="K536">
        <f>_xlfn.IFNA(VLOOKUP(B536,TDK!A:C,2,0),0)</f>
        <v>21</v>
      </c>
      <c r="L536">
        <f>_xlfn.IFNA(VLOOKUP(B536,TDK!A:C,3,0),0)</f>
        <v>0</v>
      </c>
      <c r="M536">
        <f>_xlfn.IFNA(VLOOKUP(B536,TDK!F:G,2,0),0)</f>
        <v>8</v>
      </c>
      <c r="N536">
        <f t="shared" si="8"/>
        <v>29</v>
      </c>
    </row>
    <row r="537" spans="1:14" x14ac:dyDescent="0.25">
      <c r="A537" t="s">
        <v>78</v>
      </c>
      <c r="B537" t="s">
        <v>1534</v>
      </c>
      <c r="C537">
        <f>VLOOKUP(B537,raw!A:K,11,0)</f>
        <v>63</v>
      </c>
      <c r="D537">
        <f>VLOOKUP(B537,raw!A:K,3,0)+VLOOKUP(B537,raw!A:K,7,0)</f>
        <v>63</v>
      </c>
      <c r="E537">
        <f>VLOOKUP(B537,raw!A:K,4,0)</f>
        <v>0</v>
      </c>
      <c r="F537">
        <f>VLOOKUP(B537,raw!A:K,5,0)</f>
        <v>0</v>
      </c>
      <c r="G537">
        <f>VLOOKUP(B537,raw!A:K,2,0)+VLOOKUP(B537,raw!A:K,10,0)</f>
        <v>0</v>
      </c>
      <c r="H537">
        <f>VLOOKUP(B537,raw!A:K,6,0)</f>
        <v>0</v>
      </c>
      <c r="I537">
        <f>VLOOKUP(B537,raw!A:K,9,0)</f>
        <v>0</v>
      </c>
      <c r="J537">
        <f>VLOOKUP(B537,raw!A:K,8,0)</f>
        <v>0</v>
      </c>
      <c r="K537">
        <f>_xlfn.IFNA(VLOOKUP(B537,TDK!A:C,2,0),0)</f>
        <v>12</v>
      </c>
      <c r="L537">
        <f>_xlfn.IFNA(VLOOKUP(B537,TDK!A:C,3,0),0)</f>
        <v>0</v>
      </c>
      <c r="M537">
        <f>_xlfn.IFNA(VLOOKUP(B537,TDK!F:G,2,0),0)</f>
        <v>3</v>
      </c>
      <c r="N537">
        <f t="shared" si="8"/>
        <v>15</v>
      </c>
    </row>
    <row r="538" spans="1:14" x14ac:dyDescent="0.25">
      <c r="A538" t="s">
        <v>78</v>
      </c>
      <c r="B538" t="s">
        <v>1535</v>
      </c>
      <c r="C538">
        <f>VLOOKUP(B538,raw!A:K,11,0)</f>
        <v>82</v>
      </c>
      <c r="D538">
        <f>VLOOKUP(B538,raw!A:K,3,0)+VLOOKUP(B538,raw!A:K,7,0)</f>
        <v>80</v>
      </c>
      <c r="E538">
        <f>VLOOKUP(B538,raw!A:K,4,0)</f>
        <v>0</v>
      </c>
      <c r="F538">
        <f>VLOOKUP(B538,raw!A:K,5,0)</f>
        <v>0</v>
      </c>
      <c r="G538">
        <f>VLOOKUP(B538,raw!A:K,2,0)+VLOOKUP(B538,raw!A:K,10,0)</f>
        <v>0</v>
      </c>
      <c r="H538">
        <f>VLOOKUP(B538,raw!A:K,6,0)</f>
        <v>0</v>
      </c>
      <c r="I538">
        <f>VLOOKUP(B538,raw!A:K,9,0)</f>
        <v>2</v>
      </c>
      <c r="J538">
        <f>VLOOKUP(B538,raw!A:K,8,0)</f>
        <v>0</v>
      </c>
      <c r="K538">
        <f>_xlfn.IFNA(VLOOKUP(B538,TDK!A:C,2,0),0)</f>
        <v>10</v>
      </c>
      <c r="L538">
        <f>_xlfn.IFNA(VLOOKUP(B538,TDK!A:C,3,0),0)</f>
        <v>0</v>
      </c>
      <c r="M538">
        <f>_xlfn.IFNA(VLOOKUP(B538,TDK!F:G,2,0),0)</f>
        <v>1</v>
      </c>
      <c r="N538">
        <f t="shared" si="8"/>
        <v>11</v>
      </c>
    </row>
    <row r="539" spans="1:14" x14ac:dyDescent="0.25">
      <c r="A539" t="s">
        <v>78</v>
      </c>
      <c r="B539" t="s">
        <v>1536</v>
      </c>
      <c r="C539">
        <f>VLOOKUP(B539,raw!A:K,11,0)</f>
        <v>111</v>
      </c>
      <c r="D539">
        <f>VLOOKUP(B539,raw!A:K,3,0)+VLOOKUP(B539,raw!A:K,7,0)</f>
        <v>111</v>
      </c>
      <c r="E539">
        <f>VLOOKUP(B539,raw!A:K,4,0)</f>
        <v>0</v>
      </c>
      <c r="F539">
        <f>VLOOKUP(B539,raw!A:K,5,0)</f>
        <v>0</v>
      </c>
      <c r="G539">
        <f>VLOOKUP(B539,raw!A:K,2,0)+VLOOKUP(B539,raw!A:K,10,0)</f>
        <v>0</v>
      </c>
      <c r="H539">
        <f>VLOOKUP(B539,raw!A:K,6,0)</f>
        <v>0</v>
      </c>
      <c r="I539">
        <f>VLOOKUP(B539,raw!A:K,9,0)</f>
        <v>0</v>
      </c>
      <c r="J539">
        <f>VLOOKUP(B539,raw!A:K,8,0)</f>
        <v>0</v>
      </c>
      <c r="K539">
        <f>_xlfn.IFNA(VLOOKUP(B539,TDK!A:C,2,0),0)</f>
        <v>24</v>
      </c>
      <c r="L539">
        <f>_xlfn.IFNA(VLOOKUP(B539,TDK!A:C,3,0),0)</f>
        <v>1</v>
      </c>
      <c r="M539">
        <f>_xlfn.IFNA(VLOOKUP(B539,TDK!F:G,2,0),0)</f>
        <v>10</v>
      </c>
      <c r="N539">
        <f t="shared" si="8"/>
        <v>35</v>
      </c>
    </row>
    <row r="540" spans="1:14" x14ac:dyDescent="0.25">
      <c r="A540" t="s">
        <v>78</v>
      </c>
      <c r="B540" t="s">
        <v>1537</v>
      </c>
      <c r="C540">
        <f>VLOOKUP(B540,raw!A:K,11,0)</f>
        <v>93</v>
      </c>
      <c r="D540">
        <f>VLOOKUP(B540,raw!A:K,3,0)+VLOOKUP(B540,raw!A:K,7,0)</f>
        <v>93</v>
      </c>
      <c r="E540">
        <f>VLOOKUP(B540,raw!A:K,4,0)</f>
        <v>0</v>
      </c>
      <c r="F540">
        <f>VLOOKUP(B540,raw!A:K,5,0)</f>
        <v>0</v>
      </c>
      <c r="G540">
        <f>VLOOKUP(B540,raw!A:K,2,0)+VLOOKUP(B540,raw!A:K,10,0)</f>
        <v>0</v>
      </c>
      <c r="H540">
        <f>VLOOKUP(B540,raw!A:K,6,0)</f>
        <v>0</v>
      </c>
      <c r="I540">
        <f>VLOOKUP(B540,raw!A:K,9,0)</f>
        <v>0</v>
      </c>
      <c r="J540">
        <f>VLOOKUP(B540,raw!A:K,8,0)</f>
        <v>0</v>
      </c>
      <c r="K540">
        <f>_xlfn.IFNA(VLOOKUP(B540,TDK!A:C,2,0),0)</f>
        <v>10</v>
      </c>
      <c r="L540">
        <f>_xlfn.IFNA(VLOOKUP(B540,TDK!A:C,3,0),0)</f>
        <v>0</v>
      </c>
      <c r="M540">
        <f>_xlfn.IFNA(VLOOKUP(B540,TDK!F:G,2,0),0)</f>
        <v>11</v>
      </c>
      <c r="N540">
        <f t="shared" si="8"/>
        <v>21</v>
      </c>
    </row>
    <row r="541" spans="1:14" x14ac:dyDescent="0.25">
      <c r="A541" t="s">
        <v>78</v>
      </c>
      <c r="B541" t="s">
        <v>1538</v>
      </c>
      <c r="C541">
        <f>VLOOKUP(B541,raw!A:K,11,0)</f>
        <v>99</v>
      </c>
      <c r="D541">
        <f>VLOOKUP(B541,raw!A:K,3,0)+VLOOKUP(B541,raw!A:K,7,0)</f>
        <v>99</v>
      </c>
      <c r="E541">
        <f>VLOOKUP(B541,raw!A:K,4,0)</f>
        <v>0</v>
      </c>
      <c r="F541">
        <f>VLOOKUP(B541,raw!A:K,5,0)</f>
        <v>0</v>
      </c>
      <c r="G541">
        <f>VLOOKUP(B541,raw!A:K,2,0)+VLOOKUP(B541,raw!A:K,10,0)</f>
        <v>0</v>
      </c>
      <c r="H541">
        <f>VLOOKUP(B541,raw!A:K,6,0)</f>
        <v>0</v>
      </c>
      <c r="I541">
        <f>VLOOKUP(B541,raw!A:K,9,0)</f>
        <v>0</v>
      </c>
      <c r="J541">
        <f>VLOOKUP(B541,raw!A:K,8,0)</f>
        <v>0</v>
      </c>
      <c r="K541">
        <f>_xlfn.IFNA(VLOOKUP(B541,TDK!A:C,2,0),0)</f>
        <v>12</v>
      </c>
      <c r="L541">
        <f>_xlfn.IFNA(VLOOKUP(B541,TDK!A:C,3,0),0)</f>
        <v>3</v>
      </c>
      <c r="M541">
        <f>_xlfn.IFNA(VLOOKUP(B541,TDK!F:G,2,0),0)</f>
        <v>5</v>
      </c>
      <c r="N541">
        <f t="shared" si="8"/>
        <v>20</v>
      </c>
    </row>
    <row r="542" spans="1:14" x14ac:dyDescent="0.25">
      <c r="A542" t="s">
        <v>79</v>
      </c>
      <c r="B542" t="s">
        <v>1539</v>
      </c>
      <c r="C542">
        <f>VLOOKUP(B542,raw!A:K,11,0)</f>
        <v>86</v>
      </c>
      <c r="D542">
        <f>VLOOKUP(B542,raw!A:K,3,0)+VLOOKUP(B542,raw!A:K,7,0)</f>
        <v>85</v>
      </c>
      <c r="E542">
        <f>VLOOKUP(B542,raw!A:K,4,0)</f>
        <v>0</v>
      </c>
      <c r="F542">
        <f>VLOOKUP(B542,raw!A:K,5,0)</f>
        <v>0</v>
      </c>
      <c r="G542">
        <f>VLOOKUP(B542,raw!A:K,2,0)+VLOOKUP(B542,raw!A:K,10,0)</f>
        <v>1</v>
      </c>
      <c r="H542">
        <f>VLOOKUP(B542,raw!A:K,6,0)</f>
        <v>0</v>
      </c>
      <c r="I542">
        <f>VLOOKUP(B542,raw!A:K,9,0)</f>
        <v>0</v>
      </c>
      <c r="J542">
        <f>VLOOKUP(B542,raw!A:K,8,0)</f>
        <v>0</v>
      </c>
      <c r="K542">
        <f>_xlfn.IFNA(VLOOKUP(B542,TDK!A:C,2,0),0)</f>
        <v>15</v>
      </c>
      <c r="L542">
        <f>_xlfn.IFNA(VLOOKUP(B542,TDK!A:C,3,0),0)</f>
        <v>2</v>
      </c>
      <c r="M542">
        <f>_xlfn.IFNA(VLOOKUP(B542,TDK!F:G,2,0),0)</f>
        <v>8</v>
      </c>
      <c r="N542">
        <f t="shared" si="8"/>
        <v>25</v>
      </c>
    </row>
    <row r="543" spans="1:14" x14ac:dyDescent="0.25">
      <c r="A543" t="s">
        <v>79</v>
      </c>
      <c r="B543" t="s">
        <v>1540</v>
      </c>
      <c r="C543">
        <f>VLOOKUP(B543,raw!A:K,11,0)</f>
        <v>61</v>
      </c>
      <c r="D543">
        <f>VLOOKUP(B543,raw!A:K,3,0)+VLOOKUP(B543,raw!A:K,7,0)</f>
        <v>18</v>
      </c>
      <c r="E543">
        <f>VLOOKUP(B543,raw!A:K,4,0)</f>
        <v>0</v>
      </c>
      <c r="F543">
        <f>VLOOKUP(B543,raw!A:K,5,0)</f>
        <v>0</v>
      </c>
      <c r="G543">
        <f>VLOOKUP(B543,raw!A:K,2,0)+VLOOKUP(B543,raw!A:K,10,0)</f>
        <v>1</v>
      </c>
      <c r="H543">
        <f>VLOOKUP(B543,raw!A:K,6,0)</f>
        <v>0</v>
      </c>
      <c r="I543">
        <f>VLOOKUP(B543,raw!A:K,9,0)</f>
        <v>42</v>
      </c>
      <c r="J543">
        <f>VLOOKUP(B543,raw!A:K,8,0)</f>
        <v>0</v>
      </c>
      <c r="K543">
        <f>_xlfn.IFNA(VLOOKUP(B543,TDK!A:C,2,0),0)</f>
        <v>7</v>
      </c>
      <c r="L543">
        <f>_xlfn.IFNA(VLOOKUP(B543,TDK!A:C,3,0),0)</f>
        <v>4</v>
      </c>
      <c r="M543">
        <f>_xlfn.IFNA(VLOOKUP(B543,TDK!F:G,2,0),0)</f>
        <v>2</v>
      </c>
      <c r="N543">
        <f t="shared" si="8"/>
        <v>13</v>
      </c>
    </row>
    <row r="544" spans="1:14" x14ac:dyDescent="0.25">
      <c r="A544" t="s">
        <v>79</v>
      </c>
      <c r="B544" t="s">
        <v>1541</v>
      </c>
      <c r="C544">
        <f>VLOOKUP(B544,raw!A:K,11,0)</f>
        <v>23</v>
      </c>
      <c r="D544">
        <f>VLOOKUP(B544,raw!A:K,3,0)+VLOOKUP(B544,raw!A:K,7,0)</f>
        <v>23</v>
      </c>
      <c r="E544">
        <f>VLOOKUP(B544,raw!A:K,4,0)</f>
        <v>0</v>
      </c>
      <c r="F544">
        <f>VLOOKUP(B544,raw!A:K,5,0)</f>
        <v>0</v>
      </c>
      <c r="G544">
        <f>VLOOKUP(B544,raw!A:K,2,0)+VLOOKUP(B544,raw!A:K,10,0)</f>
        <v>0</v>
      </c>
      <c r="H544">
        <f>VLOOKUP(B544,raw!A:K,6,0)</f>
        <v>0</v>
      </c>
      <c r="I544">
        <f>VLOOKUP(B544,raw!A:K,9,0)</f>
        <v>0</v>
      </c>
      <c r="J544">
        <f>VLOOKUP(B544,raw!A:K,8,0)</f>
        <v>0</v>
      </c>
      <c r="K544">
        <f>_xlfn.IFNA(VLOOKUP(B544,TDK!A:C,2,0),0)</f>
        <v>9</v>
      </c>
      <c r="L544">
        <f>_xlfn.IFNA(VLOOKUP(B544,TDK!A:C,3,0),0)</f>
        <v>0</v>
      </c>
      <c r="M544">
        <f>_xlfn.IFNA(VLOOKUP(B544,TDK!F:G,2,0),0)</f>
        <v>4</v>
      </c>
      <c r="N544">
        <f t="shared" si="8"/>
        <v>13</v>
      </c>
    </row>
    <row r="545" spans="1:14" x14ac:dyDescent="0.25">
      <c r="A545" t="s">
        <v>75</v>
      </c>
      <c r="B545" t="s">
        <v>1542</v>
      </c>
      <c r="C545">
        <f>VLOOKUP(B545,raw!A:K,11,0)</f>
        <v>122</v>
      </c>
      <c r="D545">
        <f>VLOOKUP(B545,raw!A:K,3,0)+VLOOKUP(B545,raw!A:K,7,0)</f>
        <v>116</v>
      </c>
      <c r="E545">
        <f>VLOOKUP(B545,raw!A:K,4,0)</f>
        <v>0</v>
      </c>
      <c r="F545">
        <f>VLOOKUP(B545,raw!A:K,5,0)</f>
        <v>0</v>
      </c>
      <c r="G545">
        <f>VLOOKUP(B545,raw!A:K,2,0)+VLOOKUP(B545,raw!A:K,10,0)</f>
        <v>5</v>
      </c>
      <c r="H545">
        <f>VLOOKUP(B545,raw!A:K,6,0)</f>
        <v>0</v>
      </c>
      <c r="I545">
        <f>VLOOKUP(B545,raw!A:K,9,0)</f>
        <v>1</v>
      </c>
      <c r="J545">
        <f>VLOOKUP(B545,raw!A:K,8,0)</f>
        <v>0</v>
      </c>
      <c r="K545">
        <f>_xlfn.IFNA(VLOOKUP(B545,TDK!A:C,2,0),0)</f>
        <v>34</v>
      </c>
      <c r="L545">
        <f>_xlfn.IFNA(VLOOKUP(B545,TDK!A:C,3,0),0)</f>
        <v>1</v>
      </c>
      <c r="M545">
        <f>_xlfn.IFNA(VLOOKUP(B545,TDK!F:G,2,0),0)</f>
        <v>9</v>
      </c>
      <c r="N545">
        <f t="shared" si="8"/>
        <v>44</v>
      </c>
    </row>
    <row r="546" spans="1:14" x14ac:dyDescent="0.25">
      <c r="A546" t="s">
        <v>79</v>
      </c>
      <c r="B546" t="s">
        <v>1543</v>
      </c>
      <c r="C546">
        <f>VLOOKUP(B546,raw!A:K,11,0)</f>
        <v>97</v>
      </c>
      <c r="D546">
        <f>VLOOKUP(B546,raw!A:K,3,0)+VLOOKUP(B546,raw!A:K,7,0)</f>
        <v>95</v>
      </c>
      <c r="E546">
        <f>VLOOKUP(B546,raw!A:K,4,0)</f>
        <v>0</v>
      </c>
      <c r="F546">
        <f>VLOOKUP(B546,raw!A:K,5,0)</f>
        <v>0</v>
      </c>
      <c r="G546">
        <f>VLOOKUP(B546,raw!A:K,2,0)+VLOOKUP(B546,raw!A:K,10,0)</f>
        <v>1</v>
      </c>
      <c r="H546">
        <f>VLOOKUP(B546,raw!A:K,6,0)</f>
        <v>0</v>
      </c>
      <c r="I546">
        <f>VLOOKUP(B546,raw!A:K,9,0)</f>
        <v>1</v>
      </c>
      <c r="J546">
        <f>VLOOKUP(B546,raw!A:K,8,0)</f>
        <v>0</v>
      </c>
      <c r="K546">
        <f>_xlfn.IFNA(VLOOKUP(B546,TDK!A:C,2,0),0)</f>
        <v>29</v>
      </c>
      <c r="L546">
        <f>_xlfn.IFNA(VLOOKUP(B546,TDK!A:C,3,0),0)</f>
        <v>2</v>
      </c>
      <c r="M546">
        <f>_xlfn.IFNA(VLOOKUP(B546,TDK!F:G,2,0),0)</f>
        <v>12</v>
      </c>
      <c r="N546">
        <f t="shared" si="8"/>
        <v>43</v>
      </c>
    </row>
    <row r="547" spans="1:14" x14ac:dyDescent="0.25">
      <c r="A547" t="s">
        <v>79</v>
      </c>
      <c r="B547" t="s">
        <v>1544</v>
      </c>
      <c r="C547">
        <f>VLOOKUP(B547,raw!A:K,11,0)</f>
        <v>100</v>
      </c>
      <c r="D547">
        <f>VLOOKUP(B547,raw!A:K,3,0)+VLOOKUP(B547,raw!A:K,7,0)</f>
        <v>100</v>
      </c>
      <c r="E547">
        <f>VLOOKUP(B547,raw!A:K,4,0)</f>
        <v>0</v>
      </c>
      <c r="F547">
        <f>VLOOKUP(B547,raw!A:K,5,0)</f>
        <v>0</v>
      </c>
      <c r="G547">
        <f>VLOOKUP(B547,raw!A:K,2,0)+VLOOKUP(B547,raw!A:K,10,0)</f>
        <v>0</v>
      </c>
      <c r="H547">
        <f>VLOOKUP(B547,raw!A:K,6,0)</f>
        <v>0</v>
      </c>
      <c r="I547">
        <f>VLOOKUP(B547,raw!A:K,9,0)</f>
        <v>0</v>
      </c>
      <c r="J547">
        <f>VLOOKUP(B547,raw!A:K,8,0)</f>
        <v>0</v>
      </c>
      <c r="K547">
        <f>_xlfn.IFNA(VLOOKUP(B547,TDK!A:C,2,0),0)</f>
        <v>24</v>
      </c>
      <c r="L547">
        <f>_xlfn.IFNA(VLOOKUP(B547,TDK!A:C,3,0),0)</f>
        <v>0</v>
      </c>
      <c r="M547">
        <f>_xlfn.IFNA(VLOOKUP(B547,TDK!F:G,2,0),0)</f>
        <v>13</v>
      </c>
      <c r="N547">
        <f t="shared" si="8"/>
        <v>37</v>
      </c>
    </row>
    <row r="548" spans="1:14" x14ac:dyDescent="0.25">
      <c r="A548" t="s">
        <v>79</v>
      </c>
      <c r="B548" t="s">
        <v>1545</v>
      </c>
      <c r="C548">
        <f>VLOOKUP(B548,raw!A:K,11,0)</f>
        <v>100</v>
      </c>
      <c r="D548">
        <f>VLOOKUP(B548,raw!A:K,3,0)+VLOOKUP(B548,raw!A:K,7,0)</f>
        <v>71</v>
      </c>
      <c r="E548">
        <f>VLOOKUP(B548,raw!A:K,4,0)</f>
        <v>0</v>
      </c>
      <c r="F548">
        <f>VLOOKUP(B548,raw!A:K,5,0)</f>
        <v>0</v>
      </c>
      <c r="G548">
        <f>VLOOKUP(B548,raw!A:K,2,0)+VLOOKUP(B548,raw!A:K,10,0)</f>
        <v>2</v>
      </c>
      <c r="H548">
        <f>VLOOKUP(B548,raw!A:K,6,0)</f>
        <v>0</v>
      </c>
      <c r="I548">
        <f>VLOOKUP(B548,raw!A:K,9,0)</f>
        <v>27</v>
      </c>
      <c r="J548">
        <f>VLOOKUP(B548,raw!A:K,8,0)</f>
        <v>0</v>
      </c>
      <c r="K548">
        <f>_xlfn.IFNA(VLOOKUP(B548,TDK!A:C,2,0),0)</f>
        <v>31</v>
      </c>
      <c r="L548">
        <f>_xlfn.IFNA(VLOOKUP(B548,TDK!A:C,3,0),0)</f>
        <v>2</v>
      </c>
      <c r="M548">
        <f>_xlfn.IFNA(VLOOKUP(B548,TDK!F:G,2,0),0)</f>
        <v>17</v>
      </c>
      <c r="N548">
        <f t="shared" si="8"/>
        <v>50</v>
      </c>
    </row>
    <row r="549" spans="1:14" x14ac:dyDescent="0.25">
      <c r="A549" t="s">
        <v>79</v>
      </c>
      <c r="B549" t="s">
        <v>1546</v>
      </c>
      <c r="C549">
        <f>VLOOKUP(B549,raw!A:K,11,0)</f>
        <v>56</v>
      </c>
      <c r="D549">
        <f>VLOOKUP(B549,raw!A:K,3,0)+VLOOKUP(B549,raw!A:K,7,0)</f>
        <v>33</v>
      </c>
      <c r="E549">
        <f>VLOOKUP(B549,raw!A:K,4,0)</f>
        <v>0</v>
      </c>
      <c r="F549">
        <f>VLOOKUP(B549,raw!A:K,5,0)</f>
        <v>0</v>
      </c>
      <c r="G549">
        <f>VLOOKUP(B549,raw!A:K,2,0)+VLOOKUP(B549,raw!A:K,10,0)</f>
        <v>0</v>
      </c>
      <c r="H549">
        <f>VLOOKUP(B549,raw!A:K,6,0)</f>
        <v>0</v>
      </c>
      <c r="I549">
        <f>VLOOKUP(B549,raw!A:K,9,0)</f>
        <v>23</v>
      </c>
      <c r="J549">
        <f>VLOOKUP(B549,raw!A:K,8,0)</f>
        <v>0</v>
      </c>
      <c r="K549">
        <f>_xlfn.IFNA(VLOOKUP(B549,TDK!A:C,2,0),0)</f>
        <v>14</v>
      </c>
      <c r="L549">
        <f>_xlfn.IFNA(VLOOKUP(B549,TDK!A:C,3,0),0)</f>
        <v>0</v>
      </c>
      <c r="M549">
        <f>_xlfn.IFNA(VLOOKUP(B549,TDK!F:G,2,0),0)</f>
        <v>6</v>
      </c>
      <c r="N549">
        <f t="shared" si="8"/>
        <v>20</v>
      </c>
    </row>
    <row r="550" spans="1:14" x14ac:dyDescent="0.25">
      <c r="A550" t="s">
        <v>79</v>
      </c>
      <c r="B550" t="s">
        <v>1547</v>
      </c>
      <c r="C550">
        <f>VLOOKUP(B550,raw!A:K,11,0)</f>
        <v>47</v>
      </c>
      <c r="D550">
        <f>VLOOKUP(B550,raw!A:K,3,0)+VLOOKUP(B550,raw!A:K,7,0)</f>
        <v>39</v>
      </c>
      <c r="E550">
        <f>VLOOKUP(B550,raw!A:K,4,0)</f>
        <v>0</v>
      </c>
      <c r="F550">
        <f>VLOOKUP(B550,raw!A:K,5,0)</f>
        <v>0</v>
      </c>
      <c r="G550">
        <f>VLOOKUP(B550,raw!A:K,2,0)+VLOOKUP(B550,raw!A:K,10,0)</f>
        <v>0</v>
      </c>
      <c r="H550">
        <f>VLOOKUP(B550,raw!A:K,6,0)</f>
        <v>0</v>
      </c>
      <c r="I550">
        <f>VLOOKUP(B550,raw!A:K,9,0)</f>
        <v>8</v>
      </c>
      <c r="J550">
        <f>VLOOKUP(B550,raw!A:K,8,0)</f>
        <v>0</v>
      </c>
      <c r="K550">
        <f>_xlfn.IFNA(VLOOKUP(B550,TDK!A:C,2,0),0)</f>
        <v>16</v>
      </c>
      <c r="L550">
        <f>_xlfn.IFNA(VLOOKUP(B550,TDK!A:C,3,0),0)</f>
        <v>2</v>
      </c>
      <c r="M550">
        <f>_xlfn.IFNA(VLOOKUP(B550,TDK!F:G,2,0),0)</f>
        <v>2</v>
      </c>
      <c r="N550">
        <f t="shared" si="8"/>
        <v>20</v>
      </c>
    </row>
    <row r="551" spans="1:14" x14ac:dyDescent="0.25">
      <c r="A551" t="s">
        <v>75</v>
      </c>
      <c r="B551" t="s">
        <v>1548</v>
      </c>
      <c r="C551">
        <f>VLOOKUP(B551,raw!A:K,11,0)</f>
        <v>43</v>
      </c>
      <c r="D551">
        <f>VLOOKUP(B551,raw!A:K,3,0)+VLOOKUP(B551,raw!A:K,7,0)</f>
        <v>9</v>
      </c>
      <c r="E551">
        <f>VLOOKUP(B551,raw!A:K,4,0)</f>
        <v>0</v>
      </c>
      <c r="F551">
        <f>VLOOKUP(B551,raw!A:K,5,0)</f>
        <v>0</v>
      </c>
      <c r="G551">
        <f>VLOOKUP(B551,raw!A:K,2,0)+VLOOKUP(B551,raw!A:K,10,0)</f>
        <v>0</v>
      </c>
      <c r="H551">
        <f>VLOOKUP(B551,raw!A:K,6,0)</f>
        <v>0</v>
      </c>
      <c r="I551">
        <f>VLOOKUP(B551,raw!A:K,9,0)</f>
        <v>34</v>
      </c>
      <c r="J551">
        <f>VLOOKUP(B551,raw!A:K,8,0)</f>
        <v>0</v>
      </c>
      <c r="K551">
        <f>_xlfn.IFNA(VLOOKUP(B551,TDK!A:C,2,0),0)</f>
        <v>3</v>
      </c>
      <c r="L551">
        <f>_xlfn.IFNA(VLOOKUP(B551,TDK!A:C,3,0),0)</f>
        <v>2</v>
      </c>
      <c r="M551">
        <f>_xlfn.IFNA(VLOOKUP(B551,TDK!F:G,2,0),0)</f>
        <v>1</v>
      </c>
      <c r="N551">
        <f t="shared" si="8"/>
        <v>6</v>
      </c>
    </row>
    <row r="552" spans="1:14" x14ac:dyDescent="0.25">
      <c r="A552" t="s">
        <v>977</v>
      </c>
      <c r="B552" t="s">
        <v>1549</v>
      </c>
      <c r="C552">
        <f>VLOOKUP(B552,raw!A:K,11,0)</f>
        <v>69</v>
      </c>
      <c r="D552">
        <f>VLOOKUP(B552,raw!A:K,3,0)+VLOOKUP(B552,raw!A:K,7,0)</f>
        <v>69</v>
      </c>
      <c r="E552">
        <f>VLOOKUP(B552,raw!A:K,4,0)</f>
        <v>0</v>
      </c>
      <c r="F552">
        <f>VLOOKUP(B552,raw!A:K,5,0)</f>
        <v>0</v>
      </c>
      <c r="G552">
        <f>VLOOKUP(B552,raw!A:K,2,0)+VLOOKUP(B552,raw!A:K,10,0)</f>
        <v>0</v>
      </c>
      <c r="H552">
        <f>VLOOKUP(B552,raw!A:K,6,0)</f>
        <v>0</v>
      </c>
      <c r="I552">
        <f>VLOOKUP(B552,raw!A:K,9,0)</f>
        <v>0</v>
      </c>
      <c r="J552">
        <f>VLOOKUP(B552,raw!A:K,8,0)</f>
        <v>0</v>
      </c>
      <c r="K552">
        <f>_xlfn.IFNA(VLOOKUP(B552,TDK!A:C,2,0),0)</f>
        <v>13</v>
      </c>
      <c r="L552">
        <f>_xlfn.IFNA(VLOOKUP(B552,TDK!A:C,3,0),0)</f>
        <v>0</v>
      </c>
      <c r="M552">
        <f>_xlfn.IFNA(VLOOKUP(B552,TDK!F:G,2,0),0)</f>
        <v>16</v>
      </c>
      <c r="N552">
        <f t="shared" si="8"/>
        <v>29</v>
      </c>
    </row>
    <row r="553" spans="1:14" x14ac:dyDescent="0.25">
      <c r="A553" t="s">
        <v>977</v>
      </c>
      <c r="B553" t="s">
        <v>1550</v>
      </c>
      <c r="C553">
        <f>VLOOKUP(B553,raw!A:K,11,0)</f>
        <v>71</v>
      </c>
      <c r="D553">
        <f>VLOOKUP(B553,raw!A:K,3,0)+VLOOKUP(B553,raw!A:K,7,0)</f>
        <v>69</v>
      </c>
      <c r="E553">
        <f>VLOOKUP(B553,raw!A:K,4,0)</f>
        <v>0</v>
      </c>
      <c r="F553">
        <f>VLOOKUP(B553,raw!A:K,5,0)</f>
        <v>0</v>
      </c>
      <c r="G553">
        <f>VLOOKUP(B553,raw!A:K,2,0)+VLOOKUP(B553,raw!A:K,10,0)</f>
        <v>0</v>
      </c>
      <c r="H553">
        <f>VLOOKUP(B553,raw!A:K,6,0)</f>
        <v>0</v>
      </c>
      <c r="I553">
        <f>VLOOKUP(B553,raw!A:K,9,0)</f>
        <v>2</v>
      </c>
      <c r="J553">
        <f>VLOOKUP(B553,raw!A:K,8,0)</f>
        <v>0</v>
      </c>
      <c r="K553">
        <f>_xlfn.IFNA(VLOOKUP(B553,TDK!A:C,2,0),0)</f>
        <v>14</v>
      </c>
      <c r="L553">
        <f>_xlfn.IFNA(VLOOKUP(B553,TDK!A:C,3,0),0)</f>
        <v>3</v>
      </c>
      <c r="M553">
        <f>_xlfn.IFNA(VLOOKUP(B553,TDK!F:G,2,0),0)</f>
        <v>3</v>
      </c>
      <c r="N553">
        <f t="shared" si="8"/>
        <v>20</v>
      </c>
    </row>
    <row r="554" spans="1:14" x14ac:dyDescent="0.25">
      <c r="A554" t="s">
        <v>977</v>
      </c>
      <c r="B554" t="s">
        <v>1551</v>
      </c>
      <c r="C554">
        <f>VLOOKUP(B554,raw!A:K,11,0)</f>
        <v>71</v>
      </c>
      <c r="D554">
        <f>VLOOKUP(B554,raw!A:K,3,0)+VLOOKUP(B554,raw!A:K,7,0)</f>
        <v>31</v>
      </c>
      <c r="E554">
        <f>VLOOKUP(B554,raw!A:K,4,0)</f>
        <v>0</v>
      </c>
      <c r="F554">
        <f>VLOOKUP(B554,raw!A:K,5,0)</f>
        <v>0</v>
      </c>
      <c r="G554">
        <f>VLOOKUP(B554,raw!A:K,2,0)+VLOOKUP(B554,raw!A:K,10,0)</f>
        <v>0</v>
      </c>
      <c r="H554">
        <f>VLOOKUP(B554,raw!A:K,6,0)</f>
        <v>0</v>
      </c>
      <c r="I554">
        <f>VLOOKUP(B554,raw!A:K,9,0)</f>
        <v>40</v>
      </c>
      <c r="J554">
        <f>VLOOKUP(B554,raw!A:K,8,0)</f>
        <v>0</v>
      </c>
      <c r="K554">
        <f>_xlfn.IFNA(VLOOKUP(B554,TDK!A:C,2,0),0)</f>
        <v>13</v>
      </c>
      <c r="L554">
        <f>_xlfn.IFNA(VLOOKUP(B554,TDK!A:C,3,0),0)</f>
        <v>2</v>
      </c>
      <c r="M554">
        <f>_xlfn.IFNA(VLOOKUP(B554,TDK!F:G,2,0),0)</f>
        <v>1</v>
      </c>
      <c r="N554">
        <f t="shared" si="8"/>
        <v>16</v>
      </c>
    </row>
    <row r="555" spans="1:14" x14ac:dyDescent="0.25">
      <c r="A555" t="s">
        <v>977</v>
      </c>
      <c r="B555" t="s">
        <v>1552</v>
      </c>
      <c r="C555">
        <f>VLOOKUP(B555,raw!A:K,11,0)</f>
        <v>62</v>
      </c>
      <c r="D555">
        <f>VLOOKUP(B555,raw!A:K,3,0)+VLOOKUP(B555,raw!A:K,7,0)</f>
        <v>31</v>
      </c>
      <c r="E555">
        <f>VLOOKUP(B555,raw!A:K,4,0)</f>
        <v>0</v>
      </c>
      <c r="F555">
        <f>VLOOKUP(B555,raw!A:K,5,0)</f>
        <v>0</v>
      </c>
      <c r="G555">
        <f>VLOOKUP(B555,raw!A:K,2,0)+VLOOKUP(B555,raw!A:K,10,0)</f>
        <v>0</v>
      </c>
      <c r="H555">
        <f>VLOOKUP(B555,raw!A:K,6,0)</f>
        <v>0</v>
      </c>
      <c r="I555">
        <f>VLOOKUP(B555,raw!A:K,9,0)</f>
        <v>31</v>
      </c>
      <c r="J555">
        <f>VLOOKUP(B555,raw!A:K,8,0)</f>
        <v>0</v>
      </c>
      <c r="K555">
        <f>_xlfn.IFNA(VLOOKUP(B555,TDK!A:C,2,0),0)</f>
        <v>16</v>
      </c>
      <c r="L555">
        <f>_xlfn.IFNA(VLOOKUP(B555,TDK!A:C,3,0),0)</f>
        <v>0</v>
      </c>
      <c r="M555">
        <f>_xlfn.IFNA(VLOOKUP(B555,TDK!F:G,2,0),0)</f>
        <v>10</v>
      </c>
      <c r="N555">
        <f t="shared" si="8"/>
        <v>26</v>
      </c>
    </row>
    <row r="556" spans="1:14" x14ac:dyDescent="0.25">
      <c r="A556" t="s">
        <v>977</v>
      </c>
      <c r="B556" t="s">
        <v>1553</v>
      </c>
      <c r="C556">
        <f>VLOOKUP(B556,raw!A:K,11,0)</f>
        <v>147</v>
      </c>
      <c r="D556">
        <f>VLOOKUP(B556,raw!A:K,3,0)+VLOOKUP(B556,raw!A:K,7,0)</f>
        <v>115</v>
      </c>
      <c r="E556">
        <f>VLOOKUP(B556,raw!A:K,4,0)</f>
        <v>0</v>
      </c>
      <c r="F556">
        <f>VLOOKUP(B556,raw!A:K,5,0)</f>
        <v>0</v>
      </c>
      <c r="G556">
        <f>VLOOKUP(B556,raw!A:K,2,0)+VLOOKUP(B556,raw!A:K,10,0)</f>
        <v>0</v>
      </c>
      <c r="H556">
        <f>VLOOKUP(B556,raw!A:K,6,0)</f>
        <v>0</v>
      </c>
      <c r="I556">
        <f>VLOOKUP(B556,raw!A:K,9,0)</f>
        <v>32</v>
      </c>
      <c r="J556">
        <f>VLOOKUP(B556,raw!A:K,8,0)</f>
        <v>0</v>
      </c>
      <c r="K556">
        <f>_xlfn.IFNA(VLOOKUP(B556,TDK!A:C,2,0),0)</f>
        <v>15</v>
      </c>
      <c r="L556">
        <f>_xlfn.IFNA(VLOOKUP(B556,TDK!A:C,3,0),0)</f>
        <v>6</v>
      </c>
      <c r="M556">
        <f>_xlfn.IFNA(VLOOKUP(B556,TDK!F:G,2,0),0)</f>
        <v>15</v>
      </c>
      <c r="N556">
        <f t="shared" si="8"/>
        <v>36</v>
      </c>
    </row>
    <row r="557" spans="1:14" x14ac:dyDescent="0.25">
      <c r="A557" t="s">
        <v>977</v>
      </c>
      <c r="B557" t="s">
        <v>1554</v>
      </c>
      <c r="C557">
        <f>VLOOKUP(B557,raw!A:K,11,0)</f>
        <v>45</v>
      </c>
      <c r="D557">
        <f>VLOOKUP(B557,raw!A:K,3,0)+VLOOKUP(B557,raw!A:K,7,0)</f>
        <v>45</v>
      </c>
      <c r="E557">
        <f>VLOOKUP(B557,raw!A:K,4,0)</f>
        <v>0</v>
      </c>
      <c r="F557">
        <f>VLOOKUP(B557,raw!A:K,5,0)</f>
        <v>0</v>
      </c>
      <c r="G557">
        <f>VLOOKUP(B557,raw!A:K,2,0)+VLOOKUP(B557,raw!A:K,10,0)</f>
        <v>0</v>
      </c>
      <c r="H557">
        <f>VLOOKUP(B557,raw!A:K,6,0)</f>
        <v>0</v>
      </c>
      <c r="I557">
        <f>VLOOKUP(B557,raw!A:K,9,0)</f>
        <v>0</v>
      </c>
      <c r="J557">
        <f>VLOOKUP(B557,raw!A:K,8,0)</f>
        <v>0</v>
      </c>
      <c r="K557">
        <f>_xlfn.IFNA(VLOOKUP(B557,TDK!A:C,2,0),0)</f>
        <v>5</v>
      </c>
      <c r="L557">
        <f>_xlfn.IFNA(VLOOKUP(B557,TDK!A:C,3,0),0)</f>
        <v>3</v>
      </c>
      <c r="M557">
        <f>_xlfn.IFNA(VLOOKUP(B557,TDK!F:G,2,0),0)</f>
        <v>1</v>
      </c>
      <c r="N557">
        <f t="shared" si="8"/>
        <v>9</v>
      </c>
    </row>
    <row r="558" spans="1:14" x14ac:dyDescent="0.25">
      <c r="A558" t="s">
        <v>977</v>
      </c>
      <c r="B558" t="s">
        <v>1555</v>
      </c>
      <c r="C558">
        <f>VLOOKUP(B558,raw!A:K,11,0)</f>
        <v>92</v>
      </c>
      <c r="D558">
        <f>VLOOKUP(B558,raw!A:K,3,0)+VLOOKUP(B558,raw!A:K,7,0)</f>
        <v>74</v>
      </c>
      <c r="E558">
        <f>VLOOKUP(B558,raw!A:K,4,0)</f>
        <v>0</v>
      </c>
      <c r="F558">
        <f>VLOOKUP(B558,raw!A:K,5,0)</f>
        <v>0</v>
      </c>
      <c r="G558">
        <f>VLOOKUP(B558,raw!A:K,2,0)+VLOOKUP(B558,raw!A:K,10,0)</f>
        <v>0</v>
      </c>
      <c r="H558">
        <f>VLOOKUP(B558,raw!A:K,6,0)</f>
        <v>0</v>
      </c>
      <c r="I558">
        <f>VLOOKUP(B558,raw!A:K,9,0)</f>
        <v>18</v>
      </c>
      <c r="J558">
        <f>VLOOKUP(B558,raw!A:K,8,0)</f>
        <v>0</v>
      </c>
      <c r="K558">
        <f>_xlfn.IFNA(VLOOKUP(B558,TDK!A:C,2,0),0)</f>
        <v>14</v>
      </c>
      <c r="L558">
        <f>_xlfn.IFNA(VLOOKUP(B558,TDK!A:C,3,0),0)</f>
        <v>1</v>
      </c>
      <c r="M558">
        <f>_xlfn.IFNA(VLOOKUP(B558,TDK!F:G,2,0),0)</f>
        <v>12</v>
      </c>
      <c r="N558">
        <f t="shared" si="8"/>
        <v>27</v>
      </c>
    </row>
    <row r="559" spans="1:14" x14ac:dyDescent="0.25">
      <c r="A559" t="s">
        <v>977</v>
      </c>
      <c r="B559" t="s">
        <v>1556</v>
      </c>
      <c r="C559">
        <f>VLOOKUP(B559,raw!A:K,11,0)</f>
        <v>91</v>
      </c>
      <c r="D559">
        <f>VLOOKUP(B559,raw!A:K,3,0)+VLOOKUP(B559,raw!A:K,7,0)</f>
        <v>50</v>
      </c>
      <c r="E559">
        <f>VLOOKUP(B559,raw!A:K,4,0)</f>
        <v>0</v>
      </c>
      <c r="F559">
        <f>VLOOKUP(B559,raw!A:K,5,0)</f>
        <v>0</v>
      </c>
      <c r="G559">
        <f>VLOOKUP(B559,raw!A:K,2,0)+VLOOKUP(B559,raw!A:K,10,0)</f>
        <v>0</v>
      </c>
      <c r="H559">
        <f>VLOOKUP(B559,raw!A:K,6,0)</f>
        <v>0</v>
      </c>
      <c r="I559">
        <f>VLOOKUP(B559,raw!A:K,9,0)</f>
        <v>41</v>
      </c>
      <c r="J559">
        <f>VLOOKUP(B559,raw!A:K,8,0)</f>
        <v>0</v>
      </c>
      <c r="K559">
        <f>_xlfn.IFNA(VLOOKUP(B559,TDK!A:C,2,0),0)</f>
        <v>17</v>
      </c>
      <c r="L559">
        <f>_xlfn.IFNA(VLOOKUP(B559,TDK!A:C,3,0),0)</f>
        <v>2</v>
      </c>
      <c r="M559">
        <f>_xlfn.IFNA(VLOOKUP(B559,TDK!F:G,2,0),0)</f>
        <v>7</v>
      </c>
      <c r="N559">
        <f t="shared" si="8"/>
        <v>26</v>
      </c>
    </row>
    <row r="560" spans="1:14" x14ac:dyDescent="0.25">
      <c r="A560" t="s">
        <v>81</v>
      </c>
      <c r="B560" t="s">
        <v>1557</v>
      </c>
      <c r="C560">
        <f>VLOOKUP(B560,raw!A:K,11,0)</f>
        <v>76</v>
      </c>
      <c r="D560">
        <f>VLOOKUP(B560,raw!A:K,3,0)+VLOOKUP(B560,raw!A:K,7,0)</f>
        <v>75</v>
      </c>
      <c r="E560">
        <f>VLOOKUP(B560,raw!A:K,4,0)</f>
        <v>0</v>
      </c>
      <c r="F560">
        <f>VLOOKUP(B560,raw!A:K,5,0)</f>
        <v>0</v>
      </c>
      <c r="G560">
        <f>VLOOKUP(B560,raw!A:K,2,0)+VLOOKUP(B560,raw!A:K,10,0)</f>
        <v>1</v>
      </c>
      <c r="H560">
        <f>VLOOKUP(B560,raw!A:K,6,0)</f>
        <v>0</v>
      </c>
      <c r="I560">
        <f>VLOOKUP(B560,raw!A:K,9,0)</f>
        <v>0</v>
      </c>
      <c r="J560">
        <f>VLOOKUP(B560,raw!A:K,8,0)</f>
        <v>0</v>
      </c>
      <c r="K560">
        <f>_xlfn.IFNA(VLOOKUP(B560,TDK!A:C,2,0),0)</f>
        <v>15</v>
      </c>
      <c r="L560">
        <f>_xlfn.IFNA(VLOOKUP(B560,TDK!A:C,3,0),0)</f>
        <v>0</v>
      </c>
      <c r="M560">
        <f>_xlfn.IFNA(VLOOKUP(B560,TDK!F:G,2,0),0)</f>
        <v>4</v>
      </c>
      <c r="N560">
        <f t="shared" si="8"/>
        <v>19</v>
      </c>
    </row>
    <row r="561" spans="1:14" x14ac:dyDescent="0.25">
      <c r="A561" t="s">
        <v>81</v>
      </c>
      <c r="B561" t="s">
        <v>1558</v>
      </c>
      <c r="C561">
        <f>VLOOKUP(B561,raw!A:K,11,0)</f>
        <v>45</v>
      </c>
      <c r="D561">
        <f>VLOOKUP(B561,raw!A:K,3,0)+VLOOKUP(B561,raw!A:K,7,0)</f>
        <v>40</v>
      </c>
      <c r="E561">
        <f>VLOOKUP(B561,raw!A:K,4,0)</f>
        <v>0</v>
      </c>
      <c r="F561">
        <f>VLOOKUP(B561,raw!A:K,5,0)</f>
        <v>0</v>
      </c>
      <c r="G561">
        <f>VLOOKUP(B561,raw!A:K,2,0)+VLOOKUP(B561,raw!A:K,10,0)</f>
        <v>4</v>
      </c>
      <c r="H561">
        <f>VLOOKUP(B561,raw!A:K,6,0)</f>
        <v>0</v>
      </c>
      <c r="I561">
        <f>VLOOKUP(B561,raw!A:K,9,0)</f>
        <v>1</v>
      </c>
      <c r="J561">
        <f>VLOOKUP(B561,raw!A:K,8,0)</f>
        <v>0</v>
      </c>
      <c r="K561">
        <f>_xlfn.IFNA(VLOOKUP(B561,TDK!A:C,2,0),0)</f>
        <v>9</v>
      </c>
      <c r="L561">
        <f>_xlfn.IFNA(VLOOKUP(B561,TDK!A:C,3,0),0)</f>
        <v>1</v>
      </c>
      <c r="M561">
        <f>_xlfn.IFNA(VLOOKUP(B561,TDK!F:G,2,0),0)</f>
        <v>1</v>
      </c>
      <c r="N561">
        <f t="shared" si="8"/>
        <v>11</v>
      </c>
    </row>
    <row r="562" spans="1:14" x14ac:dyDescent="0.25">
      <c r="A562" t="s">
        <v>81</v>
      </c>
      <c r="B562" t="s">
        <v>1559</v>
      </c>
      <c r="C562">
        <f>VLOOKUP(B562,raw!A:K,11,0)</f>
        <v>64</v>
      </c>
      <c r="D562">
        <f>VLOOKUP(B562,raw!A:K,3,0)+VLOOKUP(B562,raw!A:K,7,0)</f>
        <v>26</v>
      </c>
      <c r="E562">
        <f>VLOOKUP(B562,raw!A:K,4,0)</f>
        <v>0</v>
      </c>
      <c r="F562">
        <f>VLOOKUP(B562,raw!A:K,5,0)</f>
        <v>0</v>
      </c>
      <c r="G562">
        <f>VLOOKUP(B562,raw!A:K,2,0)+VLOOKUP(B562,raw!A:K,10,0)</f>
        <v>18</v>
      </c>
      <c r="H562">
        <f>VLOOKUP(B562,raw!A:K,6,0)</f>
        <v>0</v>
      </c>
      <c r="I562">
        <f>VLOOKUP(B562,raw!A:K,9,0)</f>
        <v>20</v>
      </c>
      <c r="J562">
        <f>VLOOKUP(B562,raw!A:K,8,0)</f>
        <v>0</v>
      </c>
      <c r="K562">
        <f>_xlfn.IFNA(VLOOKUP(B562,TDK!A:C,2,0),0)</f>
        <v>17</v>
      </c>
      <c r="L562">
        <f>_xlfn.IFNA(VLOOKUP(B562,TDK!A:C,3,0),0)</f>
        <v>0</v>
      </c>
      <c r="M562">
        <f>_xlfn.IFNA(VLOOKUP(B562,TDK!F:G,2,0),0)</f>
        <v>1</v>
      </c>
      <c r="N562">
        <f t="shared" si="8"/>
        <v>18</v>
      </c>
    </row>
    <row r="563" spans="1:14" x14ac:dyDescent="0.25">
      <c r="A563" t="s">
        <v>76</v>
      </c>
      <c r="B563" t="s">
        <v>1560</v>
      </c>
      <c r="C563">
        <f>VLOOKUP(B563,raw!A:K,11,0)</f>
        <v>85</v>
      </c>
      <c r="D563">
        <f>VLOOKUP(B563,raw!A:K,3,0)+VLOOKUP(B563,raw!A:K,7,0)</f>
        <v>39</v>
      </c>
      <c r="E563">
        <f>VLOOKUP(B563,raw!A:K,4,0)</f>
        <v>0</v>
      </c>
      <c r="F563">
        <f>VLOOKUP(B563,raw!A:K,5,0)</f>
        <v>0</v>
      </c>
      <c r="G563">
        <f>VLOOKUP(B563,raw!A:K,2,0)+VLOOKUP(B563,raw!A:K,10,0)</f>
        <v>0</v>
      </c>
      <c r="H563">
        <f>VLOOKUP(B563,raw!A:K,6,0)</f>
        <v>0</v>
      </c>
      <c r="I563">
        <f>VLOOKUP(B563,raw!A:K,9,0)</f>
        <v>46</v>
      </c>
      <c r="J563">
        <f>VLOOKUP(B563,raw!A:K,8,0)</f>
        <v>0</v>
      </c>
      <c r="K563">
        <f>_xlfn.IFNA(VLOOKUP(B563,TDK!A:C,2,0),0)</f>
        <v>17</v>
      </c>
      <c r="L563">
        <f>_xlfn.IFNA(VLOOKUP(B563,TDK!A:C,3,0),0)</f>
        <v>2</v>
      </c>
      <c r="M563">
        <f>_xlfn.IFNA(VLOOKUP(B563,TDK!F:G,2,0),0)</f>
        <v>6</v>
      </c>
      <c r="N563">
        <f t="shared" si="8"/>
        <v>25</v>
      </c>
    </row>
    <row r="564" spans="1:14" x14ac:dyDescent="0.25">
      <c r="A564" t="s">
        <v>76</v>
      </c>
      <c r="B564" t="s">
        <v>1561</v>
      </c>
      <c r="C564">
        <f>VLOOKUP(B564,raw!A:K,11,0)</f>
        <v>61</v>
      </c>
      <c r="D564">
        <f>VLOOKUP(B564,raw!A:K,3,0)+VLOOKUP(B564,raw!A:K,7,0)</f>
        <v>61</v>
      </c>
      <c r="E564">
        <f>VLOOKUP(B564,raw!A:K,4,0)</f>
        <v>0</v>
      </c>
      <c r="F564">
        <f>VLOOKUP(B564,raw!A:K,5,0)</f>
        <v>0</v>
      </c>
      <c r="G564">
        <f>VLOOKUP(B564,raw!A:K,2,0)+VLOOKUP(B564,raw!A:K,10,0)</f>
        <v>0</v>
      </c>
      <c r="H564">
        <f>VLOOKUP(B564,raw!A:K,6,0)</f>
        <v>0</v>
      </c>
      <c r="I564">
        <f>VLOOKUP(B564,raw!A:K,9,0)</f>
        <v>0</v>
      </c>
      <c r="J564">
        <f>VLOOKUP(B564,raw!A:K,8,0)</f>
        <v>0</v>
      </c>
      <c r="K564">
        <f>_xlfn.IFNA(VLOOKUP(B564,TDK!A:C,2,0),0)</f>
        <v>19</v>
      </c>
      <c r="L564">
        <f>_xlfn.IFNA(VLOOKUP(B564,TDK!A:C,3,0),0)</f>
        <v>0</v>
      </c>
      <c r="M564">
        <f>_xlfn.IFNA(VLOOKUP(B564,TDK!F:G,2,0),0)</f>
        <v>6</v>
      </c>
      <c r="N564">
        <f t="shared" si="8"/>
        <v>25</v>
      </c>
    </row>
    <row r="565" spans="1:14" x14ac:dyDescent="0.25">
      <c r="A565" t="s">
        <v>76</v>
      </c>
      <c r="B565" t="s">
        <v>1562</v>
      </c>
      <c r="C565">
        <f>VLOOKUP(B565,raw!A:K,11,0)</f>
        <v>65</v>
      </c>
      <c r="D565">
        <f>VLOOKUP(B565,raw!A:K,3,0)+VLOOKUP(B565,raw!A:K,7,0)</f>
        <v>24</v>
      </c>
      <c r="E565">
        <f>VLOOKUP(B565,raw!A:K,4,0)</f>
        <v>0</v>
      </c>
      <c r="F565">
        <f>VLOOKUP(B565,raw!A:K,5,0)</f>
        <v>0</v>
      </c>
      <c r="G565">
        <f>VLOOKUP(B565,raw!A:K,2,0)+VLOOKUP(B565,raw!A:K,10,0)</f>
        <v>0</v>
      </c>
      <c r="H565">
        <f>VLOOKUP(B565,raw!A:K,6,0)</f>
        <v>0</v>
      </c>
      <c r="I565">
        <f>VLOOKUP(B565,raw!A:K,9,0)</f>
        <v>41</v>
      </c>
      <c r="J565">
        <f>VLOOKUP(B565,raw!A:K,8,0)</f>
        <v>0</v>
      </c>
      <c r="K565">
        <f>_xlfn.IFNA(VLOOKUP(B565,TDK!A:C,2,0),0)</f>
        <v>10</v>
      </c>
      <c r="L565">
        <f>_xlfn.IFNA(VLOOKUP(B565,TDK!A:C,3,0),0)</f>
        <v>1</v>
      </c>
      <c r="M565">
        <f>_xlfn.IFNA(VLOOKUP(B565,TDK!F:G,2,0),0)</f>
        <v>6</v>
      </c>
      <c r="N565">
        <f t="shared" si="8"/>
        <v>17</v>
      </c>
    </row>
    <row r="566" spans="1:14" x14ac:dyDescent="0.25">
      <c r="A566" t="s">
        <v>81</v>
      </c>
      <c r="B566" t="s">
        <v>1563</v>
      </c>
      <c r="C566">
        <f>VLOOKUP(B566,raw!A:K,11,0)</f>
        <v>87</v>
      </c>
      <c r="D566">
        <f>VLOOKUP(B566,raw!A:K,3,0)+VLOOKUP(B566,raw!A:K,7,0)</f>
        <v>67</v>
      </c>
      <c r="E566">
        <f>VLOOKUP(B566,raw!A:K,4,0)</f>
        <v>0</v>
      </c>
      <c r="F566">
        <f>VLOOKUP(B566,raw!A:K,5,0)</f>
        <v>0</v>
      </c>
      <c r="G566">
        <f>VLOOKUP(B566,raw!A:K,2,0)+VLOOKUP(B566,raw!A:K,10,0)</f>
        <v>20</v>
      </c>
      <c r="H566">
        <f>VLOOKUP(B566,raw!A:K,6,0)</f>
        <v>0</v>
      </c>
      <c r="I566">
        <f>VLOOKUP(B566,raw!A:K,9,0)</f>
        <v>0</v>
      </c>
      <c r="J566">
        <f>VLOOKUP(B566,raw!A:K,8,0)</f>
        <v>0</v>
      </c>
      <c r="K566">
        <f>_xlfn.IFNA(VLOOKUP(B566,TDK!A:C,2,0),0)</f>
        <v>17</v>
      </c>
      <c r="L566">
        <f>_xlfn.IFNA(VLOOKUP(B566,TDK!A:C,3,0),0)</f>
        <v>4</v>
      </c>
      <c r="M566">
        <f>_xlfn.IFNA(VLOOKUP(B566,TDK!F:G,2,0),0)</f>
        <v>5</v>
      </c>
      <c r="N566">
        <f t="shared" si="8"/>
        <v>26</v>
      </c>
    </row>
    <row r="567" spans="1:14" x14ac:dyDescent="0.25">
      <c r="A567" t="s">
        <v>81</v>
      </c>
      <c r="B567" t="s">
        <v>1564</v>
      </c>
      <c r="C567">
        <f>VLOOKUP(B567,raw!A:K,11,0)</f>
        <v>53</v>
      </c>
      <c r="D567">
        <f>VLOOKUP(B567,raw!A:K,3,0)+VLOOKUP(B567,raw!A:K,7,0)</f>
        <v>44</v>
      </c>
      <c r="E567">
        <f>VLOOKUP(B567,raw!A:K,4,0)</f>
        <v>0</v>
      </c>
      <c r="F567">
        <f>VLOOKUP(B567,raw!A:K,5,0)</f>
        <v>0</v>
      </c>
      <c r="G567">
        <f>VLOOKUP(B567,raw!A:K,2,0)+VLOOKUP(B567,raw!A:K,10,0)</f>
        <v>3</v>
      </c>
      <c r="H567">
        <f>VLOOKUP(B567,raw!A:K,6,0)</f>
        <v>0</v>
      </c>
      <c r="I567">
        <f>VLOOKUP(B567,raw!A:K,9,0)</f>
        <v>6</v>
      </c>
      <c r="J567">
        <f>VLOOKUP(B567,raw!A:K,8,0)</f>
        <v>0</v>
      </c>
      <c r="K567">
        <f>_xlfn.IFNA(VLOOKUP(B567,TDK!A:C,2,0),0)</f>
        <v>13</v>
      </c>
      <c r="L567">
        <f>_xlfn.IFNA(VLOOKUP(B567,TDK!A:C,3,0),0)</f>
        <v>1</v>
      </c>
      <c r="M567">
        <f>_xlfn.IFNA(VLOOKUP(B567,TDK!F:G,2,0),0)</f>
        <v>1</v>
      </c>
      <c r="N567">
        <f t="shared" si="8"/>
        <v>15</v>
      </c>
    </row>
    <row r="568" spans="1:14" x14ac:dyDescent="0.25">
      <c r="A568" t="s">
        <v>81</v>
      </c>
      <c r="B568" t="s">
        <v>1565</v>
      </c>
      <c r="C568">
        <f>VLOOKUP(B568,raw!A:K,11,0)</f>
        <v>45</v>
      </c>
      <c r="D568">
        <f>VLOOKUP(B568,raw!A:K,3,0)+VLOOKUP(B568,raw!A:K,7,0)</f>
        <v>26</v>
      </c>
      <c r="E568">
        <f>VLOOKUP(B568,raw!A:K,4,0)</f>
        <v>0</v>
      </c>
      <c r="F568">
        <f>VLOOKUP(B568,raw!A:K,5,0)</f>
        <v>0</v>
      </c>
      <c r="G568">
        <f>VLOOKUP(B568,raw!A:K,2,0)+VLOOKUP(B568,raw!A:K,10,0)</f>
        <v>11</v>
      </c>
      <c r="H568">
        <f>VLOOKUP(B568,raw!A:K,6,0)</f>
        <v>0</v>
      </c>
      <c r="I568">
        <f>VLOOKUP(B568,raw!A:K,9,0)</f>
        <v>8</v>
      </c>
      <c r="J568">
        <f>VLOOKUP(B568,raw!A:K,8,0)</f>
        <v>0</v>
      </c>
      <c r="K568">
        <f>_xlfn.IFNA(VLOOKUP(B568,TDK!A:C,2,0),0)</f>
        <v>11</v>
      </c>
      <c r="L568">
        <f>_xlfn.IFNA(VLOOKUP(B568,TDK!A:C,3,0),0)</f>
        <v>0</v>
      </c>
      <c r="M568">
        <f>_xlfn.IFNA(VLOOKUP(B568,TDK!F:G,2,0),0)</f>
        <v>2</v>
      </c>
      <c r="N568">
        <f t="shared" si="8"/>
        <v>13</v>
      </c>
    </row>
    <row r="569" spans="1:14" x14ac:dyDescent="0.25">
      <c r="A569" t="s">
        <v>81</v>
      </c>
      <c r="B569" t="s">
        <v>1566</v>
      </c>
      <c r="C569">
        <f>VLOOKUP(B569,raw!A:K,11,0)</f>
        <v>43</v>
      </c>
      <c r="D569">
        <f>VLOOKUP(B569,raw!A:K,3,0)+VLOOKUP(B569,raw!A:K,7,0)</f>
        <v>29</v>
      </c>
      <c r="E569">
        <f>VLOOKUP(B569,raw!A:K,4,0)</f>
        <v>0</v>
      </c>
      <c r="F569">
        <f>VLOOKUP(B569,raw!A:K,5,0)</f>
        <v>0</v>
      </c>
      <c r="G569">
        <f>VLOOKUP(B569,raw!A:K,2,0)+VLOOKUP(B569,raw!A:K,10,0)</f>
        <v>9</v>
      </c>
      <c r="H569">
        <f>VLOOKUP(B569,raw!A:K,6,0)</f>
        <v>0</v>
      </c>
      <c r="I569">
        <f>VLOOKUP(B569,raw!A:K,9,0)</f>
        <v>5</v>
      </c>
      <c r="J569">
        <f>VLOOKUP(B569,raw!A:K,8,0)</f>
        <v>0</v>
      </c>
      <c r="K569">
        <f>_xlfn.IFNA(VLOOKUP(B569,TDK!A:C,2,0),0)</f>
        <v>8</v>
      </c>
      <c r="L569">
        <f>_xlfn.IFNA(VLOOKUP(B569,TDK!A:C,3,0),0)</f>
        <v>1</v>
      </c>
      <c r="M569">
        <f>_xlfn.IFNA(VLOOKUP(B569,TDK!F:G,2,0),0)</f>
        <v>1</v>
      </c>
      <c r="N569">
        <f t="shared" si="8"/>
        <v>10</v>
      </c>
    </row>
    <row r="570" spans="1:14" x14ac:dyDescent="0.25">
      <c r="A570" t="s">
        <v>81</v>
      </c>
      <c r="B570" t="s">
        <v>1567</v>
      </c>
      <c r="C570">
        <f>VLOOKUP(B570,raw!A:K,11,0)</f>
        <v>93</v>
      </c>
      <c r="D570">
        <f>VLOOKUP(B570,raw!A:K,3,0)+VLOOKUP(B570,raw!A:K,7,0)</f>
        <v>59</v>
      </c>
      <c r="E570">
        <f>VLOOKUP(B570,raw!A:K,4,0)</f>
        <v>0</v>
      </c>
      <c r="F570">
        <f>VLOOKUP(B570,raw!A:K,5,0)</f>
        <v>0</v>
      </c>
      <c r="G570">
        <f>VLOOKUP(B570,raw!A:K,2,0)+VLOOKUP(B570,raw!A:K,10,0)</f>
        <v>7</v>
      </c>
      <c r="H570">
        <f>VLOOKUP(B570,raw!A:K,6,0)</f>
        <v>0</v>
      </c>
      <c r="I570">
        <f>VLOOKUP(B570,raw!A:K,9,0)</f>
        <v>27</v>
      </c>
      <c r="J570">
        <f>VLOOKUP(B570,raw!A:K,8,0)</f>
        <v>0</v>
      </c>
      <c r="K570">
        <f>_xlfn.IFNA(VLOOKUP(B570,TDK!A:C,2,0),0)</f>
        <v>12</v>
      </c>
      <c r="L570">
        <f>_xlfn.IFNA(VLOOKUP(B570,TDK!A:C,3,0),0)</f>
        <v>3</v>
      </c>
      <c r="M570">
        <f>_xlfn.IFNA(VLOOKUP(B570,TDK!F:G,2,0),0)</f>
        <v>25</v>
      </c>
      <c r="N570">
        <f t="shared" si="8"/>
        <v>40</v>
      </c>
    </row>
    <row r="571" spans="1:14" x14ac:dyDescent="0.25">
      <c r="A571" t="s">
        <v>81</v>
      </c>
      <c r="B571" t="s">
        <v>1568</v>
      </c>
      <c r="C571">
        <f>VLOOKUP(B571,raw!A:K,11,0)</f>
        <v>62</v>
      </c>
      <c r="D571">
        <f>VLOOKUP(B571,raw!A:K,3,0)+VLOOKUP(B571,raw!A:K,7,0)</f>
        <v>45</v>
      </c>
      <c r="E571">
        <f>VLOOKUP(B571,raw!A:K,4,0)</f>
        <v>0</v>
      </c>
      <c r="F571">
        <f>VLOOKUP(B571,raw!A:K,5,0)</f>
        <v>0</v>
      </c>
      <c r="G571">
        <f>VLOOKUP(B571,raw!A:K,2,0)+VLOOKUP(B571,raw!A:K,10,0)</f>
        <v>15</v>
      </c>
      <c r="H571">
        <f>VLOOKUP(B571,raw!A:K,6,0)</f>
        <v>0</v>
      </c>
      <c r="I571">
        <f>VLOOKUP(B571,raw!A:K,9,0)</f>
        <v>2</v>
      </c>
      <c r="J571">
        <f>VLOOKUP(B571,raw!A:K,8,0)</f>
        <v>0</v>
      </c>
      <c r="K571">
        <f>_xlfn.IFNA(VLOOKUP(B571,TDK!A:C,2,0),0)</f>
        <v>9</v>
      </c>
      <c r="L571">
        <f>_xlfn.IFNA(VLOOKUP(B571,TDK!A:C,3,0),0)</f>
        <v>1</v>
      </c>
      <c r="M571">
        <f>_xlfn.IFNA(VLOOKUP(B571,TDK!F:G,2,0),0)</f>
        <v>6</v>
      </c>
      <c r="N571">
        <f t="shared" si="8"/>
        <v>16</v>
      </c>
    </row>
    <row r="572" spans="1:14" x14ac:dyDescent="0.25">
      <c r="A572" t="s">
        <v>81</v>
      </c>
      <c r="B572" t="s">
        <v>1569</v>
      </c>
      <c r="C572">
        <f>VLOOKUP(B572,raw!A:K,11,0)</f>
        <v>41</v>
      </c>
      <c r="D572">
        <f>VLOOKUP(B572,raw!A:K,3,0)+VLOOKUP(B572,raw!A:K,7,0)</f>
        <v>23</v>
      </c>
      <c r="E572">
        <f>VLOOKUP(B572,raw!A:K,4,0)</f>
        <v>0</v>
      </c>
      <c r="F572">
        <f>VLOOKUP(B572,raw!A:K,5,0)</f>
        <v>0</v>
      </c>
      <c r="G572">
        <f>VLOOKUP(B572,raw!A:K,2,0)+VLOOKUP(B572,raw!A:K,10,0)</f>
        <v>5</v>
      </c>
      <c r="H572">
        <f>VLOOKUP(B572,raw!A:K,6,0)</f>
        <v>0</v>
      </c>
      <c r="I572">
        <f>VLOOKUP(B572,raw!A:K,9,0)</f>
        <v>13</v>
      </c>
      <c r="J572">
        <f>VLOOKUP(B572,raw!A:K,8,0)</f>
        <v>0</v>
      </c>
      <c r="K572">
        <f>_xlfn.IFNA(VLOOKUP(B572,TDK!A:C,2,0),0)</f>
        <v>10</v>
      </c>
      <c r="L572">
        <f>_xlfn.IFNA(VLOOKUP(B572,TDK!A:C,3,0),0)</f>
        <v>3</v>
      </c>
      <c r="M572">
        <f>_xlfn.IFNA(VLOOKUP(B572,TDK!F:G,2,0),0)</f>
        <v>2</v>
      </c>
      <c r="N572">
        <f t="shared" si="8"/>
        <v>15</v>
      </c>
    </row>
    <row r="573" spans="1:14" x14ac:dyDescent="0.25">
      <c r="A573" t="s">
        <v>82</v>
      </c>
      <c r="B573" t="s">
        <v>1570</v>
      </c>
      <c r="C573">
        <f>VLOOKUP(B573,raw!A:K,11,0)</f>
        <v>86</v>
      </c>
      <c r="D573">
        <f>VLOOKUP(B573,raw!A:K,3,0)+VLOOKUP(B573,raw!A:K,7,0)</f>
        <v>86</v>
      </c>
      <c r="E573">
        <f>VLOOKUP(B573,raw!A:K,4,0)</f>
        <v>0</v>
      </c>
      <c r="F573">
        <f>VLOOKUP(B573,raw!A:K,5,0)</f>
        <v>0</v>
      </c>
      <c r="G573">
        <f>VLOOKUP(B573,raw!A:K,2,0)+VLOOKUP(B573,raw!A:K,10,0)</f>
        <v>0</v>
      </c>
      <c r="H573">
        <f>VLOOKUP(B573,raw!A:K,6,0)</f>
        <v>0</v>
      </c>
      <c r="I573">
        <f>VLOOKUP(B573,raw!A:K,9,0)</f>
        <v>0</v>
      </c>
      <c r="J573">
        <f>VLOOKUP(B573,raw!A:K,8,0)</f>
        <v>0</v>
      </c>
      <c r="K573">
        <f>_xlfn.IFNA(VLOOKUP(B573,TDK!A:C,2,0),0)</f>
        <v>10</v>
      </c>
      <c r="L573">
        <f>_xlfn.IFNA(VLOOKUP(B573,TDK!A:C,3,0),0)</f>
        <v>3</v>
      </c>
      <c r="M573">
        <f>_xlfn.IFNA(VLOOKUP(B573,TDK!F:G,2,0),0)</f>
        <v>1</v>
      </c>
      <c r="N573">
        <f t="shared" si="8"/>
        <v>14</v>
      </c>
    </row>
    <row r="574" spans="1:14" x14ac:dyDescent="0.25">
      <c r="A574" t="s">
        <v>82</v>
      </c>
      <c r="B574" t="s">
        <v>1571</v>
      </c>
      <c r="C574">
        <f>VLOOKUP(B574,raw!A:K,11,0)</f>
        <v>110</v>
      </c>
      <c r="D574">
        <f>VLOOKUP(B574,raw!A:K,3,0)+VLOOKUP(B574,raw!A:K,7,0)</f>
        <v>110</v>
      </c>
      <c r="E574">
        <f>VLOOKUP(B574,raw!A:K,4,0)</f>
        <v>0</v>
      </c>
      <c r="F574">
        <f>VLOOKUP(B574,raw!A:K,5,0)</f>
        <v>0</v>
      </c>
      <c r="G574">
        <f>VLOOKUP(B574,raw!A:K,2,0)+VLOOKUP(B574,raw!A:K,10,0)</f>
        <v>0</v>
      </c>
      <c r="H574">
        <f>VLOOKUP(B574,raw!A:K,6,0)</f>
        <v>0</v>
      </c>
      <c r="I574">
        <f>VLOOKUP(B574,raw!A:K,9,0)</f>
        <v>0</v>
      </c>
      <c r="J574">
        <f>VLOOKUP(B574,raw!A:K,8,0)</f>
        <v>0</v>
      </c>
      <c r="K574">
        <f>_xlfn.IFNA(VLOOKUP(B574,TDK!A:C,2,0),0)</f>
        <v>10</v>
      </c>
      <c r="L574">
        <f>_xlfn.IFNA(VLOOKUP(B574,TDK!A:C,3,0),0)</f>
        <v>1</v>
      </c>
      <c r="M574">
        <f>_xlfn.IFNA(VLOOKUP(B574,TDK!F:G,2,0),0)</f>
        <v>9</v>
      </c>
      <c r="N574">
        <f t="shared" si="8"/>
        <v>20</v>
      </c>
    </row>
    <row r="575" spans="1:14" x14ac:dyDescent="0.25">
      <c r="A575" t="s">
        <v>82</v>
      </c>
      <c r="B575" t="s">
        <v>1572</v>
      </c>
      <c r="C575">
        <f>VLOOKUP(B575,raw!A:K,11,0)</f>
        <v>106</v>
      </c>
      <c r="D575">
        <f>VLOOKUP(B575,raw!A:K,3,0)+VLOOKUP(B575,raw!A:K,7,0)</f>
        <v>106</v>
      </c>
      <c r="E575">
        <f>VLOOKUP(B575,raw!A:K,4,0)</f>
        <v>0</v>
      </c>
      <c r="F575">
        <f>VLOOKUP(B575,raw!A:K,5,0)</f>
        <v>0</v>
      </c>
      <c r="G575">
        <f>VLOOKUP(B575,raw!A:K,2,0)+VLOOKUP(B575,raw!A:K,10,0)</f>
        <v>0</v>
      </c>
      <c r="H575">
        <f>VLOOKUP(B575,raw!A:K,6,0)</f>
        <v>0</v>
      </c>
      <c r="I575">
        <f>VLOOKUP(B575,raw!A:K,9,0)</f>
        <v>0</v>
      </c>
      <c r="J575">
        <f>VLOOKUP(B575,raw!A:K,8,0)</f>
        <v>0</v>
      </c>
      <c r="K575">
        <f>_xlfn.IFNA(VLOOKUP(B575,TDK!A:C,2,0),0)</f>
        <v>15</v>
      </c>
      <c r="L575">
        <f>_xlfn.IFNA(VLOOKUP(B575,TDK!A:C,3,0),0)</f>
        <v>0</v>
      </c>
      <c r="M575">
        <f>_xlfn.IFNA(VLOOKUP(B575,TDK!F:G,2,0),0)</f>
        <v>5</v>
      </c>
      <c r="N575">
        <f t="shared" si="8"/>
        <v>20</v>
      </c>
    </row>
    <row r="576" spans="1:14" x14ac:dyDescent="0.25">
      <c r="A576" t="s">
        <v>82</v>
      </c>
      <c r="B576" t="s">
        <v>1573</v>
      </c>
      <c r="C576">
        <f>VLOOKUP(B576,raw!A:K,11,0)</f>
        <v>115</v>
      </c>
      <c r="D576">
        <f>VLOOKUP(B576,raw!A:K,3,0)+VLOOKUP(B576,raw!A:K,7,0)</f>
        <v>113</v>
      </c>
      <c r="E576">
        <f>VLOOKUP(B576,raw!A:K,4,0)</f>
        <v>0</v>
      </c>
      <c r="F576">
        <f>VLOOKUP(B576,raw!A:K,5,0)</f>
        <v>0</v>
      </c>
      <c r="G576">
        <f>VLOOKUP(B576,raw!A:K,2,0)+VLOOKUP(B576,raw!A:K,10,0)</f>
        <v>0</v>
      </c>
      <c r="H576">
        <f>VLOOKUP(B576,raw!A:K,6,0)</f>
        <v>0</v>
      </c>
      <c r="I576">
        <f>VLOOKUP(B576,raw!A:K,9,0)</f>
        <v>2</v>
      </c>
      <c r="J576">
        <f>VLOOKUP(B576,raw!A:K,8,0)</f>
        <v>0</v>
      </c>
      <c r="K576">
        <f>_xlfn.IFNA(VLOOKUP(B576,TDK!A:C,2,0),0)</f>
        <v>18</v>
      </c>
      <c r="L576">
        <f>_xlfn.IFNA(VLOOKUP(B576,TDK!A:C,3,0),0)</f>
        <v>4</v>
      </c>
      <c r="M576">
        <f>_xlfn.IFNA(VLOOKUP(B576,TDK!F:G,2,0),0)</f>
        <v>4</v>
      </c>
      <c r="N576">
        <f t="shared" si="8"/>
        <v>26</v>
      </c>
    </row>
    <row r="577" spans="1:14" x14ac:dyDescent="0.25">
      <c r="A577" t="s">
        <v>82</v>
      </c>
      <c r="B577" t="s">
        <v>1574</v>
      </c>
      <c r="C577">
        <f>VLOOKUP(B577,raw!A:K,11,0)</f>
        <v>100</v>
      </c>
      <c r="D577">
        <f>VLOOKUP(B577,raw!A:K,3,0)+VLOOKUP(B577,raw!A:K,7,0)</f>
        <v>100</v>
      </c>
      <c r="E577">
        <f>VLOOKUP(B577,raw!A:K,4,0)</f>
        <v>0</v>
      </c>
      <c r="F577">
        <f>VLOOKUP(B577,raw!A:K,5,0)</f>
        <v>0</v>
      </c>
      <c r="G577">
        <f>VLOOKUP(B577,raw!A:K,2,0)+VLOOKUP(B577,raw!A:K,10,0)</f>
        <v>0</v>
      </c>
      <c r="H577">
        <f>VLOOKUP(B577,raw!A:K,6,0)</f>
        <v>0</v>
      </c>
      <c r="I577">
        <f>VLOOKUP(B577,raw!A:K,9,0)</f>
        <v>0</v>
      </c>
      <c r="J577">
        <f>VLOOKUP(B577,raw!A:K,8,0)</f>
        <v>0</v>
      </c>
      <c r="K577">
        <f>_xlfn.IFNA(VLOOKUP(B577,TDK!A:C,2,0),0)</f>
        <v>12</v>
      </c>
      <c r="L577">
        <f>_xlfn.IFNA(VLOOKUP(B577,TDK!A:C,3,0),0)</f>
        <v>2</v>
      </c>
      <c r="M577">
        <f>_xlfn.IFNA(VLOOKUP(B577,TDK!F:G,2,0),0)</f>
        <v>5</v>
      </c>
      <c r="N577">
        <f t="shared" si="8"/>
        <v>19</v>
      </c>
    </row>
    <row r="578" spans="1:14" x14ac:dyDescent="0.25">
      <c r="A578" t="s">
        <v>83</v>
      </c>
      <c r="B578" t="s">
        <v>1575</v>
      </c>
      <c r="C578">
        <f>VLOOKUP(B578,raw!A:K,11,0)</f>
        <v>77</v>
      </c>
      <c r="D578">
        <f>VLOOKUP(B578,raw!A:K,3,0)+VLOOKUP(B578,raw!A:K,7,0)</f>
        <v>75</v>
      </c>
      <c r="E578">
        <f>VLOOKUP(B578,raw!A:K,4,0)</f>
        <v>0</v>
      </c>
      <c r="F578">
        <f>VLOOKUP(B578,raw!A:K,5,0)</f>
        <v>0</v>
      </c>
      <c r="G578">
        <f>VLOOKUP(B578,raw!A:K,2,0)+VLOOKUP(B578,raw!A:K,10,0)</f>
        <v>1</v>
      </c>
      <c r="H578">
        <f>VLOOKUP(B578,raw!A:K,6,0)</f>
        <v>0</v>
      </c>
      <c r="I578">
        <f>VLOOKUP(B578,raw!A:K,9,0)</f>
        <v>1</v>
      </c>
      <c r="J578">
        <f>VLOOKUP(B578,raw!A:K,8,0)</f>
        <v>0</v>
      </c>
      <c r="K578">
        <f>_xlfn.IFNA(VLOOKUP(B578,TDK!A:C,2,0),0)</f>
        <v>12</v>
      </c>
      <c r="L578">
        <f>_xlfn.IFNA(VLOOKUP(B578,TDK!A:C,3,0),0)</f>
        <v>4</v>
      </c>
      <c r="M578">
        <f>_xlfn.IFNA(VLOOKUP(B578,TDK!F:G,2,0),0)</f>
        <v>3</v>
      </c>
      <c r="N578">
        <f t="shared" si="8"/>
        <v>19</v>
      </c>
    </row>
    <row r="579" spans="1:14" x14ac:dyDescent="0.25">
      <c r="A579" t="s">
        <v>83</v>
      </c>
      <c r="B579" t="s">
        <v>1576</v>
      </c>
      <c r="C579">
        <f>VLOOKUP(B579,raw!A:K,11,0)</f>
        <v>73</v>
      </c>
      <c r="D579">
        <f>VLOOKUP(B579,raw!A:K,3,0)+VLOOKUP(B579,raw!A:K,7,0)</f>
        <v>72</v>
      </c>
      <c r="E579">
        <f>VLOOKUP(B579,raw!A:K,4,0)</f>
        <v>0</v>
      </c>
      <c r="F579">
        <f>VLOOKUP(B579,raw!A:K,5,0)</f>
        <v>0</v>
      </c>
      <c r="G579">
        <f>VLOOKUP(B579,raw!A:K,2,0)+VLOOKUP(B579,raw!A:K,10,0)</f>
        <v>1</v>
      </c>
      <c r="H579">
        <f>VLOOKUP(B579,raw!A:K,6,0)</f>
        <v>0</v>
      </c>
      <c r="I579">
        <f>VLOOKUP(B579,raw!A:K,9,0)</f>
        <v>0</v>
      </c>
      <c r="J579">
        <f>VLOOKUP(B579,raw!A:K,8,0)</f>
        <v>0</v>
      </c>
      <c r="K579">
        <f>_xlfn.IFNA(VLOOKUP(B579,TDK!A:C,2,0),0)</f>
        <v>10</v>
      </c>
      <c r="L579">
        <f>_xlfn.IFNA(VLOOKUP(B579,TDK!A:C,3,0),0)</f>
        <v>5</v>
      </c>
      <c r="M579">
        <f>_xlfn.IFNA(VLOOKUP(B579,TDK!F:G,2,0),0)</f>
        <v>3</v>
      </c>
      <c r="N579">
        <f t="shared" ref="N579:N642" si="9">SUM(K579:M579)</f>
        <v>18</v>
      </c>
    </row>
    <row r="580" spans="1:14" x14ac:dyDescent="0.25">
      <c r="A580" t="s">
        <v>83</v>
      </c>
      <c r="B580" t="s">
        <v>1577</v>
      </c>
      <c r="C580">
        <f>VLOOKUP(B580,raw!A:K,11,0)</f>
        <v>76</v>
      </c>
      <c r="D580">
        <f>VLOOKUP(B580,raw!A:K,3,0)+VLOOKUP(B580,raw!A:K,7,0)</f>
        <v>75</v>
      </c>
      <c r="E580">
        <f>VLOOKUP(B580,raw!A:K,4,0)</f>
        <v>0</v>
      </c>
      <c r="F580">
        <f>VLOOKUP(B580,raw!A:K,5,0)</f>
        <v>0</v>
      </c>
      <c r="G580">
        <f>VLOOKUP(B580,raw!A:K,2,0)+VLOOKUP(B580,raw!A:K,10,0)</f>
        <v>1</v>
      </c>
      <c r="H580">
        <f>VLOOKUP(B580,raw!A:K,6,0)</f>
        <v>0</v>
      </c>
      <c r="I580">
        <f>VLOOKUP(B580,raw!A:K,9,0)</f>
        <v>0</v>
      </c>
      <c r="J580">
        <f>VLOOKUP(B580,raw!A:K,8,0)</f>
        <v>0</v>
      </c>
      <c r="K580">
        <f>_xlfn.IFNA(VLOOKUP(B580,TDK!A:C,2,0),0)</f>
        <v>11</v>
      </c>
      <c r="L580">
        <f>_xlfn.IFNA(VLOOKUP(B580,TDK!A:C,3,0),0)</f>
        <v>1</v>
      </c>
      <c r="M580">
        <f>_xlfn.IFNA(VLOOKUP(B580,TDK!F:G,2,0),0)</f>
        <v>1</v>
      </c>
      <c r="N580">
        <f t="shared" si="9"/>
        <v>13</v>
      </c>
    </row>
    <row r="581" spans="1:14" x14ac:dyDescent="0.25">
      <c r="A581" t="s">
        <v>83</v>
      </c>
      <c r="B581" t="s">
        <v>1578</v>
      </c>
      <c r="C581">
        <f>VLOOKUP(B581,raw!A:K,11,0)</f>
        <v>75</v>
      </c>
      <c r="D581">
        <f>VLOOKUP(B581,raw!A:K,3,0)+VLOOKUP(B581,raw!A:K,7,0)</f>
        <v>47</v>
      </c>
      <c r="E581">
        <f>VLOOKUP(B581,raw!A:K,4,0)</f>
        <v>0</v>
      </c>
      <c r="F581">
        <f>VLOOKUP(B581,raw!A:K,5,0)</f>
        <v>0</v>
      </c>
      <c r="G581">
        <f>VLOOKUP(B581,raw!A:K,2,0)+VLOOKUP(B581,raw!A:K,10,0)</f>
        <v>23</v>
      </c>
      <c r="H581">
        <f>VLOOKUP(B581,raw!A:K,6,0)</f>
        <v>0</v>
      </c>
      <c r="I581">
        <f>VLOOKUP(B581,raw!A:K,9,0)</f>
        <v>5</v>
      </c>
      <c r="J581">
        <f>VLOOKUP(B581,raw!A:K,8,0)</f>
        <v>0</v>
      </c>
      <c r="K581">
        <f>_xlfn.IFNA(VLOOKUP(B581,TDK!A:C,2,0),0)</f>
        <v>9</v>
      </c>
      <c r="L581">
        <f>_xlfn.IFNA(VLOOKUP(B581,TDK!A:C,3,0),0)</f>
        <v>0</v>
      </c>
      <c r="M581">
        <f>_xlfn.IFNA(VLOOKUP(B581,TDK!F:G,2,0),0)</f>
        <v>1</v>
      </c>
      <c r="N581">
        <f t="shared" si="9"/>
        <v>10</v>
      </c>
    </row>
    <row r="582" spans="1:14" x14ac:dyDescent="0.25">
      <c r="A582" t="s">
        <v>83</v>
      </c>
      <c r="B582" t="s">
        <v>1579</v>
      </c>
      <c r="C582">
        <f>VLOOKUP(B582,raw!A:K,11,0)</f>
        <v>55</v>
      </c>
      <c r="D582">
        <f>VLOOKUP(B582,raw!A:K,3,0)+VLOOKUP(B582,raw!A:K,7,0)</f>
        <v>41</v>
      </c>
      <c r="E582">
        <f>VLOOKUP(B582,raw!A:K,4,0)</f>
        <v>0</v>
      </c>
      <c r="F582">
        <f>VLOOKUP(B582,raw!A:K,5,0)</f>
        <v>0</v>
      </c>
      <c r="G582">
        <f>VLOOKUP(B582,raw!A:K,2,0)+VLOOKUP(B582,raw!A:K,10,0)</f>
        <v>13</v>
      </c>
      <c r="H582">
        <f>VLOOKUP(B582,raw!A:K,6,0)</f>
        <v>0</v>
      </c>
      <c r="I582">
        <f>VLOOKUP(B582,raw!A:K,9,0)</f>
        <v>1</v>
      </c>
      <c r="J582">
        <f>VLOOKUP(B582,raw!A:K,8,0)</f>
        <v>0</v>
      </c>
      <c r="K582">
        <f>_xlfn.IFNA(VLOOKUP(B582,TDK!A:C,2,0),0)</f>
        <v>8</v>
      </c>
      <c r="L582">
        <f>_xlfn.IFNA(VLOOKUP(B582,TDK!A:C,3,0),0)</f>
        <v>0</v>
      </c>
      <c r="M582">
        <f>_xlfn.IFNA(VLOOKUP(B582,TDK!F:G,2,0),0)</f>
        <v>0</v>
      </c>
      <c r="N582">
        <f t="shared" si="9"/>
        <v>8</v>
      </c>
    </row>
    <row r="583" spans="1:14" x14ac:dyDescent="0.25">
      <c r="A583" t="s">
        <v>83</v>
      </c>
      <c r="B583" t="s">
        <v>1580</v>
      </c>
      <c r="C583">
        <f>VLOOKUP(B583,raw!A:K,11,0)</f>
        <v>62</v>
      </c>
      <c r="D583">
        <f>VLOOKUP(B583,raw!A:K,3,0)+VLOOKUP(B583,raw!A:K,7,0)</f>
        <v>61</v>
      </c>
      <c r="E583">
        <f>VLOOKUP(B583,raw!A:K,4,0)</f>
        <v>0</v>
      </c>
      <c r="F583">
        <f>VLOOKUP(B583,raw!A:K,5,0)</f>
        <v>0</v>
      </c>
      <c r="G583">
        <f>VLOOKUP(B583,raw!A:K,2,0)+VLOOKUP(B583,raw!A:K,10,0)</f>
        <v>1</v>
      </c>
      <c r="H583">
        <f>VLOOKUP(B583,raw!A:K,6,0)</f>
        <v>0</v>
      </c>
      <c r="I583">
        <f>VLOOKUP(B583,raw!A:K,9,0)</f>
        <v>0</v>
      </c>
      <c r="J583">
        <f>VLOOKUP(B583,raw!A:K,8,0)</f>
        <v>0</v>
      </c>
      <c r="K583">
        <f>_xlfn.IFNA(VLOOKUP(B583,TDK!A:C,2,0),0)</f>
        <v>8</v>
      </c>
      <c r="L583">
        <f>_xlfn.IFNA(VLOOKUP(B583,TDK!A:C,3,0),0)</f>
        <v>4</v>
      </c>
      <c r="M583">
        <f>_xlfn.IFNA(VLOOKUP(B583,TDK!F:G,2,0),0)</f>
        <v>1</v>
      </c>
      <c r="N583">
        <f t="shared" si="9"/>
        <v>13</v>
      </c>
    </row>
    <row r="584" spans="1:14" x14ac:dyDescent="0.25">
      <c r="A584" t="s">
        <v>83</v>
      </c>
      <c r="B584" t="s">
        <v>1581</v>
      </c>
      <c r="C584">
        <f>VLOOKUP(B584,raw!A:K,11,0)</f>
        <v>57</v>
      </c>
      <c r="D584">
        <f>VLOOKUP(B584,raw!A:K,3,0)+VLOOKUP(B584,raw!A:K,7,0)</f>
        <v>56</v>
      </c>
      <c r="E584">
        <f>VLOOKUP(B584,raw!A:K,4,0)</f>
        <v>0</v>
      </c>
      <c r="F584">
        <f>VLOOKUP(B584,raw!A:K,5,0)</f>
        <v>0</v>
      </c>
      <c r="G584">
        <f>VLOOKUP(B584,raw!A:K,2,0)+VLOOKUP(B584,raw!A:K,10,0)</f>
        <v>1</v>
      </c>
      <c r="H584">
        <f>VLOOKUP(B584,raw!A:K,6,0)</f>
        <v>0</v>
      </c>
      <c r="I584">
        <f>VLOOKUP(B584,raw!A:K,9,0)</f>
        <v>0</v>
      </c>
      <c r="J584">
        <f>VLOOKUP(B584,raw!A:K,8,0)</f>
        <v>0</v>
      </c>
      <c r="K584">
        <f>_xlfn.IFNA(VLOOKUP(B584,TDK!A:C,2,0),0)</f>
        <v>9</v>
      </c>
      <c r="L584">
        <f>_xlfn.IFNA(VLOOKUP(B584,TDK!A:C,3,0),0)</f>
        <v>0</v>
      </c>
      <c r="M584">
        <f>_xlfn.IFNA(VLOOKUP(B584,TDK!F:G,2,0),0)</f>
        <v>7</v>
      </c>
      <c r="N584">
        <f t="shared" si="9"/>
        <v>16</v>
      </c>
    </row>
    <row r="585" spans="1:14" x14ac:dyDescent="0.25">
      <c r="A585" t="s">
        <v>84</v>
      </c>
      <c r="B585" t="s">
        <v>1582</v>
      </c>
      <c r="C585">
        <f>VLOOKUP(B585,raw!A:K,11,0)</f>
        <v>92</v>
      </c>
      <c r="D585">
        <f>VLOOKUP(B585,raw!A:K,3,0)+VLOOKUP(B585,raw!A:K,7,0)</f>
        <v>89</v>
      </c>
      <c r="E585">
        <f>VLOOKUP(B585,raw!A:K,4,0)</f>
        <v>0</v>
      </c>
      <c r="F585">
        <f>VLOOKUP(B585,raw!A:K,5,0)</f>
        <v>0</v>
      </c>
      <c r="G585">
        <f>VLOOKUP(B585,raw!A:K,2,0)+VLOOKUP(B585,raw!A:K,10,0)</f>
        <v>0</v>
      </c>
      <c r="H585">
        <f>VLOOKUP(B585,raw!A:K,6,0)</f>
        <v>0</v>
      </c>
      <c r="I585">
        <f>VLOOKUP(B585,raw!A:K,9,0)</f>
        <v>3</v>
      </c>
      <c r="J585">
        <f>VLOOKUP(B585,raw!A:K,8,0)</f>
        <v>0</v>
      </c>
      <c r="K585">
        <f>_xlfn.IFNA(VLOOKUP(B585,TDK!A:C,2,0),0)</f>
        <v>21</v>
      </c>
      <c r="L585">
        <f>_xlfn.IFNA(VLOOKUP(B585,TDK!A:C,3,0),0)</f>
        <v>0</v>
      </c>
      <c r="M585">
        <f>_xlfn.IFNA(VLOOKUP(B585,TDK!F:G,2,0),0)</f>
        <v>1</v>
      </c>
      <c r="N585">
        <f t="shared" si="9"/>
        <v>22</v>
      </c>
    </row>
    <row r="586" spans="1:14" x14ac:dyDescent="0.25">
      <c r="A586" t="s">
        <v>84</v>
      </c>
      <c r="B586" t="s">
        <v>1583</v>
      </c>
      <c r="C586">
        <f>VLOOKUP(B586,raw!A:K,11,0)</f>
        <v>68</v>
      </c>
      <c r="D586">
        <f>VLOOKUP(B586,raw!A:K,3,0)+VLOOKUP(B586,raw!A:K,7,0)</f>
        <v>65</v>
      </c>
      <c r="E586">
        <f>VLOOKUP(B586,raw!A:K,4,0)</f>
        <v>0</v>
      </c>
      <c r="F586">
        <f>VLOOKUP(B586,raw!A:K,5,0)</f>
        <v>0</v>
      </c>
      <c r="G586">
        <f>VLOOKUP(B586,raw!A:K,2,0)+VLOOKUP(B586,raw!A:K,10,0)</f>
        <v>0</v>
      </c>
      <c r="H586">
        <f>VLOOKUP(B586,raw!A:K,6,0)</f>
        <v>0</v>
      </c>
      <c r="I586">
        <f>VLOOKUP(B586,raw!A:K,9,0)</f>
        <v>3</v>
      </c>
      <c r="J586">
        <f>VLOOKUP(B586,raw!A:K,8,0)</f>
        <v>0</v>
      </c>
      <c r="K586">
        <f>_xlfn.IFNA(VLOOKUP(B586,TDK!A:C,2,0),0)</f>
        <v>17</v>
      </c>
      <c r="L586">
        <f>_xlfn.IFNA(VLOOKUP(B586,TDK!A:C,3,0),0)</f>
        <v>0</v>
      </c>
      <c r="M586">
        <f>_xlfn.IFNA(VLOOKUP(B586,TDK!F:G,2,0),0)</f>
        <v>7</v>
      </c>
      <c r="N586">
        <f t="shared" si="9"/>
        <v>24</v>
      </c>
    </row>
    <row r="587" spans="1:14" x14ac:dyDescent="0.25">
      <c r="A587" t="s">
        <v>84</v>
      </c>
      <c r="B587" t="s">
        <v>1584</v>
      </c>
      <c r="C587">
        <f>VLOOKUP(B587,raw!A:K,11,0)</f>
        <v>42</v>
      </c>
      <c r="D587">
        <f>VLOOKUP(B587,raw!A:K,3,0)+VLOOKUP(B587,raw!A:K,7,0)</f>
        <v>41</v>
      </c>
      <c r="E587">
        <f>VLOOKUP(B587,raw!A:K,4,0)</f>
        <v>0</v>
      </c>
      <c r="F587">
        <f>VLOOKUP(B587,raw!A:K,5,0)</f>
        <v>0</v>
      </c>
      <c r="G587">
        <f>VLOOKUP(B587,raw!A:K,2,0)+VLOOKUP(B587,raw!A:K,10,0)</f>
        <v>0</v>
      </c>
      <c r="H587">
        <f>VLOOKUP(B587,raw!A:K,6,0)</f>
        <v>0</v>
      </c>
      <c r="I587">
        <f>VLOOKUP(B587,raw!A:K,9,0)</f>
        <v>1</v>
      </c>
      <c r="J587">
        <f>VLOOKUP(B587,raw!A:K,8,0)</f>
        <v>0</v>
      </c>
      <c r="K587">
        <f>_xlfn.IFNA(VLOOKUP(B587,TDK!A:C,2,0),0)</f>
        <v>12</v>
      </c>
      <c r="L587">
        <f>_xlfn.IFNA(VLOOKUP(B587,TDK!A:C,3,0),0)</f>
        <v>0</v>
      </c>
      <c r="M587">
        <f>_xlfn.IFNA(VLOOKUP(B587,TDK!F:G,2,0),0)</f>
        <v>2</v>
      </c>
      <c r="N587">
        <f t="shared" si="9"/>
        <v>14</v>
      </c>
    </row>
    <row r="588" spans="1:14" x14ac:dyDescent="0.25">
      <c r="A588" t="s">
        <v>85</v>
      </c>
      <c r="B588" t="s">
        <v>1585</v>
      </c>
      <c r="C588">
        <f>VLOOKUP(B588,raw!A:K,11,0)</f>
        <v>63</v>
      </c>
      <c r="D588">
        <f>VLOOKUP(B588,raw!A:K,3,0)+VLOOKUP(B588,raw!A:K,7,0)</f>
        <v>62</v>
      </c>
      <c r="E588">
        <f>VLOOKUP(B588,raw!A:K,4,0)</f>
        <v>0</v>
      </c>
      <c r="F588">
        <f>VLOOKUP(B588,raw!A:K,5,0)</f>
        <v>0</v>
      </c>
      <c r="G588">
        <f>VLOOKUP(B588,raw!A:K,2,0)+VLOOKUP(B588,raw!A:K,10,0)</f>
        <v>0</v>
      </c>
      <c r="H588">
        <f>VLOOKUP(B588,raw!A:K,6,0)</f>
        <v>0</v>
      </c>
      <c r="I588">
        <f>VLOOKUP(B588,raw!A:K,9,0)</f>
        <v>1</v>
      </c>
      <c r="J588">
        <f>VLOOKUP(B588,raw!A:K,8,0)</f>
        <v>0</v>
      </c>
      <c r="K588">
        <f>_xlfn.IFNA(VLOOKUP(B588,TDK!A:C,2,0),0)</f>
        <v>9</v>
      </c>
      <c r="L588">
        <f>_xlfn.IFNA(VLOOKUP(B588,TDK!A:C,3,0),0)</f>
        <v>1</v>
      </c>
      <c r="M588">
        <f>_xlfn.IFNA(VLOOKUP(B588,TDK!F:G,2,0),0)</f>
        <v>8</v>
      </c>
      <c r="N588">
        <f t="shared" si="9"/>
        <v>18</v>
      </c>
    </row>
    <row r="589" spans="1:14" x14ac:dyDescent="0.25">
      <c r="A589" t="s">
        <v>85</v>
      </c>
      <c r="B589" t="s">
        <v>1586</v>
      </c>
      <c r="C589">
        <f>VLOOKUP(B589,raw!A:K,11,0)</f>
        <v>55</v>
      </c>
      <c r="D589">
        <f>VLOOKUP(B589,raw!A:K,3,0)+VLOOKUP(B589,raw!A:K,7,0)</f>
        <v>55</v>
      </c>
      <c r="E589">
        <f>VLOOKUP(B589,raw!A:K,4,0)</f>
        <v>0</v>
      </c>
      <c r="F589">
        <f>VLOOKUP(B589,raw!A:K,5,0)</f>
        <v>0</v>
      </c>
      <c r="G589">
        <f>VLOOKUP(B589,raw!A:K,2,0)+VLOOKUP(B589,raw!A:K,10,0)</f>
        <v>0</v>
      </c>
      <c r="H589">
        <f>VLOOKUP(B589,raw!A:K,6,0)</f>
        <v>0</v>
      </c>
      <c r="I589">
        <f>VLOOKUP(B589,raw!A:K,9,0)</f>
        <v>0</v>
      </c>
      <c r="J589">
        <f>VLOOKUP(B589,raw!A:K,8,0)</f>
        <v>0</v>
      </c>
      <c r="K589">
        <f>_xlfn.IFNA(VLOOKUP(B589,TDK!A:C,2,0),0)</f>
        <v>6</v>
      </c>
      <c r="L589">
        <f>_xlfn.IFNA(VLOOKUP(B589,TDK!A:C,3,0),0)</f>
        <v>2</v>
      </c>
      <c r="M589">
        <f>_xlfn.IFNA(VLOOKUP(B589,TDK!F:G,2,0),0)</f>
        <v>5</v>
      </c>
      <c r="N589">
        <f t="shared" si="9"/>
        <v>13</v>
      </c>
    </row>
    <row r="590" spans="1:14" x14ac:dyDescent="0.25">
      <c r="A590" t="s">
        <v>85</v>
      </c>
      <c r="B590" t="s">
        <v>1587</v>
      </c>
      <c r="C590">
        <f>VLOOKUP(B590,raw!A:K,11,0)</f>
        <v>56</v>
      </c>
      <c r="D590">
        <f>VLOOKUP(B590,raw!A:K,3,0)+VLOOKUP(B590,raw!A:K,7,0)</f>
        <v>46</v>
      </c>
      <c r="E590">
        <f>VLOOKUP(B590,raw!A:K,4,0)</f>
        <v>1</v>
      </c>
      <c r="F590">
        <f>VLOOKUP(B590,raw!A:K,5,0)</f>
        <v>0</v>
      </c>
      <c r="G590">
        <f>VLOOKUP(B590,raw!A:K,2,0)+VLOOKUP(B590,raw!A:K,10,0)</f>
        <v>1</v>
      </c>
      <c r="H590">
        <f>VLOOKUP(B590,raw!A:K,6,0)</f>
        <v>0</v>
      </c>
      <c r="I590">
        <f>VLOOKUP(B590,raw!A:K,9,0)</f>
        <v>8</v>
      </c>
      <c r="J590">
        <f>VLOOKUP(B590,raw!A:K,8,0)</f>
        <v>0</v>
      </c>
      <c r="K590">
        <f>_xlfn.IFNA(VLOOKUP(B590,TDK!A:C,2,0),0)</f>
        <v>6</v>
      </c>
      <c r="L590">
        <f>_xlfn.IFNA(VLOOKUP(B590,TDK!A:C,3,0),0)</f>
        <v>2</v>
      </c>
      <c r="M590">
        <f>_xlfn.IFNA(VLOOKUP(B590,TDK!F:G,2,0),0)</f>
        <v>8</v>
      </c>
      <c r="N590">
        <f t="shared" si="9"/>
        <v>16</v>
      </c>
    </row>
    <row r="591" spans="1:14" x14ac:dyDescent="0.25">
      <c r="A591" t="s">
        <v>85</v>
      </c>
      <c r="B591" t="s">
        <v>1588</v>
      </c>
      <c r="C591">
        <f>VLOOKUP(B591,raw!A:K,11,0)</f>
        <v>59</v>
      </c>
      <c r="D591">
        <f>VLOOKUP(B591,raw!A:K,3,0)+VLOOKUP(B591,raw!A:K,7,0)</f>
        <v>57</v>
      </c>
      <c r="E591">
        <f>VLOOKUP(B591,raw!A:K,4,0)</f>
        <v>1</v>
      </c>
      <c r="F591">
        <f>VLOOKUP(B591,raw!A:K,5,0)</f>
        <v>0</v>
      </c>
      <c r="G591">
        <f>VLOOKUP(B591,raw!A:K,2,0)+VLOOKUP(B591,raw!A:K,10,0)</f>
        <v>0</v>
      </c>
      <c r="H591">
        <f>VLOOKUP(B591,raw!A:K,6,0)</f>
        <v>0</v>
      </c>
      <c r="I591">
        <f>VLOOKUP(B591,raw!A:K,9,0)</f>
        <v>1</v>
      </c>
      <c r="J591">
        <f>VLOOKUP(B591,raw!A:K,8,0)</f>
        <v>0</v>
      </c>
      <c r="K591">
        <f>_xlfn.IFNA(VLOOKUP(B591,TDK!A:C,2,0),0)</f>
        <v>9</v>
      </c>
      <c r="L591">
        <f>_xlfn.IFNA(VLOOKUP(B591,TDK!A:C,3,0),0)</f>
        <v>0</v>
      </c>
      <c r="M591">
        <f>_xlfn.IFNA(VLOOKUP(B591,TDK!F:G,2,0),0)</f>
        <v>6</v>
      </c>
      <c r="N591">
        <f t="shared" si="9"/>
        <v>15</v>
      </c>
    </row>
    <row r="592" spans="1:14" x14ac:dyDescent="0.25">
      <c r="A592" t="s">
        <v>85</v>
      </c>
      <c r="B592" t="s">
        <v>1589</v>
      </c>
      <c r="C592">
        <f>VLOOKUP(B592,raw!A:K,11,0)</f>
        <v>47</v>
      </c>
      <c r="D592">
        <f>VLOOKUP(B592,raw!A:K,3,0)+VLOOKUP(B592,raw!A:K,7,0)</f>
        <v>47</v>
      </c>
      <c r="E592">
        <f>VLOOKUP(B592,raw!A:K,4,0)</f>
        <v>0</v>
      </c>
      <c r="F592">
        <f>VLOOKUP(B592,raw!A:K,5,0)</f>
        <v>0</v>
      </c>
      <c r="G592">
        <f>VLOOKUP(B592,raw!A:K,2,0)+VLOOKUP(B592,raw!A:K,10,0)</f>
        <v>0</v>
      </c>
      <c r="H592">
        <f>VLOOKUP(B592,raw!A:K,6,0)</f>
        <v>0</v>
      </c>
      <c r="I592">
        <f>VLOOKUP(B592,raw!A:K,9,0)</f>
        <v>0</v>
      </c>
      <c r="J592">
        <f>VLOOKUP(B592,raw!A:K,8,0)</f>
        <v>0</v>
      </c>
      <c r="K592">
        <f>_xlfn.IFNA(VLOOKUP(B592,TDK!A:C,2,0),0)</f>
        <v>7</v>
      </c>
      <c r="L592">
        <f>_xlfn.IFNA(VLOOKUP(B592,TDK!A:C,3,0),0)</f>
        <v>0</v>
      </c>
      <c r="M592">
        <f>_xlfn.IFNA(VLOOKUP(B592,TDK!F:G,2,0),0)</f>
        <v>10</v>
      </c>
      <c r="N592">
        <f t="shared" si="9"/>
        <v>17</v>
      </c>
    </row>
    <row r="593" spans="1:14" x14ac:dyDescent="0.25">
      <c r="A593" t="s">
        <v>86</v>
      </c>
      <c r="B593" t="s">
        <v>1590</v>
      </c>
      <c r="C593">
        <f>VLOOKUP(B593,raw!A:K,11,0)</f>
        <v>56</v>
      </c>
      <c r="D593">
        <f>VLOOKUP(B593,raw!A:K,3,0)+VLOOKUP(B593,raw!A:K,7,0)</f>
        <v>53</v>
      </c>
      <c r="E593">
        <f>VLOOKUP(B593,raw!A:K,4,0)</f>
        <v>2</v>
      </c>
      <c r="F593">
        <f>VLOOKUP(B593,raw!A:K,5,0)</f>
        <v>0</v>
      </c>
      <c r="G593">
        <f>VLOOKUP(B593,raw!A:K,2,0)+VLOOKUP(B593,raw!A:K,10,0)</f>
        <v>0</v>
      </c>
      <c r="H593">
        <f>VLOOKUP(B593,raw!A:K,6,0)</f>
        <v>0</v>
      </c>
      <c r="I593">
        <f>VLOOKUP(B593,raw!A:K,9,0)</f>
        <v>1</v>
      </c>
      <c r="J593">
        <f>VLOOKUP(B593,raw!A:K,8,0)</f>
        <v>0</v>
      </c>
      <c r="K593">
        <f>_xlfn.IFNA(VLOOKUP(B593,TDK!A:C,2,0),0)</f>
        <v>17</v>
      </c>
      <c r="L593">
        <f>_xlfn.IFNA(VLOOKUP(B593,TDK!A:C,3,0),0)</f>
        <v>0</v>
      </c>
      <c r="M593">
        <f>_xlfn.IFNA(VLOOKUP(B593,TDK!F:G,2,0),0)</f>
        <v>0</v>
      </c>
      <c r="N593">
        <f t="shared" si="9"/>
        <v>17</v>
      </c>
    </row>
    <row r="594" spans="1:14" x14ac:dyDescent="0.25">
      <c r="A594" t="s">
        <v>85</v>
      </c>
      <c r="B594" t="s">
        <v>1591</v>
      </c>
      <c r="C594">
        <f>VLOOKUP(B594,raw!A:K,11,0)</f>
        <v>113</v>
      </c>
      <c r="D594">
        <f>VLOOKUP(B594,raw!A:K,3,0)+VLOOKUP(B594,raw!A:K,7,0)</f>
        <v>109</v>
      </c>
      <c r="E594">
        <f>VLOOKUP(B594,raw!A:K,4,0)</f>
        <v>0</v>
      </c>
      <c r="F594">
        <f>VLOOKUP(B594,raw!A:K,5,0)</f>
        <v>0</v>
      </c>
      <c r="G594">
        <f>VLOOKUP(B594,raw!A:K,2,0)+VLOOKUP(B594,raw!A:K,10,0)</f>
        <v>0</v>
      </c>
      <c r="H594">
        <f>VLOOKUP(B594,raw!A:K,6,0)</f>
        <v>0</v>
      </c>
      <c r="I594">
        <f>VLOOKUP(B594,raw!A:K,9,0)</f>
        <v>4</v>
      </c>
      <c r="J594">
        <f>VLOOKUP(B594,raw!A:K,8,0)</f>
        <v>0</v>
      </c>
      <c r="K594">
        <f>_xlfn.IFNA(VLOOKUP(B594,TDK!A:C,2,0),0)</f>
        <v>14</v>
      </c>
      <c r="L594">
        <f>_xlfn.IFNA(VLOOKUP(B594,TDK!A:C,3,0),0)</f>
        <v>2</v>
      </c>
      <c r="M594">
        <f>_xlfn.IFNA(VLOOKUP(B594,TDK!F:G,2,0),0)</f>
        <v>10</v>
      </c>
      <c r="N594">
        <f t="shared" si="9"/>
        <v>26</v>
      </c>
    </row>
    <row r="595" spans="1:14" x14ac:dyDescent="0.25">
      <c r="A595" t="s">
        <v>85</v>
      </c>
      <c r="B595" t="s">
        <v>1592</v>
      </c>
      <c r="C595">
        <f>VLOOKUP(B595,raw!A:K,11,0)</f>
        <v>60</v>
      </c>
      <c r="D595">
        <f>VLOOKUP(B595,raw!A:K,3,0)+VLOOKUP(B595,raw!A:K,7,0)</f>
        <v>58</v>
      </c>
      <c r="E595">
        <f>VLOOKUP(B595,raw!A:K,4,0)</f>
        <v>0</v>
      </c>
      <c r="F595">
        <f>VLOOKUP(B595,raw!A:K,5,0)</f>
        <v>0</v>
      </c>
      <c r="G595">
        <f>VLOOKUP(B595,raw!A:K,2,0)+VLOOKUP(B595,raw!A:K,10,0)</f>
        <v>1</v>
      </c>
      <c r="H595">
        <f>VLOOKUP(B595,raw!A:K,6,0)</f>
        <v>0</v>
      </c>
      <c r="I595">
        <f>VLOOKUP(B595,raw!A:K,9,0)</f>
        <v>1</v>
      </c>
      <c r="J595">
        <f>VLOOKUP(B595,raw!A:K,8,0)</f>
        <v>0</v>
      </c>
      <c r="K595">
        <f>_xlfn.IFNA(VLOOKUP(B595,TDK!A:C,2,0),0)</f>
        <v>6</v>
      </c>
      <c r="L595">
        <f>_xlfn.IFNA(VLOOKUP(B595,TDK!A:C,3,0),0)</f>
        <v>0</v>
      </c>
      <c r="M595">
        <f>_xlfn.IFNA(VLOOKUP(B595,TDK!F:G,2,0),0)</f>
        <v>4</v>
      </c>
      <c r="N595">
        <f t="shared" si="9"/>
        <v>10</v>
      </c>
    </row>
    <row r="596" spans="1:14" x14ac:dyDescent="0.25">
      <c r="A596" t="s">
        <v>85</v>
      </c>
      <c r="B596" t="s">
        <v>1593</v>
      </c>
      <c r="C596">
        <f>VLOOKUP(B596,raw!A:K,11,0)</f>
        <v>73</v>
      </c>
      <c r="D596">
        <f>VLOOKUP(B596,raw!A:K,3,0)+VLOOKUP(B596,raw!A:K,7,0)</f>
        <v>72</v>
      </c>
      <c r="E596">
        <f>VLOOKUP(B596,raw!A:K,4,0)</f>
        <v>0</v>
      </c>
      <c r="F596">
        <f>VLOOKUP(B596,raw!A:K,5,0)</f>
        <v>0</v>
      </c>
      <c r="G596">
        <f>VLOOKUP(B596,raw!A:K,2,0)+VLOOKUP(B596,raw!A:K,10,0)</f>
        <v>0</v>
      </c>
      <c r="H596">
        <f>VLOOKUP(B596,raw!A:K,6,0)</f>
        <v>0</v>
      </c>
      <c r="I596">
        <f>VLOOKUP(B596,raw!A:K,9,0)</f>
        <v>1</v>
      </c>
      <c r="J596">
        <f>VLOOKUP(B596,raw!A:K,8,0)</f>
        <v>0</v>
      </c>
      <c r="K596">
        <f>_xlfn.IFNA(VLOOKUP(B596,TDK!A:C,2,0),0)</f>
        <v>7</v>
      </c>
      <c r="L596">
        <f>_xlfn.IFNA(VLOOKUP(B596,TDK!A:C,3,0),0)</f>
        <v>0</v>
      </c>
      <c r="M596">
        <f>_xlfn.IFNA(VLOOKUP(B596,TDK!F:G,2,0),0)</f>
        <v>6</v>
      </c>
      <c r="N596">
        <f t="shared" si="9"/>
        <v>13</v>
      </c>
    </row>
    <row r="597" spans="1:14" x14ac:dyDescent="0.25">
      <c r="A597" t="s">
        <v>87</v>
      </c>
      <c r="B597" t="s">
        <v>1594</v>
      </c>
      <c r="C597">
        <f>VLOOKUP(B597,raw!A:K,11,0)</f>
        <v>56</v>
      </c>
      <c r="D597">
        <f>VLOOKUP(B597,raw!A:K,3,0)+VLOOKUP(B597,raw!A:K,7,0)</f>
        <v>50</v>
      </c>
      <c r="E597">
        <f>VLOOKUP(B597,raw!A:K,4,0)</f>
        <v>0</v>
      </c>
      <c r="F597">
        <f>VLOOKUP(B597,raw!A:K,5,0)</f>
        <v>0</v>
      </c>
      <c r="G597">
        <f>VLOOKUP(B597,raw!A:K,2,0)+VLOOKUP(B597,raw!A:K,10,0)</f>
        <v>0</v>
      </c>
      <c r="H597">
        <f>VLOOKUP(B597,raw!A:K,6,0)</f>
        <v>0</v>
      </c>
      <c r="I597">
        <f>VLOOKUP(B597,raw!A:K,9,0)</f>
        <v>6</v>
      </c>
      <c r="J597">
        <f>VLOOKUP(B597,raw!A:K,8,0)</f>
        <v>0</v>
      </c>
      <c r="K597">
        <f>_xlfn.IFNA(VLOOKUP(B597,TDK!A:C,2,0),0)</f>
        <v>6</v>
      </c>
      <c r="L597">
        <f>_xlfn.IFNA(VLOOKUP(B597,TDK!A:C,3,0),0)</f>
        <v>0</v>
      </c>
      <c r="M597">
        <f>_xlfn.IFNA(VLOOKUP(B597,TDK!F:G,2,0),0)</f>
        <v>3</v>
      </c>
      <c r="N597">
        <f t="shared" si="9"/>
        <v>9</v>
      </c>
    </row>
    <row r="598" spans="1:14" x14ac:dyDescent="0.25">
      <c r="A598" t="s">
        <v>87</v>
      </c>
      <c r="B598" t="s">
        <v>1595</v>
      </c>
      <c r="C598">
        <f>VLOOKUP(B598,raw!A:K,11,0)</f>
        <v>49</v>
      </c>
      <c r="D598">
        <f>VLOOKUP(B598,raw!A:K,3,0)+VLOOKUP(B598,raw!A:K,7,0)</f>
        <v>47</v>
      </c>
      <c r="E598">
        <f>VLOOKUP(B598,raw!A:K,4,0)</f>
        <v>0</v>
      </c>
      <c r="F598">
        <f>VLOOKUP(B598,raw!A:K,5,0)</f>
        <v>0</v>
      </c>
      <c r="G598">
        <f>VLOOKUP(B598,raw!A:K,2,0)+VLOOKUP(B598,raw!A:K,10,0)</f>
        <v>0</v>
      </c>
      <c r="H598">
        <f>VLOOKUP(B598,raw!A:K,6,0)</f>
        <v>0</v>
      </c>
      <c r="I598">
        <f>VLOOKUP(B598,raw!A:K,9,0)</f>
        <v>2</v>
      </c>
      <c r="J598">
        <f>VLOOKUP(B598,raw!A:K,8,0)</f>
        <v>0</v>
      </c>
      <c r="K598">
        <f>_xlfn.IFNA(VLOOKUP(B598,TDK!A:C,2,0),0)</f>
        <v>15</v>
      </c>
      <c r="L598">
        <f>_xlfn.IFNA(VLOOKUP(B598,TDK!A:C,3,0),0)</f>
        <v>1</v>
      </c>
      <c r="M598">
        <f>_xlfn.IFNA(VLOOKUP(B598,TDK!F:G,2,0),0)</f>
        <v>3</v>
      </c>
      <c r="N598">
        <f t="shared" si="9"/>
        <v>19</v>
      </c>
    </row>
    <row r="599" spans="1:14" x14ac:dyDescent="0.25">
      <c r="A599" t="s">
        <v>87</v>
      </c>
      <c r="B599" t="s">
        <v>1596</v>
      </c>
      <c r="C599">
        <f>VLOOKUP(B599,raw!A:K,11,0)</f>
        <v>44</v>
      </c>
      <c r="D599">
        <f>VLOOKUP(B599,raw!A:K,3,0)+VLOOKUP(B599,raw!A:K,7,0)</f>
        <v>41</v>
      </c>
      <c r="E599">
        <f>VLOOKUP(B599,raw!A:K,4,0)</f>
        <v>0</v>
      </c>
      <c r="F599">
        <f>VLOOKUP(B599,raw!A:K,5,0)</f>
        <v>0</v>
      </c>
      <c r="G599">
        <f>VLOOKUP(B599,raw!A:K,2,0)+VLOOKUP(B599,raw!A:K,10,0)</f>
        <v>0</v>
      </c>
      <c r="H599">
        <f>VLOOKUP(B599,raw!A:K,6,0)</f>
        <v>0</v>
      </c>
      <c r="I599">
        <f>VLOOKUP(B599,raw!A:K,9,0)</f>
        <v>3</v>
      </c>
      <c r="J599">
        <f>VLOOKUP(B599,raw!A:K,8,0)</f>
        <v>0</v>
      </c>
      <c r="K599">
        <f>_xlfn.IFNA(VLOOKUP(B599,TDK!A:C,2,0),0)</f>
        <v>6</v>
      </c>
      <c r="L599">
        <f>_xlfn.IFNA(VLOOKUP(B599,TDK!A:C,3,0),0)</f>
        <v>0</v>
      </c>
      <c r="M599">
        <f>_xlfn.IFNA(VLOOKUP(B599,TDK!F:G,2,0),0)</f>
        <v>2</v>
      </c>
      <c r="N599">
        <f t="shared" si="9"/>
        <v>8</v>
      </c>
    </row>
    <row r="600" spans="1:14" x14ac:dyDescent="0.25">
      <c r="A600" t="s">
        <v>87</v>
      </c>
      <c r="B600" t="s">
        <v>1597</v>
      </c>
      <c r="C600">
        <f>VLOOKUP(B600,raw!A:K,11,0)</f>
        <v>50</v>
      </c>
      <c r="D600">
        <f>VLOOKUP(B600,raw!A:K,3,0)+VLOOKUP(B600,raw!A:K,7,0)</f>
        <v>48</v>
      </c>
      <c r="E600">
        <f>VLOOKUP(B600,raw!A:K,4,0)</f>
        <v>0</v>
      </c>
      <c r="F600">
        <f>VLOOKUP(B600,raw!A:K,5,0)</f>
        <v>0</v>
      </c>
      <c r="G600">
        <f>VLOOKUP(B600,raw!A:K,2,0)+VLOOKUP(B600,raw!A:K,10,0)</f>
        <v>0</v>
      </c>
      <c r="H600">
        <f>VLOOKUP(B600,raw!A:K,6,0)</f>
        <v>0</v>
      </c>
      <c r="I600">
        <f>VLOOKUP(B600,raw!A:K,9,0)</f>
        <v>2</v>
      </c>
      <c r="J600">
        <f>VLOOKUP(B600,raw!A:K,8,0)</f>
        <v>0</v>
      </c>
      <c r="K600">
        <f>_xlfn.IFNA(VLOOKUP(B600,TDK!A:C,2,0),0)</f>
        <v>9</v>
      </c>
      <c r="L600">
        <f>_xlfn.IFNA(VLOOKUP(B600,TDK!A:C,3,0),0)</f>
        <v>1</v>
      </c>
      <c r="M600">
        <f>_xlfn.IFNA(VLOOKUP(B600,TDK!F:G,2,0),0)</f>
        <v>3</v>
      </c>
      <c r="N600">
        <f t="shared" si="9"/>
        <v>13</v>
      </c>
    </row>
    <row r="601" spans="1:14" x14ac:dyDescent="0.25">
      <c r="A601" t="s">
        <v>87</v>
      </c>
      <c r="B601" t="s">
        <v>1598</v>
      </c>
      <c r="C601">
        <f>VLOOKUP(B601,raw!A:K,11,0)</f>
        <v>30</v>
      </c>
      <c r="D601">
        <f>VLOOKUP(B601,raw!A:K,3,0)+VLOOKUP(B601,raw!A:K,7,0)</f>
        <v>29</v>
      </c>
      <c r="E601">
        <f>VLOOKUP(B601,raw!A:K,4,0)</f>
        <v>0</v>
      </c>
      <c r="F601">
        <f>VLOOKUP(B601,raw!A:K,5,0)</f>
        <v>0</v>
      </c>
      <c r="G601">
        <f>VLOOKUP(B601,raw!A:K,2,0)+VLOOKUP(B601,raw!A:K,10,0)</f>
        <v>0</v>
      </c>
      <c r="H601">
        <f>VLOOKUP(B601,raw!A:K,6,0)</f>
        <v>0</v>
      </c>
      <c r="I601">
        <f>VLOOKUP(B601,raw!A:K,9,0)</f>
        <v>1</v>
      </c>
      <c r="J601">
        <f>VLOOKUP(B601,raw!A:K,8,0)</f>
        <v>0</v>
      </c>
      <c r="K601">
        <f>_xlfn.IFNA(VLOOKUP(B601,TDK!A:C,2,0),0)</f>
        <v>4</v>
      </c>
      <c r="L601">
        <f>_xlfn.IFNA(VLOOKUP(B601,TDK!A:C,3,0),0)</f>
        <v>1</v>
      </c>
      <c r="M601">
        <f>_xlfn.IFNA(VLOOKUP(B601,TDK!F:G,2,0),0)</f>
        <v>2</v>
      </c>
      <c r="N601">
        <f t="shared" si="9"/>
        <v>7</v>
      </c>
    </row>
    <row r="602" spans="1:14" x14ac:dyDescent="0.25">
      <c r="A602" t="s">
        <v>87</v>
      </c>
      <c r="B602" t="s">
        <v>1599</v>
      </c>
      <c r="C602">
        <f>VLOOKUP(B602,raw!A:K,11,0)</f>
        <v>32</v>
      </c>
      <c r="D602">
        <f>VLOOKUP(B602,raw!A:K,3,0)+VLOOKUP(B602,raw!A:K,7,0)</f>
        <v>31</v>
      </c>
      <c r="E602">
        <f>VLOOKUP(B602,raw!A:K,4,0)</f>
        <v>0</v>
      </c>
      <c r="F602">
        <f>VLOOKUP(B602,raw!A:K,5,0)</f>
        <v>0</v>
      </c>
      <c r="G602">
        <f>VLOOKUP(B602,raw!A:K,2,0)+VLOOKUP(B602,raw!A:K,10,0)</f>
        <v>0</v>
      </c>
      <c r="H602">
        <f>VLOOKUP(B602,raw!A:K,6,0)</f>
        <v>0</v>
      </c>
      <c r="I602">
        <f>VLOOKUP(B602,raw!A:K,9,0)</f>
        <v>1</v>
      </c>
      <c r="J602">
        <f>VLOOKUP(B602,raw!A:K,8,0)</f>
        <v>0</v>
      </c>
      <c r="K602">
        <f>_xlfn.IFNA(VLOOKUP(B602,TDK!A:C,2,0),0)</f>
        <v>7</v>
      </c>
      <c r="L602">
        <f>_xlfn.IFNA(VLOOKUP(B602,TDK!A:C,3,0),0)</f>
        <v>0</v>
      </c>
      <c r="M602">
        <f>_xlfn.IFNA(VLOOKUP(B602,TDK!F:G,2,0),0)</f>
        <v>2</v>
      </c>
      <c r="N602">
        <f t="shared" si="9"/>
        <v>9</v>
      </c>
    </row>
    <row r="603" spans="1:14" x14ac:dyDescent="0.25">
      <c r="A603" t="s">
        <v>87</v>
      </c>
      <c r="B603" t="s">
        <v>1600</v>
      </c>
      <c r="C603">
        <f>VLOOKUP(B603,raw!A:K,11,0)</f>
        <v>51</v>
      </c>
      <c r="D603">
        <f>VLOOKUP(B603,raw!A:K,3,0)+VLOOKUP(B603,raw!A:K,7,0)</f>
        <v>46</v>
      </c>
      <c r="E603">
        <f>VLOOKUP(B603,raw!A:K,4,0)</f>
        <v>0</v>
      </c>
      <c r="F603">
        <f>VLOOKUP(B603,raw!A:K,5,0)</f>
        <v>0</v>
      </c>
      <c r="G603">
        <f>VLOOKUP(B603,raw!A:K,2,0)+VLOOKUP(B603,raw!A:K,10,0)</f>
        <v>0</v>
      </c>
      <c r="H603">
        <f>VLOOKUP(B603,raw!A:K,6,0)</f>
        <v>0</v>
      </c>
      <c r="I603">
        <f>VLOOKUP(B603,raw!A:K,9,0)</f>
        <v>5</v>
      </c>
      <c r="J603">
        <f>VLOOKUP(B603,raw!A:K,8,0)</f>
        <v>0</v>
      </c>
      <c r="K603">
        <f>_xlfn.IFNA(VLOOKUP(B603,TDK!A:C,2,0),0)</f>
        <v>9</v>
      </c>
      <c r="L603">
        <f>_xlfn.IFNA(VLOOKUP(B603,TDK!A:C,3,0),0)</f>
        <v>0</v>
      </c>
      <c r="M603">
        <f>_xlfn.IFNA(VLOOKUP(B603,TDK!F:G,2,0),0)</f>
        <v>2</v>
      </c>
      <c r="N603">
        <f t="shared" si="9"/>
        <v>11</v>
      </c>
    </row>
    <row r="604" spans="1:14" x14ac:dyDescent="0.25">
      <c r="A604" t="s">
        <v>87</v>
      </c>
      <c r="B604" t="s">
        <v>1601</v>
      </c>
      <c r="C604">
        <f>VLOOKUP(B604,raw!A:K,11,0)</f>
        <v>62</v>
      </c>
      <c r="D604">
        <f>VLOOKUP(B604,raw!A:K,3,0)+VLOOKUP(B604,raw!A:K,7,0)</f>
        <v>62</v>
      </c>
      <c r="E604">
        <f>VLOOKUP(B604,raw!A:K,4,0)</f>
        <v>0</v>
      </c>
      <c r="F604">
        <f>VLOOKUP(B604,raw!A:K,5,0)</f>
        <v>0</v>
      </c>
      <c r="G604">
        <f>VLOOKUP(B604,raw!A:K,2,0)+VLOOKUP(B604,raw!A:K,10,0)</f>
        <v>0</v>
      </c>
      <c r="H604">
        <f>VLOOKUP(B604,raw!A:K,6,0)</f>
        <v>0</v>
      </c>
      <c r="I604">
        <f>VLOOKUP(B604,raw!A:K,9,0)</f>
        <v>0</v>
      </c>
      <c r="J604">
        <f>VLOOKUP(B604,raw!A:K,8,0)</f>
        <v>0</v>
      </c>
      <c r="K604">
        <f>_xlfn.IFNA(VLOOKUP(B604,TDK!A:C,2,0),0)</f>
        <v>7</v>
      </c>
      <c r="L604">
        <f>_xlfn.IFNA(VLOOKUP(B604,TDK!A:C,3,0),0)</f>
        <v>0</v>
      </c>
      <c r="M604">
        <f>_xlfn.IFNA(VLOOKUP(B604,TDK!F:G,2,0),0)</f>
        <v>2</v>
      </c>
      <c r="N604">
        <f t="shared" si="9"/>
        <v>9</v>
      </c>
    </row>
    <row r="605" spans="1:14" x14ac:dyDescent="0.25">
      <c r="A605" t="s">
        <v>87</v>
      </c>
      <c r="B605" t="s">
        <v>1602</v>
      </c>
      <c r="C605">
        <f>VLOOKUP(B605,raw!A:K,11,0)</f>
        <v>58</v>
      </c>
      <c r="D605">
        <f>VLOOKUP(B605,raw!A:K,3,0)+VLOOKUP(B605,raw!A:K,7,0)</f>
        <v>57</v>
      </c>
      <c r="E605">
        <f>VLOOKUP(B605,raw!A:K,4,0)</f>
        <v>0</v>
      </c>
      <c r="F605">
        <f>VLOOKUP(B605,raw!A:K,5,0)</f>
        <v>0</v>
      </c>
      <c r="G605">
        <f>VLOOKUP(B605,raw!A:K,2,0)+VLOOKUP(B605,raw!A:K,10,0)</f>
        <v>0</v>
      </c>
      <c r="H605">
        <f>VLOOKUP(B605,raw!A:K,6,0)</f>
        <v>0</v>
      </c>
      <c r="I605">
        <f>VLOOKUP(B605,raw!A:K,9,0)</f>
        <v>1</v>
      </c>
      <c r="J605">
        <f>VLOOKUP(B605,raw!A:K,8,0)</f>
        <v>0</v>
      </c>
      <c r="K605">
        <f>_xlfn.IFNA(VLOOKUP(B605,TDK!A:C,2,0),0)</f>
        <v>11</v>
      </c>
      <c r="L605">
        <f>_xlfn.IFNA(VLOOKUP(B605,TDK!A:C,3,0),0)</f>
        <v>4</v>
      </c>
      <c r="M605">
        <f>_xlfn.IFNA(VLOOKUP(B605,TDK!F:G,2,0),0)</f>
        <v>2</v>
      </c>
      <c r="N605">
        <f t="shared" si="9"/>
        <v>17</v>
      </c>
    </row>
    <row r="606" spans="1:14" x14ac:dyDescent="0.25">
      <c r="A606" t="s">
        <v>87</v>
      </c>
      <c r="B606" t="s">
        <v>1603</v>
      </c>
      <c r="C606">
        <f>VLOOKUP(B606,raw!A:K,11,0)</f>
        <v>45</v>
      </c>
      <c r="D606">
        <f>VLOOKUP(B606,raw!A:K,3,0)+VLOOKUP(B606,raw!A:K,7,0)</f>
        <v>42</v>
      </c>
      <c r="E606">
        <f>VLOOKUP(B606,raw!A:K,4,0)</f>
        <v>0</v>
      </c>
      <c r="F606">
        <f>VLOOKUP(B606,raw!A:K,5,0)</f>
        <v>0</v>
      </c>
      <c r="G606">
        <f>VLOOKUP(B606,raw!A:K,2,0)+VLOOKUP(B606,raw!A:K,10,0)</f>
        <v>0</v>
      </c>
      <c r="H606">
        <f>VLOOKUP(B606,raw!A:K,6,0)</f>
        <v>0</v>
      </c>
      <c r="I606">
        <f>VLOOKUP(B606,raw!A:K,9,0)</f>
        <v>3</v>
      </c>
      <c r="J606">
        <f>VLOOKUP(B606,raw!A:K,8,0)</f>
        <v>0</v>
      </c>
      <c r="K606">
        <f>_xlfn.IFNA(VLOOKUP(B606,TDK!A:C,2,0),0)</f>
        <v>8</v>
      </c>
      <c r="L606">
        <f>_xlfn.IFNA(VLOOKUP(B606,TDK!A:C,3,0),0)</f>
        <v>0</v>
      </c>
      <c r="M606">
        <f>_xlfn.IFNA(VLOOKUP(B606,TDK!F:G,2,0),0)</f>
        <v>0</v>
      </c>
      <c r="N606">
        <f t="shared" si="9"/>
        <v>8</v>
      </c>
    </row>
    <row r="607" spans="1:14" x14ac:dyDescent="0.25">
      <c r="A607" t="s">
        <v>84</v>
      </c>
      <c r="B607" t="s">
        <v>1604</v>
      </c>
      <c r="C607">
        <f>VLOOKUP(B607,raw!A:K,11,0)</f>
        <v>60</v>
      </c>
      <c r="D607">
        <f>VLOOKUP(B607,raw!A:K,3,0)+VLOOKUP(B607,raw!A:K,7,0)</f>
        <v>60</v>
      </c>
      <c r="E607">
        <f>VLOOKUP(B607,raw!A:K,4,0)</f>
        <v>0</v>
      </c>
      <c r="F607">
        <f>VLOOKUP(B607,raw!A:K,5,0)</f>
        <v>0</v>
      </c>
      <c r="G607">
        <f>VLOOKUP(B607,raw!A:K,2,0)+VLOOKUP(B607,raw!A:K,10,0)</f>
        <v>0</v>
      </c>
      <c r="H607">
        <f>VLOOKUP(B607,raw!A:K,6,0)</f>
        <v>0</v>
      </c>
      <c r="I607">
        <f>VLOOKUP(B607,raw!A:K,9,0)</f>
        <v>0</v>
      </c>
      <c r="J607">
        <f>VLOOKUP(B607,raw!A:K,8,0)</f>
        <v>0</v>
      </c>
      <c r="K607">
        <f>_xlfn.IFNA(VLOOKUP(B607,TDK!A:C,2,0),0)</f>
        <v>10</v>
      </c>
      <c r="L607">
        <f>_xlfn.IFNA(VLOOKUP(B607,TDK!A:C,3,0),0)</f>
        <v>3</v>
      </c>
      <c r="M607">
        <f>_xlfn.IFNA(VLOOKUP(B607,TDK!F:G,2,0),0)</f>
        <v>4</v>
      </c>
      <c r="N607">
        <f t="shared" si="9"/>
        <v>17</v>
      </c>
    </row>
    <row r="608" spans="1:14" x14ac:dyDescent="0.25">
      <c r="A608" t="s">
        <v>84</v>
      </c>
      <c r="B608" t="s">
        <v>1605</v>
      </c>
      <c r="C608">
        <f>VLOOKUP(B608,raw!A:K,11,0)</f>
        <v>71</v>
      </c>
      <c r="D608">
        <f>VLOOKUP(B608,raw!A:K,3,0)+VLOOKUP(B608,raw!A:K,7,0)</f>
        <v>67</v>
      </c>
      <c r="E608">
        <f>VLOOKUP(B608,raw!A:K,4,0)</f>
        <v>0</v>
      </c>
      <c r="F608">
        <f>VLOOKUP(B608,raw!A:K,5,0)</f>
        <v>0</v>
      </c>
      <c r="G608">
        <f>VLOOKUP(B608,raw!A:K,2,0)+VLOOKUP(B608,raw!A:K,10,0)</f>
        <v>0</v>
      </c>
      <c r="H608">
        <f>VLOOKUP(B608,raw!A:K,6,0)</f>
        <v>4</v>
      </c>
      <c r="I608">
        <f>VLOOKUP(B608,raw!A:K,9,0)</f>
        <v>0</v>
      </c>
      <c r="J608">
        <f>VLOOKUP(B608,raw!A:K,8,0)</f>
        <v>0</v>
      </c>
      <c r="K608">
        <f>_xlfn.IFNA(VLOOKUP(B608,TDK!A:C,2,0),0)</f>
        <v>6</v>
      </c>
      <c r="L608">
        <f>_xlfn.IFNA(VLOOKUP(B608,TDK!A:C,3,0),0)</f>
        <v>8</v>
      </c>
      <c r="M608">
        <f>_xlfn.IFNA(VLOOKUP(B608,TDK!F:G,2,0),0)</f>
        <v>7</v>
      </c>
      <c r="N608">
        <f t="shared" si="9"/>
        <v>21</v>
      </c>
    </row>
    <row r="609" spans="1:14" x14ac:dyDescent="0.25">
      <c r="A609" t="s">
        <v>84</v>
      </c>
      <c r="B609" t="s">
        <v>1606</v>
      </c>
      <c r="C609">
        <f>VLOOKUP(B609,raw!A:K,11,0)</f>
        <v>41</v>
      </c>
      <c r="D609">
        <f>VLOOKUP(B609,raw!A:K,3,0)+VLOOKUP(B609,raw!A:K,7,0)</f>
        <v>40</v>
      </c>
      <c r="E609">
        <f>VLOOKUP(B609,raw!A:K,4,0)</f>
        <v>0</v>
      </c>
      <c r="F609">
        <f>VLOOKUP(B609,raw!A:K,5,0)</f>
        <v>0</v>
      </c>
      <c r="G609">
        <f>VLOOKUP(B609,raw!A:K,2,0)+VLOOKUP(B609,raw!A:K,10,0)</f>
        <v>1</v>
      </c>
      <c r="H609">
        <f>VLOOKUP(B609,raw!A:K,6,0)</f>
        <v>0</v>
      </c>
      <c r="I609">
        <f>VLOOKUP(B609,raw!A:K,9,0)</f>
        <v>0</v>
      </c>
      <c r="J609">
        <f>VLOOKUP(B609,raw!A:K,8,0)</f>
        <v>0</v>
      </c>
      <c r="K609">
        <f>_xlfn.IFNA(VLOOKUP(B609,TDK!A:C,2,0),0)</f>
        <v>2</v>
      </c>
      <c r="L609">
        <f>_xlfn.IFNA(VLOOKUP(B609,TDK!A:C,3,0),0)</f>
        <v>4</v>
      </c>
      <c r="M609">
        <f>_xlfn.IFNA(VLOOKUP(B609,TDK!F:G,2,0),0)</f>
        <v>1</v>
      </c>
      <c r="N609">
        <f t="shared" si="9"/>
        <v>7</v>
      </c>
    </row>
    <row r="610" spans="1:14" x14ac:dyDescent="0.25">
      <c r="A610" t="s">
        <v>84</v>
      </c>
      <c r="B610" t="s">
        <v>1607</v>
      </c>
      <c r="C610">
        <f>VLOOKUP(B610,raw!A:K,11,0)</f>
        <v>65</v>
      </c>
      <c r="D610">
        <f>VLOOKUP(B610,raw!A:K,3,0)+VLOOKUP(B610,raw!A:K,7,0)</f>
        <v>64</v>
      </c>
      <c r="E610">
        <f>VLOOKUP(B610,raw!A:K,4,0)</f>
        <v>0</v>
      </c>
      <c r="F610">
        <f>VLOOKUP(B610,raw!A:K,5,0)</f>
        <v>0</v>
      </c>
      <c r="G610">
        <f>VLOOKUP(B610,raw!A:K,2,0)+VLOOKUP(B610,raw!A:K,10,0)</f>
        <v>0</v>
      </c>
      <c r="H610">
        <f>VLOOKUP(B610,raw!A:K,6,0)</f>
        <v>1</v>
      </c>
      <c r="I610">
        <f>VLOOKUP(B610,raw!A:K,9,0)</f>
        <v>0</v>
      </c>
      <c r="J610">
        <f>VLOOKUP(B610,raw!A:K,8,0)</f>
        <v>0</v>
      </c>
      <c r="K610">
        <f>_xlfn.IFNA(VLOOKUP(B610,TDK!A:C,2,0),0)</f>
        <v>10</v>
      </c>
      <c r="L610">
        <f>_xlfn.IFNA(VLOOKUP(B610,TDK!A:C,3,0),0)</f>
        <v>4</v>
      </c>
      <c r="M610">
        <f>_xlfn.IFNA(VLOOKUP(B610,TDK!F:G,2,0),0)</f>
        <v>12</v>
      </c>
      <c r="N610">
        <f t="shared" si="9"/>
        <v>26</v>
      </c>
    </row>
    <row r="611" spans="1:14" x14ac:dyDescent="0.25">
      <c r="A611" t="s">
        <v>84</v>
      </c>
      <c r="B611" t="s">
        <v>1608</v>
      </c>
      <c r="C611">
        <f>VLOOKUP(B611,raw!A:K,11,0)</f>
        <v>49</v>
      </c>
      <c r="D611">
        <f>VLOOKUP(B611,raw!A:K,3,0)+VLOOKUP(B611,raw!A:K,7,0)</f>
        <v>48</v>
      </c>
      <c r="E611">
        <f>VLOOKUP(B611,raw!A:K,4,0)</f>
        <v>0</v>
      </c>
      <c r="F611">
        <f>VLOOKUP(B611,raw!A:K,5,0)</f>
        <v>0</v>
      </c>
      <c r="G611">
        <f>VLOOKUP(B611,raw!A:K,2,0)+VLOOKUP(B611,raw!A:K,10,0)</f>
        <v>0</v>
      </c>
      <c r="H611">
        <f>VLOOKUP(B611,raw!A:K,6,0)</f>
        <v>1</v>
      </c>
      <c r="I611">
        <f>VLOOKUP(B611,raw!A:K,9,0)</f>
        <v>0</v>
      </c>
      <c r="J611">
        <f>VLOOKUP(B611,raw!A:K,8,0)</f>
        <v>0</v>
      </c>
      <c r="K611">
        <f>_xlfn.IFNA(VLOOKUP(B611,TDK!A:C,2,0),0)</f>
        <v>9</v>
      </c>
      <c r="L611">
        <f>_xlfn.IFNA(VLOOKUP(B611,TDK!A:C,3,0),0)</f>
        <v>3</v>
      </c>
      <c r="M611">
        <f>_xlfn.IFNA(VLOOKUP(B611,TDK!F:G,2,0),0)</f>
        <v>3</v>
      </c>
      <c r="N611">
        <f t="shared" si="9"/>
        <v>15</v>
      </c>
    </row>
    <row r="612" spans="1:14" x14ac:dyDescent="0.25">
      <c r="A612" t="s">
        <v>84</v>
      </c>
      <c r="B612" t="s">
        <v>1609</v>
      </c>
      <c r="C612">
        <f>VLOOKUP(B612,raw!A:K,11,0)</f>
        <v>57</v>
      </c>
      <c r="D612">
        <f>VLOOKUP(B612,raw!A:K,3,0)+VLOOKUP(B612,raw!A:K,7,0)</f>
        <v>57</v>
      </c>
      <c r="E612">
        <f>VLOOKUP(B612,raw!A:K,4,0)</f>
        <v>0</v>
      </c>
      <c r="F612">
        <f>VLOOKUP(B612,raw!A:K,5,0)</f>
        <v>0</v>
      </c>
      <c r="G612">
        <f>VLOOKUP(B612,raw!A:K,2,0)+VLOOKUP(B612,raw!A:K,10,0)</f>
        <v>0</v>
      </c>
      <c r="H612">
        <f>VLOOKUP(B612,raw!A:K,6,0)</f>
        <v>0</v>
      </c>
      <c r="I612">
        <f>VLOOKUP(B612,raw!A:K,9,0)</f>
        <v>0</v>
      </c>
      <c r="J612">
        <f>VLOOKUP(B612,raw!A:K,8,0)</f>
        <v>0</v>
      </c>
      <c r="K612">
        <f>_xlfn.IFNA(VLOOKUP(B612,TDK!A:C,2,0),0)</f>
        <v>11</v>
      </c>
      <c r="L612">
        <f>_xlfn.IFNA(VLOOKUP(B612,TDK!A:C,3,0),0)</f>
        <v>5</v>
      </c>
      <c r="M612">
        <f>_xlfn.IFNA(VLOOKUP(B612,TDK!F:G,2,0),0)</f>
        <v>8</v>
      </c>
      <c r="N612">
        <f t="shared" si="9"/>
        <v>24</v>
      </c>
    </row>
    <row r="613" spans="1:14" x14ac:dyDescent="0.25">
      <c r="A613" t="s">
        <v>88</v>
      </c>
      <c r="B613" t="s">
        <v>1610</v>
      </c>
      <c r="C613">
        <f>VLOOKUP(B613,raw!A:K,11,0)</f>
        <v>75</v>
      </c>
      <c r="D613">
        <f>VLOOKUP(B613,raw!A:K,3,0)+VLOOKUP(B613,raw!A:K,7,0)</f>
        <v>75</v>
      </c>
      <c r="E613">
        <f>VLOOKUP(B613,raw!A:K,4,0)</f>
        <v>0</v>
      </c>
      <c r="F613">
        <f>VLOOKUP(B613,raw!A:K,5,0)</f>
        <v>0</v>
      </c>
      <c r="G613">
        <f>VLOOKUP(B613,raw!A:K,2,0)+VLOOKUP(B613,raw!A:K,10,0)</f>
        <v>0</v>
      </c>
      <c r="H613">
        <f>VLOOKUP(B613,raw!A:K,6,0)</f>
        <v>0</v>
      </c>
      <c r="I613">
        <f>VLOOKUP(B613,raw!A:K,9,0)</f>
        <v>0</v>
      </c>
      <c r="J613">
        <f>VLOOKUP(B613,raw!A:K,8,0)</f>
        <v>0</v>
      </c>
      <c r="K613">
        <f>_xlfn.IFNA(VLOOKUP(B613,TDK!A:C,2,0),0)</f>
        <v>12</v>
      </c>
      <c r="L613">
        <f>_xlfn.IFNA(VLOOKUP(B613,TDK!A:C,3,0),0)</f>
        <v>0</v>
      </c>
      <c r="M613">
        <f>_xlfn.IFNA(VLOOKUP(B613,TDK!F:G,2,0),0)</f>
        <v>9</v>
      </c>
      <c r="N613">
        <f t="shared" si="9"/>
        <v>21</v>
      </c>
    </row>
    <row r="614" spans="1:14" x14ac:dyDescent="0.25">
      <c r="A614" t="s">
        <v>88</v>
      </c>
      <c r="B614" t="s">
        <v>1611</v>
      </c>
      <c r="C614">
        <f>VLOOKUP(B614,raw!A:K,11,0)</f>
        <v>67</v>
      </c>
      <c r="D614">
        <f>VLOOKUP(B614,raw!A:K,3,0)+VLOOKUP(B614,raw!A:K,7,0)</f>
        <v>67</v>
      </c>
      <c r="E614">
        <f>VLOOKUP(B614,raw!A:K,4,0)</f>
        <v>0</v>
      </c>
      <c r="F614">
        <f>VLOOKUP(B614,raw!A:K,5,0)</f>
        <v>0</v>
      </c>
      <c r="G614">
        <f>VLOOKUP(B614,raw!A:K,2,0)+VLOOKUP(B614,raw!A:K,10,0)</f>
        <v>0</v>
      </c>
      <c r="H614">
        <f>VLOOKUP(B614,raw!A:K,6,0)</f>
        <v>0</v>
      </c>
      <c r="I614">
        <f>VLOOKUP(B614,raw!A:K,9,0)</f>
        <v>0</v>
      </c>
      <c r="J614">
        <f>VLOOKUP(B614,raw!A:K,8,0)</f>
        <v>0</v>
      </c>
      <c r="K614">
        <f>_xlfn.IFNA(VLOOKUP(B614,TDK!A:C,2,0),0)</f>
        <v>12</v>
      </c>
      <c r="L614">
        <f>_xlfn.IFNA(VLOOKUP(B614,TDK!A:C,3,0),0)</f>
        <v>0</v>
      </c>
      <c r="M614">
        <f>_xlfn.IFNA(VLOOKUP(B614,TDK!F:G,2,0),0)</f>
        <v>6</v>
      </c>
      <c r="N614">
        <f t="shared" si="9"/>
        <v>18</v>
      </c>
    </row>
    <row r="615" spans="1:14" x14ac:dyDescent="0.25">
      <c r="A615" t="s">
        <v>88</v>
      </c>
      <c r="B615" t="s">
        <v>1612</v>
      </c>
      <c r="C615">
        <f>VLOOKUP(B615,raw!A:K,11,0)</f>
        <v>78</v>
      </c>
      <c r="D615">
        <f>VLOOKUP(B615,raw!A:K,3,0)+VLOOKUP(B615,raw!A:K,7,0)</f>
        <v>78</v>
      </c>
      <c r="E615">
        <f>VLOOKUP(B615,raw!A:K,4,0)</f>
        <v>0</v>
      </c>
      <c r="F615">
        <f>VLOOKUP(B615,raw!A:K,5,0)</f>
        <v>0</v>
      </c>
      <c r="G615">
        <f>VLOOKUP(B615,raw!A:K,2,0)+VLOOKUP(B615,raw!A:K,10,0)</f>
        <v>0</v>
      </c>
      <c r="H615">
        <f>VLOOKUP(B615,raw!A:K,6,0)</f>
        <v>0</v>
      </c>
      <c r="I615">
        <f>VLOOKUP(B615,raw!A:K,9,0)</f>
        <v>0</v>
      </c>
      <c r="J615">
        <f>VLOOKUP(B615,raw!A:K,8,0)</f>
        <v>0</v>
      </c>
      <c r="K615">
        <f>_xlfn.IFNA(VLOOKUP(B615,TDK!A:C,2,0),0)</f>
        <v>10</v>
      </c>
      <c r="L615">
        <f>_xlfn.IFNA(VLOOKUP(B615,TDK!A:C,3,0),0)</f>
        <v>0</v>
      </c>
      <c r="M615">
        <f>_xlfn.IFNA(VLOOKUP(B615,TDK!F:G,2,0),0)</f>
        <v>1</v>
      </c>
      <c r="N615">
        <f t="shared" si="9"/>
        <v>11</v>
      </c>
    </row>
    <row r="616" spans="1:14" x14ac:dyDescent="0.25">
      <c r="A616" t="s">
        <v>88</v>
      </c>
      <c r="B616" t="s">
        <v>1613</v>
      </c>
      <c r="C616">
        <f>VLOOKUP(B616,raw!A:K,11,0)</f>
        <v>82</v>
      </c>
      <c r="D616">
        <f>VLOOKUP(B616,raw!A:K,3,0)+VLOOKUP(B616,raw!A:K,7,0)</f>
        <v>78</v>
      </c>
      <c r="E616">
        <f>VLOOKUP(B616,raw!A:K,4,0)</f>
        <v>2</v>
      </c>
      <c r="F616">
        <f>VLOOKUP(B616,raw!A:K,5,0)</f>
        <v>0</v>
      </c>
      <c r="G616">
        <f>VLOOKUP(B616,raw!A:K,2,0)+VLOOKUP(B616,raw!A:K,10,0)</f>
        <v>0</v>
      </c>
      <c r="H616">
        <f>VLOOKUP(B616,raw!A:K,6,0)</f>
        <v>2</v>
      </c>
      <c r="I616">
        <f>VLOOKUP(B616,raw!A:K,9,0)</f>
        <v>0</v>
      </c>
      <c r="J616">
        <f>VLOOKUP(B616,raw!A:K,8,0)</f>
        <v>0</v>
      </c>
      <c r="K616">
        <f>_xlfn.IFNA(VLOOKUP(B616,TDK!A:C,2,0),0)</f>
        <v>11</v>
      </c>
      <c r="L616">
        <f>_xlfn.IFNA(VLOOKUP(B616,TDK!A:C,3,0),0)</f>
        <v>1</v>
      </c>
      <c r="M616">
        <f>_xlfn.IFNA(VLOOKUP(B616,TDK!F:G,2,0),0)</f>
        <v>7</v>
      </c>
      <c r="N616">
        <f t="shared" si="9"/>
        <v>19</v>
      </c>
    </row>
    <row r="617" spans="1:14" x14ac:dyDescent="0.25">
      <c r="A617" t="s">
        <v>88</v>
      </c>
      <c r="B617" t="s">
        <v>1614</v>
      </c>
      <c r="C617">
        <f>VLOOKUP(B617,raw!A:K,11,0)</f>
        <v>74</v>
      </c>
      <c r="D617">
        <f>VLOOKUP(B617,raw!A:K,3,0)+VLOOKUP(B617,raw!A:K,7,0)</f>
        <v>50</v>
      </c>
      <c r="E617">
        <f>VLOOKUP(B617,raw!A:K,4,0)</f>
        <v>0</v>
      </c>
      <c r="F617">
        <f>VLOOKUP(B617,raw!A:K,5,0)</f>
        <v>0</v>
      </c>
      <c r="G617">
        <f>VLOOKUP(B617,raw!A:K,2,0)+VLOOKUP(B617,raw!A:K,10,0)</f>
        <v>0</v>
      </c>
      <c r="H617">
        <f>VLOOKUP(B617,raw!A:K,6,0)</f>
        <v>1</v>
      </c>
      <c r="I617">
        <f>VLOOKUP(B617,raw!A:K,9,0)</f>
        <v>23</v>
      </c>
      <c r="J617">
        <f>VLOOKUP(B617,raw!A:K,8,0)</f>
        <v>0</v>
      </c>
      <c r="K617">
        <f>_xlfn.IFNA(VLOOKUP(B617,TDK!A:C,2,0),0)</f>
        <v>13</v>
      </c>
      <c r="L617">
        <f>_xlfn.IFNA(VLOOKUP(B617,TDK!A:C,3,0),0)</f>
        <v>0</v>
      </c>
      <c r="M617">
        <f>_xlfn.IFNA(VLOOKUP(B617,TDK!F:G,2,0),0)</f>
        <v>3</v>
      </c>
      <c r="N617">
        <f t="shared" si="9"/>
        <v>16</v>
      </c>
    </row>
    <row r="618" spans="1:14" x14ac:dyDescent="0.25">
      <c r="A618" t="s">
        <v>88</v>
      </c>
      <c r="B618" t="s">
        <v>1615</v>
      </c>
      <c r="C618">
        <f>VLOOKUP(B618,raw!A:K,11,0)</f>
        <v>52</v>
      </c>
      <c r="D618">
        <f>VLOOKUP(B618,raw!A:K,3,0)+VLOOKUP(B618,raw!A:K,7,0)</f>
        <v>39</v>
      </c>
      <c r="E618">
        <f>VLOOKUP(B618,raw!A:K,4,0)</f>
        <v>0</v>
      </c>
      <c r="F618">
        <f>VLOOKUP(B618,raw!A:K,5,0)</f>
        <v>0</v>
      </c>
      <c r="G618">
        <f>VLOOKUP(B618,raw!A:K,2,0)+VLOOKUP(B618,raw!A:K,10,0)</f>
        <v>0</v>
      </c>
      <c r="H618">
        <f>VLOOKUP(B618,raw!A:K,6,0)</f>
        <v>0</v>
      </c>
      <c r="I618">
        <f>VLOOKUP(B618,raw!A:K,9,0)</f>
        <v>13</v>
      </c>
      <c r="J618">
        <f>VLOOKUP(B618,raw!A:K,8,0)</f>
        <v>0</v>
      </c>
      <c r="K618">
        <f>_xlfn.IFNA(VLOOKUP(B618,TDK!A:C,2,0),0)</f>
        <v>6</v>
      </c>
      <c r="L618">
        <f>_xlfn.IFNA(VLOOKUP(B618,TDK!A:C,3,0),0)</f>
        <v>0</v>
      </c>
      <c r="M618">
        <f>_xlfn.IFNA(VLOOKUP(B618,TDK!F:G,2,0),0)</f>
        <v>2</v>
      </c>
      <c r="N618">
        <f t="shared" si="9"/>
        <v>8</v>
      </c>
    </row>
    <row r="619" spans="1:14" x14ac:dyDescent="0.25">
      <c r="A619" t="s">
        <v>88</v>
      </c>
      <c r="B619" t="s">
        <v>1616</v>
      </c>
      <c r="C619">
        <f>VLOOKUP(B619,raw!A:K,11,0)</f>
        <v>63</v>
      </c>
      <c r="D619">
        <f>VLOOKUP(B619,raw!A:K,3,0)+VLOOKUP(B619,raw!A:K,7,0)</f>
        <v>50</v>
      </c>
      <c r="E619">
        <f>VLOOKUP(B619,raw!A:K,4,0)</f>
        <v>0</v>
      </c>
      <c r="F619">
        <f>VLOOKUP(B619,raw!A:K,5,0)</f>
        <v>0</v>
      </c>
      <c r="G619">
        <f>VLOOKUP(B619,raw!A:K,2,0)+VLOOKUP(B619,raw!A:K,10,0)</f>
        <v>0</v>
      </c>
      <c r="H619">
        <f>VLOOKUP(B619,raw!A:K,6,0)</f>
        <v>1</v>
      </c>
      <c r="I619">
        <f>VLOOKUP(B619,raw!A:K,9,0)</f>
        <v>12</v>
      </c>
      <c r="J619">
        <f>VLOOKUP(B619,raw!A:K,8,0)</f>
        <v>0</v>
      </c>
      <c r="K619">
        <f>_xlfn.IFNA(VLOOKUP(B619,TDK!A:C,2,0),0)</f>
        <v>9</v>
      </c>
      <c r="L619">
        <f>_xlfn.IFNA(VLOOKUP(B619,TDK!A:C,3,0),0)</f>
        <v>0</v>
      </c>
      <c r="M619">
        <f>_xlfn.IFNA(VLOOKUP(B619,TDK!F:G,2,0),0)</f>
        <v>5</v>
      </c>
      <c r="N619">
        <f t="shared" si="9"/>
        <v>14</v>
      </c>
    </row>
    <row r="620" spans="1:14" x14ac:dyDescent="0.25">
      <c r="A620" t="s">
        <v>89</v>
      </c>
      <c r="B620" t="s">
        <v>1617</v>
      </c>
      <c r="C620">
        <f>VLOOKUP(B620,raw!A:K,11,0)</f>
        <v>100</v>
      </c>
      <c r="D620">
        <f>VLOOKUP(B620,raw!A:K,3,0)+VLOOKUP(B620,raw!A:K,7,0)</f>
        <v>49</v>
      </c>
      <c r="E620">
        <f>VLOOKUP(B620,raw!A:K,4,0)</f>
        <v>0</v>
      </c>
      <c r="F620">
        <f>VLOOKUP(B620,raw!A:K,5,0)</f>
        <v>0</v>
      </c>
      <c r="G620">
        <f>VLOOKUP(B620,raw!A:K,2,0)+VLOOKUP(B620,raw!A:K,10,0)</f>
        <v>1</v>
      </c>
      <c r="H620">
        <f>VLOOKUP(B620,raw!A:K,6,0)</f>
        <v>0</v>
      </c>
      <c r="I620">
        <f>VLOOKUP(B620,raw!A:K,9,0)</f>
        <v>50</v>
      </c>
      <c r="J620">
        <f>VLOOKUP(B620,raw!A:K,8,0)</f>
        <v>0</v>
      </c>
      <c r="K620">
        <f>_xlfn.IFNA(VLOOKUP(B620,TDK!A:C,2,0),0)</f>
        <v>21</v>
      </c>
      <c r="L620">
        <f>_xlfn.IFNA(VLOOKUP(B620,TDK!A:C,3,0),0)</f>
        <v>0</v>
      </c>
      <c r="M620">
        <f>_xlfn.IFNA(VLOOKUP(B620,TDK!F:G,2,0),0)</f>
        <v>8</v>
      </c>
      <c r="N620">
        <f t="shared" si="9"/>
        <v>29</v>
      </c>
    </row>
    <row r="621" spans="1:14" x14ac:dyDescent="0.25">
      <c r="A621" t="s">
        <v>89</v>
      </c>
      <c r="B621" t="s">
        <v>1618</v>
      </c>
      <c r="C621">
        <f>VLOOKUP(B621,raw!A:K,11,0)</f>
        <v>50</v>
      </c>
      <c r="D621">
        <f>VLOOKUP(B621,raw!A:K,3,0)+VLOOKUP(B621,raw!A:K,7,0)</f>
        <v>50</v>
      </c>
      <c r="E621">
        <f>VLOOKUP(B621,raw!A:K,4,0)</f>
        <v>0</v>
      </c>
      <c r="F621">
        <f>VLOOKUP(B621,raw!A:K,5,0)</f>
        <v>0</v>
      </c>
      <c r="G621">
        <f>VLOOKUP(B621,raw!A:K,2,0)+VLOOKUP(B621,raw!A:K,10,0)</f>
        <v>0</v>
      </c>
      <c r="H621">
        <f>VLOOKUP(B621,raw!A:K,6,0)</f>
        <v>0</v>
      </c>
      <c r="I621">
        <f>VLOOKUP(B621,raw!A:K,9,0)</f>
        <v>0</v>
      </c>
      <c r="J621">
        <f>VLOOKUP(B621,raw!A:K,8,0)</f>
        <v>0</v>
      </c>
      <c r="K621">
        <f>_xlfn.IFNA(VLOOKUP(B621,TDK!A:C,2,0),0)</f>
        <v>4</v>
      </c>
      <c r="L621">
        <f>_xlfn.IFNA(VLOOKUP(B621,TDK!A:C,3,0),0)</f>
        <v>0</v>
      </c>
      <c r="M621">
        <f>_xlfn.IFNA(VLOOKUP(B621,TDK!F:G,2,0),0)</f>
        <v>2</v>
      </c>
      <c r="N621">
        <f t="shared" si="9"/>
        <v>6</v>
      </c>
    </row>
    <row r="622" spans="1:14" x14ac:dyDescent="0.25">
      <c r="A622" t="s">
        <v>89</v>
      </c>
      <c r="B622" t="s">
        <v>1619</v>
      </c>
      <c r="C622">
        <f>VLOOKUP(B622,raw!A:K,11,0)</f>
        <v>126</v>
      </c>
      <c r="D622">
        <f>VLOOKUP(B622,raw!A:K,3,0)+VLOOKUP(B622,raw!A:K,7,0)</f>
        <v>107</v>
      </c>
      <c r="E622">
        <f>VLOOKUP(B622,raw!A:K,4,0)</f>
        <v>0</v>
      </c>
      <c r="F622">
        <f>VLOOKUP(B622,raw!A:K,5,0)</f>
        <v>0</v>
      </c>
      <c r="G622">
        <f>VLOOKUP(B622,raw!A:K,2,0)+VLOOKUP(B622,raw!A:K,10,0)</f>
        <v>0</v>
      </c>
      <c r="H622">
        <f>VLOOKUP(B622,raw!A:K,6,0)</f>
        <v>0</v>
      </c>
      <c r="I622">
        <f>VLOOKUP(B622,raw!A:K,9,0)</f>
        <v>19</v>
      </c>
      <c r="J622">
        <f>VLOOKUP(B622,raw!A:K,8,0)</f>
        <v>0</v>
      </c>
      <c r="K622">
        <f>_xlfn.IFNA(VLOOKUP(B622,TDK!A:C,2,0),0)</f>
        <v>16</v>
      </c>
      <c r="L622">
        <f>_xlfn.IFNA(VLOOKUP(B622,TDK!A:C,3,0),0)</f>
        <v>0</v>
      </c>
      <c r="M622">
        <f>_xlfn.IFNA(VLOOKUP(B622,TDK!F:G,2,0),0)</f>
        <v>3</v>
      </c>
      <c r="N622">
        <f t="shared" si="9"/>
        <v>19</v>
      </c>
    </row>
    <row r="623" spans="1:14" x14ac:dyDescent="0.25">
      <c r="A623" t="s">
        <v>89</v>
      </c>
      <c r="B623" t="s">
        <v>1620</v>
      </c>
      <c r="C623">
        <f>VLOOKUP(B623,raw!A:K,11,0)</f>
        <v>83</v>
      </c>
      <c r="D623">
        <f>VLOOKUP(B623,raw!A:K,3,0)+VLOOKUP(B623,raw!A:K,7,0)</f>
        <v>74</v>
      </c>
      <c r="E623">
        <f>VLOOKUP(B623,raw!A:K,4,0)</f>
        <v>0</v>
      </c>
      <c r="F623">
        <f>VLOOKUP(B623,raw!A:K,5,0)</f>
        <v>0</v>
      </c>
      <c r="G623">
        <f>VLOOKUP(B623,raw!A:K,2,0)+VLOOKUP(B623,raw!A:K,10,0)</f>
        <v>2</v>
      </c>
      <c r="H623">
        <f>VLOOKUP(B623,raw!A:K,6,0)</f>
        <v>0</v>
      </c>
      <c r="I623">
        <f>VLOOKUP(B623,raw!A:K,9,0)</f>
        <v>7</v>
      </c>
      <c r="J623">
        <f>VLOOKUP(B623,raw!A:K,8,0)</f>
        <v>0</v>
      </c>
      <c r="K623">
        <f>_xlfn.IFNA(VLOOKUP(B623,TDK!A:C,2,0),0)</f>
        <v>10</v>
      </c>
      <c r="L623">
        <f>_xlfn.IFNA(VLOOKUP(B623,TDK!A:C,3,0),0)</f>
        <v>0</v>
      </c>
      <c r="M623">
        <f>_xlfn.IFNA(VLOOKUP(B623,TDK!F:G,2,0),0)</f>
        <v>0</v>
      </c>
      <c r="N623">
        <f t="shared" si="9"/>
        <v>10</v>
      </c>
    </row>
    <row r="624" spans="1:14" x14ac:dyDescent="0.25">
      <c r="A624" t="s">
        <v>89</v>
      </c>
      <c r="B624" t="s">
        <v>1621</v>
      </c>
      <c r="C624">
        <f>VLOOKUP(B624,raw!A:K,11,0)</f>
        <v>50</v>
      </c>
      <c r="D624">
        <f>VLOOKUP(B624,raw!A:K,3,0)+VLOOKUP(B624,raw!A:K,7,0)</f>
        <v>48</v>
      </c>
      <c r="E624">
        <f>VLOOKUP(B624,raw!A:K,4,0)</f>
        <v>0</v>
      </c>
      <c r="F624">
        <f>VLOOKUP(B624,raw!A:K,5,0)</f>
        <v>0</v>
      </c>
      <c r="G624">
        <f>VLOOKUP(B624,raw!A:K,2,0)+VLOOKUP(B624,raw!A:K,10,0)</f>
        <v>2</v>
      </c>
      <c r="H624">
        <f>VLOOKUP(B624,raw!A:K,6,0)</f>
        <v>0</v>
      </c>
      <c r="I624">
        <f>VLOOKUP(B624,raw!A:K,9,0)</f>
        <v>0</v>
      </c>
      <c r="J624">
        <f>VLOOKUP(B624,raw!A:K,8,0)</f>
        <v>0</v>
      </c>
      <c r="K624">
        <f>_xlfn.IFNA(VLOOKUP(B624,TDK!A:C,2,0),0)</f>
        <v>10</v>
      </c>
      <c r="L624">
        <f>_xlfn.IFNA(VLOOKUP(B624,TDK!A:C,3,0),0)</f>
        <v>0</v>
      </c>
      <c r="M624">
        <f>_xlfn.IFNA(VLOOKUP(B624,TDK!F:G,2,0),0)</f>
        <v>7</v>
      </c>
      <c r="N624">
        <f t="shared" si="9"/>
        <v>17</v>
      </c>
    </row>
    <row r="625" spans="1:14" x14ac:dyDescent="0.25">
      <c r="A625" t="s">
        <v>89</v>
      </c>
      <c r="B625" t="s">
        <v>1622</v>
      </c>
      <c r="C625">
        <f>VLOOKUP(B625,raw!A:K,11,0)</f>
        <v>63</v>
      </c>
      <c r="D625">
        <f>VLOOKUP(B625,raw!A:K,3,0)+VLOOKUP(B625,raw!A:K,7,0)</f>
        <v>49</v>
      </c>
      <c r="E625">
        <f>VLOOKUP(B625,raw!A:K,4,0)</f>
        <v>0</v>
      </c>
      <c r="F625">
        <f>VLOOKUP(B625,raw!A:K,5,0)</f>
        <v>0</v>
      </c>
      <c r="G625">
        <f>VLOOKUP(B625,raw!A:K,2,0)+VLOOKUP(B625,raw!A:K,10,0)</f>
        <v>14</v>
      </c>
      <c r="H625">
        <f>VLOOKUP(B625,raw!A:K,6,0)</f>
        <v>0</v>
      </c>
      <c r="I625">
        <f>VLOOKUP(B625,raw!A:K,9,0)</f>
        <v>0</v>
      </c>
      <c r="J625">
        <f>VLOOKUP(B625,raw!A:K,8,0)</f>
        <v>0</v>
      </c>
      <c r="K625">
        <f>_xlfn.IFNA(VLOOKUP(B625,TDK!A:C,2,0),0)</f>
        <v>9</v>
      </c>
      <c r="L625">
        <f>_xlfn.IFNA(VLOOKUP(B625,TDK!A:C,3,0),0)</f>
        <v>1</v>
      </c>
      <c r="M625">
        <f>_xlfn.IFNA(VLOOKUP(B625,TDK!F:G,2,0),0)</f>
        <v>2</v>
      </c>
      <c r="N625">
        <f t="shared" si="9"/>
        <v>12</v>
      </c>
    </row>
    <row r="626" spans="1:14" x14ac:dyDescent="0.25">
      <c r="A626" t="s">
        <v>86</v>
      </c>
      <c r="B626" t="s">
        <v>1623</v>
      </c>
      <c r="C626">
        <f>VLOOKUP(B626,raw!A:K,11,0)</f>
        <v>72</v>
      </c>
      <c r="D626">
        <f>VLOOKUP(B626,raw!A:K,3,0)+VLOOKUP(B626,raw!A:K,7,0)</f>
        <v>72</v>
      </c>
      <c r="E626">
        <f>VLOOKUP(B626,raw!A:K,4,0)</f>
        <v>0</v>
      </c>
      <c r="F626">
        <f>VLOOKUP(B626,raw!A:K,5,0)</f>
        <v>0</v>
      </c>
      <c r="G626">
        <f>VLOOKUP(B626,raw!A:K,2,0)+VLOOKUP(B626,raw!A:K,10,0)</f>
        <v>0</v>
      </c>
      <c r="H626">
        <f>VLOOKUP(B626,raw!A:K,6,0)</f>
        <v>0</v>
      </c>
      <c r="I626">
        <f>VLOOKUP(B626,raw!A:K,9,0)</f>
        <v>0</v>
      </c>
      <c r="J626">
        <f>VLOOKUP(B626,raw!A:K,8,0)</f>
        <v>0</v>
      </c>
      <c r="K626">
        <f>_xlfn.IFNA(VLOOKUP(B626,TDK!A:C,2,0),0)</f>
        <v>16</v>
      </c>
      <c r="L626">
        <f>_xlfn.IFNA(VLOOKUP(B626,TDK!A:C,3,0),0)</f>
        <v>1</v>
      </c>
      <c r="M626">
        <f>_xlfn.IFNA(VLOOKUP(B626,TDK!F:G,2,0),0)</f>
        <v>0</v>
      </c>
      <c r="N626">
        <f t="shared" si="9"/>
        <v>17</v>
      </c>
    </row>
    <row r="627" spans="1:14" x14ac:dyDescent="0.25">
      <c r="A627" t="s">
        <v>86</v>
      </c>
      <c r="B627" t="s">
        <v>1624</v>
      </c>
      <c r="C627">
        <f>VLOOKUP(B627,raw!A:K,11,0)</f>
        <v>46</v>
      </c>
      <c r="D627">
        <f>VLOOKUP(B627,raw!A:K,3,0)+VLOOKUP(B627,raw!A:K,7,0)</f>
        <v>46</v>
      </c>
      <c r="E627">
        <f>VLOOKUP(B627,raw!A:K,4,0)</f>
        <v>0</v>
      </c>
      <c r="F627">
        <f>VLOOKUP(B627,raw!A:K,5,0)</f>
        <v>0</v>
      </c>
      <c r="G627">
        <f>VLOOKUP(B627,raw!A:K,2,0)+VLOOKUP(B627,raw!A:K,10,0)</f>
        <v>0</v>
      </c>
      <c r="H627">
        <f>VLOOKUP(B627,raw!A:K,6,0)</f>
        <v>0</v>
      </c>
      <c r="I627">
        <f>VLOOKUP(B627,raw!A:K,9,0)</f>
        <v>0</v>
      </c>
      <c r="J627">
        <f>VLOOKUP(B627,raw!A:K,8,0)</f>
        <v>0</v>
      </c>
      <c r="K627">
        <f>_xlfn.IFNA(VLOOKUP(B627,TDK!A:C,2,0),0)</f>
        <v>19</v>
      </c>
      <c r="L627">
        <f>_xlfn.IFNA(VLOOKUP(B627,TDK!A:C,3,0),0)</f>
        <v>0</v>
      </c>
      <c r="M627">
        <f>_xlfn.IFNA(VLOOKUP(B627,TDK!F:G,2,0),0)</f>
        <v>0</v>
      </c>
      <c r="N627">
        <f t="shared" si="9"/>
        <v>19</v>
      </c>
    </row>
    <row r="628" spans="1:14" x14ac:dyDescent="0.25">
      <c r="A628" t="s">
        <v>86</v>
      </c>
      <c r="B628" t="s">
        <v>1625</v>
      </c>
      <c r="C628">
        <f>VLOOKUP(B628,raw!A:K,11,0)</f>
        <v>34</v>
      </c>
      <c r="D628">
        <f>VLOOKUP(B628,raw!A:K,3,0)+VLOOKUP(B628,raw!A:K,7,0)</f>
        <v>34</v>
      </c>
      <c r="E628">
        <f>VLOOKUP(B628,raw!A:K,4,0)</f>
        <v>0</v>
      </c>
      <c r="F628">
        <f>VLOOKUP(B628,raw!A:K,5,0)</f>
        <v>0</v>
      </c>
      <c r="G628">
        <f>VLOOKUP(B628,raw!A:K,2,0)+VLOOKUP(B628,raw!A:K,10,0)</f>
        <v>0</v>
      </c>
      <c r="H628">
        <f>VLOOKUP(B628,raw!A:K,6,0)</f>
        <v>0</v>
      </c>
      <c r="I628">
        <f>VLOOKUP(B628,raw!A:K,9,0)</f>
        <v>0</v>
      </c>
      <c r="J628">
        <f>VLOOKUP(B628,raw!A:K,8,0)</f>
        <v>0</v>
      </c>
      <c r="K628">
        <f>_xlfn.IFNA(VLOOKUP(B628,TDK!A:C,2,0),0)</f>
        <v>12</v>
      </c>
      <c r="L628">
        <f>_xlfn.IFNA(VLOOKUP(B628,TDK!A:C,3,0),0)</f>
        <v>1</v>
      </c>
      <c r="M628">
        <f>_xlfn.IFNA(VLOOKUP(B628,TDK!F:G,2,0),0)</f>
        <v>0</v>
      </c>
      <c r="N628">
        <f t="shared" si="9"/>
        <v>13</v>
      </c>
    </row>
    <row r="629" spans="1:14" x14ac:dyDescent="0.25">
      <c r="A629" t="s">
        <v>86</v>
      </c>
      <c r="B629" t="s">
        <v>1626</v>
      </c>
      <c r="C629">
        <f>VLOOKUP(B629,raw!A:K,11,0)</f>
        <v>47</v>
      </c>
      <c r="D629">
        <f>VLOOKUP(B629,raw!A:K,3,0)+VLOOKUP(B629,raw!A:K,7,0)</f>
        <v>47</v>
      </c>
      <c r="E629">
        <f>VLOOKUP(B629,raw!A:K,4,0)</f>
        <v>0</v>
      </c>
      <c r="F629">
        <f>VLOOKUP(B629,raw!A:K,5,0)</f>
        <v>0</v>
      </c>
      <c r="G629">
        <f>VLOOKUP(B629,raw!A:K,2,0)+VLOOKUP(B629,raw!A:K,10,0)</f>
        <v>0</v>
      </c>
      <c r="H629">
        <f>VLOOKUP(B629,raw!A:K,6,0)</f>
        <v>0</v>
      </c>
      <c r="I629">
        <f>VLOOKUP(B629,raw!A:K,9,0)</f>
        <v>0</v>
      </c>
      <c r="J629">
        <f>VLOOKUP(B629,raw!A:K,8,0)</f>
        <v>0</v>
      </c>
      <c r="K629">
        <f>_xlfn.IFNA(VLOOKUP(B629,TDK!A:C,2,0),0)</f>
        <v>10</v>
      </c>
      <c r="L629">
        <f>_xlfn.IFNA(VLOOKUP(B629,TDK!A:C,3,0),0)</f>
        <v>1</v>
      </c>
      <c r="M629">
        <f>_xlfn.IFNA(VLOOKUP(B629,TDK!F:G,2,0),0)</f>
        <v>0</v>
      </c>
      <c r="N629">
        <f t="shared" si="9"/>
        <v>11</v>
      </c>
    </row>
    <row r="630" spans="1:14" x14ac:dyDescent="0.25">
      <c r="A630" t="s">
        <v>86</v>
      </c>
      <c r="B630" t="s">
        <v>1627</v>
      </c>
      <c r="C630">
        <f>VLOOKUP(B630,raw!A:K,11,0)</f>
        <v>40</v>
      </c>
      <c r="D630">
        <f>VLOOKUP(B630,raw!A:K,3,0)+VLOOKUP(B630,raw!A:K,7,0)</f>
        <v>40</v>
      </c>
      <c r="E630">
        <f>VLOOKUP(B630,raw!A:K,4,0)</f>
        <v>0</v>
      </c>
      <c r="F630">
        <f>VLOOKUP(B630,raw!A:K,5,0)</f>
        <v>0</v>
      </c>
      <c r="G630">
        <f>VLOOKUP(B630,raw!A:K,2,0)+VLOOKUP(B630,raw!A:K,10,0)</f>
        <v>0</v>
      </c>
      <c r="H630">
        <f>VLOOKUP(B630,raw!A:K,6,0)</f>
        <v>0</v>
      </c>
      <c r="I630">
        <f>VLOOKUP(B630,raw!A:K,9,0)</f>
        <v>0</v>
      </c>
      <c r="J630">
        <f>VLOOKUP(B630,raw!A:K,8,0)</f>
        <v>0</v>
      </c>
      <c r="K630">
        <f>_xlfn.IFNA(VLOOKUP(B630,TDK!A:C,2,0),0)</f>
        <v>7</v>
      </c>
      <c r="L630">
        <f>_xlfn.IFNA(VLOOKUP(B630,TDK!A:C,3,0),0)</f>
        <v>3</v>
      </c>
      <c r="M630">
        <f>_xlfn.IFNA(VLOOKUP(B630,TDK!F:G,2,0),0)</f>
        <v>0</v>
      </c>
      <c r="N630">
        <f t="shared" si="9"/>
        <v>10</v>
      </c>
    </row>
    <row r="631" spans="1:14" x14ac:dyDescent="0.25">
      <c r="A631" t="s">
        <v>86</v>
      </c>
      <c r="B631" t="s">
        <v>1628</v>
      </c>
      <c r="C631">
        <f>VLOOKUP(B631,raw!A:K,11,0)</f>
        <v>49</v>
      </c>
      <c r="D631">
        <f>VLOOKUP(B631,raw!A:K,3,0)+VLOOKUP(B631,raw!A:K,7,0)</f>
        <v>48</v>
      </c>
      <c r="E631">
        <f>VLOOKUP(B631,raw!A:K,4,0)</f>
        <v>0</v>
      </c>
      <c r="F631">
        <f>VLOOKUP(B631,raw!A:K,5,0)</f>
        <v>0</v>
      </c>
      <c r="G631">
        <f>VLOOKUP(B631,raw!A:K,2,0)+VLOOKUP(B631,raw!A:K,10,0)</f>
        <v>1</v>
      </c>
      <c r="H631">
        <f>VLOOKUP(B631,raw!A:K,6,0)</f>
        <v>0</v>
      </c>
      <c r="I631">
        <f>VLOOKUP(B631,raw!A:K,9,0)</f>
        <v>0</v>
      </c>
      <c r="J631">
        <f>VLOOKUP(B631,raw!A:K,8,0)</f>
        <v>0</v>
      </c>
      <c r="K631">
        <f>_xlfn.IFNA(VLOOKUP(B631,TDK!A:C,2,0),0)</f>
        <v>10</v>
      </c>
      <c r="L631">
        <f>_xlfn.IFNA(VLOOKUP(B631,TDK!A:C,3,0),0)</f>
        <v>3</v>
      </c>
      <c r="M631">
        <f>_xlfn.IFNA(VLOOKUP(B631,TDK!F:G,2,0),0)</f>
        <v>0</v>
      </c>
      <c r="N631">
        <f t="shared" si="9"/>
        <v>13</v>
      </c>
    </row>
    <row r="632" spans="1:14" x14ac:dyDescent="0.25">
      <c r="A632" t="s">
        <v>86</v>
      </c>
      <c r="B632" t="s">
        <v>1629</v>
      </c>
      <c r="C632">
        <f>VLOOKUP(B632,raw!A:K,11,0)</f>
        <v>41</v>
      </c>
      <c r="D632">
        <f>VLOOKUP(B632,raw!A:K,3,0)+VLOOKUP(B632,raw!A:K,7,0)</f>
        <v>41</v>
      </c>
      <c r="E632">
        <f>VLOOKUP(B632,raw!A:K,4,0)</f>
        <v>0</v>
      </c>
      <c r="F632">
        <f>VLOOKUP(B632,raw!A:K,5,0)</f>
        <v>0</v>
      </c>
      <c r="G632">
        <f>VLOOKUP(B632,raw!A:K,2,0)+VLOOKUP(B632,raw!A:K,10,0)</f>
        <v>0</v>
      </c>
      <c r="H632">
        <f>VLOOKUP(B632,raw!A:K,6,0)</f>
        <v>0</v>
      </c>
      <c r="I632">
        <f>VLOOKUP(B632,raw!A:K,9,0)</f>
        <v>0</v>
      </c>
      <c r="J632">
        <f>VLOOKUP(B632,raw!A:K,8,0)</f>
        <v>0</v>
      </c>
      <c r="K632">
        <f>_xlfn.IFNA(VLOOKUP(B632,TDK!A:C,2,0),0)</f>
        <v>9</v>
      </c>
      <c r="L632">
        <f>_xlfn.IFNA(VLOOKUP(B632,TDK!A:C,3,0),0)</f>
        <v>1</v>
      </c>
      <c r="M632">
        <f>_xlfn.IFNA(VLOOKUP(B632,TDK!F:G,2,0),0)</f>
        <v>0</v>
      </c>
      <c r="N632">
        <f t="shared" si="9"/>
        <v>10</v>
      </c>
    </row>
    <row r="633" spans="1:14" x14ac:dyDescent="0.25">
      <c r="A633" t="s">
        <v>86</v>
      </c>
      <c r="B633" t="s">
        <v>1630</v>
      </c>
      <c r="C633">
        <f>VLOOKUP(B633,raw!A:K,11,0)</f>
        <v>60</v>
      </c>
      <c r="D633">
        <f>VLOOKUP(B633,raw!A:K,3,0)+VLOOKUP(B633,raw!A:K,7,0)</f>
        <v>60</v>
      </c>
      <c r="E633">
        <f>VLOOKUP(B633,raw!A:K,4,0)</f>
        <v>0</v>
      </c>
      <c r="F633">
        <f>VLOOKUP(B633,raw!A:K,5,0)</f>
        <v>0</v>
      </c>
      <c r="G633">
        <f>VLOOKUP(B633,raw!A:K,2,0)+VLOOKUP(B633,raw!A:K,10,0)</f>
        <v>0</v>
      </c>
      <c r="H633">
        <f>VLOOKUP(B633,raw!A:K,6,0)</f>
        <v>0</v>
      </c>
      <c r="I633">
        <f>VLOOKUP(B633,raw!A:K,9,0)</f>
        <v>0</v>
      </c>
      <c r="J633">
        <f>VLOOKUP(B633,raw!A:K,8,0)</f>
        <v>0</v>
      </c>
      <c r="K633">
        <f>_xlfn.IFNA(VLOOKUP(B633,TDK!A:C,2,0),0)</f>
        <v>10</v>
      </c>
      <c r="L633">
        <f>_xlfn.IFNA(VLOOKUP(B633,TDK!A:C,3,0),0)</f>
        <v>1</v>
      </c>
      <c r="M633">
        <f>_xlfn.IFNA(VLOOKUP(B633,TDK!F:G,2,0),0)</f>
        <v>0</v>
      </c>
      <c r="N633">
        <f t="shared" si="9"/>
        <v>11</v>
      </c>
    </row>
    <row r="634" spans="1:14" x14ac:dyDescent="0.25">
      <c r="A634" t="s">
        <v>90</v>
      </c>
      <c r="B634" t="s">
        <v>1631</v>
      </c>
      <c r="C634">
        <f>VLOOKUP(B634,raw!A:K,11,0)</f>
        <v>169</v>
      </c>
      <c r="D634">
        <f>VLOOKUP(B634,raw!A:K,3,0)+VLOOKUP(B634,raw!A:K,7,0)</f>
        <v>164</v>
      </c>
      <c r="E634">
        <f>VLOOKUP(B634,raw!A:K,4,0)</f>
        <v>4</v>
      </c>
      <c r="F634">
        <f>VLOOKUP(B634,raw!A:K,5,0)</f>
        <v>0</v>
      </c>
      <c r="G634">
        <f>VLOOKUP(B634,raw!A:K,2,0)+VLOOKUP(B634,raw!A:K,10,0)</f>
        <v>0</v>
      </c>
      <c r="H634">
        <f>VLOOKUP(B634,raw!A:K,6,0)</f>
        <v>1</v>
      </c>
      <c r="I634">
        <f>VLOOKUP(B634,raw!A:K,9,0)</f>
        <v>0</v>
      </c>
      <c r="J634">
        <f>VLOOKUP(B634,raw!A:K,8,0)</f>
        <v>0</v>
      </c>
      <c r="K634">
        <f>_xlfn.IFNA(VLOOKUP(B634,TDK!A:C,2,0),0)</f>
        <v>28</v>
      </c>
      <c r="L634">
        <f>_xlfn.IFNA(VLOOKUP(B634,TDK!A:C,3,0),0)</f>
        <v>1</v>
      </c>
      <c r="M634">
        <f>_xlfn.IFNA(VLOOKUP(B634,TDK!F:G,2,0),0)</f>
        <v>18</v>
      </c>
      <c r="N634">
        <f t="shared" si="9"/>
        <v>47</v>
      </c>
    </row>
    <row r="635" spans="1:14" x14ac:dyDescent="0.25">
      <c r="A635" t="s">
        <v>90</v>
      </c>
      <c r="B635" t="s">
        <v>1632</v>
      </c>
      <c r="C635">
        <f>VLOOKUP(B635,raw!A:K,11,0)</f>
        <v>96</v>
      </c>
      <c r="D635">
        <f>VLOOKUP(B635,raw!A:K,3,0)+VLOOKUP(B635,raw!A:K,7,0)</f>
        <v>95</v>
      </c>
      <c r="E635">
        <f>VLOOKUP(B635,raw!A:K,4,0)</f>
        <v>0</v>
      </c>
      <c r="F635">
        <f>VLOOKUP(B635,raw!A:K,5,0)</f>
        <v>0</v>
      </c>
      <c r="G635">
        <f>VLOOKUP(B635,raw!A:K,2,0)+VLOOKUP(B635,raw!A:K,10,0)</f>
        <v>1</v>
      </c>
      <c r="H635">
        <f>VLOOKUP(B635,raw!A:K,6,0)</f>
        <v>0</v>
      </c>
      <c r="I635">
        <f>VLOOKUP(B635,raw!A:K,9,0)</f>
        <v>0</v>
      </c>
      <c r="J635">
        <f>VLOOKUP(B635,raw!A:K,8,0)</f>
        <v>0</v>
      </c>
      <c r="K635">
        <f>_xlfn.IFNA(VLOOKUP(B635,TDK!A:C,2,0),0)</f>
        <v>40</v>
      </c>
      <c r="L635">
        <f>_xlfn.IFNA(VLOOKUP(B635,TDK!A:C,3,0),0)</f>
        <v>1</v>
      </c>
      <c r="M635">
        <f>_xlfn.IFNA(VLOOKUP(B635,TDK!F:G,2,0),0)</f>
        <v>13</v>
      </c>
      <c r="N635">
        <f t="shared" si="9"/>
        <v>54</v>
      </c>
    </row>
    <row r="636" spans="1:14" x14ac:dyDescent="0.25">
      <c r="A636" t="s">
        <v>90</v>
      </c>
      <c r="B636" t="s">
        <v>1633</v>
      </c>
      <c r="C636">
        <f>VLOOKUP(B636,raw!A:K,11,0)</f>
        <v>71</v>
      </c>
      <c r="D636">
        <f>VLOOKUP(B636,raw!A:K,3,0)+VLOOKUP(B636,raw!A:K,7,0)</f>
        <v>71</v>
      </c>
      <c r="E636">
        <f>VLOOKUP(B636,raw!A:K,4,0)</f>
        <v>0</v>
      </c>
      <c r="F636">
        <f>VLOOKUP(B636,raw!A:K,5,0)</f>
        <v>0</v>
      </c>
      <c r="G636">
        <f>VLOOKUP(B636,raw!A:K,2,0)+VLOOKUP(B636,raw!A:K,10,0)</f>
        <v>0</v>
      </c>
      <c r="H636">
        <f>VLOOKUP(B636,raw!A:K,6,0)</f>
        <v>0</v>
      </c>
      <c r="I636">
        <f>VLOOKUP(B636,raw!A:K,9,0)</f>
        <v>0</v>
      </c>
      <c r="J636">
        <f>VLOOKUP(B636,raw!A:K,8,0)</f>
        <v>0</v>
      </c>
      <c r="K636">
        <f>_xlfn.IFNA(VLOOKUP(B636,TDK!A:C,2,0),0)</f>
        <v>26</v>
      </c>
      <c r="L636">
        <f>_xlfn.IFNA(VLOOKUP(B636,TDK!A:C,3,0),0)</f>
        <v>1</v>
      </c>
      <c r="M636">
        <f>_xlfn.IFNA(VLOOKUP(B636,TDK!F:G,2,0),0)</f>
        <v>1</v>
      </c>
      <c r="N636">
        <f t="shared" si="9"/>
        <v>28</v>
      </c>
    </row>
    <row r="637" spans="1:14" x14ac:dyDescent="0.25">
      <c r="A637" t="s">
        <v>90</v>
      </c>
      <c r="B637" t="s">
        <v>1634</v>
      </c>
      <c r="C637">
        <f>VLOOKUP(B637,raw!A:K,11,0)</f>
        <v>65</v>
      </c>
      <c r="D637">
        <f>VLOOKUP(B637,raw!A:K,3,0)+VLOOKUP(B637,raw!A:K,7,0)</f>
        <v>65</v>
      </c>
      <c r="E637">
        <f>VLOOKUP(B637,raw!A:K,4,0)</f>
        <v>0</v>
      </c>
      <c r="F637">
        <f>VLOOKUP(B637,raw!A:K,5,0)</f>
        <v>0</v>
      </c>
      <c r="G637">
        <f>VLOOKUP(B637,raw!A:K,2,0)+VLOOKUP(B637,raw!A:K,10,0)</f>
        <v>0</v>
      </c>
      <c r="H637">
        <f>VLOOKUP(B637,raw!A:K,6,0)</f>
        <v>0</v>
      </c>
      <c r="I637">
        <f>VLOOKUP(B637,raw!A:K,9,0)</f>
        <v>0</v>
      </c>
      <c r="J637">
        <f>VLOOKUP(B637,raw!A:K,8,0)</f>
        <v>0</v>
      </c>
      <c r="K637">
        <f>_xlfn.IFNA(VLOOKUP(B637,TDK!A:C,2,0),0)</f>
        <v>31</v>
      </c>
      <c r="L637">
        <f>_xlfn.IFNA(VLOOKUP(B637,TDK!A:C,3,0),0)</f>
        <v>0</v>
      </c>
      <c r="M637">
        <f>_xlfn.IFNA(VLOOKUP(B637,TDK!F:G,2,0),0)</f>
        <v>6</v>
      </c>
      <c r="N637">
        <f t="shared" si="9"/>
        <v>37</v>
      </c>
    </row>
    <row r="638" spans="1:14" x14ac:dyDescent="0.25">
      <c r="A638" t="s">
        <v>90</v>
      </c>
      <c r="B638" t="s">
        <v>1635</v>
      </c>
      <c r="C638">
        <f>VLOOKUP(B638,raw!A:K,11,0)</f>
        <v>58</v>
      </c>
      <c r="D638">
        <f>VLOOKUP(B638,raw!A:K,3,0)+VLOOKUP(B638,raw!A:K,7,0)</f>
        <v>57</v>
      </c>
      <c r="E638">
        <f>VLOOKUP(B638,raw!A:K,4,0)</f>
        <v>1</v>
      </c>
      <c r="F638">
        <f>VLOOKUP(B638,raw!A:K,5,0)</f>
        <v>0</v>
      </c>
      <c r="G638">
        <f>VLOOKUP(B638,raw!A:K,2,0)+VLOOKUP(B638,raw!A:K,10,0)</f>
        <v>0</v>
      </c>
      <c r="H638">
        <f>VLOOKUP(B638,raw!A:K,6,0)</f>
        <v>0</v>
      </c>
      <c r="I638">
        <f>VLOOKUP(B638,raw!A:K,9,0)</f>
        <v>0</v>
      </c>
      <c r="J638">
        <f>VLOOKUP(B638,raw!A:K,8,0)</f>
        <v>0</v>
      </c>
      <c r="K638">
        <f>_xlfn.IFNA(VLOOKUP(B638,TDK!A:C,2,0),0)</f>
        <v>23</v>
      </c>
      <c r="L638">
        <f>_xlfn.IFNA(VLOOKUP(B638,TDK!A:C,3,0),0)</f>
        <v>2</v>
      </c>
      <c r="M638">
        <f>_xlfn.IFNA(VLOOKUP(B638,TDK!F:G,2,0),0)</f>
        <v>6</v>
      </c>
      <c r="N638">
        <f t="shared" si="9"/>
        <v>31</v>
      </c>
    </row>
    <row r="639" spans="1:14" x14ac:dyDescent="0.25">
      <c r="A639" t="s">
        <v>90</v>
      </c>
      <c r="B639" t="s">
        <v>1636</v>
      </c>
      <c r="C639">
        <f>VLOOKUP(B639,raw!A:K,11,0)</f>
        <v>114</v>
      </c>
      <c r="D639">
        <f>VLOOKUP(B639,raw!A:K,3,0)+VLOOKUP(B639,raw!A:K,7,0)</f>
        <v>112</v>
      </c>
      <c r="E639">
        <f>VLOOKUP(B639,raw!A:K,4,0)</f>
        <v>2</v>
      </c>
      <c r="F639">
        <f>VLOOKUP(B639,raw!A:K,5,0)</f>
        <v>0</v>
      </c>
      <c r="G639">
        <f>VLOOKUP(B639,raw!A:K,2,0)+VLOOKUP(B639,raw!A:K,10,0)</f>
        <v>0</v>
      </c>
      <c r="H639">
        <f>VLOOKUP(B639,raw!A:K,6,0)</f>
        <v>0</v>
      </c>
      <c r="I639">
        <f>VLOOKUP(B639,raw!A:K,9,0)</f>
        <v>0</v>
      </c>
      <c r="J639">
        <f>VLOOKUP(B639,raw!A:K,8,0)</f>
        <v>0</v>
      </c>
      <c r="K639">
        <f>_xlfn.IFNA(VLOOKUP(B639,TDK!A:C,2,0),0)</f>
        <v>50</v>
      </c>
      <c r="L639">
        <f>_xlfn.IFNA(VLOOKUP(B639,TDK!A:C,3,0),0)</f>
        <v>2</v>
      </c>
      <c r="M639">
        <f>_xlfn.IFNA(VLOOKUP(B639,TDK!F:G,2,0),0)</f>
        <v>4</v>
      </c>
      <c r="N639">
        <f t="shared" si="9"/>
        <v>56</v>
      </c>
    </row>
    <row r="640" spans="1:14" x14ac:dyDescent="0.25">
      <c r="A640" t="s">
        <v>90</v>
      </c>
      <c r="B640" t="s">
        <v>1637</v>
      </c>
      <c r="C640">
        <f>VLOOKUP(B640,raw!A:K,11,0)</f>
        <v>78</v>
      </c>
      <c r="D640">
        <f>VLOOKUP(B640,raw!A:K,3,0)+VLOOKUP(B640,raw!A:K,7,0)</f>
        <v>75</v>
      </c>
      <c r="E640">
        <f>VLOOKUP(B640,raw!A:K,4,0)</f>
        <v>0</v>
      </c>
      <c r="F640">
        <f>VLOOKUP(B640,raw!A:K,5,0)</f>
        <v>0</v>
      </c>
      <c r="G640">
        <f>VLOOKUP(B640,raw!A:K,2,0)+VLOOKUP(B640,raw!A:K,10,0)</f>
        <v>0</v>
      </c>
      <c r="H640">
        <f>VLOOKUP(B640,raw!A:K,6,0)</f>
        <v>0</v>
      </c>
      <c r="I640">
        <f>VLOOKUP(B640,raw!A:K,9,0)</f>
        <v>3</v>
      </c>
      <c r="J640">
        <f>VLOOKUP(B640,raw!A:K,8,0)</f>
        <v>0</v>
      </c>
      <c r="K640">
        <f>_xlfn.IFNA(VLOOKUP(B640,TDK!A:C,2,0),0)</f>
        <v>35</v>
      </c>
      <c r="L640">
        <f>_xlfn.IFNA(VLOOKUP(B640,TDK!A:C,3,0),0)</f>
        <v>2</v>
      </c>
      <c r="M640">
        <f>_xlfn.IFNA(VLOOKUP(B640,TDK!F:G,2,0),0)</f>
        <v>4</v>
      </c>
      <c r="N640">
        <f t="shared" si="9"/>
        <v>41</v>
      </c>
    </row>
    <row r="641" spans="1:14" x14ac:dyDescent="0.25">
      <c r="A641" t="s">
        <v>90</v>
      </c>
      <c r="B641" t="s">
        <v>1638</v>
      </c>
      <c r="C641">
        <f>VLOOKUP(B641,raw!A:K,11,0)</f>
        <v>87</v>
      </c>
      <c r="D641">
        <f>VLOOKUP(B641,raw!A:K,3,0)+VLOOKUP(B641,raw!A:K,7,0)</f>
        <v>86</v>
      </c>
      <c r="E641">
        <f>VLOOKUP(B641,raw!A:K,4,0)</f>
        <v>0</v>
      </c>
      <c r="F641">
        <f>VLOOKUP(B641,raw!A:K,5,0)</f>
        <v>0</v>
      </c>
      <c r="G641">
        <f>VLOOKUP(B641,raw!A:K,2,0)+VLOOKUP(B641,raw!A:K,10,0)</f>
        <v>0</v>
      </c>
      <c r="H641">
        <f>VLOOKUP(B641,raw!A:K,6,0)</f>
        <v>0</v>
      </c>
      <c r="I641">
        <f>VLOOKUP(B641,raw!A:K,9,0)</f>
        <v>1</v>
      </c>
      <c r="J641">
        <f>VLOOKUP(B641,raw!A:K,8,0)</f>
        <v>0</v>
      </c>
      <c r="K641">
        <f>_xlfn.IFNA(VLOOKUP(B641,TDK!A:C,2,0),0)</f>
        <v>35</v>
      </c>
      <c r="L641">
        <f>_xlfn.IFNA(VLOOKUP(B641,TDK!A:C,3,0),0)</f>
        <v>1</v>
      </c>
      <c r="M641">
        <f>_xlfn.IFNA(VLOOKUP(B641,TDK!F:G,2,0),0)</f>
        <v>8</v>
      </c>
      <c r="N641">
        <f t="shared" si="9"/>
        <v>44</v>
      </c>
    </row>
    <row r="642" spans="1:14" x14ac:dyDescent="0.25">
      <c r="A642" t="s">
        <v>90</v>
      </c>
      <c r="B642" t="s">
        <v>1639</v>
      </c>
      <c r="C642">
        <f>VLOOKUP(B642,raw!A:K,11,0)</f>
        <v>100</v>
      </c>
      <c r="D642">
        <f>VLOOKUP(B642,raw!A:K,3,0)+VLOOKUP(B642,raw!A:K,7,0)</f>
        <v>93</v>
      </c>
      <c r="E642">
        <f>VLOOKUP(B642,raw!A:K,4,0)</f>
        <v>0</v>
      </c>
      <c r="F642">
        <f>VLOOKUP(B642,raw!A:K,5,0)</f>
        <v>0</v>
      </c>
      <c r="G642">
        <f>VLOOKUP(B642,raw!A:K,2,0)+VLOOKUP(B642,raw!A:K,10,0)</f>
        <v>0</v>
      </c>
      <c r="H642">
        <f>VLOOKUP(B642,raw!A:K,6,0)</f>
        <v>0</v>
      </c>
      <c r="I642">
        <f>VLOOKUP(B642,raw!A:K,9,0)</f>
        <v>7</v>
      </c>
      <c r="J642">
        <f>VLOOKUP(B642,raw!A:K,8,0)</f>
        <v>0</v>
      </c>
      <c r="K642">
        <f>_xlfn.IFNA(VLOOKUP(B642,TDK!A:C,2,0),0)</f>
        <v>39</v>
      </c>
      <c r="L642">
        <f>_xlfn.IFNA(VLOOKUP(B642,TDK!A:C,3,0),0)</f>
        <v>3</v>
      </c>
      <c r="M642">
        <f>_xlfn.IFNA(VLOOKUP(B642,TDK!F:G,2,0),0)</f>
        <v>4</v>
      </c>
      <c r="N642">
        <f t="shared" si="9"/>
        <v>46</v>
      </c>
    </row>
    <row r="643" spans="1:14" x14ac:dyDescent="0.25">
      <c r="A643" t="s">
        <v>91</v>
      </c>
      <c r="B643" t="s">
        <v>1640</v>
      </c>
      <c r="C643">
        <f>VLOOKUP(B643,raw!A:K,11,0)</f>
        <v>102</v>
      </c>
      <c r="D643">
        <f>VLOOKUP(B643,raw!A:K,3,0)+VLOOKUP(B643,raw!A:K,7,0)</f>
        <v>102</v>
      </c>
      <c r="E643">
        <f>VLOOKUP(B643,raw!A:K,4,0)</f>
        <v>0</v>
      </c>
      <c r="F643">
        <f>VLOOKUP(B643,raw!A:K,5,0)</f>
        <v>0</v>
      </c>
      <c r="G643">
        <f>VLOOKUP(B643,raw!A:K,2,0)+VLOOKUP(B643,raw!A:K,10,0)</f>
        <v>0</v>
      </c>
      <c r="H643">
        <f>VLOOKUP(B643,raw!A:K,6,0)</f>
        <v>0</v>
      </c>
      <c r="I643">
        <f>VLOOKUP(B643,raw!A:K,9,0)</f>
        <v>0</v>
      </c>
      <c r="J643">
        <f>VLOOKUP(B643,raw!A:K,8,0)</f>
        <v>0</v>
      </c>
      <c r="K643">
        <f>_xlfn.IFNA(VLOOKUP(B643,TDK!A:C,2,0),0)</f>
        <v>50</v>
      </c>
      <c r="L643">
        <f>_xlfn.IFNA(VLOOKUP(B643,TDK!A:C,3,0),0)</f>
        <v>0</v>
      </c>
      <c r="M643">
        <f>_xlfn.IFNA(VLOOKUP(B643,TDK!F:G,2,0),0)</f>
        <v>21</v>
      </c>
      <c r="N643">
        <f t="shared" ref="N643:N706" si="10">SUM(K643:M643)</f>
        <v>71</v>
      </c>
    </row>
    <row r="644" spans="1:14" x14ac:dyDescent="0.25">
      <c r="A644" t="s">
        <v>91</v>
      </c>
      <c r="B644" t="s">
        <v>1641</v>
      </c>
      <c r="C644">
        <f>VLOOKUP(B644,raw!A:K,11,0)</f>
        <v>124</v>
      </c>
      <c r="D644">
        <f>VLOOKUP(B644,raw!A:K,3,0)+VLOOKUP(B644,raw!A:K,7,0)</f>
        <v>124</v>
      </c>
      <c r="E644">
        <f>VLOOKUP(B644,raw!A:K,4,0)</f>
        <v>0</v>
      </c>
      <c r="F644">
        <f>VLOOKUP(B644,raw!A:K,5,0)</f>
        <v>0</v>
      </c>
      <c r="G644">
        <f>VLOOKUP(B644,raw!A:K,2,0)+VLOOKUP(B644,raw!A:K,10,0)</f>
        <v>0</v>
      </c>
      <c r="H644">
        <f>VLOOKUP(B644,raw!A:K,6,0)</f>
        <v>0</v>
      </c>
      <c r="I644">
        <f>VLOOKUP(B644,raw!A:K,9,0)</f>
        <v>0</v>
      </c>
      <c r="J644">
        <f>VLOOKUP(B644,raw!A:K,8,0)</f>
        <v>0</v>
      </c>
      <c r="K644">
        <f>_xlfn.IFNA(VLOOKUP(B644,TDK!A:C,2,0),0)</f>
        <v>56</v>
      </c>
      <c r="L644">
        <f>_xlfn.IFNA(VLOOKUP(B644,TDK!A:C,3,0),0)</f>
        <v>2</v>
      </c>
      <c r="M644">
        <f>_xlfn.IFNA(VLOOKUP(B644,TDK!F:G,2,0),0)</f>
        <v>18</v>
      </c>
      <c r="N644">
        <f t="shared" si="10"/>
        <v>76</v>
      </c>
    </row>
    <row r="645" spans="1:14" x14ac:dyDescent="0.25">
      <c r="A645" t="s">
        <v>91</v>
      </c>
      <c r="B645" t="s">
        <v>1642</v>
      </c>
      <c r="C645">
        <f>VLOOKUP(B645,raw!A:K,11,0)</f>
        <v>135</v>
      </c>
      <c r="D645">
        <f>VLOOKUP(B645,raw!A:K,3,0)+VLOOKUP(B645,raw!A:K,7,0)</f>
        <v>133</v>
      </c>
      <c r="E645">
        <f>VLOOKUP(B645,raw!A:K,4,0)</f>
        <v>0</v>
      </c>
      <c r="F645">
        <f>VLOOKUP(B645,raw!A:K,5,0)</f>
        <v>0</v>
      </c>
      <c r="G645">
        <f>VLOOKUP(B645,raw!A:K,2,0)+VLOOKUP(B645,raw!A:K,10,0)</f>
        <v>0</v>
      </c>
      <c r="H645">
        <f>VLOOKUP(B645,raw!A:K,6,0)</f>
        <v>0</v>
      </c>
      <c r="I645">
        <f>VLOOKUP(B645,raw!A:K,9,0)</f>
        <v>2</v>
      </c>
      <c r="J645">
        <f>VLOOKUP(B645,raw!A:K,8,0)</f>
        <v>0</v>
      </c>
      <c r="K645">
        <f>_xlfn.IFNA(VLOOKUP(B645,TDK!A:C,2,0),0)</f>
        <v>53</v>
      </c>
      <c r="L645">
        <f>_xlfn.IFNA(VLOOKUP(B645,TDK!A:C,3,0),0)</f>
        <v>2</v>
      </c>
      <c r="M645">
        <f>_xlfn.IFNA(VLOOKUP(B645,TDK!F:G,2,0),0)</f>
        <v>13</v>
      </c>
      <c r="N645">
        <f t="shared" si="10"/>
        <v>68</v>
      </c>
    </row>
    <row r="646" spans="1:14" x14ac:dyDescent="0.25">
      <c r="A646" t="s">
        <v>91</v>
      </c>
      <c r="B646" t="s">
        <v>1643</v>
      </c>
      <c r="C646">
        <f>VLOOKUP(B646,raw!A:K,11,0)</f>
        <v>82</v>
      </c>
      <c r="D646">
        <f>VLOOKUP(B646,raw!A:K,3,0)+VLOOKUP(B646,raw!A:K,7,0)</f>
        <v>81</v>
      </c>
      <c r="E646">
        <f>VLOOKUP(B646,raw!A:K,4,0)</f>
        <v>0</v>
      </c>
      <c r="F646">
        <f>VLOOKUP(B646,raw!A:K,5,0)</f>
        <v>0</v>
      </c>
      <c r="G646">
        <f>VLOOKUP(B646,raw!A:K,2,0)+VLOOKUP(B646,raw!A:K,10,0)</f>
        <v>0</v>
      </c>
      <c r="H646">
        <f>VLOOKUP(B646,raw!A:K,6,0)</f>
        <v>0</v>
      </c>
      <c r="I646">
        <f>VLOOKUP(B646,raw!A:K,9,0)</f>
        <v>1</v>
      </c>
      <c r="J646">
        <f>VLOOKUP(B646,raw!A:K,8,0)</f>
        <v>0</v>
      </c>
      <c r="K646">
        <f>_xlfn.IFNA(VLOOKUP(B646,TDK!A:C,2,0),0)</f>
        <v>26</v>
      </c>
      <c r="L646">
        <f>_xlfn.IFNA(VLOOKUP(B646,TDK!A:C,3,0),0)</f>
        <v>0</v>
      </c>
      <c r="M646">
        <f>_xlfn.IFNA(VLOOKUP(B646,TDK!F:G,2,0),0)</f>
        <v>4</v>
      </c>
      <c r="N646">
        <f t="shared" si="10"/>
        <v>30</v>
      </c>
    </row>
    <row r="647" spans="1:14" x14ac:dyDescent="0.25">
      <c r="A647" t="s">
        <v>91</v>
      </c>
      <c r="B647" t="s">
        <v>1644</v>
      </c>
      <c r="C647">
        <f>VLOOKUP(B647,raw!A:K,11,0)</f>
        <v>61</v>
      </c>
      <c r="D647">
        <f>VLOOKUP(B647,raw!A:K,3,0)+VLOOKUP(B647,raw!A:K,7,0)</f>
        <v>58</v>
      </c>
      <c r="E647">
        <f>VLOOKUP(B647,raw!A:K,4,0)</f>
        <v>0</v>
      </c>
      <c r="F647">
        <f>VLOOKUP(B647,raw!A:K,5,0)</f>
        <v>0</v>
      </c>
      <c r="G647">
        <f>VLOOKUP(B647,raw!A:K,2,0)+VLOOKUP(B647,raw!A:K,10,0)</f>
        <v>0</v>
      </c>
      <c r="H647">
        <f>VLOOKUP(B647,raw!A:K,6,0)</f>
        <v>0</v>
      </c>
      <c r="I647">
        <f>VLOOKUP(B647,raw!A:K,9,0)</f>
        <v>3</v>
      </c>
      <c r="J647">
        <f>VLOOKUP(B647,raw!A:K,8,0)</f>
        <v>0</v>
      </c>
      <c r="K647">
        <f>_xlfn.IFNA(VLOOKUP(B647,TDK!A:C,2,0),0)</f>
        <v>21</v>
      </c>
      <c r="L647">
        <f>_xlfn.IFNA(VLOOKUP(B647,TDK!A:C,3,0),0)</f>
        <v>5</v>
      </c>
      <c r="M647">
        <f>_xlfn.IFNA(VLOOKUP(B647,TDK!F:G,2,0),0)</f>
        <v>4</v>
      </c>
      <c r="N647">
        <f t="shared" si="10"/>
        <v>30</v>
      </c>
    </row>
    <row r="648" spans="1:14" x14ac:dyDescent="0.25">
      <c r="A648" t="s">
        <v>91</v>
      </c>
      <c r="B648" t="s">
        <v>1645</v>
      </c>
      <c r="C648">
        <f>VLOOKUP(B648,raw!A:K,11,0)</f>
        <v>57</v>
      </c>
      <c r="D648">
        <f>VLOOKUP(B648,raw!A:K,3,0)+VLOOKUP(B648,raw!A:K,7,0)</f>
        <v>57</v>
      </c>
      <c r="E648">
        <f>VLOOKUP(B648,raw!A:K,4,0)</f>
        <v>0</v>
      </c>
      <c r="F648">
        <f>VLOOKUP(B648,raw!A:K,5,0)</f>
        <v>0</v>
      </c>
      <c r="G648">
        <f>VLOOKUP(B648,raw!A:K,2,0)+VLOOKUP(B648,raw!A:K,10,0)</f>
        <v>0</v>
      </c>
      <c r="H648">
        <f>VLOOKUP(B648,raw!A:K,6,0)</f>
        <v>0</v>
      </c>
      <c r="I648">
        <f>VLOOKUP(B648,raw!A:K,9,0)</f>
        <v>0</v>
      </c>
      <c r="J648">
        <f>VLOOKUP(B648,raw!A:K,8,0)</f>
        <v>0</v>
      </c>
      <c r="K648">
        <f>_xlfn.IFNA(VLOOKUP(B648,TDK!A:C,2,0),0)</f>
        <v>17</v>
      </c>
      <c r="L648">
        <f>_xlfn.IFNA(VLOOKUP(B648,TDK!A:C,3,0),0)</f>
        <v>2</v>
      </c>
      <c r="M648">
        <f>_xlfn.IFNA(VLOOKUP(B648,TDK!F:G,2,0),0)</f>
        <v>3</v>
      </c>
      <c r="N648">
        <f t="shared" si="10"/>
        <v>22</v>
      </c>
    </row>
    <row r="649" spans="1:14" x14ac:dyDescent="0.25">
      <c r="A649" t="s">
        <v>91</v>
      </c>
      <c r="B649" t="s">
        <v>1646</v>
      </c>
      <c r="C649">
        <f>VLOOKUP(B649,raw!A:K,11,0)</f>
        <v>79</v>
      </c>
      <c r="D649">
        <f>VLOOKUP(B649,raw!A:K,3,0)+VLOOKUP(B649,raw!A:K,7,0)</f>
        <v>79</v>
      </c>
      <c r="E649">
        <f>VLOOKUP(B649,raw!A:K,4,0)</f>
        <v>0</v>
      </c>
      <c r="F649">
        <f>VLOOKUP(B649,raw!A:K,5,0)</f>
        <v>0</v>
      </c>
      <c r="G649">
        <f>VLOOKUP(B649,raw!A:K,2,0)+VLOOKUP(B649,raw!A:K,10,0)</f>
        <v>0</v>
      </c>
      <c r="H649">
        <f>VLOOKUP(B649,raw!A:K,6,0)</f>
        <v>0</v>
      </c>
      <c r="I649">
        <f>VLOOKUP(B649,raw!A:K,9,0)</f>
        <v>0</v>
      </c>
      <c r="J649">
        <f>VLOOKUP(B649,raw!A:K,8,0)</f>
        <v>0</v>
      </c>
      <c r="K649">
        <f>_xlfn.IFNA(VLOOKUP(B649,TDK!A:C,2,0),0)</f>
        <v>26</v>
      </c>
      <c r="L649">
        <f>_xlfn.IFNA(VLOOKUP(B649,TDK!A:C,3,0),0)</f>
        <v>1</v>
      </c>
      <c r="M649">
        <f>_xlfn.IFNA(VLOOKUP(B649,TDK!F:G,2,0),0)</f>
        <v>11</v>
      </c>
      <c r="N649">
        <f t="shared" si="10"/>
        <v>38</v>
      </c>
    </row>
    <row r="650" spans="1:14" x14ac:dyDescent="0.25">
      <c r="A650" t="s">
        <v>91</v>
      </c>
      <c r="B650" t="s">
        <v>1647</v>
      </c>
      <c r="C650">
        <f>VLOOKUP(B650,raw!A:K,11,0)</f>
        <v>63</v>
      </c>
      <c r="D650">
        <f>VLOOKUP(B650,raw!A:K,3,0)+VLOOKUP(B650,raw!A:K,7,0)</f>
        <v>63</v>
      </c>
      <c r="E650">
        <f>VLOOKUP(B650,raw!A:K,4,0)</f>
        <v>0</v>
      </c>
      <c r="F650">
        <f>VLOOKUP(B650,raw!A:K,5,0)</f>
        <v>0</v>
      </c>
      <c r="G650">
        <f>VLOOKUP(B650,raw!A:K,2,0)+VLOOKUP(B650,raw!A:K,10,0)</f>
        <v>0</v>
      </c>
      <c r="H650">
        <f>VLOOKUP(B650,raw!A:K,6,0)</f>
        <v>0</v>
      </c>
      <c r="I650">
        <f>VLOOKUP(B650,raw!A:K,9,0)</f>
        <v>0</v>
      </c>
      <c r="J650">
        <f>VLOOKUP(B650,raw!A:K,8,0)</f>
        <v>0</v>
      </c>
      <c r="K650">
        <f>_xlfn.IFNA(VLOOKUP(B650,TDK!A:C,2,0),0)</f>
        <v>18</v>
      </c>
      <c r="L650">
        <f>_xlfn.IFNA(VLOOKUP(B650,TDK!A:C,3,0),0)</f>
        <v>1</v>
      </c>
      <c r="M650">
        <f>_xlfn.IFNA(VLOOKUP(B650,TDK!F:G,2,0),0)</f>
        <v>7</v>
      </c>
      <c r="N650">
        <f t="shared" si="10"/>
        <v>26</v>
      </c>
    </row>
    <row r="651" spans="1:14" x14ac:dyDescent="0.25">
      <c r="A651" t="s">
        <v>91</v>
      </c>
      <c r="B651" t="s">
        <v>1648</v>
      </c>
      <c r="C651">
        <f>VLOOKUP(B651,raw!A:K,11,0)</f>
        <v>58</v>
      </c>
      <c r="D651">
        <f>VLOOKUP(B651,raw!A:K,3,0)+VLOOKUP(B651,raw!A:K,7,0)</f>
        <v>58</v>
      </c>
      <c r="E651">
        <f>VLOOKUP(B651,raw!A:K,4,0)</f>
        <v>0</v>
      </c>
      <c r="F651">
        <f>VLOOKUP(B651,raw!A:K,5,0)</f>
        <v>0</v>
      </c>
      <c r="G651">
        <f>VLOOKUP(B651,raw!A:K,2,0)+VLOOKUP(B651,raw!A:K,10,0)</f>
        <v>0</v>
      </c>
      <c r="H651">
        <f>VLOOKUP(B651,raw!A:K,6,0)</f>
        <v>0</v>
      </c>
      <c r="I651">
        <f>VLOOKUP(B651,raw!A:K,9,0)</f>
        <v>0</v>
      </c>
      <c r="J651">
        <f>VLOOKUP(B651,raw!A:K,8,0)</f>
        <v>0</v>
      </c>
      <c r="K651">
        <f>_xlfn.IFNA(VLOOKUP(B651,TDK!A:C,2,0),0)</f>
        <v>19</v>
      </c>
      <c r="L651">
        <f>_xlfn.IFNA(VLOOKUP(B651,TDK!A:C,3,0),0)</f>
        <v>1</v>
      </c>
      <c r="M651">
        <f>_xlfn.IFNA(VLOOKUP(B651,TDK!F:G,2,0),0)</f>
        <v>3</v>
      </c>
      <c r="N651">
        <f t="shared" si="10"/>
        <v>23</v>
      </c>
    </row>
    <row r="652" spans="1:14" x14ac:dyDescent="0.25">
      <c r="A652" t="s">
        <v>91</v>
      </c>
      <c r="B652" t="s">
        <v>1649</v>
      </c>
      <c r="C652">
        <f>VLOOKUP(B652,raw!A:K,11,0)</f>
        <v>49</v>
      </c>
      <c r="D652">
        <f>VLOOKUP(B652,raw!A:K,3,0)+VLOOKUP(B652,raw!A:K,7,0)</f>
        <v>49</v>
      </c>
      <c r="E652">
        <f>VLOOKUP(B652,raw!A:K,4,0)</f>
        <v>0</v>
      </c>
      <c r="F652">
        <f>VLOOKUP(B652,raw!A:K,5,0)</f>
        <v>0</v>
      </c>
      <c r="G652">
        <f>VLOOKUP(B652,raw!A:K,2,0)+VLOOKUP(B652,raw!A:K,10,0)</f>
        <v>0</v>
      </c>
      <c r="H652">
        <f>VLOOKUP(B652,raw!A:K,6,0)</f>
        <v>0</v>
      </c>
      <c r="I652">
        <f>VLOOKUP(B652,raw!A:K,9,0)</f>
        <v>0</v>
      </c>
      <c r="J652">
        <f>VLOOKUP(B652,raw!A:K,8,0)</f>
        <v>0</v>
      </c>
      <c r="K652">
        <f>_xlfn.IFNA(VLOOKUP(B652,TDK!A:C,2,0),0)</f>
        <v>13</v>
      </c>
      <c r="L652">
        <f>_xlfn.IFNA(VLOOKUP(B652,TDK!A:C,3,0),0)</f>
        <v>2</v>
      </c>
      <c r="M652">
        <f>_xlfn.IFNA(VLOOKUP(B652,TDK!F:G,2,0),0)</f>
        <v>1</v>
      </c>
      <c r="N652">
        <f t="shared" si="10"/>
        <v>16</v>
      </c>
    </row>
    <row r="653" spans="1:14" x14ac:dyDescent="0.25">
      <c r="A653" t="s">
        <v>92</v>
      </c>
      <c r="B653" t="s">
        <v>1650</v>
      </c>
      <c r="C653">
        <f>VLOOKUP(B653,raw!A:K,11,0)</f>
        <v>61</v>
      </c>
      <c r="D653">
        <f>VLOOKUP(B653,raw!A:K,3,0)+VLOOKUP(B653,raw!A:K,7,0)</f>
        <v>59</v>
      </c>
      <c r="E653">
        <f>VLOOKUP(B653,raw!A:K,4,0)</f>
        <v>0</v>
      </c>
      <c r="F653">
        <f>VLOOKUP(B653,raw!A:K,5,0)</f>
        <v>0</v>
      </c>
      <c r="G653">
        <f>VLOOKUP(B653,raw!A:K,2,0)+VLOOKUP(B653,raw!A:K,10,0)</f>
        <v>0</v>
      </c>
      <c r="H653">
        <f>VLOOKUP(B653,raw!A:K,6,0)</f>
        <v>0</v>
      </c>
      <c r="I653">
        <f>VLOOKUP(B653,raw!A:K,9,0)</f>
        <v>2</v>
      </c>
      <c r="J653">
        <f>VLOOKUP(B653,raw!A:K,8,0)</f>
        <v>0</v>
      </c>
      <c r="K653">
        <f>_xlfn.IFNA(VLOOKUP(B653,TDK!A:C,2,0),0)</f>
        <v>19</v>
      </c>
      <c r="L653">
        <f>_xlfn.IFNA(VLOOKUP(B653,TDK!A:C,3,0),0)</f>
        <v>0</v>
      </c>
      <c r="M653">
        <f>_xlfn.IFNA(VLOOKUP(B653,TDK!F:G,2,0),0)</f>
        <v>2</v>
      </c>
      <c r="N653">
        <f t="shared" si="10"/>
        <v>21</v>
      </c>
    </row>
    <row r="654" spans="1:14" x14ac:dyDescent="0.25">
      <c r="A654" t="s">
        <v>92</v>
      </c>
      <c r="B654" t="s">
        <v>1651</v>
      </c>
      <c r="C654">
        <f>VLOOKUP(B654,raw!A:K,11,0)</f>
        <v>153</v>
      </c>
      <c r="D654">
        <f>VLOOKUP(B654,raw!A:K,3,0)+VLOOKUP(B654,raw!A:K,7,0)</f>
        <v>88</v>
      </c>
      <c r="E654">
        <f>VLOOKUP(B654,raw!A:K,4,0)</f>
        <v>0</v>
      </c>
      <c r="F654">
        <f>VLOOKUP(B654,raw!A:K,5,0)</f>
        <v>0</v>
      </c>
      <c r="G654">
        <f>VLOOKUP(B654,raw!A:K,2,0)+VLOOKUP(B654,raw!A:K,10,0)</f>
        <v>0</v>
      </c>
      <c r="H654">
        <f>VLOOKUP(B654,raw!A:K,6,0)</f>
        <v>0</v>
      </c>
      <c r="I654">
        <f>VLOOKUP(B654,raw!A:K,9,0)</f>
        <v>65</v>
      </c>
      <c r="J654">
        <f>VLOOKUP(B654,raw!A:K,8,0)</f>
        <v>0</v>
      </c>
      <c r="K654">
        <f>_xlfn.IFNA(VLOOKUP(B654,TDK!A:C,2,0),0)</f>
        <v>46</v>
      </c>
      <c r="L654">
        <f>_xlfn.IFNA(VLOOKUP(B654,TDK!A:C,3,0),0)</f>
        <v>0</v>
      </c>
      <c r="M654">
        <f>_xlfn.IFNA(VLOOKUP(B654,TDK!F:G,2,0),0)</f>
        <v>11</v>
      </c>
      <c r="N654">
        <f t="shared" si="10"/>
        <v>57</v>
      </c>
    </row>
    <row r="655" spans="1:14" x14ac:dyDescent="0.25">
      <c r="A655" t="s">
        <v>92</v>
      </c>
      <c r="B655" t="s">
        <v>1652</v>
      </c>
      <c r="C655">
        <f>VLOOKUP(B655,raw!A:K,11,0)</f>
        <v>57</v>
      </c>
      <c r="D655">
        <f>VLOOKUP(B655,raw!A:K,3,0)+VLOOKUP(B655,raw!A:K,7,0)</f>
        <v>1</v>
      </c>
      <c r="E655">
        <f>VLOOKUP(B655,raw!A:K,4,0)</f>
        <v>0</v>
      </c>
      <c r="F655">
        <f>VLOOKUP(B655,raw!A:K,5,0)</f>
        <v>0</v>
      </c>
      <c r="G655">
        <f>VLOOKUP(B655,raw!A:K,2,0)+VLOOKUP(B655,raw!A:K,10,0)</f>
        <v>0</v>
      </c>
      <c r="H655">
        <f>VLOOKUP(B655,raw!A:K,6,0)</f>
        <v>0</v>
      </c>
      <c r="I655">
        <f>VLOOKUP(B655,raw!A:K,9,0)</f>
        <v>56</v>
      </c>
      <c r="J655">
        <f>VLOOKUP(B655,raw!A:K,8,0)</f>
        <v>0</v>
      </c>
      <c r="K655">
        <f>_xlfn.IFNA(VLOOKUP(B655,TDK!A:C,2,0),0)</f>
        <v>39</v>
      </c>
      <c r="L655">
        <f>_xlfn.IFNA(VLOOKUP(B655,TDK!A:C,3,0),0)</f>
        <v>0</v>
      </c>
      <c r="M655">
        <f>_xlfn.IFNA(VLOOKUP(B655,TDK!F:G,2,0),0)</f>
        <v>9</v>
      </c>
      <c r="N655">
        <f t="shared" si="10"/>
        <v>48</v>
      </c>
    </row>
    <row r="656" spans="1:14" x14ac:dyDescent="0.25">
      <c r="A656" t="s">
        <v>93</v>
      </c>
      <c r="B656" t="s">
        <v>1653</v>
      </c>
      <c r="C656">
        <f>VLOOKUP(B656,raw!A:K,11,0)</f>
        <v>218</v>
      </c>
      <c r="D656">
        <f>VLOOKUP(B656,raw!A:K,3,0)+VLOOKUP(B656,raw!A:K,7,0)</f>
        <v>205</v>
      </c>
      <c r="E656">
        <f>VLOOKUP(B656,raw!A:K,4,0)</f>
        <v>0</v>
      </c>
      <c r="F656">
        <f>VLOOKUP(B656,raw!A:K,5,0)</f>
        <v>0</v>
      </c>
      <c r="G656">
        <f>VLOOKUP(B656,raw!A:K,2,0)+VLOOKUP(B656,raw!A:K,10,0)</f>
        <v>0</v>
      </c>
      <c r="H656">
        <f>VLOOKUP(B656,raw!A:K,6,0)</f>
        <v>0</v>
      </c>
      <c r="I656">
        <f>VLOOKUP(B656,raw!A:K,9,0)</f>
        <v>13</v>
      </c>
      <c r="J656">
        <f>VLOOKUP(B656,raw!A:K,8,0)</f>
        <v>0</v>
      </c>
      <c r="K656">
        <f>_xlfn.IFNA(VLOOKUP(B656,TDK!A:C,2,0),0)</f>
        <v>47</v>
      </c>
      <c r="L656">
        <f>_xlfn.IFNA(VLOOKUP(B656,TDK!A:C,3,0),0)</f>
        <v>3</v>
      </c>
      <c r="M656">
        <f>_xlfn.IFNA(VLOOKUP(B656,TDK!F:G,2,0),0)</f>
        <v>45</v>
      </c>
      <c r="N656">
        <f t="shared" si="10"/>
        <v>95</v>
      </c>
    </row>
    <row r="657" spans="1:14" x14ac:dyDescent="0.25">
      <c r="A657" t="s">
        <v>93</v>
      </c>
      <c r="B657" t="s">
        <v>1654</v>
      </c>
      <c r="C657">
        <f>VLOOKUP(B657,raw!A:K,11,0)</f>
        <v>90</v>
      </c>
      <c r="D657">
        <f>VLOOKUP(B657,raw!A:K,3,0)+VLOOKUP(B657,raw!A:K,7,0)</f>
        <v>81</v>
      </c>
      <c r="E657">
        <f>VLOOKUP(B657,raw!A:K,4,0)</f>
        <v>0</v>
      </c>
      <c r="F657">
        <f>VLOOKUP(B657,raw!A:K,5,0)</f>
        <v>0</v>
      </c>
      <c r="G657">
        <f>VLOOKUP(B657,raw!A:K,2,0)+VLOOKUP(B657,raw!A:K,10,0)</f>
        <v>0</v>
      </c>
      <c r="H657">
        <f>VLOOKUP(B657,raw!A:K,6,0)</f>
        <v>0</v>
      </c>
      <c r="I657">
        <f>VLOOKUP(B657,raw!A:K,9,0)</f>
        <v>9</v>
      </c>
      <c r="J657">
        <f>VLOOKUP(B657,raw!A:K,8,0)</f>
        <v>0</v>
      </c>
      <c r="K657">
        <f>_xlfn.IFNA(VLOOKUP(B657,TDK!A:C,2,0),0)</f>
        <v>33</v>
      </c>
      <c r="L657">
        <f>_xlfn.IFNA(VLOOKUP(B657,TDK!A:C,3,0),0)</f>
        <v>0</v>
      </c>
      <c r="M657">
        <f>_xlfn.IFNA(VLOOKUP(B657,TDK!F:G,2,0),0)</f>
        <v>6</v>
      </c>
      <c r="N657">
        <f t="shared" si="10"/>
        <v>39</v>
      </c>
    </row>
    <row r="658" spans="1:14" x14ac:dyDescent="0.25">
      <c r="A658" t="s">
        <v>92</v>
      </c>
      <c r="B658" t="s">
        <v>1655</v>
      </c>
      <c r="C658">
        <f>VLOOKUP(B658,raw!A:K,11,0)</f>
        <v>42</v>
      </c>
      <c r="D658">
        <f>VLOOKUP(B658,raw!A:K,3,0)+VLOOKUP(B658,raw!A:K,7,0)</f>
        <v>23</v>
      </c>
      <c r="E658">
        <f>VLOOKUP(B658,raw!A:K,4,0)</f>
        <v>0</v>
      </c>
      <c r="F658">
        <f>VLOOKUP(B658,raw!A:K,5,0)</f>
        <v>0</v>
      </c>
      <c r="G658">
        <f>VLOOKUP(B658,raw!A:K,2,0)+VLOOKUP(B658,raw!A:K,10,0)</f>
        <v>0</v>
      </c>
      <c r="H658">
        <f>VLOOKUP(B658,raw!A:K,6,0)</f>
        <v>0</v>
      </c>
      <c r="I658">
        <f>VLOOKUP(B658,raw!A:K,9,0)</f>
        <v>19</v>
      </c>
      <c r="J658">
        <f>VLOOKUP(B658,raw!A:K,8,0)</f>
        <v>0</v>
      </c>
      <c r="K658">
        <f>_xlfn.IFNA(VLOOKUP(B658,TDK!A:C,2,0),0)</f>
        <v>14</v>
      </c>
      <c r="L658">
        <f>_xlfn.IFNA(VLOOKUP(B658,TDK!A:C,3,0),0)</f>
        <v>1</v>
      </c>
      <c r="M658">
        <f>_xlfn.IFNA(VLOOKUP(B658,TDK!F:G,2,0),0)</f>
        <v>2</v>
      </c>
      <c r="N658">
        <f t="shared" si="10"/>
        <v>17</v>
      </c>
    </row>
    <row r="659" spans="1:14" x14ac:dyDescent="0.25">
      <c r="A659" t="s">
        <v>93</v>
      </c>
      <c r="B659" t="s">
        <v>1656</v>
      </c>
      <c r="C659">
        <f>VLOOKUP(B659,raw!A:K,11,0)</f>
        <v>78</v>
      </c>
      <c r="D659">
        <f>VLOOKUP(B659,raw!A:K,3,0)+VLOOKUP(B659,raw!A:K,7,0)</f>
        <v>73</v>
      </c>
      <c r="E659">
        <f>VLOOKUP(B659,raw!A:K,4,0)</f>
        <v>0</v>
      </c>
      <c r="F659">
        <f>VLOOKUP(B659,raw!A:K,5,0)</f>
        <v>0</v>
      </c>
      <c r="G659">
        <f>VLOOKUP(B659,raw!A:K,2,0)+VLOOKUP(B659,raw!A:K,10,0)</f>
        <v>0</v>
      </c>
      <c r="H659">
        <f>VLOOKUP(B659,raw!A:K,6,0)</f>
        <v>0</v>
      </c>
      <c r="I659">
        <f>VLOOKUP(B659,raw!A:K,9,0)</f>
        <v>5</v>
      </c>
      <c r="J659">
        <f>VLOOKUP(B659,raw!A:K,8,0)</f>
        <v>0</v>
      </c>
      <c r="K659">
        <f>_xlfn.IFNA(VLOOKUP(B659,TDK!A:C,2,0),0)</f>
        <v>19</v>
      </c>
      <c r="L659">
        <f>_xlfn.IFNA(VLOOKUP(B659,TDK!A:C,3,0),0)</f>
        <v>0</v>
      </c>
      <c r="M659">
        <f>_xlfn.IFNA(VLOOKUP(B659,TDK!F:G,2,0),0)</f>
        <v>5</v>
      </c>
      <c r="N659">
        <f t="shared" si="10"/>
        <v>24</v>
      </c>
    </row>
    <row r="660" spans="1:14" x14ac:dyDescent="0.25">
      <c r="A660" t="s">
        <v>93</v>
      </c>
      <c r="B660" t="s">
        <v>1657</v>
      </c>
      <c r="C660">
        <f>VLOOKUP(B660,raw!A:K,11,0)</f>
        <v>98</v>
      </c>
      <c r="D660">
        <f>VLOOKUP(B660,raw!A:K,3,0)+VLOOKUP(B660,raw!A:K,7,0)</f>
        <v>89</v>
      </c>
      <c r="E660">
        <f>VLOOKUP(B660,raw!A:K,4,0)</f>
        <v>0</v>
      </c>
      <c r="F660">
        <f>VLOOKUP(B660,raw!A:K,5,0)</f>
        <v>0</v>
      </c>
      <c r="G660">
        <f>VLOOKUP(B660,raw!A:K,2,0)+VLOOKUP(B660,raw!A:K,10,0)</f>
        <v>0</v>
      </c>
      <c r="H660">
        <f>VLOOKUP(B660,raw!A:K,6,0)</f>
        <v>0</v>
      </c>
      <c r="I660">
        <f>VLOOKUP(B660,raw!A:K,9,0)</f>
        <v>9</v>
      </c>
      <c r="J660">
        <f>VLOOKUP(B660,raw!A:K,8,0)</f>
        <v>0</v>
      </c>
      <c r="K660">
        <f>_xlfn.IFNA(VLOOKUP(B660,TDK!A:C,2,0),0)</f>
        <v>17</v>
      </c>
      <c r="L660">
        <f>_xlfn.IFNA(VLOOKUP(B660,TDK!A:C,3,0),0)</f>
        <v>5</v>
      </c>
      <c r="M660">
        <f>_xlfn.IFNA(VLOOKUP(B660,TDK!F:G,2,0),0)</f>
        <v>6</v>
      </c>
      <c r="N660">
        <f t="shared" si="10"/>
        <v>28</v>
      </c>
    </row>
    <row r="661" spans="1:14" x14ac:dyDescent="0.25">
      <c r="A661" t="s">
        <v>93</v>
      </c>
      <c r="B661" t="s">
        <v>1658</v>
      </c>
      <c r="C661">
        <f>VLOOKUP(B661,raw!A:K,11,0)</f>
        <v>91</v>
      </c>
      <c r="D661">
        <f>VLOOKUP(B661,raw!A:K,3,0)+VLOOKUP(B661,raw!A:K,7,0)</f>
        <v>90</v>
      </c>
      <c r="E661">
        <f>VLOOKUP(B661,raw!A:K,4,0)</f>
        <v>0</v>
      </c>
      <c r="F661">
        <f>VLOOKUP(B661,raw!A:K,5,0)</f>
        <v>0</v>
      </c>
      <c r="G661">
        <f>VLOOKUP(B661,raw!A:K,2,0)+VLOOKUP(B661,raw!A:K,10,0)</f>
        <v>0</v>
      </c>
      <c r="H661">
        <f>VLOOKUP(B661,raw!A:K,6,0)</f>
        <v>0</v>
      </c>
      <c r="I661">
        <f>VLOOKUP(B661,raw!A:K,9,0)</f>
        <v>1</v>
      </c>
      <c r="J661">
        <f>VLOOKUP(B661,raw!A:K,8,0)</f>
        <v>0</v>
      </c>
      <c r="K661">
        <f>_xlfn.IFNA(VLOOKUP(B661,TDK!A:C,2,0),0)</f>
        <v>44</v>
      </c>
      <c r="L661">
        <f>_xlfn.IFNA(VLOOKUP(B661,TDK!A:C,3,0),0)</f>
        <v>0</v>
      </c>
      <c r="M661">
        <f>_xlfn.IFNA(VLOOKUP(B661,TDK!F:G,2,0),0)</f>
        <v>4</v>
      </c>
      <c r="N661">
        <f t="shared" si="10"/>
        <v>48</v>
      </c>
    </row>
    <row r="662" spans="1:14" x14ac:dyDescent="0.25">
      <c r="A662" t="s">
        <v>93</v>
      </c>
      <c r="B662" t="s">
        <v>1659</v>
      </c>
      <c r="C662">
        <f>VLOOKUP(B662,raw!A:K,11,0)</f>
        <v>155</v>
      </c>
      <c r="D662">
        <f>VLOOKUP(B662,raw!A:K,3,0)+VLOOKUP(B662,raw!A:K,7,0)</f>
        <v>155</v>
      </c>
      <c r="E662">
        <f>VLOOKUP(B662,raw!A:K,4,0)</f>
        <v>0</v>
      </c>
      <c r="F662">
        <f>VLOOKUP(B662,raw!A:K,5,0)</f>
        <v>0</v>
      </c>
      <c r="G662">
        <f>VLOOKUP(B662,raw!A:K,2,0)+VLOOKUP(B662,raw!A:K,10,0)</f>
        <v>0</v>
      </c>
      <c r="H662">
        <f>VLOOKUP(B662,raw!A:K,6,0)</f>
        <v>0</v>
      </c>
      <c r="I662">
        <f>VLOOKUP(B662,raw!A:K,9,0)</f>
        <v>0</v>
      </c>
      <c r="J662">
        <f>VLOOKUP(B662,raw!A:K,8,0)</f>
        <v>0</v>
      </c>
      <c r="K662">
        <f>_xlfn.IFNA(VLOOKUP(B662,TDK!A:C,2,0),0)</f>
        <v>42</v>
      </c>
      <c r="L662">
        <f>_xlfn.IFNA(VLOOKUP(B662,TDK!A:C,3,0),0)</f>
        <v>2</v>
      </c>
      <c r="M662">
        <f>_xlfn.IFNA(VLOOKUP(B662,TDK!F:G,2,0),0)</f>
        <v>9</v>
      </c>
      <c r="N662">
        <f t="shared" si="10"/>
        <v>53</v>
      </c>
    </row>
    <row r="663" spans="1:14" x14ac:dyDescent="0.25">
      <c r="A663" t="s">
        <v>94</v>
      </c>
      <c r="B663" t="s">
        <v>1660</v>
      </c>
      <c r="C663">
        <f>VLOOKUP(B663,raw!A:K,11,0)</f>
        <v>58</v>
      </c>
      <c r="D663">
        <f>VLOOKUP(B663,raw!A:K,3,0)+VLOOKUP(B663,raw!A:K,7,0)</f>
        <v>58</v>
      </c>
      <c r="E663">
        <f>VLOOKUP(B663,raw!A:K,4,0)</f>
        <v>0</v>
      </c>
      <c r="F663">
        <f>VLOOKUP(B663,raw!A:K,5,0)</f>
        <v>0</v>
      </c>
      <c r="G663">
        <f>VLOOKUP(B663,raw!A:K,2,0)+VLOOKUP(B663,raw!A:K,10,0)</f>
        <v>0</v>
      </c>
      <c r="H663">
        <f>VLOOKUP(B663,raw!A:K,6,0)</f>
        <v>0</v>
      </c>
      <c r="I663">
        <f>VLOOKUP(B663,raw!A:K,9,0)</f>
        <v>0</v>
      </c>
      <c r="J663">
        <f>VLOOKUP(B663,raw!A:K,8,0)</f>
        <v>0</v>
      </c>
      <c r="K663">
        <f>_xlfn.IFNA(VLOOKUP(B663,TDK!A:C,2,0),0)</f>
        <v>12</v>
      </c>
      <c r="L663">
        <f>_xlfn.IFNA(VLOOKUP(B663,TDK!A:C,3,0),0)</f>
        <v>0</v>
      </c>
      <c r="M663">
        <f>_xlfn.IFNA(VLOOKUP(B663,TDK!F:G,2,0),0)</f>
        <v>1</v>
      </c>
      <c r="N663">
        <f t="shared" si="10"/>
        <v>13</v>
      </c>
    </row>
    <row r="664" spans="1:14" x14ac:dyDescent="0.25">
      <c r="A664" t="s">
        <v>94</v>
      </c>
      <c r="B664" t="s">
        <v>1661</v>
      </c>
      <c r="C664">
        <f>VLOOKUP(B664,raw!A:K,11,0)</f>
        <v>57</v>
      </c>
      <c r="D664">
        <f>VLOOKUP(B664,raw!A:K,3,0)+VLOOKUP(B664,raw!A:K,7,0)</f>
        <v>57</v>
      </c>
      <c r="E664">
        <f>VLOOKUP(B664,raw!A:K,4,0)</f>
        <v>0</v>
      </c>
      <c r="F664">
        <f>VLOOKUP(B664,raw!A:K,5,0)</f>
        <v>0</v>
      </c>
      <c r="G664">
        <f>VLOOKUP(B664,raw!A:K,2,0)+VLOOKUP(B664,raw!A:K,10,0)</f>
        <v>0</v>
      </c>
      <c r="H664">
        <f>VLOOKUP(B664,raw!A:K,6,0)</f>
        <v>0</v>
      </c>
      <c r="I664">
        <f>VLOOKUP(B664,raw!A:K,9,0)</f>
        <v>0</v>
      </c>
      <c r="J664">
        <f>VLOOKUP(B664,raw!A:K,8,0)</f>
        <v>0</v>
      </c>
      <c r="K664">
        <f>_xlfn.IFNA(VLOOKUP(B664,TDK!A:C,2,0),0)</f>
        <v>10</v>
      </c>
      <c r="L664">
        <f>_xlfn.IFNA(VLOOKUP(B664,TDK!A:C,3,0),0)</f>
        <v>0</v>
      </c>
      <c r="M664">
        <f>_xlfn.IFNA(VLOOKUP(B664,TDK!F:G,2,0),0)</f>
        <v>2</v>
      </c>
      <c r="N664">
        <f t="shared" si="10"/>
        <v>12</v>
      </c>
    </row>
    <row r="665" spans="1:14" x14ac:dyDescent="0.25">
      <c r="A665" t="s">
        <v>94</v>
      </c>
      <c r="B665" t="s">
        <v>1662</v>
      </c>
      <c r="C665">
        <f>VLOOKUP(B665,raw!A:K,11,0)</f>
        <v>45</v>
      </c>
      <c r="D665">
        <f>VLOOKUP(B665,raw!A:K,3,0)+VLOOKUP(B665,raw!A:K,7,0)</f>
        <v>45</v>
      </c>
      <c r="E665">
        <f>VLOOKUP(B665,raw!A:K,4,0)</f>
        <v>0</v>
      </c>
      <c r="F665">
        <f>VLOOKUP(B665,raw!A:K,5,0)</f>
        <v>0</v>
      </c>
      <c r="G665">
        <f>VLOOKUP(B665,raw!A:K,2,0)+VLOOKUP(B665,raw!A:K,10,0)</f>
        <v>0</v>
      </c>
      <c r="H665">
        <f>VLOOKUP(B665,raw!A:K,6,0)</f>
        <v>0</v>
      </c>
      <c r="I665">
        <f>VLOOKUP(B665,raw!A:K,9,0)</f>
        <v>0</v>
      </c>
      <c r="J665">
        <f>VLOOKUP(B665,raw!A:K,8,0)</f>
        <v>0</v>
      </c>
      <c r="K665">
        <f>_xlfn.IFNA(VLOOKUP(B665,TDK!A:C,2,0),0)</f>
        <v>8</v>
      </c>
      <c r="L665">
        <f>_xlfn.IFNA(VLOOKUP(B665,TDK!A:C,3,0),0)</f>
        <v>0</v>
      </c>
      <c r="M665">
        <f>_xlfn.IFNA(VLOOKUP(B665,TDK!F:G,2,0),0)</f>
        <v>4</v>
      </c>
      <c r="N665">
        <f t="shared" si="10"/>
        <v>12</v>
      </c>
    </row>
    <row r="666" spans="1:14" x14ac:dyDescent="0.25">
      <c r="A666" t="s">
        <v>94</v>
      </c>
      <c r="B666" t="s">
        <v>1663</v>
      </c>
      <c r="C666">
        <f>VLOOKUP(B666,raw!A:K,11,0)</f>
        <v>47</v>
      </c>
      <c r="D666">
        <f>VLOOKUP(B666,raw!A:K,3,0)+VLOOKUP(B666,raw!A:K,7,0)</f>
        <v>47</v>
      </c>
      <c r="E666">
        <f>VLOOKUP(B666,raw!A:K,4,0)</f>
        <v>0</v>
      </c>
      <c r="F666">
        <f>VLOOKUP(B666,raw!A:K,5,0)</f>
        <v>0</v>
      </c>
      <c r="G666">
        <f>VLOOKUP(B666,raw!A:K,2,0)+VLOOKUP(B666,raw!A:K,10,0)</f>
        <v>0</v>
      </c>
      <c r="H666">
        <f>VLOOKUP(B666,raw!A:K,6,0)</f>
        <v>0</v>
      </c>
      <c r="I666">
        <f>VLOOKUP(B666,raw!A:K,9,0)</f>
        <v>0</v>
      </c>
      <c r="J666">
        <f>VLOOKUP(B666,raw!A:K,8,0)</f>
        <v>0</v>
      </c>
      <c r="K666">
        <f>_xlfn.IFNA(VLOOKUP(B666,TDK!A:C,2,0),0)</f>
        <v>11</v>
      </c>
      <c r="L666">
        <f>_xlfn.IFNA(VLOOKUP(B666,TDK!A:C,3,0),0)</f>
        <v>0</v>
      </c>
      <c r="M666">
        <f>_xlfn.IFNA(VLOOKUP(B666,TDK!F:G,2,0),0)</f>
        <v>2</v>
      </c>
      <c r="N666">
        <f t="shared" si="10"/>
        <v>13</v>
      </c>
    </row>
    <row r="667" spans="1:14" x14ac:dyDescent="0.25">
      <c r="A667" t="s">
        <v>94</v>
      </c>
      <c r="B667" t="s">
        <v>1664</v>
      </c>
      <c r="C667">
        <f>VLOOKUP(B667,raw!A:K,11,0)</f>
        <v>92</v>
      </c>
      <c r="D667">
        <f>VLOOKUP(B667,raw!A:K,3,0)+VLOOKUP(B667,raw!A:K,7,0)</f>
        <v>92</v>
      </c>
      <c r="E667">
        <f>VLOOKUP(B667,raw!A:K,4,0)</f>
        <v>0</v>
      </c>
      <c r="F667">
        <f>VLOOKUP(B667,raw!A:K,5,0)</f>
        <v>0</v>
      </c>
      <c r="G667">
        <f>VLOOKUP(B667,raw!A:K,2,0)+VLOOKUP(B667,raw!A:K,10,0)</f>
        <v>0</v>
      </c>
      <c r="H667">
        <f>VLOOKUP(B667,raw!A:K,6,0)</f>
        <v>0</v>
      </c>
      <c r="I667">
        <f>VLOOKUP(B667,raw!A:K,9,0)</f>
        <v>0</v>
      </c>
      <c r="J667">
        <f>VLOOKUP(B667,raw!A:K,8,0)</f>
        <v>0</v>
      </c>
      <c r="K667">
        <f>_xlfn.IFNA(VLOOKUP(B667,TDK!A:C,2,0),0)</f>
        <v>15</v>
      </c>
      <c r="L667">
        <f>_xlfn.IFNA(VLOOKUP(B667,TDK!A:C,3,0),0)</f>
        <v>0</v>
      </c>
      <c r="M667">
        <f>_xlfn.IFNA(VLOOKUP(B667,TDK!F:G,2,0),0)</f>
        <v>4</v>
      </c>
      <c r="N667">
        <f t="shared" si="10"/>
        <v>19</v>
      </c>
    </row>
    <row r="668" spans="1:14" x14ac:dyDescent="0.25">
      <c r="A668" t="s">
        <v>94</v>
      </c>
      <c r="B668" t="s">
        <v>1665</v>
      </c>
      <c r="C668">
        <f>VLOOKUP(B668,raw!A:K,11,0)</f>
        <v>72</v>
      </c>
      <c r="D668">
        <f>VLOOKUP(B668,raw!A:K,3,0)+VLOOKUP(B668,raw!A:K,7,0)</f>
        <v>25</v>
      </c>
      <c r="E668">
        <f>VLOOKUP(B668,raw!A:K,4,0)</f>
        <v>0</v>
      </c>
      <c r="F668">
        <f>VLOOKUP(B668,raw!A:K,5,0)</f>
        <v>0</v>
      </c>
      <c r="G668">
        <f>VLOOKUP(B668,raw!A:K,2,0)+VLOOKUP(B668,raw!A:K,10,0)</f>
        <v>0</v>
      </c>
      <c r="H668">
        <f>VLOOKUP(B668,raw!A:K,6,0)</f>
        <v>0</v>
      </c>
      <c r="I668">
        <f>VLOOKUP(B668,raw!A:K,9,0)</f>
        <v>47</v>
      </c>
      <c r="J668">
        <f>VLOOKUP(B668,raw!A:K,8,0)</f>
        <v>0</v>
      </c>
      <c r="K668">
        <f>_xlfn.IFNA(VLOOKUP(B668,TDK!A:C,2,0),0)</f>
        <v>23</v>
      </c>
      <c r="L668">
        <f>_xlfn.IFNA(VLOOKUP(B668,TDK!A:C,3,0),0)</f>
        <v>0</v>
      </c>
      <c r="M668">
        <f>_xlfn.IFNA(VLOOKUP(B668,TDK!F:G,2,0),0)</f>
        <v>8</v>
      </c>
      <c r="N668">
        <f t="shared" si="10"/>
        <v>31</v>
      </c>
    </row>
    <row r="669" spans="1:14" x14ac:dyDescent="0.25">
      <c r="A669" t="s">
        <v>94</v>
      </c>
      <c r="B669" t="s">
        <v>1666</v>
      </c>
      <c r="C669">
        <f>VLOOKUP(B669,raw!A:K,11,0)</f>
        <v>102</v>
      </c>
      <c r="D669">
        <f>VLOOKUP(B669,raw!A:K,3,0)+VLOOKUP(B669,raw!A:K,7,0)</f>
        <v>26</v>
      </c>
      <c r="E669">
        <f>VLOOKUP(B669,raw!A:K,4,0)</f>
        <v>0</v>
      </c>
      <c r="F669">
        <f>VLOOKUP(B669,raw!A:K,5,0)</f>
        <v>0</v>
      </c>
      <c r="G669">
        <f>VLOOKUP(B669,raw!A:K,2,0)+VLOOKUP(B669,raw!A:K,10,0)</f>
        <v>0</v>
      </c>
      <c r="H669">
        <f>VLOOKUP(B669,raw!A:K,6,0)</f>
        <v>0</v>
      </c>
      <c r="I669">
        <f>VLOOKUP(B669,raw!A:K,9,0)</f>
        <v>76</v>
      </c>
      <c r="J669">
        <f>VLOOKUP(B669,raw!A:K,8,0)</f>
        <v>0</v>
      </c>
      <c r="K669">
        <f>_xlfn.IFNA(VLOOKUP(B669,TDK!A:C,2,0),0)</f>
        <v>23</v>
      </c>
      <c r="L669">
        <f>_xlfn.IFNA(VLOOKUP(B669,TDK!A:C,3,0),0)</f>
        <v>0</v>
      </c>
      <c r="M669">
        <f>_xlfn.IFNA(VLOOKUP(B669,TDK!F:G,2,0),0)</f>
        <v>16</v>
      </c>
      <c r="N669">
        <f t="shared" si="10"/>
        <v>39</v>
      </c>
    </row>
    <row r="670" spans="1:14" x14ac:dyDescent="0.25">
      <c r="A670" t="s">
        <v>94</v>
      </c>
      <c r="B670" t="s">
        <v>1667</v>
      </c>
      <c r="C670">
        <f>VLOOKUP(B670,raw!A:K,11,0)</f>
        <v>102</v>
      </c>
      <c r="D670">
        <f>VLOOKUP(B670,raw!A:K,3,0)+VLOOKUP(B670,raw!A:K,7,0)</f>
        <v>25</v>
      </c>
      <c r="E670">
        <f>VLOOKUP(B670,raw!A:K,4,0)</f>
        <v>3</v>
      </c>
      <c r="F670">
        <f>VLOOKUP(B670,raw!A:K,5,0)</f>
        <v>0</v>
      </c>
      <c r="G670">
        <f>VLOOKUP(B670,raw!A:K,2,0)+VLOOKUP(B670,raw!A:K,10,0)</f>
        <v>0</v>
      </c>
      <c r="H670">
        <f>VLOOKUP(B670,raw!A:K,6,0)</f>
        <v>0</v>
      </c>
      <c r="I670">
        <f>VLOOKUP(B670,raw!A:K,9,0)</f>
        <v>74</v>
      </c>
      <c r="J670">
        <f>VLOOKUP(B670,raw!A:K,8,0)</f>
        <v>0</v>
      </c>
      <c r="K670">
        <f>_xlfn.IFNA(VLOOKUP(B670,TDK!A:C,2,0),0)</f>
        <v>21</v>
      </c>
      <c r="L670">
        <f>_xlfn.IFNA(VLOOKUP(B670,TDK!A:C,3,0),0)</f>
        <v>0</v>
      </c>
      <c r="M670">
        <f>_xlfn.IFNA(VLOOKUP(B670,TDK!F:G,2,0),0)</f>
        <v>4</v>
      </c>
      <c r="N670">
        <f t="shared" si="10"/>
        <v>25</v>
      </c>
    </row>
    <row r="671" spans="1:14" x14ac:dyDescent="0.25">
      <c r="A671" t="s">
        <v>94</v>
      </c>
      <c r="B671" t="s">
        <v>1668</v>
      </c>
      <c r="C671">
        <f>VLOOKUP(B671,raw!A:K,11,0)</f>
        <v>105</v>
      </c>
      <c r="D671">
        <f>VLOOKUP(B671,raw!A:K,3,0)+VLOOKUP(B671,raw!A:K,7,0)</f>
        <v>16</v>
      </c>
      <c r="E671">
        <f>VLOOKUP(B671,raw!A:K,4,0)</f>
        <v>0</v>
      </c>
      <c r="F671">
        <f>VLOOKUP(B671,raw!A:K,5,0)</f>
        <v>0</v>
      </c>
      <c r="G671">
        <f>VLOOKUP(B671,raw!A:K,2,0)+VLOOKUP(B671,raw!A:K,10,0)</f>
        <v>0</v>
      </c>
      <c r="H671">
        <f>VLOOKUP(B671,raw!A:K,6,0)</f>
        <v>0</v>
      </c>
      <c r="I671">
        <f>VLOOKUP(B671,raw!A:K,9,0)</f>
        <v>89</v>
      </c>
      <c r="J671">
        <f>VLOOKUP(B671,raw!A:K,8,0)</f>
        <v>0</v>
      </c>
      <c r="K671">
        <f>_xlfn.IFNA(VLOOKUP(B671,TDK!A:C,2,0),0)</f>
        <v>30</v>
      </c>
      <c r="L671">
        <f>_xlfn.IFNA(VLOOKUP(B671,TDK!A:C,3,0),0)</f>
        <v>0</v>
      </c>
      <c r="M671">
        <f>_xlfn.IFNA(VLOOKUP(B671,TDK!F:G,2,0),0)</f>
        <v>9</v>
      </c>
      <c r="N671">
        <f t="shared" si="10"/>
        <v>39</v>
      </c>
    </row>
    <row r="672" spans="1:14" x14ac:dyDescent="0.25">
      <c r="A672" t="s">
        <v>95</v>
      </c>
      <c r="B672" t="s">
        <v>1669</v>
      </c>
      <c r="C672">
        <f>VLOOKUP(B672,raw!A:K,11,0)</f>
        <v>83</v>
      </c>
      <c r="D672">
        <f>VLOOKUP(B672,raw!A:K,3,0)+VLOOKUP(B672,raw!A:K,7,0)</f>
        <v>83</v>
      </c>
      <c r="E672">
        <f>VLOOKUP(B672,raw!A:K,4,0)</f>
        <v>0</v>
      </c>
      <c r="F672">
        <f>VLOOKUP(B672,raw!A:K,5,0)</f>
        <v>0</v>
      </c>
      <c r="G672">
        <f>VLOOKUP(B672,raw!A:K,2,0)+VLOOKUP(B672,raw!A:K,10,0)</f>
        <v>0</v>
      </c>
      <c r="H672">
        <f>VLOOKUP(B672,raw!A:K,6,0)</f>
        <v>0</v>
      </c>
      <c r="I672">
        <f>VLOOKUP(B672,raw!A:K,9,0)</f>
        <v>0</v>
      </c>
      <c r="J672">
        <f>VLOOKUP(B672,raw!A:K,8,0)</f>
        <v>0</v>
      </c>
      <c r="K672">
        <f>_xlfn.IFNA(VLOOKUP(B672,TDK!A:C,2,0),0)</f>
        <v>8</v>
      </c>
      <c r="L672">
        <f>_xlfn.IFNA(VLOOKUP(B672,TDK!A:C,3,0),0)</f>
        <v>1</v>
      </c>
      <c r="M672">
        <f>_xlfn.IFNA(VLOOKUP(B672,TDK!F:G,2,0),0)</f>
        <v>3</v>
      </c>
      <c r="N672">
        <f t="shared" si="10"/>
        <v>12</v>
      </c>
    </row>
    <row r="673" spans="1:14" x14ac:dyDescent="0.25">
      <c r="A673" t="s">
        <v>95</v>
      </c>
      <c r="B673" t="s">
        <v>1670</v>
      </c>
      <c r="C673">
        <f>VLOOKUP(B673,raw!A:K,11,0)</f>
        <v>67</v>
      </c>
      <c r="D673">
        <f>VLOOKUP(B673,raw!A:K,3,0)+VLOOKUP(B673,raw!A:K,7,0)</f>
        <v>67</v>
      </c>
      <c r="E673">
        <f>VLOOKUP(B673,raw!A:K,4,0)</f>
        <v>0</v>
      </c>
      <c r="F673">
        <f>VLOOKUP(B673,raw!A:K,5,0)</f>
        <v>0</v>
      </c>
      <c r="G673">
        <f>VLOOKUP(B673,raw!A:K,2,0)+VLOOKUP(B673,raw!A:K,10,0)</f>
        <v>0</v>
      </c>
      <c r="H673">
        <f>VLOOKUP(B673,raw!A:K,6,0)</f>
        <v>0</v>
      </c>
      <c r="I673">
        <f>VLOOKUP(B673,raw!A:K,9,0)</f>
        <v>0</v>
      </c>
      <c r="J673">
        <f>VLOOKUP(B673,raw!A:K,8,0)</f>
        <v>0</v>
      </c>
      <c r="K673">
        <f>_xlfn.IFNA(VLOOKUP(B673,TDK!A:C,2,0),0)</f>
        <v>7</v>
      </c>
      <c r="L673">
        <f>_xlfn.IFNA(VLOOKUP(B673,TDK!A:C,3,0),0)</f>
        <v>3</v>
      </c>
      <c r="M673">
        <f>_xlfn.IFNA(VLOOKUP(B673,TDK!F:G,2,0),0)</f>
        <v>2</v>
      </c>
      <c r="N673">
        <f t="shared" si="10"/>
        <v>12</v>
      </c>
    </row>
    <row r="674" spans="1:14" x14ac:dyDescent="0.25">
      <c r="A674" t="s">
        <v>95</v>
      </c>
      <c r="B674" t="s">
        <v>1671</v>
      </c>
      <c r="C674">
        <f>VLOOKUP(B674,raw!A:K,11,0)</f>
        <v>40</v>
      </c>
      <c r="D674">
        <f>VLOOKUP(B674,raw!A:K,3,0)+VLOOKUP(B674,raw!A:K,7,0)</f>
        <v>40</v>
      </c>
      <c r="E674">
        <f>VLOOKUP(B674,raw!A:K,4,0)</f>
        <v>0</v>
      </c>
      <c r="F674">
        <f>VLOOKUP(B674,raw!A:K,5,0)</f>
        <v>0</v>
      </c>
      <c r="G674">
        <f>VLOOKUP(B674,raw!A:K,2,0)+VLOOKUP(B674,raw!A:K,10,0)</f>
        <v>0</v>
      </c>
      <c r="H674">
        <f>VLOOKUP(B674,raw!A:K,6,0)</f>
        <v>0</v>
      </c>
      <c r="I674">
        <f>VLOOKUP(B674,raw!A:K,9,0)</f>
        <v>0</v>
      </c>
      <c r="J674">
        <f>VLOOKUP(B674,raw!A:K,8,0)</f>
        <v>0</v>
      </c>
      <c r="K674">
        <f>_xlfn.IFNA(VLOOKUP(B674,TDK!A:C,2,0),0)</f>
        <v>12</v>
      </c>
      <c r="L674">
        <f>_xlfn.IFNA(VLOOKUP(B674,TDK!A:C,3,0),0)</f>
        <v>2</v>
      </c>
      <c r="M674">
        <f>_xlfn.IFNA(VLOOKUP(B674,TDK!F:G,2,0),0)</f>
        <v>1</v>
      </c>
      <c r="N674">
        <f t="shared" si="10"/>
        <v>15</v>
      </c>
    </row>
    <row r="675" spans="1:14" x14ac:dyDescent="0.25">
      <c r="A675" t="s">
        <v>95</v>
      </c>
      <c r="B675" t="s">
        <v>1672</v>
      </c>
      <c r="C675">
        <f>VLOOKUP(B675,raw!A:K,11,0)</f>
        <v>70</v>
      </c>
      <c r="D675">
        <f>VLOOKUP(B675,raw!A:K,3,0)+VLOOKUP(B675,raw!A:K,7,0)</f>
        <v>70</v>
      </c>
      <c r="E675">
        <f>VLOOKUP(B675,raw!A:K,4,0)</f>
        <v>0</v>
      </c>
      <c r="F675">
        <f>VLOOKUP(B675,raw!A:K,5,0)</f>
        <v>0</v>
      </c>
      <c r="G675">
        <f>VLOOKUP(B675,raw!A:K,2,0)+VLOOKUP(B675,raw!A:K,10,0)</f>
        <v>0</v>
      </c>
      <c r="H675">
        <f>VLOOKUP(B675,raw!A:K,6,0)</f>
        <v>0</v>
      </c>
      <c r="I675">
        <f>VLOOKUP(B675,raw!A:K,9,0)</f>
        <v>0</v>
      </c>
      <c r="J675">
        <f>VLOOKUP(B675,raw!A:K,8,0)</f>
        <v>0</v>
      </c>
      <c r="K675">
        <f>_xlfn.IFNA(VLOOKUP(B675,TDK!A:C,2,0),0)</f>
        <v>24</v>
      </c>
      <c r="L675">
        <f>_xlfn.IFNA(VLOOKUP(B675,TDK!A:C,3,0),0)</f>
        <v>1</v>
      </c>
      <c r="M675">
        <f>_xlfn.IFNA(VLOOKUP(B675,TDK!F:G,2,0),0)</f>
        <v>4</v>
      </c>
      <c r="N675">
        <f t="shared" si="10"/>
        <v>29</v>
      </c>
    </row>
    <row r="676" spans="1:14" x14ac:dyDescent="0.25">
      <c r="A676" t="s">
        <v>95</v>
      </c>
      <c r="B676" t="s">
        <v>1673</v>
      </c>
      <c r="C676">
        <f>VLOOKUP(B676,raw!A:K,11,0)</f>
        <v>76</v>
      </c>
      <c r="D676">
        <f>VLOOKUP(B676,raw!A:K,3,0)+VLOOKUP(B676,raw!A:K,7,0)</f>
        <v>76</v>
      </c>
      <c r="E676">
        <f>VLOOKUP(B676,raw!A:K,4,0)</f>
        <v>0</v>
      </c>
      <c r="F676">
        <f>VLOOKUP(B676,raw!A:K,5,0)</f>
        <v>0</v>
      </c>
      <c r="G676">
        <f>VLOOKUP(B676,raw!A:K,2,0)+VLOOKUP(B676,raw!A:K,10,0)</f>
        <v>0</v>
      </c>
      <c r="H676">
        <f>VLOOKUP(B676,raw!A:K,6,0)</f>
        <v>0</v>
      </c>
      <c r="I676">
        <f>VLOOKUP(B676,raw!A:K,9,0)</f>
        <v>0</v>
      </c>
      <c r="J676">
        <f>VLOOKUP(B676,raw!A:K,8,0)</f>
        <v>0</v>
      </c>
      <c r="K676">
        <f>_xlfn.IFNA(VLOOKUP(B676,TDK!A:C,2,0),0)</f>
        <v>14</v>
      </c>
      <c r="L676">
        <f>_xlfn.IFNA(VLOOKUP(B676,TDK!A:C,3,0),0)</f>
        <v>1</v>
      </c>
      <c r="M676">
        <f>_xlfn.IFNA(VLOOKUP(B676,TDK!F:G,2,0),0)</f>
        <v>6</v>
      </c>
      <c r="N676">
        <f t="shared" si="10"/>
        <v>21</v>
      </c>
    </row>
    <row r="677" spans="1:14" x14ac:dyDescent="0.25">
      <c r="A677" t="s">
        <v>95</v>
      </c>
      <c r="B677" t="s">
        <v>1674</v>
      </c>
      <c r="C677">
        <f>VLOOKUP(B677,raw!A:K,11,0)</f>
        <v>56</v>
      </c>
      <c r="D677">
        <f>VLOOKUP(B677,raw!A:K,3,0)+VLOOKUP(B677,raw!A:K,7,0)</f>
        <v>56</v>
      </c>
      <c r="E677">
        <f>VLOOKUP(B677,raw!A:K,4,0)</f>
        <v>0</v>
      </c>
      <c r="F677">
        <f>VLOOKUP(B677,raw!A:K,5,0)</f>
        <v>0</v>
      </c>
      <c r="G677">
        <f>VLOOKUP(B677,raw!A:K,2,0)+VLOOKUP(B677,raw!A:K,10,0)</f>
        <v>0</v>
      </c>
      <c r="H677">
        <f>VLOOKUP(B677,raw!A:K,6,0)</f>
        <v>0</v>
      </c>
      <c r="I677">
        <f>VLOOKUP(B677,raw!A:K,9,0)</f>
        <v>0</v>
      </c>
      <c r="J677">
        <f>VLOOKUP(B677,raw!A:K,8,0)</f>
        <v>0</v>
      </c>
      <c r="K677">
        <f>_xlfn.IFNA(VLOOKUP(B677,TDK!A:C,2,0),0)</f>
        <v>13</v>
      </c>
      <c r="L677">
        <f>_xlfn.IFNA(VLOOKUP(B677,TDK!A:C,3,0),0)</f>
        <v>1</v>
      </c>
      <c r="M677">
        <f>_xlfn.IFNA(VLOOKUP(B677,TDK!F:G,2,0),0)</f>
        <v>5</v>
      </c>
      <c r="N677">
        <f t="shared" si="10"/>
        <v>19</v>
      </c>
    </row>
    <row r="678" spans="1:14" x14ac:dyDescent="0.25">
      <c r="A678" t="s">
        <v>95</v>
      </c>
      <c r="B678" t="s">
        <v>1675</v>
      </c>
      <c r="C678">
        <f>VLOOKUP(B678,raw!A:K,11,0)</f>
        <v>51</v>
      </c>
      <c r="D678">
        <f>VLOOKUP(B678,raw!A:K,3,0)+VLOOKUP(B678,raw!A:K,7,0)</f>
        <v>51</v>
      </c>
      <c r="E678">
        <f>VLOOKUP(B678,raw!A:K,4,0)</f>
        <v>0</v>
      </c>
      <c r="F678">
        <f>VLOOKUP(B678,raw!A:K,5,0)</f>
        <v>0</v>
      </c>
      <c r="G678">
        <f>VLOOKUP(B678,raw!A:K,2,0)+VLOOKUP(B678,raw!A:K,10,0)</f>
        <v>0</v>
      </c>
      <c r="H678">
        <f>VLOOKUP(B678,raw!A:K,6,0)</f>
        <v>0</v>
      </c>
      <c r="I678">
        <f>VLOOKUP(B678,raw!A:K,9,0)</f>
        <v>0</v>
      </c>
      <c r="J678">
        <f>VLOOKUP(B678,raw!A:K,8,0)</f>
        <v>0</v>
      </c>
      <c r="K678">
        <f>_xlfn.IFNA(VLOOKUP(B678,TDK!A:C,2,0),0)</f>
        <v>9</v>
      </c>
      <c r="L678">
        <f>_xlfn.IFNA(VLOOKUP(B678,TDK!A:C,3,0),0)</f>
        <v>0</v>
      </c>
      <c r="M678">
        <f>_xlfn.IFNA(VLOOKUP(B678,TDK!F:G,2,0),0)</f>
        <v>2</v>
      </c>
      <c r="N678">
        <f t="shared" si="10"/>
        <v>11</v>
      </c>
    </row>
    <row r="679" spans="1:14" x14ac:dyDescent="0.25">
      <c r="A679" t="s">
        <v>95</v>
      </c>
      <c r="B679" t="s">
        <v>1676</v>
      </c>
      <c r="C679">
        <f>VLOOKUP(B679,raw!A:K,11,0)</f>
        <v>44</v>
      </c>
      <c r="D679">
        <f>VLOOKUP(B679,raw!A:K,3,0)+VLOOKUP(B679,raw!A:K,7,0)</f>
        <v>43</v>
      </c>
      <c r="E679">
        <f>VLOOKUP(B679,raw!A:K,4,0)</f>
        <v>0</v>
      </c>
      <c r="F679">
        <f>VLOOKUP(B679,raw!A:K,5,0)</f>
        <v>0</v>
      </c>
      <c r="G679">
        <f>VLOOKUP(B679,raw!A:K,2,0)+VLOOKUP(B679,raw!A:K,10,0)</f>
        <v>0</v>
      </c>
      <c r="H679">
        <f>VLOOKUP(B679,raw!A:K,6,0)</f>
        <v>0</v>
      </c>
      <c r="I679">
        <f>VLOOKUP(B679,raw!A:K,9,0)</f>
        <v>1</v>
      </c>
      <c r="J679">
        <f>VLOOKUP(B679,raw!A:K,8,0)</f>
        <v>0</v>
      </c>
      <c r="K679">
        <f>_xlfn.IFNA(VLOOKUP(B679,TDK!A:C,2,0),0)</f>
        <v>7</v>
      </c>
      <c r="L679">
        <f>_xlfn.IFNA(VLOOKUP(B679,TDK!A:C,3,0),0)</f>
        <v>0</v>
      </c>
      <c r="M679">
        <f>_xlfn.IFNA(VLOOKUP(B679,TDK!F:G,2,0),0)</f>
        <v>1</v>
      </c>
      <c r="N679">
        <f t="shared" si="10"/>
        <v>8</v>
      </c>
    </row>
    <row r="680" spans="1:14" x14ac:dyDescent="0.25">
      <c r="A680" t="s">
        <v>95</v>
      </c>
      <c r="B680" t="s">
        <v>1677</v>
      </c>
      <c r="C680">
        <f>VLOOKUP(B680,raw!A:K,11,0)</f>
        <v>54</v>
      </c>
      <c r="D680">
        <f>VLOOKUP(B680,raw!A:K,3,0)+VLOOKUP(B680,raw!A:K,7,0)</f>
        <v>52</v>
      </c>
      <c r="E680">
        <f>VLOOKUP(B680,raw!A:K,4,0)</f>
        <v>0</v>
      </c>
      <c r="F680">
        <f>VLOOKUP(B680,raw!A:K,5,0)</f>
        <v>0</v>
      </c>
      <c r="G680">
        <f>VLOOKUP(B680,raw!A:K,2,0)+VLOOKUP(B680,raw!A:K,10,0)</f>
        <v>0</v>
      </c>
      <c r="H680">
        <f>VLOOKUP(B680,raw!A:K,6,0)</f>
        <v>0</v>
      </c>
      <c r="I680">
        <f>VLOOKUP(B680,raw!A:K,9,0)</f>
        <v>2</v>
      </c>
      <c r="J680">
        <f>VLOOKUP(B680,raw!A:K,8,0)</f>
        <v>0</v>
      </c>
      <c r="K680">
        <f>_xlfn.IFNA(VLOOKUP(B680,TDK!A:C,2,0),0)</f>
        <v>16</v>
      </c>
      <c r="L680">
        <f>_xlfn.IFNA(VLOOKUP(B680,TDK!A:C,3,0),0)</f>
        <v>2</v>
      </c>
      <c r="M680">
        <f>_xlfn.IFNA(VLOOKUP(B680,TDK!F:G,2,0),0)</f>
        <v>3</v>
      </c>
      <c r="N680">
        <f t="shared" si="10"/>
        <v>21</v>
      </c>
    </row>
    <row r="681" spans="1:14" x14ac:dyDescent="0.25">
      <c r="A681" t="s">
        <v>95</v>
      </c>
      <c r="B681" t="s">
        <v>1678</v>
      </c>
      <c r="C681">
        <f>VLOOKUP(B681,raw!A:K,11,0)</f>
        <v>152</v>
      </c>
      <c r="D681">
        <f>VLOOKUP(B681,raw!A:K,3,0)+VLOOKUP(B681,raw!A:K,7,0)</f>
        <v>151</v>
      </c>
      <c r="E681">
        <f>VLOOKUP(B681,raw!A:K,4,0)</f>
        <v>0</v>
      </c>
      <c r="F681">
        <f>VLOOKUP(B681,raw!A:K,5,0)</f>
        <v>0</v>
      </c>
      <c r="G681">
        <f>VLOOKUP(B681,raw!A:K,2,0)+VLOOKUP(B681,raw!A:K,10,0)</f>
        <v>0</v>
      </c>
      <c r="H681">
        <f>VLOOKUP(B681,raw!A:K,6,0)</f>
        <v>0</v>
      </c>
      <c r="I681">
        <f>VLOOKUP(B681,raw!A:K,9,0)</f>
        <v>1</v>
      </c>
      <c r="J681">
        <f>VLOOKUP(B681,raw!A:K,8,0)</f>
        <v>0</v>
      </c>
      <c r="K681">
        <f>_xlfn.IFNA(VLOOKUP(B681,TDK!A:C,2,0),0)</f>
        <v>11</v>
      </c>
      <c r="L681">
        <f>_xlfn.IFNA(VLOOKUP(B681,TDK!A:C,3,0),0)</f>
        <v>5</v>
      </c>
      <c r="M681">
        <f>_xlfn.IFNA(VLOOKUP(B681,TDK!F:G,2,0),0)</f>
        <v>2</v>
      </c>
      <c r="N681">
        <f t="shared" si="10"/>
        <v>18</v>
      </c>
    </row>
    <row r="682" spans="1:14" x14ac:dyDescent="0.25">
      <c r="A682" t="s">
        <v>95</v>
      </c>
      <c r="B682" t="s">
        <v>1679</v>
      </c>
      <c r="C682">
        <f>VLOOKUP(B682,raw!A:K,11,0)</f>
        <v>2</v>
      </c>
      <c r="D682">
        <f>VLOOKUP(B682,raw!A:K,3,0)+VLOOKUP(B682,raw!A:K,7,0)</f>
        <v>2</v>
      </c>
      <c r="E682">
        <f>VLOOKUP(B682,raw!A:K,4,0)</f>
        <v>0</v>
      </c>
      <c r="F682">
        <f>VLOOKUP(B682,raw!A:K,5,0)</f>
        <v>0</v>
      </c>
      <c r="G682">
        <f>VLOOKUP(B682,raw!A:K,2,0)+VLOOKUP(B682,raw!A:K,10,0)</f>
        <v>0</v>
      </c>
      <c r="H682">
        <f>VLOOKUP(B682,raw!A:K,6,0)</f>
        <v>0</v>
      </c>
      <c r="I682">
        <f>VLOOKUP(B682,raw!A:K,9,0)</f>
        <v>0</v>
      </c>
      <c r="J682">
        <f>VLOOKUP(B682,raw!A:K,8,0)</f>
        <v>0</v>
      </c>
      <c r="K682">
        <f>_xlfn.IFNA(VLOOKUP(B682,TDK!A:C,2,0),0)</f>
        <v>0</v>
      </c>
      <c r="L682">
        <f>_xlfn.IFNA(VLOOKUP(B682,TDK!A:C,3,0),0)</f>
        <v>0</v>
      </c>
      <c r="M682">
        <f>_xlfn.IFNA(VLOOKUP(B682,TDK!F:G,2,0),0)</f>
        <v>0</v>
      </c>
      <c r="N682">
        <f t="shared" si="10"/>
        <v>0</v>
      </c>
    </row>
    <row r="683" spans="1:14" x14ac:dyDescent="0.25">
      <c r="A683" t="s">
        <v>96</v>
      </c>
      <c r="B683" t="s">
        <v>1680</v>
      </c>
      <c r="C683">
        <f>VLOOKUP(B683,raw!A:K,11,0)</f>
        <v>143</v>
      </c>
      <c r="D683">
        <f>VLOOKUP(B683,raw!A:K,3,0)+VLOOKUP(B683,raw!A:K,7,0)</f>
        <v>0</v>
      </c>
      <c r="E683">
        <f>VLOOKUP(B683,raw!A:K,4,0)</f>
        <v>6</v>
      </c>
      <c r="F683">
        <f>VLOOKUP(B683,raw!A:K,5,0)</f>
        <v>0</v>
      </c>
      <c r="G683">
        <f>VLOOKUP(B683,raw!A:K,2,0)+VLOOKUP(B683,raw!A:K,10,0)</f>
        <v>18</v>
      </c>
      <c r="H683">
        <f>VLOOKUP(B683,raw!A:K,6,0)</f>
        <v>0</v>
      </c>
      <c r="I683">
        <f>VLOOKUP(B683,raw!A:K,9,0)</f>
        <v>119</v>
      </c>
      <c r="J683">
        <f>VLOOKUP(B683,raw!A:K,8,0)</f>
        <v>0</v>
      </c>
      <c r="K683">
        <f>_xlfn.IFNA(VLOOKUP(B683,TDK!A:C,2,0),0)</f>
        <v>17</v>
      </c>
      <c r="L683">
        <f>_xlfn.IFNA(VLOOKUP(B683,TDK!A:C,3,0),0)</f>
        <v>0</v>
      </c>
      <c r="M683">
        <f>_xlfn.IFNA(VLOOKUP(B683,TDK!F:G,2,0),0)</f>
        <v>22</v>
      </c>
      <c r="N683">
        <f t="shared" si="10"/>
        <v>39</v>
      </c>
    </row>
    <row r="684" spans="1:14" x14ac:dyDescent="0.25">
      <c r="A684" t="s">
        <v>96</v>
      </c>
      <c r="B684" t="s">
        <v>1681</v>
      </c>
      <c r="C684">
        <f>VLOOKUP(B684,raw!A:K,11,0)</f>
        <v>77</v>
      </c>
      <c r="D684">
        <f>VLOOKUP(B684,raw!A:K,3,0)+VLOOKUP(B684,raw!A:K,7,0)</f>
        <v>8</v>
      </c>
      <c r="E684">
        <f>VLOOKUP(B684,raw!A:K,4,0)</f>
        <v>43</v>
      </c>
      <c r="F684">
        <f>VLOOKUP(B684,raw!A:K,5,0)</f>
        <v>0</v>
      </c>
      <c r="G684">
        <f>VLOOKUP(B684,raw!A:K,2,0)+VLOOKUP(B684,raw!A:K,10,0)</f>
        <v>0</v>
      </c>
      <c r="H684">
        <f>VLOOKUP(B684,raw!A:K,6,0)</f>
        <v>0</v>
      </c>
      <c r="I684">
        <f>VLOOKUP(B684,raw!A:K,9,0)</f>
        <v>26</v>
      </c>
      <c r="J684">
        <f>VLOOKUP(B684,raw!A:K,8,0)</f>
        <v>0</v>
      </c>
      <c r="K684">
        <f>_xlfn.IFNA(VLOOKUP(B684,TDK!A:C,2,0),0)</f>
        <v>13</v>
      </c>
      <c r="L684">
        <f>_xlfn.IFNA(VLOOKUP(B684,TDK!A:C,3,0),0)</f>
        <v>1</v>
      </c>
      <c r="M684">
        <f>_xlfn.IFNA(VLOOKUP(B684,TDK!F:G,2,0),0)</f>
        <v>11</v>
      </c>
      <c r="N684">
        <f t="shared" si="10"/>
        <v>25</v>
      </c>
    </row>
    <row r="685" spans="1:14" x14ac:dyDescent="0.25">
      <c r="A685" t="s">
        <v>96</v>
      </c>
      <c r="B685" t="s">
        <v>1682</v>
      </c>
      <c r="C685">
        <f>VLOOKUP(B685,raw!A:K,11,0)</f>
        <v>60</v>
      </c>
      <c r="D685">
        <f>VLOOKUP(B685,raw!A:K,3,0)+VLOOKUP(B685,raw!A:K,7,0)</f>
        <v>2</v>
      </c>
      <c r="E685">
        <f>VLOOKUP(B685,raw!A:K,4,0)</f>
        <v>2</v>
      </c>
      <c r="F685">
        <f>VLOOKUP(B685,raw!A:K,5,0)</f>
        <v>0</v>
      </c>
      <c r="G685">
        <f>VLOOKUP(B685,raw!A:K,2,0)+VLOOKUP(B685,raw!A:K,10,0)</f>
        <v>0</v>
      </c>
      <c r="H685">
        <f>VLOOKUP(B685,raw!A:K,6,0)</f>
        <v>0</v>
      </c>
      <c r="I685">
        <f>VLOOKUP(B685,raw!A:K,9,0)</f>
        <v>56</v>
      </c>
      <c r="J685">
        <f>VLOOKUP(B685,raw!A:K,8,0)</f>
        <v>0</v>
      </c>
      <c r="K685">
        <f>_xlfn.IFNA(VLOOKUP(B685,TDK!A:C,2,0),0)</f>
        <v>6</v>
      </c>
      <c r="L685">
        <f>_xlfn.IFNA(VLOOKUP(B685,TDK!A:C,3,0),0)</f>
        <v>0</v>
      </c>
      <c r="M685">
        <f>_xlfn.IFNA(VLOOKUP(B685,TDK!F:G,2,0),0)</f>
        <v>2</v>
      </c>
      <c r="N685">
        <f t="shared" si="10"/>
        <v>8</v>
      </c>
    </row>
    <row r="686" spans="1:14" x14ac:dyDescent="0.25">
      <c r="A686" t="s">
        <v>96</v>
      </c>
      <c r="B686" t="s">
        <v>1683</v>
      </c>
      <c r="C686">
        <f>VLOOKUP(B686,raw!A:K,11,0)</f>
        <v>47</v>
      </c>
      <c r="D686">
        <f>VLOOKUP(B686,raw!A:K,3,0)+VLOOKUP(B686,raw!A:K,7,0)</f>
        <v>10</v>
      </c>
      <c r="E686">
        <f>VLOOKUP(B686,raw!A:K,4,0)</f>
        <v>1</v>
      </c>
      <c r="F686">
        <f>VLOOKUP(B686,raw!A:K,5,0)</f>
        <v>0</v>
      </c>
      <c r="G686">
        <f>VLOOKUP(B686,raw!A:K,2,0)+VLOOKUP(B686,raw!A:K,10,0)</f>
        <v>0</v>
      </c>
      <c r="H686">
        <f>VLOOKUP(B686,raw!A:K,6,0)</f>
        <v>0</v>
      </c>
      <c r="I686">
        <f>VLOOKUP(B686,raw!A:K,9,0)</f>
        <v>36</v>
      </c>
      <c r="J686">
        <f>VLOOKUP(B686,raw!A:K,8,0)</f>
        <v>0</v>
      </c>
      <c r="K686">
        <f>_xlfn.IFNA(VLOOKUP(B686,TDK!A:C,2,0),0)</f>
        <v>13</v>
      </c>
      <c r="L686">
        <f>_xlfn.IFNA(VLOOKUP(B686,TDK!A:C,3,0),0)</f>
        <v>1</v>
      </c>
      <c r="M686">
        <f>_xlfn.IFNA(VLOOKUP(B686,TDK!F:G,2,0),0)</f>
        <v>7</v>
      </c>
      <c r="N686">
        <f t="shared" si="10"/>
        <v>21</v>
      </c>
    </row>
    <row r="687" spans="1:14" x14ac:dyDescent="0.25">
      <c r="A687" t="s">
        <v>96</v>
      </c>
      <c r="B687" t="s">
        <v>1684</v>
      </c>
      <c r="C687">
        <f>VLOOKUP(B687,raw!A:K,11,0)</f>
        <v>71</v>
      </c>
      <c r="D687">
        <f>VLOOKUP(B687,raw!A:K,3,0)+VLOOKUP(B687,raw!A:K,7,0)</f>
        <v>6</v>
      </c>
      <c r="E687">
        <f>VLOOKUP(B687,raw!A:K,4,0)</f>
        <v>17</v>
      </c>
      <c r="F687">
        <f>VLOOKUP(B687,raw!A:K,5,0)</f>
        <v>0</v>
      </c>
      <c r="G687">
        <f>VLOOKUP(B687,raw!A:K,2,0)+VLOOKUP(B687,raw!A:K,10,0)</f>
        <v>0</v>
      </c>
      <c r="H687">
        <f>VLOOKUP(B687,raw!A:K,6,0)</f>
        <v>4</v>
      </c>
      <c r="I687">
        <f>VLOOKUP(B687,raw!A:K,9,0)</f>
        <v>44</v>
      </c>
      <c r="J687">
        <f>VLOOKUP(B687,raw!A:K,8,0)</f>
        <v>0</v>
      </c>
      <c r="K687">
        <f>_xlfn.IFNA(VLOOKUP(B687,TDK!A:C,2,0),0)</f>
        <v>16</v>
      </c>
      <c r="L687">
        <f>_xlfn.IFNA(VLOOKUP(B687,TDK!A:C,3,0),0)</f>
        <v>3</v>
      </c>
      <c r="M687">
        <f>_xlfn.IFNA(VLOOKUP(B687,TDK!F:G,2,0),0)</f>
        <v>6</v>
      </c>
      <c r="N687">
        <f t="shared" si="10"/>
        <v>25</v>
      </c>
    </row>
    <row r="688" spans="1:14" x14ac:dyDescent="0.25">
      <c r="A688" t="s">
        <v>96</v>
      </c>
      <c r="B688" t="s">
        <v>1685</v>
      </c>
      <c r="C688">
        <f>VLOOKUP(B688,raw!A:K,11,0)</f>
        <v>49</v>
      </c>
      <c r="D688">
        <f>VLOOKUP(B688,raw!A:K,3,0)+VLOOKUP(B688,raw!A:K,7,0)</f>
        <v>12</v>
      </c>
      <c r="E688">
        <f>VLOOKUP(B688,raw!A:K,4,0)</f>
        <v>16</v>
      </c>
      <c r="F688">
        <f>VLOOKUP(B688,raw!A:K,5,0)</f>
        <v>0</v>
      </c>
      <c r="G688">
        <f>VLOOKUP(B688,raw!A:K,2,0)+VLOOKUP(B688,raw!A:K,10,0)</f>
        <v>1</v>
      </c>
      <c r="H688">
        <f>VLOOKUP(B688,raw!A:K,6,0)</f>
        <v>0</v>
      </c>
      <c r="I688">
        <f>VLOOKUP(B688,raw!A:K,9,0)</f>
        <v>20</v>
      </c>
      <c r="J688">
        <f>VLOOKUP(B688,raw!A:K,8,0)</f>
        <v>0</v>
      </c>
      <c r="K688">
        <f>_xlfn.IFNA(VLOOKUP(B688,TDK!A:C,2,0),0)</f>
        <v>13</v>
      </c>
      <c r="L688">
        <f>_xlfn.IFNA(VLOOKUP(B688,TDK!A:C,3,0),0)</f>
        <v>0</v>
      </c>
      <c r="M688">
        <f>_xlfn.IFNA(VLOOKUP(B688,TDK!F:G,2,0),0)</f>
        <v>0</v>
      </c>
      <c r="N688">
        <f t="shared" si="10"/>
        <v>13</v>
      </c>
    </row>
    <row r="689" spans="1:14" x14ac:dyDescent="0.25">
      <c r="A689" t="s">
        <v>96</v>
      </c>
      <c r="B689" t="s">
        <v>1686</v>
      </c>
      <c r="C689">
        <f>VLOOKUP(B689,raw!A:K,11,0)</f>
        <v>27</v>
      </c>
      <c r="D689">
        <f>VLOOKUP(B689,raw!A:K,3,0)+VLOOKUP(B689,raw!A:K,7,0)</f>
        <v>0</v>
      </c>
      <c r="E689">
        <f>VLOOKUP(B689,raw!A:K,4,0)</f>
        <v>7</v>
      </c>
      <c r="F689">
        <f>VLOOKUP(B689,raw!A:K,5,0)</f>
        <v>0</v>
      </c>
      <c r="G689">
        <f>VLOOKUP(B689,raw!A:K,2,0)+VLOOKUP(B689,raw!A:K,10,0)</f>
        <v>7</v>
      </c>
      <c r="H689">
        <f>VLOOKUP(B689,raw!A:K,6,0)</f>
        <v>0</v>
      </c>
      <c r="I689">
        <f>VLOOKUP(B689,raw!A:K,9,0)</f>
        <v>13</v>
      </c>
      <c r="J689">
        <f>VLOOKUP(B689,raw!A:K,8,0)</f>
        <v>0</v>
      </c>
      <c r="K689">
        <f>_xlfn.IFNA(VLOOKUP(B689,TDK!A:C,2,0),0)</f>
        <v>13</v>
      </c>
      <c r="L689">
        <f>_xlfn.IFNA(VLOOKUP(B689,TDK!A:C,3,0),0)</f>
        <v>2</v>
      </c>
      <c r="M689">
        <f>_xlfn.IFNA(VLOOKUP(B689,TDK!F:G,2,0),0)</f>
        <v>0</v>
      </c>
      <c r="N689">
        <f t="shared" si="10"/>
        <v>15</v>
      </c>
    </row>
    <row r="690" spans="1:14" x14ac:dyDescent="0.25">
      <c r="A690" t="s">
        <v>96</v>
      </c>
      <c r="B690" t="s">
        <v>1687</v>
      </c>
      <c r="C690">
        <f>VLOOKUP(B690,raw!A:K,11,0)</f>
        <v>52</v>
      </c>
      <c r="D690">
        <f>VLOOKUP(B690,raw!A:K,3,0)+VLOOKUP(B690,raw!A:K,7,0)</f>
        <v>0</v>
      </c>
      <c r="E690">
        <f>VLOOKUP(B690,raw!A:K,4,0)</f>
        <v>0</v>
      </c>
      <c r="F690">
        <f>VLOOKUP(B690,raw!A:K,5,0)</f>
        <v>0</v>
      </c>
      <c r="G690">
        <f>VLOOKUP(B690,raw!A:K,2,0)+VLOOKUP(B690,raw!A:K,10,0)</f>
        <v>0</v>
      </c>
      <c r="H690">
        <f>VLOOKUP(B690,raw!A:K,6,0)</f>
        <v>0</v>
      </c>
      <c r="I690">
        <f>VLOOKUP(B690,raw!A:K,9,0)</f>
        <v>52</v>
      </c>
      <c r="J690">
        <f>VLOOKUP(B690,raw!A:K,8,0)</f>
        <v>0</v>
      </c>
      <c r="K690">
        <f>_xlfn.IFNA(VLOOKUP(B690,TDK!A:C,2,0),0)</f>
        <v>10</v>
      </c>
      <c r="L690">
        <f>_xlfn.IFNA(VLOOKUP(B690,TDK!A:C,3,0),0)</f>
        <v>0</v>
      </c>
      <c r="M690">
        <f>_xlfn.IFNA(VLOOKUP(B690,TDK!F:G,2,0),0)</f>
        <v>2</v>
      </c>
      <c r="N690">
        <f t="shared" si="10"/>
        <v>12</v>
      </c>
    </row>
    <row r="691" spans="1:14" x14ac:dyDescent="0.25">
      <c r="A691" t="s">
        <v>96</v>
      </c>
      <c r="B691" t="s">
        <v>1688</v>
      </c>
      <c r="C691">
        <f>VLOOKUP(B691,raw!A:K,11,0)</f>
        <v>1</v>
      </c>
      <c r="D691">
        <f>VLOOKUP(B691,raw!A:K,3,0)+VLOOKUP(B691,raw!A:K,7,0)</f>
        <v>0</v>
      </c>
      <c r="E691">
        <f>VLOOKUP(B691,raw!A:K,4,0)</f>
        <v>0</v>
      </c>
      <c r="F691">
        <f>VLOOKUP(B691,raw!A:K,5,0)</f>
        <v>0</v>
      </c>
      <c r="G691">
        <f>VLOOKUP(B691,raw!A:K,2,0)+VLOOKUP(B691,raw!A:K,10,0)</f>
        <v>0</v>
      </c>
      <c r="H691">
        <f>VLOOKUP(B691,raw!A:K,6,0)</f>
        <v>0</v>
      </c>
      <c r="I691">
        <f>VLOOKUP(B691,raw!A:K,9,0)</f>
        <v>1</v>
      </c>
      <c r="J691">
        <f>VLOOKUP(B691,raw!A:K,8,0)</f>
        <v>0</v>
      </c>
      <c r="K691">
        <f>_xlfn.IFNA(VLOOKUP(B691,TDK!A:C,2,0),0)</f>
        <v>0</v>
      </c>
      <c r="L691">
        <f>_xlfn.IFNA(VLOOKUP(B691,TDK!A:C,3,0),0)</f>
        <v>1</v>
      </c>
      <c r="M691">
        <f>_xlfn.IFNA(VLOOKUP(B691,TDK!F:G,2,0),0)</f>
        <v>0</v>
      </c>
      <c r="N691">
        <f t="shared" si="10"/>
        <v>1</v>
      </c>
    </row>
    <row r="692" spans="1:14" x14ac:dyDescent="0.25">
      <c r="A692" t="s">
        <v>97</v>
      </c>
      <c r="B692" t="s">
        <v>1689</v>
      </c>
      <c r="C692">
        <f>VLOOKUP(B692,raw!A:K,11,0)</f>
        <v>96</v>
      </c>
      <c r="D692">
        <f>VLOOKUP(B692,raw!A:K,3,0)+VLOOKUP(B692,raw!A:K,7,0)</f>
        <v>51</v>
      </c>
      <c r="E692">
        <f>VLOOKUP(B692,raw!A:K,4,0)</f>
        <v>0</v>
      </c>
      <c r="F692">
        <f>VLOOKUP(B692,raw!A:K,5,0)</f>
        <v>0</v>
      </c>
      <c r="G692">
        <f>VLOOKUP(B692,raw!A:K,2,0)+VLOOKUP(B692,raw!A:K,10,0)</f>
        <v>0</v>
      </c>
      <c r="H692">
        <f>VLOOKUP(B692,raw!A:K,6,0)</f>
        <v>0</v>
      </c>
      <c r="I692">
        <f>VLOOKUP(B692,raw!A:K,9,0)</f>
        <v>45</v>
      </c>
      <c r="J692">
        <f>VLOOKUP(B692,raw!A:K,8,0)</f>
        <v>0</v>
      </c>
      <c r="K692">
        <f>_xlfn.IFNA(VLOOKUP(B692,TDK!A:C,2,0),0)</f>
        <v>26</v>
      </c>
      <c r="L692">
        <f>_xlfn.IFNA(VLOOKUP(B692,TDK!A:C,3,0),0)</f>
        <v>2</v>
      </c>
      <c r="M692">
        <f>_xlfn.IFNA(VLOOKUP(B692,TDK!F:G,2,0),0)</f>
        <v>3</v>
      </c>
      <c r="N692">
        <f t="shared" si="10"/>
        <v>31</v>
      </c>
    </row>
    <row r="693" spans="1:14" x14ac:dyDescent="0.25">
      <c r="A693" t="s">
        <v>92</v>
      </c>
      <c r="B693" t="s">
        <v>1690</v>
      </c>
      <c r="C693">
        <f>VLOOKUP(B693,raw!A:K,11,0)</f>
        <v>145</v>
      </c>
      <c r="D693">
        <f>VLOOKUP(B693,raw!A:K,3,0)+VLOOKUP(B693,raw!A:K,7,0)</f>
        <v>44</v>
      </c>
      <c r="E693">
        <f>VLOOKUP(B693,raw!A:K,4,0)</f>
        <v>0</v>
      </c>
      <c r="F693">
        <f>VLOOKUP(B693,raw!A:K,5,0)</f>
        <v>0</v>
      </c>
      <c r="G693">
        <f>VLOOKUP(B693,raw!A:K,2,0)+VLOOKUP(B693,raw!A:K,10,0)</f>
        <v>1</v>
      </c>
      <c r="H693">
        <f>VLOOKUP(B693,raw!A:K,6,0)</f>
        <v>0</v>
      </c>
      <c r="I693">
        <f>VLOOKUP(B693,raw!A:K,9,0)</f>
        <v>100</v>
      </c>
      <c r="J693">
        <f>VLOOKUP(B693,raw!A:K,8,0)</f>
        <v>0</v>
      </c>
      <c r="K693">
        <f>_xlfn.IFNA(VLOOKUP(B693,TDK!A:C,2,0),0)</f>
        <v>44</v>
      </c>
      <c r="L693">
        <f>_xlfn.IFNA(VLOOKUP(B693,TDK!A:C,3,0),0)</f>
        <v>1</v>
      </c>
      <c r="M693">
        <f>_xlfn.IFNA(VLOOKUP(B693,TDK!F:G,2,0),0)</f>
        <v>38</v>
      </c>
      <c r="N693">
        <f t="shared" si="10"/>
        <v>83</v>
      </c>
    </row>
    <row r="694" spans="1:14" x14ac:dyDescent="0.25">
      <c r="A694" t="s">
        <v>97</v>
      </c>
      <c r="B694" t="s">
        <v>1691</v>
      </c>
      <c r="C694">
        <f>VLOOKUP(B694,raw!A:K,11,0)</f>
        <v>91</v>
      </c>
      <c r="D694">
        <f>VLOOKUP(B694,raw!A:K,3,0)+VLOOKUP(B694,raw!A:K,7,0)</f>
        <v>81</v>
      </c>
      <c r="E694">
        <f>VLOOKUP(B694,raw!A:K,4,0)</f>
        <v>0</v>
      </c>
      <c r="F694">
        <f>VLOOKUP(B694,raw!A:K,5,0)</f>
        <v>0</v>
      </c>
      <c r="G694">
        <f>VLOOKUP(B694,raw!A:K,2,0)+VLOOKUP(B694,raw!A:K,10,0)</f>
        <v>0</v>
      </c>
      <c r="H694">
        <f>VLOOKUP(B694,raw!A:K,6,0)</f>
        <v>0</v>
      </c>
      <c r="I694">
        <f>VLOOKUP(B694,raw!A:K,9,0)</f>
        <v>10</v>
      </c>
      <c r="J694">
        <f>VLOOKUP(B694,raw!A:K,8,0)</f>
        <v>0</v>
      </c>
      <c r="K694">
        <f>_xlfn.IFNA(VLOOKUP(B694,TDK!A:C,2,0),0)</f>
        <v>32</v>
      </c>
      <c r="L694">
        <f>_xlfn.IFNA(VLOOKUP(B694,TDK!A:C,3,0),0)</f>
        <v>2</v>
      </c>
      <c r="M694">
        <f>_xlfn.IFNA(VLOOKUP(B694,TDK!F:G,2,0),0)</f>
        <v>0</v>
      </c>
      <c r="N694">
        <f t="shared" si="10"/>
        <v>34</v>
      </c>
    </row>
    <row r="695" spans="1:14" x14ac:dyDescent="0.25">
      <c r="A695" t="s">
        <v>92</v>
      </c>
      <c r="B695" t="s">
        <v>1692</v>
      </c>
      <c r="C695">
        <f>VLOOKUP(B695,raw!A:K,11,0)</f>
        <v>72</v>
      </c>
      <c r="D695">
        <f>VLOOKUP(B695,raw!A:K,3,0)+VLOOKUP(B695,raw!A:K,7,0)</f>
        <v>18</v>
      </c>
      <c r="E695">
        <f>VLOOKUP(B695,raw!A:K,4,0)</f>
        <v>0</v>
      </c>
      <c r="F695">
        <f>VLOOKUP(B695,raw!A:K,5,0)</f>
        <v>0</v>
      </c>
      <c r="G695">
        <f>VLOOKUP(B695,raw!A:K,2,0)+VLOOKUP(B695,raw!A:K,10,0)</f>
        <v>0</v>
      </c>
      <c r="H695">
        <f>VLOOKUP(B695,raw!A:K,6,0)</f>
        <v>0</v>
      </c>
      <c r="I695">
        <f>VLOOKUP(B695,raw!A:K,9,0)</f>
        <v>54</v>
      </c>
      <c r="J695">
        <f>VLOOKUP(B695,raw!A:K,8,0)</f>
        <v>0</v>
      </c>
      <c r="K695">
        <f>_xlfn.IFNA(VLOOKUP(B695,TDK!A:C,2,0),0)</f>
        <v>12</v>
      </c>
      <c r="L695">
        <f>_xlfn.IFNA(VLOOKUP(B695,TDK!A:C,3,0),0)</f>
        <v>2</v>
      </c>
      <c r="M695">
        <f>_xlfn.IFNA(VLOOKUP(B695,TDK!F:G,2,0),0)</f>
        <v>21</v>
      </c>
      <c r="N695">
        <f t="shared" si="10"/>
        <v>35</v>
      </c>
    </row>
    <row r="696" spans="1:14" x14ac:dyDescent="0.25">
      <c r="A696" t="s">
        <v>92</v>
      </c>
      <c r="B696" t="s">
        <v>1693</v>
      </c>
      <c r="C696">
        <f>VLOOKUP(B696,raw!A:K,11,0)</f>
        <v>106</v>
      </c>
      <c r="D696">
        <f>VLOOKUP(B696,raw!A:K,3,0)+VLOOKUP(B696,raw!A:K,7,0)</f>
        <v>77</v>
      </c>
      <c r="E696">
        <f>VLOOKUP(B696,raw!A:K,4,0)</f>
        <v>0</v>
      </c>
      <c r="F696">
        <f>VLOOKUP(B696,raw!A:K,5,0)</f>
        <v>0</v>
      </c>
      <c r="G696">
        <f>VLOOKUP(B696,raw!A:K,2,0)+VLOOKUP(B696,raw!A:K,10,0)</f>
        <v>0</v>
      </c>
      <c r="H696">
        <f>VLOOKUP(B696,raw!A:K,6,0)</f>
        <v>0</v>
      </c>
      <c r="I696">
        <f>VLOOKUP(B696,raw!A:K,9,0)</f>
        <v>29</v>
      </c>
      <c r="J696">
        <f>VLOOKUP(B696,raw!A:K,8,0)</f>
        <v>0</v>
      </c>
      <c r="K696">
        <f>_xlfn.IFNA(VLOOKUP(B696,TDK!A:C,2,0),0)</f>
        <v>45</v>
      </c>
      <c r="L696">
        <f>_xlfn.IFNA(VLOOKUP(B696,TDK!A:C,3,0),0)</f>
        <v>26</v>
      </c>
      <c r="M696">
        <f>_xlfn.IFNA(VLOOKUP(B696,TDK!F:G,2,0),0)</f>
        <v>11</v>
      </c>
      <c r="N696">
        <f t="shared" si="10"/>
        <v>82</v>
      </c>
    </row>
    <row r="697" spans="1:14" x14ac:dyDescent="0.25">
      <c r="A697" t="s">
        <v>98</v>
      </c>
      <c r="B697" t="s">
        <v>1694</v>
      </c>
      <c r="C697">
        <f>VLOOKUP(B697,raw!A:K,11,0)</f>
        <v>122</v>
      </c>
      <c r="D697">
        <f>VLOOKUP(B697,raw!A:K,3,0)+VLOOKUP(B697,raw!A:K,7,0)</f>
        <v>74</v>
      </c>
      <c r="E697">
        <f>VLOOKUP(B697,raw!A:K,4,0)</f>
        <v>2</v>
      </c>
      <c r="F697">
        <f>VLOOKUP(B697,raw!A:K,5,0)</f>
        <v>0</v>
      </c>
      <c r="G697">
        <f>VLOOKUP(B697,raw!A:K,2,0)+VLOOKUP(B697,raw!A:K,10,0)</f>
        <v>0</v>
      </c>
      <c r="H697">
        <f>VLOOKUP(B697,raw!A:K,6,0)</f>
        <v>0</v>
      </c>
      <c r="I697">
        <f>VLOOKUP(B697,raw!A:K,9,0)</f>
        <v>46</v>
      </c>
      <c r="J697">
        <f>VLOOKUP(B697,raw!A:K,8,0)</f>
        <v>0</v>
      </c>
      <c r="K697">
        <f>_xlfn.IFNA(VLOOKUP(B697,TDK!A:C,2,0),0)</f>
        <v>44</v>
      </c>
      <c r="L697">
        <f>_xlfn.IFNA(VLOOKUP(B697,TDK!A:C,3,0),0)</f>
        <v>0</v>
      </c>
      <c r="M697">
        <f>_xlfn.IFNA(VLOOKUP(B697,TDK!F:G,2,0),0)</f>
        <v>16</v>
      </c>
      <c r="N697">
        <f t="shared" si="10"/>
        <v>60</v>
      </c>
    </row>
    <row r="698" spans="1:14" x14ac:dyDescent="0.25">
      <c r="A698" t="s">
        <v>92</v>
      </c>
      <c r="B698" t="s">
        <v>1695</v>
      </c>
      <c r="C698">
        <f>VLOOKUP(B698,raw!A:K,11,0)</f>
        <v>117</v>
      </c>
      <c r="D698">
        <f>VLOOKUP(B698,raw!A:K,3,0)+VLOOKUP(B698,raw!A:K,7,0)</f>
        <v>108</v>
      </c>
      <c r="E698">
        <f>VLOOKUP(B698,raw!A:K,4,0)</f>
        <v>0</v>
      </c>
      <c r="F698">
        <f>VLOOKUP(B698,raw!A:K,5,0)</f>
        <v>0</v>
      </c>
      <c r="G698">
        <f>VLOOKUP(B698,raw!A:K,2,0)+VLOOKUP(B698,raw!A:K,10,0)</f>
        <v>0</v>
      </c>
      <c r="H698">
        <f>VLOOKUP(B698,raw!A:K,6,0)</f>
        <v>0</v>
      </c>
      <c r="I698">
        <f>VLOOKUP(B698,raw!A:K,9,0)</f>
        <v>9</v>
      </c>
      <c r="J698">
        <f>VLOOKUP(B698,raw!A:K,8,0)</f>
        <v>0</v>
      </c>
      <c r="K698">
        <f>_xlfn.IFNA(VLOOKUP(B698,TDK!A:C,2,0),0)</f>
        <v>61</v>
      </c>
      <c r="L698">
        <f>_xlfn.IFNA(VLOOKUP(B698,TDK!A:C,3,0),0)</f>
        <v>0</v>
      </c>
      <c r="M698">
        <f>_xlfn.IFNA(VLOOKUP(B698,TDK!F:G,2,0),0)</f>
        <v>12</v>
      </c>
      <c r="N698">
        <f t="shared" si="10"/>
        <v>73</v>
      </c>
    </row>
    <row r="699" spans="1:14" x14ac:dyDescent="0.25">
      <c r="A699" t="s">
        <v>98</v>
      </c>
      <c r="B699" t="s">
        <v>1696</v>
      </c>
      <c r="C699">
        <f>VLOOKUP(B699,raw!A:K,11,0)</f>
        <v>118</v>
      </c>
      <c r="D699">
        <f>VLOOKUP(B699,raw!A:K,3,0)+VLOOKUP(B699,raw!A:K,7,0)</f>
        <v>33</v>
      </c>
      <c r="E699">
        <f>VLOOKUP(B699,raw!A:K,4,0)</f>
        <v>0</v>
      </c>
      <c r="F699">
        <f>VLOOKUP(B699,raw!A:K,5,0)</f>
        <v>0</v>
      </c>
      <c r="G699">
        <f>VLOOKUP(B699,raw!A:K,2,0)+VLOOKUP(B699,raw!A:K,10,0)</f>
        <v>47</v>
      </c>
      <c r="H699">
        <f>VLOOKUP(B699,raw!A:K,6,0)</f>
        <v>1</v>
      </c>
      <c r="I699">
        <f>VLOOKUP(B699,raw!A:K,9,0)</f>
        <v>37</v>
      </c>
      <c r="J699">
        <f>VLOOKUP(B699,raw!A:K,8,0)</f>
        <v>0</v>
      </c>
      <c r="K699">
        <f>_xlfn.IFNA(VLOOKUP(B699,TDK!A:C,2,0),0)</f>
        <v>48</v>
      </c>
      <c r="L699">
        <f>_xlfn.IFNA(VLOOKUP(B699,TDK!A:C,3,0),0)</f>
        <v>1</v>
      </c>
      <c r="M699">
        <f>_xlfn.IFNA(VLOOKUP(B699,TDK!F:G,2,0),0)</f>
        <v>5</v>
      </c>
      <c r="N699">
        <f t="shared" si="10"/>
        <v>54</v>
      </c>
    </row>
    <row r="700" spans="1:14" x14ac:dyDescent="0.25">
      <c r="A700" t="s">
        <v>98</v>
      </c>
      <c r="B700" t="s">
        <v>1697</v>
      </c>
      <c r="C700">
        <f>VLOOKUP(B700,raw!A:K,11,0)</f>
        <v>104</v>
      </c>
      <c r="D700">
        <f>VLOOKUP(B700,raw!A:K,3,0)+VLOOKUP(B700,raw!A:K,7,0)</f>
        <v>75</v>
      </c>
      <c r="E700">
        <f>VLOOKUP(B700,raw!A:K,4,0)</f>
        <v>0</v>
      </c>
      <c r="F700">
        <f>VLOOKUP(B700,raw!A:K,5,0)</f>
        <v>0</v>
      </c>
      <c r="G700">
        <f>VLOOKUP(B700,raw!A:K,2,0)+VLOOKUP(B700,raw!A:K,10,0)</f>
        <v>0</v>
      </c>
      <c r="H700">
        <f>VLOOKUP(B700,raw!A:K,6,0)</f>
        <v>0</v>
      </c>
      <c r="I700">
        <f>VLOOKUP(B700,raw!A:K,9,0)</f>
        <v>29</v>
      </c>
      <c r="J700">
        <f>VLOOKUP(B700,raw!A:K,8,0)</f>
        <v>0</v>
      </c>
      <c r="K700">
        <f>_xlfn.IFNA(VLOOKUP(B700,TDK!A:C,2,0),0)</f>
        <v>49</v>
      </c>
      <c r="L700">
        <f>_xlfn.IFNA(VLOOKUP(B700,TDK!A:C,3,0),0)</f>
        <v>0</v>
      </c>
      <c r="M700">
        <f>_xlfn.IFNA(VLOOKUP(B700,TDK!F:G,2,0),0)</f>
        <v>8</v>
      </c>
      <c r="N700">
        <f t="shared" si="10"/>
        <v>57</v>
      </c>
    </row>
    <row r="701" spans="1:14" x14ac:dyDescent="0.25">
      <c r="A701" t="s">
        <v>98</v>
      </c>
      <c r="B701" t="s">
        <v>1698</v>
      </c>
      <c r="C701">
        <f>VLOOKUP(B701,raw!A:K,11,0)</f>
        <v>100</v>
      </c>
      <c r="D701">
        <f>VLOOKUP(B701,raw!A:K,3,0)+VLOOKUP(B701,raw!A:K,7,0)</f>
        <v>67</v>
      </c>
      <c r="E701">
        <f>VLOOKUP(B701,raw!A:K,4,0)</f>
        <v>0</v>
      </c>
      <c r="F701">
        <f>VLOOKUP(B701,raw!A:K,5,0)</f>
        <v>0</v>
      </c>
      <c r="G701">
        <f>VLOOKUP(B701,raw!A:K,2,0)+VLOOKUP(B701,raw!A:K,10,0)</f>
        <v>0</v>
      </c>
      <c r="H701">
        <f>VLOOKUP(B701,raw!A:K,6,0)</f>
        <v>0</v>
      </c>
      <c r="I701">
        <f>VLOOKUP(B701,raw!A:K,9,0)</f>
        <v>33</v>
      </c>
      <c r="J701">
        <f>VLOOKUP(B701,raw!A:K,8,0)</f>
        <v>0</v>
      </c>
      <c r="K701">
        <f>_xlfn.IFNA(VLOOKUP(B701,TDK!A:C,2,0),0)</f>
        <v>45</v>
      </c>
      <c r="L701">
        <f>_xlfn.IFNA(VLOOKUP(B701,TDK!A:C,3,0),0)</f>
        <v>1</v>
      </c>
      <c r="M701">
        <f>_xlfn.IFNA(VLOOKUP(B701,TDK!F:G,2,0),0)</f>
        <v>3</v>
      </c>
      <c r="N701">
        <f t="shared" si="10"/>
        <v>49</v>
      </c>
    </row>
    <row r="702" spans="1:14" x14ac:dyDescent="0.25">
      <c r="A702" t="s">
        <v>99</v>
      </c>
      <c r="B702" t="s">
        <v>1699</v>
      </c>
      <c r="C702">
        <f>VLOOKUP(B702,raw!A:K,11,0)</f>
        <v>87</v>
      </c>
      <c r="D702">
        <f>VLOOKUP(B702,raw!A:K,3,0)+VLOOKUP(B702,raw!A:K,7,0)</f>
        <v>48</v>
      </c>
      <c r="E702">
        <f>VLOOKUP(B702,raw!A:K,4,0)</f>
        <v>1</v>
      </c>
      <c r="F702">
        <f>VLOOKUP(B702,raw!A:K,5,0)</f>
        <v>0</v>
      </c>
      <c r="G702">
        <f>VLOOKUP(B702,raw!A:K,2,0)+VLOOKUP(B702,raw!A:K,10,0)</f>
        <v>11</v>
      </c>
      <c r="H702">
        <f>VLOOKUP(B702,raw!A:K,6,0)</f>
        <v>1</v>
      </c>
      <c r="I702">
        <f>VLOOKUP(B702,raw!A:K,9,0)</f>
        <v>26</v>
      </c>
      <c r="J702">
        <f>VLOOKUP(B702,raw!A:K,8,0)</f>
        <v>0</v>
      </c>
      <c r="K702">
        <f>_xlfn.IFNA(VLOOKUP(B702,TDK!A:C,2,0),0)</f>
        <v>45</v>
      </c>
      <c r="L702">
        <f>_xlfn.IFNA(VLOOKUP(B702,TDK!A:C,3,0),0)</f>
        <v>0</v>
      </c>
      <c r="M702">
        <f>_xlfn.IFNA(VLOOKUP(B702,TDK!F:G,2,0),0)</f>
        <v>0</v>
      </c>
      <c r="N702">
        <f t="shared" si="10"/>
        <v>45</v>
      </c>
    </row>
    <row r="703" spans="1:14" x14ac:dyDescent="0.25">
      <c r="A703" t="s">
        <v>98</v>
      </c>
      <c r="B703" t="s">
        <v>1700</v>
      </c>
      <c r="C703">
        <f>VLOOKUP(B703,raw!A:K,11,0)</f>
        <v>74</v>
      </c>
      <c r="D703">
        <f>VLOOKUP(B703,raw!A:K,3,0)+VLOOKUP(B703,raw!A:K,7,0)</f>
        <v>30</v>
      </c>
      <c r="E703">
        <f>VLOOKUP(B703,raw!A:K,4,0)</f>
        <v>0</v>
      </c>
      <c r="F703">
        <f>VLOOKUP(B703,raw!A:K,5,0)</f>
        <v>0</v>
      </c>
      <c r="G703">
        <f>VLOOKUP(B703,raw!A:K,2,0)+VLOOKUP(B703,raw!A:K,10,0)</f>
        <v>1</v>
      </c>
      <c r="H703">
        <f>VLOOKUP(B703,raw!A:K,6,0)</f>
        <v>0</v>
      </c>
      <c r="I703">
        <f>VLOOKUP(B703,raw!A:K,9,0)</f>
        <v>43</v>
      </c>
      <c r="J703">
        <f>VLOOKUP(B703,raw!A:K,8,0)</f>
        <v>0</v>
      </c>
      <c r="K703">
        <f>_xlfn.IFNA(VLOOKUP(B703,TDK!A:C,2,0),0)</f>
        <v>23</v>
      </c>
      <c r="L703">
        <f>_xlfn.IFNA(VLOOKUP(B703,TDK!A:C,3,0),0)</f>
        <v>1</v>
      </c>
      <c r="M703">
        <f>_xlfn.IFNA(VLOOKUP(B703,TDK!F:G,2,0),0)</f>
        <v>3</v>
      </c>
      <c r="N703">
        <f t="shared" si="10"/>
        <v>27</v>
      </c>
    </row>
    <row r="704" spans="1:14" x14ac:dyDescent="0.25">
      <c r="A704" t="s">
        <v>98</v>
      </c>
      <c r="B704" t="s">
        <v>1701</v>
      </c>
      <c r="C704">
        <f>VLOOKUP(B704,raw!A:K,11,0)</f>
        <v>126</v>
      </c>
      <c r="D704">
        <f>VLOOKUP(B704,raw!A:K,3,0)+VLOOKUP(B704,raw!A:K,7,0)</f>
        <v>62</v>
      </c>
      <c r="E704">
        <f>VLOOKUP(B704,raw!A:K,4,0)</f>
        <v>0</v>
      </c>
      <c r="F704">
        <f>VLOOKUP(B704,raw!A:K,5,0)</f>
        <v>0</v>
      </c>
      <c r="G704">
        <f>VLOOKUP(B704,raw!A:K,2,0)+VLOOKUP(B704,raw!A:K,10,0)</f>
        <v>0</v>
      </c>
      <c r="H704">
        <f>VLOOKUP(B704,raw!A:K,6,0)</f>
        <v>0</v>
      </c>
      <c r="I704">
        <f>VLOOKUP(B704,raw!A:K,9,0)</f>
        <v>64</v>
      </c>
      <c r="J704">
        <f>VLOOKUP(B704,raw!A:K,8,0)</f>
        <v>0</v>
      </c>
      <c r="K704">
        <f>_xlfn.IFNA(VLOOKUP(B704,TDK!A:C,2,0),0)</f>
        <v>59</v>
      </c>
      <c r="L704">
        <f>_xlfn.IFNA(VLOOKUP(B704,TDK!A:C,3,0),0)</f>
        <v>3</v>
      </c>
      <c r="M704">
        <f>_xlfn.IFNA(VLOOKUP(B704,TDK!F:G,2,0),0)</f>
        <v>4</v>
      </c>
      <c r="N704">
        <f t="shared" si="10"/>
        <v>66</v>
      </c>
    </row>
    <row r="705" spans="1:14" x14ac:dyDescent="0.25">
      <c r="A705" t="s">
        <v>98</v>
      </c>
      <c r="B705" t="s">
        <v>1702</v>
      </c>
      <c r="C705">
        <f>VLOOKUP(B705,raw!A:K,11,0)</f>
        <v>66</v>
      </c>
      <c r="D705">
        <f>VLOOKUP(B705,raw!A:K,3,0)+VLOOKUP(B705,raw!A:K,7,0)</f>
        <v>65</v>
      </c>
      <c r="E705">
        <f>VLOOKUP(B705,raw!A:K,4,0)</f>
        <v>0</v>
      </c>
      <c r="F705">
        <f>VLOOKUP(B705,raw!A:K,5,0)</f>
        <v>0</v>
      </c>
      <c r="G705">
        <f>VLOOKUP(B705,raw!A:K,2,0)+VLOOKUP(B705,raw!A:K,10,0)</f>
        <v>1</v>
      </c>
      <c r="H705">
        <f>VLOOKUP(B705,raw!A:K,6,0)</f>
        <v>0</v>
      </c>
      <c r="I705">
        <f>VLOOKUP(B705,raw!A:K,9,0)</f>
        <v>0</v>
      </c>
      <c r="J705">
        <f>VLOOKUP(B705,raw!A:K,8,0)</f>
        <v>0</v>
      </c>
      <c r="K705">
        <f>_xlfn.IFNA(VLOOKUP(B705,TDK!A:C,2,0),0)</f>
        <v>27</v>
      </c>
      <c r="L705">
        <f>_xlfn.IFNA(VLOOKUP(B705,TDK!A:C,3,0),0)</f>
        <v>0</v>
      </c>
      <c r="M705">
        <f>_xlfn.IFNA(VLOOKUP(B705,TDK!F:G,2,0),0)</f>
        <v>8</v>
      </c>
      <c r="N705">
        <f t="shared" si="10"/>
        <v>35</v>
      </c>
    </row>
    <row r="706" spans="1:14" x14ac:dyDescent="0.25">
      <c r="A706" t="s">
        <v>99</v>
      </c>
      <c r="B706" t="s">
        <v>1703</v>
      </c>
      <c r="C706">
        <f>VLOOKUP(B706,raw!A:K,11,0)</f>
        <v>62</v>
      </c>
      <c r="D706">
        <f>VLOOKUP(B706,raw!A:K,3,0)+VLOOKUP(B706,raw!A:K,7,0)</f>
        <v>42</v>
      </c>
      <c r="E706">
        <f>VLOOKUP(B706,raw!A:K,4,0)</f>
        <v>0</v>
      </c>
      <c r="F706">
        <f>VLOOKUP(B706,raw!A:K,5,0)</f>
        <v>0</v>
      </c>
      <c r="G706">
        <f>VLOOKUP(B706,raw!A:K,2,0)+VLOOKUP(B706,raw!A:K,10,0)</f>
        <v>3</v>
      </c>
      <c r="H706">
        <f>VLOOKUP(B706,raw!A:K,6,0)</f>
        <v>0</v>
      </c>
      <c r="I706">
        <f>VLOOKUP(B706,raw!A:K,9,0)</f>
        <v>17</v>
      </c>
      <c r="J706">
        <f>VLOOKUP(B706,raw!A:K,8,0)</f>
        <v>0</v>
      </c>
      <c r="K706">
        <f>_xlfn.IFNA(VLOOKUP(B706,TDK!A:C,2,0),0)</f>
        <v>41</v>
      </c>
      <c r="L706">
        <f>_xlfn.IFNA(VLOOKUP(B706,TDK!A:C,3,0),0)</f>
        <v>7</v>
      </c>
      <c r="M706">
        <f>_xlfn.IFNA(VLOOKUP(B706,TDK!F:G,2,0),0)</f>
        <v>0</v>
      </c>
      <c r="N706">
        <f t="shared" si="10"/>
        <v>48</v>
      </c>
    </row>
    <row r="707" spans="1:14" x14ac:dyDescent="0.25">
      <c r="A707" t="s">
        <v>99</v>
      </c>
      <c r="B707" t="s">
        <v>1704</v>
      </c>
      <c r="C707">
        <f>VLOOKUP(B707,raw!A:K,11,0)</f>
        <v>81</v>
      </c>
      <c r="D707">
        <f>VLOOKUP(B707,raw!A:K,3,0)+VLOOKUP(B707,raw!A:K,7,0)</f>
        <v>62</v>
      </c>
      <c r="E707">
        <f>VLOOKUP(B707,raw!A:K,4,0)</f>
        <v>0</v>
      </c>
      <c r="F707">
        <f>VLOOKUP(B707,raw!A:K,5,0)</f>
        <v>0</v>
      </c>
      <c r="G707">
        <f>VLOOKUP(B707,raw!A:K,2,0)+VLOOKUP(B707,raw!A:K,10,0)</f>
        <v>1</v>
      </c>
      <c r="H707">
        <f>VLOOKUP(B707,raw!A:K,6,0)</f>
        <v>0</v>
      </c>
      <c r="I707">
        <f>VLOOKUP(B707,raw!A:K,9,0)</f>
        <v>18</v>
      </c>
      <c r="J707">
        <f>VLOOKUP(B707,raw!A:K,8,0)</f>
        <v>0</v>
      </c>
      <c r="K707">
        <f>_xlfn.IFNA(VLOOKUP(B707,TDK!A:C,2,0),0)</f>
        <v>29</v>
      </c>
      <c r="L707">
        <f>_xlfn.IFNA(VLOOKUP(B707,TDK!A:C,3,0),0)</f>
        <v>0</v>
      </c>
      <c r="M707">
        <f>_xlfn.IFNA(VLOOKUP(B707,TDK!F:G,2,0),0)</f>
        <v>3</v>
      </c>
      <c r="N707">
        <f t="shared" ref="N707:N770" si="11">SUM(K707:M707)</f>
        <v>32</v>
      </c>
    </row>
    <row r="708" spans="1:14" x14ac:dyDescent="0.25">
      <c r="A708" t="s">
        <v>99</v>
      </c>
      <c r="B708" t="s">
        <v>1705</v>
      </c>
      <c r="C708">
        <f>VLOOKUP(B708,raw!A:K,11,0)</f>
        <v>74</v>
      </c>
      <c r="D708">
        <f>VLOOKUP(B708,raw!A:K,3,0)+VLOOKUP(B708,raw!A:K,7,0)</f>
        <v>38</v>
      </c>
      <c r="E708">
        <f>VLOOKUP(B708,raw!A:K,4,0)</f>
        <v>0</v>
      </c>
      <c r="F708">
        <f>VLOOKUP(B708,raw!A:K,5,0)</f>
        <v>0</v>
      </c>
      <c r="G708">
        <f>VLOOKUP(B708,raw!A:K,2,0)+VLOOKUP(B708,raw!A:K,10,0)</f>
        <v>1</v>
      </c>
      <c r="H708">
        <f>VLOOKUP(B708,raw!A:K,6,0)</f>
        <v>0</v>
      </c>
      <c r="I708">
        <f>VLOOKUP(B708,raw!A:K,9,0)</f>
        <v>35</v>
      </c>
      <c r="J708">
        <f>VLOOKUP(B708,raw!A:K,8,0)</f>
        <v>0</v>
      </c>
      <c r="K708">
        <f>_xlfn.IFNA(VLOOKUP(B708,TDK!A:C,2,0),0)</f>
        <v>38</v>
      </c>
      <c r="L708">
        <f>_xlfn.IFNA(VLOOKUP(B708,TDK!A:C,3,0),0)</f>
        <v>0</v>
      </c>
      <c r="M708">
        <f>_xlfn.IFNA(VLOOKUP(B708,TDK!F:G,2,0),0)</f>
        <v>1</v>
      </c>
      <c r="N708">
        <f t="shared" si="11"/>
        <v>39</v>
      </c>
    </row>
    <row r="709" spans="1:14" x14ac:dyDescent="0.25">
      <c r="A709" t="s">
        <v>99</v>
      </c>
      <c r="B709" t="s">
        <v>1706</v>
      </c>
      <c r="C709">
        <f>VLOOKUP(B709,raw!A:K,11,0)</f>
        <v>84</v>
      </c>
      <c r="D709">
        <f>VLOOKUP(B709,raw!A:K,3,0)+VLOOKUP(B709,raw!A:K,7,0)</f>
        <v>36</v>
      </c>
      <c r="E709">
        <f>VLOOKUP(B709,raw!A:K,4,0)</f>
        <v>1</v>
      </c>
      <c r="F709">
        <f>VLOOKUP(B709,raw!A:K,5,0)</f>
        <v>0</v>
      </c>
      <c r="G709">
        <f>VLOOKUP(B709,raw!A:K,2,0)+VLOOKUP(B709,raw!A:K,10,0)</f>
        <v>0</v>
      </c>
      <c r="H709">
        <f>VLOOKUP(B709,raw!A:K,6,0)</f>
        <v>0</v>
      </c>
      <c r="I709">
        <f>VLOOKUP(B709,raw!A:K,9,0)</f>
        <v>47</v>
      </c>
      <c r="J709">
        <f>VLOOKUP(B709,raw!A:K,8,0)</f>
        <v>0</v>
      </c>
      <c r="K709">
        <f>_xlfn.IFNA(VLOOKUP(B709,TDK!A:C,2,0),0)</f>
        <v>29</v>
      </c>
      <c r="L709">
        <f>_xlfn.IFNA(VLOOKUP(B709,TDK!A:C,3,0),0)</f>
        <v>1</v>
      </c>
      <c r="M709">
        <f>_xlfn.IFNA(VLOOKUP(B709,TDK!F:G,2,0),0)</f>
        <v>4</v>
      </c>
      <c r="N709">
        <f t="shared" si="11"/>
        <v>34</v>
      </c>
    </row>
    <row r="710" spans="1:14" x14ac:dyDescent="0.25">
      <c r="A710" t="s">
        <v>99</v>
      </c>
      <c r="B710" t="s">
        <v>1707</v>
      </c>
      <c r="C710">
        <f>VLOOKUP(B710,raw!A:K,11,0)</f>
        <v>53</v>
      </c>
      <c r="D710">
        <f>VLOOKUP(B710,raw!A:K,3,0)+VLOOKUP(B710,raw!A:K,7,0)</f>
        <v>22</v>
      </c>
      <c r="E710">
        <f>VLOOKUP(B710,raw!A:K,4,0)</f>
        <v>2</v>
      </c>
      <c r="F710">
        <f>VLOOKUP(B710,raw!A:K,5,0)</f>
        <v>0</v>
      </c>
      <c r="G710">
        <f>VLOOKUP(B710,raw!A:K,2,0)+VLOOKUP(B710,raw!A:K,10,0)</f>
        <v>2</v>
      </c>
      <c r="H710">
        <f>VLOOKUP(B710,raw!A:K,6,0)</f>
        <v>0</v>
      </c>
      <c r="I710">
        <f>VLOOKUP(B710,raw!A:K,9,0)</f>
        <v>27</v>
      </c>
      <c r="J710">
        <f>VLOOKUP(B710,raw!A:K,8,0)</f>
        <v>0</v>
      </c>
      <c r="K710">
        <f>_xlfn.IFNA(VLOOKUP(B710,TDK!A:C,2,0),0)</f>
        <v>10</v>
      </c>
      <c r="L710">
        <f>_xlfn.IFNA(VLOOKUP(B710,TDK!A:C,3,0),0)</f>
        <v>1</v>
      </c>
      <c r="M710">
        <f>_xlfn.IFNA(VLOOKUP(B710,TDK!F:G,2,0),0)</f>
        <v>0</v>
      </c>
      <c r="N710">
        <f t="shared" si="11"/>
        <v>11</v>
      </c>
    </row>
    <row r="711" spans="1:14" x14ac:dyDescent="0.25">
      <c r="A711" t="s">
        <v>99</v>
      </c>
      <c r="B711" t="s">
        <v>1708</v>
      </c>
      <c r="C711">
        <f>VLOOKUP(B711,raw!A:K,11,0)</f>
        <v>188</v>
      </c>
      <c r="D711">
        <f>VLOOKUP(B711,raw!A:K,3,0)+VLOOKUP(B711,raw!A:K,7,0)</f>
        <v>27</v>
      </c>
      <c r="E711">
        <f>VLOOKUP(B711,raw!A:K,4,0)</f>
        <v>3</v>
      </c>
      <c r="F711">
        <f>VLOOKUP(B711,raw!A:K,5,0)</f>
        <v>0</v>
      </c>
      <c r="G711">
        <f>VLOOKUP(B711,raw!A:K,2,0)+VLOOKUP(B711,raw!A:K,10,0)</f>
        <v>0</v>
      </c>
      <c r="H711">
        <f>VLOOKUP(B711,raw!A:K,6,0)</f>
        <v>0</v>
      </c>
      <c r="I711">
        <f>VLOOKUP(B711,raw!A:K,9,0)</f>
        <v>158</v>
      </c>
      <c r="J711">
        <f>VLOOKUP(B711,raw!A:K,8,0)</f>
        <v>0</v>
      </c>
      <c r="K711">
        <f>_xlfn.IFNA(VLOOKUP(B711,TDK!A:C,2,0),0)</f>
        <v>58</v>
      </c>
      <c r="L711">
        <f>_xlfn.IFNA(VLOOKUP(B711,TDK!A:C,3,0),0)</f>
        <v>22</v>
      </c>
      <c r="M711">
        <f>_xlfn.IFNA(VLOOKUP(B711,TDK!F:G,2,0),0)</f>
        <v>1</v>
      </c>
      <c r="N711">
        <f t="shared" si="11"/>
        <v>81</v>
      </c>
    </row>
    <row r="712" spans="1:14" x14ac:dyDescent="0.25">
      <c r="A712" t="s">
        <v>100</v>
      </c>
      <c r="B712" t="s">
        <v>1709</v>
      </c>
      <c r="C712">
        <f>VLOOKUP(B712,raw!A:K,11,0)</f>
        <v>88</v>
      </c>
      <c r="D712">
        <f>VLOOKUP(B712,raw!A:K,3,0)+VLOOKUP(B712,raw!A:K,7,0)</f>
        <v>83</v>
      </c>
      <c r="E712">
        <f>VLOOKUP(B712,raw!A:K,4,0)</f>
        <v>3</v>
      </c>
      <c r="F712">
        <f>VLOOKUP(B712,raw!A:K,5,0)</f>
        <v>0</v>
      </c>
      <c r="G712">
        <f>VLOOKUP(B712,raw!A:K,2,0)+VLOOKUP(B712,raw!A:K,10,0)</f>
        <v>2</v>
      </c>
      <c r="H712">
        <f>VLOOKUP(B712,raw!A:K,6,0)</f>
        <v>0</v>
      </c>
      <c r="I712">
        <f>VLOOKUP(B712,raw!A:K,9,0)</f>
        <v>0</v>
      </c>
      <c r="J712">
        <f>VLOOKUP(B712,raw!A:K,8,0)</f>
        <v>0</v>
      </c>
      <c r="K712">
        <f>_xlfn.IFNA(VLOOKUP(B712,TDK!A:C,2,0),0)</f>
        <v>25</v>
      </c>
      <c r="L712">
        <f>_xlfn.IFNA(VLOOKUP(B712,TDK!A:C,3,0),0)</f>
        <v>4</v>
      </c>
      <c r="M712">
        <f>_xlfn.IFNA(VLOOKUP(B712,TDK!F:G,2,0),0)</f>
        <v>3</v>
      </c>
      <c r="N712">
        <f t="shared" si="11"/>
        <v>32</v>
      </c>
    </row>
    <row r="713" spans="1:14" x14ac:dyDescent="0.25">
      <c r="A713" t="s">
        <v>99</v>
      </c>
      <c r="B713" t="s">
        <v>1710</v>
      </c>
      <c r="C713">
        <f>VLOOKUP(B713,raw!A:K,11,0)</f>
        <v>53</v>
      </c>
      <c r="D713">
        <f>VLOOKUP(B713,raw!A:K,3,0)+VLOOKUP(B713,raw!A:K,7,0)</f>
        <v>22</v>
      </c>
      <c r="E713">
        <f>VLOOKUP(B713,raw!A:K,4,0)</f>
        <v>0</v>
      </c>
      <c r="F713">
        <f>VLOOKUP(B713,raw!A:K,5,0)</f>
        <v>0</v>
      </c>
      <c r="G713">
        <f>VLOOKUP(B713,raw!A:K,2,0)+VLOOKUP(B713,raw!A:K,10,0)</f>
        <v>5</v>
      </c>
      <c r="H713">
        <f>VLOOKUP(B713,raw!A:K,6,0)</f>
        <v>0</v>
      </c>
      <c r="I713">
        <f>VLOOKUP(B713,raw!A:K,9,0)</f>
        <v>26</v>
      </c>
      <c r="J713">
        <f>VLOOKUP(B713,raw!A:K,8,0)</f>
        <v>0</v>
      </c>
      <c r="K713">
        <f>_xlfn.IFNA(VLOOKUP(B713,TDK!A:C,2,0),0)</f>
        <v>18</v>
      </c>
      <c r="L713">
        <f>_xlfn.IFNA(VLOOKUP(B713,TDK!A:C,3,0),0)</f>
        <v>1</v>
      </c>
      <c r="M713">
        <f>_xlfn.IFNA(VLOOKUP(B713,TDK!F:G,2,0),0)</f>
        <v>2</v>
      </c>
      <c r="N713">
        <f t="shared" si="11"/>
        <v>21</v>
      </c>
    </row>
    <row r="714" spans="1:14" x14ac:dyDescent="0.25">
      <c r="A714" t="s">
        <v>100</v>
      </c>
      <c r="B714" t="s">
        <v>1711</v>
      </c>
      <c r="C714">
        <f>VLOOKUP(B714,raw!A:K,11,0)</f>
        <v>79</v>
      </c>
      <c r="D714">
        <f>VLOOKUP(B714,raw!A:K,3,0)+VLOOKUP(B714,raw!A:K,7,0)</f>
        <v>15</v>
      </c>
      <c r="E714">
        <f>VLOOKUP(B714,raw!A:K,4,0)</f>
        <v>36</v>
      </c>
      <c r="F714">
        <f>VLOOKUP(B714,raw!A:K,5,0)</f>
        <v>0</v>
      </c>
      <c r="G714">
        <f>VLOOKUP(B714,raw!A:K,2,0)+VLOOKUP(B714,raw!A:K,10,0)</f>
        <v>5</v>
      </c>
      <c r="H714">
        <f>VLOOKUP(B714,raw!A:K,6,0)</f>
        <v>19</v>
      </c>
      <c r="I714">
        <f>VLOOKUP(B714,raw!A:K,9,0)</f>
        <v>4</v>
      </c>
      <c r="J714">
        <f>VLOOKUP(B714,raw!A:K,8,0)</f>
        <v>0</v>
      </c>
      <c r="K714">
        <f>_xlfn.IFNA(VLOOKUP(B714,TDK!A:C,2,0),0)</f>
        <v>27</v>
      </c>
      <c r="L714">
        <f>_xlfn.IFNA(VLOOKUP(B714,TDK!A:C,3,0),0)</f>
        <v>0</v>
      </c>
      <c r="M714">
        <f>_xlfn.IFNA(VLOOKUP(B714,TDK!F:G,2,0),0)</f>
        <v>0</v>
      </c>
      <c r="N714">
        <f t="shared" si="11"/>
        <v>27</v>
      </c>
    </row>
    <row r="715" spans="1:14" x14ac:dyDescent="0.25">
      <c r="A715" t="s">
        <v>100</v>
      </c>
      <c r="B715" t="s">
        <v>1712</v>
      </c>
      <c r="C715">
        <f>VLOOKUP(B715,raw!A:K,11,0)</f>
        <v>86</v>
      </c>
      <c r="D715">
        <f>VLOOKUP(B715,raw!A:K,3,0)+VLOOKUP(B715,raw!A:K,7,0)</f>
        <v>2</v>
      </c>
      <c r="E715">
        <f>VLOOKUP(B715,raw!A:K,4,0)</f>
        <v>46</v>
      </c>
      <c r="F715">
        <f>VLOOKUP(B715,raw!A:K,5,0)</f>
        <v>0</v>
      </c>
      <c r="G715">
        <f>VLOOKUP(B715,raw!A:K,2,0)+VLOOKUP(B715,raw!A:K,10,0)</f>
        <v>8</v>
      </c>
      <c r="H715">
        <f>VLOOKUP(B715,raw!A:K,6,0)</f>
        <v>8</v>
      </c>
      <c r="I715">
        <f>VLOOKUP(B715,raw!A:K,9,0)</f>
        <v>22</v>
      </c>
      <c r="J715">
        <f>VLOOKUP(B715,raw!A:K,8,0)</f>
        <v>0</v>
      </c>
      <c r="K715">
        <f>_xlfn.IFNA(VLOOKUP(B715,TDK!A:C,2,0),0)</f>
        <v>16</v>
      </c>
      <c r="L715">
        <f>_xlfn.IFNA(VLOOKUP(B715,TDK!A:C,3,0),0)</f>
        <v>0</v>
      </c>
      <c r="M715">
        <f>_xlfn.IFNA(VLOOKUP(B715,TDK!F:G,2,0),0)</f>
        <v>0</v>
      </c>
      <c r="N715">
        <f t="shared" si="11"/>
        <v>16</v>
      </c>
    </row>
    <row r="716" spans="1:14" x14ac:dyDescent="0.25">
      <c r="A716" t="s">
        <v>100</v>
      </c>
      <c r="B716" t="s">
        <v>1713</v>
      </c>
      <c r="C716">
        <f>VLOOKUP(B716,raw!A:K,11,0)</f>
        <v>116</v>
      </c>
      <c r="D716">
        <f>VLOOKUP(B716,raw!A:K,3,0)+VLOOKUP(B716,raw!A:K,7,0)</f>
        <v>109</v>
      </c>
      <c r="E716">
        <f>VLOOKUP(B716,raw!A:K,4,0)</f>
        <v>6</v>
      </c>
      <c r="F716">
        <f>VLOOKUP(B716,raw!A:K,5,0)</f>
        <v>0</v>
      </c>
      <c r="G716">
        <f>VLOOKUP(B716,raw!A:K,2,0)+VLOOKUP(B716,raw!A:K,10,0)</f>
        <v>1</v>
      </c>
      <c r="H716">
        <f>VLOOKUP(B716,raw!A:K,6,0)</f>
        <v>0</v>
      </c>
      <c r="I716">
        <f>VLOOKUP(B716,raw!A:K,9,0)</f>
        <v>0</v>
      </c>
      <c r="J716">
        <f>VLOOKUP(B716,raw!A:K,8,0)</f>
        <v>0</v>
      </c>
      <c r="K716">
        <f>_xlfn.IFNA(VLOOKUP(B716,TDK!A:C,2,0),0)</f>
        <v>24</v>
      </c>
      <c r="L716">
        <f>_xlfn.IFNA(VLOOKUP(B716,TDK!A:C,3,0),0)</f>
        <v>1</v>
      </c>
      <c r="M716">
        <f>_xlfn.IFNA(VLOOKUP(B716,TDK!F:G,2,0),0)</f>
        <v>12</v>
      </c>
      <c r="N716">
        <f t="shared" si="11"/>
        <v>37</v>
      </c>
    </row>
    <row r="717" spans="1:14" x14ac:dyDescent="0.25">
      <c r="A717" t="s">
        <v>100</v>
      </c>
      <c r="B717" t="s">
        <v>1714</v>
      </c>
      <c r="C717">
        <f>VLOOKUP(B717,raw!A:K,11,0)</f>
        <v>59</v>
      </c>
      <c r="D717">
        <f>VLOOKUP(B717,raw!A:K,3,0)+VLOOKUP(B717,raw!A:K,7,0)</f>
        <v>37</v>
      </c>
      <c r="E717">
        <f>VLOOKUP(B717,raw!A:K,4,0)</f>
        <v>12</v>
      </c>
      <c r="F717">
        <f>VLOOKUP(B717,raw!A:K,5,0)</f>
        <v>0</v>
      </c>
      <c r="G717">
        <f>VLOOKUP(B717,raw!A:K,2,0)+VLOOKUP(B717,raw!A:K,10,0)</f>
        <v>10</v>
      </c>
      <c r="H717">
        <f>VLOOKUP(B717,raw!A:K,6,0)</f>
        <v>0</v>
      </c>
      <c r="I717">
        <f>VLOOKUP(B717,raw!A:K,9,0)</f>
        <v>0</v>
      </c>
      <c r="J717">
        <f>VLOOKUP(B717,raw!A:K,8,0)</f>
        <v>0</v>
      </c>
      <c r="K717">
        <f>_xlfn.IFNA(VLOOKUP(B717,TDK!A:C,2,0),0)</f>
        <v>10</v>
      </c>
      <c r="L717">
        <f>_xlfn.IFNA(VLOOKUP(B717,TDK!A:C,3,0),0)</f>
        <v>0</v>
      </c>
      <c r="M717">
        <f>_xlfn.IFNA(VLOOKUP(B717,TDK!F:G,2,0),0)</f>
        <v>4</v>
      </c>
      <c r="N717">
        <f t="shared" si="11"/>
        <v>14</v>
      </c>
    </row>
    <row r="718" spans="1:14" x14ac:dyDescent="0.25">
      <c r="A718" t="s">
        <v>100</v>
      </c>
      <c r="B718" t="s">
        <v>1715</v>
      </c>
      <c r="C718">
        <f>VLOOKUP(B718,raw!A:K,11,0)</f>
        <v>65</v>
      </c>
      <c r="D718">
        <f>VLOOKUP(B718,raw!A:K,3,0)+VLOOKUP(B718,raw!A:K,7,0)</f>
        <v>42</v>
      </c>
      <c r="E718">
        <f>VLOOKUP(B718,raw!A:K,4,0)</f>
        <v>20</v>
      </c>
      <c r="F718">
        <f>VLOOKUP(B718,raw!A:K,5,0)</f>
        <v>0</v>
      </c>
      <c r="G718">
        <f>VLOOKUP(B718,raw!A:K,2,0)+VLOOKUP(B718,raw!A:K,10,0)</f>
        <v>3</v>
      </c>
      <c r="H718">
        <f>VLOOKUP(B718,raw!A:K,6,0)</f>
        <v>0</v>
      </c>
      <c r="I718">
        <f>VLOOKUP(B718,raw!A:K,9,0)</f>
        <v>0</v>
      </c>
      <c r="J718">
        <f>VLOOKUP(B718,raw!A:K,8,0)</f>
        <v>0</v>
      </c>
      <c r="K718">
        <f>_xlfn.IFNA(VLOOKUP(B718,TDK!A:C,2,0),0)</f>
        <v>5</v>
      </c>
      <c r="L718">
        <f>_xlfn.IFNA(VLOOKUP(B718,TDK!A:C,3,0),0)</f>
        <v>0</v>
      </c>
      <c r="M718">
        <f>_xlfn.IFNA(VLOOKUP(B718,TDK!F:G,2,0),0)</f>
        <v>7</v>
      </c>
      <c r="N718">
        <f t="shared" si="11"/>
        <v>12</v>
      </c>
    </row>
    <row r="719" spans="1:14" x14ac:dyDescent="0.25">
      <c r="A719" t="s">
        <v>100</v>
      </c>
      <c r="B719" t="s">
        <v>1716</v>
      </c>
      <c r="C719">
        <f>VLOOKUP(B719,raw!A:K,11,0)</f>
        <v>72</v>
      </c>
      <c r="D719">
        <f>VLOOKUP(B719,raw!A:K,3,0)+VLOOKUP(B719,raw!A:K,7,0)</f>
        <v>5</v>
      </c>
      <c r="E719">
        <f>VLOOKUP(B719,raw!A:K,4,0)</f>
        <v>56</v>
      </c>
      <c r="F719">
        <f>VLOOKUP(B719,raw!A:K,5,0)</f>
        <v>0</v>
      </c>
      <c r="G719">
        <f>VLOOKUP(B719,raw!A:K,2,0)+VLOOKUP(B719,raw!A:K,10,0)</f>
        <v>2</v>
      </c>
      <c r="H719">
        <f>VLOOKUP(B719,raw!A:K,6,0)</f>
        <v>0</v>
      </c>
      <c r="I719">
        <f>VLOOKUP(B719,raw!A:K,9,0)</f>
        <v>9</v>
      </c>
      <c r="J719">
        <f>VLOOKUP(B719,raw!A:K,8,0)</f>
        <v>0</v>
      </c>
      <c r="K719">
        <f>_xlfn.IFNA(VLOOKUP(B719,TDK!A:C,2,0),0)</f>
        <v>4</v>
      </c>
      <c r="L719">
        <f>_xlfn.IFNA(VLOOKUP(B719,TDK!A:C,3,0),0)</f>
        <v>3</v>
      </c>
      <c r="M719">
        <f>_xlfn.IFNA(VLOOKUP(B719,TDK!F:G,2,0),0)</f>
        <v>1</v>
      </c>
      <c r="N719">
        <f t="shared" si="11"/>
        <v>8</v>
      </c>
    </row>
    <row r="720" spans="1:14" x14ac:dyDescent="0.25">
      <c r="A720" t="s">
        <v>100</v>
      </c>
      <c r="B720" t="s">
        <v>1717</v>
      </c>
      <c r="C720">
        <f>VLOOKUP(B720,raw!A:K,11,0)</f>
        <v>154</v>
      </c>
      <c r="D720">
        <f>VLOOKUP(B720,raw!A:K,3,0)+VLOOKUP(B720,raw!A:K,7,0)</f>
        <v>94</v>
      </c>
      <c r="E720">
        <f>VLOOKUP(B720,raw!A:K,4,0)</f>
        <v>51</v>
      </c>
      <c r="F720">
        <f>VLOOKUP(B720,raw!A:K,5,0)</f>
        <v>0</v>
      </c>
      <c r="G720">
        <f>VLOOKUP(B720,raw!A:K,2,0)+VLOOKUP(B720,raw!A:K,10,0)</f>
        <v>5</v>
      </c>
      <c r="H720">
        <f>VLOOKUP(B720,raw!A:K,6,0)</f>
        <v>0</v>
      </c>
      <c r="I720">
        <f>VLOOKUP(B720,raw!A:K,9,0)</f>
        <v>4</v>
      </c>
      <c r="J720">
        <f>VLOOKUP(B720,raw!A:K,8,0)</f>
        <v>0</v>
      </c>
      <c r="K720">
        <f>_xlfn.IFNA(VLOOKUP(B720,TDK!A:C,2,0),0)</f>
        <v>36</v>
      </c>
      <c r="L720">
        <f>_xlfn.IFNA(VLOOKUP(B720,TDK!A:C,3,0),0)</f>
        <v>8</v>
      </c>
      <c r="M720">
        <f>_xlfn.IFNA(VLOOKUP(B720,TDK!F:G,2,0),0)</f>
        <v>5</v>
      </c>
      <c r="N720">
        <f t="shared" si="11"/>
        <v>49</v>
      </c>
    </row>
    <row r="721" spans="1:14" x14ac:dyDescent="0.25">
      <c r="A721" t="s">
        <v>101</v>
      </c>
      <c r="B721" t="s">
        <v>1718</v>
      </c>
      <c r="C721">
        <f>VLOOKUP(B721,raw!A:K,11,0)</f>
        <v>78</v>
      </c>
      <c r="D721">
        <f>VLOOKUP(B721,raw!A:K,3,0)+VLOOKUP(B721,raw!A:K,7,0)</f>
        <v>78</v>
      </c>
      <c r="E721">
        <f>VLOOKUP(B721,raw!A:K,4,0)</f>
        <v>0</v>
      </c>
      <c r="F721">
        <f>VLOOKUP(B721,raw!A:K,5,0)</f>
        <v>0</v>
      </c>
      <c r="G721">
        <f>VLOOKUP(B721,raw!A:K,2,0)+VLOOKUP(B721,raw!A:K,10,0)</f>
        <v>0</v>
      </c>
      <c r="H721">
        <f>VLOOKUP(B721,raw!A:K,6,0)</f>
        <v>0</v>
      </c>
      <c r="I721">
        <f>VLOOKUP(B721,raw!A:K,9,0)</f>
        <v>0</v>
      </c>
      <c r="J721">
        <f>VLOOKUP(B721,raw!A:K,8,0)</f>
        <v>0</v>
      </c>
      <c r="K721">
        <f>_xlfn.IFNA(VLOOKUP(B721,TDK!A:C,2,0),0)</f>
        <v>28</v>
      </c>
      <c r="L721">
        <f>_xlfn.IFNA(VLOOKUP(B721,TDK!A:C,3,0),0)</f>
        <v>2</v>
      </c>
      <c r="M721">
        <f>_xlfn.IFNA(VLOOKUP(B721,TDK!F:G,2,0),0)</f>
        <v>13</v>
      </c>
      <c r="N721">
        <f t="shared" si="11"/>
        <v>43</v>
      </c>
    </row>
    <row r="722" spans="1:14" x14ac:dyDescent="0.25">
      <c r="A722" t="s">
        <v>100</v>
      </c>
      <c r="B722" t="s">
        <v>1719</v>
      </c>
      <c r="C722">
        <f>VLOOKUP(B722,raw!A:K,11,0)</f>
        <v>82</v>
      </c>
      <c r="D722">
        <f>VLOOKUP(B722,raw!A:K,3,0)+VLOOKUP(B722,raw!A:K,7,0)</f>
        <v>13</v>
      </c>
      <c r="E722">
        <f>VLOOKUP(B722,raw!A:K,4,0)</f>
        <v>13</v>
      </c>
      <c r="F722">
        <f>VLOOKUP(B722,raw!A:K,5,0)</f>
        <v>0</v>
      </c>
      <c r="G722">
        <f>VLOOKUP(B722,raw!A:K,2,0)+VLOOKUP(B722,raw!A:K,10,0)</f>
        <v>3</v>
      </c>
      <c r="H722">
        <f>VLOOKUP(B722,raw!A:K,6,0)</f>
        <v>0</v>
      </c>
      <c r="I722">
        <f>VLOOKUP(B722,raw!A:K,9,0)</f>
        <v>53</v>
      </c>
      <c r="J722">
        <f>VLOOKUP(B722,raw!A:K,8,0)</f>
        <v>0</v>
      </c>
      <c r="K722">
        <f>_xlfn.IFNA(VLOOKUP(B722,TDK!A:C,2,0),0)</f>
        <v>38</v>
      </c>
      <c r="L722">
        <f>_xlfn.IFNA(VLOOKUP(B722,TDK!A:C,3,0),0)</f>
        <v>0</v>
      </c>
      <c r="M722">
        <f>_xlfn.IFNA(VLOOKUP(B722,TDK!F:G,2,0),0)</f>
        <v>1</v>
      </c>
      <c r="N722">
        <f t="shared" si="11"/>
        <v>39</v>
      </c>
    </row>
    <row r="723" spans="1:14" x14ac:dyDescent="0.25">
      <c r="A723" t="s">
        <v>101</v>
      </c>
      <c r="B723" t="s">
        <v>1720</v>
      </c>
      <c r="C723">
        <f>VLOOKUP(B723,raw!A:K,11,0)</f>
        <v>138</v>
      </c>
      <c r="D723">
        <f>VLOOKUP(B723,raw!A:K,3,0)+VLOOKUP(B723,raw!A:K,7,0)</f>
        <v>138</v>
      </c>
      <c r="E723">
        <f>VLOOKUP(B723,raw!A:K,4,0)</f>
        <v>0</v>
      </c>
      <c r="F723">
        <f>VLOOKUP(B723,raw!A:K,5,0)</f>
        <v>0</v>
      </c>
      <c r="G723">
        <f>VLOOKUP(B723,raw!A:K,2,0)+VLOOKUP(B723,raw!A:K,10,0)</f>
        <v>0</v>
      </c>
      <c r="H723">
        <f>VLOOKUP(B723,raw!A:K,6,0)</f>
        <v>0</v>
      </c>
      <c r="I723">
        <f>VLOOKUP(B723,raw!A:K,9,0)</f>
        <v>0</v>
      </c>
      <c r="J723">
        <f>VLOOKUP(B723,raw!A:K,8,0)</f>
        <v>0</v>
      </c>
      <c r="K723">
        <f>_xlfn.IFNA(VLOOKUP(B723,TDK!A:C,2,0),0)</f>
        <v>49</v>
      </c>
      <c r="L723">
        <f>_xlfn.IFNA(VLOOKUP(B723,TDK!A:C,3,0),0)</f>
        <v>2</v>
      </c>
      <c r="M723">
        <f>_xlfn.IFNA(VLOOKUP(B723,TDK!F:G,2,0),0)</f>
        <v>14</v>
      </c>
      <c r="N723">
        <f t="shared" si="11"/>
        <v>65</v>
      </c>
    </row>
    <row r="724" spans="1:14" x14ac:dyDescent="0.25">
      <c r="A724" t="s">
        <v>101</v>
      </c>
      <c r="B724" t="s">
        <v>1721</v>
      </c>
      <c r="C724">
        <f>VLOOKUP(B724,raw!A:K,11,0)</f>
        <v>85</v>
      </c>
      <c r="D724">
        <f>VLOOKUP(B724,raw!A:K,3,0)+VLOOKUP(B724,raw!A:K,7,0)</f>
        <v>85</v>
      </c>
      <c r="E724">
        <f>VLOOKUP(B724,raw!A:K,4,0)</f>
        <v>0</v>
      </c>
      <c r="F724">
        <f>VLOOKUP(B724,raw!A:K,5,0)</f>
        <v>0</v>
      </c>
      <c r="G724">
        <f>VLOOKUP(B724,raw!A:K,2,0)+VLOOKUP(B724,raw!A:K,10,0)</f>
        <v>0</v>
      </c>
      <c r="H724">
        <f>VLOOKUP(B724,raw!A:K,6,0)</f>
        <v>0</v>
      </c>
      <c r="I724">
        <f>VLOOKUP(B724,raw!A:K,9,0)</f>
        <v>0</v>
      </c>
      <c r="J724">
        <f>VLOOKUP(B724,raw!A:K,8,0)</f>
        <v>0</v>
      </c>
      <c r="K724">
        <f>_xlfn.IFNA(VLOOKUP(B724,TDK!A:C,2,0),0)</f>
        <v>33</v>
      </c>
      <c r="L724">
        <f>_xlfn.IFNA(VLOOKUP(B724,TDK!A:C,3,0),0)</f>
        <v>0</v>
      </c>
      <c r="M724">
        <f>_xlfn.IFNA(VLOOKUP(B724,TDK!F:G,2,0),0)</f>
        <v>5</v>
      </c>
      <c r="N724">
        <f t="shared" si="11"/>
        <v>38</v>
      </c>
    </row>
    <row r="725" spans="1:14" x14ac:dyDescent="0.25">
      <c r="A725" t="s">
        <v>101</v>
      </c>
      <c r="B725" t="s">
        <v>1722</v>
      </c>
      <c r="C725">
        <f>VLOOKUP(B725,raw!A:K,11,0)</f>
        <v>147</v>
      </c>
      <c r="D725">
        <f>VLOOKUP(B725,raw!A:K,3,0)+VLOOKUP(B725,raw!A:K,7,0)</f>
        <v>147</v>
      </c>
      <c r="E725">
        <f>VLOOKUP(B725,raw!A:K,4,0)</f>
        <v>0</v>
      </c>
      <c r="F725">
        <f>VLOOKUP(B725,raw!A:K,5,0)</f>
        <v>0</v>
      </c>
      <c r="G725">
        <f>VLOOKUP(B725,raw!A:K,2,0)+VLOOKUP(B725,raw!A:K,10,0)</f>
        <v>0</v>
      </c>
      <c r="H725">
        <f>VLOOKUP(B725,raw!A:K,6,0)</f>
        <v>0</v>
      </c>
      <c r="I725">
        <f>VLOOKUP(B725,raw!A:K,9,0)</f>
        <v>0</v>
      </c>
      <c r="J725">
        <f>VLOOKUP(B725,raw!A:K,8,0)</f>
        <v>0</v>
      </c>
      <c r="K725">
        <f>_xlfn.IFNA(VLOOKUP(B725,TDK!A:C,2,0),0)</f>
        <v>43</v>
      </c>
      <c r="L725">
        <f>_xlfn.IFNA(VLOOKUP(B725,TDK!A:C,3,0),0)</f>
        <v>0</v>
      </c>
      <c r="M725">
        <f>_xlfn.IFNA(VLOOKUP(B725,TDK!F:G,2,0),0)</f>
        <v>5</v>
      </c>
      <c r="N725">
        <f t="shared" si="11"/>
        <v>48</v>
      </c>
    </row>
    <row r="726" spans="1:14" x14ac:dyDescent="0.25">
      <c r="A726" t="s">
        <v>101</v>
      </c>
      <c r="B726" t="s">
        <v>1723</v>
      </c>
      <c r="C726">
        <f>VLOOKUP(B726,raw!A:K,11,0)</f>
        <v>111</v>
      </c>
      <c r="D726">
        <f>VLOOKUP(B726,raw!A:K,3,0)+VLOOKUP(B726,raw!A:K,7,0)</f>
        <v>111</v>
      </c>
      <c r="E726">
        <f>VLOOKUP(B726,raw!A:K,4,0)</f>
        <v>0</v>
      </c>
      <c r="F726">
        <f>VLOOKUP(B726,raw!A:K,5,0)</f>
        <v>0</v>
      </c>
      <c r="G726">
        <f>VLOOKUP(B726,raw!A:K,2,0)+VLOOKUP(B726,raw!A:K,10,0)</f>
        <v>0</v>
      </c>
      <c r="H726">
        <f>VLOOKUP(B726,raw!A:K,6,0)</f>
        <v>0</v>
      </c>
      <c r="I726">
        <f>VLOOKUP(B726,raw!A:K,9,0)</f>
        <v>0</v>
      </c>
      <c r="J726">
        <f>VLOOKUP(B726,raw!A:K,8,0)</f>
        <v>0</v>
      </c>
      <c r="K726">
        <f>_xlfn.IFNA(VLOOKUP(B726,TDK!A:C,2,0),0)</f>
        <v>40</v>
      </c>
      <c r="L726">
        <f>_xlfn.IFNA(VLOOKUP(B726,TDK!A:C,3,0),0)</f>
        <v>2</v>
      </c>
      <c r="M726">
        <f>_xlfn.IFNA(VLOOKUP(B726,TDK!F:G,2,0),0)</f>
        <v>5</v>
      </c>
      <c r="N726">
        <f t="shared" si="11"/>
        <v>47</v>
      </c>
    </row>
    <row r="727" spans="1:14" x14ac:dyDescent="0.25">
      <c r="A727" t="s">
        <v>101</v>
      </c>
      <c r="B727" t="s">
        <v>1724</v>
      </c>
      <c r="C727">
        <f>VLOOKUP(B727,raw!A:K,11,0)</f>
        <v>87</v>
      </c>
      <c r="D727">
        <f>VLOOKUP(B727,raw!A:K,3,0)+VLOOKUP(B727,raw!A:K,7,0)</f>
        <v>87</v>
      </c>
      <c r="E727">
        <f>VLOOKUP(B727,raw!A:K,4,0)</f>
        <v>0</v>
      </c>
      <c r="F727">
        <f>VLOOKUP(B727,raw!A:K,5,0)</f>
        <v>0</v>
      </c>
      <c r="G727">
        <f>VLOOKUP(B727,raw!A:K,2,0)+VLOOKUP(B727,raw!A:K,10,0)</f>
        <v>0</v>
      </c>
      <c r="H727">
        <f>VLOOKUP(B727,raw!A:K,6,0)</f>
        <v>0</v>
      </c>
      <c r="I727">
        <f>VLOOKUP(B727,raw!A:K,9,0)</f>
        <v>0</v>
      </c>
      <c r="J727">
        <f>VLOOKUP(B727,raw!A:K,8,0)</f>
        <v>0</v>
      </c>
      <c r="K727">
        <f>_xlfn.IFNA(VLOOKUP(B727,TDK!A:C,2,0),0)</f>
        <v>33</v>
      </c>
      <c r="L727">
        <f>_xlfn.IFNA(VLOOKUP(B727,TDK!A:C,3,0),0)</f>
        <v>2</v>
      </c>
      <c r="M727">
        <f>_xlfn.IFNA(VLOOKUP(B727,TDK!F:G,2,0),0)</f>
        <v>8</v>
      </c>
      <c r="N727">
        <f t="shared" si="11"/>
        <v>43</v>
      </c>
    </row>
    <row r="728" spans="1:14" x14ac:dyDescent="0.25">
      <c r="A728" t="s">
        <v>101</v>
      </c>
      <c r="B728" t="s">
        <v>1725</v>
      </c>
      <c r="C728">
        <f>VLOOKUP(B728,raw!A:K,11,0)</f>
        <v>60</v>
      </c>
      <c r="D728">
        <f>VLOOKUP(B728,raw!A:K,3,0)+VLOOKUP(B728,raw!A:K,7,0)</f>
        <v>60</v>
      </c>
      <c r="E728">
        <f>VLOOKUP(B728,raw!A:K,4,0)</f>
        <v>0</v>
      </c>
      <c r="F728">
        <f>VLOOKUP(B728,raw!A:K,5,0)</f>
        <v>0</v>
      </c>
      <c r="G728">
        <f>VLOOKUP(B728,raw!A:K,2,0)+VLOOKUP(B728,raw!A:K,10,0)</f>
        <v>0</v>
      </c>
      <c r="H728">
        <f>VLOOKUP(B728,raw!A:K,6,0)</f>
        <v>0</v>
      </c>
      <c r="I728">
        <f>VLOOKUP(B728,raw!A:K,9,0)</f>
        <v>0</v>
      </c>
      <c r="J728">
        <f>VLOOKUP(B728,raw!A:K,8,0)</f>
        <v>0</v>
      </c>
      <c r="K728">
        <f>_xlfn.IFNA(VLOOKUP(B728,TDK!A:C,2,0),0)</f>
        <v>19</v>
      </c>
      <c r="L728">
        <f>_xlfn.IFNA(VLOOKUP(B728,TDK!A:C,3,0),0)</f>
        <v>0</v>
      </c>
      <c r="M728">
        <f>_xlfn.IFNA(VLOOKUP(B728,TDK!F:G,2,0),0)</f>
        <v>4</v>
      </c>
      <c r="N728">
        <f t="shared" si="11"/>
        <v>23</v>
      </c>
    </row>
    <row r="729" spans="1:14" x14ac:dyDescent="0.25">
      <c r="A729" t="s">
        <v>102</v>
      </c>
      <c r="B729" t="s">
        <v>1726</v>
      </c>
      <c r="C729">
        <f>VLOOKUP(B729,raw!A:K,11,0)</f>
        <v>99</v>
      </c>
      <c r="D729">
        <f>VLOOKUP(B729,raw!A:K,3,0)+VLOOKUP(B729,raw!A:K,7,0)</f>
        <v>99</v>
      </c>
      <c r="E729">
        <f>VLOOKUP(B729,raw!A:K,4,0)</f>
        <v>0</v>
      </c>
      <c r="F729">
        <f>VLOOKUP(B729,raw!A:K,5,0)</f>
        <v>0</v>
      </c>
      <c r="G729">
        <f>VLOOKUP(B729,raw!A:K,2,0)+VLOOKUP(B729,raw!A:K,10,0)</f>
        <v>0</v>
      </c>
      <c r="H729">
        <f>VLOOKUP(B729,raw!A:K,6,0)</f>
        <v>0</v>
      </c>
      <c r="I729">
        <f>VLOOKUP(B729,raw!A:K,9,0)</f>
        <v>0</v>
      </c>
      <c r="J729">
        <f>VLOOKUP(B729,raw!A:K,8,0)</f>
        <v>0</v>
      </c>
      <c r="K729">
        <f>_xlfn.IFNA(VLOOKUP(B729,TDK!A:C,2,0),0)</f>
        <v>27</v>
      </c>
      <c r="L729">
        <f>_xlfn.IFNA(VLOOKUP(B729,TDK!A:C,3,0),0)</f>
        <v>1</v>
      </c>
      <c r="M729">
        <f>_xlfn.IFNA(VLOOKUP(B729,TDK!F:G,2,0),0)</f>
        <v>7</v>
      </c>
      <c r="N729">
        <f t="shared" si="11"/>
        <v>35</v>
      </c>
    </row>
    <row r="730" spans="1:14" x14ac:dyDescent="0.25">
      <c r="A730" t="s">
        <v>102</v>
      </c>
      <c r="B730" t="s">
        <v>1727</v>
      </c>
      <c r="C730">
        <f>VLOOKUP(B730,raw!A:K,11,0)</f>
        <v>67</v>
      </c>
      <c r="D730">
        <f>VLOOKUP(B730,raw!A:K,3,0)+VLOOKUP(B730,raw!A:K,7,0)</f>
        <v>67</v>
      </c>
      <c r="E730">
        <f>VLOOKUP(B730,raw!A:K,4,0)</f>
        <v>0</v>
      </c>
      <c r="F730">
        <f>VLOOKUP(B730,raw!A:K,5,0)</f>
        <v>0</v>
      </c>
      <c r="G730">
        <f>VLOOKUP(B730,raw!A:K,2,0)+VLOOKUP(B730,raw!A:K,10,0)</f>
        <v>0</v>
      </c>
      <c r="H730">
        <f>VLOOKUP(B730,raw!A:K,6,0)</f>
        <v>0</v>
      </c>
      <c r="I730">
        <f>VLOOKUP(B730,raw!A:K,9,0)</f>
        <v>0</v>
      </c>
      <c r="J730">
        <f>VLOOKUP(B730,raw!A:K,8,0)</f>
        <v>0</v>
      </c>
      <c r="K730">
        <f>_xlfn.IFNA(VLOOKUP(B730,TDK!A:C,2,0),0)</f>
        <v>23</v>
      </c>
      <c r="L730">
        <f>_xlfn.IFNA(VLOOKUP(B730,TDK!A:C,3,0),0)</f>
        <v>0</v>
      </c>
      <c r="M730">
        <f>_xlfn.IFNA(VLOOKUP(B730,TDK!F:G,2,0),0)</f>
        <v>11</v>
      </c>
      <c r="N730">
        <f t="shared" si="11"/>
        <v>34</v>
      </c>
    </row>
    <row r="731" spans="1:14" x14ac:dyDescent="0.25">
      <c r="A731" t="s">
        <v>102</v>
      </c>
      <c r="B731" t="s">
        <v>1728</v>
      </c>
      <c r="C731">
        <f>VLOOKUP(B731,raw!A:K,11,0)</f>
        <v>144</v>
      </c>
      <c r="D731">
        <f>VLOOKUP(B731,raw!A:K,3,0)+VLOOKUP(B731,raw!A:K,7,0)</f>
        <v>144</v>
      </c>
      <c r="E731">
        <f>VLOOKUP(B731,raw!A:K,4,0)</f>
        <v>0</v>
      </c>
      <c r="F731">
        <f>VLOOKUP(B731,raw!A:K,5,0)</f>
        <v>0</v>
      </c>
      <c r="G731">
        <f>VLOOKUP(B731,raw!A:K,2,0)+VLOOKUP(B731,raw!A:K,10,0)</f>
        <v>0</v>
      </c>
      <c r="H731">
        <f>VLOOKUP(B731,raw!A:K,6,0)</f>
        <v>0</v>
      </c>
      <c r="I731">
        <f>VLOOKUP(B731,raw!A:K,9,0)</f>
        <v>0</v>
      </c>
      <c r="J731">
        <f>VLOOKUP(B731,raw!A:K,8,0)</f>
        <v>0</v>
      </c>
      <c r="K731">
        <f>_xlfn.IFNA(VLOOKUP(B731,TDK!A:C,2,0),0)</f>
        <v>53</v>
      </c>
      <c r="L731">
        <f>_xlfn.IFNA(VLOOKUP(B731,TDK!A:C,3,0),0)</f>
        <v>1</v>
      </c>
      <c r="M731">
        <f>_xlfn.IFNA(VLOOKUP(B731,TDK!F:G,2,0),0)</f>
        <v>34</v>
      </c>
      <c r="N731">
        <f t="shared" si="11"/>
        <v>88</v>
      </c>
    </row>
    <row r="732" spans="1:14" x14ac:dyDescent="0.25">
      <c r="A732" t="s">
        <v>102</v>
      </c>
      <c r="B732" t="s">
        <v>1729</v>
      </c>
      <c r="C732">
        <f>VLOOKUP(B732,raw!A:K,11,0)</f>
        <v>113</v>
      </c>
      <c r="D732">
        <f>VLOOKUP(B732,raw!A:K,3,0)+VLOOKUP(B732,raw!A:K,7,0)</f>
        <v>113</v>
      </c>
      <c r="E732">
        <f>VLOOKUP(B732,raw!A:K,4,0)</f>
        <v>0</v>
      </c>
      <c r="F732">
        <f>VLOOKUP(B732,raw!A:K,5,0)</f>
        <v>0</v>
      </c>
      <c r="G732">
        <f>VLOOKUP(B732,raw!A:K,2,0)+VLOOKUP(B732,raw!A:K,10,0)</f>
        <v>0</v>
      </c>
      <c r="H732">
        <f>VLOOKUP(B732,raw!A:K,6,0)</f>
        <v>0</v>
      </c>
      <c r="I732">
        <f>VLOOKUP(B732,raw!A:K,9,0)</f>
        <v>0</v>
      </c>
      <c r="J732">
        <f>VLOOKUP(B732,raw!A:K,8,0)</f>
        <v>0</v>
      </c>
      <c r="K732">
        <f>_xlfn.IFNA(VLOOKUP(B732,TDK!A:C,2,0),0)</f>
        <v>38</v>
      </c>
      <c r="L732">
        <f>_xlfn.IFNA(VLOOKUP(B732,TDK!A:C,3,0),0)</f>
        <v>2</v>
      </c>
      <c r="M732">
        <f>_xlfn.IFNA(VLOOKUP(B732,TDK!F:G,2,0),0)</f>
        <v>17</v>
      </c>
      <c r="N732">
        <f t="shared" si="11"/>
        <v>57</v>
      </c>
    </row>
    <row r="733" spans="1:14" x14ac:dyDescent="0.25">
      <c r="A733" t="s">
        <v>102</v>
      </c>
      <c r="B733" t="s">
        <v>1730</v>
      </c>
      <c r="C733">
        <f>VLOOKUP(B733,raw!A:K,11,0)</f>
        <v>112</v>
      </c>
      <c r="D733">
        <f>VLOOKUP(B733,raw!A:K,3,0)+VLOOKUP(B733,raw!A:K,7,0)</f>
        <v>112</v>
      </c>
      <c r="E733">
        <f>VLOOKUP(B733,raw!A:K,4,0)</f>
        <v>0</v>
      </c>
      <c r="F733">
        <f>VLOOKUP(B733,raw!A:K,5,0)</f>
        <v>0</v>
      </c>
      <c r="G733">
        <f>VLOOKUP(B733,raw!A:K,2,0)+VLOOKUP(B733,raw!A:K,10,0)</f>
        <v>0</v>
      </c>
      <c r="H733">
        <f>VLOOKUP(B733,raw!A:K,6,0)</f>
        <v>0</v>
      </c>
      <c r="I733">
        <f>VLOOKUP(B733,raw!A:K,9,0)</f>
        <v>0</v>
      </c>
      <c r="J733">
        <f>VLOOKUP(B733,raw!A:K,8,0)</f>
        <v>0</v>
      </c>
      <c r="K733">
        <f>_xlfn.IFNA(VLOOKUP(B733,TDK!A:C,2,0),0)</f>
        <v>37</v>
      </c>
      <c r="L733">
        <f>_xlfn.IFNA(VLOOKUP(B733,TDK!A:C,3,0),0)</f>
        <v>2</v>
      </c>
      <c r="M733">
        <f>_xlfn.IFNA(VLOOKUP(B733,TDK!F:G,2,0),0)</f>
        <v>17</v>
      </c>
      <c r="N733">
        <f t="shared" si="11"/>
        <v>56</v>
      </c>
    </row>
    <row r="734" spans="1:14" x14ac:dyDescent="0.25">
      <c r="A734" t="s">
        <v>102</v>
      </c>
      <c r="B734" t="s">
        <v>1731</v>
      </c>
      <c r="C734">
        <f>VLOOKUP(B734,raw!A:K,11,0)</f>
        <v>88</v>
      </c>
      <c r="D734">
        <f>VLOOKUP(B734,raw!A:K,3,0)+VLOOKUP(B734,raw!A:K,7,0)</f>
        <v>88</v>
      </c>
      <c r="E734">
        <f>VLOOKUP(B734,raw!A:K,4,0)</f>
        <v>0</v>
      </c>
      <c r="F734">
        <f>VLOOKUP(B734,raw!A:K,5,0)</f>
        <v>0</v>
      </c>
      <c r="G734">
        <f>VLOOKUP(B734,raw!A:K,2,0)+VLOOKUP(B734,raw!A:K,10,0)</f>
        <v>0</v>
      </c>
      <c r="H734">
        <f>VLOOKUP(B734,raw!A:K,6,0)</f>
        <v>0</v>
      </c>
      <c r="I734">
        <f>VLOOKUP(B734,raw!A:K,9,0)</f>
        <v>0</v>
      </c>
      <c r="J734">
        <f>VLOOKUP(B734,raw!A:K,8,0)</f>
        <v>0</v>
      </c>
      <c r="K734">
        <f>_xlfn.IFNA(VLOOKUP(B734,TDK!A:C,2,0),0)</f>
        <v>32</v>
      </c>
      <c r="L734">
        <f>_xlfn.IFNA(VLOOKUP(B734,TDK!A:C,3,0),0)</f>
        <v>1</v>
      </c>
      <c r="M734">
        <f>_xlfn.IFNA(VLOOKUP(B734,TDK!F:G,2,0),0)</f>
        <v>13</v>
      </c>
      <c r="N734">
        <f t="shared" si="11"/>
        <v>46</v>
      </c>
    </row>
    <row r="735" spans="1:14" x14ac:dyDescent="0.25">
      <c r="A735" t="s">
        <v>102</v>
      </c>
      <c r="B735" t="s">
        <v>1732</v>
      </c>
      <c r="C735">
        <f>VLOOKUP(B735,raw!A:K,11,0)</f>
        <v>141</v>
      </c>
      <c r="D735">
        <f>VLOOKUP(B735,raw!A:K,3,0)+VLOOKUP(B735,raw!A:K,7,0)</f>
        <v>141</v>
      </c>
      <c r="E735">
        <f>VLOOKUP(B735,raw!A:K,4,0)</f>
        <v>0</v>
      </c>
      <c r="F735">
        <f>VLOOKUP(B735,raw!A:K,5,0)</f>
        <v>0</v>
      </c>
      <c r="G735">
        <f>VLOOKUP(B735,raw!A:K,2,0)+VLOOKUP(B735,raw!A:K,10,0)</f>
        <v>0</v>
      </c>
      <c r="H735">
        <f>VLOOKUP(B735,raw!A:K,6,0)</f>
        <v>0</v>
      </c>
      <c r="I735">
        <f>VLOOKUP(B735,raw!A:K,9,0)</f>
        <v>0</v>
      </c>
      <c r="J735">
        <f>VLOOKUP(B735,raw!A:K,8,0)</f>
        <v>0</v>
      </c>
      <c r="K735">
        <f>_xlfn.IFNA(VLOOKUP(B735,TDK!A:C,2,0),0)</f>
        <v>44</v>
      </c>
      <c r="L735">
        <f>_xlfn.IFNA(VLOOKUP(B735,TDK!A:C,3,0),0)</f>
        <v>1</v>
      </c>
      <c r="M735">
        <f>_xlfn.IFNA(VLOOKUP(B735,TDK!F:G,2,0),0)</f>
        <v>19</v>
      </c>
      <c r="N735">
        <f t="shared" si="11"/>
        <v>64</v>
      </c>
    </row>
    <row r="736" spans="1:14" x14ac:dyDescent="0.25">
      <c r="A736" t="s">
        <v>103</v>
      </c>
      <c r="B736" t="s">
        <v>1733</v>
      </c>
      <c r="C736">
        <f>VLOOKUP(B736,raw!A:K,11,0)</f>
        <v>156</v>
      </c>
      <c r="D736">
        <f>VLOOKUP(B736,raw!A:K,3,0)+VLOOKUP(B736,raw!A:K,7,0)</f>
        <v>156</v>
      </c>
      <c r="E736">
        <f>VLOOKUP(B736,raw!A:K,4,0)</f>
        <v>0</v>
      </c>
      <c r="F736">
        <f>VLOOKUP(B736,raw!A:K,5,0)</f>
        <v>0</v>
      </c>
      <c r="G736">
        <f>VLOOKUP(B736,raw!A:K,2,0)+VLOOKUP(B736,raw!A:K,10,0)</f>
        <v>0</v>
      </c>
      <c r="H736">
        <f>VLOOKUP(B736,raw!A:K,6,0)</f>
        <v>0</v>
      </c>
      <c r="I736">
        <f>VLOOKUP(B736,raw!A:K,9,0)</f>
        <v>0</v>
      </c>
      <c r="J736">
        <f>VLOOKUP(B736,raw!A:K,8,0)</f>
        <v>0</v>
      </c>
      <c r="K736">
        <f>_xlfn.IFNA(VLOOKUP(B736,TDK!A:C,2,0),0)</f>
        <v>48</v>
      </c>
      <c r="L736">
        <f>_xlfn.IFNA(VLOOKUP(B736,TDK!A:C,3,0),0)</f>
        <v>0</v>
      </c>
      <c r="M736">
        <f>_xlfn.IFNA(VLOOKUP(B736,TDK!F:G,2,0),0)</f>
        <v>9</v>
      </c>
      <c r="N736">
        <f t="shared" si="11"/>
        <v>57</v>
      </c>
    </row>
    <row r="737" spans="1:14" x14ac:dyDescent="0.25">
      <c r="A737" t="s">
        <v>103</v>
      </c>
      <c r="B737" t="s">
        <v>1734</v>
      </c>
      <c r="C737">
        <f>VLOOKUP(B737,raw!A:K,11,0)</f>
        <v>257</v>
      </c>
      <c r="D737">
        <f>VLOOKUP(B737,raw!A:K,3,0)+VLOOKUP(B737,raw!A:K,7,0)</f>
        <v>257</v>
      </c>
      <c r="E737">
        <f>VLOOKUP(B737,raw!A:K,4,0)</f>
        <v>0</v>
      </c>
      <c r="F737">
        <f>VLOOKUP(B737,raw!A:K,5,0)</f>
        <v>0</v>
      </c>
      <c r="G737">
        <f>VLOOKUP(B737,raw!A:K,2,0)+VLOOKUP(B737,raw!A:K,10,0)</f>
        <v>0</v>
      </c>
      <c r="H737">
        <f>VLOOKUP(B737,raw!A:K,6,0)</f>
        <v>0</v>
      </c>
      <c r="I737">
        <f>VLOOKUP(B737,raw!A:K,9,0)</f>
        <v>0</v>
      </c>
      <c r="J737">
        <f>VLOOKUP(B737,raw!A:K,8,0)</f>
        <v>0</v>
      </c>
      <c r="K737">
        <f>_xlfn.IFNA(VLOOKUP(B737,TDK!A:C,2,0),0)</f>
        <v>62</v>
      </c>
      <c r="L737">
        <f>_xlfn.IFNA(VLOOKUP(B737,TDK!A:C,3,0),0)</f>
        <v>2</v>
      </c>
      <c r="M737">
        <f>_xlfn.IFNA(VLOOKUP(B737,TDK!F:G,2,0),0)</f>
        <v>7</v>
      </c>
      <c r="N737">
        <f t="shared" si="11"/>
        <v>71</v>
      </c>
    </row>
    <row r="738" spans="1:14" x14ac:dyDescent="0.25">
      <c r="A738" t="s">
        <v>103</v>
      </c>
      <c r="B738" t="s">
        <v>1735</v>
      </c>
      <c r="C738">
        <f>VLOOKUP(B738,raw!A:K,11,0)</f>
        <v>248</v>
      </c>
      <c r="D738">
        <f>VLOOKUP(B738,raw!A:K,3,0)+VLOOKUP(B738,raw!A:K,7,0)</f>
        <v>248</v>
      </c>
      <c r="E738">
        <f>VLOOKUP(B738,raw!A:K,4,0)</f>
        <v>0</v>
      </c>
      <c r="F738">
        <f>VLOOKUP(B738,raw!A:K,5,0)</f>
        <v>0</v>
      </c>
      <c r="G738">
        <f>VLOOKUP(B738,raw!A:K,2,0)+VLOOKUP(B738,raw!A:K,10,0)</f>
        <v>0</v>
      </c>
      <c r="H738">
        <f>VLOOKUP(B738,raw!A:K,6,0)</f>
        <v>0</v>
      </c>
      <c r="I738">
        <f>VLOOKUP(B738,raw!A:K,9,0)</f>
        <v>0</v>
      </c>
      <c r="J738">
        <f>VLOOKUP(B738,raw!A:K,8,0)</f>
        <v>0</v>
      </c>
      <c r="K738">
        <f>_xlfn.IFNA(VLOOKUP(B738,TDK!A:C,2,0),0)</f>
        <v>30</v>
      </c>
      <c r="L738">
        <f>_xlfn.IFNA(VLOOKUP(B738,TDK!A:C,3,0),0)</f>
        <v>1</v>
      </c>
      <c r="M738">
        <f>_xlfn.IFNA(VLOOKUP(B738,TDK!F:G,2,0),0)</f>
        <v>32</v>
      </c>
      <c r="N738">
        <f t="shared" si="11"/>
        <v>63</v>
      </c>
    </row>
    <row r="739" spans="1:14" x14ac:dyDescent="0.25">
      <c r="A739" t="s">
        <v>103</v>
      </c>
      <c r="B739" t="s">
        <v>1736</v>
      </c>
      <c r="C739">
        <f>VLOOKUP(B739,raw!A:K,11,0)</f>
        <v>89</v>
      </c>
      <c r="D739">
        <f>VLOOKUP(B739,raw!A:K,3,0)+VLOOKUP(B739,raw!A:K,7,0)</f>
        <v>89</v>
      </c>
      <c r="E739">
        <f>VLOOKUP(B739,raw!A:K,4,0)</f>
        <v>0</v>
      </c>
      <c r="F739">
        <f>VLOOKUP(B739,raw!A:K,5,0)</f>
        <v>0</v>
      </c>
      <c r="G739">
        <f>VLOOKUP(B739,raw!A:K,2,0)+VLOOKUP(B739,raw!A:K,10,0)</f>
        <v>0</v>
      </c>
      <c r="H739">
        <f>VLOOKUP(B739,raw!A:K,6,0)</f>
        <v>0</v>
      </c>
      <c r="I739">
        <f>VLOOKUP(B739,raw!A:K,9,0)</f>
        <v>0</v>
      </c>
      <c r="J739">
        <f>VLOOKUP(B739,raw!A:K,8,0)</f>
        <v>0</v>
      </c>
      <c r="K739">
        <f>_xlfn.IFNA(VLOOKUP(B739,TDK!A:C,2,0),0)</f>
        <v>29</v>
      </c>
      <c r="L739">
        <f>_xlfn.IFNA(VLOOKUP(B739,TDK!A:C,3,0),0)</f>
        <v>4</v>
      </c>
      <c r="M739">
        <f>_xlfn.IFNA(VLOOKUP(B739,TDK!F:G,2,0),0)</f>
        <v>9</v>
      </c>
      <c r="N739">
        <f t="shared" si="11"/>
        <v>42</v>
      </c>
    </row>
    <row r="740" spans="1:14" x14ac:dyDescent="0.25">
      <c r="A740" t="s">
        <v>103</v>
      </c>
      <c r="B740" t="s">
        <v>1737</v>
      </c>
      <c r="C740">
        <f>VLOOKUP(B740,raw!A:K,11,0)</f>
        <v>84</v>
      </c>
      <c r="D740">
        <f>VLOOKUP(B740,raw!A:K,3,0)+VLOOKUP(B740,raw!A:K,7,0)</f>
        <v>84</v>
      </c>
      <c r="E740">
        <f>VLOOKUP(B740,raw!A:K,4,0)</f>
        <v>0</v>
      </c>
      <c r="F740">
        <f>VLOOKUP(B740,raw!A:K,5,0)</f>
        <v>0</v>
      </c>
      <c r="G740">
        <f>VLOOKUP(B740,raw!A:K,2,0)+VLOOKUP(B740,raw!A:K,10,0)</f>
        <v>0</v>
      </c>
      <c r="H740">
        <f>VLOOKUP(B740,raw!A:K,6,0)</f>
        <v>0</v>
      </c>
      <c r="I740">
        <f>VLOOKUP(B740,raw!A:K,9,0)</f>
        <v>0</v>
      </c>
      <c r="J740">
        <f>VLOOKUP(B740,raw!A:K,8,0)</f>
        <v>0</v>
      </c>
      <c r="K740">
        <f>_xlfn.IFNA(VLOOKUP(B740,TDK!A:C,2,0),0)</f>
        <v>31</v>
      </c>
      <c r="L740">
        <f>_xlfn.IFNA(VLOOKUP(B740,TDK!A:C,3,0),0)</f>
        <v>3</v>
      </c>
      <c r="M740">
        <f>_xlfn.IFNA(VLOOKUP(B740,TDK!F:G,2,0),0)</f>
        <v>5</v>
      </c>
      <c r="N740">
        <f t="shared" si="11"/>
        <v>39</v>
      </c>
    </row>
    <row r="741" spans="1:14" x14ac:dyDescent="0.25">
      <c r="A741" t="s">
        <v>104</v>
      </c>
      <c r="B741" t="s">
        <v>1738</v>
      </c>
      <c r="C741">
        <f>VLOOKUP(B741,raw!A:K,11,0)</f>
        <v>125</v>
      </c>
      <c r="D741">
        <f>VLOOKUP(B741,raw!A:K,3,0)+VLOOKUP(B741,raw!A:K,7,0)</f>
        <v>125</v>
      </c>
      <c r="E741">
        <f>VLOOKUP(B741,raw!A:K,4,0)</f>
        <v>0</v>
      </c>
      <c r="F741">
        <f>VLOOKUP(B741,raw!A:K,5,0)</f>
        <v>0</v>
      </c>
      <c r="G741">
        <f>VLOOKUP(B741,raw!A:K,2,0)+VLOOKUP(B741,raw!A:K,10,0)</f>
        <v>0</v>
      </c>
      <c r="H741">
        <f>VLOOKUP(B741,raw!A:K,6,0)</f>
        <v>0</v>
      </c>
      <c r="I741">
        <f>VLOOKUP(B741,raw!A:K,9,0)</f>
        <v>0</v>
      </c>
      <c r="J741">
        <f>VLOOKUP(B741,raw!A:K,8,0)</f>
        <v>0</v>
      </c>
      <c r="K741">
        <f>_xlfn.IFNA(VLOOKUP(B741,TDK!A:C,2,0),0)</f>
        <v>37</v>
      </c>
      <c r="L741">
        <f>_xlfn.IFNA(VLOOKUP(B741,TDK!A:C,3,0),0)</f>
        <v>1</v>
      </c>
      <c r="M741">
        <f>_xlfn.IFNA(VLOOKUP(B741,TDK!F:G,2,0),0)</f>
        <v>9</v>
      </c>
      <c r="N741">
        <f t="shared" si="11"/>
        <v>47</v>
      </c>
    </row>
    <row r="742" spans="1:14" x14ac:dyDescent="0.25">
      <c r="A742" t="s">
        <v>104</v>
      </c>
      <c r="B742" t="s">
        <v>1739</v>
      </c>
      <c r="C742">
        <f>VLOOKUP(B742,raw!A:K,11,0)</f>
        <v>94</v>
      </c>
      <c r="D742">
        <f>VLOOKUP(B742,raw!A:K,3,0)+VLOOKUP(B742,raw!A:K,7,0)</f>
        <v>94</v>
      </c>
      <c r="E742">
        <f>VLOOKUP(B742,raw!A:K,4,0)</f>
        <v>0</v>
      </c>
      <c r="F742">
        <f>VLOOKUP(B742,raw!A:K,5,0)</f>
        <v>0</v>
      </c>
      <c r="G742">
        <f>VLOOKUP(B742,raw!A:K,2,0)+VLOOKUP(B742,raw!A:K,10,0)</f>
        <v>0</v>
      </c>
      <c r="H742">
        <f>VLOOKUP(B742,raw!A:K,6,0)</f>
        <v>0</v>
      </c>
      <c r="I742">
        <f>VLOOKUP(B742,raw!A:K,9,0)</f>
        <v>0</v>
      </c>
      <c r="J742">
        <f>VLOOKUP(B742,raw!A:K,8,0)</f>
        <v>0</v>
      </c>
      <c r="K742">
        <f>_xlfn.IFNA(VLOOKUP(B742,TDK!A:C,2,0),0)</f>
        <v>28</v>
      </c>
      <c r="L742">
        <f>_xlfn.IFNA(VLOOKUP(B742,TDK!A:C,3,0),0)</f>
        <v>5</v>
      </c>
      <c r="M742">
        <f>_xlfn.IFNA(VLOOKUP(B742,TDK!F:G,2,0),0)</f>
        <v>15</v>
      </c>
      <c r="N742">
        <f t="shared" si="11"/>
        <v>48</v>
      </c>
    </row>
    <row r="743" spans="1:14" x14ac:dyDescent="0.25">
      <c r="A743" t="s">
        <v>104</v>
      </c>
      <c r="B743" t="s">
        <v>1740</v>
      </c>
      <c r="C743">
        <f>VLOOKUP(B743,raw!A:K,11,0)</f>
        <v>73</v>
      </c>
      <c r="D743">
        <f>VLOOKUP(B743,raw!A:K,3,0)+VLOOKUP(B743,raw!A:K,7,0)</f>
        <v>67</v>
      </c>
      <c r="E743">
        <f>VLOOKUP(B743,raw!A:K,4,0)</f>
        <v>0</v>
      </c>
      <c r="F743">
        <f>VLOOKUP(B743,raw!A:K,5,0)</f>
        <v>0</v>
      </c>
      <c r="G743">
        <f>VLOOKUP(B743,raw!A:K,2,0)+VLOOKUP(B743,raw!A:K,10,0)</f>
        <v>1</v>
      </c>
      <c r="H743">
        <f>VLOOKUP(B743,raw!A:K,6,0)</f>
        <v>0</v>
      </c>
      <c r="I743">
        <f>VLOOKUP(B743,raw!A:K,9,0)</f>
        <v>5</v>
      </c>
      <c r="J743">
        <f>VLOOKUP(B743,raw!A:K,8,0)</f>
        <v>0</v>
      </c>
      <c r="K743">
        <f>_xlfn.IFNA(VLOOKUP(B743,TDK!A:C,2,0),0)</f>
        <v>26</v>
      </c>
      <c r="L743">
        <f>_xlfn.IFNA(VLOOKUP(B743,TDK!A:C,3,0),0)</f>
        <v>5</v>
      </c>
      <c r="M743">
        <f>_xlfn.IFNA(VLOOKUP(B743,TDK!F:G,2,0),0)</f>
        <v>7</v>
      </c>
      <c r="N743">
        <f t="shared" si="11"/>
        <v>38</v>
      </c>
    </row>
    <row r="744" spans="1:14" x14ac:dyDescent="0.25">
      <c r="A744" t="s">
        <v>104</v>
      </c>
      <c r="B744" t="s">
        <v>1741</v>
      </c>
      <c r="C744">
        <f>VLOOKUP(B744,raw!A:K,11,0)</f>
        <v>53</v>
      </c>
      <c r="D744">
        <f>VLOOKUP(B744,raw!A:K,3,0)+VLOOKUP(B744,raw!A:K,7,0)</f>
        <v>50</v>
      </c>
      <c r="E744">
        <f>VLOOKUP(B744,raw!A:K,4,0)</f>
        <v>0</v>
      </c>
      <c r="F744">
        <f>VLOOKUP(B744,raw!A:K,5,0)</f>
        <v>0</v>
      </c>
      <c r="G744">
        <f>VLOOKUP(B744,raw!A:K,2,0)+VLOOKUP(B744,raw!A:K,10,0)</f>
        <v>0</v>
      </c>
      <c r="H744">
        <f>VLOOKUP(B744,raw!A:K,6,0)</f>
        <v>0</v>
      </c>
      <c r="I744">
        <f>VLOOKUP(B744,raw!A:K,9,0)</f>
        <v>3</v>
      </c>
      <c r="J744">
        <f>VLOOKUP(B744,raw!A:K,8,0)</f>
        <v>0</v>
      </c>
      <c r="K744">
        <f>_xlfn.IFNA(VLOOKUP(B744,TDK!A:C,2,0),0)</f>
        <v>10</v>
      </c>
      <c r="L744">
        <f>_xlfn.IFNA(VLOOKUP(B744,TDK!A:C,3,0),0)</f>
        <v>1</v>
      </c>
      <c r="M744">
        <f>_xlfn.IFNA(VLOOKUP(B744,TDK!F:G,2,0),0)</f>
        <v>2</v>
      </c>
      <c r="N744">
        <f t="shared" si="11"/>
        <v>13</v>
      </c>
    </row>
    <row r="745" spans="1:14" x14ac:dyDescent="0.25">
      <c r="A745" t="s">
        <v>104</v>
      </c>
      <c r="B745" t="s">
        <v>1742</v>
      </c>
      <c r="C745">
        <f>VLOOKUP(B745,raw!A:K,11,0)</f>
        <v>65</v>
      </c>
      <c r="D745">
        <f>VLOOKUP(B745,raw!A:K,3,0)+VLOOKUP(B745,raw!A:K,7,0)</f>
        <v>62</v>
      </c>
      <c r="E745">
        <f>VLOOKUP(B745,raw!A:K,4,0)</f>
        <v>0</v>
      </c>
      <c r="F745">
        <f>VLOOKUP(B745,raw!A:K,5,0)</f>
        <v>0</v>
      </c>
      <c r="G745">
        <f>VLOOKUP(B745,raw!A:K,2,0)+VLOOKUP(B745,raw!A:K,10,0)</f>
        <v>0</v>
      </c>
      <c r="H745">
        <f>VLOOKUP(B745,raw!A:K,6,0)</f>
        <v>1</v>
      </c>
      <c r="I745">
        <f>VLOOKUP(B745,raw!A:K,9,0)</f>
        <v>2</v>
      </c>
      <c r="J745">
        <f>VLOOKUP(B745,raw!A:K,8,0)</f>
        <v>0</v>
      </c>
      <c r="K745">
        <f>_xlfn.IFNA(VLOOKUP(B745,TDK!A:C,2,0),0)</f>
        <v>22</v>
      </c>
      <c r="L745">
        <f>_xlfn.IFNA(VLOOKUP(B745,TDK!A:C,3,0),0)</f>
        <v>0</v>
      </c>
      <c r="M745">
        <f>_xlfn.IFNA(VLOOKUP(B745,TDK!F:G,2,0),0)</f>
        <v>6</v>
      </c>
      <c r="N745">
        <f t="shared" si="11"/>
        <v>28</v>
      </c>
    </row>
    <row r="746" spans="1:14" x14ac:dyDescent="0.25">
      <c r="A746" t="s">
        <v>104</v>
      </c>
      <c r="B746" t="s">
        <v>1743</v>
      </c>
      <c r="C746">
        <f>VLOOKUP(B746,raw!A:K,11,0)</f>
        <v>253</v>
      </c>
      <c r="D746">
        <f>VLOOKUP(B746,raw!A:K,3,0)+VLOOKUP(B746,raw!A:K,7,0)</f>
        <v>231</v>
      </c>
      <c r="E746">
        <f>VLOOKUP(B746,raw!A:K,4,0)</f>
        <v>1</v>
      </c>
      <c r="F746">
        <f>VLOOKUP(B746,raw!A:K,5,0)</f>
        <v>0</v>
      </c>
      <c r="G746">
        <f>VLOOKUP(B746,raw!A:K,2,0)+VLOOKUP(B746,raw!A:K,10,0)</f>
        <v>0</v>
      </c>
      <c r="H746">
        <f>VLOOKUP(B746,raw!A:K,6,0)</f>
        <v>0</v>
      </c>
      <c r="I746">
        <f>VLOOKUP(B746,raw!A:K,9,0)</f>
        <v>21</v>
      </c>
      <c r="J746">
        <f>VLOOKUP(B746,raw!A:K,8,0)</f>
        <v>0</v>
      </c>
      <c r="K746">
        <f>_xlfn.IFNA(VLOOKUP(B746,TDK!A:C,2,0),0)</f>
        <v>37</v>
      </c>
      <c r="L746">
        <f>_xlfn.IFNA(VLOOKUP(B746,TDK!A:C,3,0),0)</f>
        <v>50</v>
      </c>
      <c r="M746">
        <f>_xlfn.IFNA(VLOOKUP(B746,TDK!F:G,2,0),0)</f>
        <v>10</v>
      </c>
      <c r="N746">
        <f t="shared" si="11"/>
        <v>97</v>
      </c>
    </row>
    <row r="747" spans="1:14" x14ac:dyDescent="0.25">
      <c r="A747" t="s">
        <v>104</v>
      </c>
      <c r="B747" t="s">
        <v>1744</v>
      </c>
      <c r="C747">
        <f>VLOOKUP(B747,raw!A:K,11,0)</f>
        <v>37</v>
      </c>
      <c r="D747">
        <f>VLOOKUP(B747,raw!A:K,3,0)+VLOOKUP(B747,raw!A:K,7,0)</f>
        <v>35</v>
      </c>
      <c r="E747">
        <f>VLOOKUP(B747,raw!A:K,4,0)</f>
        <v>2</v>
      </c>
      <c r="F747">
        <f>VLOOKUP(B747,raw!A:K,5,0)</f>
        <v>0</v>
      </c>
      <c r="G747">
        <f>VLOOKUP(B747,raw!A:K,2,0)+VLOOKUP(B747,raw!A:K,10,0)</f>
        <v>0</v>
      </c>
      <c r="H747">
        <f>VLOOKUP(B747,raw!A:K,6,0)</f>
        <v>0</v>
      </c>
      <c r="I747">
        <f>VLOOKUP(B747,raw!A:K,9,0)</f>
        <v>0</v>
      </c>
      <c r="J747">
        <f>VLOOKUP(B747,raw!A:K,8,0)</f>
        <v>0</v>
      </c>
      <c r="K747">
        <f>_xlfn.IFNA(VLOOKUP(B747,TDK!A:C,2,0),0)</f>
        <v>9</v>
      </c>
      <c r="L747">
        <f>_xlfn.IFNA(VLOOKUP(B747,TDK!A:C,3,0),0)</f>
        <v>0</v>
      </c>
      <c r="M747">
        <f>_xlfn.IFNA(VLOOKUP(B747,TDK!F:G,2,0),0)</f>
        <v>6</v>
      </c>
      <c r="N747">
        <f t="shared" si="11"/>
        <v>15</v>
      </c>
    </row>
    <row r="748" spans="1:14" x14ac:dyDescent="0.25">
      <c r="A748" t="s">
        <v>104</v>
      </c>
      <c r="B748" t="s">
        <v>1745</v>
      </c>
      <c r="C748">
        <f>VLOOKUP(B748,raw!A:K,11,0)</f>
        <v>84</v>
      </c>
      <c r="D748">
        <f>VLOOKUP(B748,raw!A:K,3,0)+VLOOKUP(B748,raw!A:K,7,0)</f>
        <v>84</v>
      </c>
      <c r="E748">
        <f>VLOOKUP(B748,raw!A:K,4,0)</f>
        <v>0</v>
      </c>
      <c r="F748">
        <f>VLOOKUP(B748,raw!A:K,5,0)</f>
        <v>0</v>
      </c>
      <c r="G748">
        <f>VLOOKUP(B748,raw!A:K,2,0)+VLOOKUP(B748,raw!A:K,10,0)</f>
        <v>0</v>
      </c>
      <c r="H748">
        <f>VLOOKUP(B748,raw!A:K,6,0)</f>
        <v>0</v>
      </c>
      <c r="I748">
        <f>VLOOKUP(B748,raw!A:K,9,0)</f>
        <v>0</v>
      </c>
      <c r="J748">
        <f>VLOOKUP(B748,raw!A:K,8,0)</f>
        <v>0</v>
      </c>
      <c r="K748">
        <f>_xlfn.IFNA(VLOOKUP(B748,TDK!A:C,2,0),0)</f>
        <v>15</v>
      </c>
      <c r="L748">
        <f>_xlfn.IFNA(VLOOKUP(B748,TDK!A:C,3,0),0)</f>
        <v>1</v>
      </c>
      <c r="M748">
        <f>_xlfn.IFNA(VLOOKUP(B748,TDK!F:G,2,0),0)</f>
        <v>8</v>
      </c>
      <c r="N748">
        <f t="shared" si="11"/>
        <v>24</v>
      </c>
    </row>
    <row r="749" spans="1:14" x14ac:dyDescent="0.25">
      <c r="A749" t="s">
        <v>104</v>
      </c>
      <c r="B749" t="s">
        <v>1746</v>
      </c>
      <c r="C749">
        <f>VLOOKUP(B749,raw!A:K,11,0)</f>
        <v>62</v>
      </c>
      <c r="D749">
        <f>VLOOKUP(B749,raw!A:K,3,0)+VLOOKUP(B749,raw!A:K,7,0)</f>
        <v>53</v>
      </c>
      <c r="E749">
        <f>VLOOKUP(B749,raw!A:K,4,0)</f>
        <v>0</v>
      </c>
      <c r="F749">
        <f>VLOOKUP(B749,raw!A:K,5,0)</f>
        <v>0</v>
      </c>
      <c r="G749">
        <f>VLOOKUP(B749,raw!A:K,2,0)+VLOOKUP(B749,raw!A:K,10,0)</f>
        <v>0</v>
      </c>
      <c r="H749">
        <f>VLOOKUP(B749,raw!A:K,6,0)</f>
        <v>0</v>
      </c>
      <c r="I749">
        <f>VLOOKUP(B749,raw!A:K,9,0)</f>
        <v>9</v>
      </c>
      <c r="J749">
        <f>VLOOKUP(B749,raw!A:K,8,0)</f>
        <v>0</v>
      </c>
      <c r="K749">
        <f>_xlfn.IFNA(VLOOKUP(B749,TDK!A:C,2,0),0)</f>
        <v>15</v>
      </c>
      <c r="L749">
        <f>_xlfn.IFNA(VLOOKUP(B749,TDK!A:C,3,0),0)</f>
        <v>4</v>
      </c>
      <c r="M749">
        <f>_xlfn.IFNA(VLOOKUP(B749,TDK!F:G,2,0),0)</f>
        <v>6</v>
      </c>
      <c r="N749">
        <f t="shared" si="11"/>
        <v>25</v>
      </c>
    </row>
    <row r="750" spans="1:14" x14ac:dyDescent="0.25">
      <c r="A750" t="s">
        <v>105</v>
      </c>
      <c r="B750" t="s">
        <v>1747</v>
      </c>
      <c r="C750">
        <f>VLOOKUP(B750,raw!A:K,11,0)</f>
        <v>69</v>
      </c>
      <c r="D750">
        <f>VLOOKUP(B750,raw!A:K,3,0)+VLOOKUP(B750,raw!A:K,7,0)</f>
        <v>69</v>
      </c>
      <c r="E750">
        <f>VLOOKUP(B750,raw!A:K,4,0)</f>
        <v>0</v>
      </c>
      <c r="F750">
        <f>VLOOKUP(B750,raw!A:K,5,0)</f>
        <v>0</v>
      </c>
      <c r="G750">
        <f>VLOOKUP(B750,raw!A:K,2,0)+VLOOKUP(B750,raw!A:K,10,0)</f>
        <v>0</v>
      </c>
      <c r="H750">
        <f>VLOOKUP(B750,raw!A:K,6,0)</f>
        <v>0</v>
      </c>
      <c r="I750">
        <f>VLOOKUP(B750,raw!A:K,9,0)</f>
        <v>0</v>
      </c>
      <c r="J750">
        <f>VLOOKUP(B750,raw!A:K,8,0)</f>
        <v>0</v>
      </c>
      <c r="K750">
        <f>_xlfn.IFNA(VLOOKUP(B750,TDK!A:C,2,0),0)</f>
        <v>23</v>
      </c>
      <c r="L750">
        <f>_xlfn.IFNA(VLOOKUP(B750,TDK!A:C,3,0),0)</f>
        <v>1</v>
      </c>
      <c r="M750">
        <f>_xlfn.IFNA(VLOOKUP(B750,TDK!F:G,2,0),0)</f>
        <v>4</v>
      </c>
      <c r="N750">
        <f t="shared" si="11"/>
        <v>28</v>
      </c>
    </row>
    <row r="751" spans="1:14" x14ac:dyDescent="0.25">
      <c r="A751" t="s">
        <v>105</v>
      </c>
      <c r="B751" t="s">
        <v>1748</v>
      </c>
      <c r="C751">
        <f>VLOOKUP(B751,raw!A:K,11,0)</f>
        <v>98</v>
      </c>
      <c r="D751">
        <f>VLOOKUP(B751,raw!A:K,3,0)+VLOOKUP(B751,raw!A:K,7,0)</f>
        <v>98</v>
      </c>
      <c r="E751">
        <f>VLOOKUP(B751,raw!A:K,4,0)</f>
        <v>0</v>
      </c>
      <c r="F751">
        <f>VLOOKUP(B751,raw!A:K,5,0)</f>
        <v>0</v>
      </c>
      <c r="G751">
        <f>VLOOKUP(B751,raw!A:K,2,0)+VLOOKUP(B751,raw!A:K,10,0)</f>
        <v>0</v>
      </c>
      <c r="H751">
        <f>VLOOKUP(B751,raw!A:K,6,0)</f>
        <v>0</v>
      </c>
      <c r="I751">
        <f>VLOOKUP(B751,raw!A:K,9,0)</f>
        <v>0</v>
      </c>
      <c r="J751">
        <f>VLOOKUP(B751,raw!A:K,8,0)</f>
        <v>0</v>
      </c>
      <c r="K751">
        <f>_xlfn.IFNA(VLOOKUP(B751,TDK!A:C,2,0),0)</f>
        <v>26</v>
      </c>
      <c r="L751">
        <f>_xlfn.IFNA(VLOOKUP(B751,TDK!A:C,3,0),0)</f>
        <v>0</v>
      </c>
      <c r="M751">
        <f>_xlfn.IFNA(VLOOKUP(B751,TDK!F:G,2,0),0)</f>
        <v>0</v>
      </c>
      <c r="N751">
        <f t="shared" si="11"/>
        <v>26</v>
      </c>
    </row>
    <row r="752" spans="1:14" x14ac:dyDescent="0.25">
      <c r="A752" t="s">
        <v>106</v>
      </c>
      <c r="B752" t="s">
        <v>1749</v>
      </c>
      <c r="C752">
        <f>VLOOKUP(B752,raw!A:K,11,0)</f>
        <v>56</v>
      </c>
      <c r="D752">
        <f>VLOOKUP(B752,raw!A:K,3,0)+VLOOKUP(B752,raw!A:K,7,0)</f>
        <v>56</v>
      </c>
      <c r="E752">
        <f>VLOOKUP(B752,raw!A:K,4,0)</f>
        <v>0</v>
      </c>
      <c r="F752">
        <f>VLOOKUP(B752,raw!A:K,5,0)</f>
        <v>0</v>
      </c>
      <c r="G752">
        <f>VLOOKUP(B752,raw!A:K,2,0)+VLOOKUP(B752,raw!A:K,10,0)</f>
        <v>0</v>
      </c>
      <c r="H752">
        <f>VLOOKUP(B752,raw!A:K,6,0)</f>
        <v>0</v>
      </c>
      <c r="I752">
        <f>VLOOKUP(B752,raw!A:K,9,0)</f>
        <v>0</v>
      </c>
      <c r="J752">
        <f>VLOOKUP(B752,raw!A:K,8,0)</f>
        <v>0</v>
      </c>
      <c r="K752">
        <f>_xlfn.IFNA(VLOOKUP(B752,TDK!A:C,2,0),0)</f>
        <v>14</v>
      </c>
      <c r="L752">
        <f>_xlfn.IFNA(VLOOKUP(B752,TDK!A:C,3,0),0)</f>
        <v>1</v>
      </c>
      <c r="M752">
        <f>_xlfn.IFNA(VLOOKUP(B752,TDK!F:G,2,0),0)</f>
        <v>0</v>
      </c>
      <c r="N752">
        <f t="shared" si="11"/>
        <v>15</v>
      </c>
    </row>
    <row r="753" spans="1:14" x14ac:dyDescent="0.25">
      <c r="A753" t="s">
        <v>106</v>
      </c>
      <c r="B753" t="s">
        <v>1750</v>
      </c>
      <c r="C753">
        <f>VLOOKUP(B753,raw!A:K,11,0)</f>
        <v>223</v>
      </c>
      <c r="D753">
        <f>VLOOKUP(B753,raw!A:K,3,0)+VLOOKUP(B753,raw!A:K,7,0)</f>
        <v>219</v>
      </c>
      <c r="E753">
        <f>VLOOKUP(B753,raw!A:K,4,0)</f>
        <v>0</v>
      </c>
      <c r="F753">
        <f>VLOOKUP(B753,raw!A:K,5,0)</f>
        <v>0</v>
      </c>
      <c r="G753">
        <f>VLOOKUP(B753,raw!A:K,2,0)+VLOOKUP(B753,raw!A:K,10,0)</f>
        <v>0</v>
      </c>
      <c r="H753">
        <f>VLOOKUP(B753,raw!A:K,6,0)</f>
        <v>0</v>
      </c>
      <c r="I753">
        <f>VLOOKUP(B753,raw!A:K,9,0)</f>
        <v>4</v>
      </c>
      <c r="J753">
        <f>VLOOKUP(B753,raw!A:K,8,0)</f>
        <v>0</v>
      </c>
      <c r="K753">
        <f>_xlfn.IFNA(VLOOKUP(B753,TDK!A:C,2,0),0)</f>
        <v>43</v>
      </c>
      <c r="L753">
        <f>_xlfn.IFNA(VLOOKUP(B753,TDK!A:C,3,0),0)</f>
        <v>0</v>
      </c>
      <c r="M753">
        <f>_xlfn.IFNA(VLOOKUP(B753,TDK!F:G,2,0),0)</f>
        <v>9</v>
      </c>
      <c r="N753">
        <f t="shared" si="11"/>
        <v>52</v>
      </c>
    </row>
    <row r="754" spans="1:14" x14ac:dyDescent="0.25">
      <c r="A754" t="s">
        <v>106</v>
      </c>
      <c r="B754" t="s">
        <v>1751</v>
      </c>
      <c r="C754">
        <f>VLOOKUP(B754,raw!A:K,11,0)</f>
        <v>122</v>
      </c>
      <c r="D754">
        <f>VLOOKUP(B754,raw!A:K,3,0)+VLOOKUP(B754,raw!A:K,7,0)</f>
        <v>3</v>
      </c>
      <c r="E754">
        <f>VLOOKUP(B754,raw!A:K,4,0)</f>
        <v>0</v>
      </c>
      <c r="F754">
        <f>VLOOKUP(B754,raw!A:K,5,0)</f>
        <v>0</v>
      </c>
      <c r="G754">
        <f>VLOOKUP(B754,raw!A:K,2,0)+VLOOKUP(B754,raw!A:K,10,0)</f>
        <v>0</v>
      </c>
      <c r="H754">
        <f>VLOOKUP(B754,raw!A:K,6,0)</f>
        <v>0</v>
      </c>
      <c r="I754">
        <f>VLOOKUP(B754,raw!A:K,9,0)</f>
        <v>119</v>
      </c>
      <c r="J754">
        <f>VLOOKUP(B754,raw!A:K,8,0)</f>
        <v>0</v>
      </c>
      <c r="K754">
        <f>_xlfn.IFNA(VLOOKUP(B754,TDK!A:C,2,0),0)</f>
        <v>37</v>
      </c>
      <c r="L754">
        <f>_xlfn.IFNA(VLOOKUP(B754,TDK!A:C,3,0),0)</f>
        <v>2</v>
      </c>
      <c r="M754">
        <f>_xlfn.IFNA(VLOOKUP(B754,TDK!F:G,2,0),0)</f>
        <v>0</v>
      </c>
      <c r="N754">
        <f t="shared" si="11"/>
        <v>39</v>
      </c>
    </row>
    <row r="755" spans="1:14" x14ac:dyDescent="0.25">
      <c r="A755" t="s">
        <v>105</v>
      </c>
      <c r="B755" t="s">
        <v>1752</v>
      </c>
      <c r="C755">
        <f>VLOOKUP(B755,raw!A:K,11,0)</f>
        <v>143</v>
      </c>
      <c r="D755">
        <f>VLOOKUP(B755,raw!A:K,3,0)+VLOOKUP(B755,raw!A:K,7,0)</f>
        <v>143</v>
      </c>
      <c r="E755">
        <f>VLOOKUP(B755,raw!A:K,4,0)</f>
        <v>0</v>
      </c>
      <c r="F755">
        <f>VLOOKUP(B755,raw!A:K,5,0)</f>
        <v>0</v>
      </c>
      <c r="G755">
        <f>VLOOKUP(B755,raw!A:K,2,0)+VLOOKUP(B755,raw!A:K,10,0)</f>
        <v>0</v>
      </c>
      <c r="H755">
        <f>VLOOKUP(B755,raw!A:K,6,0)</f>
        <v>0</v>
      </c>
      <c r="I755">
        <f>VLOOKUP(B755,raw!A:K,9,0)</f>
        <v>0</v>
      </c>
      <c r="J755">
        <f>VLOOKUP(B755,raw!A:K,8,0)</f>
        <v>0</v>
      </c>
      <c r="K755">
        <f>_xlfn.IFNA(VLOOKUP(B755,TDK!A:C,2,0),0)</f>
        <v>16</v>
      </c>
      <c r="L755">
        <f>_xlfn.IFNA(VLOOKUP(B755,TDK!A:C,3,0),0)</f>
        <v>29</v>
      </c>
      <c r="M755">
        <f>_xlfn.IFNA(VLOOKUP(B755,TDK!F:G,2,0),0)</f>
        <v>18</v>
      </c>
      <c r="N755">
        <f t="shared" si="11"/>
        <v>63</v>
      </c>
    </row>
    <row r="756" spans="1:14" x14ac:dyDescent="0.25">
      <c r="A756" t="s">
        <v>106</v>
      </c>
      <c r="B756" t="s">
        <v>1753</v>
      </c>
      <c r="C756">
        <f>VLOOKUP(B756,raw!A:K,11,0)</f>
        <v>290</v>
      </c>
      <c r="D756">
        <f>VLOOKUP(B756,raw!A:K,3,0)+VLOOKUP(B756,raw!A:K,7,0)</f>
        <v>8</v>
      </c>
      <c r="E756">
        <f>VLOOKUP(B756,raw!A:K,4,0)</f>
        <v>0</v>
      </c>
      <c r="F756">
        <f>VLOOKUP(B756,raw!A:K,5,0)</f>
        <v>0</v>
      </c>
      <c r="G756">
        <f>VLOOKUP(B756,raw!A:K,2,0)+VLOOKUP(B756,raw!A:K,10,0)</f>
        <v>0</v>
      </c>
      <c r="H756">
        <f>VLOOKUP(B756,raw!A:K,6,0)</f>
        <v>0</v>
      </c>
      <c r="I756">
        <f>VLOOKUP(B756,raw!A:K,9,0)</f>
        <v>282</v>
      </c>
      <c r="J756">
        <f>VLOOKUP(B756,raw!A:K,8,0)</f>
        <v>0</v>
      </c>
      <c r="K756">
        <f>_xlfn.IFNA(VLOOKUP(B756,TDK!A:C,2,0),0)</f>
        <v>2</v>
      </c>
      <c r="L756">
        <f>_xlfn.IFNA(VLOOKUP(B756,TDK!A:C,3,0),0)</f>
        <v>86</v>
      </c>
      <c r="M756">
        <f>_xlfn.IFNA(VLOOKUP(B756,TDK!F:G,2,0),0)</f>
        <v>0</v>
      </c>
      <c r="N756">
        <f t="shared" si="11"/>
        <v>88</v>
      </c>
    </row>
    <row r="757" spans="1:14" x14ac:dyDescent="0.25">
      <c r="A757" t="s">
        <v>105</v>
      </c>
      <c r="B757" t="s">
        <v>1754</v>
      </c>
      <c r="C757">
        <f>VLOOKUP(B757,raw!A:K,11,0)</f>
        <v>101</v>
      </c>
      <c r="D757">
        <f>VLOOKUP(B757,raw!A:K,3,0)+VLOOKUP(B757,raw!A:K,7,0)</f>
        <v>101</v>
      </c>
      <c r="E757">
        <f>VLOOKUP(B757,raw!A:K,4,0)</f>
        <v>0</v>
      </c>
      <c r="F757">
        <f>VLOOKUP(B757,raw!A:K,5,0)</f>
        <v>0</v>
      </c>
      <c r="G757">
        <f>VLOOKUP(B757,raw!A:K,2,0)+VLOOKUP(B757,raw!A:K,10,0)</f>
        <v>0</v>
      </c>
      <c r="H757">
        <f>VLOOKUP(B757,raw!A:K,6,0)</f>
        <v>0</v>
      </c>
      <c r="I757">
        <f>VLOOKUP(B757,raw!A:K,9,0)</f>
        <v>0</v>
      </c>
      <c r="J757">
        <f>VLOOKUP(B757,raw!A:K,8,0)</f>
        <v>0</v>
      </c>
      <c r="K757">
        <f>_xlfn.IFNA(VLOOKUP(B757,TDK!A:C,2,0),0)</f>
        <v>6</v>
      </c>
      <c r="L757">
        <f>_xlfn.IFNA(VLOOKUP(B757,TDK!A:C,3,0),0)</f>
        <v>17</v>
      </c>
      <c r="M757">
        <f>_xlfn.IFNA(VLOOKUP(B757,TDK!F:G,2,0),0)</f>
        <v>23</v>
      </c>
      <c r="N757">
        <f t="shared" si="11"/>
        <v>46</v>
      </c>
    </row>
    <row r="758" spans="1:14" x14ac:dyDescent="0.25">
      <c r="A758" t="s">
        <v>105</v>
      </c>
      <c r="B758" t="s">
        <v>1755</v>
      </c>
      <c r="C758">
        <f>VLOOKUP(B758,raw!A:K,11,0)</f>
        <v>171</v>
      </c>
      <c r="D758">
        <f>VLOOKUP(B758,raw!A:K,3,0)+VLOOKUP(B758,raw!A:K,7,0)</f>
        <v>171</v>
      </c>
      <c r="E758">
        <f>VLOOKUP(B758,raw!A:K,4,0)</f>
        <v>0</v>
      </c>
      <c r="F758">
        <f>VLOOKUP(B758,raw!A:K,5,0)</f>
        <v>0</v>
      </c>
      <c r="G758">
        <f>VLOOKUP(B758,raw!A:K,2,0)+VLOOKUP(B758,raw!A:K,10,0)</f>
        <v>0</v>
      </c>
      <c r="H758">
        <f>VLOOKUP(B758,raw!A:K,6,0)</f>
        <v>0</v>
      </c>
      <c r="I758">
        <f>VLOOKUP(B758,raw!A:K,9,0)</f>
        <v>0</v>
      </c>
      <c r="J758">
        <f>VLOOKUP(B758,raw!A:K,8,0)</f>
        <v>0</v>
      </c>
      <c r="K758">
        <f>_xlfn.IFNA(VLOOKUP(B758,TDK!A:C,2,0),0)</f>
        <v>28</v>
      </c>
      <c r="L758">
        <f>_xlfn.IFNA(VLOOKUP(B758,TDK!A:C,3,0),0)</f>
        <v>39</v>
      </c>
      <c r="M758">
        <f>_xlfn.IFNA(VLOOKUP(B758,TDK!F:G,2,0),0)</f>
        <v>8</v>
      </c>
      <c r="N758">
        <f t="shared" si="11"/>
        <v>75</v>
      </c>
    </row>
    <row r="759" spans="1:14" x14ac:dyDescent="0.25">
      <c r="A759" t="s">
        <v>97</v>
      </c>
      <c r="B759" t="s">
        <v>1756</v>
      </c>
      <c r="C759">
        <f>VLOOKUP(B759,raw!A:K,11,0)</f>
        <v>66</v>
      </c>
      <c r="D759">
        <f>VLOOKUP(B759,raw!A:K,3,0)+VLOOKUP(B759,raw!A:K,7,0)</f>
        <v>3</v>
      </c>
      <c r="E759">
        <f>VLOOKUP(B759,raw!A:K,4,0)</f>
        <v>0</v>
      </c>
      <c r="F759">
        <f>VLOOKUP(B759,raw!A:K,5,0)</f>
        <v>0</v>
      </c>
      <c r="G759">
        <f>VLOOKUP(B759,raw!A:K,2,0)+VLOOKUP(B759,raw!A:K,10,0)</f>
        <v>0</v>
      </c>
      <c r="H759">
        <f>VLOOKUP(B759,raw!A:K,6,0)</f>
        <v>0</v>
      </c>
      <c r="I759">
        <f>VLOOKUP(B759,raw!A:K,9,0)</f>
        <v>63</v>
      </c>
      <c r="J759">
        <f>VLOOKUP(B759,raw!A:K,8,0)</f>
        <v>0</v>
      </c>
      <c r="K759">
        <f>_xlfn.IFNA(VLOOKUP(B759,TDK!A:C,2,0),0)</f>
        <v>7</v>
      </c>
      <c r="L759">
        <f>_xlfn.IFNA(VLOOKUP(B759,TDK!A:C,3,0),0)</f>
        <v>1</v>
      </c>
      <c r="M759">
        <f>_xlfn.IFNA(VLOOKUP(B759,TDK!F:G,2,0),0)</f>
        <v>0</v>
      </c>
      <c r="N759">
        <f t="shared" si="11"/>
        <v>8</v>
      </c>
    </row>
    <row r="760" spans="1:14" x14ac:dyDescent="0.25">
      <c r="A760" t="s">
        <v>97</v>
      </c>
      <c r="B760" t="s">
        <v>1757</v>
      </c>
      <c r="C760">
        <f>VLOOKUP(B760,raw!A:K,11,0)</f>
        <v>48</v>
      </c>
      <c r="D760">
        <f>VLOOKUP(B760,raw!A:K,3,0)+VLOOKUP(B760,raw!A:K,7,0)</f>
        <v>17</v>
      </c>
      <c r="E760">
        <f>VLOOKUP(B760,raw!A:K,4,0)</f>
        <v>0</v>
      </c>
      <c r="F760">
        <f>VLOOKUP(B760,raw!A:K,5,0)</f>
        <v>0</v>
      </c>
      <c r="G760">
        <f>VLOOKUP(B760,raw!A:K,2,0)+VLOOKUP(B760,raw!A:K,10,0)</f>
        <v>0</v>
      </c>
      <c r="H760">
        <f>VLOOKUP(B760,raw!A:K,6,0)</f>
        <v>0</v>
      </c>
      <c r="I760">
        <f>VLOOKUP(B760,raw!A:K,9,0)</f>
        <v>31</v>
      </c>
      <c r="J760">
        <f>VLOOKUP(B760,raw!A:K,8,0)</f>
        <v>0</v>
      </c>
      <c r="K760">
        <f>_xlfn.IFNA(VLOOKUP(B760,TDK!A:C,2,0),0)</f>
        <v>7</v>
      </c>
      <c r="L760">
        <f>_xlfn.IFNA(VLOOKUP(B760,TDK!A:C,3,0),0)</f>
        <v>1</v>
      </c>
      <c r="M760">
        <f>_xlfn.IFNA(VLOOKUP(B760,TDK!F:G,2,0),0)</f>
        <v>5</v>
      </c>
      <c r="N760">
        <f t="shared" si="11"/>
        <v>13</v>
      </c>
    </row>
    <row r="761" spans="1:14" x14ac:dyDescent="0.25">
      <c r="A761" t="s">
        <v>97</v>
      </c>
      <c r="B761" t="s">
        <v>1758</v>
      </c>
      <c r="C761">
        <f>VLOOKUP(B761,raw!A:K,11,0)</f>
        <v>64</v>
      </c>
      <c r="D761">
        <f>VLOOKUP(B761,raw!A:K,3,0)+VLOOKUP(B761,raw!A:K,7,0)</f>
        <v>35</v>
      </c>
      <c r="E761">
        <f>VLOOKUP(B761,raw!A:K,4,0)</f>
        <v>0</v>
      </c>
      <c r="F761">
        <f>VLOOKUP(B761,raw!A:K,5,0)</f>
        <v>0</v>
      </c>
      <c r="G761">
        <f>VLOOKUP(B761,raw!A:K,2,0)+VLOOKUP(B761,raw!A:K,10,0)</f>
        <v>0</v>
      </c>
      <c r="H761">
        <f>VLOOKUP(B761,raw!A:K,6,0)</f>
        <v>0</v>
      </c>
      <c r="I761">
        <f>VLOOKUP(B761,raw!A:K,9,0)</f>
        <v>29</v>
      </c>
      <c r="J761">
        <f>VLOOKUP(B761,raw!A:K,8,0)</f>
        <v>0</v>
      </c>
      <c r="K761">
        <f>_xlfn.IFNA(VLOOKUP(B761,TDK!A:C,2,0),0)</f>
        <v>8</v>
      </c>
      <c r="L761">
        <f>_xlfn.IFNA(VLOOKUP(B761,TDK!A:C,3,0),0)</f>
        <v>0</v>
      </c>
      <c r="M761">
        <f>_xlfn.IFNA(VLOOKUP(B761,TDK!F:G,2,0),0)</f>
        <v>6</v>
      </c>
      <c r="N761">
        <f t="shared" si="11"/>
        <v>14</v>
      </c>
    </row>
    <row r="762" spans="1:14" x14ac:dyDescent="0.25">
      <c r="A762" t="s">
        <v>97</v>
      </c>
      <c r="B762" t="s">
        <v>1759</v>
      </c>
      <c r="C762">
        <f>VLOOKUP(B762,raw!A:K,11,0)</f>
        <v>61</v>
      </c>
      <c r="D762">
        <f>VLOOKUP(B762,raw!A:K,3,0)+VLOOKUP(B762,raw!A:K,7,0)</f>
        <v>8</v>
      </c>
      <c r="E762">
        <f>VLOOKUP(B762,raw!A:K,4,0)</f>
        <v>0</v>
      </c>
      <c r="F762">
        <f>VLOOKUP(B762,raw!A:K,5,0)</f>
        <v>0</v>
      </c>
      <c r="G762">
        <f>VLOOKUP(B762,raw!A:K,2,0)+VLOOKUP(B762,raw!A:K,10,0)</f>
        <v>0</v>
      </c>
      <c r="H762">
        <f>VLOOKUP(B762,raw!A:K,6,0)</f>
        <v>0</v>
      </c>
      <c r="I762">
        <f>VLOOKUP(B762,raw!A:K,9,0)</f>
        <v>53</v>
      </c>
      <c r="J762">
        <f>VLOOKUP(B762,raw!A:K,8,0)</f>
        <v>0</v>
      </c>
      <c r="K762">
        <f>_xlfn.IFNA(VLOOKUP(B762,TDK!A:C,2,0),0)</f>
        <v>18</v>
      </c>
      <c r="L762">
        <f>_xlfn.IFNA(VLOOKUP(B762,TDK!A:C,3,0),0)</f>
        <v>1</v>
      </c>
      <c r="M762">
        <f>_xlfn.IFNA(VLOOKUP(B762,TDK!F:G,2,0),0)</f>
        <v>0</v>
      </c>
      <c r="N762">
        <f t="shared" si="11"/>
        <v>19</v>
      </c>
    </row>
    <row r="763" spans="1:14" x14ac:dyDescent="0.25">
      <c r="A763" t="s">
        <v>97</v>
      </c>
      <c r="B763" t="s">
        <v>1760</v>
      </c>
      <c r="C763">
        <f>VLOOKUP(B763,raw!A:K,11,0)</f>
        <v>43</v>
      </c>
      <c r="D763">
        <f>VLOOKUP(B763,raw!A:K,3,0)+VLOOKUP(B763,raw!A:K,7,0)</f>
        <v>2</v>
      </c>
      <c r="E763">
        <f>VLOOKUP(B763,raw!A:K,4,0)</f>
        <v>0</v>
      </c>
      <c r="F763">
        <f>VLOOKUP(B763,raw!A:K,5,0)</f>
        <v>0</v>
      </c>
      <c r="G763">
        <f>VLOOKUP(B763,raw!A:K,2,0)+VLOOKUP(B763,raw!A:K,10,0)</f>
        <v>0</v>
      </c>
      <c r="H763">
        <f>VLOOKUP(B763,raw!A:K,6,0)</f>
        <v>0</v>
      </c>
      <c r="I763">
        <f>VLOOKUP(B763,raw!A:K,9,0)</f>
        <v>41</v>
      </c>
      <c r="J763">
        <f>VLOOKUP(B763,raw!A:K,8,0)</f>
        <v>0</v>
      </c>
      <c r="K763">
        <f>_xlfn.IFNA(VLOOKUP(B763,TDK!A:C,2,0),0)</f>
        <v>3</v>
      </c>
      <c r="L763">
        <f>_xlfn.IFNA(VLOOKUP(B763,TDK!A:C,3,0),0)</f>
        <v>0</v>
      </c>
      <c r="M763">
        <f>_xlfn.IFNA(VLOOKUP(B763,TDK!F:G,2,0),0)</f>
        <v>2</v>
      </c>
      <c r="N763">
        <f t="shared" si="11"/>
        <v>5</v>
      </c>
    </row>
    <row r="764" spans="1:14" x14ac:dyDescent="0.25">
      <c r="A764" t="s">
        <v>97</v>
      </c>
      <c r="B764" t="s">
        <v>1761</v>
      </c>
      <c r="C764">
        <f>VLOOKUP(B764,raw!A:K,11,0)</f>
        <v>68</v>
      </c>
      <c r="D764">
        <f>VLOOKUP(B764,raw!A:K,3,0)+VLOOKUP(B764,raw!A:K,7,0)</f>
        <v>5</v>
      </c>
      <c r="E764">
        <f>VLOOKUP(B764,raw!A:K,4,0)</f>
        <v>0</v>
      </c>
      <c r="F764">
        <f>VLOOKUP(B764,raw!A:K,5,0)</f>
        <v>0</v>
      </c>
      <c r="G764">
        <f>VLOOKUP(B764,raw!A:K,2,0)+VLOOKUP(B764,raw!A:K,10,0)</f>
        <v>0</v>
      </c>
      <c r="H764">
        <f>VLOOKUP(B764,raw!A:K,6,0)</f>
        <v>0</v>
      </c>
      <c r="I764">
        <f>VLOOKUP(B764,raw!A:K,9,0)</f>
        <v>63</v>
      </c>
      <c r="J764">
        <f>VLOOKUP(B764,raw!A:K,8,0)</f>
        <v>0</v>
      </c>
      <c r="K764">
        <f>_xlfn.IFNA(VLOOKUP(B764,TDK!A:C,2,0),0)</f>
        <v>14</v>
      </c>
      <c r="L764">
        <f>_xlfn.IFNA(VLOOKUP(B764,TDK!A:C,3,0),0)</f>
        <v>1</v>
      </c>
      <c r="M764">
        <f>_xlfn.IFNA(VLOOKUP(B764,TDK!F:G,2,0),0)</f>
        <v>0</v>
      </c>
      <c r="N764">
        <f t="shared" si="11"/>
        <v>15</v>
      </c>
    </row>
    <row r="765" spans="1:14" x14ac:dyDescent="0.25">
      <c r="A765" t="s">
        <v>97</v>
      </c>
      <c r="B765" t="s">
        <v>1762</v>
      </c>
      <c r="C765">
        <f>VLOOKUP(B765,raw!A:K,11,0)</f>
        <v>60</v>
      </c>
      <c r="D765">
        <f>VLOOKUP(B765,raw!A:K,3,0)+VLOOKUP(B765,raw!A:K,7,0)</f>
        <v>18</v>
      </c>
      <c r="E765">
        <f>VLOOKUP(B765,raw!A:K,4,0)</f>
        <v>0</v>
      </c>
      <c r="F765">
        <f>VLOOKUP(B765,raw!A:K,5,0)</f>
        <v>0</v>
      </c>
      <c r="G765">
        <f>VLOOKUP(B765,raw!A:K,2,0)+VLOOKUP(B765,raw!A:K,10,0)</f>
        <v>0</v>
      </c>
      <c r="H765">
        <f>VLOOKUP(B765,raw!A:K,6,0)</f>
        <v>0</v>
      </c>
      <c r="I765">
        <f>VLOOKUP(B765,raw!A:K,9,0)</f>
        <v>42</v>
      </c>
      <c r="J765">
        <f>VLOOKUP(B765,raw!A:K,8,0)</f>
        <v>0</v>
      </c>
      <c r="K765">
        <f>_xlfn.IFNA(VLOOKUP(B765,TDK!A:C,2,0),0)</f>
        <v>18</v>
      </c>
      <c r="L765">
        <f>_xlfn.IFNA(VLOOKUP(B765,TDK!A:C,3,0),0)</f>
        <v>0</v>
      </c>
      <c r="M765">
        <f>_xlfn.IFNA(VLOOKUP(B765,TDK!F:G,2,0),0)</f>
        <v>4</v>
      </c>
      <c r="N765">
        <f t="shared" si="11"/>
        <v>22</v>
      </c>
    </row>
    <row r="766" spans="1:14" x14ac:dyDescent="0.25">
      <c r="A766" t="s">
        <v>97</v>
      </c>
      <c r="B766" t="s">
        <v>1763</v>
      </c>
      <c r="C766">
        <f>VLOOKUP(B766,raw!A:K,11,0)</f>
        <v>52</v>
      </c>
      <c r="D766">
        <f>VLOOKUP(B766,raw!A:K,3,0)+VLOOKUP(B766,raw!A:K,7,0)</f>
        <v>8</v>
      </c>
      <c r="E766">
        <f>VLOOKUP(B766,raw!A:K,4,0)</f>
        <v>0</v>
      </c>
      <c r="F766">
        <f>VLOOKUP(B766,raw!A:K,5,0)</f>
        <v>0</v>
      </c>
      <c r="G766">
        <f>VLOOKUP(B766,raw!A:K,2,0)+VLOOKUP(B766,raw!A:K,10,0)</f>
        <v>0</v>
      </c>
      <c r="H766">
        <f>VLOOKUP(B766,raw!A:K,6,0)</f>
        <v>0</v>
      </c>
      <c r="I766">
        <f>VLOOKUP(B766,raw!A:K,9,0)</f>
        <v>44</v>
      </c>
      <c r="J766">
        <f>VLOOKUP(B766,raw!A:K,8,0)</f>
        <v>0</v>
      </c>
      <c r="K766">
        <f>_xlfn.IFNA(VLOOKUP(B766,TDK!A:C,2,0),0)</f>
        <v>7</v>
      </c>
      <c r="L766">
        <f>_xlfn.IFNA(VLOOKUP(B766,TDK!A:C,3,0),0)</f>
        <v>2</v>
      </c>
      <c r="M766">
        <f>_xlfn.IFNA(VLOOKUP(B766,TDK!F:G,2,0),0)</f>
        <v>0</v>
      </c>
      <c r="N766">
        <f t="shared" si="11"/>
        <v>9</v>
      </c>
    </row>
    <row r="767" spans="1:14" x14ac:dyDescent="0.25">
      <c r="A767" t="s">
        <v>97</v>
      </c>
      <c r="B767" t="s">
        <v>1764</v>
      </c>
      <c r="C767">
        <f>VLOOKUP(B767,raw!A:K,11,0)</f>
        <v>110</v>
      </c>
      <c r="D767">
        <f>VLOOKUP(B767,raw!A:K,3,0)+VLOOKUP(B767,raw!A:K,7,0)</f>
        <v>3</v>
      </c>
      <c r="E767">
        <f>VLOOKUP(B767,raw!A:K,4,0)</f>
        <v>0</v>
      </c>
      <c r="F767">
        <f>VLOOKUP(B767,raw!A:K,5,0)</f>
        <v>0</v>
      </c>
      <c r="G767">
        <f>VLOOKUP(B767,raw!A:K,2,0)+VLOOKUP(B767,raw!A:K,10,0)</f>
        <v>0</v>
      </c>
      <c r="H767">
        <f>VLOOKUP(B767,raw!A:K,6,0)</f>
        <v>0</v>
      </c>
      <c r="I767">
        <f>VLOOKUP(B767,raw!A:K,9,0)</f>
        <v>107</v>
      </c>
      <c r="J767">
        <f>VLOOKUP(B767,raw!A:K,8,0)</f>
        <v>0</v>
      </c>
      <c r="K767">
        <f>_xlfn.IFNA(VLOOKUP(B767,TDK!A:C,2,0),0)</f>
        <v>10</v>
      </c>
      <c r="L767">
        <f>_xlfn.IFNA(VLOOKUP(B767,TDK!A:C,3,0),0)</f>
        <v>1</v>
      </c>
      <c r="M767">
        <f>_xlfn.IFNA(VLOOKUP(B767,TDK!F:G,2,0),0)</f>
        <v>15</v>
      </c>
      <c r="N767">
        <f t="shared" si="11"/>
        <v>26</v>
      </c>
    </row>
    <row r="768" spans="1:14" x14ac:dyDescent="0.25">
      <c r="A768" t="s">
        <v>96</v>
      </c>
      <c r="B768" t="s">
        <v>1765</v>
      </c>
      <c r="C768">
        <f>VLOOKUP(B768,raw!A:K,11,0)</f>
        <v>82</v>
      </c>
      <c r="D768">
        <f>VLOOKUP(B768,raw!A:K,3,0)+VLOOKUP(B768,raw!A:K,7,0)</f>
        <v>47</v>
      </c>
      <c r="E768">
        <f>VLOOKUP(B768,raw!A:K,4,0)</f>
        <v>15</v>
      </c>
      <c r="F768">
        <f>VLOOKUP(B768,raw!A:K,5,0)</f>
        <v>0</v>
      </c>
      <c r="G768">
        <f>VLOOKUP(B768,raw!A:K,2,0)+VLOOKUP(B768,raw!A:K,10,0)</f>
        <v>0</v>
      </c>
      <c r="H768">
        <f>VLOOKUP(B768,raw!A:K,6,0)</f>
        <v>3</v>
      </c>
      <c r="I768">
        <f>VLOOKUP(B768,raw!A:K,9,0)</f>
        <v>17</v>
      </c>
      <c r="J768">
        <f>VLOOKUP(B768,raw!A:K,8,0)</f>
        <v>0</v>
      </c>
      <c r="K768">
        <f>_xlfn.IFNA(VLOOKUP(B768,TDK!A:C,2,0),0)</f>
        <v>9</v>
      </c>
      <c r="L768">
        <f>_xlfn.IFNA(VLOOKUP(B768,TDK!A:C,3,0),0)</f>
        <v>0</v>
      </c>
      <c r="M768">
        <f>_xlfn.IFNA(VLOOKUP(B768,TDK!F:G,2,0),0)</f>
        <v>11</v>
      </c>
      <c r="N768">
        <f t="shared" si="11"/>
        <v>20</v>
      </c>
    </row>
    <row r="769" spans="1:14" x14ac:dyDescent="0.25">
      <c r="A769" t="s">
        <v>96</v>
      </c>
      <c r="B769" t="s">
        <v>1766</v>
      </c>
      <c r="C769">
        <f>VLOOKUP(B769,raw!A:K,11,0)</f>
        <v>38</v>
      </c>
      <c r="D769">
        <f>VLOOKUP(B769,raw!A:K,3,0)+VLOOKUP(B769,raw!A:K,7,0)</f>
        <v>1</v>
      </c>
      <c r="E769">
        <f>VLOOKUP(B769,raw!A:K,4,0)</f>
        <v>18</v>
      </c>
      <c r="F769">
        <f>VLOOKUP(B769,raw!A:K,5,0)</f>
        <v>0</v>
      </c>
      <c r="G769">
        <f>VLOOKUP(B769,raw!A:K,2,0)+VLOOKUP(B769,raw!A:K,10,0)</f>
        <v>16</v>
      </c>
      <c r="H769">
        <f>VLOOKUP(B769,raw!A:K,6,0)</f>
        <v>0</v>
      </c>
      <c r="I769">
        <f>VLOOKUP(B769,raw!A:K,9,0)</f>
        <v>3</v>
      </c>
      <c r="J769">
        <f>VLOOKUP(B769,raw!A:K,8,0)</f>
        <v>0</v>
      </c>
      <c r="K769">
        <f>_xlfn.IFNA(VLOOKUP(B769,TDK!A:C,2,0),0)</f>
        <v>14</v>
      </c>
      <c r="L769">
        <f>_xlfn.IFNA(VLOOKUP(B769,TDK!A:C,3,0),0)</f>
        <v>3</v>
      </c>
      <c r="M769">
        <f>_xlfn.IFNA(VLOOKUP(B769,TDK!F:G,2,0),0)</f>
        <v>2</v>
      </c>
      <c r="N769">
        <f t="shared" si="11"/>
        <v>19</v>
      </c>
    </row>
    <row r="770" spans="1:14" x14ac:dyDescent="0.25">
      <c r="A770" t="s">
        <v>96</v>
      </c>
      <c r="B770" t="s">
        <v>1767</v>
      </c>
      <c r="C770">
        <f>VLOOKUP(B770,raw!A:K,11,0)</f>
        <v>34</v>
      </c>
      <c r="D770">
        <f>VLOOKUP(B770,raw!A:K,3,0)+VLOOKUP(B770,raw!A:K,7,0)</f>
        <v>0</v>
      </c>
      <c r="E770">
        <f>VLOOKUP(B770,raw!A:K,4,0)</f>
        <v>6</v>
      </c>
      <c r="F770">
        <f>VLOOKUP(B770,raw!A:K,5,0)</f>
        <v>0</v>
      </c>
      <c r="G770">
        <f>VLOOKUP(B770,raw!A:K,2,0)+VLOOKUP(B770,raw!A:K,10,0)</f>
        <v>27</v>
      </c>
      <c r="H770">
        <f>VLOOKUP(B770,raw!A:K,6,0)</f>
        <v>0</v>
      </c>
      <c r="I770">
        <f>VLOOKUP(B770,raw!A:K,9,0)</f>
        <v>1</v>
      </c>
      <c r="J770">
        <f>VLOOKUP(B770,raw!A:K,8,0)</f>
        <v>0</v>
      </c>
      <c r="K770">
        <f>_xlfn.IFNA(VLOOKUP(B770,TDK!A:C,2,0),0)</f>
        <v>18</v>
      </c>
      <c r="L770">
        <f>_xlfn.IFNA(VLOOKUP(B770,TDK!A:C,3,0),0)</f>
        <v>10</v>
      </c>
      <c r="M770">
        <f>_xlfn.IFNA(VLOOKUP(B770,TDK!F:G,2,0),0)</f>
        <v>0</v>
      </c>
      <c r="N770">
        <f t="shared" si="11"/>
        <v>28</v>
      </c>
    </row>
    <row r="771" spans="1:14" x14ac:dyDescent="0.25">
      <c r="A771" t="s">
        <v>975</v>
      </c>
      <c r="B771" t="s">
        <v>1768</v>
      </c>
      <c r="C771">
        <f>VLOOKUP(B771,raw!A:K,11,0)</f>
        <v>134</v>
      </c>
      <c r="D771">
        <f>VLOOKUP(B771,raw!A:K,3,0)+VLOOKUP(B771,raw!A:K,7,0)</f>
        <v>118</v>
      </c>
      <c r="E771">
        <f>VLOOKUP(B771,raw!A:K,4,0)</f>
        <v>3</v>
      </c>
      <c r="F771">
        <f>VLOOKUP(B771,raw!A:K,5,0)</f>
        <v>0</v>
      </c>
      <c r="G771">
        <f>VLOOKUP(B771,raw!A:K,2,0)+VLOOKUP(B771,raw!A:K,10,0)</f>
        <v>0</v>
      </c>
      <c r="H771">
        <f>VLOOKUP(B771,raw!A:K,6,0)</f>
        <v>0</v>
      </c>
      <c r="I771">
        <f>VLOOKUP(B771,raw!A:K,9,0)</f>
        <v>13</v>
      </c>
      <c r="J771">
        <f>VLOOKUP(B771,raw!A:K,8,0)</f>
        <v>0</v>
      </c>
      <c r="K771">
        <f>_xlfn.IFNA(VLOOKUP(B771,TDK!A:C,2,0),0)</f>
        <v>36</v>
      </c>
      <c r="L771">
        <f>_xlfn.IFNA(VLOOKUP(B771,TDK!A:C,3,0),0)</f>
        <v>4</v>
      </c>
      <c r="M771">
        <f>_xlfn.IFNA(VLOOKUP(B771,TDK!F:G,2,0),0)</f>
        <v>5</v>
      </c>
      <c r="N771">
        <f t="shared" ref="N771:N834" si="12">SUM(K771:M771)</f>
        <v>45</v>
      </c>
    </row>
    <row r="772" spans="1:14" x14ac:dyDescent="0.25">
      <c r="A772" t="s">
        <v>96</v>
      </c>
      <c r="B772" t="s">
        <v>1769</v>
      </c>
      <c r="C772">
        <f>VLOOKUP(B772,raw!A:K,11,0)</f>
        <v>88</v>
      </c>
      <c r="D772">
        <f>VLOOKUP(B772,raw!A:K,3,0)+VLOOKUP(B772,raw!A:K,7,0)</f>
        <v>78</v>
      </c>
      <c r="E772">
        <f>VLOOKUP(B772,raw!A:K,4,0)</f>
        <v>2</v>
      </c>
      <c r="F772">
        <f>VLOOKUP(B772,raw!A:K,5,0)</f>
        <v>0</v>
      </c>
      <c r="G772">
        <f>VLOOKUP(B772,raw!A:K,2,0)+VLOOKUP(B772,raw!A:K,10,0)</f>
        <v>0</v>
      </c>
      <c r="H772">
        <f>VLOOKUP(B772,raw!A:K,6,0)</f>
        <v>0</v>
      </c>
      <c r="I772">
        <f>VLOOKUP(B772,raw!A:K,9,0)</f>
        <v>8</v>
      </c>
      <c r="J772">
        <f>VLOOKUP(B772,raw!A:K,8,0)</f>
        <v>0</v>
      </c>
      <c r="K772">
        <f>_xlfn.IFNA(VLOOKUP(B772,TDK!A:C,2,0),0)</f>
        <v>21</v>
      </c>
      <c r="L772">
        <f>_xlfn.IFNA(VLOOKUP(B772,TDK!A:C,3,0),0)</f>
        <v>5</v>
      </c>
      <c r="M772">
        <f>_xlfn.IFNA(VLOOKUP(B772,TDK!F:G,2,0),0)</f>
        <v>2</v>
      </c>
      <c r="N772">
        <f t="shared" si="12"/>
        <v>28</v>
      </c>
    </row>
    <row r="773" spans="1:14" x14ac:dyDescent="0.25">
      <c r="A773" t="s">
        <v>975</v>
      </c>
      <c r="B773" t="s">
        <v>1770</v>
      </c>
      <c r="C773">
        <f>VLOOKUP(B773,raw!A:K,11,0)</f>
        <v>107</v>
      </c>
      <c r="D773">
        <f>VLOOKUP(B773,raw!A:K,3,0)+VLOOKUP(B773,raw!A:K,7,0)</f>
        <v>81</v>
      </c>
      <c r="E773">
        <f>VLOOKUP(B773,raw!A:K,4,0)</f>
        <v>3</v>
      </c>
      <c r="F773">
        <f>VLOOKUP(B773,raw!A:K,5,0)</f>
        <v>0</v>
      </c>
      <c r="G773">
        <f>VLOOKUP(B773,raw!A:K,2,0)+VLOOKUP(B773,raw!A:K,10,0)</f>
        <v>0</v>
      </c>
      <c r="H773">
        <f>VLOOKUP(B773,raw!A:K,6,0)</f>
        <v>0</v>
      </c>
      <c r="I773">
        <f>VLOOKUP(B773,raw!A:K,9,0)</f>
        <v>23</v>
      </c>
      <c r="J773">
        <f>VLOOKUP(B773,raw!A:K,8,0)</f>
        <v>0</v>
      </c>
      <c r="K773">
        <f>_xlfn.IFNA(VLOOKUP(B773,TDK!A:C,2,0),0)</f>
        <v>28</v>
      </c>
      <c r="L773">
        <f>_xlfn.IFNA(VLOOKUP(B773,TDK!A:C,3,0),0)</f>
        <v>1</v>
      </c>
      <c r="M773">
        <f>_xlfn.IFNA(VLOOKUP(B773,TDK!F:G,2,0),0)</f>
        <v>8</v>
      </c>
      <c r="N773">
        <f t="shared" si="12"/>
        <v>37</v>
      </c>
    </row>
    <row r="774" spans="1:14" x14ac:dyDescent="0.25">
      <c r="A774" t="s">
        <v>975</v>
      </c>
      <c r="B774" t="s">
        <v>1771</v>
      </c>
      <c r="C774">
        <f>VLOOKUP(B774,raw!A:K,11,0)</f>
        <v>124</v>
      </c>
      <c r="D774">
        <f>VLOOKUP(B774,raw!A:K,3,0)+VLOOKUP(B774,raw!A:K,7,0)</f>
        <v>104</v>
      </c>
      <c r="E774">
        <f>VLOOKUP(B774,raw!A:K,4,0)</f>
        <v>9</v>
      </c>
      <c r="F774">
        <f>VLOOKUP(B774,raw!A:K,5,0)</f>
        <v>0</v>
      </c>
      <c r="G774">
        <f>VLOOKUP(B774,raw!A:K,2,0)+VLOOKUP(B774,raw!A:K,10,0)</f>
        <v>7</v>
      </c>
      <c r="H774">
        <f>VLOOKUP(B774,raw!A:K,6,0)</f>
        <v>0</v>
      </c>
      <c r="I774">
        <f>VLOOKUP(B774,raw!A:K,9,0)</f>
        <v>4</v>
      </c>
      <c r="J774">
        <f>VLOOKUP(B774,raw!A:K,8,0)</f>
        <v>0</v>
      </c>
      <c r="K774">
        <f>_xlfn.IFNA(VLOOKUP(B774,TDK!A:C,2,0),0)</f>
        <v>23</v>
      </c>
      <c r="L774">
        <f>_xlfn.IFNA(VLOOKUP(B774,TDK!A:C,3,0),0)</f>
        <v>0</v>
      </c>
      <c r="M774">
        <f>_xlfn.IFNA(VLOOKUP(B774,TDK!F:G,2,0),0)</f>
        <v>7</v>
      </c>
      <c r="N774">
        <f t="shared" si="12"/>
        <v>30</v>
      </c>
    </row>
    <row r="775" spans="1:14" x14ac:dyDescent="0.25">
      <c r="A775" t="s">
        <v>975</v>
      </c>
      <c r="B775" t="s">
        <v>1772</v>
      </c>
      <c r="C775">
        <f>VLOOKUP(B775,raw!A:K,11,0)</f>
        <v>53</v>
      </c>
      <c r="D775">
        <f>VLOOKUP(B775,raw!A:K,3,0)+VLOOKUP(B775,raw!A:K,7,0)</f>
        <v>48</v>
      </c>
      <c r="E775">
        <f>VLOOKUP(B775,raw!A:K,4,0)</f>
        <v>5</v>
      </c>
      <c r="F775">
        <f>VLOOKUP(B775,raw!A:K,5,0)</f>
        <v>0</v>
      </c>
      <c r="G775">
        <f>VLOOKUP(B775,raw!A:K,2,0)+VLOOKUP(B775,raw!A:K,10,0)</f>
        <v>0</v>
      </c>
      <c r="H775">
        <f>VLOOKUP(B775,raw!A:K,6,0)</f>
        <v>0</v>
      </c>
      <c r="I775">
        <f>VLOOKUP(B775,raw!A:K,9,0)</f>
        <v>0</v>
      </c>
      <c r="J775">
        <f>VLOOKUP(B775,raw!A:K,8,0)</f>
        <v>0</v>
      </c>
      <c r="K775">
        <f>_xlfn.IFNA(VLOOKUP(B775,TDK!A:C,2,0),0)</f>
        <v>14</v>
      </c>
      <c r="L775">
        <f>_xlfn.IFNA(VLOOKUP(B775,TDK!A:C,3,0),0)</f>
        <v>1</v>
      </c>
      <c r="M775">
        <f>_xlfn.IFNA(VLOOKUP(B775,TDK!F:G,2,0),0)</f>
        <v>2</v>
      </c>
      <c r="N775">
        <f t="shared" si="12"/>
        <v>17</v>
      </c>
    </row>
    <row r="776" spans="1:14" x14ac:dyDescent="0.25">
      <c r="A776" t="s">
        <v>975</v>
      </c>
      <c r="B776" t="s">
        <v>1773</v>
      </c>
      <c r="C776">
        <f>VLOOKUP(B776,raw!A:K,11,0)</f>
        <v>56</v>
      </c>
      <c r="D776">
        <f>VLOOKUP(B776,raw!A:K,3,0)+VLOOKUP(B776,raw!A:K,7,0)</f>
        <v>52</v>
      </c>
      <c r="E776">
        <f>VLOOKUP(B776,raw!A:K,4,0)</f>
        <v>1</v>
      </c>
      <c r="F776">
        <f>VLOOKUP(B776,raw!A:K,5,0)</f>
        <v>0</v>
      </c>
      <c r="G776">
        <f>VLOOKUP(B776,raw!A:K,2,0)+VLOOKUP(B776,raw!A:K,10,0)</f>
        <v>0</v>
      </c>
      <c r="H776">
        <f>VLOOKUP(B776,raw!A:K,6,0)</f>
        <v>0</v>
      </c>
      <c r="I776">
        <f>VLOOKUP(B776,raw!A:K,9,0)</f>
        <v>3</v>
      </c>
      <c r="J776">
        <f>VLOOKUP(B776,raw!A:K,8,0)</f>
        <v>0</v>
      </c>
      <c r="K776">
        <f>_xlfn.IFNA(VLOOKUP(B776,TDK!A:C,2,0),0)</f>
        <v>19</v>
      </c>
      <c r="L776">
        <f>_xlfn.IFNA(VLOOKUP(B776,TDK!A:C,3,0),0)</f>
        <v>2</v>
      </c>
      <c r="M776">
        <f>_xlfn.IFNA(VLOOKUP(B776,TDK!F:G,2,0),0)</f>
        <v>0</v>
      </c>
      <c r="N776">
        <f t="shared" si="12"/>
        <v>21</v>
      </c>
    </row>
    <row r="777" spans="1:14" x14ac:dyDescent="0.25">
      <c r="A777" t="s">
        <v>975</v>
      </c>
      <c r="B777" t="s">
        <v>1774</v>
      </c>
      <c r="C777">
        <f>VLOOKUP(B777,raw!A:K,11,0)</f>
        <v>74</v>
      </c>
      <c r="D777">
        <f>VLOOKUP(B777,raw!A:K,3,0)+VLOOKUP(B777,raw!A:K,7,0)</f>
        <v>45</v>
      </c>
      <c r="E777">
        <f>VLOOKUP(B777,raw!A:K,4,0)</f>
        <v>2</v>
      </c>
      <c r="F777">
        <f>VLOOKUP(B777,raw!A:K,5,0)</f>
        <v>0</v>
      </c>
      <c r="G777">
        <f>VLOOKUP(B777,raw!A:K,2,0)+VLOOKUP(B777,raw!A:K,10,0)</f>
        <v>0</v>
      </c>
      <c r="H777">
        <f>VLOOKUP(B777,raw!A:K,6,0)</f>
        <v>0</v>
      </c>
      <c r="I777">
        <f>VLOOKUP(B777,raw!A:K,9,0)</f>
        <v>27</v>
      </c>
      <c r="J777">
        <f>VLOOKUP(B777,raw!A:K,8,0)</f>
        <v>0</v>
      </c>
      <c r="K777">
        <f>_xlfn.IFNA(VLOOKUP(B777,TDK!A:C,2,0),0)</f>
        <v>28</v>
      </c>
      <c r="L777">
        <f>_xlfn.IFNA(VLOOKUP(B777,TDK!A:C,3,0),0)</f>
        <v>0</v>
      </c>
      <c r="M777">
        <f>_xlfn.IFNA(VLOOKUP(B777,TDK!F:G,2,0),0)</f>
        <v>0</v>
      </c>
      <c r="N777">
        <f t="shared" si="12"/>
        <v>28</v>
      </c>
    </row>
    <row r="778" spans="1:14" x14ac:dyDescent="0.25">
      <c r="A778" t="s">
        <v>975</v>
      </c>
      <c r="B778" t="s">
        <v>1775</v>
      </c>
      <c r="C778">
        <f>VLOOKUP(B778,raw!A:K,11,0)</f>
        <v>49</v>
      </c>
      <c r="D778">
        <f>VLOOKUP(B778,raw!A:K,3,0)+VLOOKUP(B778,raw!A:K,7,0)</f>
        <v>45</v>
      </c>
      <c r="E778">
        <f>VLOOKUP(B778,raw!A:K,4,0)</f>
        <v>3</v>
      </c>
      <c r="F778">
        <f>VLOOKUP(B778,raw!A:K,5,0)</f>
        <v>0</v>
      </c>
      <c r="G778">
        <f>VLOOKUP(B778,raw!A:K,2,0)+VLOOKUP(B778,raw!A:K,10,0)</f>
        <v>0</v>
      </c>
      <c r="H778">
        <f>VLOOKUP(B778,raw!A:K,6,0)</f>
        <v>0</v>
      </c>
      <c r="I778">
        <f>VLOOKUP(B778,raw!A:K,9,0)</f>
        <v>1</v>
      </c>
      <c r="J778">
        <f>VLOOKUP(B778,raw!A:K,8,0)</f>
        <v>0</v>
      </c>
      <c r="K778">
        <f>_xlfn.IFNA(VLOOKUP(B778,TDK!A:C,2,0),0)</f>
        <v>22</v>
      </c>
      <c r="L778">
        <f>_xlfn.IFNA(VLOOKUP(B778,TDK!A:C,3,0),0)</f>
        <v>0</v>
      </c>
      <c r="M778">
        <f>_xlfn.IFNA(VLOOKUP(B778,TDK!F:G,2,0),0)</f>
        <v>3</v>
      </c>
      <c r="N778">
        <f t="shared" si="12"/>
        <v>25</v>
      </c>
    </row>
    <row r="779" spans="1:14" x14ac:dyDescent="0.25">
      <c r="A779" t="s">
        <v>975</v>
      </c>
      <c r="B779" t="s">
        <v>1776</v>
      </c>
      <c r="C779">
        <f>VLOOKUP(B779,raw!A:K,11,0)</f>
        <v>50</v>
      </c>
      <c r="D779">
        <f>VLOOKUP(B779,raw!A:K,3,0)+VLOOKUP(B779,raw!A:K,7,0)</f>
        <v>48</v>
      </c>
      <c r="E779">
        <f>VLOOKUP(B779,raw!A:K,4,0)</f>
        <v>0</v>
      </c>
      <c r="F779">
        <f>VLOOKUP(B779,raw!A:K,5,0)</f>
        <v>0</v>
      </c>
      <c r="G779">
        <f>VLOOKUP(B779,raw!A:K,2,0)+VLOOKUP(B779,raw!A:K,10,0)</f>
        <v>0</v>
      </c>
      <c r="H779">
        <f>VLOOKUP(B779,raw!A:K,6,0)</f>
        <v>0</v>
      </c>
      <c r="I779">
        <f>VLOOKUP(B779,raw!A:K,9,0)</f>
        <v>2</v>
      </c>
      <c r="J779">
        <f>VLOOKUP(B779,raw!A:K,8,0)</f>
        <v>0</v>
      </c>
      <c r="K779">
        <f>_xlfn.IFNA(VLOOKUP(B779,TDK!A:C,2,0),0)</f>
        <v>17</v>
      </c>
      <c r="L779">
        <f>_xlfn.IFNA(VLOOKUP(B779,TDK!A:C,3,0),0)</f>
        <v>0</v>
      </c>
      <c r="M779">
        <f>_xlfn.IFNA(VLOOKUP(B779,TDK!F:G,2,0),0)</f>
        <v>5</v>
      </c>
      <c r="N779">
        <f t="shared" si="12"/>
        <v>22</v>
      </c>
    </row>
    <row r="780" spans="1:14" x14ac:dyDescent="0.25">
      <c r="A780" t="s">
        <v>975</v>
      </c>
      <c r="B780" t="s">
        <v>1777</v>
      </c>
      <c r="C780">
        <f>VLOOKUP(B780,raw!A:K,11,0)</f>
        <v>41</v>
      </c>
      <c r="D780">
        <f>VLOOKUP(B780,raw!A:K,3,0)+VLOOKUP(B780,raw!A:K,7,0)</f>
        <v>38</v>
      </c>
      <c r="E780">
        <f>VLOOKUP(B780,raw!A:K,4,0)</f>
        <v>1</v>
      </c>
      <c r="F780">
        <f>VLOOKUP(B780,raw!A:K,5,0)</f>
        <v>0</v>
      </c>
      <c r="G780">
        <f>VLOOKUP(B780,raw!A:K,2,0)+VLOOKUP(B780,raw!A:K,10,0)</f>
        <v>1</v>
      </c>
      <c r="H780">
        <f>VLOOKUP(B780,raw!A:K,6,0)</f>
        <v>0</v>
      </c>
      <c r="I780">
        <f>VLOOKUP(B780,raw!A:K,9,0)</f>
        <v>1</v>
      </c>
      <c r="J780">
        <f>VLOOKUP(B780,raw!A:K,8,0)</f>
        <v>0</v>
      </c>
      <c r="K780">
        <f>_xlfn.IFNA(VLOOKUP(B780,TDK!A:C,2,0),0)</f>
        <v>15</v>
      </c>
      <c r="L780">
        <f>_xlfn.IFNA(VLOOKUP(B780,TDK!A:C,3,0),0)</f>
        <v>2</v>
      </c>
      <c r="M780">
        <f>_xlfn.IFNA(VLOOKUP(B780,TDK!F:G,2,0),0)</f>
        <v>0</v>
      </c>
      <c r="N780">
        <f t="shared" si="12"/>
        <v>17</v>
      </c>
    </row>
    <row r="781" spans="1:14" x14ac:dyDescent="0.25">
      <c r="A781" t="s">
        <v>108</v>
      </c>
      <c r="B781" t="s">
        <v>1778</v>
      </c>
      <c r="C781">
        <f>VLOOKUP(B781,raw!A:K,11,0)</f>
        <v>89</v>
      </c>
      <c r="D781">
        <f>VLOOKUP(B781,raw!A:K,3,0)+VLOOKUP(B781,raw!A:K,7,0)</f>
        <v>66</v>
      </c>
      <c r="E781">
        <f>VLOOKUP(B781,raw!A:K,4,0)</f>
        <v>7</v>
      </c>
      <c r="F781">
        <f>VLOOKUP(B781,raw!A:K,5,0)</f>
        <v>0</v>
      </c>
      <c r="G781">
        <f>VLOOKUP(B781,raw!A:K,2,0)+VLOOKUP(B781,raw!A:K,10,0)</f>
        <v>0</v>
      </c>
      <c r="H781">
        <f>VLOOKUP(B781,raw!A:K,6,0)</f>
        <v>0</v>
      </c>
      <c r="I781">
        <f>VLOOKUP(B781,raw!A:K,9,0)</f>
        <v>16</v>
      </c>
      <c r="J781">
        <f>VLOOKUP(B781,raw!A:K,8,0)</f>
        <v>0</v>
      </c>
      <c r="K781">
        <f>_xlfn.IFNA(VLOOKUP(B781,TDK!A:C,2,0),0)</f>
        <v>14</v>
      </c>
      <c r="L781">
        <f>_xlfn.IFNA(VLOOKUP(B781,TDK!A:C,3,0),0)</f>
        <v>0</v>
      </c>
      <c r="M781">
        <f>_xlfn.IFNA(VLOOKUP(B781,TDK!F:G,2,0),0)</f>
        <v>7</v>
      </c>
      <c r="N781">
        <f t="shared" si="12"/>
        <v>21</v>
      </c>
    </row>
    <row r="782" spans="1:14" x14ac:dyDescent="0.25">
      <c r="A782" t="s">
        <v>975</v>
      </c>
      <c r="B782" t="s">
        <v>1779</v>
      </c>
      <c r="C782">
        <f>VLOOKUP(B782,raw!A:K,11,0)</f>
        <v>48</v>
      </c>
      <c r="D782">
        <f>VLOOKUP(B782,raw!A:K,3,0)+VLOOKUP(B782,raw!A:K,7,0)</f>
        <v>47</v>
      </c>
      <c r="E782">
        <f>VLOOKUP(B782,raw!A:K,4,0)</f>
        <v>1</v>
      </c>
      <c r="F782">
        <f>VLOOKUP(B782,raw!A:K,5,0)</f>
        <v>0</v>
      </c>
      <c r="G782">
        <f>VLOOKUP(B782,raw!A:K,2,0)+VLOOKUP(B782,raw!A:K,10,0)</f>
        <v>0</v>
      </c>
      <c r="H782">
        <f>VLOOKUP(B782,raw!A:K,6,0)</f>
        <v>0</v>
      </c>
      <c r="I782">
        <f>VLOOKUP(B782,raw!A:K,9,0)</f>
        <v>0</v>
      </c>
      <c r="J782">
        <f>VLOOKUP(B782,raw!A:K,8,0)</f>
        <v>0</v>
      </c>
      <c r="K782">
        <f>_xlfn.IFNA(VLOOKUP(B782,TDK!A:C,2,0),0)</f>
        <v>9</v>
      </c>
      <c r="L782">
        <f>_xlfn.IFNA(VLOOKUP(B782,TDK!A:C,3,0),0)</f>
        <v>0</v>
      </c>
      <c r="M782">
        <f>_xlfn.IFNA(VLOOKUP(B782,TDK!F:G,2,0),0)</f>
        <v>0</v>
      </c>
      <c r="N782">
        <f t="shared" si="12"/>
        <v>9</v>
      </c>
    </row>
    <row r="783" spans="1:14" x14ac:dyDescent="0.25">
      <c r="A783" t="s">
        <v>108</v>
      </c>
      <c r="B783" t="s">
        <v>1780</v>
      </c>
      <c r="C783">
        <f>VLOOKUP(B783,raw!A:K,11,0)</f>
        <v>72</v>
      </c>
      <c r="D783">
        <f>VLOOKUP(B783,raw!A:K,3,0)+VLOOKUP(B783,raw!A:K,7,0)</f>
        <v>30</v>
      </c>
      <c r="E783">
        <f>VLOOKUP(B783,raw!A:K,4,0)</f>
        <v>2</v>
      </c>
      <c r="F783">
        <f>VLOOKUP(B783,raw!A:K,5,0)</f>
        <v>0</v>
      </c>
      <c r="G783">
        <f>VLOOKUP(B783,raw!A:K,2,0)+VLOOKUP(B783,raw!A:K,10,0)</f>
        <v>0</v>
      </c>
      <c r="H783">
        <f>VLOOKUP(B783,raw!A:K,6,0)</f>
        <v>1</v>
      </c>
      <c r="I783">
        <f>VLOOKUP(B783,raw!A:K,9,0)</f>
        <v>39</v>
      </c>
      <c r="J783">
        <f>VLOOKUP(B783,raw!A:K,8,0)</f>
        <v>0</v>
      </c>
      <c r="K783">
        <f>_xlfn.IFNA(VLOOKUP(B783,TDK!A:C,2,0),0)</f>
        <v>20</v>
      </c>
      <c r="L783">
        <f>_xlfn.IFNA(VLOOKUP(B783,TDK!A:C,3,0),0)</f>
        <v>0</v>
      </c>
      <c r="M783">
        <f>_xlfn.IFNA(VLOOKUP(B783,TDK!F:G,2,0),0)</f>
        <v>1</v>
      </c>
      <c r="N783">
        <f t="shared" si="12"/>
        <v>21</v>
      </c>
    </row>
    <row r="784" spans="1:14" x14ac:dyDescent="0.25">
      <c r="A784" t="s">
        <v>108</v>
      </c>
      <c r="B784" t="s">
        <v>1781</v>
      </c>
      <c r="C784">
        <f>VLOOKUP(B784,raw!A:K,11,0)</f>
        <v>144</v>
      </c>
      <c r="D784">
        <f>VLOOKUP(B784,raw!A:K,3,0)+VLOOKUP(B784,raw!A:K,7,0)</f>
        <v>18</v>
      </c>
      <c r="E784">
        <f>VLOOKUP(B784,raw!A:K,4,0)</f>
        <v>2</v>
      </c>
      <c r="F784">
        <f>VLOOKUP(B784,raw!A:K,5,0)</f>
        <v>0</v>
      </c>
      <c r="G784">
        <f>VLOOKUP(B784,raw!A:K,2,0)+VLOOKUP(B784,raw!A:K,10,0)</f>
        <v>0</v>
      </c>
      <c r="H784">
        <f>VLOOKUP(B784,raw!A:K,6,0)</f>
        <v>0</v>
      </c>
      <c r="I784">
        <f>VLOOKUP(B784,raw!A:K,9,0)</f>
        <v>124</v>
      </c>
      <c r="J784">
        <f>VLOOKUP(B784,raw!A:K,8,0)</f>
        <v>0</v>
      </c>
      <c r="K784">
        <f>_xlfn.IFNA(VLOOKUP(B784,TDK!A:C,2,0),0)</f>
        <v>25</v>
      </c>
      <c r="L784">
        <f>_xlfn.IFNA(VLOOKUP(B784,TDK!A:C,3,0),0)</f>
        <v>0</v>
      </c>
      <c r="M784">
        <f>_xlfn.IFNA(VLOOKUP(B784,TDK!F:G,2,0),0)</f>
        <v>13</v>
      </c>
      <c r="N784">
        <f t="shared" si="12"/>
        <v>38</v>
      </c>
    </row>
    <row r="785" spans="1:14" x14ac:dyDescent="0.25">
      <c r="A785" t="s">
        <v>108</v>
      </c>
      <c r="B785" t="s">
        <v>1782</v>
      </c>
      <c r="C785">
        <f>VLOOKUP(B785,raw!A:K,11,0)</f>
        <v>143</v>
      </c>
      <c r="D785">
        <f>VLOOKUP(B785,raw!A:K,3,0)+VLOOKUP(B785,raw!A:K,7,0)</f>
        <v>62</v>
      </c>
      <c r="E785">
        <f>VLOOKUP(B785,raw!A:K,4,0)</f>
        <v>4</v>
      </c>
      <c r="F785">
        <f>VLOOKUP(B785,raw!A:K,5,0)</f>
        <v>0</v>
      </c>
      <c r="G785">
        <f>VLOOKUP(B785,raw!A:K,2,0)+VLOOKUP(B785,raw!A:K,10,0)</f>
        <v>0</v>
      </c>
      <c r="H785">
        <f>VLOOKUP(B785,raw!A:K,6,0)</f>
        <v>0</v>
      </c>
      <c r="I785">
        <f>VLOOKUP(B785,raw!A:K,9,0)</f>
        <v>77</v>
      </c>
      <c r="J785">
        <f>VLOOKUP(B785,raw!A:K,8,0)</f>
        <v>0</v>
      </c>
      <c r="K785">
        <f>_xlfn.IFNA(VLOOKUP(B785,TDK!A:C,2,0),0)</f>
        <v>38</v>
      </c>
      <c r="L785">
        <f>_xlfn.IFNA(VLOOKUP(B785,TDK!A:C,3,0),0)</f>
        <v>1</v>
      </c>
      <c r="M785">
        <f>_xlfn.IFNA(VLOOKUP(B785,TDK!F:G,2,0),0)</f>
        <v>11</v>
      </c>
      <c r="N785">
        <f t="shared" si="12"/>
        <v>50</v>
      </c>
    </row>
    <row r="786" spans="1:14" x14ac:dyDescent="0.25">
      <c r="A786" t="s">
        <v>108</v>
      </c>
      <c r="B786" t="s">
        <v>1783</v>
      </c>
      <c r="C786">
        <f>VLOOKUP(B786,raw!A:K,11,0)</f>
        <v>159</v>
      </c>
      <c r="D786">
        <f>VLOOKUP(B786,raw!A:K,3,0)+VLOOKUP(B786,raw!A:K,7,0)</f>
        <v>74</v>
      </c>
      <c r="E786">
        <f>VLOOKUP(B786,raw!A:K,4,0)</f>
        <v>6</v>
      </c>
      <c r="F786">
        <f>VLOOKUP(B786,raw!A:K,5,0)</f>
        <v>0</v>
      </c>
      <c r="G786">
        <f>VLOOKUP(B786,raw!A:K,2,0)+VLOOKUP(B786,raw!A:K,10,0)</f>
        <v>0</v>
      </c>
      <c r="H786">
        <f>VLOOKUP(B786,raw!A:K,6,0)</f>
        <v>0</v>
      </c>
      <c r="I786">
        <f>VLOOKUP(B786,raw!A:K,9,0)</f>
        <v>79</v>
      </c>
      <c r="J786">
        <f>VLOOKUP(B786,raw!A:K,8,0)</f>
        <v>0</v>
      </c>
      <c r="K786">
        <f>_xlfn.IFNA(VLOOKUP(B786,TDK!A:C,2,0),0)</f>
        <v>44</v>
      </c>
      <c r="L786">
        <f>_xlfn.IFNA(VLOOKUP(B786,TDK!A:C,3,0),0)</f>
        <v>0</v>
      </c>
      <c r="M786">
        <f>_xlfn.IFNA(VLOOKUP(B786,TDK!F:G,2,0),0)</f>
        <v>10</v>
      </c>
      <c r="N786">
        <f t="shared" si="12"/>
        <v>54</v>
      </c>
    </row>
    <row r="787" spans="1:14" x14ac:dyDescent="0.25">
      <c r="A787" t="s">
        <v>108</v>
      </c>
      <c r="B787" t="s">
        <v>1784</v>
      </c>
      <c r="C787">
        <f>VLOOKUP(B787,raw!A:K,11,0)</f>
        <v>127</v>
      </c>
      <c r="D787">
        <f>VLOOKUP(B787,raw!A:K,3,0)+VLOOKUP(B787,raw!A:K,7,0)</f>
        <v>55</v>
      </c>
      <c r="E787">
        <f>VLOOKUP(B787,raw!A:K,4,0)</f>
        <v>6</v>
      </c>
      <c r="F787">
        <f>VLOOKUP(B787,raw!A:K,5,0)</f>
        <v>0</v>
      </c>
      <c r="G787">
        <f>VLOOKUP(B787,raw!A:K,2,0)+VLOOKUP(B787,raw!A:K,10,0)</f>
        <v>0</v>
      </c>
      <c r="H787">
        <f>VLOOKUP(B787,raw!A:K,6,0)</f>
        <v>0</v>
      </c>
      <c r="I787">
        <f>VLOOKUP(B787,raw!A:K,9,0)</f>
        <v>66</v>
      </c>
      <c r="J787">
        <f>VLOOKUP(B787,raw!A:K,8,0)</f>
        <v>0</v>
      </c>
      <c r="K787">
        <f>_xlfn.IFNA(VLOOKUP(B787,TDK!A:C,2,0),0)</f>
        <v>68</v>
      </c>
      <c r="L787">
        <f>_xlfn.IFNA(VLOOKUP(B787,TDK!A:C,3,0),0)</f>
        <v>1</v>
      </c>
      <c r="M787">
        <f>_xlfn.IFNA(VLOOKUP(B787,TDK!F:G,2,0),0)</f>
        <v>0</v>
      </c>
      <c r="N787">
        <f t="shared" si="12"/>
        <v>69</v>
      </c>
    </row>
    <row r="788" spans="1:14" x14ac:dyDescent="0.25">
      <c r="A788" t="s">
        <v>108</v>
      </c>
      <c r="B788" t="s">
        <v>1785</v>
      </c>
      <c r="C788">
        <f>VLOOKUP(B788,raw!A:K,11,0)</f>
        <v>154</v>
      </c>
      <c r="D788">
        <f>VLOOKUP(B788,raw!A:K,3,0)+VLOOKUP(B788,raw!A:K,7,0)</f>
        <v>89</v>
      </c>
      <c r="E788">
        <f>VLOOKUP(B788,raw!A:K,4,0)</f>
        <v>5</v>
      </c>
      <c r="F788">
        <f>VLOOKUP(B788,raw!A:K,5,0)</f>
        <v>0</v>
      </c>
      <c r="G788">
        <f>VLOOKUP(B788,raw!A:K,2,0)+VLOOKUP(B788,raw!A:K,10,0)</f>
        <v>0</v>
      </c>
      <c r="H788">
        <f>VLOOKUP(B788,raw!A:K,6,0)</f>
        <v>0</v>
      </c>
      <c r="I788">
        <f>VLOOKUP(B788,raw!A:K,9,0)</f>
        <v>60</v>
      </c>
      <c r="J788">
        <f>VLOOKUP(B788,raw!A:K,8,0)</f>
        <v>0</v>
      </c>
      <c r="K788">
        <f>_xlfn.IFNA(VLOOKUP(B788,TDK!A:C,2,0),0)</f>
        <v>27</v>
      </c>
      <c r="L788">
        <f>_xlfn.IFNA(VLOOKUP(B788,TDK!A:C,3,0),0)</f>
        <v>0</v>
      </c>
      <c r="M788">
        <f>_xlfn.IFNA(VLOOKUP(B788,TDK!F:G,2,0),0)</f>
        <v>13</v>
      </c>
      <c r="N788">
        <f t="shared" si="12"/>
        <v>40</v>
      </c>
    </row>
    <row r="789" spans="1:14" x14ac:dyDescent="0.25">
      <c r="A789" t="s">
        <v>109</v>
      </c>
      <c r="B789" t="s">
        <v>1786</v>
      </c>
      <c r="C789">
        <f>VLOOKUP(B789,raw!A:K,11,0)</f>
        <v>36</v>
      </c>
      <c r="D789">
        <f>VLOOKUP(B789,raw!A:K,3,0)+VLOOKUP(B789,raw!A:K,7,0)</f>
        <v>33</v>
      </c>
      <c r="E789">
        <f>VLOOKUP(B789,raw!A:K,4,0)</f>
        <v>0</v>
      </c>
      <c r="F789">
        <f>VLOOKUP(B789,raw!A:K,5,0)</f>
        <v>0</v>
      </c>
      <c r="G789">
        <f>VLOOKUP(B789,raw!A:K,2,0)+VLOOKUP(B789,raw!A:K,10,0)</f>
        <v>0</v>
      </c>
      <c r="H789">
        <f>VLOOKUP(B789,raw!A:K,6,0)</f>
        <v>0</v>
      </c>
      <c r="I789">
        <f>VLOOKUP(B789,raw!A:K,9,0)</f>
        <v>3</v>
      </c>
      <c r="J789">
        <f>VLOOKUP(B789,raw!A:K,8,0)</f>
        <v>0</v>
      </c>
      <c r="K789">
        <f>_xlfn.IFNA(VLOOKUP(B789,TDK!A:C,2,0),0)</f>
        <v>10</v>
      </c>
      <c r="L789">
        <f>_xlfn.IFNA(VLOOKUP(B789,TDK!A:C,3,0),0)</f>
        <v>1</v>
      </c>
      <c r="M789">
        <f>_xlfn.IFNA(VLOOKUP(B789,TDK!F:G,2,0),0)</f>
        <v>8</v>
      </c>
      <c r="N789">
        <f t="shared" si="12"/>
        <v>19</v>
      </c>
    </row>
    <row r="790" spans="1:14" x14ac:dyDescent="0.25">
      <c r="A790" t="s">
        <v>109</v>
      </c>
      <c r="B790" t="s">
        <v>1787</v>
      </c>
      <c r="C790">
        <f>VLOOKUP(B790,raw!A:K,11,0)</f>
        <v>45</v>
      </c>
      <c r="D790">
        <f>VLOOKUP(B790,raw!A:K,3,0)+VLOOKUP(B790,raw!A:K,7,0)</f>
        <v>45</v>
      </c>
      <c r="E790">
        <f>VLOOKUP(B790,raw!A:K,4,0)</f>
        <v>0</v>
      </c>
      <c r="F790">
        <f>VLOOKUP(B790,raw!A:K,5,0)</f>
        <v>0</v>
      </c>
      <c r="G790">
        <f>VLOOKUP(B790,raw!A:K,2,0)+VLOOKUP(B790,raw!A:K,10,0)</f>
        <v>0</v>
      </c>
      <c r="H790">
        <f>VLOOKUP(B790,raw!A:K,6,0)</f>
        <v>0</v>
      </c>
      <c r="I790">
        <f>VLOOKUP(B790,raw!A:K,9,0)</f>
        <v>0</v>
      </c>
      <c r="J790">
        <f>VLOOKUP(B790,raw!A:K,8,0)</f>
        <v>0</v>
      </c>
      <c r="K790">
        <f>_xlfn.IFNA(VLOOKUP(B790,TDK!A:C,2,0),0)</f>
        <v>9</v>
      </c>
      <c r="L790">
        <f>_xlfn.IFNA(VLOOKUP(B790,TDK!A:C,3,0),0)</f>
        <v>1</v>
      </c>
      <c r="M790">
        <f>_xlfn.IFNA(VLOOKUP(B790,TDK!F:G,2,0),0)</f>
        <v>2</v>
      </c>
      <c r="N790">
        <f t="shared" si="12"/>
        <v>12</v>
      </c>
    </row>
    <row r="791" spans="1:14" x14ac:dyDescent="0.25">
      <c r="A791" t="s">
        <v>109</v>
      </c>
      <c r="B791" t="s">
        <v>1788</v>
      </c>
      <c r="C791">
        <f>VLOOKUP(B791,raw!A:K,11,0)</f>
        <v>43</v>
      </c>
      <c r="D791">
        <f>VLOOKUP(B791,raw!A:K,3,0)+VLOOKUP(B791,raw!A:K,7,0)</f>
        <v>41</v>
      </c>
      <c r="E791">
        <f>VLOOKUP(B791,raw!A:K,4,0)</f>
        <v>0</v>
      </c>
      <c r="F791">
        <f>VLOOKUP(B791,raw!A:K,5,0)</f>
        <v>0</v>
      </c>
      <c r="G791">
        <f>VLOOKUP(B791,raw!A:K,2,0)+VLOOKUP(B791,raw!A:K,10,0)</f>
        <v>0</v>
      </c>
      <c r="H791">
        <f>VLOOKUP(B791,raw!A:K,6,0)</f>
        <v>0</v>
      </c>
      <c r="I791">
        <f>VLOOKUP(B791,raw!A:K,9,0)</f>
        <v>2</v>
      </c>
      <c r="J791">
        <f>VLOOKUP(B791,raw!A:K,8,0)</f>
        <v>0</v>
      </c>
      <c r="K791">
        <f>_xlfn.IFNA(VLOOKUP(B791,TDK!A:C,2,0),0)</f>
        <v>14</v>
      </c>
      <c r="L791">
        <f>_xlfn.IFNA(VLOOKUP(B791,TDK!A:C,3,0),0)</f>
        <v>0</v>
      </c>
      <c r="M791">
        <f>_xlfn.IFNA(VLOOKUP(B791,TDK!F:G,2,0),0)</f>
        <v>6</v>
      </c>
      <c r="N791">
        <f t="shared" si="12"/>
        <v>20</v>
      </c>
    </row>
    <row r="792" spans="1:14" x14ac:dyDescent="0.25">
      <c r="A792" t="s">
        <v>109</v>
      </c>
      <c r="B792" t="s">
        <v>1789</v>
      </c>
      <c r="C792">
        <f>VLOOKUP(B792,raw!A:K,11,0)</f>
        <v>53</v>
      </c>
      <c r="D792">
        <f>VLOOKUP(B792,raw!A:K,3,0)+VLOOKUP(B792,raw!A:K,7,0)</f>
        <v>51</v>
      </c>
      <c r="E792">
        <f>VLOOKUP(B792,raw!A:K,4,0)</f>
        <v>0</v>
      </c>
      <c r="F792">
        <f>VLOOKUP(B792,raw!A:K,5,0)</f>
        <v>0</v>
      </c>
      <c r="G792">
        <f>VLOOKUP(B792,raw!A:K,2,0)+VLOOKUP(B792,raw!A:K,10,0)</f>
        <v>0</v>
      </c>
      <c r="H792">
        <f>VLOOKUP(B792,raw!A:K,6,0)</f>
        <v>0</v>
      </c>
      <c r="I792">
        <f>VLOOKUP(B792,raw!A:K,9,0)</f>
        <v>2</v>
      </c>
      <c r="J792">
        <f>VLOOKUP(B792,raw!A:K,8,0)</f>
        <v>0</v>
      </c>
      <c r="K792">
        <f>_xlfn.IFNA(VLOOKUP(B792,TDK!A:C,2,0),0)</f>
        <v>14</v>
      </c>
      <c r="L792">
        <f>_xlfn.IFNA(VLOOKUP(B792,TDK!A:C,3,0),0)</f>
        <v>1</v>
      </c>
      <c r="M792">
        <f>_xlfn.IFNA(VLOOKUP(B792,TDK!F:G,2,0),0)</f>
        <v>7</v>
      </c>
      <c r="N792">
        <f t="shared" si="12"/>
        <v>22</v>
      </c>
    </row>
    <row r="793" spans="1:14" x14ac:dyDescent="0.25">
      <c r="A793" t="s">
        <v>109</v>
      </c>
      <c r="B793" t="s">
        <v>1790</v>
      </c>
      <c r="C793">
        <f>VLOOKUP(B793,raw!A:K,11,0)</f>
        <v>53</v>
      </c>
      <c r="D793">
        <f>VLOOKUP(B793,raw!A:K,3,0)+VLOOKUP(B793,raw!A:K,7,0)</f>
        <v>48</v>
      </c>
      <c r="E793">
        <f>VLOOKUP(B793,raw!A:K,4,0)</f>
        <v>0</v>
      </c>
      <c r="F793">
        <f>VLOOKUP(B793,raw!A:K,5,0)</f>
        <v>0</v>
      </c>
      <c r="G793">
        <f>VLOOKUP(B793,raw!A:K,2,0)+VLOOKUP(B793,raw!A:K,10,0)</f>
        <v>3</v>
      </c>
      <c r="H793">
        <f>VLOOKUP(B793,raw!A:K,6,0)</f>
        <v>0</v>
      </c>
      <c r="I793">
        <f>VLOOKUP(B793,raw!A:K,9,0)</f>
        <v>2</v>
      </c>
      <c r="J793">
        <f>VLOOKUP(B793,raw!A:K,8,0)</f>
        <v>0</v>
      </c>
      <c r="K793">
        <f>_xlfn.IFNA(VLOOKUP(B793,TDK!A:C,2,0),0)</f>
        <v>14</v>
      </c>
      <c r="L793">
        <f>_xlfn.IFNA(VLOOKUP(B793,TDK!A:C,3,0),0)</f>
        <v>3</v>
      </c>
      <c r="M793">
        <f>_xlfn.IFNA(VLOOKUP(B793,TDK!F:G,2,0),0)</f>
        <v>7</v>
      </c>
      <c r="N793">
        <f t="shared" si="12"/>
        <v>24</v>
      </c>
    </row>
    <row r="794" spans="1:14" x14ac:dyDescent="0.25">
      <c r="A794" t="s">
        <v>109</v>
      </c>
      <c r="B794" t="s">
        <v>1791</v>
      </c>
      <c r="C794">
        <f>VLOOKUP(B794,raw!A:K,11,0)</f>
        <v>52</v>
      </c>
      <c r="D794">
        <f>VLOOKUP(B794,raw!A:K,3,0)+VLOOKUP(B794,raw!A:K,7,0)</f>
        <v>45</v>
      </c>
      <c r="E794">
        <f>VLOOKUP(B794,raw!A:K,4,0)</f>
        <v>1</v>
      </c>
      <c r="F794">
        <f>VLOOKUP(B794,raw!A:K,5,0)</f>
        <v>0</v>
      </c>
      <c r="G794">
        <f>VLOOKUP(B794,raw!A:K,2,0)+VLOOKUP(B794,raw!A:K,10,0)</f>
        <v>4</v>
      </c>
      <c r="H794">
        <f>VLOOKUP(B794,raw!A:K,6,0)</f>
        <v>0</v>
      </c>
      <c r="I794">
        <f>VLOOKUP(B794,raw!A:K,9,0)</f>
        <v>2</v>
      </c>
      <c r="J794">
        <f>VLOOKUP(B794,raw!A:K,8,0)</f>
        <v>0</v>
      </c>
      <c r="K794">
        <f>_xlfn.IFNA(VLOOKUP(B794,TDK!A:C,2,0),0)</f>
        <v>21</v>
      </c>
      <c r="L794">
        <f>_xlfn.IFNA(VLOOKUP(B794,TDK!A:C,3,0),0)</f>
        <v>0</v>
      </c>
      <c r="M794">
        <f>_xlfn.IFNA(VLOOKUP(B794,TDK!F:G,2,0),0)</f>
        <v>4</v>
      </c>
      <c r="N794">
        <f t="shared" si="12"/>
        <v>25</v>
      </c>
    </row>
    <row r="795" spans="1:14" x14ac:dyDescent="0.25">
      <c r="A795" t="s">
        <v>109</v>
      </c>
      <c r="B795" t="s">
        <v>1792</v>
      </c>
      <c r="C795">
        <f>VLOOKUP(B795,raw!A:K,11,0)</f>
        <v>109</v>
      </c>
      <c r="D795">
        <f>VLOOKUP(B795,raw!A:K,3,0)+VLOOKUP(B795,raw!A:K,7,0)</f>
        <v>93</v>
      </c>
      <c r="E795">
        <f>VLOOKUP(B795,raw!A:K,4,0)</f>
        <v>0</v>
      </c>
      <c r="F795">
        <f>VLOOKUP(B795,raw!A:K,5,0)</f>
        <v>0</v>
      </c>
      <c r="G795">
        <f>VLOOKUP(B795,raw!A:K,2,0)+VLOOKUP(B795,raw!A:K,10,0)</f>
        <v>4</v>
      </c>
      <c r="H795">
        <f>VLOOKUP(B795,raw!A:K,6,0)</f>
        <v>0</v>
      </c>
      <c r="I795">
        <f>VLOOKUP(B795,raw!A:K,9,0)</f>
        <v>12</v>
      </c>
      <c r="J795">
        <f>VLOOKUP(B795,raw!A:K,8,0)</f>
        <v>0</v>
      </c>
      <c r="K795">
        <f>_xlfn.IFNA(VLOOKUP(B795,TDK!A:C,2,0),0)</f>
        <v>21</v>
      </c>
      <c r="L795">
        <f>_xlfn.IFNA(VLOOKUP(B795,TDK!A:C,3,0),0)</f>
        <v>2</v>
      </c>
      <c r="M795">
        <f>_xlfn.IFNA(VLOOKUP(B795,TDK!F:G,2,0),0)</f>
        <v>19</v>
      </c>
      <c r="N795">
        <f t="shared" si="12"/>
        <v>42</v>
      </c>
    </row>
    <row r="796" spans="1:14" x14ac:dyDescent="0.25">
      <c r="A796" t="s">
        <v>109</v>
      </c>
      <c r="B796" t="s">
        <v>1793</v>
      </c>
      <c r="C796">
        <f>VLOOKUP(B796,raw!A:K,11,0)</f>
        <v>61</v>
      </c>
      <c r="D796">
        <f>VLOOKUP(B796,raw!A:K,3,0)+VLOOKUP(B796,raw!A:K,7,0)</f>
        <v>56</v>
      </c>
      <c r="E796">
        <f>VLOOKUP(B796,raw!A:K,4,0)</f>
        <v>0</v>
      </c>
      <c r="F796">
        <f>VLOOKUP(B796,raw!A:K,5,0)</f>
        <v>0</v>
      </c>
      <c r="G796">
        <f>VLOOKUP(B796,raw!A:K,2,0)+VLOOKUP(B796,raw!A:K,10,0)</f>
        <v>2</v>
      </c>
      <c r="H796">
        <f>VLOOKUP(B796,raw!A:K,6,0)</f>
        <v>0</v>
      </c>
      <c r="I796">
        <f>VLOOKUP(B796,raw!A:K,9,0)</f>
        <v>3</v>
      </c>
      <c r="J796">
        <f>VLOOKUP(B796,raw!A:K,8,0)</f>
        <v>0</v>
      </c>
      <c r="K796">
        <f>_xlfn.IFNA(VLOOKUP(B796,TDK!A:C,2,0),0)</f>
        <v>12</v>
      </c>
      <c r="L796">
        <f>_xlfn.IFNA(VLOOKUP(B796,TDK!A:C,3,0),0)</f>
        <v>1</v>
      </c>
      <c r="M796">
        <f>_xlfn.IFNA(VLOOKUP(B796,TDK!F:G,2,0),0)</f>
        <v>8</v>
      </c>
      <c r="N796">
        <f t="shared" si="12"/>
        <v>21</v>
      </c>
    </row>
    <row r="797" spans="1:14" x14ac:dyDescent="0.25">
      <c r="A797" t="s">
        <v>109</v>
      </c>
      <c r="B797" t="s">
        <v>1794</v>
      </c>
      <c r="C797">
        <f>VLOOKUP(B797,raw!A:K,11,0)</f>
        <v>32</v>
      </c>
      <c r="D797">
        <f>VLOOKUP(B797,raw!A:K,3,0)+VLOOKUP(B797,raw!A:K,7,0)</f>
        <v>32</v>
      </c>
      <c r="E797">
        <f>VLOOKUP(B797,raw!A:K,4,0)</f>
        <v>0</v>
      </c>
      <c r="F797">
        <f>VLOOKUP(B797,raw!A:K,5,0)</f>
        <v>0</v>
      </c>
      <c r="G797">
        <f>VLOOKUP(B797,raw!A:K,2,0)+VLOOKUP(B797,raw!A:K,10,0)</f>
        <v>0</v>
      </c>
      <c r="H797">
        <f>VLOOKUP(B797,raw!A:K,6,0)</f>
        <v>0</v>
      </c>
      <c r="I797">
        <f>VLOOKUP(B797,raw!A:K,9,0)</f>
        <v>0</v>
      </c>
      <c r="J797">
        <f>VLOOKUP(B797,raw!A:K,8,0)</f>
        <v>0</v>
      </c>
      <c r="K797">
        <f>_xlfn.IFNA(VLOOKUP(B797,TDK!A:C,2,0),0)</f>
        <v>6</v>
      </c>
      <c r="L797">
        <f>_xlfn.IFNA(VLOOKUP(B797,TDK!A:C,3,0),0)</f>
        <v>1</v>
      </c>
      <c r="M797">
        <f>_xlfn.IFNA(VLOOKUP(B797,TDK!F:G,2,0),0)</f>
        <v>3</v>
      </c>
      <c r="N797">
        <f t="shared" si="12"/>
        <v>10</v>
      </c>
    </row>
    <row r="798" spans="1:14" x14ac:dyDescent="0.25">
      <c r="A798" t="s">
        <v>109</v>
      </c>
      <c r="B798" t="s">
        <v>1795</v>
      </c>
      <c r="C798">
        <f>VLOOKUP(B798,raw!A:K,11,0)</f>
        <v>41</v>
      </c>
      <c r="D798">
        <f>VLOOKUP(B798,raw!A:K,3,0)+VLOOKUP(B798,raw!A:K,7,0)</f>
        <v>38</v>
      </c>
      <c r="E798">
        <f>VLOOKUP(B798,raw!A:K,4,0)</f>
        <v>0</v>
      </c>
      <c r="F798">
        <f>VLOOKUP(B798,raw!A:K,5,0)</f>
        <v>0</v>
      </c>
      <c r="G798">
        <f>VLOOKUP(B798,raw!A:K,2,0)+VLOOKUP(B798,raw!A:K,10,0)</f>
        <v>1</v>
      </c>
      <c r="H798">
        <f>VLOOKUP(B798,raw!A:K,6,0)</f>
        <v>0</v>
      </c>
      <c r="I798">
        <f>VLOOKUP(B798,raw!A:K,9,0)</f>
        <v>2</v>
      </c>
      <c r="J798">
        <f>VLOOKUP(B798,raw!A:K,8,0)</f>
        <v>0</v>
      </c>
      <c r="K798">
        <f>_xlfn.IFNA(VLOOKUP(B798,TDK!A:C,2,0),0)</f>
        <v>15</v>
      </c>
      <c r="L798">
        <f>_xlfn.IFNA(VLOOKUP(B798,TDK!A:C,3,0),0)</f>
        <v>1</v>
      </c>
      <c r="M798">
        <f>_xlfn.IFNA(VLOOKUP(B798,TDK!F:G,2,0),0)</f>
        <v>2</v>
      </c>
      <c r="N798">
        <f t="shared" si="12"/>
        <v>18</v>
      </c>
    </row>
    <row r="799" spans="1:14" x14ac:dyDescent="0.25">
      <c r="A799" t="s">
        <v>109</v>
      </c>
      <c r="B799" t="s">
        <v>1796</v>
      </c>
      <c r="C799">
        <f>VLOOKUP(B799,raw!A:K,11,0)</f>
        <v>78</v>
      </c>
      <c r="D799">
        <f>VLOOKUP(B799,raw!A:K,3,0)+VLOOKUP(B799,raw!A:K,7,0)</f>
        <v>57</v>
      </c>
      <c r="E799">
        <f>VLOOKUP(B799,raw!A:K,4,0)</f>
        <v>0</v>
      </c>
      <c r="F799">
        <f>VLOOKUP(B799,raw!A:K,5,0)</f>
        <v>0</v>
      </c>
      <c r="G799">
        <f>VLOOKUP(B799,raw!A:K,2,0)+VLOOKUP(B799,raw!A:K,10,0)</f>
        <v>0</v>
      </c>
      <c r="H799">
        <f>VLOOKUP(B799,raw!A:K,6,0)</f>
        <v>0</v>
      </c>
      <c r="I799">
        <f>VLOOKUP(B799,raw!A:K,9,0)</f>
        <v>21</v>
      </c>
      <c r="J799">
        <f>VLOOKUP(B799,raw!A:K,8,0)</f>
        <v>0</v>
      </c>
      <c r="K799">
        <f>_xlfn.IFNA(VLOOKUP(B799,TDK!A:C,2,0),0)</f>
        <v>18</v>
      </c>
      <c r="L799">
        <f>_xlfn.IFNA(VLOOKUP(B799,TDK!A:C,3,0),0)</f>
        <v>2</v>
      </c>
      <c r="M799">
        <f>_xlfn.IFNA(VLOOKUP(B799,TDK!F:G,2,0),0)</f>
        <v>17</v>
      </c>
      <c r="N799">
        <f t="shared" si="12"/>
        <v>37</v>
      </c>
    </row>
    <row r="800" spans="1:14" x14ac:dyDescent="0.25">
      <c r="A800" t="s">
        <v>109</v>
      </c>
      <c r="B800" t="s">
        <v>1797</v>
      </c>
      <c r="C800">
        <f>VLOOKUP(B800,raw!A:K,11,0)</f>
        <v>85</v>
      </c>
      <c r="D800">
        <f>VLOOKUP(B800,raw!A:K,3,0)+VLOOKUP(B800,raw!A:K,7,0)</f>
        <v>69</v>
      </c>
      <c r="E800">
        <f>VLOOKUP(B800,raw!A:K,4,0)</f>
        <v>0</v>
      </c>
      <c r="F800">
        <f>VLOOKUP(B800,raw!A:K,5,0)</f>
        <v>0</v>
      </c>
      <c r="G800">
        <f>VLOOKUP(B800,raw!A:K,2,0)+VLOOKUP(B800,raw!A:K,10,0)</f>
        <v>1</v>
      </c>
      <c r="H800">
        <f>VLOOKUP(B800,raw!A:K,6,0)</f>
        <v>0</v>
      </c>
      <c r="I800">
        <f>VLOOKUP(B800,raw!A:K,9,0)</f>
        <v>15</v>
      </c>
      <c r="J800">
        <f>VLOOKUP(B800,raw!A:K,8,0)</f>
        <v>0</v>
      </c>
      <c r="K800">
        <f>_xlfn.IFNA(VLOOKUP(B800,TDK!A:C,2,0),0)</f>
        <v>22</v>
      </c>
      <c r="L800">
        <f>_xlfn.IFNA(VLOOKUP(B800,TDK!A:C,3,0),0)</f>
        <v>7</v>
      </c>
      <c r="M800">
        <f>_xlfn.IFNA(VLOOKUP(B800,TDK!F:G,2,0),0)</f>
        <v>18</v>
      </c>
      <c r="N800">
        <f t="shared" si="12"/>
        <v>47</v>
      </c>
    </row>
    <row r="801" spans="1:14" x14ac:dyDescent="0.25">
      <c r="A801" t="s">
        <v>109</v>
      </c>
      <c r="B801" t="s">
        <v>1798</v>
      </c>
      <c r="C801">
        <f>VLOOKUP(B801,raw!A:K,11,0)</f>
        <v>47</v>
      </c>
      <c r="D801">
        <f>VLOOKUP(B801,raw!A:K,3,0)+VLOOKUP(B801,raw!A:K,7,0)</f>
        <v>47</v>
      </c>
      <c r="E801">
        <f>VLOOKUP(B801,raw!A:K,4,0)</f>
        <v>0</v>
      </c>
      <c r="F801">
        <f>VLOOKUP(B801,raw!A:K,5,0)</f>
        <v>0</v>
      </c>
      <c r="G801">
        <f>VLOOKUP(B801,raw!A:K,2,0)+VLOOKUP(B801,raw!A:K,10,0)</f>
        <v>0</v>
      </c>
      <c r="H801">
        <f>VLOOKUP(B801,raw!A:K,6,0)</f>
        <v>0</v>
      </c>
      <c r="I801">
        <f>VLOOKUP(B801,raw!A:K,9,0)</f>
        <v>0</v>
      </c>
      <c r="J801">
        <f>VLOOKUP(B801,raw!A:K,8,0)</f>
        <v>0</v>
      </c>
      <c r="K801">
        <f>_xlfn.IFNA(VLOOKUP(B801,TDK!A:C,2,0),0)</f>
        <v>10</v>
      </c>
      <c r="L801">
        <f>_xlfn.IFNA(VLOOKUP(B801,TDK!A:C,3,0),0)</f>
        <v>2</v>
      </c>
      <c r="M801">
        <f>_xlfn.IFNA(VLOOKUP(B801,TDK!F:G,2,0),0)</f>
        <v>6</v>
      </c>
      <c r="N801">
        <f t="shared" si="12"/>
        <v>18</v>
      </c>
    </row>
    <row r="802" spans="1:14" x14ac:dyDescent="0.25">
      <c r="A802" t="s">
        <v>109</v>
      </c>
      <c r="B802" t="s">
        <v>1799</v>
      </c>
      <c r="C802">
        <f>VLOOKUP(B802,raw!A:K,11,0)</f>
        <v>57</v>
      </c>
      <c r="D802">
        <f>VLOOKUP(B802,raw!A:K,3,0)+VLOOKUP(B802,raw!A:K,7,0)</f>
        <v>56</v>
      </c>
      <c r="E802">
        <f>VLOOKUP(B802,raw!A:K,4,0)</f>
        <v>0</v>
      </c>
      <c r="F802">
        <f>VLOOKUP(B802,raw!A:K,5,0)</f>
        <v>0</v>
      </c>
      <c r="G802">
        <f>VLOOKUP(B802,raw!A:K,2,0)+VLOOKUP(B802,raw!A:K,10,0)</f>
        <v>0</v>
      </c>
      <c r="H802">
        <f>VLOOKUP(B802,raw!A:K,6,0)</f>
        <v>0</v>
      </c>
      <c r="I802">
        <f>VLOOKUP(B802,raw!A:K,9,0)</f>
        <v>1</v>
      </c>
      <c r="J802">
        <f>VLOOKUP(B802,raw!A:K,8,0)</f>
        <v>0</v>
      </c>
      <c r="K802">
        <f>_xlfn.IFNA(VLOOKUP(B802,TDK!A:C,2,0),0)</f>
        <v>7</v>
      </c>
      <c r="L802">
        <f>_xlfn.IFNA(VLOOKUP(B802,TDK!A:C,3,0),0)</f>
        <v>0</v>
      </c>
      <c r="M802">
        <f>_xlfn.IFNA(VLOOKUP(B802,TDK!F:G,2,0),0)</f>
        <v>7</v>
      </c>
      <c r="N802">
        <f t="shared" si="12"/>
        <v>14</v>
      </c>
    </row>
    <row r="803" spans="1:14" x14ac:dyDescent="0.25">
      <c r="A803" t="s">
        <v>110</v>
      </c>
      <c r="B803" t="s">
        <v>1800</v>
      </c>
      <c r="C803">
        <f>VLOOKUP(B803,raw!A:K,11,0)</f>
        <v>95</v>
      </c>
      <c r="D803">
        <f>VLOOKUP(B803,raw!A:K,3,0)+VLOOKUP(B803,raw!A:K,7,0)</f>
        <v>88</v>
      </c>
      <c r="E803">
        <f>VLOOKUP(B803,raw!A:K,4,0)</f>
        <v>1</v>
      </c>
      <c r="F803">
        <f>VLOOKUP(B803,raw!A:K,5,0)</f>
        <v>0</v>
      </c>
      <c r="G803">
        <f>VLOOKUP(B803,raw!A:K,2,0)+VLOOKUP(B803,raw!A:K,10,0)</f>
        <v>2</v>
      </c>
      <c r="H803">
        <f>VLOOKUP(B803,raw!A:K,6,0)</f>
        <v>0</v>
      </c>
      <c r="I803">
        <f>VLOOKUP(B803,raw!A:K,9,0)</f>
        <v>4</v>
      </c>
      <c r="J803">
        <f>VLOOKUP(B803,raw!A:K,8,0)</f>
        <v>0</v>
      </c>
      <c r="K803">
        <f>_xlfn.IFNA(VLOOKUP(B803,TDK!A:C,2,0),0)</f>
        <v>23</v>
      </c>
      <c r="L803">
        <f>_xlfn.IFNA(VLOOKUP(B803,TDK!A:C,3,0),0)</f>
        <v>3</v>
      </c>
      <c r="M803">
        <f>_xlfn.IFNA(VLOOKUP(B803,TDK!F:G,2,0),0)</f>
        <v>3</v>
      </c>
      <c r="N803">
        <f t="shared" si="12"/>
        <v>29</v>
      </c>
    </row>
    <row r="804" spans="1:14" x14ac:dyDescent="0.25">
      <c r="A804" t="s">
        <v>110</v>
      </c>
      <c r="B804" t="s">
        <v>1801</v>
      </c>
      <c r="C804">
        <f>VLOOKUP(B804,raw!A:K,11,0)</f>
        <v>233</v>
      </c>
      <c r="D804">
        <f>VLOOKUP(B804,raw!A:K,3,0)+VLOOKUP(B804,raw!A:K,7,0)</f>
        <v>217</v>
      </c>
      <c r="E804">
        <f>VLOOKUP(B804,raw!A:K,4,0)</f>
        <v>0</v>
      </c>
      <c r="F804">
        <f>VLOOKUP(B804,raw!A:K,5,0)</f>
        <v>0</v>
      </c>
      <c r="G804">
        <f>VLOOKUP(B804,raw!A:K,2,0)+VLOOKUP(B804,raw!A:K,10,0)</f>
        <v>0</v>
      </c>
      <c r="H804">
        <f>VLOOKUP(B804,raw!A:K,6,0)</f>
        <v>0</v>
      </c>
      <c r="I804">
        <f>VLOOKUP(B804,raw!A:K,9,0)</f>
        <v>16</v>
      </c>
      <c r="J804">
        <f>VLOOKUP(B804,raw!A:K,8,0)</f>
        <v>0</v>
      </c>
      <c r="K804">
        <f>_xlfn.IFNA(VLOOKUP(B804,TDK!A:C,2,0),0)</f>
        <v>124</v>
      </c>
      <c r="L804">
        <f>_xlfn.IFNA(VLOOKUP(B804,TDK!A:C,3,0),0)</f>
        <v>5</v>
      </c>
      <c r="M804">
        <f>_xlfn.IFNA(VLOOKUP(B804,TDK!F:G,2,0),0)</f>
        <v>14</v>
      </c>
      <c r="N804">
        <f t="shared" si="12"/>
        <v>143</v>
      </c>
    </row>
    <row r="805" spans="1:14" x14ac:dyDescent="0.25">
      <c r="A805" t="s">
        <v>110</v>
      </c>
      <c r="B805" t="s">
        <v>1802</v>
      </c>
      <c r="C805">
        <f>VLOOKUP(B805,raw!A:K,11,0)</f>
        <v>196</v>
      </c>
      <c r="D805">
        <f>VLOOKUP(B805,raw!A:K,3,0)+VLOOKUP(B805,raw!A:K,7,0)</f>
        <v>192</v>
      </c>
      <c r="E805">
        <f>VLOOKUP(B805,raw!A:K,4,0)</f>
        <v>0</v>
      </c>
      <c r="F805">
        <f>VLOOKUP(B805,raw!A:K,5,0)</f>
        <v>0</v>
      </c>
      <c r="G805">
        <f>VLOOKUP(B805,raw!A:K,2,0)+VLOOKUP(B805,raw!A:K,10,0)</f>
        <v>0</v>
      </c>
      <c r="H805">
        <f>VLOOKUP(B805,raw!A:K,6,0)</f>
        <v>0</v>
      </c>
      <c r="I805">
        <f>VLOOKUP(B805,raw!A:K,9,0)</f>
        <v>4</v>
      </c>
      <c r="J805">
        <f>VLOOKUP(B805,raw!A:K,8,0)</f>
        <v>0</v>
      </c>
      <c r="K805">
        <f>_xlfn.IFNA(VLOOKUP(B805,TDK!A:C,2,0),0)</f>
        <v>134</v>
      </c>
      <c r="L805">
        <f>_xlfn.IFNA(VLOOKUP(B805,TDK!A:C,3,0),0)</f>
        <v>2</v>
      </c>
      <c r="M805">
        <f>_xlfn.IFNA(VLOOKUP(B805,TDK!F:G,2,0),0)</f>
        <v>10</v>
      </c>
      <c r="N805">
        <f t="shared" si="12"/>
        <v>146</v>
      </c>
    </row>
    <row r="806" spans="1:14" x14ac:dyDescent="0.25">
      <c r="A806" t="s">
        <v>110</v>
      </c>
      <c r="B806" t="s">
        <v>1803</v>
      </c>
      <c r="C806">
        <f>VLOOKUP(B806,raw!A:K,11,0)</f>
        <v>156</v>
      </c>
      <c r="D806">
        <f>VLOOKUP(B806,raw!A:K,3,0)+VLOOKUP(B806,raw!A:K,7,0)</f>
        <v>140</v>
      </c>
      <c r="E806">
        <f>VLOOKUP(B806,raw!A:K,4,0)</f>
        <v>0</v>
      </c>
      <c r="F806">
        <f>VLOOKUP(B806,raw!A:K,5,0)</f>
        <v>0</v>
      </c>
      <c r="G806">
        <f>VLOOKUP(B806,raw!A:K,2,0)+VLOOKUP(B806,raw!A:K,10,0)</f>
        <v>0</v>
      </c>
      <c r="H806">
        <f>VLOOKUP(B806,raw!A:K,6,0)</f>
        <v>0</v>
      </c>
      <c r="I806">
        <f>VLOOKUP(B806,raw!A:K,9,0)</f>
        <v>16</v>
      </c>
      <c r="J806">
        <f>VLOOKUP(B806,raw!A:K,8,0)</f>
        <v>0</v>
      </c>
      <c r="K806">
        <f>_xlfn.IFNA(VLOOKUP(B806,TDK!A:C,2,0),0)</f>
        <v>64</v>
      </c>
      <c r="L806">
        <f>_xlfn.IFNA(VLOOKUP(B806,TDK!A:C,3,0),0)</f>
        <v>9</v>
      </c>
      <c r="M806">
        <f>_xlfn.IFNA(VLOOKUP(B806,TDK!F:G,2,0),0)</f>
        <v>10</v>
      </c>
      <c r="N806">
        <f t="shared" si="12"/>
        <v>83</v>
      </c>
    </row>
    <row r="807" spans="1:14" x14ac:dyDescent="0.25">
      <c r="A807" t="s">
        <v>111</v>
      </c>
      <c r="B807" t="s">
        <v>1804</v>
      </c>
      <c r="C807">
        <f>VLOOKUP(B807,raw!A:K,11,0)</f>
        <v>103</v>
      </c>
      <c r="D807">
        <f>VLOOKUP(B807,raw!A:K,3,0)+VLOOKUP(B807,raw!A:K,7,0)</f>
        <v>99</v>
      </c>
      <c r="E807">
        <f>VLOOKUP(B807,raw!A:K,4,0)</f>
        <v>3</v>
      </c>
      <c r="F807">
        <f>VLOOKUP(B807,raw!A:K,5,0)</f>
        <v>0</v>
      </c>
      <c r="G807">
        <f>VLOOKUP(B807,raw!A:K,2,0)+VLOOKUP(B807,raw!A:K,10,0)</f>
        <v>1</v>
      </c>
      <c r="H807">
        <f>VLOOKUP(B807,raw!A:K,6,0)</f>
        <v>0</v>
      </c>
      <c r="I807">
        <f>VLOOKUP(B807,raw!A:K,9,0)</f>
        <v>0</v>
      </c>
      <c r="J807">
        <f>VLOOKUP(B807,raw!A:K,8,0)</f>
        <v>0</v>
      </c>
      <c r="K807">
        <f>_xlfn.IFNA(VLOOKUP(B807,TDK!A:C,2,0),0)</f>
        <v>47</v>
      </c>
      <c r="L807">
        <f>_xlfn.IFNA(VLOOKUP(B807,TDK!A:C,3,0),0)</f>
        <v>0</v>
      </c>
      <c r="M807">
        <f>_xlfn.IFNA(VLOOKUP(B807,TDK!F:G,2,0),0)</f>
        <v>2</v>
      </c>
      <c r="N807">
        <f t="shared" si="12"/>
        <v>49</v>
      </c>
    </row>
    <row r="808" spans="1:14" x14ac:dyDescent="0.25">
      <c r="A808" t="s">
        <v>111</v>
      </c>
      <c r="B808" t="s">
        <v>1805</v>
      </c>
      <c r="C808">
        <f>VLOOKUP(B808,raw!A:K,11,0)</f>
        <v>172</v>
      </c>
      <c r="D808">
        <f>VLOOKUP(B808,raw!A:K,3,0)+VLOOKUP(B808,raw!A:K,7,0)</f>
        <v>160</v>
      </c>
      <c r="E808">
        <f>VLOOKUP(B808,raw!A:K,4,0)</f>
        <v>0</v>
      </c>
      <c r="F808">
        <f>VLOOKUP(B808,raw!A:K,5,0)</f>
        <v>0</v>
      </c>
      <c r="G808">
        <f>VLOOKUP(B808,raw!A:K,2,0)+VLOOKUP(B808,raw!A:K,10,0)</f>
        <v>2</v>
      </c>
      <c r="H808">
        <f>VLOOKUP(B808,raw!A:K,6,0)</f>
        <v>0</v>
      </c>
      <c r="I808">
        <f>VLOOKUP(B808,raw!A:K,9,0)</f>
        <v>10</v>
      </c>
      <c r="J808">
        <f>VLOOKUP(B808,raw!A:K,8,0)</f>
        <v>0</v>
      </c>
      <c r="K808">
        <f>_xlfn.IFNA(VLOOKUP(B808,TDK!A:C,2,0),0)</f>
        <v>67</v>
      </c>
      <c r="L808">
        <f>_xlfn.IFNA(VLOOKUP(B808,TDK!A:C,3,0),0)</f>
        <v>2</v>
      </c>
      <c r="M808">
        <f>_xlfn.IFNA(VLOOKUP(B808,TDK!F:G,2,0),0)</f>
        <v>31</v>
      </c>
      <c r="N808">
        <f t="shared" si="12"/>
        <v>100</v>
      </c>
    </row>
    <row r="809" spans="1:14" x14ac:dyDescent="0.25">
      <c r="A809" t="s">
        <v>111</v>
      </c>
      <c r="B809" t="s">
        <v>1806</v>
      </c>
      <c r="C809">
        <f>VLOOKUP(B809,raw!A:K,11,0)</f>
        <v>97</v>
      </c>
      <c r="D809">
        <f>VLOOKUP(B809,raw!A:K,3,0)+VLOOKUP(B809,raw!A:K,7,0)</f>
        <v>89</v>
      </c>
      <c r="E809">
        <f>VLOOKUP(B809,raw!A:K,4,0)</f>
        <v>0</v>
      </c>
      <c r="F809">
        <f>VLOOKUP(B809,raw!A:K,5,0)</f>
        <v>0</v>
      </c>
      <c r="G809">
        <f>VLOOKUP(B809,raw!A:K,2,0)+VLOOKUP(B809,raw!A:K,10,0)</f>
        <v>1</v>
      </c>
      <c r="H809">
        <f>VLOOKUP(B809,raw!A:K,6,0)</f>
        <v>0</v>
      </c>
      <c r="I809">
        <f>VLOOKUP(B809,raw!A:K,9,0)</f>
        <v>7</v>
      </c>
      <c r="J809">
        <f>VLOOKUP(B809,raw!A:K,8,0)</f>
        <v>0</v>
      </c>
      <c r="K809">
        <f>_xlfn.IFNA(VLOOKUP(B809,TDK!A:C,2,0),0)</f>
        <v>13</v>
      </c>
      <c r="L809">
        <f>_xlfn.IFNA(VLOOKUP(B809,TDK!A:C,3,0),0)</f>
        <v>1</v>
      </c>
      <c r="M809">
        <f>_xlfn.IFNA(VLOOKUP(B809,TDK!F:G,2,0),0)</f>
        <v>41</v>
      </c>
      <c r="N809">
        <f t="shared" si="12"/>
        <v>55</v>
      </c>
    </row>
    <row r="810" spans="1:14" x14ac:dyDescent="0.25">
      <c r="A810" t="s">
        <v>111</v>
      </c>
      <c r="B810" t="s">
        <v>1807</v>
      </c>
      <c r="C810">
        <f>VLOOKUP(B810,raw!A:K,11,0)</f>
        <v>113</v>
      </c>
      <c r="D810">
        <f>VLOOKUP(B810,raw!A:K,3,0)+VLOOKUP(B810,raw!A:K,7,0)</f>
        <v>91</v>
      </c>
      <c r="E810">
        <f>VLOOKUP(B810,raw!A:K,4,0)</f>
        <v>0</v>
      </c>
      <c r="F810">
        <f>VLOOKUP(B810,raw!A:K,5,0)</f>
        <v>0</v>
      </c>
      <c r="G810">
        <f>VLOOKUP(B810,raw!A:K,2,0)+VLOOKUP(B810,raw!A:K,10,0)</f>
        <v>8</v>
      </c>
      <c r="H810">
        <f>VLOOKUP(B810,raw!A:K,6,0)</f>
        <v>0</v>
      </c>
      <c r="I810">
        <f>VLOOKUP(B810,raw!A:K,9,0)</f>
        <v>14</v>
      </c>
      <c r="J810">
        <f>VLOOKUP(B810,raw!A:K,8,0)</f>
        <v>0</v>
      </c>
      <c r="K810">
        <f>_xlfn.IFNA(VLOOKUP(B810,TDK!A:C,2,0),0)</f>
        <v>30</v>
      </c>
      <c r="L810">
        <f>_xlfn.IFNA(VLOOKUP(B810,TDK!A:C,3,0),0)</f>
        <v>0</v>
      </c>
      <c r="M810">
        <f>_xlfn.IFNA(VLOOKUP(B810,TDK!F:G,2,0),0)</f>
        <v>30</v>
      </c>
      <c r="N810">
        <f t="shared" si="12"/>
        <v>60</v>
      </c>
    </row>
    <row r="811" spans="1:14" x14ac:dyDescent="0.25">
      <c r="A811" t="s">
        <v>112</v>
      </c>
      <c r="B811" t="s">
        <v>1808</v>
      </c>
      <c r="C811">
        <f>VLOOKUP(B811,raw!A:K,11,0)</f>
        <v>106</v>
      </c>
      <c r="D811">
        <f>VLOOKUP(B811,raw!A:K,3,0)+VLOOKUP(B811,raw!A:K,7,0)</f>
        <v>106</v>
      </c>
      <c r="E811">
        <f>VLOOKUP(B811,raw!A:K,4,0)</f>
        <v>0</v>
      </c>
      <c r="F811">
        <f>VLOOKUP(B811,raw!A:K,5,0)</f>
        <v>0</v>
      </c>
      <c r="G811">
        <f>VLOOKUP(B811,raw!A:K,2,0)+VLOOKUP(B811,raw!A:K,10,0)</f>
        <v>0</v>
      </c>
      <c r="H811">
        <f>VLOOKUP(B811,raw!A:K,6,0)</f>
        <v>0</v>
      </c>
      <c r="I811">
        <f>VLOOKUP(B811,raw!A:K,9,0)</f>
        <v>0</v>
      </c>
      <c r="J811">
        <f>VLOOKUP(B811,raw!A:K,8,0)</f>
        <v>0</v>
      </c>
      <c r="K811">
        <f>_xlfn.IFNA(VLOOKUP(B811,TDK!A:C,2,0),0)</f>
        <v>25</v>
      </c>
      <c r="L811">
        <f>_xlfn.IFNA(VLOOKUP(B811,TDK!A:C,3,0),0)</f>
        <v>2</v>
      </c>
      <c r="M811">
        <f>_xlfn.IFNA(VLOOKUP(B811,TDK!F:G,2,0),0)</f>
        <v>12</v>
      </c>
      <c r="N811">
        <f t="shared" si="12"/>
        <v>39</v>
      </c>
    </row>
    <row r="812" spans="1:14" x14ac:dyDescent="0.25">
      <c r="A812" t="s">
        <v>112</v>
      </c>
      <c r="B812" t="s">
        <v>1809</v>
      </c>
      <c r="C812">
        <f>VLOOKUP(B812,raw!A:K,11,0)</f>
        <v>75</v>
      </c>
      <c r="D812">
        <f>VLOOKUP(B812,raw!A:K,3,0)+VLOOKUP(B812,raw!A:K,7,0)</f>
        <v>75</v>
      </c>
      <c r="E812">
        <f>VLOOKUP(B812,raw!A:K,4,0)</f>
        <v>0</v>
      </c>
      <c r="F812">
        <f>VLOOKUP(B812,raw!A:K,5,0)</f>
        <v>0</v>
      </c>
      <c r="G812">
        <f>VLOOKUP(B812,raw!A:K,2,0)+VLOOKUP(B812,raw!A:K,10,0)</f>
        <v>0</v>
      </c>
      <c r="H812">
        <f>VLOOKUP(B812,raw!A:K,6,0)</f>
        <v>0</v>
      </c>
      <c r="I812">
        <f>VLOOKUP(B812,raw!A:K,9,0)</f>
        <v>0</v>
      </c>
      <c r="J812">
        <f>VLOOKUP(B812,raw!A:K,8,0)</f>
        <v>0</v>
      </c>
      <c r="K812">
        <f>_xlfn.IFNA(VLOOKUP(B812,TDK!A:C,2,0),0)</f>
        <v>18</v>
      </c>
      <c r="L812">
        <f>_xlfn.IFNA(VLOOKUP(B812,TDK!A:C,3,0),0)</f>
        <v>1</v>
      </c>
      <c r="M812">
        <f>_xlfn.IFNA(VLOOKUP(B812,TDK!F:G,2,0),0)</f>
        <v>6</v>
      </c>
      <c r="N812">
        <f t="shared" si="12"/>
        <v>25</v>
      </c>
    </row>
    <row r="813" spans="1:14" x14ac:dyDescent="0.25">
      <c r="A813" t="s">
        <v>112</v>
      </c>
      <c r="B813" t="s">
        <v>1810</v>
      </c>
      <c r="C813">
        <f>VLOOKUP(B813,raw!A:K,11,0)</f>
        <v>137</v>
      </c>
      <c r="D813">
        <f>VLOOKUP(B813,raw!A:K,3,0)+VLOOKUP(B813,raw!A:K,7,0)</f>
        <v>137</v>
      </c>
      <c r="E813">
        <f>VLOOKUP(B813,raw!A:K,4,0)</f>
        <v>0</v>
      </c>
      <c r="F813">
        <f>VLOOKUP(B813,raw!A:K,5,0)</f>
        <v>0</v>
      </c>
      <c r="G813">
        <f>VLOOKUP(B813,raw!A:K,2,0)+VLOOKUP(B813,raw!A:K,10,0)</f>
        <v>0</v>
      </c>
      <c r="H813">
        <f>VLOOKUP(B813,raw!A:K,6,0)</f>
        <v>0</v>
      </c>
      <c r="I813">
        <f>VLOOKUP(B813,raw!A:K,9,0)</f>
        <v>0</v>
      </c>
      <c r="J813">
        <f>VLOOKUP(B813,raw!A:K,8,0)</f>
        <v>0</v>
      </c>
      <c r="K813">
        <f>_xlfn.IFNA(VLOOKUP(B813,TDK!A:C,2,0),0)</f>
        <v>32</v>
      </c>
      <c r="L813">
        <f>_xlfn.IFNA(VLOOKUP(B813,TDK!A:C,3,0),0)</f>
        <v>1</v>
      </c>
      <c r="M813">
        <f>_xlfn.IFNA(VLOOKUP(B813,TDK!F:G,2,0),0)</f>
        <v>3</v>
      </c>
      <c r="N813">
        <f t="shared" si="12"/>
        <v>36</v>
      </c>
    </row>
    <row r="814" spans="1:14" x14ac:dyDescent="0.25">
      <c r="A814" t="s">
        <v>111</v>
      </c>
      <c r="B814" t="s">
        <v>1811</v>
      </c>
      <c r="C814">
        <f>VLOOKUP(B814,raw!A:K,11,0)</f>
        <v>154</v>
      </c>
      <c r="D814">
        <f>VLOOKUP(B814,raw!A:K,3,0)+VLOOKUP(B814,raw!A:K,7,0)</f>
        <v>119</v>
      </c>
      <c r="E814">
        <f>VLOOKUP(B814,raw!A:K,4,0)</f>
        <v>0</v>
      </c>
      <c r="F814">
        <f>VLOOKUP(B814,raw!A:K,5,0)</f>
        <v>0</v>
      </c>
      <c r="G814">
        <f>VLOOKUP(B814,raw!A:K,2,0)+VLOOKUP(B814,raw!A:K,10,0)</f>
        <v>9</v>
      </c>
      <c r="H814">
        <f>VLOOKUP(B814,raw!A:K,6,0)</f>
        <v>0</v>
      </c>
      <c r="I814">
        <f>VLOOKUP(B814,raw!A:K,9,0)</f>
        <v>26</v>
      </c>
      <c r="J814">
        <f>VLOOKUP(B814,raw!A:K,8,0)</f>
        <v>0</v>
      </c>
      <c r="K814">
        <f>_xlfn.IFNA(VLOOKUP(B814,TDK!A:C,2,0),0)</f>
        <v>37</v>
      </c>
      <c r="L814">
        <f>_xlfn.IFNA(VLOOKUP(B814,TDK!A:C,3,0),0)</f>
        <v>0</v>
      </c>
      <c r="M814">
        <f>_xlfn.IFNA(VLOOKUP(B814,TDK!F:G,2,0),0)</f>
        <v>33</v>
      </c>
      <c r="N814">
        <f t="shared" si="12"/>
        <v>70</v>
      </c>
    </row>
    <row r="815" spans="1:14" x14ac:dyDescent="0.25">
      <c r="A815" t="s">
        <v>112</v>
      </c>
      <c r="B815" t="s">
        <v>1812</v>
      </c>
      <c r="C815">
        <f>VLOOKUP(B815,raw!A:K,11,0)</f>
        <v>184</v>
      </c>
      <c r="D815">
        <f>VLOOKUP(B815,raw!A:K,3,0)+VLOOKUP(B815,raw!A:K,7,0)</f>
        <v>184</v>
      </c>
      <c r="E815">
        <f>VLOOKUP(B815,raw!A:K,4,0)</f>
        <v>0</v>
      </c>
      <c r="F815">
        <f>VLOOKUP(B815,raw!A:K,5,0)</f>
        <v>0</v>
      </c>
      <c r="G815">
        <f>VLOOKUP(B815,raw!A:K,2,0)+VLOOKUP(B815,raw!A:K,10,0)</f>
        <v>0</v>
      </c>
      <c r="H815">
        <f>VLOOKUP(B815,raw!A:K,6,0)</f>
        <v>0</v>
      </c>
      <c r="I815">
        <f>VLOOKUP(B815,raw!A:K,9,0)</f>
        <v>0</v>
      </c>
      <c r="J815">
        <f>VLOOKUP(B815,raw!A:K,8,0)</f>
        <v>0</v>
      </c>
      <c r="K815">
        <f>_xlfn.IFNA(VLOOKUP(B815,TDK!A:C,2,0),0)</f>
        <v>38</v>
      </c>
      <c r="L815">
        <f>_xlfn.IFNA(VLOOKUP(B815,TDK!A:C,3,0),0)</f>
        <v>0</v>
      </c>
      <c r="M815">
        <f>_xlfn.IFNA(VLOOKUP(B815,TDK!F:G,2,0),0)</f>
        <v>17</v>
      </c>
      <c r="N815">
        <f t="shared" si="12"/>
        <v>55</v>
      </c>
    </row>
    <row r="816" spans="1:14" x14ac:dyDescent="0.25">
      <c r="A816" t="s">
        <v>113</v>
      </c>
      <c r="B816" t="s">
        <v>1813</v>
      </c>
      <c r="C816">
        <f>VLOOKUP(B816,raw!A:K,11,0)</f>
        <v>131</v>
      </c>
      <c r="D816">
        <f>VLOOKUP(B816,raw!A:K,3,0)+VLOOKUP(B816,raw!A:K,7,0)</f>
        <v>128</v>
      </c>
      <c r="E816">
        <f>VLOOKUP(B816,raw!A:K,4,0)</f>
        <v>0</v>
      </c>
      <c r="F816">
        <f>VLOOKUP(B816,raw!A:K,5,0)</f>
        <v>0</v>
      </c>
      <c r="G816">
        <f>VLOOKUP(B816,raw!A:K,2,0)+VLOOKUP(B816,raw!A:K,10,0)</f>
        <v>0</v>
      </c>
      <c r="H816">
        <f>VLOOKUP(B816,raw!A:K,6,0)</f>
        <v>1</v>
      </c>
      <c r="I816">
        <f>VLOOKUP(B816,raw!A:K,9,0)</f>
        <v>2</v>
      </c>
      <c r="J816">
        <f>VLOOKUP(B816,raw!A:K,8,0)</f>
        <v>0</v>
      </c>
      <c r="K816">
        <f>_xlfn.IFNA(VLOOKUP(B816,TDK!A:C,2,0),0)</f>
        <v>12</v>
      </c>
      <c r="L816">
        <f>_xlfn.IFNA(VLOOKUP(B816,TDK!A:C,3,0),0)</f>
        <v>2</v>
      </c>
      <c r="M816">
        <f>_xlfn.IFNA(VLOOKUP(B816,TDK!F:G,2,0),0)</f>
        <v>8</v>
      </c>
      <c r="N816">
        <f t="shared" si="12"/>
        <v>22</v>
      </c>
    </row>
    <row r="817" spans="1:14" x14ac:dyDescent="0.25">
      <c r="A817" t="s">
        <v>112</v>
      </c>
      <c r="B817" t="s">
        <v>1814</v>
      </c>
      <c r="C817">
        <f>VLOOKUP(B817,raw!A:K,11,0)</f>
        <v>94</v>
      </c>
      <c r="D817">
        <f>VLOOKUP(B817,raw!A:K,3,0)+VLOOKUP(B817,raw!A:K,7,0)</f>
        <v>94</v>
      </c>
      <c r="E817">
        <f>VLOOKUP(B817,raw!A:K,4,0)</f>
        <v>0</v>
      </c>
      <c r="F817">
        <f>VLOOKUP(B817,raw!A:K,5,0)</f>
        <v>0</v>
      </c>
      <c r="G817">
        <f>VLOOKUP(B817,raw!A:K,2,0)+VLOOKUP(B817,raw!A:K,10,0)</f>
        <v>0</v>
      </c>
      <c r="H817">
        <f>VLOOKUP(B817,raw!A:K,6,0)</f>
        <v>0</v>
      </c>
      <c r="I817">
        <f>VLOOKUP(B817,raw!A:K,9,0)</f>
        <v>0</v>
      </c>
      <c r="J817">
        <f>VLOOKUP(B817,raw!A:K,8,0)</f>
        <v>0</v>
      </c>
      <c r="K817">
        <f>_xlfn.IFNA(VLOOKUP(B817,TDK!A:C,2,0),0)</f>
        <v>40</v>
      </c>
      <c r="L817">
        <f>_xlfn.IFNA(VLOOKUP(B817,TDK!A:C,3,0),0)</f>
        <v>2</v>
      </c>
      <c r="M817">
        <f>_xlfn.IFNA(VLOOKUP(B817,TDK!F:G,2,0),0)</f>
        <v>10</v>
      </c>
      <c r="N817">
        <f t="shared" si="12"/>
        <v>52</v>
      </c>
    </row>
    <row r="818" spans="1:14" x14ac:dyDescent="0.25">
      <c r="A818" t="s">
        <v>111</v>
      </c>
      <c r="B818" t="s">
        <v>1815</v>
      </c>
      <c r="C818">
        <f>VLOOKUP(B818,raw!A:K,11,0)</f>
        <v>71</v>
      </c>
      <c r="D818">
        <f>VLOOKUP(B818,raw!A:K,3,0)+VLOOKUP(B818,raw!A:K,7,0)</f>
        <v>25</v>
      </c>
      <c r="E818">
        <f>VLOOKUP(B818,raw!A:K,4,0)</f>
        <v>5</v>
      </c>
      <c r="F818">
        <f>VLOOKUP(B818,raw!A:K,5,0)</f>
        <v>0</v>
      </c>
      <c r="G818">
        <f>VLOOKUP(B818,raw!A:K,2,0)+VLOOKUP(B818,raw!A:K,10,0)</f>
        <v>0</v>
      </c>
      <c r="H818">
        <f>VLOOKUP(B818,raw!A:K,6,0)</f>
        <v>0</v>
      </c>
      <c r="I818">
        <f>VLOOKUP(B818,raw!A:K,9,0)</f>
        <v>41</v>
      </c>
      <c r="J818">
        <f>VLOOKUP(B818,raw!A:K,8,0)</f>
        <v>0</v>
      </c>
      <c r="K818">
        <f>_xlfn.IFNA(VLOOKUP(B818,TDK!A:C,2,0),0)</f>
        <v>12</v>
      </c>
      <c r="L818">
        <f>_xlfn.IFNA(VLOOKUP(B818,TDK!A:C,3,0),0)</f>
        <v>0</v>
      </c>
      <c r="M818">
        <f>_xlfn.IFNA(VLOOKUP(B818,TDK!F:G,2,0),0)</f>
        <v>12</v>
      </c>
      <c r="N818">
        <f t="shared" si="12"/>
        <v>24</v>
      </c>
    </row>
    <row r="819" spans="1:14" x14ac:dyDescent="0.25">
      <c r="A819" t="s">
        <v>111</v>
      </c>
      <c r="B819" t="s">
        <v>1816</v>
      </c>
      <c r="C819">
        <f>VLOOKUP(B819,raw!A:K,11,0)</f>
        <v>79</v>
      </c>
      <c r="D819">
        <f>VLOOKUP(B819,raw!A:K,3,0)+VLOOKUP(B819,raw!A:K,7,0)</f>
        <v>25</v>
      </c>
      <c r="E819">
        <f>VLOOKUP(B819,raw!A:K,4,0)</f>
        <v>0</v>
      </c>
      <c r="F819">
        <f>VLOOKUP(B819,raw!A:K,5,0)</f>
        <v>0</v>
      </c>
      <c r="G819">
        <f>VLOOKUP(B819,raw!A:K,2,0)+VLOOKUP(B819,raw!A:K,10,0)</f>
        <v>8</v>
      </c>
      <c r="H819">
        <f>VLOOKUP(B819,raw!A:K,6,0)</f>
        <v>0</v>
      </c>
      <c r="I819">
        <f>VLOOKUP(B819,raw!A:K,9,0)</f>
        <v>46</v>
      </c>
      <c r="J819">
        <f>VLOOKUP(B819,raw!A:K,8,0)</f>
        <v>0</v>
      </c>
      <c r="K819">
        <f>_xlfn.IFNA(VLOOKUP(B819,TDK!A:C,2,0),0)</f>
        <v>21</v>
      </c>
      <c r="L819">
        <f>_xlfn.IFNA(VLOOKUP(B819,TDK!A:C,3,0),0)</f>
        <v>0</v>
      </c>
      <c r="M819">
        <f>_xlfn.IFNA(VLOOKUP(B819,TDK!F:G,2,0),0)</f>
        <v>11</v>
      </c>
      <c r="N819">
        <f t="shared" si="12"/>
        <v>32</v>
      </c>
    </row>
    <row r="820" spans="1:14" x14ac:dyDescent="0.25">
      <c r="A820" t="s">
        <v>113</v>
      </c>
      <c r="B820" t="s">
        <v>1817</v>
      </c>
      <c r="C820">
        <f>VLOOKUP(B820,raw!A:K,11,0)</f>
        <v>69</v>
      </c>
      <c r="D820">
        <f>VLOOKUP(B820,raw!A:K,3,0)+VLOOKUP(B820,raw!A:K,7,0)</f>
        <v>65</v>
      </c>
      <c r="E820">
        <f>VLOOKUP(B820,raw!A:K,4,0)</f>
        <v>0</v>
      </c>
      <c r="F820">
        <f>VLOOKUP(B820,raw!A:K,5,0)</f>
        <v>0</v>
      </c>
      <c r="G820">
        <f>VLOOKUP(B820,raw!A:K,2,0)+VLOOKUP(B820,raw!A:K,10,0)</f>
        <v>0</v>
      </c>
      <c r="H820">
        <f>VLOOKUP(B820,raw!A:K,6,0)</f>
        <v>0</v>
      </c>
      <c r="I820">
        <f>VLOOKUP(B820,raw!A:K,9,0)</f>
        <v>4</v>
      </c>
      <c r="J820">
        <f>VLOOKUP(B820,raw!A:K,8,0)</f>
        <v>0</v>
      </c>
      <c r="K820">
        <f>_xlfn.IFNA(VLOOKUP(B820,TDK!A:C,2,0),0)</f>
        <v>23</v>
      </c>
      <c r="L820">
        <f>_xlfn.IFNA(VLOOKUP(B820,TDK!A:C,3,0),0)</f>
        <v>3</v>
      </c>
      <c r="M820">
        <f>_xlfn.IFNA(VLOOKUP(B820,TDK!F:G,2,0),0)</f>
        <v>3</v>
      </c>
      <c r="N820">
        <f t="shared" si="12"/>
        <v>29</v>
      </c>
    </row>
    <row r="821" spans="1:14" x14ac:dyDescent="0.25">
      <c r="A821" t="s">
        <v>111</v>
      </c>
      <c r="B821" t="s">
        <v>1818</v>
      </c>
      <c r="C821">
        <f>VLOOKUP(B821,raw!A:K,11,0)</f>
        <v>68</v>
      </c>
      <c r="D821">
        <f>VLOOKUP(B821,raw!A:K,3,0)+VLOOKUP(B821,raw!A:K,7,0)</f>
        <v>39</v>
      </c>
      <c r="E821">
        <f>VLOOKUP(B821,raw!A:K,4,0)</f>
        <v>1</v>
      </c>
      <c r="F821">
        <f>VLOOKUP(B821,raw!A:K,5,0)</f>
        <v>0</v>
      </c>
      <c r="G821">
        <f>VLOOKUP(B821,raw!A:K,2,0)+VLOOKUP(B821,raw!A:K,10,0)</f>
        <v>6</v>
      </c>
      <c r="H821">
        <f>VLOOKUP(B821,raw!A:K,6,0)</f>
        <v>0</v>
      </c>
      <c r="I821">
        <f>VLOOKUP(B821,raw!A:K,9,0)</f>
        <v>22</v>
      </c>
      <c r="J821">
        <f>VLOOKUP(B821,raw!A:K,8,0)</f>
        <v>0</v>
      </c>
      <c r="K821">
        <f>_xlfn.IFNA(VLOOKUP(B821,TDK!A:C,2,0),0)</f>
        <v>27</v>
      </c>
      <c r="L821">
        <f>_xlfn.IFNA(VLOOKUP(B821,TDK!A:C,3,0),0)</f>
        <v>3</v>
      </c>
      <c r="M821">
        <f>_xlfn.IFNA(VLOOKUP(B821,TDK!F:G,2,0),0)</f>
        <v>5</v>
      </c>
      <c r="N821">
        <f t="shared" si="12"/>
        <v>35</v>
      </c>
    </row>
    <row r="822" spans="1:14" x14ac:dyDescent="0.25">
      <c r="A822" t="s">
        <v>114</v>
      </c>
      <c r="B822" t="s">
        <v>1819</v>
      </c>
      <c r="C822">
        <f>VLOOKUP(B822,raw!A:K,11,0)</f>
        <v>57</v>
      </c>
      <c r="D822">
        <f>VLOOKUP(B822,raw!A:K,3,0)+VLOOKUP(B822,raw!A:K,7,0)</f>
        <v>57</v>
      </c>
      <c r="E822">
        <f>VLOOKUP(B822,raw!A:K,4,0)</f>
        <v>0</v>
      </c>
      <c r="F822">
        <f>VLOOKUP(B822,raw!A:K,5,0)</f>
        <v>0</v>
      </c>
      <c r="G822">
        <f>VLOOKUP(B822,raw!A:K,2,0)+VLOOKUP(B822,raw!A:K,10,0)</f>
        <v>0</v>
      </c>
      <c r="H822">
        <f>VLOOKUP(B822,raw!A:K,6,0)</f>
        <v>0</v>
      </c>
      <c r="I822">
        <f>VLOOKUP(B822,raw!A:K,9,0)</f>
        <v>0</v>
      </c>
      <c r="J822">
        <f>VLOOKUP(B822,raw!A:K,8,0)</f>
        <v>0</v>
      </c>
      <c r="K822">
        <f>_xlfn.IFNA(VLOOKUP(B822,TDK!A:C,2,0),0)</f>
        <v>11</v>
      </c>
      <c r="L822">
        <f>_xlfn.IFNA(VLOOKUP(B822,TDK!A:C,3,0),0)</f>
        <v>4</v>
      </c>
      <c r="M822">
        <f>_xlfn.IFNA(VLOOKUP(B822,TDK!F:G,2,0),0)</f>
        <v>7</v>
      </c>
      <c r="N822">
        <f t="shared" si="12"/>
        <v>22</v>
      </c>
    </row>
    <row r="823" spans="1:14" x14ac:dyDescent="0.25">
      <c r="A823" t="s">
        <v>114</v>
      </c>
      <c r="B823" t="s">
        <v>1820</v>
      </c>
      <c r="C823">
        <f>VLOOKUP(B823,raw!A:K,11,0)</f>
        <v>62</v>
      </c>
      <c r="D823">
        <f>VLOOKUP(B823,raw!A:K,3,0)+VLOOKUP(B823,raw!A:K,7,0)</f>
        <v>61</v>
      </c>
      <c r="E823">
        <f>VLOOKUP(B823,raw!A:K,4,0)</f>
        <v>0</v>
      </c>
      <c r="F823">
        <f>VLOOKUP(B823,raw!A:K,5,0)</f>
        <v>0</v>
      </c>
      <c r="G823">
        <f>VLOOKUP(B823,raw!A:K,2,0)+VLOOKUP(B823,raw!A:K,10,0)</f>
        <v>0</v>
      </c>
      <c r="H823">
        <f>VLOOKUP(B823,raw!A:K,6,0)</f>
        <v>0</v>
      </c>
      <c r="I823">
        <f>VLOOKUP(B823,raw!A:K,9,0)</f>
        <v>1</v>
      </c>
      <c r="J823">
        <f>VLOOKUP(B823,raw!A:K,8,0)</f>
        <v>0</v>
      </c>
      <c r="K823">
        <f>_xlfn.IFNA(VLOOKUP(B823,TDK!A:C,2,0),0)</f>
        <v>21</v>
      </c>
      <c r="L823">
        <f>_xlfn.IFNA(VLOOKUP(B823,TDK!A:C,3,0),0)</f>
        <v>2</v>
      </c>
      <c r="M823">
        <f>_xlfn.IFNA(VLOOKUP(B823,TDK!F:G,2,0),0)</f>
        <v>7</v>
      </c>
      <c r="N823">
        <f t="shared" si="12"/>
        <v>30</v>
      </c>
    </row>
    <row r="824" spans="1:14" x14ac:dyDescent="0.25">
      <c r="A824" t="s">
        <v>114</v>
      </c>
      <c r="B824" t="s">
        <v>1821</v>
      </c>
      <c r="C824">
        <f>VLOOKUP(B824,raw!A:K,11,0)</f>
        <v>78</v>
      </c>
      <c r="D824">
        <f>VLOOKUP(B824,raw!A:K,3,0)+VLOOKUP(B824,raw!A:K,7,0)</f>
        <v>78</v>
      </c>
      <c r="E824">
        <f>VLOOKUP(B824,raw!A:K,4,0)</f>
        <v>0</v>
      </c>
      <c r="F824">
        <f>VLOOKUP(B824,raw!A:K,5,0)</f>
        <v>0</v>
      </c>
      <c r="G824">
        <f>VLOOKUP(B824,raw!A:K,2,0)+VLOOKUP(B824,raw!A:K,10,0)</f>
        <v>0</v>
      </c>
      <c r="H824">
        <f>VLOOKUP(B824,raw!A:K,6,0)</f>
        <v>0</v>
      </c>
      <c r="I824">
        <f>VLOOKUP(B824,raw!A:K,9,0)</f>
        <v>0</v>
      </c>
      <c r="J824">
        <f>VLOOKUP(B824,raw!A:K,8,0)</f>
        <v>0</v>
      </c>
      <c r="K824">
        <f>_xlfn.IFNA(VLOOKUP(B824,TDK!A:C,2,0),0)</f>
        <v>44</v>
      </c>
      <c r="L824">
        <f>_xlfn.IFNA(VLOOKUP(B824,TDK!A:C,3,0),0)</f>
        <v>1</v>
      </c>
      <c r="M824">
        <f>_xlfn.IFNA(VLOOKUP(B824,TDK!F:G,2,0),0)</f>
        <v>6</v>
      </c>
      <c r="N824">
        <f t="shared" si="12"/>
        <v>51</v>
      </c>
    </row>
    <row r="825" spans="1:14" x14ac:dyDescent="0.25">
      <c r="A825" t="s">
        <v>114</v>
      </c>
      <c r="B825" t="s">
        <v>1822</v>
      </c>
      <c r="C825">
        <f>VLOOKUP(B825,raw!A:K,11,0)</f>
        <v>47</v>
      </c>
      <c r="D825">
        <f>VLOOKUP(B825,raw!A:K,3,0)+VLOOKUP(B825,raw!A:K,7,0)</f>
        <v>47</v>
      </c>
      <c r="E825">
        <f>VLOOKUP(B825,raw!A:K,4,0)</f>
        <v>0</v>
      </c>
      <c r="F825">
        <f>VLOOKUP(B825,raw!A:K,5,0)</f>
        <v>0</v>
      </c>
      <c r="G825">
        <f>VLOOKUP(B825,raw!A:K,2,0)+VLOOKUP(B825,raw!A:K,10,0)</f>
        <v>0</v>
      </c>
      <c r="H825">
        <f>VLOOKUP(B825,raw!A:K,6,0)</f>
        <v>0</v>
      </c>
      <c r="I825">
        <f>VLOOKUP(B825,raw!A:K,9,0)</f>
        <v>0</v>
      </c>
      <c r="J825">
        <f>VLOOKUP(B825,raw!A:K,8,0)</f>
        <v>0</v>
      </c>
      <c r="K825">
        <f>_xlfn.IFNA(VLOOKUP(B825,TDK!A:C,2,0),0)</f>
        <v>32</v>
      </c>
      <c r="L825">
        <f>_xlfn.IFNA(VLOOKUP(B825,TDK!A:C,3,0),0)</f>
        <v>0</v>
      </c>
      <c r="M825">
        <f>_xlfn.IFNA(VLOOKUP(B825,TDK!F:G,2,0),0)</f>
        <v>3</v>
      </c>
      <c r="N825">
        <f t="shared" si="12"/>
        <v>35</v>
      </c>
    </row>
    <row r="826" spans="1:14" x14ac:dyDescent="0.25">
      <c r="A826" t="s">
        <v>114</v>
      </c>
      <c r="B826" t="s">
        <v>1823</v>
      </c>
      <c r="C826">
        <f>VLOOKUP(B826,raw!A:K,11,0)</f>
        <v>49</v>
      </c>
      <c r="D826">
        <f>VLOOKUP(B826,raw!A:K,3,0)+VLOOKUP(B826,raw!A:K,7,0)</f>
        <v>49</v>
      </c>
      <c r="E826">
        <f>VLOOKUP(B826,raw!A:K,4,0)</f>
        <v>0</v>
      </c>
      <c r="F826">
        <f>VLOOKUP(B826,raw!A:K,5,0)</f>
        <v>0</v>
      </c>
      <c r="G826">
        <f>VLOOKUP(B826,raw!A:K,2,0)+VLOOKUP(B826,raw!A:K,10,0)</f>
        <v>0</v>
      </c>
      <c r="H826">
        <f>VLOOKUP(B826,raw!A:K,6,0)</f>
        <v>0</v>
      </c>
      <c r="I826">
        <f>VLOOKUP(B826,raw!A:K,9,0)</f>
        <v>0</v>
      </c>
      <c r="J826">
        <f>VLOOKUP(B826,raw!A:K,8,0)</f>
        <v>0</v>
      </c>
      <c r="K826">
        <f>_xlfn.IFNA(VLOOKUP(B826,TDK!A:C,2,0),0)</f>
        <v>30</v>
      </c>
      <c r="L826">
        <f>_xlfn.IFNA(VLOOKUP(B826,TDK!A:C,3,0),0)</f>
        <v>0</v>
      </c>
      <c r="M826">
        <f>_xlfn.IFNA(VLOOKUP(B826,TDK!F:G,2,0),0)</f>
        <v>6</v>
      </c>
      <c r="N826">
        <f t="shared" si="12"/>
        <v>36</v>
      </c>
    </row>
    <row r="827" spans="1:14" x14ac:dyDescent="0.25">
      <c r="A827" t="s">
        <v>114</v>
      </c>
      <c r="B827" t="s">
        <v>1824</v>
      </c>
      <c r="C827">
        <f>VLOOKUP(B827,raw!A:K,11,0)</f>
        <v>65</v>
      </c>
      <c r="D827">
        <f>VLOOKUP(B827,raw!A:K,3,0)+VLOOKUP(B827,raw!A:K,7,0)</f>
        <v>65</v>
      </c>
      <c r="E827">
        <f>VLOOKUP(B827,raw!A:K,4,0)</f>
        <v>0</v>
      </c>
      <c r="F827">
        <f>VLOOKUP(B827,raw!A:K,5,0)</f>
        <v>0</v>
      </c>
      <c r="G827">
        <f>VLOOKUP(B827,raw!A:K,2,0)+VLOOKUP(B827,raw!A:K,10,0)</f>
        <v>0</v>
      </c>
      <c r="H827">
        <f>VLOOKUP(B827,raw!A:K,6,0)</f>
        <v>0</v>
      </c>
      <c r="I827">
        <f>VLOOKUP(B827,raw!A:K,9,0)</f>
        <v>0</v>
      </c>
      <c r="J827">
        <f>VLOOKUP(B827,raw!A:K,8,0)</f>
        <v>0</v>
      </c>
      <c r="K827">
        <f>_xlfn.IFNA(VLOOKUP(B827,TDK!A:C,2,0),0)</f>
        <v>42</v>
      </c>
      <c r="L827">
        <f>_xlfn.IFNA(VLOOKUP(B827,TDK!A:C,3,0),0)</f>
        <v>0</v>
      </c>
      <c r="M827">
        <f>_xlfn.IFNA(VLOOKUP(B827,TDK!F:G,2,0),0)</f>
        <v>4</v>
      </c>
      <c r="N827">
        <f t="shared" si="12"/>
        <v>46</v>
      </c>
    </row>
    <row r="828" spans="1:14" x14ac:dyDescent="0.25">
      <c r="A828" t="s">
        <v>114</v>
      </c>
      <c r="B828" t="s">
        <v>1825</v>
      </c>
      <c r="C828">
        <f>VLOOKUP(B828,raw!A:K,11,0)</f>
        <v>59</v>
      </c>
      <c r="D828">
        <f>VLOOKUP(B828,raw!A:K,3,0)+VLOOKUP(B828,raw!A:K,7,0)</f>
        <v>59</v>
      </c>
      <c r="E828">
        <f>VLOOKUP(B828,raw!A:K,4,0)</f>
        <v>0</v>
      </c>
      <c r="F828">
        <f>VLOOKUP(B828,raw!A:K,5,0)</f>
        <v>0</v>
      </c>
      <c r="G828">
        <f>VLOOKUP(B828,raw!A:K,2,0)+VLOOKUP(B828,raw!A:K,10,0)</f>
        <v>0</v>
      </c>
      <c r="H828">
        <f>VLOOKUP(B828,raw!A:K,6,0)</f>
        <v>0</v>
      </c>
      <c r="I828">
        <f>VLOOKUP(B828,raw!A:K,9,0)</f>
        <v>0</v>
      </c>
      <c r="J828">
        <f>VLOOKUP(B828,raw!A:K,8,0)</f>
        <v>0</v>
      </c>
      <c r="K828">
        <f>_xlfn.IFNA(VLOOKUP(B828,TDK!A:C,2,0),0)</f>
        <v>6</v>
      </c>
      <c r="L828">
        <f>_xlfn.IFNA(VLOOKUP(B828,TDK!A:C,3,0),0)</f>
        <v>2</v>
      </c>
      <c r="M828">
        <f>_xlfn.IFNA(VLOOKUP(B828,TDK!F:G,2,0),0)</f>
        <v>3</v>
      </c>
      <c r="N828">
        <f t="shared" si="12"/>
        <v>11</v>
      </c>
    </row>
    <row r="829" spans="1:14" x14ac:dyDescent="0.25">
      <c r="A829" t="s">
        <v>114</v>
      </c>
      <c r="B829" t="s">
        <v>1826</v>
      </c>
      <c r="C829">
        <f>VLOOKUP(B829,raw!A:K,11,0)</f>
        <v>74</v>
      </c>
      <c r="D829">
        <f>VLOOKUP(B829,raw!A:K,3,0)+VLOOKUP(B829,raw!A:K,7,0)</f>
        <v>74</v>
      </c>
      <c r="E829">
        <f>VLOOKUP(B829,raw!A:K,4,0)</f>
        <v>0</v>
      </c>
      <c r="F829">
        <f>VLOOKUP(B829,raw!A:K,5,0)</f>
        <v>0</v>
      </c>
      <c r="G829">
        <f>VLOOKUP(B829,raw!A:K,2,0)+VLOOKUP(B829,raw!A:K,10,0)</f>
        <v>0</v>
      </c>
      <c r="H829">
        <f>VLOOKUP(B829,raw!A:K,6,0)</f>
        <v>0</v>
      </c>
      <c r="I829">
        <f>VLOOKUP(B829,raw!A:K,9,0)</f>
        <v>0</v>
      </c>
      <c r="J829">
        <f>VLOOKUP(B829,raw!A:K,8,0)</f>
        <v>0</v>
      </c>
      <c r="K829">
        <f>_xlfn.IFNA(VLOOKUP(B829,TDK!A:C,2,0),0)</f>
        <v>15</v>
      </c>
      <c r="L829">
        <f>_xlfn.IFNA(VLOOKUP(B829,TDK!A:C,3,0),0)</f>
        <v>3</v>
      </c>
      <c r="M829">
        <f>_xlfn.IFNA(VLOOKUP(B829,TDK!F:G,2,0),0)</f>
        <v>4</v>
      </c>
      <c r="N829">
        <f t="shared" si="12"/>
        <v>22</v>
      </c>
    </row>
    <row r="830" spans="1:14" x14ac:dyDescent="0.25">
      <c r="A830" t="s">
        <v>114</v>
      </c>
      <c r="B830" t="s">
        <v>1827</v>
      </c>
      <c r="C830">
        <f>VLOOKUP(B830,raw!A:K,11,0)</f>
        <v>40</v>
      </c>
      <c r="D830">
        <f>VLOOKUP(B830,raw!A:K,3,0)+VLOOKUP(B830,raw!A:K,7,0)</f>
        <v>40</v>
      </c>
      <c r="E830">
        <f>VLOOKUP(B830,raw!A:K,4,0)</f>
        <v>0</v>
      </c>
      <c r="F830">
        <f>VLOOKUP(B830,raw!A:K,5,0)</f>
        <v>0</v>
      </c>
      <c r="G830">
        <f>VLOOKUP(B830,raw!A:K,2,0)+VLOOKUP(B830,raw!A:K,10,0)</f>
        <v>0</v>
      </c>
      <c r="H830">
        <f>VLOOKUP(B830,raw!A:K,6,0)</f>
        <v>0</v>
      </c>
      <c r="I830">
        <f>VLOOKUP(B830,raw!A:K,9,0)</f>
        <v>0</v>
      </c>
      <c r="J830">
        <f>VLOOKUP(B830,raw!A:K,8,0)</f>
        <v>0</v>
      </c>
      <c r="K830">
        <f>_xlfn.IFNA(VLOOKUP(B830,TDK!A:C,2,0),0)</f>
        <v>4</v>
      </c>
      <c r="L830">
        <f>_xlfn.IFNA(VLOOKUP(B830,TDK!A:C,3,0),0)</f>
        <v>0</v>
      </c>
      <c r="M830">
        <f>_xlfn.IFNA(VLOOKUP(B830,TDK!F:G,2,0),0)</f>
        <v>5</v>
      </c>
      <c r="N830">
        <f t="shared" si="12"/>
        <v>9</v>
      </c>
    </row>
    <row r="831" spans="1:14" x14ac:dyDescent="0.25">
      <c r="A831" t="s">
        <v>114</v>
      </c>
      <c r="B831" t="s">
        <v>1828</v>
      </c>
      <c r="C831">
        <f>VLOOKUP(B831,raw!A:K,11,0)</f>
        <v>38</v>
      </c>
      <c r="D831">
        <f>VLOOKUP(B831,raw!A:K,3,0)+VLOOKUP(B831,raw!A:K,7,0)</f>
        <v>38</v>
      </c>
      <c r="E831">
        <f>VLOOKUP(B831,raw!A:K,4,0)</f>
        <v>0</v>
      </c>
      <c r="F831">
        <f>VLOOKUP(B831,raw!A:K,5,0)</f>
        <v>0</v>
      </c>
      <c r="G831">
        <f>VLOOKUP(B831,raw!A:K,2,0)+VLOOKUP(B831,raw!A:K,10,0)</f>
        <v>0</v>
      </c>
      <c r="H831">
        <f>VLOOKUP(B831,raw!A:K,6,0)</f>
        <v>0</v>
      </c>
      <c r="I831">
        <f>VLOOKUP(B831,raw!A:K,9,0)</f>
        <v>0</v>
      </c>
      <c r="J831">
        <f>VLOOKUP(B831,raw!A:K,8,0)</f>
        <v>0</v>
      </c>
      <c r="K831">
        <f>_xlfn.IFNA(VLOOKUP(B831,TDK!A:C,2,0),0)</f>
        <v>4</v>
      </c>
      <c r="L831">
        <f>_xlfn.IFNA(VLOOKUP(B831,TDK!A:C,3,0),0)</f>
        <v>0</v>
      </c>
      <c r="M831">
        <f>_xlfn.IFNA(VLOOKUP(B831,TDK!F:G,2,0),0)</f>
        <v>2</v>
      </c>
      <c r="N831">
        <f t="shared" si="12"/>
        <v>6</v>
      </c>
    </row>
    <row r="832" spans="1:14" x14ac:dyDescent="0.25">
      <c r="A832" t="s">
        <v>114</v>
      </c>
      <c r="B832" t="s">
        <v>1829</v>
      </c>
      <c r="C832">
        <f>VLOOKUP(B832,raw!A:K,11,0)</f>
        <v>85</v>
      </c>
      <c r="D832">
        <f>VLOOKUP(B832,raw!A:K,3,0)+VLOOKUP(B832,raw!A:K,7,0)</f>
        <v>85</v>
      </c>
      <c r="E832">
        <f>VLOOKUP(B832,raw!A:K,4,0)</f>
        <v>0</v>
      </c>
      <c r="F832">
        <f>VLOOKUP(B832,raw!A:K,5,0)</f>
        <v>0</v>
      </c>
      <c r="G832">
        <f>VLOOKUP(B832,raw!A:K,2,0)+VLOOKUP(B832,raw!A:K,10,0)</f>
        <v>0</v>
      </c>
      <c r="H832">
        <f>VLOOKUP(B832,raw!A:K,6,0)</f>
        <v>0</v>
      </c>
      <c r="I832">
        <f>VLOOKUP(B832,raw!A:K,9,0)</f>
        <v>0</v>
      </c>
      <c r="J832">
        <f>VLOOKUP(B832,raw!A:K,8,0)</f>
        <v>0</v>
      </c>
      <c r="K832">
        <f>_xlfn.IFNA(VLOOKUP(B832,TDK!A:C,2,0),0)</f>
        <v>6</v>
      </c>
      <c r="L832">
        <f>_xlfn.IFNA(VLOOKUP(B832,TDK!A:C,3,0),0)</f>
        <v>0</v>
      </c>
      <c r="M832">
        <f>_xlfn.IFNA(VLOOKUP(B832,TDK!F:G,2,0),0)</f>
        <v>8</v>
      </c>
      <c r="N832">
        <f t="shared" si="12"/>
        <v>14</v>
      </c>
    </row>
    <row r="833" spans="1:14" x14ac:dyDescent="0.25">
      <c r="A833" t="s">
        <v>115</v>
      </c>
      <c r="B833" t="s">
        <v>1830</v>
      </c>
      <c r="C833">
        <f>VLOOKUP(B833,raw!A:K,11,0)</f>
        <v>62</v>
      </c>
      <c r="D833">
        <f>VLOOKUP(B833,raw!A:K,3,0)+VLOOKUP(B833,raw!A:K,7,0)</f>
        <v>59</v>
      </c>
      <c r="E833">
        <f>VLOOKUP(B833,raw!A:K,4,0)</f>
        <v>3</v>
      </c>
      <c r="F833">
        <f>VLOOKUP(B833,raw!A:K,5,0)</f>
        <v>0</v>
      </c>
      <c r="G833">
        <f>VLOOKUP(B833,raw!A:K,2,0)+VLOOKUP(B833,raw!A:K,10,0)</f>
        <v>0</v>
      </c>
      <c r="H833">
        <f>VLOOKUP(B833,raw!A:K,6,0)</f>
        <v>0</v>
      </c>
      <c r="I833">
        <f>VLOOKUP(B833,raw!A:K,9,0)</f>
        <v>0</v>
      </c>
      <c r="J833">
        <f>VLOOKUP(B833,raw!A:K,8,0)</f>
        <v>0</v>
      </c>
      <c r="K833">
        <f>_xlfn.IFNA(VLOOKUP(B833,TDK!A:C,2,0),0)</f>
        <v>19</v>
      </c>
      <c r="L833">
        <f>_xlfn.IFNA(VLOOKUP(B833,TDK!A:C,3,0),0)</f>
        <v>0</v>
      </c>
      <c r="M833">
        <f>_xlfn.IFNA(VLOOKUP(B833,TDK!F:G,2,0),0)</f>
        <v>5</v>
      </c>
      <c r="N833">
        <f t="shared" si="12"/>
        <v>24</v>
      </c>
    </row>
    <row r="834" spans="1:14" x14ac:dyDescent="0.25">
      <c r="A834" t="s">
        <v>114</v>
      </c>
      <c r="B834" t="s">
        <v>1831</v>
      </c>
      <c r="C834">
        <f>VLOOKUP(B834,raw!A:K,11,0)</f>
        <v>49</v>
      </c>
      <c r="D834">
        <f>VLOOKUP(B834,raw!A:K,3,0)+VLOOKUP(B834,raw!A:K,7,0)</f>
        <v>49</v>
      </c>
      <c r="E834">
        <f>VLOOKUP(B834,raw!A:K,4,0)</f>
        <v>0</v>
      </c>
      <c r="F834">
        <f>VLOOKUP(B834,raw!A:K,5,0)</f>
        <v>0</v>
      </c>
      <c r="G834">
        <f>VLOOKUP(B834,raw!A:K,2,0)+VLOOKUP(B834,raw!A:K,10,0)</f>
        <v>0</v>
      </c>
      <c r="H834">
        <f>VLOOKUP(B834,raw!A:K,6,0)</f>
        <v>0</v>
      </c>
      <c r="I834">
        <f>VLOOKUP(B834,raw!A:K,9,0)</f>
        <v>0</v>
      </c>
      <c r="J834">
        <f>VLOOKUP(B834,raw!A:K,8,0)</f>
        <v>0</v>
      </c>
      <c r="K834">
        <f>_xlfn.IFNA(VLOOKUP(B834,TDK!A:C,2,0),0)</f>
        <v>14</v>
      </c>
      <c r="L834">
        <f>_xlfn.IFNA(VLOOKUP(B834,TDK!A:C,3,0),0)</f>
        <v>2</v>
      </c>
      <c r="M834">
        <f>_xlfn.IFNA(VLOOKUP(B834,TDK!F:G,2,0),0)</f>
        <v>5</v>
      </c>
      <c r="N834">
        <f t="shared" si="12"/>
        <v>21</v>
      </c>
    </row>
    <row r="835" spans="1:14" x14ac:dyDescent="0.25">
      <c r="A835" t="s">
        <v>114</v>
      </c>
      <c r="B835" t="s">
        <v>1832</v>
      </c>
      <c r="C835">
        <f>VLOOKUP(B835,raw!A:K,11,0)</f>
        <v>77</v>
      </c>
      <c r="D835">
        <f>VLOOKUP(B835,raw!A:K,3,0)+VLOOKUP(B835,raw!A:K,7,0)</f>
        <v>77</v>
      </c>
      <c r="E835">
        <f>VLOOKUP(B835,raw!A:K,4,0)</f>
        <v>0</v>
      </c>
      <c r="F835">
        <f>VLOOKUP(B835,raw!A:K,5,0)</f>
        <v>0</v>
      </c>
      <c r="G835">
        <f>VLOOKUP(B835,raw!A:K,2,0)+VLOOKUP(B835,raw!A:K,10,0)</f>
        <v>0</v>
      </c>
      <c r="H835">
        <f>VLOOKUP(B835,raw!A:K,6,0)</f>
        <v>0</v>
      </c>
      <c r="I835">
        <f>VLOOKUP(B835,raw!A:K,9,0)</f>
        <v>0</v>
      </c>
      <c r="J835">
        <f>VLOOKUP(B835,raw!A:K,8,0)</f>
        <v>0</v>
      </c>
      <c r="K835">
        <f>_xlfn.IFNA(VLOOKUP(B835,TDK!A:C,2,0),0)</f>
        <v>24</v>
      </c>
      <c r="L835">
        <f>_xlfn.IFNA(VLOOKUP(B835,TDK!A:C,3,0),0)</f>
        <v>0</v>
      </c>
      <c r="M835">
        <f>_xlfn.IFNA(VLOOKUP(B835,TDK!F:G,2,0),0)</f>
        <v>3</v>
      </c>
      <c r="N835">
        <f t="shared" ref="N835:N898" si="13">SUM(K835:M835)</f>
        <v>27</v>
      </c>
    </row>
    <row r="836" spans="1:14" x14ac:dyDescent="0.25">
      <c r="A836" t="s">
        <v>115</v>
      </c>
      <c r="B836" t="s">
        <v>1833</v>
      </c>
      <c r="C836">
        <f>VLOOKUP(B836,raw!A:K,11,0)</f>
        <v>142</v>
      </c>
      <c r="D836">
        <f>VLOOKUP(B836,raw!A:K,3,0)+VLOOKUP(B836,raw!A:K,7,0)</f>
        <v>118</v>
      </c>
      <c r="E836">
        <f>VLOOKUP(B836,raw!A:K,4,0)</f>
        <v>22</v>
      </c>
      <c r="F836">
        <f>VLOOKUP(B836,raw!A:K,5,0)</f>
        <v>0</v>
      </c>
      <c r="G836">
        <f>VLOOKUP(B836,raw!A:K,2,0)+VLOOKUP(B836,raw!A:K,10,0)</f>
        <v>2</v>
      </c>
      <c r="H836">
        <f>VLOOKUP(B836,raw!A:K,6,0)</f>
        <v>0</v>
      </c>
      <c r="I836">
        <f>VLOOKUP(B836,raw!A:K,9,0)</f>
        <v>0</v>
      </c>
      <c r="J836">
        <f>VLOOKUP(B836,raw!A:K,8,0)</f>
        <v>0</v>
      </c>
      <c r="K836">
        <f>_xlfn.IFNA(VLOOKUP(B836,TDK!A:C,2,0),0)</f>
        <v>43</v>
      </c>
      <c r="L836">
        <f>_xlfn.IFNA(VLOOKUP(B836,TDK!A:C,3,0),0)</f>
        <v>3</v>
      </c>
      <c r="M836">
        <f>_xlfn.IFNA(VLOOKUP(B836,TDK!F:G,2,0),0)</f>
        <v>4</v>
      </c>
      <c r="N836">
        <f t="shared" si="13"/>
        <v>50</v>
      </c>
    </row>
    <row r="837" spans="1:14" x14ac:dyDescent="0.25">
      <c r="A837" t="s">
        <v>116</v>
      </c>
      <c r="B837" t="s">
        <v>1834</v>
      </c>
      <c r="C837">
        <f>VLOOKUP(B837,raw!A:K,11,0)</f>
        <v>162</v>
      </c>
      <c r="D837">
        <f>VLOOKUP(B837,raw!A:K,3,0)+VLOOKUP(B837,raw!A:K,7,0)</f>
        <v>162</v>
      </c>
      <c r="E837">
        <f>VLOOKUP(B837,raw!A:K,4,0)</f>
        <v>0</v>
      </c>
      <c r="F837">
        <f>VLOOKUP(B837,raw!A:K,5,0)</f>
        <v>0</v>
      </c>
      <c r="G837">
        <f>VLOOKUP(B837,raw!A:K,2,0)+VLOOKUP(B837,raw!A:K,10,0)</f>
        <v>0</v>
      </c>
      <c r="H837">
        <f>VLOOKUP(B837,raw!A:K,6,0)</f>
        <v>0</v>
      </c>
      <c r="I837">
        <f>VLOOKUP(B837,raw!A:K,9,0)</f>
        <v>0</v>
      </c>
      <c r="J837">
        <f>VLOOKUP(B837,raw!A:K,8,0)</f>
        <v>0</v>
      </c>
      <c r="K837">
        <f>_xlfn.IFNA(VLOOKUP(B837,TDK!A:C,2,0),0)</f>
        <v>41</v>
      </c>
      <c r="L837">
        <f>_xlfn.IFNA(VLOOKUP(B837,TDK!A:C,3,0),0)</f>
        <v>1</v>
      </c>
      <c r="M837">
        <f>_xlfn.IFNA(VLOOKUP(B837,TDK!F:G,2,0),0)</f>
        <v>15</v>
      </c>
      <c r="N837">
        <f t="shared" si="13"/>
        <v>57</v>
      </c>
    </row>
    <row r="838" spans="1:14" x14ac:dyDescent="0.25">
      <c r="A838" t="s">
        <v>115</v>
      </c>
      <c r="B838" t="s">
        <v>1835</v>
      </c>
      <c r="C838">
        <f>VLOOKUP(B838,raw!A:K,11,0)</f>
        <v>74</v>
      </c>
      <c r="D838">
        <f>VLOOKUP(B838,raw!A:K,3,0)+VLOOKUP(B838,raw!A:K,7,0)</f>
        <v>73</v>
      </c>
      <c r="E838">
        <f>VLOOKUP(B838,raw!A:K,4,0)</f>
        <v>1</v>
      </c>
      <c r="F838">
        <f>VLOOKUP(B838,raw!A:K,5,0)</f>
        <v>0</v>
      </c>
      <c r="G838">
        <f>VLOOKUP(B838,raw!A:K,2,0)+VLOOKUP(B838,raw!A:K,10,0)</f>
        <v>0</v>
      </c>
      <c r="H838">
        <f>VLOOKUP(B838,raw!A:K,6,0)</f>
        <v>0</v>
      </c>
      <c r="I838">
        <f>VLOOKUP(B838,raw!A:K,9,0)</f>
        <v>0</v>
      </c>
      <c r="J838">
        <f>VLOOKUP(B838,raw!A:K,8,0)</f>
        <v>0</v>
      </c>
      <c r="K838">
        <f>_xlfn.IFNA(VLOOKUP(B838,TDK!A:C,2,0),0)</f>
        <v>24</v>
      </c>
      <c r="L838">
        <f>_xlfn.IFNA(VLOOKUP(B838,TDK!A:C,3,0),0)</f>
        <v>1</v>
      </c>
      <c r="M838">
        <f>_xlfn.IFNA(VLOOKUP(B838,TDK!F:G,2,0),0)</f>
        <v>5</v>
      </c>
      <c r="N838">
        <f t="shared" si="13"/>
        <v>30</v>
      </c>
    </row>
    <row r="839" spans="1:14" x14ac:dyDescent="0.25">
      <c r="A839" t="s">
        <v>115</v>
      </c>
      <c r="B839" t="s">
        <v>1836</v>
      </c>
      <c r="C839">
        <f>VLOOKUP(B839,raw!A:K,11,0)</f>
        <v>198</v>
      </c>
      <c r="D839">
        <f>VLOOKUP(B839,raw!A:K,3,0)+VLOOKUP(B839,raw!A:K,7,0)</f>
        <v>195</v>
      </c>
      <c r="E839">
        <f>VLOOKUP(B839,raw!A:K,4,0)</f>
        <v>3</v>
      </c>
      <c r="F839">
        <f>VLOOKUP(B839,raw!A:K,5,0)</f>
        <v>0</v>
      </c>
      <c r="G839">
        <f>VLOOKUP(B839,raw!A:K,2,0)+VLOOKUP(B839,raw!A:K,10,0)</f>
        <v>0</v>
      </c>
      <c r="H839">
        <f>VLOOKUP(B839,raw!A:K,6,0)</f>
        <v>0</v>
      </c>
      <c r="I839">
        <f>VLOOKUP(B839,raw!A:K,9,0)</f>
        <v>0</v>
      </c>
      <c r="J839">
        <f>VLOOKUP(B839,raw!A:K,8,0)</f>
        <v>0</v>
      </c>
      <c r="K839">
        <f>_xlfn.IFNA(VLOOKUP(B839,TDK!A:C,2,0),0)</f>
        <v>62</v>
      </c>
      <c r="L839">
        <f>_xlfn.IFNA(VLOOKUP(B839,TDK!A:C,3,0),0)</f>
        <v>1</v>
      </c>
      <c r="M839">
        <f>_xlfn.IFNA(VLOOKUP(B839,TDK!F:G,2,0),0)</f>
        <v>6</v>
      </c>
      <c r="N839">
        <f t="shared" si="13"/>
        <v>69</v>
      </c>
    </row>
    <row r="840" spans="1:14" x14ac:dyDescent="0.25">
      <c r="A840" t="s">
        <v>115</v>
      </c>
      <c r="B840" t="s">
        <v>1837</v>
      </c>
      <c r="C840">
        <f>VLOOKUP(B840,raw!A:K,11,0)</f>
        <v>152</v>
      </c>
      <c r="D840">
        <f>VLOOKUP(B840,raw!A:K,3,0)+VLOOKUP(B840,raw!A:K,7,0)</f>
        <v>131</v>
      </c>
      <c r="E840">
        <f>VLOOKUP(B840,raw!A:K,4,0)</f>
        <v>21</v>
      </c>
      <c r="F840">
        <f>VLOOKUP(B840,raw!A:K,5,0)</f>
        <v>0</v>
      </c>
      <c r="G840">
        <f>VLOOKUP(B840,raw!A:K,2,0)+VLOOKUP(B840,raw!A:K,10,0)</f>
        <v>0</v>
      </c>
      <c r="H840">
        <f>VLOOKUP(B840,raw!A:K,6,0)</f>
        <v>0</v>
      </c>
      <c r="I840">
        <f>VLOOKUP(B840,raw!A:K,9,0)</f>
        <v>0</v>
      </c>
      <c r="J840">
        <f>VLOOKUP(B840,raw!A:K,8,0)</f>
        <v>0</v>
      </c>
      <c r="K840">
        <f>_xlfn.IFNA(VLOOKUP(B840,TDK!A:C,2,0),0)</f>
        <v>52</v>
      </c>
      <c r="L840">
        <f>_xlfn.IFNA(VLOOKUP(B840,TDK!A:C,3,0),0)</f>
        <v>0</v>
      </c>
      <c r="M840">
        <f>_xlfn.IFNA(VLOOKUP(B840,TDK!F:G,2,0),0)</f>
        <v>5</v>
      </c>
      <c r="N840">
        <f t="shared" si="13"/>
        <v>57</v>
      </c>
    </row>
    <row r="841" spans="1:14" x14ac:dyDescent="0.25">
      <c r="A841" t="s">
        <v>116</v>
      </c>
      <c r="B841" t="s">
        <v>1838</v>
      </c>
      <c r="C841">
        <f>VLOOKUP(B841,raw!A:K,11,0)</f>
        <v>78</v>
      </c>
      <c r="D841">
        <f>VLOOKUP(B841,raw!A:K,3,0)+VLOOKUP(B841,raw!A:K,7,0)</f>
        <v>77</v>
      </c>
      <c r="E841">
        <f>VLOOKUP(B841,raw!A:K,4,0)</f>
        <v>0</v>
      </c>
      <c r="F841">
        <f>VLOOKUP(B841,raw!A:K,5,0)</f>
        <v>0</v>
      </c>
      <c r="G841">
        <f>VLOOKUP(B841,raw!A:K,2,0)+VLOOKUP(B841,raw!A:K,10,0)</f>
        <v>0</v>
      </c>
      <c r="H841">
        <f>VLOOKUP(B841,raw!A:K,6,0)</f>
        <v>0</v>
      </c>
      <c r="I841">
        <f>VLOOKUP(B841,raw!A:K,9,0)</f>
        <v>1</v>
      </c>
      <c r="J841">
        <f>VLOOKUP(B841,raw!A:K,8,0)</f>
        <v>0</v>
      </c>
      <c r="K841">
        <f>_xlfn.IFNA(VLOOKUP(B841,TDK!A:C,2,0),0)</f>
        <v>15</v>
      </c>
      <c r="L841">
        <f>_xlfn.IFNA(VLOOKUP(B841,TDK!A:C,3,0),0)</f>
        <v>1</v>
      </c>
      <c r="M841">
        <f>_xlfn.IFNA(VLOOKUP(B841,TDK!F:G,2,0),0)</f>
        <v>8</v>
      </c>
      <c r="N841">
        <f t="shared" si="13"/>
        <v>24</v>
      </c>
    </row>
    <row r="842" spans="1:14" x14ac:dyDescent="0.25">
      <c r="A842" t="s">
        <v>116</v>
      </c>
      <c r="B842" t="s">
        <v>1839</v>
      </c>
      <c r="C842">
        <f>VLOOKUP(B842,raw!A:K,11,0)</f>
        <v>101</v>
      </c>
      <c r="D842">
        <f>VLOOKUP(B842,raw!A:K,3,0)+VLOOKUP(B842,raw!A:K,7,0)</f>
        <v>101</v>
      </c>
      <c r="E842">
        <f>VLOOKUP(B842,raw!A:K,4,0)</f>
        <v>0</v>
      </c>
      <c r="F842">
        <f>VLOOKUP(B842,raw!A:K,5,0)</f>
        <v>0</v>
      </c>
      <c r="G842">
        <f>VLOOKUP(B842,raw!A:K,2,0)+VLOOKUP(B842,raw!A:K,10,0)</f>
        <v>0</v>
      </c>
      <c r="H842">
        <f>VLOOKUP(B842,raw!A:K,6,0)</f>
        <v>0</v>
      </c>
      <c r="I842">
        <f>VLOOKUP(B842,raw!A:K,9,0)</f>
        <v>0</v>
      </c>
      <c r="J842">
        <f>VLOOKUP(B842,raw!A:K,8,0)</f>
        <v>0</v>
      </c>
      <c r="K842">
        <f>_xlfn.IFNA(VLOOKUP(B842,TDK!A:C,2,0),0)</f>
        <v>35</v>
      </c>
      <c r="L842">
        <f>_xlfn.IFNA(VLOOKUP(B842,TDK!A:C,3,0),0)</f>
        <v>3</v>
      </c>
      <c r="M842">
        <f>_xlfn.IFNA(VLOOKUP(B842,TDK!F:G,2,0),0)</f>
        <v>15</v>
      </c>
      <c r="N842">
        <f t="shared" si="13"/>
        <v>53</v>
      </c>
    </row>
    <row r="843" spans="1:14" x14ac:dyDescent="0.25">
      <c r="A843" t="s">
        <v>116</v>
      </c>
      <c r="B843" t="s">
        <v>1840</v>
      </c>
      <c r="C843">
        <f>VLOOKUP(B843,raw!A:K,11,0)</f>
        <v>65</v>
      </c>
      <c r="D843">
        <f>VLOOKUP(B843,raw!A:K,3,0)+VLOOKUP(B843,raw!A:K,7,0)</f>
        <v>65</v>
      </c>
      <c r="E843">
        <f>VLOOKUP(B843,raw!A:K,4,0)</f>
        <v>0</v>
      </c>
      <c r="F843">
        <f>VLOOKUP(B843,raw!A:K,5,0)</f>
        <v>0</v>
      </c>
      <c r="G843">
        <f>VLOOKUP(B843,raw!A:K,2,0)+VLOOKUP(B843,raw!A:K,10,0)</f>
        <v>0</v>
      </c>
      <c r="H843">
        <f>VLOOKUP(B843,raw!A:K,6,0)</f>
        <v>0</v>
      </c>
      <c r="I843">
        <f>VLOOKUP(B843,raw!A:K,9,0)</f>
        <v>0</v>
      </c>
      <c r="J843">
        <f>VLOOKUP(B843,raw!A:K,8,0)</f>
        <v>0</v>
      </c>
      <c r="K843">
        <f>_xlfn.IFNA(VLOOKUP(B843,TDK!A:C,2,0),0)</f>
        <v>16</v>
      </c>
      <c r="L843">
        <f>_xlfn.IFNA(VLOOKUP(B843,TDK!A:C,3,0),0)</f>
        <v>0</v>
      </c>
      <c r="M843">
        <f>_xlfn.IFNA(VLOOKUP(B843,TDK!F:G,2,0),0)</f>
        <v>5</v>
      </c>
      <c r="N843">
        <f t="shared" si="13"/>
        <v>21</v>
      </c>
    </row>
    <row r="844" spans="1:14" x14ac:dyDescent="0.25">
      <c r="A844" t="s">
        <v>116</v>
      </c>
      <c r="B844" t="s">
        <v>1841</v>
      </c>
      <c r="C844">
        <f>VLOOKUP(B844,raw!A:K,11,0)</f>
        <v>130</v>
      </c>
      <c r="D844">
        <f>VLOOKUP(B844,raw!A:K,3,0)+VLOOKUP(B844,raw!A:K,7,0)</f>
        <v>128</v>
      </c>
      <c r="E844">
        <f>VLOOKUP(B844,raw!A:K,4,0)</f>
        <v>0</v>
      </c>
      <c r="F844">
        <f>VLOOKUP(B844,raw!A:K,5,0)</f>
        <v>0</v>
      </c>
      <c r="G844">
        <f>VLOOKUP(B844,raw!A:K,2,0)+VLOOKUP(B844,raw!A:K,10,0)</f>
        <v>0</v>
      </c>
      <c r="H844">
        <f>VLOOKUP(B844,raw!A:K,6,0)</f>
        <v>0</v>
      </c>
      <c r="I844">
        <f>VLOOKUP(B844,raw!A:K,9,0)</f>
        <v>2</v>
      </c>
      <c r="J844">
        <f>VLOOKUP(B844,raw!A:K,8,0)</f>
        <v>0</v>
      </c>
      <c r="K844">
        <f>_xlfn.IFNA(VLOOKUP(B844,TDK!A:C,2,0),0)</f>
        <v>25</v>
      </c>
      <c r="L844">
        <f>_xlfn.IFNA(VLOOKUP(B844,TDK!A:C,3,0),0)</f>
        <v>1</v>
      </c>
      <c r="M844">
        <f>_xlfn.IFNA(VLOOKUP(B844,TDK!F:G,2,0),0)</f>
        <v>16</v>
      </c>
      <c r="N844">
        <f t="shared" si="13"/>
        <v>42</v>
      </c>
    </row>
    <row r="845" spans="1:14" x14ac:dyDescent="0.25">
      <c r="A845" t="s">
        <v>116</v>
      </c>
      <c r="B845" t="s">
        <v>1842</v>
      </c>
      <c r="C845">
        <f>VLOOKUP(B845,raw!A:K,11,0)</f>
        <v>81</v>
      </c>
      <c r="D845">
        <f>VLOOKUP(B845,raw!A:K,3,0)+VLOOKUP(B845,raw!A:K,7,0)</f>
        <v>81</v>
      </c>
      <c r="E845">
        <f>VLOOKUP(B845,raw!A:K,4,0)</f>
        <v>0</v>
      </c>
      <c r="F845">
        <f>VLOOKUP(B845,raw!A:K,5,0)</f>
        <v>0</v>
      </c>
      <c r="G845">
        <f>VLOOKUP(B845,raw!A:K,2,0)+VLOOKUP(B845,raw!A:K,10,0)</f>
        <v>0</v>
      </c>
      <c r="H845">
        <f>VLOOKUP(B845,raw!A:K,6,0)</f>
        <v>0</v>
      </c>
      <c r="I845">
        <f>VLOOKUP(B845,raw!A:K,9,0)</f>
        <v>0</v>
      </c>
      <c r="J845">
        <f>VLOOKUP(B845,raw!A:K,8,0)</f>
        <v>0</v>
      </c>
      <c r="K845">
        <f>_xlfn.IFNA(VLOOKUP(B845,TDK!A:C,2,0),0)</f>
        <v>24</v>
      </c>
      <c r="L845">
        <f>_xlfn.IFNA(VLOOKUP(B845,TDK!A:C,3,0),0)</f>
        <v>2</v>
      </c>
      <c r="M845">
        <f>_xlfn.IFNA(VLOOKUP(B845,TDK!F:G,2,0),0)</f>
        <v>3</v>
      </c>
      <c r="N845">
        <f t="shared" si="13"/>
        <v>29</v>
      </c>
    </row>
    <row r="846" spans="1:14" x14ac:dyDescent="0.25">
      <c r="A846" t="s">
        <v>116</v>
      </c>
      <c r="B846" t="s">
        <v>1843</v>
      </c>
      <c r="C846">
        <f>VLOOKUP(B846,raw!A:K,11,0)</f>
        <v>146</v>
      </c>
      <c r="D846">
        <f>VLOOKUP(B846,raw!A:K,3,0)+VLOOKUP(B846,raw!A:K,7,0)</f>
        <v>146</v>
      </c>
      <c r="E846">
        <f>VLOOKUP(B846,raw!A:K,4,0)</f>
        <v>0</v>
      </c>
      <c r="F846">
        <f>VLOOKUP(B846,raw!A:K,5,0)</f>
        <v>0</v>
      </c>
      <c r="G846">
        <f>VLOOKUP(B846,raw!A:K,2,0)+VLOOKUP(B846,raw!A:K,10,0)</f>
        <v>0</v>
      </c>
      <c r="H846">
        <f>VLOOKUP(B846,raw!A:K,6,0)</f>
        <v>0</v>
      </c>
      <c r="I846">
        <f>VLOOKUP(B846,raw!A:K,9,0)</f>
        <v>0</v>
      </c>
      <c r="J846">
        <f>VLOOKUP(B846,raw!A:K,8,0)</f>
        <v>0</v>
      </c>
      <c r="K846">
        <f>_xlfn.IFNA(VLOOKUP(B846,TDK!A:C,2,0),0)</f>
        <v>40</v>
      </c>
      <c r="L846">
        <f>_xlfn.IFNA(VLOOKUP(B846,TDK!A:C,3,0),0)</f>
        <v>1</v>
      </c>
      <c r="M846">
        <f>_xlfn.IFNA(VLOOKUP(B846,TDK!F:G,2,0),0)</f>
        <v>19</v>
      </c>
      <c r="N846">
        <f t="shared" si="13"/>
        <v>60</v>
      </c>
    </row>
    <row r="847" spans="1:14" x14ac:dyDescent="0.25">
      <c r="A847" t="s">
        <v>117</v>
      </c>
      <c r="B847" t="s">
        <v>1844</v>
      </c>
      <c r="C847">
        <f>VLOOKUP(B847,raw!A:K,11,0)</f>
        <v>59</v>
      </c>
      <c r="D847">
        <f>VLOOKUP(B847,raw!A:K,3,0)+VLOOKUP(B847,raw!A:K,7,0)</f>
        <v>59</v>
      </c>
      <c r="E847">
        <f>VLOOKUP(B847,raw!A:K,4,0)</f>
        <v>0</v>
      </c>
      <c r="F847">
        <f>VLOOKUP(B847,raw!A:K,5,0)</f>
        <v>0</v>
      </c>
      <c r="G847">
        <f>VLOOKUP(B847,raw!A:K,2,0)+VLOOKUP(B847,raw!A:K,10,0)</f>
        <v>0</v>
      </c>
      <c r="H847">
        <f>VLOOKUP(B847,raw!A:K,6,0)</f>
        <v>0</v>
      </c>
      <c r="I847">
        <f>VLOOKUP(B847,raw!A:K,9,0)</f>
        <v>0</v>
      </c>
      <c r="J847">
        <f>VLOOKUP(B847,raw!A:K,8,0)</f>
        <v>0</v>
      </c>
      <c r="K847">
        <f>_xlfn.IFNA(VLOOKUP(B847,TDK!A:C,2,0),0)</f>
        <v>20</v>
      </c>
      <c r="L847">
        <f>_xlfn.IFNA(VLOOKUP(B847,TDK!A:C,3,0),0)</f>
        <v>3</v>
      </c>
      <c r="M847">
        <f>_xlfn.IFNA(VLOOKUP(B847,TDK!F:G,2,0),0)</f>
        <v>7</v>
      </c>
      <c r="N847">
        <f t="shared" si="13"/>
        <v>30</v>
      </c>
    </row>
    <row r="848" spans="1:14" x14ac:dyDescent="0.25">
      <c r="A848" t="s">
        <v>117</v>
      </c>
      <c r="B848" t="s">
        <v>1845</v>
      </c>
      <c r="C848">
        <f>VLOOKUP(B848,raw!A:K,11,0)</f>
        <v>63</v>
      </c>
      <c r="D848">
        <f>VLOOKUP(B848,raw!A:K,3,0)+VLOOKUP(B848,raw!A:K,7,0)</f>
        <v>62</v>
      </c>
      <c r="E848">
        <f>VLOOKUP(B848,raw!A:K,4,0)</f>
        <v>1</v>
      </c>
      <c r="F848">
        <f>VLOOKUP(B848,raw!A:K,5,0)</f>
        <v>0</v>
      </c>
      <c r="G848">
        <f>VLOOKUP(B848,raw!A:K,2,0)+VLOOKUP(B848,raw!A:K,10,0)</f>
        <v>0</v>
      </c>
      <c r="H848">
        <f>VLOOKUP(B848,raw!A:K,6,0)</f>
        <v>0</v>
      </c>
      <c r="I848">
        <f>VLOOKUP(B848,raw!A:K,9,0)</f>
        <v>0</v>
      </c>
      <c r="J848">
        <f>VLOOKUP(B848,raw!A:K,8,0)</f>
        <v>0</v>
      </c>
      <c r="K848">
        <f>_xlfn.IFNA(VLOOKUP(B848,TDK!A:C,2,0),0)</f>
        <v>20</v>
      </c>
      <c r="L848">
        <f>_xlfn.IFNA(VLOOKUP(B848,TDK!A:C,3,0),0)</f>
        <v>0</v>
      </c>
      <c r="M848">
        <f>_xlfn.IFNA(VLOOKUP(B848,TDK!F:G,2,0),0)</f>
        <v>4</v>
      </c>
      <c r="N848">
        <f t="shared" si="13"/>
        <v>24</v>
      </c>
    </row>
    <row r="849" spans="1:14" x14ac:dyDescent="0.25">
      <c r="A849" t="s">
        <v>117</v>
      </c>
      <c r="B849" t="s">
        <v>1846</v>
      </c>
      <c r="C849">
        <f>VLOOKUP(B849,raw!A:K,11,0)</f>
        <v>68</v>
      </c>
      <c r="D849">
        <f>VLOOKUP(B849,raw!A:K,3,0)+VLOOKUP(B849,raw!A:K,7,0)</f>
        <v>66</v>
      </c>
      <c r="E849">
        <f>VLOOKUP(B849,raw!A:K,4,0)</f>
        <v>2</v>
      </c>
      <c r="F849">
        <f>VLOOKUP(B849,raw!A:K,5,0)</f>
        <v>0</v>
      </c>
      <c r="G849">
        <f>VLOOKUP(B849,raw!A:K,2,0)+VLOOKUP(B849,raw!A:K,10,0)</f>
        <v>0</v>
      </c>
      <c r="H849">
        <f>VLOOKUP(B849,raw!A:K,6,0)</f>
        <v>0</v>
      </c>
      <c r="I849">
        <f>VLOOKUP(B849,raw!A:K,9,0)</f>
        <v>0</v>
      </c>
      <c r="J849">
        <f>VLOOKUP(B849,raw!A:K,8,0)</f>
        <v>0</v>
      </c>
      <c r="K849">
        <f>_xlfn.IFNA(VLOOKUP(B849,TDK!A:C,2,0),0)</f>
        <v>14</v>
      </c>
      <c r="L849">
        <f>_xlfn.IFNA(VLOOKUP(B849,TDK!A:C,3,0),0)</f>
        <v>0</v>
      </c>
      <c r="M849">
        <f>_xlfn.IFNA(VLOOKUP(B849,TDK!F:G,2,0),0)</f>
        <v>5</v>
      </c>
      <c r="N849">
        <f t="shared" si="13"/>
        <v>19</v>
      </c>
    </row>
    <row r="850" spans="1:14" x14ac:dyDescent="0.25">
      <c r="A850" t="s">
        <v>117</v>
      </c>
      <c r="B850" t="s">
        <v>1847</v>
      </c>
      <c r="C850">
        <f>VLOOKUP(B850,raw!A:K,11,0)</f>
        <v>34</v>
      </c>
      <c r="D850">
        <f>VLOOKUP(B850,raw!A:K,3,0)+VLOOKUP(B850,raw!A:K,7,0)</f>
        <v>34</v>
      </c>
      <c r="E850">
        <f>VLOOKUP(B850,raw!A:K,4,0)</f>
        <v>0</v>
      </c>
      <c r="F850">
        <f>VLOOKUP(B850,raw!A:K,5,0)</f>
        <v>0</v>
      </c>
      <c r="G850">
        <f>VLOOKUP(B850,raw!A:K,2,0)+VLOOKUP(B850,raw!A:K,10,0)</f>
        <v>0</v>
      </c>
      <c r="H850">
        <f>VLOOKUP(B850,raw!A:K,6,0)</f>
        <v>0</v>
      </c>
      <c r="I850">
        <f>VLOOKUP(B850,raw!A:K,9,0)</f>
        <v>0</v>
      </c>
      <c r="J850">
        <f>VLOOKUP(B850,raw!A:K,8,0)</f>
        <v>0</v>
      </c>
      <c r="K850">
        <f>_xlfn.IFNA(VLOOKUP(B850,TDK!A:C,2,0),0)</f>
        <v>11</v>
      </c>
      <c r="L850">
        <f>_xlfn.IFNA(VLOOKUP(B850,TDK!A:C,3,0),0)</f>
        <v>1</v>
      </c>
      <c r="M850">
        <f>_xlfn.IFNA(VLOOKUP(B850,TDK!F:G,2,0),0)</f>
        <v>4</v>
      </c>
      <c r="N850">
        <f t="shared" si="13"/>
        <v>16</v>
      </c>
    </row>
    <row r="851" spans="1:14" x14ac:dyDescent="0.25">
      <c r="A851" t="s">
        <v>117</v>
      </c>
      <c r="B851" t="s">
        <v>1848</v>
      </c>
      <c r="C851">
        <f>VLOOKUP(B851,raw!A:K,11,0)</f>
        <v>48</v>
      </c>
      <c r="D851">
        <f>VLOOKUP(B851,raw!A:K,3,0)+VLOOKUP(B851,raw!A:K,7,0)</f>
        <v>48</v>
      </c>
      <c r="E851">
        <f>VLOOKUP(B851,raw!A:K,4,0)</f>
        <v>0</v>
      </c>
      <c r="F851">
        <f>VLOOKUP(B851,raw!A:K,5,0)</f>
        <v>0</v>
      </c>
      <c r="G851">
        <f>VLOOKUP(B851,raw!A:K,2,0)+VLOOKUP(B851,raw!A:K,10,0)</f>
        <v>0</v>
      </c>
      <c r="H851">
        <f>VLOOKUP(B851,raw!A:K,6,0)</f>
        <v>0</v>
      </c>
      <c r="I851">
        <f>VLOOKUP(B851,raw!A:K,9,0)</f>
        <v>0</v>
      </c>
      <c r="J851">
        <f>VLOOKUP(B851,raw!A:K,8,0)</f>
        <v>0</v>
      </c>
      <c r="K851">
        <f>_xlfn.IFNA(VLOOKUP(B851,TDK!A:C,2,0),0)</f>
        <v>11</v>
      </c>
      <c r="L851">
        <f>_xlfn.IFNA(VLOOKUP(B851,TDK!A:C,3,0),0)</f>
        <v>0</v>
      </c>
      <c r="M851">
        <f>_xlfn.IFNA(VLOOKUP(B851,TDK!F:G,2,0),0)</f>
        <v>3</v>
      </c>
      <c r="N851">
        <f t="shared" si="13"/>
        <v>14</v>
      </c>
    </row>
    <row r="852" spans="1:14" x14ac:dyDescent="0.25">
      <c r="A852" t="s">
        <v>117</v>
      </c>
      <c r="B852" t="s">
        <v>1849</v>
      </c>
      <c r="C852">
        <f>VLOOKUP(B852,raw!A:K,11,0)</f>
        <v>46</v>
      </c>
      <c r="D852">
        <f>VLOOKUP(B852,raw!A:K,3,0)+VLOOKUP(B852,raw!A:K,7,0)</f>
        <v>46</v>
      </c>
      <c r="E852">
        <f>VLOOKUP(B852,raw!A:K,4,0)</f>
        <v>0</v>
      </c>
      <c r="F852">
        <f>VLOOKUP(B852,raw!A:K,5,0)</f>
        <v>0</v>
      </c>
      <c r="G852">
        <f>VLOOKUP(B852,raw!A:K,2,0)+VLOOKUP(B852,raw!A:K,10,0)</f>
        <v>0</v>
      </c>
      <c r="H852">
        <f>VLOOKUP(B852,raw!A:K,6,0)</f>
        <v>0</v>
      </c>
      <c r="I852">
        <f>VLOOKUP(B852,raw!A:K,9,0)</f>
        <v>0</v>
      </c>
      <c r="J852">
        <f>VLOOKUP(B852,raw!A:K,8,0)</f>
        <v>0</v>
      </c>
      <c r="K852">
        <f>_xlfn.IFNA(VLOOKUP(B852,TDK!A:C,2,0),0)</f>
        <v>9</v>
      </c>
      <c r="L852">
        <f>_xlfn.IFNA(VLOOKUP(B852,TDK!A:C,3,0),0)</f>
        <v>0</v>
      </c>
      <c r="M852">
        <f>_xlfn.IFNA(VLOOKUP(B852,TDK!F:G,2,0),0)</f>
        <v>5</v>
      </c>
      <c r="N852">
        <f t="shared" si="13"/>
        <v>14</v>
      </c>
    </row>
    <row r="853" spans="1:14" x14ac:dyDescent="0.25">
      <c r="A853" t="s">
        <v>117</v>
      </c>
      <c r="B853" t="s">
        <v>1850</v>
      </c>
      <c r="C853">
        <f>VLOOKUP(B853,raw!A:K,11,0)</f>
        <v>55</v>
      </c>
      <c r="D853">
        <f>VLOOKUP(B853,raw!A:K,3,0)+VLOOKUP(B853,raw!A:K,7,0)</f>
        <v>48</v>
      </c>
      <c r="E853">
        <f>VLOOKUP(B853,raw!A:K,4,0)</f>
        <v>7</v>
      </c>
      <c r="F853">
        <f>VLOOKUP(B853,raw!A:K,5,0)</f>
        <v>0</v>
      </c>
      <c r="G853">
        <f>VLOOKUP(B853,raw!A:K,2,0)+VLOOKUP(B853,raw!A:K,10,0)</f>
        <v>0</v>
      </c>
      <c r="H853">
        <f>VLOOKUP(B853,raw!A:K,6,0)</f>
        <v>0</v>
      </c>
      <c r="I853">
        <f>VLOOKUP(B853,raw!A:K,9,0)</f>
        <v>0</v>
      </c>
      <c r="J853">
        <f>VLOOKUP(B853,raw!A:K,8,0)</f>
        <v>0</v>
      </c>
      <c r="K853">
        <f>_xlfn.IFNA(VLOOKUP(B853,TDK!A:C,2,0),0)</f>
        <v>12</v>
      </c>
      <c r="L853">
        <f>_xlfn.IFNA(VLOOKUP(B853,TDK!A:C,3,0),0)</f>
        <v>0</v>
      </c>
      <c r="M853">
        <f>_xlfn.IFNA(VLOOKUP(B853,TDK!F:G,2,0),0)</f>
        <v>6</v>
      </c>
      <c r="N853">
        <f t="shared" si="13"/>
        <v>18</v>
      </c>
    </row>
    <row r="854" spans="1:14" x14ac:dyDescent="0.25">
      <c r="A854" t="s">
        <v>117</v>
      </c>
      <c r="B854" t="s">
        <v>1851</v>
      </c>
      <c r="C854">
        <f>VLOOKUP(B854,raw!A:K,11,0)</f>
        <v>150</v>
      </c>
      <c r="D854">
        <f>VLOOKUP(B854,raw!A:K,3,0)+VLOOKUP(B854,raw!A:K,7,0)</f>
        <v>139</v>
      </c>
      <c r="E854">
        <f>VLOOKUP(B854,raw!A:K,4,0)</f>
        <v>9</v>
      </c>
      <c r="F854">
        <f>VLOOKUP(B854,raw!A:K,5,0)</f>
        <v>0</v>
      </c>
      <c r="G854">
        <f>VLOOKUP(B854,raw!A:K,2,0)+VLOOKUP(B854,raw!A:K,10,0)</f>
        <v>0</v>
      </c>
      <c r="H854">
        <f>VLOOKUP(B854,raw!A:K,6,0)</f>
        <v>0</v>
      </c>
      <c r="I854">
        <f>VLOOKUP(B854,raw!A:K,9,0)</f>
        <v>2</v>
      </c>
      <c r="J854">
        <f>VLOOKUP(B854,raw!A:K,8,0)</f>
        <v>0</v>
      </c>
      <c r="K854">
        <f>_xlfn.IFNA(VLOOKUP(B854,TDK!A:C,2,0),0)</f>
        <v>32</v>
      </c>
      <c r="L854">
        <f>_xlfn.IFNA(VLOOKUP(B854,TDK!A:C,3,0),0)</f>
        <v>1</v>
      </c>
      <c r="M854">
        <f>_xlfn.IFNA(VLOOKUP(B854,TDK!F:G,2,0),0)</f>
        <v>13</v>
      </c>
      <c r="N854">
        <f t="shared" si="13"/>
        <v>46</v>
      </c>
    </row>
    <row r="855" spans="1:14" x14ac:dyDescent="0.25">
      <c r="A855" t="s">
        <v>117</v>
      </c>
      <c r="B855" t="s">
        <v>1852</v>
      </c>
      <c r="C855">
        <f>VLOOKUP(B855,raw!A:K,11,0)</f>
        <v>79</v>
      </c>
      <c r="D855">
        <f>VLOOKUP(B855,raw!A:K,3,0)+VLOOKUP(B855,raw!A:K,7,0)</f>
        <v>76</v>
      </c>
      <c r="E855">
        <f>VLOOKUP(B855,raw!A:K,4,0)</f>
        <v>3</v>
      </c>
      <c r="F855">
        <f>VLOOKUP(B855,raw!A:K,5,0)</f>
        <v>0</v>
      </c>
      <c r="G855">
        <f>VLOOKUP(B855,raw!A:K,2,0)+VLOOKUP(B855,raw!A:K,10,0)</f>
        <v>0</v>
      </c>
      <c r="H855">
        <f>VLOOKUP(B855,raw!A:K,6,0)</f>
        <v>0</v>
      </c>
      <c r="I855">
        <f>VLOOKUP(B855,raw!A:K,9,0)</f>
        <v>0</v>
      </c>
      <c r="J855">
        <f>VLOOKUP(B855,raw!A:K,8,0)</f>
        <v>0</v>
      </c>
      <c r="K855">
        <f>_xlfn.IFNA(VLOOKUP(B855,TDK!A:C,2,0),0)</f>
        <v>23</v>
      </c>
      <c r="L855">
        <f>_xlfn.IFNA(VLOOKUP(B855,TDK!A:C,3,0),0)</f>
        <v>1</v>
      </c>
      <c r="M855">
        <f>_xlfn.IFNA(VLOOKUP(B855,TDK!F:G,2,0),0)</f>
        <v>7</v>
      </c>
      <c r="N855">
        <f t="shared" si="13"/>
        <v>31</v>
      </c>
    </row>
    <row r="856" spans="1:14" x14ac:dyDescent="0.25">
      <c r="A856" t="s">
        <v>117</v>
      </c>
      <c r="B856" t="s">
        <v>1853</v>
      </c>
      <c r="C856">
        <f>VLOOKUP(B856,raw!A:K,11,0)</f>
        <v>55</v>
      </c>
      <c r="D856">
        <f>VLOOKUP(B856,raw!A:K,3,0)+VLOOKUP(B856,raw!A:K,7,0)</f>
        <v>54</v>
      </c>
      <c r="E856">
        <f>VLOOKUP(B856,raw!A:K,4,0)</f>
        <v>1</v>
      </c>
      <c r="F856">
        <f>VLOOKUP(B856,raw!A:K,5,0)</f>
        <v>0</v>
      </c>
      <c r="G856">
        <f>VLOOKUP(B856,raw!A:K,2,0)+VLOOKUP(B856,raw!A:K,10,0)</f>
        <v>0</v>
      </c>
      <c r="H856">
        <f>VLOOKUP(B856,raw!A:K,6,0)</f>
        <v>0</v>
      </c>
      <c r="I856">
        <f>VLOOKUP(B856,raw!A:K,9,0)</f>
        <v>0</v>
      </c>
      <c r="J856">
        <f>VLOOKUP(B856,raw!A:K,8,0)</f>
        <v>0</v>
      </c>
      <c r="K856">
        <f>_xlfn.IFNA(VLOOKUP(B856,TDK!A:C,2,0),0)</f>
        <v>11</v>
      </c>
      <c r="L856">
        <f>_xlfn.IFNA(VLOOKUP(B856,TDK!A:C,3,0),0)</f>
        <v>1</v>
      </c>
      <c r="M856">
        <f>_xlfn.IFNA(VLOOKUP(B856,TDK!F:G,2,0),0)</f>
        <v>4</v>
      </c>
      <c r="N856">
        <f t="shared" si="13"/>
        <v>16</v>
      </c>
    </row>
    <row r="857" spans="1:14" x14ac:dyDescent="0.25">
      <c r="A857" t="s">
        <v>117</v>
      </c>
      <c r="B857" t="s">
        <v>1854</v>
      </c>
      <c r="C857">
        <f>VLOOKUP(B857,raw!A:K,11,0)</f>
        <v>61</v>
      </c>
      <c r="D857">
        <f>VLOOKUP(B857,raw!A:K,3,0)+VLOOKUP(B857,raw!A:K,7,0)</f>
        <v>59</v>
      </c>
      <c r="E857">
        <f>VLOOKUP(B857,raw!A:K,4,0)</f>
        <v>2</v>
      </c>
      <c r="F857">
        <f>VLOOKUP(B857,raw!A:K,5,0)</f>
        <v>0</v>
      </c>
      <c r="G857">
        <f>VLOOKUP(B857,raw!A:K,2,0)+VLOOKUP(B857,raw!A:K,10,0)</f>
        <v>0</v>
      </c>
      <c r="H857">
        <f>VLOOKUP(B857,raw!A:K,6,0)</f>
        <v>0</v>
      </c>
      <c r="I857">
        <f>VLOOKUP(B857,raw!A:K,9,0)</f>
        <v>0</v>
      </c>
      <c r="J857">
        <f>VLOOKUP(B857,raw!A:K,8,0)</f>
        <v>0</v>
      </c>
      <c r="K857">
        <f>_xlfn.IFNA(VLOOKUP(B857,TDK!A:C,2,0),0)</f>
        <v>18</v>
      </c>
      <c r="L857">
        <f>_xlfn.IFNA(VLOOKUP(B857,TDK!A:C,3,0),0)</f>
        <v>0</v>
      </c>
      <c r="M857">
        <f>_xlfn.IFNA(VLOOKUP(B857,TDK!F:G,2,0),0)</f>
        <v>8</v>
      </c>
      <c r="N857">
        <f t="shared" si="13"/>
        <v>26</v>
      </c>
    </row>
    <row r="858" spans="1:14" x14ac:dyDescent="0.25">
      <c r="A858" t="s">
        <v>118</v>
      </c>
      <c r="B858" t="s">
        <v>1855</v>
      </c>
      <c r="C858">
        <f>VLOOKUP(B858,raw!A:K,11,0)</f>
        <v>58</v>
      </c>
      <c r="D858">
        <f>VLOOKUP(B858,raw!A:K,3,0)+VLOOKUP(B858,raw!A:K,7,0)</f>
        <v>58</v>
      </c>
      <c r="E858">
        <f>VLOOKUP(B858,raw!A:K,4,0)</f>
        <v>0</v>
      </c>
      <c r="F858">
        <f>VLOOKUP(B858,raw!A:K,5,0)</f>
        <v>0</v>
      </c>
      <c r="G858">
        <f>VLOOKUP(B858,raw!A:K,2,0)+VLOOKUP(B858,raw!A:K,10,0)</f>
        <v>0</v>
      </c>
      <c r="H858">
        <f>VLOOKUP(B858,raw!A:K,6,0)</f>
        <v>0</v>
      </c>
      <c r="I858">
        <f>VLOOKUP(B858,raw!A:K,9,0)</f>
        <v>0</v>
      </c>
      <c r="J858">
        <f>VLOOKUP(B858,raw!A:K,8,0)</f>
        <v>0</v>
      </c>
      <c r="K858">
        <f>_xlfn.IFNA(VLOOKUP(B858,TDK!A:C,2,0),0)</f>
        <v>13</v>
      </c>
      <c r="L858">
        <f>_xlfn.IFNA(VLOOKUP(B858,TDK!A:C,3,0),0)</f>
        <v>1</v>
      </c>
      <c r="M858">
        <f>_xlfn.IFNA(VLOOKUP(B858,TDK!F:G,2,0),0)</f>
        <v>5</v>
      </c>
      <c r="N858">
        <f t="shared" si="13"/>
        <v>19</v>
      </c>
    </row>
    <row r="859" spans="1:14" x14ac:dyDescent="0.25">
      <c r="A859" t="s">
        <v>118</v>
      </c>
      <c r="B859" t="s">
        <v>1856</v>
      </c>
      <c r="C859">
        <f>VLOOKUP(B859,raw!A:K,11,0)</f>
        <v>72</v>
      </c>
      <c r="D859">
        <f>VLOOKUP(B859,raw!A:K,3,0)+VLOOKUP(B859,raw!A:K,7,0)</f>
        <v>72</v>
      </c>
      <c r="E859">
        <f>VLOOKUP(B859,raw!A:K,4,0)</f>
        <v>0</v>
      </c>
      <c r="F859">
        <f>VLOOKUP(B859,raw!A:K,5,0)</f>
        <v>0</v>
      </c>
      <c r="G859">
        <f>VLOOKUP(B859,raw!A:K,2,0)+VLOOKUP(B859,raw!A:K,10,0)</f>
        <v>0</v>
      </c>
      <c r="H859">
        <f>VLOOKUP(B859,raw!A:K,6,0)</f>
        <v>0</v>
      </c>
      <c r="I859">
        <f>VLOOKUP(B859,raw!A:K,9,0)</f>
        <v>0</v>
      </c>
      <c r="J859">
        <f>VLOOKUP(B859,raw!A:K,8,0)</f>
        <v>0</v>
      </c>
      <c r="K859">
        <f>_xlfn.IFNA(VLOOKUP(B859,TDK!A:C,2,0),0)</f>
        <v>24</v>
      </c>
      <c r="L859">
        <f>_xlfn.IFNA(VLOOKUP(B859,TDK!A:C,3,0),0)</f>
        <v>0</v>
      </c>
      <c r="M859">
        <f>_xlfn.IFNA(VLOOKUP(B859,TDK!F:G,2,0),0)</f>
        <v>5</v>
      </c>
      <c r="N859">
        <f t="shared" si="13"/>
        <v>29</v>
      </c>
    </row>
    <row r="860" spans="1:14" x14ac:dyDescent="0.25">
      <c r="A860" t="s">
        <v>118</v>
      </c>
      <c r="B860" t="s">
        <v>1857</v>
      </c>
      <c r="C860">
        <f>VLOOKUP(B860,raw!A:K,11,0)</f>
        <v>154</v>
      </c>
      <c r="D860">
        <f>VLOOKUP(B860,raw!A:K,3,0)+VLOOKUP(B860,raw!A:K,7,0)</f>
        <v>139</v>
      </c>
      <c r="E860">
        <f>VLOOKUP(B860,raw!A:K,4,0)</f>
        <v>12</v>
      </c>
      <c r="F860">
        <f>VLOOKUP(B860,raw!A:K,5,0)</f>
        <v>0</v>
      </c>
      <c r="G860">
        <f>VLOOKUP(B860,raw!A:K,2,0)+VLOOKUP(B860,raw!A:K,10,0)</f>
        <v>2</v>
      </c>
      <c r="H860">
        <f>VLOOKUP(B860,raw!A:K,6,0)</f>
        <v>0</v>
      </c>
      <c r="I860">
        <f>VLOOKUP(B860,raw!A:K,9,0)</f>
        <v>1</v>
      </c>
      <c r="J860">
        <f>VLOOKUP(B860,raw!A:K,8,0)</f>
        <v>0</v>
      </c>
      <c r="K860">
        <f>_xlfn.IFNA(VLOOKUP(B860,TDK!A:C,2,0),0)</f>
        <v>35</v>
      </c>
      <c r="L860">
        <f>_xlfn.IFNA(VLOOKUP(B860,TDK!A:C,3,0),0)</f>
        <v>0</v>
      </c>
      <c r="M860">
        <f>_xlfn.IFNA(VLOOKUP(B860,TDK!F:G,2,0),0)</f>
        <v>19</v>
      </c>
      <c r="N860">
        <f t="shared" si="13"/>
        <v>54</v>
      </c>
    </row>
    <row r="861" spans="1:14" x14ac:dyDescent="0.25">
      <c r="A861" t="s">
        <v>118</v>
      </c>
      <c r="B861" t="s">
        <v>1858</v>
      </c>
      <c r="C861">
        <f>VLOOKUP(B861,raw!A:K,11,0)</f>
        <v>53</v>
      </c>
      <c r="D861">
        <f>VLOOKUP(B861,raw!A:K,3,0)+VLOOKUP(B861,raw!A:K,7,0)</f>
        <v>50</v>
      </c>
      <c r="E861">
        <f>VLOOKUP(B861,raw!A:K,4,0)</f>
        <v>3</v>
      </c>
      <c r="F861">
        <f>VLOOKUP(B861,raw!A:K,5,0)</f>
        <v>0</v>
      </c>
      <c r="G861">
        <f>VLOOKUP(B861,raw!A:K,2,0)+VLOOKUP(B861,raw!A:K,10,0)</f>
        <v>0</v>
      </c>
      <c r="H861">
        <f>VLOOKUP(B861,raw!A:K,6,0)</f>
        <v>0</v>
      </c>
      <c r="I861">
        <f>VLOOKUP(B861,raw!A:K,9,0)</f>
        <v>0</v>
      </c>
      <c r="J861">
        <f>VLOOKUP(B861,raw!A:K,8,0)</f>
        <v>0</v>
      </c>
      <c r="K861">
        <f>_xlfn.IFNA(VLOOKUP(B861,TDK!A:C,2,0),0)</f>
        <v>14</v>
      </c>
      <c r="L861">
        <f>_xlfn.IFNA(VLOOKUP(B861,TDK!A:C,3,0),0)</f>
        <v>4</v>
      </c>
      <c r="M861">
        <f>_xlfn.IFNA(VLOOKUP(B861,TDK!F:G,2,0),0)</f>
        <v>8</v>
      </c>
      <c r="N861">
        <f t="shared" si="13"/>
        <v>26</v>
      </c>
    </row>
    <row r="862" spans="1:14" x14ac:dyDescent="0.25">
      <c r="A862" t="s">
        <v>118</v>
      </c>
      <c r="B862" t="s">
        <v>1859</v>
      </c>
      <c r="C862">
        <f>VLOOKUP(B862,raw!A:K,11,0)</f>
        <v>70</v>
      </c>
      <c r="D862">
        <f>VLOOKUP(B862,raw!A:K,3,0)+VLOOKUP(B862,raw!A:K,7,0)</f>
        <v>49</v>
      </c>
      <c r="E862">
        <f>VLOOKUP(B862,raw!A:K,4,0)</f>
        <v>20</v>
      </c>
      <c r="F862">
        <f>VLOOKUP(B862,raw!A:K,5,0)</f>
        <v>0</v>
      </c>
      <c r="G862">
        <f>VLOOKUP(B862,raw!A:K,2,0)+VLOOKUP(B862,raw!A:K,10,0)</f>
        <v>0</v>
      </c>
      <c r="H862">
        <f>VLOOKUP(B862,raw!A:K,6,0)</f>
        <v>0</v>
      </c>
      <c r="I862">
        <f>VLOOKUP(B862,raw!A:K,9,0)</f>
        <v>1</v>
      </c>
      <c r="J862">
        <f>VLOOKUP(B862,raw!A:K,8,0)</f>
        <v>0</v>
      </c>
      <c r="K862">
        <f>_xlfn.IFNA(VLOOKUP(B862,TDK!A:C,2,0),0)</f>
        <v>28</v>
      </c>
      <c r="L862">
        <f>_xlfn.IFNA(VLOOKUP(B862,TDK!A:C,3,0),0)</f>
        <v>1</v>
      </c>
      <c r="M862">
        <f>_xlfn.IFNA(VLOOKUP(B862,TDK!F:G,2,0),0)</f>
        <v>1</v>
      </c>
      <c r="N862">
        <f t="shared" si="13"/>
        <v>30</v>
      </c>
    </row>
    <row r="863" spans="1:14" x14ac:dyDescent="0.25">
      <c r="A863" t="s">
        <v>118</v>
      </c>
      <c r="B863" t="s">
        <v>1860</v>
      </c>
      <c r="C863">
        <f>VLOOKUP(B863,raw!A:K,11,0)</f>
        <v>185</v>
      </c>
      <c r="D863">
        <f>VLOOKUP(B863,raw!A:K,3,0)+VLOOKUP(B863,raw!A:K,7,0)</f>
        <v>165</v>
      </c>
      <c r="E863">
        <f>VLOOKUP(B863,raw!A:K,4,0)</f>
        <v>18</v>
      </c>
      <c r="F863">
        <f>VLOOKUP(B863,raw!A:K,5,0)</f>
        <v>0</v>
      </c>
      <c r="G863">
        <f>VLOOKUP(B863,raw!A:K,2,0)+VLOOKUP(B863,raw!A:K,10,0)</f>
        <v>1</v>
      </c>
      <c r="H863">
        <f>VLOOKUP(B863,raw!A:K,6,0)</f>
        <v>0</v>
      </c>
      <c r="I863">
        <f>VLOOKUP(B863,raw!A:K,9,0)</f>
        <v>1</v>
      </c>
      <c r="J863">
        <f>VLOOKUP(B863,raw!A:K,8,0)</f>
        <v>0</v>
      </c>
      <c r="K863">
        <f>_xlfn.IFNA(VLOOKUP(B863,TDK!A:C,2,0),0)</f>
        <v>46</v>
      </c>
      <c r="L863">
        <f>_xlfn.IFNA(VLOOKUP(B863,TDK!A:C,3,0),0)</f>
        <v>1</v>
      </c>
      <c r="M863">
        <f>_xlfn.IFNA(VLOOKUP(B863,TDK!F:G,2,0),0)</f>
        <v>15</v>
      </c>
      <c r="N863">
        <f t="shared" si="13"/>
        <v>62</v>
      </c>
    </row>
    <row r="864" spans="1:14" x14ac:dyDescent="0.25">
      <c r="A864" t="s">
        <v>118</v>
      </c>
      <c r="B864" t="s">
        <v>1861</v>
      </c>
      <c r="C864">
        <f>VLOOKUP(B864,raw!A:K,11,0)</f>
        <v>110</v>
      </c>
      <c r="D864">
        <f>VLOOKUP(B864,raw!A:K,3,0)+VLOOKUP(B864,raw!A:K,7,0)</f>
        <v>62</v>
      </c>
      <c r="E864">
        <f>VLOOKUP(B864,raw!A:K,4,0)</f>
        <v>41</v>
      </c>
      <c r="F864">
        <f>VLOOKUP(B864,raw!A:K,5,0)</f>
        <v>0</v>
      </c>
      <c r="G864">
        <f>VLOOKUP(B864,raw!A:K,2,0)+VLOOKUP(B864,raw!A:K,10,0)</f>
        <v>1</v>
      </c>
      <c r="H864">
        <f>VLOOKUP(B864,raw!A:K,6,0)</f>
        <v>0</v>
      </c>
      <c r="I864">
        <f>VLOOKUP(B864,raw!A:K,9,0)</f>
        <v>6</v>
      </c>
      <c r="J864">
        <f>VLOOKUP(B864,raw!A:K,8,0)</f>
        <v>0</v>
      </c>
      <c r="K864">
        <f>_xlfn.IFNA(VLOOKUP(B864,TDK!A:C,2,0),0)</f>
        <v>34</v>
      </c>
      <c r="L864">
        <f>_xlfn.IFNA(VLOOKUP(B864,TDK!A:C,3,0),0)</f>
        <v>1</v>
      </c>
      <c r="M864">
        <f>_xlfn.IFNA(VLOOKUP(B864,TDK!F:G,2,0),0)</f>
        <v>2</v>
      </c>
      <c r="N864">
        <f t="shared" si="13"/>
        <v>37</v>
      </c>
    </row>
    <row r="865" spans="1:14" x14ac:dyDescent="0.25">
      <c r="A865" t="s">
        <v>118</v>
      </c>
      <c r="B865" t="s">
        <v>1862</v>
      </c>
      <c r="C865">
        <f>VLOOKUP(B865,raw!A:K,11,0)</f>
        <v>8</v>
      </c>
      <c r="D865">
        <f>VLOOKUP(B865,raw!A:K,3,0)+VLOOKUP(B865,raw!A:K,7,0)</f>
        <v>0</v>
      </c>
      <c r="E865">
        <f>VLOOKUP(B865,raw!A:K,4,0)</f>
        <v>8</v>
      </c>
      <c r="F865">
        <f>VLOOKUP(B865,raw!A:K,5,0)</f>
        <v>0</v>
      </c>
      <c r="G865">
        <f>VLOOKUP(B865,raw!A:K,2,0)+VLOOKUP(B865,raw!A:K,10,0)</f>
        <v>0</v>
      </c>
      <c r="H865">
        <f>VLOOKUP(B865,raw!A:K,6,0)</f>
        <v>0</v>
      </c>
      <c r="I865">
        <f>VLOOKUP(B865,raw!A:K,9,0)</f>
        <v>0</v>
      </c>
      <c r="J865">
        <f>VLOOKUP(B865,raw!A:K,8,0)</f>
        <v>0</v>
      </c>
      <c r="K865">
        <f>_xlfn.IFNA(VLOOKUP(B865,TDK!A:C,2,0),0)</f>
        <v>0</v>
      </c>
      <c r="L865">
        <f>_xlfn.IFNA(VLOOKUP(B865,TDK!A:C,3,0),0)</f>
        <v>0</v>
      </c>
      <c r="M865">
        <f>_xlfn.IFNA(VLOOKUP(B865,TDK!F:G,2,0),0)</f>
        <v>0</v>
      </c>
      <c r="N865">
        <f t="shared" si="13"/>
        <v>0</v>
      </c>
    </row>
    <row r="866" spans="1:14" x14ac:dyDescent="0.25">
      <c r="A866" t="s">
        <v>973</v>
      </c>
      <c r="B866" t="s">
        <v>1863</v>
      </c>
      <c r="C866">
        <f>VLOOKUP(B866,raw!A:K,11,0)</f>
        <v>32</v>
      </c>
      <c r="D866">
        <f>VLOOKUP(B866,raw!A:K,3,0)+VLOOKUP(B866,raw!A:K,7,0)</f>
        <v>32</v>
      </c>
      <c r="E866">
        <f>VLOOKUP(B866,raw!A:K,4,0)</f>
        <v>0</v>
      </c>
      <c r="F866">
        <f>VLOOKUP(B866,raw!A:K,5,0)</f>
        <v>0</v>
      </c>
      <c r="G866">
        <f>VLOOKUP(B866,raw!A:K,2,0)+VLOOKUP(B866,raw!A:K,10,0)</f>
        <v>0</v>
      </c>
      <c r="H866">
        <f>VLOOKUP(B866,raw!A:K,6,0)</f>
        <v>0</v>
      </c>
      <c r="I866">
        <f>VLOOKUP(B866,raw!A:K,9,0)</f>
        <v>0</v>
      </c>
      <c r="J866">
        <f>VLOOKUP(B866,raw!A:K,8,0)</f>
        <v>0</v>
      </c>
      <c r="K866">
        <f>_xlfn.IFNA(VLOOKUP(B866,TDK!A:C,2,0),0)</f>
        <v>12</v>
      </c>
      <c r="L866">
        <f>_xlfn.IFNA(VLOOKUP(B866,TDK!A:C,3,0),0)</f>
        <v>1</v>
      </c>
      <c r="M866">
        <f>_xlfn.IFNA(VLOOKUP(B866,TDK!F:G,2,0),0)</f>
        <v>2</v>
      </c>
      <c r="N866">
        <f t="shared" si="13"/>
        <v>15</v>
      </c>
    </row>
    <row r="867" spans="1:14" x14ac:dyDescent="0.25">
      <c r="A867" t="s">
        <v>973</v>
      </c>
      <c r="B867" t="s">
        <v>1864</v>
      </c>
      <c r="C867">
        <f>VLOOKUP(B867,raw!A:K,11,0)</f>
        <v>48</v>
      </c>
      <c r="D867">
        <f>VLOOKUP(B867,raw!A:K,3,0)+VLOOKUP(B867,raw!A:K,7,0)</f>
        <v>47</v>
      </c>
      <c r="E867">
        <f>VLOOKUP(B867,raw!A:K,4,0)</f>
        <v>0</v>
      </c>
      <c r="F867">
        <f>VLOOKUP(B867,raw!A:K,5,0)</f>
        <v>0</v>
      </c>
      <c r="G867">
        <f>VLOOKUP(B867,raw!A:K,2,0)+VLOOKUP(B867,raw!A:K,10,0)</f>
        <v>0</v>
      </c>
      <c r="H867">
        <f>VLOOKUP(B867,raw!A:K,6,0)</f>
        <v>0</v>
      </c>
      <c r="I867">
        <f>VLOOKUP(B867,raw!A:K,9,0)</f>
        <v>1</v>
      </c>
      <c r="J867">
        <f>VLOOKUP(B867,raw!A:K,8,0)</f>
        <v>0</v>
      </c>
      <c r="K867">
        <f>_xlfn.IFNA(VLOOKUP(B867,TDK!A:C,2,0),0)</f>
        <v>20</v>
      </c>
      <c r="L867">
        <f>_xlfn.IFNA(VLOOKUP(B867,TDK!A:C,3,0),0)</f>
        <v>0</v>
      </c>
      <c r="M867">
        <f>_xlfn.IFNA(VLOOKUP(B867,TDK!F:G,2,0),0)</f>
        <v>1</v>
      </c>
      <c r="N867">
        <f t="shared" si="13"/>
        <v>21</v>
      </c>
    </row>
    <row r="868" spans="1:14" x14ac:dyDescent="0.25">
      <c r="A868" t="s">
        <v>973</v>
      </c>
      <c r="B868" t="s">
        <v>1865</v>
      </c>
      <c r="C868">
        <f>VLOOKUP(B868,raw!A:K,11,0)</f>
        <v>53</v>
      </c>
      <c r="D868">
        <f>VLOOKUP(B868,raw!A:K,3,0)+VLOOKUP(B868,raw!A:K,7,0)</f>
        <v>52</v>
      </c>
      <c r="E868">
        <f>VLOOKUP(B868,raw!A:K,4,0)</f>
        <v>0</v>
      </c>
      <c r="F868">
        <f>VLOOKUP(B868,raw!A:K,5,0)</f>
        <v>0</v>
      </c>
      <c r="G868">
        <f>VLOOKUP(B868,raw!A:K,2,0)+VLOOKUP(B868,raw!A:K,10,0)</f>
        <v>0</v>
      </c>
      <c r="H868">
        <f>VLOOKUP(B868,raw!A:K,6,0)</f>
        <v>0</v>
      </c>
      <c r="I868">
        <f>VLOOKUP(B868,raw!A:K,9,0)</f>
        <v>1</v>
      </c>
      <c r="J868">
        <f>VLOOKUP(B868,raw!A:K,8,0)</f>
        <v>0</v>
      </c>
      <c r="K868">
        <f>_xlfn.IFNA(VLOOKUP(B868,TDK!A:C,2,0),0)</f>
        <v>14</v>
      </c>
      <c r="L868">
        <f>_xlfn.IFNA(VLOOKUP(B868,TDK!A:C,3,0),0)</f>
        <v>0</v>
      </c>
      <c r="M868">
        <f>_xlfn.IFNA(VLOOKUP(B868,TDK!F:G,2,0),0)</f>
        <v>3</v>
      </c>
      <c r="N868">
        <f t="shared" si="13"/>
        <v>17</v>
      </c>
    </row>
    <row r="869" spans="1:14" x14ac:dyDescent="0.25">
      <c r="A869" t="s">
        <v>973</v>
      </c>
      <c r="B869" t="s">
        <v>1866</v>
      </c>
      <c r="C869">
        <f>VLOOKUP(B869,raw!A:K,11,0)</f>
        <v>86</v>
      </c>
      <c r="D869">
        <f>VLOOKUP(B869,raw!A:K,3,0)+VLOOKUP(B869,raw!A:K,7,0)</f>
        <v>85</v>
      </c>
      <c r="E869">
        <f>VLOOKUP(B869,raw!A:K,4,0)</f>
        <v>1</v>
      </c>
      <c r="F869">
        <f>VLOOKUP(B869,raw!A:K,5,0)</f>
        <v>0</v>
      </c>
      <c r="G869">
        <f>VLOOKUP(B869,raw!A:K,2,0)+VLOOKUP(B869,raw!A:K,10,0)</f>
        <v>0</v>
      </c>
      <c r="H869">
        <f>VLOOKUP(B869,raw!A:K,6,0)</f>
        <v>0</v>
      </c>
      <c r="I869">
        <f>VLOOKUP(B869,raw!A:K,9,0)</f>
        <v>0</v>
      </c>
      <c r="J869">
        <f>VLOOKUP(B869,raw!A:K,8,0)</f>
        <v>0</v>
      </c>
      <c r="K869">
        <f>_xlfn.IFNA(VLOOKUP(B869,TDK!A:C,2,0),0)</f>
        <v>29</v>
      </c>
      <c r="L869">
        <f>_xlfn.IFNA(VLOOKUP(B869,TDK!A:C,3,0),0)</f>
        <v>1</v>
      </c>
      <c r="M869">
        <f>_xlfn.IFNA(VLOOKUP(B869,TDK!F:G,2,0),0)</f>
        <v>4</v>
      </c>
      <c r="N869">
        <f t="shared" si="13"/>
        <v>34</v>
      </c>
    </row>
    <row r="870" spans="1:14" x14ac:dyDescent="0.25">
      <c r="A870" t="s">
        <v>973</v>
      </c>
      <c r="B870" t="s">
        <v>1867</v>
      </c>
      <c r="C870">
        <f>VLOOKUP(B870,raw!A:K,11,0)</f>
        <v>87</v>
      </c>
      <c r="D870">
        <f>VLOOKUP(B870,raw!A:K,3,0)+VLOOKUP(B870,raw!A:K,7,0)</f>
        <v>87</v>
      </c>
      <c r="E870">
        <f>VLOOKUP(B870,raw!A:K,4,0)</f>
        <v>0</v>
      </c>
      <c r="F870">
        <f>VLOOKUP(B870,raw!A:K,5,0)</f>
        <v>0</v>
      </c>
      <c r="G870">
        <f>VLOOKUP(B870,raw!A:K,2,0)+VLOOKUP(B870,raw!A:K,10,0)</f>
        <v>0</v>
      </c>
      <c r="H870">
        <f>VLOOKUP(B870,raw!A:K,6,0)</f>
        <v>0</v>
      </c>
      <c r="I870">
        <f>VLOOKUP(B870,raw!A:K,9,0)</f>
        <v>0</v>
      </c>
      <c r="J870">
        <f>VLOOKUP(B870,raw!A:K,8,0)</f>
        <v>0</v>
      </c>
      <c r="K870">
        <f>_xlfn.IFNA(VLOOKUP(B870,TDK!A:C,2,0),0)</f>
        <v>19</v>
      </c>
      <c r="L870">
        <f>_xlfn.IFNA(VLOOKUP(B870,TDK!A:C,3,0),0)</f>
        <v>1</v>
      </c>
      <c r="M870">
        <f>_xlfn.IFNA(VLOOKUP(B870,TDK!F:G,2,0),0)</f>
        <v>4</v>
      </c>
      <c r="N870">
        <f t="shared" si="13"/>
        <v>24</v>
      </c>
    </row>
    <row r="871" spans="1:14" x14ac:dyDescent="0.25">
      <c r="A871" t="s">
        <v>973</v>
      </c>
      <c r="B871" t="s">
        <v>1868</v>
      </c>
      <c r="C871">
        <f>VLOOKUP(B871,raw!A:K,11,0)</f>
        <v>48</v>
      </c>
      <c r="D871">
        <f>VLOOKUP(B871,raw!A:K,3,0)+VLOOKUP(B871,raw!A:K,7,0)</f>
        <v>44</v>
      </c>
      <c r="E871">
        <f>VLOOKUP(B871,raw!A:K,4,0)</f>
        <v>4</v>
      </c>
      <c r="F871">
        <f>VLOOKUP(B871,raw!A:K,5,0)</f>
        <v>0</v>
      </c>
      <c r="G871">
        <f>VLOOKUP(B871,raw!A:K,2,0)+VLOOKUP(B871,raw!A:K,10,0)</f>
        <v>0</v>
      </c>
      <c r="H871">
        <f>VLOOKUP(B871,raw!A:K,6,0)</f>
        <v>0</v>
      </c>
      <c r="I871">
        <f>VLOOKUP(B871,raw!A:K,9,0)</f>
        <v>0</v>
      </c>
      <c r="J871">
        <f>VLOOKUP(B871,raw!A:K,8,0)</f>
        <v>0</v>
      </c>
      <c r="K871">
        <f>_xlfn.IFNA(VLOOKUP(B871,TDK!A:C,2,0),0)</f>
        <v>15</v>
      </c>
      <c r="L871">
        <f>_xlfn.IFNA(VLOOKUP(B871,TDK!A:C,3,0),0)</f>
        <v>0</v>
      </c>
      <c r="M871">
        <f>_xlfn.IFNA(VLOOKUP(B871,TDK!F:G,2,0),0)</f>
        <v>1</v>
      </c>
      <c r="N871">
        <f t="shared" si="13"/>
        <v>16</v>
      </c>
    </row>
    <row r="872" spans="1:14" x14ac:dyDescent="0.25">
      <c r="A872" t="s">
        <v>973</v>
      </c>
      <c r="B872" t="s">
        <v>1869</v>
      </c>
      <c r="C872">
        <f>VLOOKUP(B872,raw!A:K,11,0)</f>
        <v>50</v>
      </c>
      <c r="D872">
        <f>VLOOKUP(B872,raw!A:K,3,0)+VLOOKUP(B872,raw!A:K,7,0)</f>
        <v>50</v>
      </c>
      <c r="E872">
        <f>VLOOKUP(B872,raw!A:K,4,0)</f>
        <v>0</v>
      </c>
      <c r="F872">
        <f>VLOOKUP(B872,raw!A:K,5,0)</f>
        <v>0</v>
      </c>
      <c r="G872">
        <f>VLOOKUP(B872,raw!A:K,2,0)+VLOOKUP(B872,raw!A:K,10,0)</f>
        <v>0</v>
      </c>
      <c r="H872">
        <f>VLOOKUP(B872,raw!A:K,6,0)</f>
        <v>0</v>
      </c>
      <c r="I872">
        <f>VLOOKUP(B872,raw!A:K,9,0)</f>
        <v>0</v>
      </c>
      <c r="J872">
        <f>VLOOKUP(B872,raw!A:K,8,0)</f>
        <v>0</v>
      </c>
      <c r="K872">
        <f>_xlfn.IFNA(VLOOKUP(B872,TDK!A:C,2,0),0)</f>
        <v>14</v>
      </c>
      <c r="L872">
        <f>_xlfn.IFNA(VLOOKUP(B872,TDK!A:C,3,0),0)</f>
        <v>0</v>
      </c>
      <c r="M872">
        <f>_xlfn.IFNA(VLOOKUP(B872,TDK!F:G,2,0),0)</f>
        <v>0</v>
      </c>
      <c r="N872">
        <f t="shared" si="13"/>
        <v>14</v>
      </c>
    </row>
    <row r="873" spans="1:14" x14ac:dyDescent="0.25">
      <c r="A873" t="s">
        <v>113</v>
      </c>
      <c r="B873" t="s">
        <v>1870</v>
      </c>
      <c r="C873">
        <f>VLOOKUP(B873,raw!A:K,11,0)</f>
        <v>101</v>
      </c>
      <c r="D873">
        <f>VLOOKUP(B873,raw!A:K,3,0)+VLOOKUP(B873,raw!A:K,7,0)</f>
        <v>101</v>
      </c>
      <c r="E873">
        <f>VLOOKUP(B873,raw!A:K,4,0)</f>
        <v>0</v>
      </c>
      <c r="F873">
        <f>VLOOKUP(B873,raw!A:K,5,0)</f>
        <v>0</v>
      </c>
      <c r="G873">
        <f>VLOOKUP(B873,raw!A:K,2,0)+VLOOKUP(B873,raw!A:K,10,0)</f>
        <v>0</v>
      </c>
      <c r="H873">
        <f>VLOOKUP(B873,raw!A:K,6,0)</f>
        <v>0</v>
      </c>
      <c r="I873">
        <f>VLOOKUP(B873,raw!A:K,9,0)</f>
        <v>0</v>
      </c>
      <c r="J873">
        <f>VLOOKUP(B873,raw!A:K,8,0)</f>
        <v>0</v>
      </c>
      <c r="K873">
        <f>_xlfn.IFNA(VLOOKUP(B873,TDK!A:C,2,0),0)</f>
        <v>28</v>
      </c>
      <c r="L873">
        <f>_xlfn.IFNA(VLOOKUP(B873,TDK!A:C,3,0),0)</f>
        <v>2</v>
      </c>
      <c r="M873">
        <f>_xlfn.IFNA(VLOOKUP(B873,TDK!F:G,2,0),0)</f>
        <v>4</v>
      </c>
      <c r="N873">
        <f t="shared" si="13"/>
        <v>34</v>
      </c>
    </row>
    <row r="874" spans="1:14" x14ac:dyDescent="0.25">
      <c r="A874" t="s">
        <v>973</v>
      </c>
      <c r="B874" t="s">
        <v>1871</v>
      </c>
      <c r="C874">
        <f>VLOOKUP(B874,raw!A:K,11,0)</f>
        <v>61</v>
      </c>
      <c r="D874">
        <f>VLOOKUP(B874,raw!A:K,3,0)+VLOOKUP(B874,raw!A:K,7,0)</f>
        <v>58</v>
      </c>
      <c r="E874">
        <f>VLOOKUP(B874,raw!A:K,4,0)</f>
        <v>2</v>
      </c>
      <c r="F874">
        <f>VLOOKUP(B874,raw!A:K,5,0)</f>
        <v>0</v>
      </c>
      <c r="G874">
        <f>VLOOKUP(B874,raw!A:K,2,0)+VLOOKUP(B874,raw!A:K,10,0)</f>
        <v>0</v>
      </c>
      <c r="H874">
        <f>VLOOKUP(B874,raw!A:K,6,0)</f>
        <v>0</v>
      </c>
      <c r="I874">
        <f>VLOOKUP(B874,raw!A:K,9,0)</f>
        <v>1</v>
      </c>
      <c r="J874">
        <f>VLOOKUP(B874,raw!A:K,8,0)</f>
        <v>0</v>
      </c>
      <c r="K874">
        <f>_xlfn.IFNA(VLOOKUP(B874,TDK!A:C,2,0),0)</f>
        <v>22</v>
      </c>
      <c r="L874">
        <f>_xlfn.IFNA(VLOOKUP(B874,TDK!A:C,3,0),0)</f>
        <v>0</v>
      </c>
      <c r="M874">
        <f>_xlfn.IFNA(VLOOKUP(B874,TDK!F:G,2,0),0)</f>
        <v>0</v>
      </c>
      <c r="N874">
        <f t="shared" si="13"/>
        <v>22</v>
      </c>
    </row>
    <row r="875" spans="1:14" x14ac:dyDescent="0.25">
      <c r="A875" t="s">
        <v>973</v>
      </c>
      <c r="B875" t="s">
        <v>1872</v>
      </c>
      <c r="C875">
        <f>VLOOKUP(B875,raw!A:K,11,0)</f>
        <v>43</v>
      </c>
      <c r="D875">
        <f>VLOOKUP(B875,raw!A:K,3,0)+VLOOKUP(B875,raw!A:K,7,0)</f>
        <v>38</v>
      </c>
      <c r="E875">
        <f>VLOOKUP(B875,raw!A:K,4,0)</f>
        <v>1</v>
      </c>
      <c r="F875">
        <f>VLOOKUP(B875,raw!A:K,5,0)</f>
        <v>0</v>
      </c>
      <c r="G875">
        <f>VLOOKUP(B875,raw!A:K,2,0)+VLOOKUP(B875,raw!A:K,10,0)</f>
        <v>0</v>
      </c>
      <c r="H875">
        <f>VLOOKUP(B875,raw!A:K,6,0)</f>
        <v>0</v>
      </c>
      <c r="I875">
        <f>VLOOKUP(B875,raw!A:K,9,0)</f>
        <v>4</v>
      </c>
      <c r="J875">
        <f>VLOOKUP(B875,raw!A:K,8,0)</f>
        <v>0</v>
      </c>
      <c r="K875">
        <f>_xlfn.IFNA(VLOOKUP(B875,TDK!A:C,2,0),0)</f>
        <v>14</v>
      </c>
      <c r="L875">
        <f>_xlfn.IFNA(VLOOKUP(B875,TDK!A:C,3,0),0)</f>
        <v>1</v>
      </c>
      <c r="M875">
        <f>_xlfn.IFNA(VLOOKUP(B875,TDK!F:G,2,0),0)</f>
        <v>1</v>
      </c>
      <c r="N875">
        <f t="shared" si="13"/>
        <v>16</v>
      </c>
    </row>
    <row r="876" spans="1:14" x14ac:dyDescent="0.25">
      <c r="A876" t="s">
        <v>973</v>
      </c>
      <c r="B876" t="s">
        <v>1873</v>
      </c>
      <c r="C876">
        <f>VLOOKUP(B876,raw!A:K,11,0)</f>
        <v>31</v>
      </c>
      <c r="D876">
        <f>VLOOKUP(B876,raw!A:K,3,0)+VLOOKUP(B876,raw!A:K,7,0)</f>
        <v>18</v>
      </c>
      <c r="E876">
        <f>VLOOKUP(B876,raw!A:K,4,0)</f>
        <v>4</v>
      </c>
      <c r="F876">
        <f>VLOOKUP(B876,raw!A:K,5,0)</f>
        <v>0</v>
      </c>
      <c r="G876">
        <f>VLOOKUP(B876,raw!A:K,2,0)+VLOOKUP(B876,raw!A:K,10,0)</f>
        <v>0</v>
      </c>
      <c r="H876">
        <f>VLOOKUP(B876,raw!A:K,6,0)</f>
        <v>0</v>
      </c>
      <c r="I876">
        <f>VLOOKUP(B876,raw!A:K,9,0)</f>
        <v>9</v>
      </c>
      <c r="J876">
        <f>VLOOKUP(B876,raw!A:K,8,0)</f>
        <v>0</v>
      </c>
      <c r="K876">
        <f>_xlfn.IFNA(VLOOKUP(B876,TDK!A:C,2,0),0)</f>
        <v>7</v>
      </c>
      <c r="L876">
        <f>_xlfn.IFNA(VLOOKUP(B876,TDK!A:C,3,0),0)</f>
        <v>0</v>
      </c>
      <c r="M876">
        <f>_xlfn.IFNA(VLOOKUP(B876,TDK!F:G,2,0),0)</f>
        <v>0</v>
      </c>
      <c r="N876">
        <f t="shared" si="13"/>
        <v>7</v>
      </c>
    </row>
    <row r="877" spans="1:14" x14ac:dyDescent="0.25">
      <c r="A877" t="s">
        <v>973</v>
      </c>
      <c r="B877" t="s">
        <v>1874</v>
      </c>
      <c r="C877">
        <f>VLOOKUP(B877,raw!A:K,11,0)</f>
        <v>72</v>
      </c>
      <c r="D877">
        <f>VLOOKUP(B877,raw!A:K,3,0)+VLOOKUP(B877,raw!A:K,7,0)</f>
        <v>57</v>
      </c>
      <c r="E877">
        <f>VLOOKUP(B877,raw!A:K,4,0)</f>
        <v>5</v>
      </c>
      <c r="F877">
        <f>VLOOKUP(B877,raw!A:K,5,0)</f>
        <v>0</v>
      </c>
      <c r="G877">
        <f>VLOOKUP(B877,raw!A:K,2,0)+VLOOKUP(B877,raw!A:K,10,0)</f>
        <v>0</v>
      </c>
      <c r="H877">
        <f>VLOOKUP(B877,raw!A:K,6,0)</f>
        <v>0</v>
      </c>
      <c r="I877">
        <f>VLOOKUP(B877,raw!A:K,9,0)</f>
        <v>10</v>
      </c>
      <c r="J877">
        <f>VLOOKUP(B877,raw!A:K,8,0)</f>
        <v>0</v>
      </c>
      <c r="K877">
        <f>_xlfn.IFNA(VLOOKUP(B877,TDK!A:C,2,0),0)</f>
        <v>25</v>
      </c>
      <c r="L877">
        <f>_xlfn.IFNA(VLOOKUP(B877,TDK!A:C,3,0),0)</f>
        <v>0</v>
      </c>
      <c r="M877">
        <f>_xlfn.IFNA(VLOOKUP(B877,TDK!F:G,2,0),0)</f>
        <v>0</v>
      </c>
      <c r="N877">
        <f t="shared" si="13"/>
        <v>25</v>
      </c>
    </row>
    <row r="878" spans="1:14" x14ac:dyDescent="0.25">
      <c r="A878" t="s">
        <v>113</v>
      </c>
      <c r="B878" t="s">
        <v>1875</v>
      </c>
      <c r="C878">
        <f>VLOOKUP(B878,raw!A:K,11,0)</f>
        <v>102</v>
      </c>
      <c r="D878">
        <f>VLOOKUP(B878,raw!A:K,3,0)+VLOOKUP(B878,raw!A:K,7,0)</f>
        <v>102</v>
      </c>
      <c r="E878">
        <f>VLOOKUP(B878,raw!A:K,4,0)</f>
        <v>0</v>
      </c>
      <c r="F878">
        <f>VLOOKUP(B878,raw!A:K,5,0)</f>
        <v>0</v>
      </c>
      <c r="G878">
        <f>VLOOKUP(B878,raw!A:K,2,0)+VLOOKUP(B878,raw!A:K,10,0)</f>
        <v>0</v>
      </c>
      <c r="H878">
        <f>VLOOKUP(B878,raw!A:K,6,0)</f>
        <v>0</v>
      </c>
      <c r="I878">
        <f>VLOOKUP(B878,raw!A:K,9,0)</f>
        <v>0</v>
      </c>
      <c r="J878">
        <f>VLOOKUP(B878,raw!A:K,8,0)</f>
        <v>0</v>
      </c>
      <c r="K878">
        <f>_xlfn.IFNA(VLOOKUP(B878,TDK!A:C,2,0),0)</f>
        <v>24</v>
      </c>
      <c r="L878">
        <f>_xlfn.IFNA(VLOOKUP(B878,TDK!A:C,3,0),0)</f>
        <v>2</v>
      </c>
      <c r="M878">
        <f>_xlfn.IFNA(VLOOKUP(B878,TDK!F:G,2,0),0)</f>
        <v>10</v>
      </c>
      <c r="N878">
        <f t="shared" si="13"/>
        <v>36</v>
      </c>
    </row>
    <row r="879" spans="1:14" x14ac:dyDescent="0.25">
      <c r="A879" t="s">
        <v>113</v>
      </c>
      <c r="B879" t="s">
        <v>1876</v>
      </c>
      <c r="C879">
        <f>VLOOKUP(B879,raw!A:K,11,0)</f>
        <v>70</v>
      </c>
      <c r="D879">
        <f>VLOOKUP(B879,raw!A:K,3,0)+VLOOKUP(B879,raw!A:K,7,0)</f>
        <v>69</v>
      </c>
      <c r="E879">
        <f>VLOOKUP(B879,raw!A:K,4,0)</f>
        <v>0</v>
      </c>
      <c r="F879">
        <f>VLOOKUP(B879,raw!A:K,5,0)</f>
        <v>0</v>
      </c>
      <c r="G879">
        <f>VLOOKUP(B879,raw!A:K,2,0)+VLOOKUP(B879,raw!A:K,10,0)</f>
        <v>0</v>
      </c>
      <c r="H879">
        <f>VLOOKUP(B879,raw!A:K,6,0)</f>
        <v>0</v>
      </c>
      <c r="I879">
        <f>VLOOKUP(B879,raw!A:K,9,0)</f>
        <v>1</v>
      </c>
      <c r="J879">
        <f>VLOOKUP(B879,raw!A:K,8,0)</f>
        <v>0</v>
      </c>
      <c r="K879">
        <f>_xlfn.IFNA(VLOOKUP(B879,TDK!A:C,2,0),0)</f>
        <v>16</v>
      </c>
      <c r="L879">
        <f>_xlfn.IFNA(VLOOKUP(B879,TDK!A:C,3,0),0)</f>
        <v>2</v>
      </c>
      <c r="M879">
        <f>_xlfn.IFNA(VLOOKUP(B879,TDK!F:G,2,0),0)</f>
        <v>3</v>
      </c>
      <c r="N879">
        <f t="shared" si="13"/>
        <v>21</v>
      </c>
    </row>
    <row r="880" spans="1:14" x14ac:dyDescent="0.25">
      <c r="A880" t="s">
        <v>113</v>
      </c>
      <c r="B880" t="s">
        <v>1877</v>
      </c>
      <c r="C880">
        <f>VLOOKUP(B880,raw!A:K,11,0)</f>
        <v>83</v>
      </c>
      <c r="D880">
        <f>VLOOKUP(B880,raw!A:K,3,0)+VLOOKUP(B880,raw!A:K,7,0)</f>
        <v>83</v>
      </c>
      <c r="E880">
        <f>VLOOKUP(B880,raw!A:K,4,0)</f>
        <v>0</v>
      </c>
      <c r="F880">
        <f>VLOOKUP(B880,raw!A:K,5,0)</f>
        <v>0</v>
      </c>
      <c r="G880">
        <f>VLOOKUP(B880,raw!A:K,2,0)+VLOOKUP(B880,raw!A:K,10,0)</f>
        <v>0</v>
      </c>
      <c r="H880">
        <f>VLOOKUP(B880,raw!A:K,6,0)</f>
        <v>0</v>
      </c>
      <c r="I880">
        <f>VLOOKUP(B880,raw!A:K,9,0)</f>
        <v>0</v>
      </c>
      <c r="J880">
        <f>VLOOKUP(B880,raw!A:K,8,0)</f>
        <v>0</v>
      </c>
      <c r="K880">
        <f>_xlfn.IFNA(VLOOKUP(B880,TDK!A:C,2,0),0)</f>
        <v>14</v>
      </c>
      <c r="L880">
        <f>_xlfn.IFNA(VLOOKUP(B880,TDK!A:C,3,0),0)</f>
        <v>3</v>
      </c>
      <c r="M880">
        <f>_xlfn.IFNA(VLOOKUP(B880,TDK!F:G,2,0),0)</f>
        <v>7</v>
      </c>
      <c r="N880">
        <f t="shared" si="13"/>
        <v>24</v>
      </c>
    </row>
    <row r="881" spans="1:14" x14ac:dyDescent="0.25">
      <c r="A881" t="s">
        <v>113</v>
      </c>
      <c r="B881" t="s">
        <v>1878</v>
      </c>
      <c r="C881">
        <f>VLOOKUP(B881,raw!A:K,11,0)</f>
        <v>76</v>
      </c>
      <c r="D881">
        <f>VLOOKUP(B881,raw!A:K,3,0)+VLOOKUP(B881,raw!A:K,7,0)</f>
        <v>76</v>
      </c>
      <c r="E881">
        <f>VLOOKUP(B881,raw!A:K,4,0)</f>
        <v>0</v>
      </c>
      <c r="F881">
        <f>VLOOKUP(B881,raw!A:K,5,0)</f>
        <v>0</v>
      </c>
      <c r="G881">
        <f>VLOOKUP(B881,raw!A:K,2,0)+VLOOKUP(B881,raw!A:K,10,0)</f>
        <v>0</v>
      </c>
      <c r="H881">
        <f>VLOOKUP(B881,raw!A:K,6,0)</f>
        <v>0</v>
      </c>
      <c r="I881">
        <f>VLOOKUP(B881,raw!A:K,9,0)</f>
        <v>0</v>
      </c>
      <c r="J881">
        <f>VLOOKUP(B881,raw!A:K,8,0)</f>
        <v>0</v>
      </c>
      <c r="K881">
        <f>_xlfn.IFNA(VLOOKUP(B881,TDK!A:C,2,0),0)</f>
        <v>16</v>
      </c>
      <c r="L881">
        <f>_xlfn.IFNA(VLOOKUP(B881,TDK!A:C,3,0),0)</f>
        <v>1</v>
      </c>
      <c r="M881">
        <f>_xlfn.IFNA(VLOOKUP(B881,TDK!F:G,2,0),0)</f>
        <v>5</v>
      </c>
      <c r="N881">
        <f t="shared" si="13"/>
        <v>22</v>
      </c>
    </row>
    <row r="882" spans="1:14" x14ac:dyDescent="0.25">
      <c r="A882" t="s">
        <v>973</v>
      </c>
      <c r="B882" t="s">
        <v>1879</v>
      </c>
      <c r="C882">
        <f>VLOOKUP(B882,raw!A:K,11,0)</f>
        <v>60</v>
      </c>
      <c r="D882">
        <f>VLOOKUP(B882,raw!A:K,3,0)+VLOOKUP(B882,raw!A:K,7,0)</f>
        <v>60</v>
      </c>
      <c r="E882">
        <f>VLOOKUP(B882,raw!A:K,4,0)</f>
        <v>0</v>
      </c>
      <c r="F882">
        <f>VLOOKUP(B882,raw!A:K,5,0)</f>
        <v>0</v>
      </c>
      <c r="G882">
        <f>VLOOKUP(B882,raw!A:K,2,0)+VLOOKUP(B882,raw!A:K,10,0)</f>
        <v>0</v>
      </c>
      <c r="H882">
        <f>VLOOKUP(B882,raw!A:K,6,0)</f>
        <v>0</v>
      </c>
      <c r="I882">
        <f>VLOOKUP(B882,raw!A:K,9,0)</f>
        <v>0</v>
      </c>
      <c r="J882">
        <f>VLOOKUP(B882,raw!A:K,8,0)</f>
        <v>0</v>
      </c>
      <c r="K882">
        <f>_xlfn.IFNA(VLOOKUP(B882,TDK!A:C,2,0),0)</f>
        <v>13</v>
      </c>
      <c r="L882">
        <f>_xlfn.IFNA(VLOOKUP(B882,TDK!A:C,3,0),0)</f>
        <v>0</v>
      </c>
      <c r="M882">
        <f>_xlfn.IFNA(VLOOKUP(B882,TDK!F:G,2,0),0)</f>
        <v>3</v>
      </c>
      <c r="N882">
        <f t="shared" si="13"/>
        <v>16</v>
      </c>
    </row>
    <row r="883" spans="1:14" x14ac:dyDescent="0.25">
      <c r="A883" t="s">
        <v>113</v>
      </c>
      <c r="B883" t="s">
        <v>1880</v>
      </c>
      <c r="C883">
        <f>VLOOKUP(B883,raw!A:K,11,0)</f>
        <v>155</v>
      </c>
      <c r="D883">
        <f>VLOOKUP(B883,raw!A:K,3,0)+VLOOKUP(B883,raw!A:K,7,0)</f>
        <v>155</v>
      </c>
      <c r="E883">
        <f>VLOOKUP(B883,raw!A:K,4,0)</f>
        <v>0</v>
      </c>
      <c r="F883">
        <f>VLOOKUP(B883,raw!A:K,5,0)</f>
        <v>0</v>
      </c>
      <c r="G883">
        <f>VLOOKUP(B883,raw!A:K,2,0)+VLOOKUP(B883,raw!A:K,10,0)</f>
        <v>0</v>
      </c>
      <c r="H883">
        <f>VLOOKUP(B883,raw!A:K,6,0)</f>
        <v>0</v>
      </c>
      <c r="I883">
        <f>VLOOKUP(B883,raw!A:K,9,0)</f>
        <v>0</v>
      </c>
      <c r="J883">
        <f>VLOOKUP(B883,raw!A:K,8,0)</f>
        <v>0</v>
      </c>
      <c r="K883">
        <f>_xlfn.IFNA(VLOOKUP(B883,TDK!A:C,2,0),0)</f>
        <v>31</v>
      </c>
      <c r="L883">
        <f>_xlfn.IFNA(VLOOKUP(B883,TDK!A:C,3,0),0)</f>
        <v>0</v>
      </c>
      <c r="M883">
        <f>_xlfn.IFNA(VLOOKUP(B883,TDK!F:G,2,0),0)</f>
        <v>23</v>
      </c>
      <c r="N883">
        <f t="shared" si="13"/>
        <v>54</v>
      </c>
    </row>
    <row r="884" spans="1:14" x14ac:dyDescent="0.25">
      <c r="A884" t="s">
        <v>120</v>
      </c>
      <c r="B884" t="s">
        <v>1881</v>
      </c>
      <c r="C884">
        <f>VLOOKUP(B884,raw!A:K,11,0)</f>
        <v>230</v>
      </c>
      <c r="D884">
        <f>VLOOKUP(B884,raw!A:K,3,0)+VLOOKUP(B884,raw!A:K,7,0)</f>
        <v>227</v>
      </c>
      <c r="E884">
        <f>VLOOKUP(B884,raw!A:K,4,0)</f>
        <v>0</v>
      </c>
      <c r="F884">
        <f>VLOOKUP(B884,raw!A:K,5,0)</f>
        <v>0</v>
      </c>
      <c r="G884">
        <f>VLOOKUP(B884,raw!A:K,2,0)+VLOOKUP(B884,raw!A:K,10,0)</f>
        <v>0</v>
      </c>
      <c r="H884">
        <f>VLOOKUP(B884,raw!A:K,6,0)</f>
        <v>0</v>
      </c>
      <c r="I884">
        <f>VLOOKUP(B884,raw!A:K,9,0)</f>
        <v>3</v>
      </c>
      <c r="J884">
        <f>VLOOKUP(B884,raw!A:K,8,0)</f>
        <v>0</v>
      </c>
      <c r="K884">
        <f>_xlfn.IFNA(VLOOKUP(B884,TDK!A:C,2,0),0)</f>
        <v>60</v>
      </c>
      <c r="L884">
        <f>_xlfn.IFNA(VLOOKUP(B884,TDK!A:C,3,0),0)</f>
        <v>1</v>
      </c>
      <c r="M884">
        <f>_xlfn.IFNA(VLOOKUP(B884,TDK!F:G,2,0),0)</f>
        <v>11</v>
      </c>
      <c r="N884">
        <f t="shared" si="13"/>
        <v>72</v>
      </c>
    </row>
    <row r="885" spans="1:14" x14ac:dyDescent="0.25">
      <c r="A885" t="s">
        <v>120</v>
      </c>
      <c r="B885" t="s">
        <v>1882</v>
      </c>
      <c r="C885">
        <f>VLOOKUP(B885,raw!A:K,11,0)</f>
        <v>105</v>
      </c>
      <c r="D885">
        <f>VLOOKUP(B885,raw!A:K,3,0)+VLOOKUP(B885,raw!A:K,7,0)</f>
        <v>99</v>
      </c>
      <c r="E885">
        <f>VLOOKUP(B885,raw!A:K,4,0)</f>
        <v>0</v>
      </c>
      <c r="F885">
        <f>VLOOKUP(B885,raw!A:K,5,0)</f>
        <v>0</v>
      </c>
      <c r="G885">
        <f>VLOOKUP(B885,raw!A:K,2,0)+VLOOKUP(B885,raw!A:K,10,0)</f>
        <v>0</v>
      </c>
      <c r="H885">
        <f>VLOOKUP(B885,raw!A:K,6,0)</f>
        <v>0</v>
      </c>
      <c r="I885">
        <f>VLOOKUP(B885,raw!A:K,9,0)</f>
        <v>6</v>
      </c>
      <c r="J885">
        <f>VLOOKUP(B885,raw!A:K,8,0)</f>
        <v>0</v>
      </c>
      <c r="K885">
        <f>_xlfn.IFNA(VLOOKUP(B885,TDK!A:C,2,0),0)</f>
        <v>7</v>
      </c>
      <c r="L885">
        <f>_xlfn.IFNA(VLOOKUP(B885,TDK!A:C,3,0),0)</f>
        <v>0</v>
      </c>
      <c r="M885">
        <f>_xlfn.IFNA(VLOOKUP(B885,TDK!F:G,2,0),0)</f>
        <v>18</v>
      </c>
      <c r="N885">
        <f t="shared" si="13"/>
        <v>25</v>
      </c>
    </row>
    <row r="886" spans="1:14" x14ac:dyDescent="0.25">
      <c r="A886" t="s">
        <v>120</v>
      </c>
      <c r="B886" t="s">
        <v>1883</v>
      </c>
      <c r="C886">
        <f>VLOOKUP(B886,raw!A:K,11,0)</f>
        <v>161</v>
      </c>
      <c r="D886">
        <f>VLOOKUP(B886,raw!A:K,3,0)+VLOOKUP(B886,raw!A:K,7,0)</f>
        <v>115</v>
      </c>
      <c r="E886">
        <f>VLOOKUP(B886,raw!A:K,4,0)</f>
        <v>0</v>
      </c>
      <c r="F886">
        <f>VLOOKUP(B886,raw!A:K,5,0)</f>
        <v>0</v>
      </c>
      <c r="G886">
        <f>VLOOKUP(B886,raw!A:K,2,0)+VLOOKUP(B886,raw!A:K,10,0)</f>
        <v>2</v>
      </c>
      <c r="H886">
        <f>VLOOKUP(B886,raw!A:K,6,0)</f>
        <v>0</v>
      </c>
      <c r="I886">
        <f>VLOOKUP(B886,raw!A:K,9,0)</f>
        <v>44</v>
      </c>
      <c r="J886">
        <f>VLOOKUP(B886,raw!A:K,8,0)</f>
        <v>0</v>
      </c>
      <c r="K886">
        <f>_xlfn.IFNA(VLOOKUP(B886,TDK!A:C,2,0),0)</f>
        <v>39</v>
      </c>
      <c r="L886">
        <f>_xlfn.IFNA(VLOOKUP(B886,TDK!A:C,3,0),0)</f>
        <v>5</v>
      </c>
      <c r="M886">
        <f>_xlfn.IFNA(VLOOKUP(B886,TDK!F:G,2,0),0)</f>
        <v>10</v>
      </c>
      <c r="N886">
        <f t="shared" si="13"/>
        <v>54</v>
      </c>
    </row>
    <row r="887" spans="1:14" x14ac:dyDescent="0.25">
      <c r="A887" t="s">
        <v>120</v>
      </c>
      <c r="B887" t="s">
        <v>1884</v>
      </c>
      <c r="C887">
        <f>VLOOKUP(B887,raw!A:K,11,0)</f>
        <v>181</v>
      </c>
      <c r="D887">
        <f>VLOOKUP(B887,raw!A:K,3,0)+VLOOKUP(B887,raw!A:K,7,0)</f>
        <v>108</v>
      </c>
      <c r="E887">
        <f>VLOOKUP(B887,raw!A:K,4,0)</f>
        <v>0</v>
      </c>
      <c r="F887">
        <f>VLOOKUP(B887,raw!A:K,5,0)</f>
        <v>0</v>
      </c>
      <c r="G887">
        <f>VLOOKUP(B887,raw!A:K,2,0)+VLOOKUP(B887,raw!A:K,10,0)</f>
        <v>0</v>
      </c>
      <c r="H887">
        <f>VLOOKUP(B887,raw!A:K,6,0)</f>
        <v>0</v>
      </c>
      <c r="I887">
        <f>VLOOKUP(B887,raw!A:K,9,0)</f>
        <v>73</v>
      </c>
      <c r="J887">
        <f>VLOOKUP(B887,raw!A:K,8,0)</f>
        <v>0</v>
      </c>
      <c r="K887">
        <f>_xlfn.IFNA(VLOOKUP(B887,TDK!A:C,2,0),0)</f>
        <v>38</v>
      </c>
      <c r="L887">
        <f>_xlfn.IFNA(VLOOKUP(B887,TDK!A:C,3,0),0)</f>
        <v>16</v>
      </c>
      <c r="M887">
        <f>_xlfn.IFNA(VLOOKUP(B887,TDK!F:G,2,0),0)</f>
        <v>6</v>
      </c>
      <c r="N887">
        <f t="shared" si="13"/>
        <v>60</v>
      </c>
    </row>
    <row r="888" spans="1:14" x14ac:dyDescent="0.25">
      <c r="A888" t="s">
        <v>110</v>
      </c>
      <c r="B888" t="s">
        <v>1885</v>
      </c>
      <c r="C888">
        <f>VLOOKUP(B888,raw!A:K,11,0)</f>
        <v>180</v>
      </c>
      <c r="D888">
        <f>VLOOKUP(B888,raw!A:K,3,0)+VLOOKUP(B888,raw!A:K,7,0)</f>
        <v>132</v>
      </c>
      <c r="E888">
        <f>VLOOKUP(B888,raw!A:K,4,0)</f>
        <v>0</v>
      </c>
      <c r="F888">
        <f>VLOOKUP(B888,raw!A:K,5,0)</f>
        <v>0</v>
      </c>
      <c r="G888">
        <f>VLOOKUP(B888,raw!A:K,2,0)+VLOOKUP(B888,raw!A:K,10,0)</f>
        <v>0</v>
      </c>
      <c r="H888">
        <f>VLOOKUP(B888,raw!A:K,6,0)</f>
        <v>0</v>
      </c>
      <c r="I888">
        <f>VLOOKUP(B888,raw!A:K,9,0)</f>
        <v>48</v>
      </c>
      <c r="J888">
        <f>VLOOKUP(B888,raw!A:K,8,0)</f>
        <v>0</v>
      </c>
      <c r="K888">
        <f>_xlfn.IFNA(VLOOKUP(B888,TDK!A:C,2,0),0)</f>
        <v>39</v>
      </c>
      <c r="L888">
        <f>_xlfn.IFNA(VLOOKUP(B888,TDK!A:C,3,0),0)</f>
        <v>5</v>
      </c>
      <c r="M888">
        <f>_xlfn.IFNA(VLOOKUP(B888,TDK!F:G,2,0),0)</f>
        <v>26</v>
      </c>
      <c r="N888">
        <f t="shared" si="13"/>
        <v>70</v>
      </c>
    </row>
    <row r="889" spans="1:14" x14ac:dyDescent="0.25">
      <c r="A889" t="s">
        <v>121</v>
      </c>
      <c r="B889" t="s">
        <v>1886</v>
      </c>
      <c r="C889">
        <f>VLOOKUP(B889,raw!A:K,11,0)</f>
        <v>243</v>
      </c>
      <c r="D889">
        <f>VLOOKUP(B889,raw!A:K,3,0)+VLOOKUP(B889,raw!A:K,7,0)</f>
        <v>158</v>
      </c>
      <c r="E889">
        <f>VLOOKUP(B889,raw!A:K,4,0)</f>
        <v>0</v>
      </c>
      <c r="F889">
        <f>VLOOKUP(B889,raw!A:K,5,0)</f>
        <v>0</v>
      </c>
      <c r="G889">
        <f>VLOOKUP(B889,raw!A:K,2,0)+VLOOKUP(B889,raw!A:K,10,0)</f>
        <v>0</v>
      </c>
      <c r="H889">
        <f>VLOOKUP(B889,raw!A:K,6,0)</f>
        <v>0</v>
      </c>
      <c r="I889">
        <f>VLOOKUP(B889,raw!A:K,9,0)</f>
        <v>85</v>
      </c>
      <c r="J889">
        <f>VLOOKUP(B889,raw!A:K,8,0)</f>
        <v>0</v>
      </c>
      <c r="K889">
        <f>_xlfn.IFNA(VLOOKUP(B889,TDK!A:C,2,0),0)</f>
        <v>67</v>
      </c>
      <c r="L889">
        <f>_xlfn.IFNA(VLOOKUP(B889,TDK!A:C,3,0),0)</f>
        <v>3</v>
      </c>
      <c r="M889">
        <f>_xlfn.IFNA(VLOOKUP(B889,TDK!F:G,2,0),0)</f>
        <v>19</v>
      </c>
      <c r="N889">
        <f t="shared" si="13"/>
        <v>89</v>
      </c>
    </row>
    <row r="890" spans="1:14" x14ac:dyDescent="0.25">
      <c r="A890" t="s">
        <v>121</v>
      </c>
      <c r="B890" t="s">
        <v>1887</v>
      </c>
      <c r="C890">
        <f>VLOOKUP(B890,raw!A:K,11,0)</f>
        <v>129</v>
      </c>
      <c r="D890">
        <f>VLOOKUP(B890,raw!A:K,3,0)+VLOOKUP(B890,raw!A:K,7,0)</f>
        <v>103</v>
      </c>
      <c r="E890">
        <f>VLOOKUP(B890,raw!A:K,4,0)</f>
        <v>1</v>
      </c>
      <c r="F890">
        <f>VLOOKUP(B890,raw!A:K,5,0)</f>
        <v>0</v>
      </c>
      <c r="G890">
        <f>VLOOKUP(B890,raw!A:K,2,0)+VLOOKUP(B890,raw!A:K,10,0)</f>
        <v>0</v>
      </c>
      <c r="H890">
        <f>VLOOKUP(B890,raw!A:K,6,0)</f>
        <v>0</v>
      </c>
      <c r="I890">
        <f>VLOOKUP(B890,raw!A:K,9,0)</f>
        <v>25</v>
      </c>
      <c r="J890">
        <f>VLOOKUP(B890,raw!A:K,8,0)</f>
        <v>0</v>
      </c>
      <c r="K890">
        <f>_xlfn.IFNA(VLOOKUP(B890,TDK!A:C,2,0),0)</f>
        <v>45</v>
      </c>
      <c r="L890">
        <f>_xlfn.IFNA(VLOOKUP(B890,TDK!A:C,3,0),0)</f>
        <v>3</v>
      </c>
      <c r="M890">
        <f>_xlfn.IFNA(VLOOKUP(B890,TDK!F:G,2,0),0)</f>
        <v>12</v>
      </c>
      <c r="N890">
        <f t="shared" si="13"/>
        <v>60</v>
      </c>
    </row>
    <row r="891" spans="1:14" x14ac:dyDescent="0.25">
      <c r="A891" t="s">
        <v>122</v>
      </c>
      <c r="B891" t="s">
        <v>1888</v>
      </c>
      <c r="C891">
        <f>VLOOKUP(B891,raw!A:K,11,0)</f>
        <v>106</v>
      </c>
      <c r="D891">
        <f>VLOOKUP(B891,raw!A:K,3,0)+VLOOKUP(B891,raw!A:K,7,0)</f>
        <v>55</v>
      </c>
      <c r="E891">
        <f>VLOOKUP(B891,raw!A:K,4,0)</f>
        <v>15</v>
      </c>
      <c r="F891">
        <f>VLOOKUP(B891,raw!A:K,5,0)</f>
        <v>0</v>
      </c>
      <c r="G891">
        <f>VLOOKUP(B891,raw!A:K,2,0)+VLOOKUP(B891,raw!A:K,10,0)</f>
        <v>5</v>
      </c>
      <c r="H891">
        <f>VLOOKUP(B891,raw!A:K,6,0)</f>
        <v>0</v>
      </c>
      <c r="I891">
        <f>VLOOKUP(B891,raw!A:K,9,0)</f>
        <v>31</v>
      </c>
      <c r="J891">
        <f>VLOOKUP(B891,raw!A:K,8,0)</f>
        <v>0</v>
      </c>
      <c r="K891">
        <f>_xlfn.IFNA(VLOOKUP(B891,TDK!A:C,2,0),0)</f>
        <v>19</v>
      </c>
      <c r="L891">
        <f>_xlfn.IFNA(VLOOKUP(B891,TDK!A:C,3,0),0)</f>
        <v>23</v>
      </c>
      <c r="M891">
        <f>_xlfn.IFNA(VLOOKUP(B891,TDK!F:G,2,0),0)</f>
        <v>13</v>
      </c>
      <c r="N891">
        <f t="shared" si="13"/>
        <v>55</v>
      </c>
    </row>
    <row r="892" spans="1:14" x14ac:dyDescent="0.25">
      <c r="A892" t="s">
        <v>123</v>
      </c>
      <c r="B892" t="s">
        <v>1889</v>
      </c>
      <c r="C892">
        <f>VLOOKUP(B892,raw!A:K,11,0)</f>
        <v>219</v>
      </c>
      <c r="D892">
        <f>VLOOKUP(B892,raw!A:K,3,0)+VLOOKUP(B892,raw!A:K,7,0)</f>
        <v>213</v>
      </c>
      <c r="E892">
        <f>VLOOKUP(B892,raw!A:K,4,0)</f>
        <v>1</v>
      </c>
      <c r="F892">
        <f>VLOOKUP(B892,raw!A:K,5,0)</f>
        <v>0</v>
      </c>
      <c r="G892">
        <f>VLOOKUP(B892,raw!A:K,2,0)+VLOOKUP(B892,raw!A:K,10,0)</f>
        <v>0</v>
      </c>
      <c r="H892">
        <f>VLOOKUP(B892,raw!A:K,6,0)</f>
        <v>0</v>
      </c>
      <c r="I892">
        <f>VLOOKUP(B892,raw!A:K,9,0)</f>
        <v>5</v>
      </c>
      <c r="J892">
        <f>VLOOKUP(B892,raw!A:K,8,0)</f>
        <v>0</v>
      </c>
      <c r="K892">
        <f>_xlfn.IFNA(VLOOKUP(B892,TDK!A:C,2,0),0)</f>
        <v>47</v>
      </c>
      <c r="L892">
        <f>_xlfn.IFNA(VLOOKUP(B892,TDK!A:C,3,0),0)</f>
        <v>16</v>
      </c>
      <c r="M892">
        <f>_xlfn.IFNA(VLOOKUP(B892,TDK!F:G,2,0),0)</f>
        <v>33</v>
      </c>
      <c r="N892">
        <f t="shared" si="13"/>
        <v>96</v>
      </c>
    </row>
    <row r="893" spans="1:14" x14ac:dyDescent="0.25">
      <c r="A893" t="s">
        <v>122</v>
      </c>
      <c r="B893" t="s">
        <v>1890</v>
      </c>
      <c r="C893">
        <f>VLOOKUP(B893,raw!A:K,11,0)</f>
        <v>218</v>
      </c>
      <c r="D893">
        <f>VLOOKUP(B893,raw!A:K,3,0)+VLOOKUP(B893,raw!A:K,7,0)</f>
        <v>166</v>
      </c>
      <c r="E893">
        <f>VLOOKUP(B893,raw!A:K,4,0)</f>
        <v>20</v>
      </c>
      <c r="F893">
        <f>VLOOKUP(B893,raw!A:K,5,0)</f>
        <v>0</v>
      </c>
      <c r="G893">
        <f>VLOOKUP(B893,raw!A:K,2,0)+VLOOKUP(B893,raw!A:K,10,0)</f>
        <v>11</v>
      </c>
      <c r="H893">
        <f>VLOOKUP(B893,raw!A:K,6,0)</f>
        <v>1</v>
      </c>
      <c r="I893">
        <f>VLOOKUP(B893,raw!A:K,9,0)</f>
        <v>20</v>
      </c>
      <c r="J893">
        <f>VLOOKUP(B893,raw!A:K,8,0)</f>
        <v>0</v>
      </c>
      <c r="K893">
        <f>_xlfn.IFNA(VLOOKUP(B893,TDK!A:C,2,0),0)</f>
        <v>81</v>
      </c>
      <c r="L893">
        <f>_xlfn.IFNA(VLOOKUP(B893,TDK!A:C,3,0),0)</f>
        <v>9</v>
      </c>
      <c r="M893">
        <f>_xlfn.IFNA(VLOOKUP(B893,TDK!F:G,2,0),0)</f>
        <v>19</v>
      </c>
      <c r="N893">
        <f t="shared" si="13"/>
        <v>109</v>
      </c>
    </row>
    <row r="894" spans="1:14" x14ac:dyDescent="0.25">
      <c r="A894" t="s">
        <v>122</v>
      </c>
      <c r="B894" t="s">
        <v>1891</v>
      </c>
      <c r="C894">
        <f>VLOOKUP(B894,raw!A:K,11,0)</f>
        <v>128</v>
      </c>
      <c r="D894">
        <f>VLOOKUP(B894,raw!A:K,3,0)+VLOOKUP(B894,raw!A:K,7,0)</f>
        <v>72</v>
      </c>
      <c r="E894">
        <f>VLOOKUP(B894,raw!A:K,4,0)</f>
        <v>10</v>
      </c>
      <c r="F894">
        <f>VLOOKUP(B894,raw!A:K,5,0)</f>
        <v>0</v>
      </c>
      <c r="G894">
        <f>VLOOKUP(B894,raw!A:K,2,0)+VLOOKUP(B894,raw!A:K,10,0)</f>
        <v>7</v>
      </c>
      <c r="H894">
        <f>VLOOKUP(B894,raw!A:K,6,0)</f>
        <v>0</v>
      </c>
      <c r="I894">
        <f>VLOOKUP(B894,raw!A:K,9,0)</f>
        <v>39</v>
      </c>
      <c r="J894">
        <f>VLOOKUP(B894,raw!A:K,8,0)</f>
        <v>0</v>
      </c>
      <c r="K894">
        <f>_xlfn.IFNA(VLOOKUP(B894,TDK!A:C,2,0),0)</f>
        <v>72</v>
      </c>
      <c r="L894">
        <f>_xlfn.IFNA(VLOOKUP(B894,TDK!A:C,3,0),0)</f>
        <v>1</v>
      </c>
      <c r="M894">
        <f>_xlfn.IFNA(VLOOKUP(B894,TDK!F:G,2,0),0)</f>
        <v>8</v>
      </c>
      <c r="N894">
        <f t="shared" si="13"/>
        <v>81</v>
      </c>
    </row>
    <row r="895" spans="1:14" x14ac:dyDescent="0.25">
      <c r="A895" t="s">
        <v>121</v>
      </c>
      <c r="B895" t="s">
        <v>1892</v>
      </c>
      <c r="C895">
        <f>VLOOKUP(B895,raw!A:K,11,0)</f>
        <v>209</v>
      </c>
      <c r="D895">
        <f>VLOOKUP(B895,raw!A:K,3,0)+VLOOKUP(B895,raw!A:K,7,0)</f>
        <v>196</v>
      </c>
      <c r="E895">
        <f>VLOOKUP(B895,raw!A:K,4,0)</f>
        <v>0</v>
      </c>
      <c r="F895">
        <f>VLOOKUP(B895,raw!A:K,5,0)</f>
        <v>0</v>
      </c>
      <c r="G895">
        <f>VLOOKUP(B895,raw!A:K,2,0)+VLOOKUP(B895,raw!A:K,10,0)</f>
        <v>0</v>
      </c>
      <c r="H895">
        <f>VLOOKUP(B895,raw!A:K,6,0)</f>
        <v>1</v>
      </c>
      <c r="I895">
        <f>VLOOKUP(B895,raw!A:K,9,0)</f>
        <v>12</v>
      </c>
      <c r="J895">
        <f>VLOOKUP(B895,raw!A:K,8,0)</f>
        <v>0</v>
      </c>
      <c r="K895">
        <f>_xlfn.IFNA(VLOOKUP(B895,TDK!A:C,2,0),0)</f>
        <v>71</v>
      </c>
      <c r="L895">
        <f>_xlfn.IFNA(VLOOKUP(B895,TDK!A:C,3,0),0)</f>
        <v>6</v>
      </c>
      <c r="M895">
        <f>_xlfn.IFNA(VLOOKUP(B895,TDK!F:G,2,0),0)</f>
        <v>9</v>
      </c>
      <c r="N895">
        <f t="shared" si="13"/>
        <v>86</v>
      </c>
    </row>
    <row r="896" spans="1:14" x14ac:dyDescent="0.25">
      <c r="A896" t="s">
        <v>122</v>
      </c>
      <c r="B896" t="s">
        <v>1893</v>
      </c>
      <c r="C896">
        <f>VLOOKUP(B896,raw!A:K,11,0)</f>
        <v>171</v>
      </c>
      <c r="D896">
        <f>VLOOKUP(B896,raw!A:K,3,0)+VLOOKUP(B896,raw!A:K,7,0)</f>
        <v>81</v>
      </c>
      <c r="E896">
        <f>VLOOKUP(B896,raw!A:K,4,0)</f>
        <v>11</v>
      </c>
      <c r="F896">
        <f>VLOOKUP(B896,raw!A:K,5,0)</f>
        <v>0</v>
      </c>
      <c r="G896">
        <f>VLOOKUP(B896,raw!A:K,2,0)+VLOOKUP(B896,raw!A:K,10,0)</f>
        <v>2</v>
      </c>
      <c r="H896">
        <f>VLOOKUP(B896,raw!A:K,6,0)</f>
        <v>0</v>
      </c>
      <c r="I896">
        <f>VLOOKUP(B896,raw!A:K,9,0)</f>
        <v>77</v>
      </c>
      <c r="J896">
        <f>VLOOKUP(B896,raw!A:K,8,0)</f>
        <v>0</v>
      </c>
      <c r="K896">
        <f>_xlfn.IFNA(VLOOKUP(B896,TDK!A:C,2,0),0)</f>
        <v>75</v>
      </c>
      <c r="L896">
        <f>_xlfn.IFNA(VLOOKUP(B896,TDK!A:C,3,0),0)</f>
        <v>1</v>
      </c>
      <c r="M896">
        <f>_xlfn.IFNA(VLOOKUP(B896,TDK!F:G,2,0),0)</f>
        <v>14</v>
      </c>
      <c r="N896">
        <f t="shared" si="13"/>
        <v>90</v>
      </c>
    </row>
    <row r="897" spans="1:14" x14ac:dyDescent="0.25">
      <c r="A897" t="s">
        <v>122</v>
      </c>
      <c r="B897" t="s">
        <v>1894</v>
      </c>
      <c r="C897">
        <f>VLOOKUP(B897,raw!A:K,11,0)</f>
        <v>116</v>
      </c>
      <c r="D897">
        <f>VLOOKUP(B897,raw!A:K,3,0)+VLOOKUP(B897,raw!A:K,7,0)</f>
        <v>109</v>
      </c>
      <c r="E897">
        <f>VLOOKUP(B897,raw!A:K,4,0)</f>
        <v>4</v>
      </c>
      <c r="F897">
        <f>VLOOKUP(B897,raw!A:K,5,0)</f>
        <v>0</v>
      </c>
      <c r="G897">
        <f>VLOOKUP(B897,raw!A:K,2,0)+VLOOKUP(B897,raw!A:K,10,0)</f>
        <v>0</v>
      </c>
      <c r="H897">
        <f>VLOOKUP(B897,raw!A:K,6,0)</f>
        <v>0</v>
      </c>
      <c r="I897">
        <f>VLOOKUP(B897,raw!A:K,9,0)</f>
        <v>3</v>
      </c>
      <c r="J897">
        <f>VLOOKUP(B897,raw!A:K,8,0)</f>
        <v>0</v>
      </c>
      <c r="K897">
        <f>_xlfn.IFNA(VLOOKUP(B897,TDK!A:C,2,0),0)</f>
        <v>56</v>
      </c>
      <c r="L897">
        <f>_xlfn.IFNA(VLOOKUP(B897,TDK!A:C,3,0),0)</f>
        <v>0</v>
      </c>
      <c r="M897">
        <f>_xlfn.IFNA(VLOOKUP(B897,TDK!F:G,2,0),0)</f>
        <v>3</v>
      </c>
      <c r="N897">
        <f t="shared" si="13"/>
        <v>59</v>
      </c>
    </row>
    <row r="898" spans="1:14" x14ac:dyDescent="0.25">
      <c r="A898" t="s">
        <v>124</v>
      </c>
      <c r="B898" t="s">
        <v>1895</v>
      </c>
      <c r="C898">
        <f>VLOOKUP(B898,raw!A:K,11,0)</f>
        <v>163</v>
      </c>
      <c r="D898">
        <f>VLOOKUP(B898,raw!A:K,3,0)+VLOOKUP(B898,raw!A:K,7,0)</f>
        <v>163</v>
      </c>
      <c r="E898">
        <f>VLOOKUP(B898,raw!A:K,4,0)</f>
        <v>0</v>
      </c>
      <c r="F898">
        <f>VLOOKUP(B898,raw!A:K,5,0)</f>
        <v>0</v>
      </c>
      <c r="G898">
        <f>VLOOKUP(B898,raw!A:K,2,0)+VLOOKUP(B898,raw!A:K,10,0)</f>
        <v>0</v>
      </c>
      <c r="H898">
        <f>VLOOKUP(B898,raw!A:K,6,0)</f>
        <v>0</v>
      </c>
      <c r="I898">
        <f>VLOOKUP(B898,raw!A:K,9,0)</f>
        <v>0</v>
      </c>
      <c r="J898">
        <f>VLOOKUP(B898,raw!A:K,8,0)</f>
        <v>0</v>
      </c>
      <c r="K898">
        <f>_xlfn.IFNA(VLOOKUP(B898,TDK!A:C,2,0),0)</f>
        <v>70</v>
      </c>
      <c r="L898">
        <f>_xlfn.IFNA(VLOOKUP(B898,TDK!A:C,3,0),0)</f>
        <v>1</v>
      </c>
      <c r="M898">
        <f>_xlfn.IFNA(VLOOKUP(B898,TDK!F:G,2,0),0)</f>
        <v>12</v>
      </c>
      <c r="N898">
        <f t="shared" si="13"/>
        <v>83</v>
      </c>
    </row>
    <row r="899" spans="1:14" x14ac:dyDescent="0.25">
      <c r="A899" t="s">
        <v>124</v>
      </c>
      <c r="B899" t="s">
        <v>1896</v>
      </c>
      <c r="C899">
        <f>VLOOKUP(B899,raw!A:K,11,0)</f>
        <v>213</v>
      </c>
      <c r="D899">
        <f>VLOOKUP(B899,raw!A:K,3,0)+VLOOKUP(B899,raw!A:K,7,0)</f>
        <v>213</v>
      </c>
      <c r="E899">
        <f>VLOOKUP(B899,raw!A:K,4,0)</f>
        <v>0</v>
      </c>
      <c r="F899">
        <f>VLOOKUP(B899,raw!A:K,5,0)</f>
        <v>0</v>
      </c>
      <c r="G899">
        <f>VLOOKUP(B899,raw!A:K,2,0)+VLOOKUP(B899,raw!A:K,10,0)</f>
        <v>0</v>
      </c>
      <c r="H899">
        <f>VLOOKUP(B899,raw!A:K,6,0)</f>
        <v>0</v>
      </c>
      <c r="I899">
        <f>VLOOKUP(B899,raw!A:K,9,0)</f>
        <v>0</v>
      </c>
      <c r="J899">
        <f>VLOOKUP(B899,raw!A:K,8,0)</f>
        <v>0</v>
      </c>
      <c r="K899">
        <f>_xlfn.IFNA(VLOOKUP(B899,TDK!A:C,2,0),0)</f>
        <v>64</v>
      </c>
      <c r="L899">
        <f>_xlfn.IFNA(VLOOKUP(B899,TDK!A:C,3,0),0)</f>
        <v>1</v>
      </c>
      <c r="M899">
        <f>_xlfn.IFNA(VLOOKUP(B899,TDK!F:G,2,0),0)</f>
        <v>30</v>
      </c>
      <c r="N899">
        <f t="shared" ref="N899:N962" si="14">SUM(K899:M899)</f>
        <v>95</v>
      </c>
    </row>
    <row r="900" spans="1:14" x14ac:dyDescent="0.25">
      <c r="A900" t="s">
        <v>124</v>
      </c>
      <c r="B900" t="s">
        <v>1897</v>
      </c>
      <c r="C900">
        <f>VLOOKUP(B900,raw!A:K,11,0)</f>
        <v>101</v>
      </c>
      <c r="D900">
        <f>VLOOKUP(B900,raw!A:K,3,0)+VLOOKUP(B900,raw!A:K,7,0)</f>
        <v>101</v>
      </c>
      <c r="E900">
        <f>VLOOKUP(B900,raw!A:K,4,0)</f>
        <v>0</v>
      </c>
      <c r="F900">
        <f>VLOOKUP(B900,raw!A:K,5,0)</f>
        <v>0</v>
      </c>
      <c r="G900">
        <f>VLOOKUP(B900,raw!A:K,2,0)+VLOOKUP(B900,raw!A:K,10,0)</f>
        <v>0</v>
      </c>
      <c r="H900">
        <f>VLOOKUP(B900,raw!A:K,6,0)</f>
        <v>0</v>
      </c>
      <c r="I900">
        <f>VLOOKUP(B900,raw!A:K,9,0)</f>
        <v>0</v>
      </c>
      <c r="J900">
        <f>VLOOKUP(B900,raw!A:K,8,0)</f>
        <v>0</v>
      </c>
      <c r="K900">
        <f>_xlfn.IFNA(VLOOKUP(B900,TDK!A:C,2,0),0)</f>
        <v>25</v>
      </c>
      <c r="L900">
        <f>_xlfn.IFNA(VLOOKUP(B900,TDK!A:C,3,0),0)</f>
        <v>2</v>
      </c>
      <c r="M900">
        <f>_xlfn.IFNA(VLOOKUP(B900,TDK!F:G,2,0),0)</f>
        <v>8</v>
      </c>
      <c r="N900">
        <f t="shared" si="14"/>
        <v>35</v>
      </c>
    </row>
    <row r="901" spans="1:14" x14ac:dyDescent="0.25">
      <c r="A901" t="s">
        <v>124</v>
      </c>
      <c r="B901" t="s">
        <v>1898</v>
      </c>
      <c r="C901">
        <f>VLOOKUP(B901,raw!A:K,11,0)</f>
        <v>142</v>
      </c>
      <c r="D901">
        <f>VLOOKUP(B901,raw!A:K,3,0)+VLOOKUP(B901,raw!A:K,7,0)</f>
        <v>141</v>
      </c>
      <c r="E901">
        <f>VLOOKUP(B901,raw!A:K,4,0)</f>
        <v>0</v>
      </c>
      <c r="F901">
        <f>VLOOKUP(B901,raw!A:K,5,0)</f>
        <v>0</v>
      </c>
      <c r="G901">
        <f>VLOOKUP(B901,raw!A:K,2,0)+VLOOKUP(B901,raw!A:K,10,0)</f>
        <v>1</v>
      </c>
      <c r="H901">
        <f>VLOOKUP(B901,raw!A:K,6,0)</f>
        <v>0</v>
      </c>
      <c r="I901">
        <f>VLOOKUP(B901,raw!A:K,9,0)</f>
        <v>0</v>
      </c>
      <c r="J901">
        <f>VLOOKUP(B901,raw!A:K,8,0)</f>
        <v>0</v>
      </c>
      <c r="K901">
        <f>_xlfn.IFNA(VLOOKUP(B901,TDK!A:C,2,0),0)</f>
        <v>39</v>
      </c>
      <c r="L901">
        <f>_xlfn.IFNA(VLOOKUP(B901,TDK!A:C,3,0),0)</f>
        <v>2</v>
      </c>
      <c r="M901">
        <f>_xlfn.IFNA(VLOOKUP(B901,TDK!F:G,2,0),0)</f>
        <v>8</v>
      </c>
      <c r="N901">
        <f t="shared" si="14"/>
        <v>49</v>
      </c>
    </row>
    <row r="902" spans="1:14" x14ac:dyDescent="0.25">
      <c r="A902" t="s">
        <v>124</v>
      </c>
      <c r="B902" t="s">
        <v>1899</v>
      </c>
      <c r="C902">
        <f>VLOOKUP(B902,raw!A:K,11,0)</f>
        <v>126</v>
      </c>
      <c r="D902">
        <f>VLOOKUP(B902,raw!A:K,3,0)+VLOOKUP(B902,raw!A:K,7,0)</f>
        <v>126</v>
      </c>
      <c r="E902">
        <f>VLOOKUP(B902,raw!A:K,4,0)</f>
        <v>0</v>
      </c>
      <c r="F902">
        <f>VLOOKUP(B902,raw!A:K,5,0)</f>
        <v>0</v>
      </c>
      <c r="G902">
        <f>VLOOKUP(B902,raw!A:K,2,0)+VLOOKUP(B902,raw!A:K,10,0)</f>
        <v>0</v>
      </c>
      <c r="H902">
        <f>VLOOKUP(B902,raw!A:K,6,0)</f>
        <v>0</v>
      </c>
      <c r="I902">
        <f>VLOOKUP(B902,raw!A:K,9,0)</f>
        <v>0</v>
      </c>
      <c r="J902">
        <f>VLOOKUP(B902,raw!A:K,8,0)</f>
        <v>0</v>
      </c>
      <c r="K902">
        <f>_xlfn.IFNA(VLOOKUP(B902,TDK!A:C,2,0),0)</f>
        <v>37</v>
      </c>
      <c r="L902">
        <f>_xlfn.IFNA(VLOOKUP(B902,TDK!A:C,3,0),0)</f>
        <v>0</v>
      </c>
      <c r="M902">
        <f>_xlfn.IFNA(VLOOKUP(B902,TDK!F:G,2,0),0)</f>
        <v>10</v>
      </c>
      <c r="N902">
        <f t="shared" si="14"/>
        <v>47</v>
      </c>
    </row>
    <row r="903" spans="1:14" x14ac:dyDescent="0.25">
      <c r="A903" t="s">
        <v>125</v>
      </c>
      <c r="B903" t="s">
        <v>1900</v>
      </c>
      <c r="C903">
        <f>VLOOKUP(B903,raw!A:K,11,0)</f>
        <v>247</v>
      </c>
      <c r="D903">
        <f>VLOOKUP(B903,raw!A:K,3,0)+VLOOKUP(B903,raw!A:K,7,0)</f>
        <v>220</v>
      </c>
      <c r="E903">
        <f>VLOOKUP(B903,raw!A:K,4,0)</f>
        <v>13</v>
      </c>
      <c r="F903">
        <f>VLOOKUP(B903,raw!A:K,5,0)</f>
        <v>0</v>
      </c>
      <c r="G903">
        <f>VLOOKUP(B903,raw!A:K,2,0)+VLOOKUP(B903,raw!A:K,10,0)</f>
        <v>2</v>
      </c>
      <c r="H903">
        <f>VLOOKUP(B903,raw!A:K,6,0)</f>
        <v>0</v>
      </c>
      <c r="I903">
        <f>VLOOKUP(B903,raw!A:K,9,0)</f>
        <v>12</v>
      </c>
      <c r="J903">
        <f>VLOOKUP(B903,raw!A:K,8,0)</f>
        <v>0</v>
      </c>
      <c r="K903">
        <f>_xlfn.IFNA(VLOOKUP(B903,TDK!A:C,2,0),0)</f>
        <v>60</v>
      </c>
      <c r="L903">
        <f>_xlfn.IFNA(VLOOKUP(B903,TDK!A:C,3,0),0)</f>
        <v>40</v>
      </c>
      <c r="M903">
        <f>_xlfn.IFNA(VLOOKUP(B903,TDK!F:G,2,0),0)</f>
        <v>42</v>
      </c>
      <c r="N903">
        <f t="shared" si="14"/>
        <v>142</v>
      </c>
    </row>
    <row r="904" spans="1:14" x14ac:dyDescent="0.25">
      <c r="A904" t="s">
        <v>125</v>
      </c>
      <c r="B904" t="s">
        <v>1901</v>
      </c>
      <c r="C904">
        <f>VLOOKUP(B904,raw!A:K,11,0)</f>
        <v>184</v>
      </c>
      <c r="D904">
        <f>VLOOKUP(B904,raw!A:K,3,0)+VLOOKUP(B904,raw!A:K,7,0)</f>
        <v>172</v>
      </c>
      <c r="E904">
        <f>VLOOKUP(B904,raw!A:K,4,0)</f>
        <v>4</v>
      </c>
      <c r="F904">
        <f>VLOOKUP(B904,raw!A:K,5,0)</f>
        <v>0</v>
      </c>
      <c r="G904">
        <f>VLOOKUP(B904,raw!A:K,2,0)+VLOOKUP(B904,raw!A:K,10,0)</f>
        <v>0</v>
      </c>
      <c r="H904">
        <f>VLOOKUP(B904,raw!A:K,6,0)</f>
        <v>0</v>
      </c>
      <c r="I904">
        <f>VLOOKUP(B904,raw!A:K,9,0)</f>
        <v>8</v>
      </c>
      <c r="J904">
        <f>VLOOKUP(B904,raw!A:K,8,0)</f>
        <v>0</v>
      </c>
      <c r="K904">
        <f>_xlfn.IFNA(VLOOKUP(B904,TDK!A:C,2,0),0)</f>
        <v>49</v>
      </c>
      <c r="L904">
        <f>_xlfn.IFNA(VLOOKUP(B904,TDK!A:C,3,0),0)</f>
        <v>13</v>
      </c>
      <c r="M904">
        <f>_xlfn.IFNA(VLOOKUP(B904,TDK!F:G,2,0),0)</f>
        <v>4</v>
      </c>
      <c r="N904">
        <f t="shared" si="14"/>
        <v>66</v>
      </c>
    </row>
    <row r="905" spans="1:14" x14ac:dyDescent="0.25">
      <c r="A905" t="s">
        <v>123</v>
      </c>
      <c r="B905" t="s">
        <v>1902</v>
      </c>
      <c r="C905">
        <f>VLOOKUP(B905,raw!A:K,11,0)</f>
        <v>128</v>
      </c>
      <c r="D905">
        <f>VLOOKUP(B905,raw!A:K,3,0)+VLOOKUP(B905,raw!A:K,7,0)</f>
        <v>128</v>
      </c>
      <c r="E905">
        <f>VLOOKUP(B905,raw!A:K,4,0)</f>
        <v>0</v>
      </c>
      <c r="F905">
        <f>VLOOKUP(B905,raw!A:K,5,0)</f>
        <v>0</v>
      </c>
      <c r="G905">
        <f>VLOOKUP(B905,raw!A:K,2,0)+VLOOKUP(B905,raw!A:K,10,0)</f>
        <v>0</v>
      </c>
      <c r="H905">
        <f>VLOOKUP(B905,raw!A:K,6,0)</f>
        <v>0</v>
      </c>
      <c r="I905">
        <f>VLOOKUP(B905,raw!A:K,9,0)</f>
        <v>0</v>
      </c>
      <c r="J905">
        <f>VLOOKUP(B905,raw!A:K,8,0)</f>
        <v>0</v>
      </c>
      <c r="K905">
        <f>_xlfn.IFNA(VLOOKUP(B905,TDK!A:C,2,0),0)</f>
        <v>55</v>
      </c>
      <c r="L905">
        <f>_xlfn.IFNA(VLOOKUP(B905,TDK!A:C,3,0),0)</f>
        <v>5</v>
      </c>
      <c r="M905">
        <f>_xlfn.IFNA(VLOOKUP(B905,TDK!F:G,2,0),0)</f>
        <v>7</v>
      </c>
      <c r="N905">
        <f t="shared" si="14"/>
        <v>67</v>
      </c>
    </row>
    <row r="906" spans="1:14" x14ac:dyDescent="0.25">
      <c r="A906" t="s">
        <v>125</v>
      </c>
      <c r="B906" t="s">
        <v>1903</v>
      </c>
      <c r="C906">
        <f>VLOOKUP(B906,raw!A:K,11,0)</f>
        <v>131</v>
      </c>
      <c r="D906">
        <f>VLOOKUP(B906,raw!A:K,3,0)+VLOOKUP(B906,raw!A:K,7,0)</f>
        <v>118</v>
      </c>
      <c r="E906">
        <f>VLOOKUP(B906,raw!A:K,4,0)</f>
        <v>6</v>
      </c>
      <c r="F906">
        <f>VLOOKUP(B906,raw!A:K,5,0)</f>
        <v>0</v>
      </c>
      <c r="G906">
        <f>VLOOKUP(B906,raw!A:K,2,0)+VLOOKUP(B906,raw!A:K,10,0)</f>
        <v>2</v>
      </c>
      <c r="H906">
        <f>VLOOKUP(B906,raw!A:K,6,0)</f>
        <v>0</v>
      </c>
      <c r="I906">
        <f>VLOOKUP(B906,raw!A:K,9,0)</f>
        <v>5</v>
      </c>
      <c r="J906">
        <f>VLOOKUP(B906,raw!A:K,8,0)</f>
        <v>0</v>
      </c>
      <c r="K906">
        <f>_xlfn.IFNA(VLOOKUP(B906,TDK!A:C,2,0),0)</f>
        <v>21</v>
      </c>
      <c r="L906">
        <f>_xlfn.IFNA(VLOOKUP(B906,TDK!A:C,3,0),0)</f>
        <v>9</v>
      </c>
      <c r="M906">
        <f>_xlfn.IFNA(VLOOKUP(B906,TDK!F:G,2,0),0)</f>
        <v>16</v>
      </c>
      <c r="N906">
        <f t="shared" si="14"/>
        <v>46</v>
      </c>
    </row>
    <row r="907" spans="1:14" x14ac:dyDescent="0.25">
      <c r="A907" t="s">
        <v>125</v>
      </c>
      <c r="B907" t="s">
        <v>1904</v>
      </c>
      <c r="C907">
        <f>VLOOKUP(B907,raw!A:K,11,0)</f>
        <v>108</v>
      </c>
      <c r="D907">
        <f>VLOOKUP(B907,raw!A:K,3,0)+VLOOKUP(B907,raw!A:K,7,0)</f>
        <v>107</v>
      </c>
      <c r="E907">
        <f>VLOOKUP(B907,raw!A:K,4,0)</f>
        <v>1</v>
      </c>
      <c r="F907">
        <f>VLOOKUP(B907,raw!A:K,5,0)</f>
        <v>0</v>
      </c>
      <c r="G907">
        <f>VLOOKUP(B907,raw!A:K,2,0)+VLOOKUP(B907,raw!A:K,10,0)</f>
        <v>0</v>
      </c>
      <c r="H907">
        <f>VLOOKUP(B907,raw!A:K,6,0)</f>
        <v>0</v>
      </c>
      <c r="I907">
        <f>VLOOKUP(B907,raw!A:K,9,0)</f>
        <v>0</v>
      </c>
      <c r="J907">
        <f>VLOOKUP(B907,raw!A:K,8,0)</f>
        <v>0</v>
      </c>
      <c r="K907">
        <f>_xlfn.IFNA(VLOOKUP(B907,TDK!A:C,2,0),0)</f>
        <v>44</v>
      </c>
      <c r="L907">
        <f>_xlfn.IFNA(VLOOKUP(B907,TDK!A:C,3,0),0)</f>
        <v>0</v>
      </c>
      <c r="M907">
        <f>_xlfn.IFNA(VLOOKUP(B907,TDK!F:G,2,0),0)</f>
        <v>7</v>
      </c>
      <c r="N907">
        <f t="shared" si="14"/>
        <v>51</v>
      </c>
    </row>
    <row r="908" spans="1:14" x14ac:dyDescent="0.25">
      <c r="A908" t="s">
        <v>126</v>
      </c>
      <c r="B908" t="s">
        <v>1905</v>
      </c>
      <c r="C908">
        <f>VLOOKUP(B908,raw!A:K,11,0)</f>
        <v>187</v>
      </c>
      <c r="D908">
        <f>VLOOKUP(B908,raw!A:K,3,0)+VLOOKUP(B908,raw!A:K,7,0)</f>
        <v>184</v>
      </c>
      <c r="E908">
        <f>VLOOKUP(B908,raw!A:K,4,0)</f>
        <v>3</v>
      </c>
      <c r="F908">
        <f>VLOOKUP(B908,raw!A:K,5,0)</f>
        <v>0</v>
      </c>
      <c r="G908">
        <f>VLOOKUP(B908,raw!A:K,2,0)+VLOOKUP(B908,raw!A:K,10,0)</f>
        <v>0</v>
      </c>
      <c r="H908">
        <f>VLOOKUP(B908,raw!A:K,6,0)</f>
        <v>0</v>
      </c>
      <c r="I908">
        <f>VLOOKUP(B908,raw!A:K,9,0)</f>
        <v>0</v>
      </c>
      <c r="J908">
        <f>VLOOKUP(B908,raw!A:K,8,0)</f>
        <v>0</v>
      </c>
      <c r="K908">
        <f>_xlfn.IFNA(VLOOKUP(B908,TDK!A:C,2,0),0)</f>
        <v>70</v>
      </c>
      <c r="L908">
        <f>_xlfn.IFNA(VLOOKUP(B908,TDK!A:C,3,0),0)</f>
        <v>1</v>
      </c>
      <c r="M908">
        <f>_xlfn.IFNA(VLOOKUP(B908,TDK!F:G,2,0),0)</f>
        <v>16</v>
      </c>
      <c r="N908">
        <f t="shared" si="14"/>
        <v>87</v>
      </c>
    </row>
    <row r="909" spans="1:14" x14ac:dyDescent="0.25">
      <c r="A909" t="s">
        <v>126</v>
      </c>
      <c r="B909" t="s">
        <v>1906</v>
      </c>
      <c r="C909">
        <f>VLOOKUP(B909,raw!A:K,11,0)</f>
        <v>125</v>
      </c>
      <c r="D909">
        <f>VLOOKUP(B909,raw!A:K,3,0)+VLOOKUP(B909,raw!A:K,7,0)</f>
        <v>123</v>
      </c>
      <c r="E909">
        <f>VLOOKUP(B909,raw!A:K,4,0)</f>
        <v>2</v>
      </c>
      <c r="F909">
        <f>VLOOKUP(B909,raw!A:K,5,0)</f>
        <v>0</v>
      </c>
      <c r="G909">
        <f>VLOOKUP(B909,raw!A:K,2,0)+VLOOKUP(B909,raw!A:K,10,0)</f>
        <v>0</v>
      </c>
      <c r="H909">
        <f>VLOOKUP(B909,raw!A:K,6,0)</f>
        <v>0</v>
      </c>
      <c r="I909">
        <f>VLOOKUP(B909,raw!A:K,9,0)</f>
        <v>0</v>
      </c>
      <c r="J909">
        <f>VLOOKUP(B909,raw!A:K,8,0)</f>
        <v>0</v>
      </c>
      <c r="K909">
        <f>_xlfn.IFNA(VLOOKUP(B909,TDK!A:C,2,0),0)</f>
        <v>36</v>
      </c>
      <c r="L909">
        <f>_xlfn.IFNA(VLOOKUP(B909,TDK!A:C,3,0),0)</f>
        <v>1</v>
      </c>
      <c r="M909">
        <f>_xlfn.IFNA(VLOOKUP(B909,TDK!F:G,2,0),0)</f>
        <v>7</v>
      </c>
      <c r="N909">
        <f t="shared" si="14"/>
        <v>44</v>
      </c>
    </row>
    <row r="910" spans="1:14" x14ac:dyDescent="0.25">
      <c r="A910" t="s">
        <v>125</v>
      </c>
      <c r="B910" t="s">
        <v>1907</v>
      </c>
      <c r="C910">
        <f>VLOOKUP(B910,raw!A:K,11,0)</f>
        <v>141</v>
      </c>
      <c r="D910">
        <f>VLOOKUP(B910,raw!A:K,3,0)+VLOOKUP(B910,raw!A:K,7,0)</f>
        <v>139</v>
      </c>
      <c r="E910">
        <f>VLOOKUP(B910,raw!A:K,4,0)</f>
        <v>1</v>
      </c>
      <c r="F910">
        <f>VLOOKUP(B910,raw!A:K,5,0)</f>
        <v>0</v>
      </c>
      <c r="G910">
        <f>VLOOKUP(B910,raw!A:K,2,0)+VLOOKUP(B910,raw!A:K,10,0)</f>
        <v>0</v>
      </c>
      <c r="H910">
        <f>VLOOKUP(B910,raw!A:K,6,0)</f>
        <v>0</v>
      </c>
      <c r="I910">
        <f>VLOOKUP(B910,raw!A:K,9,0)</f>
        <v>1</v>
      </c>
      <c r="J910">
        <f>VLOOKUP(B910,raw!A:K,8,0)</f>
        <v>0</v>
      </c>
      <c r="K910">
        <f>_xlfn.IFNA(VLOOKUP(B910,TDK!A:C,2,0),0)</f>
        <v>44</v>
      </c>
      <c r="L910">
        <f>_xlfn.IFNA(VLOOKUP(B910,TDK!A:C,3,0),0)</f>
        <v>1</v>
      </c>
      <c r="M910">
        <f>_xlfn.IFNA(VLOOKUP(B910,TDK!F:G,2,0),0)</f>
        <v>9</v>
      </c>
      <c r="N910">
        <f t="shared" si="14"/>
        <v>54</v>
      </c>
    </row>
    <row r="911" spans="1:14" x14ac:dyDescent="0.25">
      <c r="A911" t="s">
        <v>126</v>
      </c>
      <c r="B911" t="s">
        <v>1908</v>
      </c>
      <c r="C911">
        <f>VLOOKUP(B911,raw!A:K,11,0)</f>
        <v>129</v>
      </c>
      <c r="D911">
        <f>VLOOKUP(B911,raw!A:K,3,0)+VLOOKUP(B911,raw!A:K,7,0)</f>
        <v>116</v>
      </c>
      <c r="E911">
        <f>VLOOKUP(B911,raw!A:K,4,0)</f>
        <v>13</v>
      </c>
      <c r="F911">
        <f>VLOOKUP(B911,raw!A:K,5,0)</f>
        <v>0</v>
      </c>
      <c r="G911">
        <f>VLOOKUP(B911,raw!A:K,2,0)+VLOOKUP(B911,raw!A:K,10,0)</f>
        <v>0</v>
      </c>
      <c r="H911">
        <f>VLOOKUP(B911,raw!A:K,6,0)</f>
        <v>0</v>
      </c>
      <c r="I911">
        <f>VLOOKUP(B911,raw!A:K,9,0)</f>
        <v>0</v>
      </c>
      <c r="J911">
        <f>VLOOKUP(B911,raw!A:K,8,0)</f>
        <v>0</v>
      </c>
      <c r="K911">
        <f>_xlfn.IFNA(VLOOKUP(B911,TDK!A:C,2,0),0)</f>
        <v>38</v>
      </c>
      <c r="L911">
        <f>_xlfn.IFNA(VLOOKUP(B911,TDK!A:C,3,0),0)</f>
        <v>2</v>
      </c>
      <c r="M911">
        <f>_xlfn.IFNA(VLOOKUP(B911,TDK!F:G,2,0),0)</f>
        <v>11</v>
      </c>
      <c r="N911">
        <f t="shared" si="14"/>
        <v>51</v>
      </c>
    </row>
    <row r="912" spans="1:14" x14ac:dyDescent="0.25">
      <c r="A912" t="s">
        <v>127</v>
      </c>
      <c r="B912" t="s">
        <v>1909</v>
      </c>
      <c r="C912">
        <f>VLOOKUP(B912,raw!A:K,11,0)</f>
        <v>109</v>
      </c>
      <c r="D912">
        <f>VLOOKUP(B912,raw!A:K,3,0)+VLOOKUP(B912,raw!A:K,7,0)</f>
        <v>105</v>
      </c>
      <c r="E912">
        <f>VLOOKUP(B912,raw!A:K,4,0)</f>
        <v>3</v>
      </c>
      <c r="F912">
        <f>VLOOKUP(B912,raw!A:K,5,0)</f>
        <v>0</v>
      </c>
      <c r="G912">
        <f>VLOOKUP(B912,raw!A:K,2,0)+VLOOKUP(B912,raw!A:K,10,0)</f>
        <v>0</v>
      </c>
      <c r="H912">
        <f>VLOOKUP(B912,raw!A:K,6,0)</f>
        <v>0</v>
      </c>
      <c r="I912">
        <f>VLOOKUP(B912,raw!A:K,9,0)</f>
        <v>1</v>
      </c>
      <c r="J912">
        <f>VLOOKUP(B912,raw!A:K,8,0)</f>
        <v>0</v>
      </c>
      <c r="K912">
        <f>_xlfn.IFNA(VLOOKUP(B912,TDK!A:C,2,0),0)</f>
        <v>36</v>
      </c>
      <c r="L912">
        <f>_xlfn.IFNA(VLOOKUP(B912,TDK!A:C,3,0),0)</f>
        <v>1</v>
      </c>
      <c r="M912">
        <f>_xlfn.IFNA(VLOOKUP(B912,TDK!F:G,2,0),0)</f>
        <v>3</v>
      </c>
      <c r="N912">
        <f t="shared" si="14"/>
        <v>40</v>
      </c>
    </row>
    <row r="913" spans="1:14" x14ac:dyDescent="0.25">
      <c r="A913" t="s">
        <v>126</v>
      </c>
      <c r="B913" t="s">
        <v>1910</v>
      </c>
      <c r="C913">
        <f>VLOOKUP(B913,raw!A:K,11,0)</f>
        <v>67</v>
      </c>
      <c r="D913">
        <f>VLOOKUP(B913,raw!A:K,3,0)+VLOOKUP(B913,raw!A:K,7,0)</f>
        <v>52</v>
      </c>
      <c r="E913">
        <f>VLOOKUP(B913,raw!A:K,4,0)</f>
        <v>15</v>
      </c>
      <c r="F913">
        <f>VLOOKUP(B913,raw!A:K,5,0)</f>
        <v>0</v>
      </c>
      <c r="G913">
        <f>VLOOKUP(B913,raw!A:K,2,0)+VLOOKUP(B913,raw!A:K,10,0)</f>
        <v>0</v>
      </c>
      <c r="H913">
        <f>VLOOKUP(B913,raw!A:K,6,0)</f>
        <v>0</v>
      </c>
      <c r="I913">
        <f>VLOOKUP(B913,raw!A:K,9,0)</f>
        <v>0</v>
      </c>
      <c r="J913">
        <f>VLOOKUP(B913,raw!A:K,8,0)</f>
        <v>0</v>
      </c>
      <c r="K913">
        <f>_xlfn.IFNA(VLOOKUP(B913,TDK!A:C,2,0),0)</f>
        <v>21</v>
      </c>
      <c r="L913">
        <f>_xlfn.IFNA(VLOOKUP(B913,TDK!A:C,3,0),0)</f>
        <v>1</v>
      </c>
      <c r="M913">
        <f>_xlfn.IFNA(VLOOKUP(B913,TDK!F:G,2,0),0)</f>
        <v>7</v>
      </c>
      <c r="N913">
        <f t="shared" si="14"/>
        <v>29</v>
      </c>
    </row>
    <row r="914" spans="1:14" x14ac:dyDescent="0.25">
      <c r="A914" t="s">
        <v>127</v>
      </c>
      <c r="B914" t="s">
        <v>1911</v>
      </c>
      <c r="C914">
        <f>VLOOKUP(B914,raw!A:K,11,0)</f>
        <v>108</v>
      </c>
      <c r="D914">
        <f>VLOOKUP(B914,raw!A:K,3,0)+VLOOKUP(B914,raw!A:K,7,0)</f>
        <v>102</v>
      </c>
      <c r="E914">
        <f>VLOOKUP(B914,raw!A:K,4,0)</f>
        <v>3</v>
      </c>
      <c r="F914">
        <f>VLOOKUP(B914,raw!A:K,5,0)</f>
        <v>0</v>
      </c>
      <c r="G914">
        <f>VLOOKUP(B914,raw!A:K,2,0)+VLOOKUP(B914,raw!A:K,10,0)</f>
        <v>1</v>
      </c>
      <c r="H914">
        <f>VLOOKUP(B914,raw!A:K,6,0)</f>
        <v>0</v>
      </c>
      <c r="I914">
        <f>VLOOKUP(B914,raw!A:K,9,0)</f>
        <v>2</v>
      </c>
      <c r="J914">
        <f>VLOOKUP(B914,raw!A:K,8,0)</f>
        <v>0</v>
      </c>
      <c r="K914">
        <f>_xlfn.IFNA(VLOOKUP(B914,TDK!A:C,2,0),0)</f>
        <v>33</v>
      </c>
      <c r="L914">
        <f>_xlfn.IFNA(VLOOKUP(B914,TDK!A:C,3,0),0)</f>
        <v>3</v>
      </c>
      <c r="M914">
        <f>_xlfn.IFNA(VLOOKUP(B914,TDK!F:G,2,0),0)</f>
        <v>3</v>
      </c>
      <c r="N914">
        <f t="shared" si="14"/>
        <v>39</v>
      </c>
    </row>
    <row r="915" spans="1:14" x14ac:dyDescent="0.25">
      <c r="A915" t="s">
        <v>126</v>
      </c>
      <c r="B915" t="s">
        <v>1912</v>
      </c>
      <c r="C915">
        <f>VLOOKUP(B915,raw!A:K,11,0)</f>
        <v>111</v>
      </c>
      <c r="D915">
        <f>VLOOKUP(B915,raw!A:K,3,0)+VLOOKUP(B915,raw!A:K,7,0)</f>
        <v>38</v>
      </c>
      <c r="E915">
        <f>VLOOKUP(B915,raw!A:K,4,0)</f>
        <v>73</v>
      </c>
      <c r="F915">
        <f>VLOOKUP(B915,raw!A:K,5,0)</f>
        <v>0</v>
      </c>
      <c r="G915">
        <f>VLOOKUP(B915,raw!A:K,2,0)+VLOOKUP(B915,raw!A:K,10,0)</f>
        <v>0</v>
      </c>
      <c r="H915">
        <f>VLOOKUP(B915,raw!A:K,6,0)</f>
        <v>0</v>
      </c>
      <c r="I915">
        <f>VLOOKUP(B915,raw!A:K,9,0)</f>
        <v>0</v>
      </c>
      <c r="J915">
        <f>VLOOKUP(B915,raw!A:K,8,0)</f>
        <v>0</v>
      </c>
      <c r="K915">
        <f>_xlfn.IFNA(VLOOKUP(B915,TDK!A:C,2,0),0)</f>
        <v>9</v>
      </c>
      <c r="L915">
        <f>_xlfn.IFNA(VLOOKUP(B915,TDK!A:C,3,0),0)</f>
        <v>0</v>
      </c>
      <c r="M915">
        <f>_xlfn.IFNA(VLOOKUP(B915,TDK!F:G,2,0),0)</f>
        <v>2</v>
      </c>
      <c r="N915">
        <f t="shared" si="14"/>
        <v>11</v>
      </c>
    </row>
    <row r="916" spans="1:14" x14ac:dyDescent="0.25">
      <c r="A916" t="s">
        <v>126</v>
      </c>
      <c r="B916" t="s">
        <v>1913</v>
      </c>
      <c r="C916">
        <f>VLOOKUP(B916,raw!A:K,11,0)</f>
        <v>127</v>
      </c>
      <c r="D916">
        <f>VLOOKUP(B916,raw!A:K,3,0)+VLOOKUP(B916,raw!A:K,7,0)</f>
        <v>106</v>
      </c>
      <c r="E916">
        <f>VLOOKUP(B916,raw!A:K,4,0)</f>
        <v>20</v>
      </c>
      <c r="F916">
        <f>VLOOKUP(B916,raw!A:K,5,0)</f>
        <v>0</v>
      </c>
      <c r="G916">
        <f>VLOOKUP(B916,raw!A:K,2,0)+VLOOKUP(B916,raw!A:K,10,0)</f>
        <v>1</v>
      </c>
      <c r="H916">
        <f>VLOOKUP(B916,raw!A:K,6,0)</f>
        <v>0</v>
      </c>
      <c r="I916">
        <f>VLOOKUP(B916,raw!A:K,9,0)</f>
        <v>0</v>
      </c>
      <c r="J916">
        <f>VLOOKUP(B916,raw!A:K,8,0)</f>
        <v>0</v>
      </c>
      <c r="K916">
        <f>_xlfn.IFNA(VLOOKUP(B916,TDK!A:C,2,0),0)</f>
        <v>52</v>
      </c>
      <c r="L916">
        <f>_xlfn.IFNA(VLOOKUP(B916,TDK!A:C,3,0),0)</f>
        <v>2</v>
      </c>
      <c r="M916">
        <f>_xlfn.IFNA(VLOOKUP(B916,TDK!F:G,2,0),0)</f>
        <v>0</v>
      </c>
      <c r="N916">
        <f t="shared" si="14"/>
        <v>54</v>
      </c>
    </row>
    <row r="917" spans="1:14" x14ac:dyDescent="0.25">
      <c r="A917" t="s">
        <v>128</v>
      </c>
      <c r="B917" t="s">
        <v>1914</v>
      </c>
      <c r="C917">
        <f>VLOOKUP(B917,raw!A:K,11,0)</f>
        <v>92</v>
      </c>
      <c r="D917">
        <f>VLOOKUP(B917,raw!A:K,3,0)+VLOOKUP(B917,raw!A:K,7,0)</f>
        <v>91</v>
      </c>
      <c r="E917">
        <f>VLOOKUP(B917,raw!A:K,4,0)</f>
        <v>1</v>
      </c>
      <c r="F917">
        <f>VLOOKUP(B917,raw!A:K,5,0)</f>
        <v>0</v>
      </c>
      <c r="G917">
        <f>VLOOKUP(B917,raw!A:K,2,0)+VLOOKUP(B917,raw!A:K,10,0)</f>
        <v>0</v>
      </c>
      <c r="H917">
        <f>VLOOKUP(B917,raw!A:K,6,0)</f>
        <v>0</v>
      </c>
      <c r="I917">
        <f>VLOOKUP(B917,raw!A:K,9,0)</f>
        <v>0</v>
      </c>
      <c r="J917">
        <f>VLOOKUP(B917,raw!A:K,8,0)</f>
        <v>0</v>
      </c>
      <c r="K917">
        <f>_xlfn.IFNA(VLOOKUP(B917,TDK!A:C,2,0),0)</f>
        <v>32</v>
      </c>
      <c r="L917">
        <f>_xlfn.IFNA(VLOOKUP(B917,TDK!A:C,3,0),0)</f>
        <v>0</v>
      </c>
      <c r="M917">
        <f>_xlfn.IFNA(VLOOKUP(B917,TDK!F:G,2,0),0)</f>
        <v>1</v>
      </c>
      <c r="N917">
        <f t="shared" si="14"/>
        <v>33</v>
      </c>
    </row>
    <row r="918" spans="1:14" x14ac:dyDescent="0.25">
      <c r="A918" t="s">
        <v>127</v>
      </c>
      <c r="B918" t="s">
        <v>1915</v>
      </c>
      <c r="C918">
        <f>VLOOKUP(B918,raw!A:K,11,0)</f>
        <v>144</v>
      </c>
      <c r="D918">
        <f>VLOOKUP(B918,raw!A:K,3,0)+VLOOKUP(B918,raw!A:K,7,0)</f>
        <v>137</v>
      </c>
      <c r="E918">
        <f>VLOOKUP(B918,raw!A:K,4,0)</f>
        <v>2</v>
      </c>
      <c r="F918">
        <f>VLOOKUP(B918,raw!A:K,5,0)</f>
        <v>0</v>
      </c>
      <c r="G918">
        <f>VLOOKUP(B918,raw!A:K,2,0)+VLOOKUP(B918,raw!A:K,10,0)</f>
        <v>0</v>
      </c>
      <c r="H918">
        <f>VLOOKUP(B918,raw!A:K,6,0)</f>
        <v>0</v>
      </c>
      <c r="I918">
        <f>VLOOKUP(B918,raw!A:K,9,0)</f>
        <v>5</v>
      </c>
      <c r="J918">
        <f>VLOOKUP(B918,raw!A:K,8,0)</f>
        <v>0</v>
      </c>
      <c r="K918">
        <f>_xlfn.IFNA(VLOOKUP(B918,TDK!A:C,2,0),0)</f>
        <v>48</v>
      </c>
      <c r="L918">
        <f>_xlfn.IFNA(VLOOKUP(B918,TDK!A:C,3,0),0)</f>
        <v>4</v>
      </c>
      <c r="M918">
        <f>_xlfn.IFNA(VLOOKUP(B918,TDK!F:G,2,0),0)</f>
        <v>4</v>
      </c>
      <c r="N918">
        <f t="shared" si="14"/>
        <v>56</v>
      </c>
    </row>
    <row r="919" spans="1:14" x14ac:dyDescent="0.25">
      <c r="A919" t="s">
        <v>127</v>
      </c>
      <c r="B919" t="s">
        <v>1916</v>
      </c>
      <c r="C919">
        <f>VLOOKUP(B919,raw!A:K,11,0)</f>
        <v>101</v>
      </c>
      <c r="D919">
        <f>VLOOKUP(B919,raw!A:K,3,0)+VLOOKUP(B919,raw!A:K,7,0)</f>
        <v>100</v>
      </c>
      <c r="E919">
        <f>VLOOKUP(B919,raw!A:K,4,0)</f>
        <v>0</v>
      </c>
      <c r="F919">
        <f>VLOOKUP(B919,raw!A:K,5,0)</f>
        <v>0</v>
      </c>
      <c r="G919">
        <f>VLOOKUP(B919,raw!A:K,2,0)+VLOOKUP(B919,raw!A:K,10,0)</f>
        <v>1</v>
      </c>
      <c r="H919">
        <f>VLOOKUP(B919,raw!A:K,6,0)</f>
        <v>0</v>
      </c>
      <c r="I919">
        <f>VLOOKUP(B919,raw!A:K,9,0)</f>
        <v>0</v>
      </c>
      <c r="J919">
        <f>VLOOKUP(B919,raw!A:K,8,0)</f>
        <v>0</v>
      </c>
      <c r="K919">
        <f>_xlfn.IFNA(VLOOKUP(B919,TDK!A:C,2,0),0)</f>
        <v>33</v>
      </c>
      <c r="L919">
        <f>_xlfn.IFNA(VLOOKUP(B919,TDK!A:C,3,0),0)</f>
        <v>0</v>
      </c>
      <c r="M919">
        <f>_xlfn.IFNA(VLOOKUP(B919,TDK!F:G,2,0),0)</f>
        <v>4</v>
      </c>
      <c r="N919">
        <f t="shared" si="14"/>
        <v>37</v>
      </c>
    </row>
    <row r="920" spans="1:14" x14ac:dyDescent="0.25">
      <c r="A920" t="s">
        <v>127</v>
      </c>
      <c r="B920" t="s">
        <v>1917</v>
      </c>
      <c r="C920">
        <f>VLOOKUP(B920,raw!A:K,11,0)</f>
        <v>163</v>
      </c>
      <c r="D920">
        <f>VLOOKUP(B920,raw!A:K,3,0)+VLOOKUP(B920,raw!A:K,7,0)</f>
        <v>100</v>
      </c>
      <c r="E920">
        <f>VLOOKUP(B920,raw!A:K,4,0)</f>
        <v>52</v>
      </c>
      <c r="F920">
        <f>VLOOKUP(B920,raw!A:K,5,0)</f>
        <v>0</v>
      </c>
      <c r="G920">
        <f>VLOOKUP(B920,raw!A:K,2,0)+VLOOKUP(B920,raw!A:K,10,0)</f>
        <v>5</v>
      </c>
      <c r="H920">
        <f>VLOOKUP(B920,raw!A:K,6,0)</f>
        <v>0</v>
      </c>
      <c r="I920">
        <f>VLOOKUP(B920,raw!A:K,9,0)</f>
        <v>6</v>
      </c>
      <c r="J920">
        <f>VLOOKUP(B920,raw!A:K,8,0)</f>
        <v>0</v>
      </c>
      <c r="K920">
        <f>_xlfn.IFNA(VLOOKUP(B920,TDK!A:C,2,0),0)</f>
        <v>18</v>
      </c>
      <c r="L920">
        <f>_xlfn.IFNA(VLOOKUP(B920,TDK!A:C,3,0),0)</f>
        <v>2</v>
      </c>
      <c r="M920">
        <f>_xlfn.IFNA(VLOOKUP(B920,TDK!F:G,2,0),0)</f>
        <v>1</v>
      </c>
      <c r="N920">
        <f t="shared" si="14"/>
        <v>21</v>
      </c>
    </row>
    <row r="921" spans="1:14" x14ac:dyDescent="0.25">
      <c r="A921" t="s">
        <v>128</v>
      </c>
      <c r="B921" t="s">
        <v>1918</v>
      </c>
      <c r="C921">
        <f>VLOOKUP(B921,raw!A:K,11,0)</f>
        <v>171</v>
      </c>
      <c r="D921">
        <f>VLOOKUP(B921,raw!A:K,3,0)+VLOOKUP(B921,raw!A:K,7,0)</f>
        <v>167</v>
      </c>
      <c r="E921">
        <f>VLOOKUP(B921,raw!A:K,4,0)</f>
        <v>4</v>
      </c>
      <c r="F921">
        <f>VLOOKUP(B921,raw!A:K,5,0)</f>
        <v>0</v>
      </c>
      <c r="G921">
        <f>VLOOKUP(B921,raw!A:K,2,0)+VLOOKUP(B921,raw!A:K,10,0)</f>
        <v>0</v>
      </c>
      <c r="H921">
        <f>VLOOKUP(B921,raw!A:K,6,0)</f>
        <v>0</v>
      </c>
      <c r="I921">
        <f>VLOOKUP(B921,raw!A:K,9,0)</f>
        <v>0</v>
      </c>
      <c r="J921">
        <f>VLOOKUP(B921,raw!A:K,8,0)</f>
        <v>0</v>
      </c>
      <c r="K921">
        <f>_xlfn.IFNA(VLOOKUP(B921,TDK!A:C,2,0),0)</f>
        <v>48</v>
      </c>
      <c r="L921">
        <f>_xlfn.IFNA(VLOOKUP(B921,TDK!A:C,3,0),0)</f>
        <v>6</v>
      </c>
      <c r="M921">
        <f>_xlfn.IFNA(VLOOKUP(B921,TDK!F:G,2,0),0)</f>
        <v>2</v>
      </c>
      <c r="N921">
        <f t="shared" si="14"/>
        <v>56</v>
      </c>
    </row>
    <row r="922" spans="1:14" x14ac:dyDescent="0.25">
      <c r="A922" t="s">
        <v>127</v>
      </c>
      <c r="B922" t="s">
        <v>1919</v>
      </c>
      <c r="C922">
        <f>VLOOKUP(B922,raw!A:K,11,0)</f>
        <v>96</v>
      </c>
      <c r="D922">
        <f>VLOOKUP(B922,raw!A:K,3,0)+VLOOKUP(B922,raw!A:K,7,0)</f>
        <v>94</v>
      </c>
      <c r="E922">
        <f>VLOOKUP(B922,raw!A:K,4,0)</f>
        <v>0</v>
      </c>
      <c r="F922">
        <f>VLOOKUP(B922,raw!A:K,5,0)</f>
        <v>0</v>
      </c>
      <c r="G922">
        <f>VLOOKUP(B922,raw!A:K,2,0)+VLOOKUP(B922,raw!A:K,10,0)</f>
        <v>0</v>
      </c>
      <c r="H922">
        <f>VLOOKUP(B922,raw!A:K,6,0)</f>
        <v>0</v>
      </c>
      <c r="I922">
        <f>VLOOKUP(B922,raw!A:K,9,0)</f>
        <v>2</v>
      </c>
      <c r="J922">
        <f>VLOOKUP(B922,raw!A:K,8,0)</f>
        <v>0</v>
      </c>
      <c r="K922">
        <f>_xlfn.IFNA(VLOOKUP(B922,TDK!A:C,2,0),0)</f>
        <v>32</v>
      </c>
      <c r="L922">
        <f>_xlfn.IFNA(VLOOKUP(B922,TDK!A:C,3,0),0)</f>
        <v>1</v>
      </c>
      <c r="M922">
        <f>_xlfn.IFNA(VLOOKUP(B922,TDK!F:G,2,0),0)</f>
        <v>4</v>
      </c>
      <c r="N922">
        <f t="shared" si="14"/>
        <v>37</v>
      </c>
    </row>
    <row r="923" spans="1:14" x14ac:dyDescent="0.25">
      <c r="A923" t="s">
        <v>128</v>
      </c>
      <c r="B923" t="s">
        <v>1920</v>
      </c>
      <c r="C923">
        <f>VLOOKUP(B923,raw!A:K,11,0)</f>
        <v>129</v>
      </c>
      <c r="D923">
        <f>VLOOKUP(B923,raw!A:K,3,0)+VLOOKUP(B923,raw!A:K,7,0)</f>
        <v>125</v>
      </c>
      <c r="E923">
        <f>VLOOKUP(B923,raw!A:K,4,0)</f>
        <v>3</v>
      </c>
      <c r="F923">
        <f>VLOOKUP(B923,raw!A:K,5,0)</f>
        <v>0</v>
      </c>
      <c r="G923">
        <f>VLOOKUP(B923,raw!A:K,2,0)+VLOOKUP(B923,raw!A:K,10,0)</f>
        <v>0</v>
      </c>
      <c r="H923">
        <f>VLOOKUP(B923,raw!A:K,6,0)</f>
        <v>0</v>
      </c>
      <c r="I923">
        <f>VLOOKUP(B923,raw!A:K,9,0)</f>
        <v>1</v>
      </c>
      <c r="J923">
        <f>VLOOKUP(B923,raw!A:K,8,0)</f>
        <v>0</v>
      </c>
      <c r="K923">
        <f>_xlfn.IFNA(VLOOKUP(B923,TDK!A:C,2,0),0)</f>
        <v>40</v>
      </c>
      <c r="L923">
        <f>_xlfn.IFNA(VLOOKUP(B923,TDK!A:C,3,0),0)</f>
        <v>5</v>
      </c>
      <c r="M923">
        <f>_xlfn.IFNA(VLOOKUP(B923,TDK!F:G,2,0),0)</f>
        <v>4</v>
      </c>
      <c r="N923">
        <f t="shared" si="14"/>
        <v>49</v>
      </c>
    </row>
    <row r="924" spans="1:14" x14ac:dyDescent="0.25">
      <c r="A924" t="s">
        <v>128</v>
      </c>
      <c r="B924" t="s">
        <v>1921</v>
      </c>
      <c r="C924">
        <f>VLOOKUP(B924,raw!A:K,11,0)</f>
        <v>147</v>
      </c>
      <c r="D924">
        <f>VLOOKUP(B924,raw!A:K,3,0)+VLOOKUP(B924,raw!A:K,7,0)</f>
        <v>143</v>
      </c>
      <c r="E924">
        <f>VLOOKUP(B924,raw!A:K,4,0)</f>
        <v>4</v>
      </c>
      <c r="F924">
        <f>VLOOKUP(B924,raw!A:K,5,0)</f>
        <v>0</v>
      </c>
      <c r="G924">
        <f>VLOOKUP(B924,raw!A:K,2,0)+VLOOKUP(B924,raw!A:K,10,0)</f>
        <v>0</v>
      </c>
      <c r="H924">
        <f>VLOOKUP(B924,raw!A:K,6,0)</f>
        <v>0</v>
      </c>
      <c r="I924">
        <f>VLOOKUP(B924,raw!A:K,9,0)</f>
        <v>0</v>
      </c>
      <c r="J924">
        <f>VLOOKUP(B924,raw!A:K,8,0)</f>
        <v>0</v>
      </c>
      <c r="K924">
        <f>_xlfn.IFNA(VLOOKUP(B924,TDK!A:C,2,0),0)</f>
        <v>41</v>
      </c>
      <c r="L924">
        <f>_xlfn.IFNA(VLOOKUP(B924,TDK!A:C,3,0),0)</f>
        <v>2</v>
      </c>
      <c r="M924">
        <f>_xlfn.IFNA(VLOOKUP(B924,TDK!F:G,2,0),0)</f>
        <v>6</v>
      </c>
      <c r="N924">
        <f t="shared" si="14"/>
        <v>49</v>
      </c>
    </row>
    <row r="925" spans="1:14" x14ac:dyDescent="0.25">
      <c r="A925" t="s">
        <v>128</v>
      </c>
      <c r="B925" t="s">
        <v>1922</v>
      </c>
      <c r="C925">
        <f>VLOOKUP(B925,raw!A:K,11,0)</f>
        <v>85</v>
      </c>
      <c r="D925">
        <f>VLOOKUP(B925,raw!A:K,3,0)+VLOOKUP(B925,raw!A:K,7,0)</f>
        <v>80</v>
      </c>
      <c r="E925">
        <f>VLOOKUP(B925,raw!A:K,4,0)</f>
        <v>5</v>
      </c>
      <c r="F925">
        <f>VLOOKUP(B925,raw!A:K,5,0)</f>
        <v>0</v>
      </c>
      <c r="G925">
        <f>VLOOKUP(B925,raw!A:K,2,0)+VLOOKUP(B925,raw!A:K,10,0)</f>
        <v>0</v>
      </c>
      <c r="H925">
        <f>VLOOKUP(B925,raw!A:K,6,0)</f>
        <v>0</v>
      </c>
      <c r="I925">
        <f>VLOOKUP(B925,raw!A:K,9,0)</f>
        <v>0</v>
      </c>
      <c r="J925">
        <f>VLOOKUP(B925,raw!A:K,8,0)</f>
        <v>0</v>
      </c>
      <c r="K925">
        <f>_xlfn.IFNA(VLOOKUP(B925,TDK!A:C,2,0),0)</f>
        <v>18</v>
      </c>
      <c r="L925">
        <f>_xlfn.IFNA(VLOOKUP(B925,TDK!A:C,3,0),0)</f>
        <v>0</v>
      </c>
      <c r="M925">
        <f>_xlfn.IFNA(VLOOKUP(B925,TDK!F:G,2,0),0)</f>
        <v>5</v>
      </c>
      <c r="N925">
        <f t="shared" si="14"/>
        <v>23</v>
      </c>
    </row>
    <row r="926" spans="1:14" x14ac:dyDescent="0.25">
      <c r="A926" t="s">
        <v>128</v>
      </c>
      <c r="B926" t="s">
        <v>1923</v>
      </c>
      <c r="C926">
        <f>VLOOKUP(B926,raw!A:K,11,0)</f>
        <v>112</v>
      </c>
      <c r="D926">
        <f>VLOOKUP(B926,raw!A:K,3,0)+VLOOKUP(B926,raw!A:K,7,0)</f>
        <v>110</v>
      </c>
      <c r="E926">
        <f>VLOOKUP(B926,raw!A:K,4,0)</f>
        <v>2</v>
      </c>
      <c r="F926">
        <f>VLOOKUP(B926,raw!A:K,5,0)</f>
        <v>0</v>
      </c>
      <c r="G926">
        <f>VLOOKUP(B926,raw!A:K,2,0)+VLOOKUP(B926,raw!A:K,10,0)</f>
        <v>0</v>
      </c>
      <c r="H926">
        <f>VLOOKUP(B926,raw!A:K,6,0)</f>
        <v>0</v>
      </c>
      <c r="I926">
        <f>VLOOKUP(B926,raw!A:K,9,0)</f>
        <v>0</v>
      </c>
      <c r="J926">
        <f>VLOOKUP(B926,raw!A:K,8,0)</f>
        <v>0</v>
      </c>
      <c r="K926">
        <f>_xlfn.IFNA(VLOOKUP(B926,TDK!A:C,2,0),0)</f>
        <v>24</v>
      </c>
      <c r="L926">
        <f>_xlfn.IFNA(VLOOKUP(B926,TDK!A:C,3,0),0)</f>
        <v>2</v>
      </c>
      <c r="M926">
        <f>_xlfn.IFNA(VLOOKUP(B926,TDK!F:G,2,0),0)</f>
        <v>3</v>
      </c>
      <c r="N926">
        <f t="shared" si="14"/>
        <v>29</v>
      </c>
    </row>
    <row r="927" spans="1:14" x14ac:dyDescent="0.25">
      <c r="A927" t="s">
        <v>125</v>
      </c>
      <c r="B927" t="s">
        <v>1924</v>
      </c>
      <c r="C927">
        <f>VLOOKUP(B927,raw!A:K,11,0)</f>
        <v>87</v>
      </c>
      <c r="D927">
        <f>VLOOKUP(B927,raw!A:K,3,0)+VLOOKUP(B927,raw!A:K,7,0)</f>
        <v>86</v>
      </c>
      <c r="E927">
        <f>VLOOKUP(B927,raw!A:K,4,0)</f>
        <v>1</v>
      </c>
      <c r="F927">
        <f>VLOOKUP(B927,raw!A:K,5,0)</f>
        <v>0</v>
      </c>
      <c r="G927">
        <f>VLOOKUP(B927,raw!A:K,2,0)+VLOOKUP(B927,raw!A:K,10,0)</f>
        <v>0</v>
      </c>
      <c r="H927">
        <f>VLOOKUP(B927,raw!A:K,6,0)</f>
        <v>0</v>
      </c>
      <c r="I927">
        <f>VLOOKUP(B927,raw!A:K,9,0)</f>
        <v>0</v>
      </c>
      <c r="J927">
        <f>VLOOKUP(B927,raw!A:K,8,0)</f>
        <v>0</v>
      </c>
      <c r="K927">
        <f>_xlfn.IFNA(VLOOKUP(B927,TDK!A:C,2,0),0)</f>
        <v>29</v>
      </c>
      <c r="L927">
        <f>_xlfn.IFNA(VLOOKUP(B927,TDK!A:C,3,0),0)</f>
        <v>0</v>
      </c>
      <c r="M927">
        <f>_xlfn.IFNA(VLOOKUP(B927,TDK!F:G,2,0),0)</f>
        <v>5</v>
      </c>
      <c r="N927">
        <f t="shared" si="14"/>
        <v>34</v>
      </c>
    </row>
    <row r="928" spans="1:14" x14ac:dyDescent="0.25">
      <c r="A928" t="s">
        <v>121</v>
      </c>
      <c r="B928" t="s">
        <v>1925</v>
      </c>
      <c r="C928">
        <f>VLOOKUP(B928,raw!A:K,11,0)</f>
        <v>96</v>
      </c>
      <c r="D928">
        <f>VLOOKUP(B928,raw!A:K,3,0)+VLOOKUP(B928,raw!A:K,7,0)</f>
        <v>41</v>
      </c>
      <c r="E928">
        <f>VLOOKUP(B928,raw!A:K,4,0)</f>
        <v>0</v>
      </c>
      <c r="F928">
        <f>VLOOKUP(B928,raw!A:K,5,0)</f>
        <v>0</v>
      </c>
      <c r="G928">
        <f>VLOOKUP(B928,raw!A:K,2,0)+VLOOKUP(B928,raw!A:K,10,0)</f>
        <v>0</v>
      </c>
      <c r="H928">
        <f>VLOOKUP(B928,raw!A:K,6,0)</f>
        <v>0</v>
      </c>
      <c r="I928">
        <f>VLOOKUP(B928,raw!A:K,9,0)</f>
        <v>55</v>
      </c>
      <c r="J928">
        <f>VLOOKUP(B928,raw!A:K,8,0)</f>
        <v>0</v>
      </c>
      <c r="K928">
        <f>_xlfn.IFNA(VLOOKUP(B928,TDK!A:C,2,0),0)</f>
        <v>28</v>
      </c>
      <c r="L928">
        <f>_xlfn.IFNA(VLOOKUP(B928,TDK!A:C,3,0),0)</f>
        <v>0</v>
      </c>
      <c r="M928">
        <f>_xlfn.IFNA(VLOOKUP(B928,TDK!F:G,2,0),0)</f>
        <v>5</v>
      </c>
      <c r="N928">
        <f t="shared" si="14"/>
        <v>33</v>
      </c>
    </row>
    <row r="929" spans="1:14" x14ac:dyDescent="0.25">
      <c r="A929" t="s">
        <v>123</v>
      </c>
      <c r="B929" t="s">
        <v>1926</v>
      </c>
      <c r="C929">
        <f>VLOOKUP(B929,raw!A:K,11,0)</f>
        <v>192</v>
      </c>
      <c r="D929">
        <f>VLOOKUP(B929,raw!A:K,3,0)+VLOOKUP(B929,raw!A:K,7,0)</f>
        <v>182</v>
      </c>
      <c r="E929">
        <f>VLOOKUP(B929,raw!A:K,4,0)</f>
        <v>1</v>
      </c>
      <c r="F929">
        <f>VLOOKUP(B929,raw!A:K,5,0)</f>
        <v>0</v>
      </c>
      <c r="G929">
        <f>VLOOKUP(B929,raw!A:K,2,0)+VLOOKUP(B929,raw!A:K,10,0)</f>
        <v>0</v>
      </c>
      <c r="H929">
        <f>VLOOKUP(B929,raw!A:K,6,0)</f>
        <v>0</v>
      </c>
      <c r="I929">
        <f>VLOOKUP(B929,raw!A:K,9,0)</f>
        <v>9</v>
      </c>
      <c r="J929">
        <f>VLOOKUP(B929,raw!A:K,8,0)</f>
        <v>0</v>
      </c>
      <c r="K929">
        <f>_xlfn.IFNA(VLOOKUP(B929,TDK!A:C,2,0),0)</f>
        <v>104</v>
      </c>
      <c r="L929">
        <f>_xlfn.IFNA(VLOOKUP(B929,TDK!A:C,3,0),0)</f>
        <v>2</v>
      </c>
      <c r="M929">
        <f>_xlfn.IFNA(VLOOKUP(B929,TDK!F:G,2,0),0)</f>
        <v>12</v>
      </c>
      <c r="N929">
        <f t="shared" si="14"/>
        <v>118</v>
      </c>
    </row>
    <row r="930" spans="1:14" x14ac:dyDescent="0.25">
      <c r="A930" t="s">
        <v>123</v>
      </c>
      <c r="B930" t="s">
        <v>1927</v>
      </c>
      <c r="C930">
        <f>VLOOKUP(B930,raw!A:K,11,0)</f>
        <v>98</v>
      </c>
      <c r="D930">
        <f>VLOOKUP(B930,raw!A:K,3,0)+VLOOKUP(B930,raw!A:K,7,0)</f>
        <v>98</v>
      </c>
      <c r="E930">
        <f>VLOOKUP(B930,raw!A:K,4,0)</f>
        <v>0</v>
      </c>
      <c r="F930">
        <f>VLOOKUP(B930,raw!A:K,5,0)</f>
        <v>0</v>
      </c>
      <c r="G930">
        <f>VLOOKUP(B930,raw!A:K,2,0)+VLOOKUP(B930,raw!A:K,10,0)</f>
        <v>0</v>
      </c>
      <c r="H930">
        <f>VLOOKUP(B930,raw!A:K,6,0)</f>
        <v>0</v>
      </c>
      <c r="I930">
        <f>VLOOKUP(B930,raw!A:K,9,0)</f>
        <v>0</v>
      </c>
      <c r="J930">
        <f>VLOOKUP(B930,raw!A:K,8,0)</f>
        <v>0</v>
      </c>
      <c r="K930">
        <f>_xlfn.IFNA(VLOOKUP(B930,TDK!A:C,2,0),0)</f>
        <v>24</v>
      </c>
      <c r="L930">
        <f>_xlfn.IFNA(VLOOKUP(B930,TDK!A:C,3,0),0)</f>
        <v>0</v>
      </c>
      <c r="M930">
        <f>_xlfn.IFNA(VLOOKUP(B930,TDK!F:G,2,0),0)</f>
        <v>38</v>
      </c>
      <c r="N930">
        <f t="shared" si="14"/>
        <v>62</v>
      </c>
    </row>
    <row r="931" spans="1:14" x14ac:dyDescent="0.25">
      <c r="A931" t="s">
        <v>110</v>
      </c>
      <c r="B931" t="s">
        <v>1928</v>
      </c>
      <c r="C931">
        <f>VLOOKUP(B931,raw!A:K,11,0)</f>
        <v>78</v>
      </c>
      <c r="D931">
        <f>VLOOKUP(B931,raw!A:K,3,0)+VLOOKUP(B931,raw!A:K,7,0)</f>
        <v>66</v>
      </c>
      <c r="E931">
        <f>VLOOKUP(B931,raw!A:K,4,0)</f>
        <v>0</v>
      </c>
      <c r="F931">
        <f>VLOOKUP(B931,raw!A:K,5,0)</f>
        <v>0</v>
      </c>
      <c r="G931">
        <f>VLOOKUP(B931,raw!A:K,2,0)+VLOOKUP(B931,raw!A:K,10,0)</f>
        <v>0</v>
      </c>
      <c r="H931">
        <f>VLOOKUP(B931,raw!A:K,6,0)</f>
        <v>0</v>
      </c>
      <c r="I931">
        <f>VLOOKUP(B931,raw!A:K,9,0)</f>
        <v>12</v>
      </c>
      <c r="J931">
        <f>VLOOKUP(B931,raw!A:K,8,0)</f>
        <v>0</v>
      </c>
      <c r="K931">
        <f>_xlfn.IFNA(VLOOKUP(B931,TDK!A:C,2,0),0)</f>
        <v>25</v>
      </c>
      <c r="L931">
        <f>_xlfn.IFNA(VLOOKUP(B931,TDK!A:C,3,0),0)</f>
        <v>2</v>
      </c>
      <c r="M931">
        <f>_xlfn.IFNA(VLOOKUP(B931,TDK!F:G,2,0),0)</f>
        <v>9</v>
      </c>
      <c r="N931">
        <f t="shared" si="14"/>
        <v>36</v>
      </c>
    </row>
    <row r="932" spans="1:14" x14ac:dyDescent="0.25">
      <c r="A932" t="s">
        <v>123</v>
      </c>
      <c r="B932" t="s">
        <v>1929</v>
      </c>
      <c r="C932">
        <f>VLOOKUP(B932,raw!A:K,11,0)</f>
        <v>102</v>
      </c>
      <c r="D932">
        <f>VLOOKUP(B932,raw!A:K,3,0)+VLOOKUP(B932,raw!A:K,7,0)</f>
        <v>102</v>
      </c>
      <c r="E932">
        <f>VLOOKUP(B932,raw!A:K,4,0)</f>
        <v>0</v>
      </c>
      <c r="F932">
        <f>VLOOKUP(B932,raw!A:K,5,0)</f>
        <v>0</v>
      </c>
      <c r="G932">
        <f>VLOOKUP(B932,raw!A:K,2,0)+VLOOKUP(B932,raw!A:K,10,0)</f>
        <v>0</v>
      </c>
      <c r="H932">
        <f>VLOOKUP(B932,raw!A:K,6,0)</f>
        <v>0</v>
      </c>
      <c r="I932">
        <f>VLOOKUP(B932,raw!A:K,9,0)</f>
        <v>0</v>
      </c>
      <c r="J932">
        <f>VLOOKUP(B932,raw!A:K,8,0)</f>
        <v>0</v>
      </c>
      <c r="K932">
        <f>_xlfn.IFNA(VLOOKUP(B932,TDK!A:C,2,0),0)</f>
        <v>27</v>
      </c>
      <c r="L932">
        <f>_xlfn.IFNA(VLOOKUP(B932,TDK!A:C,3,0),0)</f>
        <v>5</v>
      </c>
      <c r="M932">
        <f>_xlfn.IFNA(VLOOKUP(B932,TDK!F:G,2,0),0)</f>
        <v>5</v>
      </c>
      <c r="N932">
        <f t="shared" si="14"/>
        <v>37</v>
      </c>
    </row>
    <row r="933" spans="1:14" x14ac:dyDescent="0.25">
      <c r="A933" t="s">
        <v>123</v>
      </c>
      <c r="B933" t="s">
        <v>1930</v>
      </c>
      <c r="C933">
        <f>VLOOKUP(B933,raw!A:K,11,0)</f>
        <v>114</v>
      </c>
      <c r="D933">
        <f>VLOOKUP(B933,raw!A:K,3,0)+VLOOKUP(B933,raw!A:K,7,0)</f>
        <v>114</v>
      </c>
      <c r="E933">
        <f>VLOOKUP(B933,raw!A:K,4,0)</f>
        <v>0</v>
      </c>
      <c r="F933">
        <f>VLOOKUP(B933,raw!A:K,5,0)</f>
        <v>0</v>
      </c>
      <c r="G933">
        <f>VLOOKUP(B933,raw!A:K,2,0)+VLOOKUP(B933,raw!A:K,10,0)</f>
        <v>0</v>
      </c>
      <c r="H933">
        <f>VLOOKUP(B933,raw!A:K,6,0)</f>
        <v>0</v>
      </c>
      <c r="I933">
        <f>VLOOKUP(B933,raw!A:K,9,0)</f>
        <v>0</v>
      </c>
      <c r="J933">
        <f>VLOOKUP(B933,raw!A:K,8,0)</f>
        <v>0</v>
      </c>
      <c r="K933">
        <f>_xlfn.IFNA(VLOOKUP(B933,TDK!A:C,2,0),0)</f>
        <v>47</v>
      </c>
      <c r="L933">
        <f>_xlfn.IFNA(VLOOKUP(B933,TDK!A:C,3,0),0)</f>
        <v>2</v>
      </c>
      <c r="M933">
        <f>_xlfn.IFNA(VLOOKUP(B933,TDK!F:G,2,0),0)</f>
        <v>8</v>
      </c>
      <c r="N933">
        <f t="shared" si="14"/>
        <v>57</v>
      </c>
    </row>
    <row r="934" spans="1:14" x14ac:dyDescent="0.25">
      <c r="A934" t="s">
        <v>129</v>
      </c>
      <c r="B934" t="s">
        <v>1931</v>
      </c>
      <c r="C934">
        <f>VLOOKUP(B934,raw!A:K,11,0)</f>
        <v>96</v>
      </c>
      <c r="D934">
        <f>VLOOKUP(B934,raw!A:K,3,0)+VLOOKUP(B934,raw!A:K,7,0)</f>
        <v>96</v>
      </c>
      <c r="E934">
        <f>VLOOKUP(B934,raw!A:K,4,0)</f>
        <v>0</v>
      </c>
      <c r="F934">
        <f>VLOOKUP(B934,raw!A:K,5,0)</f>
        <v>0</v>
      </c>
      <c r="G934">
        <f>VLOOKUP(B934,raw!A:K,2,0)+VLOOKUP(B934,raw!A:K,10,0)</f>
        <v>0</v>
      </c>
      <c r="H934">
        <f>VLOOKUP(B934,raw!A:K,6,0)</f>
        <v>0</v>
      </c>
      <c r="I934">
        <f>VLOOKUP(B934,raw!A:K,9,0)</f>
        <v>0</v>
      </c>
      <c r="J934">
        <f>VLOOKUP(B934,raw!A:K,8,0)</f>
        <v>0</v>
      </c>
      <c r="K934">
        <f>_xlfn.IFNA(VLOOKUP(B934,TDK!A:C,2,0),0)</f>
        <v>45</v>
      </c>
      <c r="L934">
        <f>_xlfn.IFNA(VLOOKUP(B934,TDK!A:C,3,0),0)</f>
        <v>3</v>
      </c>
      <c r="M934">
        <f>_xlfn.IFNA(VLOOKUP(B934,TDK!F:G,2,0),0)</f>
        <v>11</v>
      </c>
      <c r="N934">
        <f t="shared" si="14"/>
        <v>59</v>
      </c>
    </row>
    <row r="935" spans="1:14" x14ac:dyDescent="0.25">
      <c r="A935" t="s">
        <v>125</v>
      </c>
      <c r="B935" t="s">
        <v>1932</v>
      </c>
      <c r="C935">
        <f>VLOOKUP(B935,raw!A:K,11,0)</f>
        <v>34</v>
      </c>
      <c r="D935">
        <f>VLOOKUP(B935,raw!A:K,3,0)+VLOOKUP(B935,raw!A:K,7,0)</f>
        <v>34</v>
      </c>
      <c r="E935">
        <f>VLOOKUP(B935,raw!A:K,4,0)</f>
        <v>0</v>
      </c>
      <c r="F935">
        <f>VLOOKUP(B935,raw!A:K,5,0)</f>
        <v>0</v>
      </c>
      <c r="G935">
        <f>VLOOKUP(B935,raw!A:K,2,0)+VLOOKUP(B935,raw!A:K,10,0)</f>
        <v>0</v>
      </c>
      <c r="H935">
        <f>VLOOKUP(B935,raw!A:K,6,0)</f>
        <v>0</v>
      </c>
      <c r="I935">
        <f>VLOOKUP(B935,raw!A:K,9,0)</f>
        <v>0</v>
      </c>
      <c r="J935">
        <f>VLOOKUP(B935,raw!A:K,8,0)</f>
        <v>0</v>
      </c>
      <c r="K935">
        <f>_xlfn.IFNA(VLOOKUP(B935,TDK!A:C,2,0),0)</f>
        <v>13</v>
      </c>
      <c r="L935">
        <f>_xlfn.IFNA(VLOOKUP(B935,TDK!A:C,3,0),0)</f>
        <v>1</v>
      </c>
      <c r="M935">
        <f>_xlfn.IFNA(VLOOKUP(B935,TDK!F:G,2,0),0)</f>
        <v>0</v>
      </c>
      <c r="N935">
        <f t="shared" si="14"/>
        <v>14</v>
      </c>
    </row>
    <row r="936" spans="1:14" x14ac:dyDescent="0.25">
      <c r="A936" t="s">
        <v>129</v>
      </c>
      <c r="B936" t="s">
        <v>1933</v>
      </c>
      <c r="C936">
        <f>VLOOKUP(B936,raw!A:K,11,0)</f>
        <v>52</v>
      </c>
      <c r="D936">
        <f>VLOOKUP(B936,raw!A:K,3,0)+VLOOKUP(B936,raw!A:K,7,0)</f>
        <v>51</v>
      </c>
      <c r="E936">
        <f>VLOOKUP(B936,raw!A:K,4,0)</f>
        <v>0</v>
      </c>
      <c r="F936">
        <f>VLOOKUP(B936,raw!A:K,5,0)</f>
        <v>0</v>
      </c>
      <c r="G936">
        <f>VLOOKUP(B936,raw!A:K,2,0)+VLOOKUP(B936,raw!A:K,10,0)</f>
        <v>0</v>
      </c>
      <c r="H936">
        <f>VLOOKUP(B936,raw!A:K,6,0)</f>
        <v>0</v>
      </c>
      <c r="I936">
        <f>VLOOKUP(B936,raw!A:K,9,0)</f>
        <v>1</v>
      </c>
      <c r="J936">
        <f>VLOOKUP(B936,raw!A:K,8,0)</f>
        <v>0</v>
      </c>
      <c r="K936">
        <f>_xlfn.IFNA(VLOOKUP(B936,TDK!A:C,2,0),0)</f>
        <v>19</v>
      </c>
      <c r="L936">
        <f>_xlfn.IFNA(VLOOKUP(B936,TDK!A:C,3,0),0)</f>
        <v>0</v>
      </c>
      <c r="M936">
        <f>_xlfn.IFNA(VLOOKUP(B936,TDK!F:G,2,0),0)</f>
        <v>4</v>
      </c>
      <c r="N936">
        <f t="shared" si="14"/>
        <v>23</v>
      </c>
    </row>
    <row r="937" spans="1:14" x14ac:dyDescent="0.25">
      <c r="A937" t="s">
        <v>129</v>
      </c>
      <c r="B937" t="s">
        <v>1934</v>
      </c>
      <c r="C937">
        <f>VLOOKUP(B937,raw!A:K,11,0)</f>
        <v>46</v>
      </c>
      <c r="D937">
        <f>VLOOKUP(B937,raw!A:K,3,0)+VLOOKUP(B937,raw!A:K,7,0)</f>
        <v>46</v>
      </c>
      <c r="E937">
        <f>VLOOKUP(B937,raw!A:K,4,0)</f>
        <v>0</v>
      </c>
      <c r="F937">
        <f>VLOOKUP(B937,raw!A:K,5,0)</f>
        <v>0</v>
      </c>
      <c r="G937">
        <f>VLOOKUP(B937,raw!A:K,2,0)+VLOOKUP(B937,raw!A:K,10,0)</f>
        <v>0</v>
      </c>
      <c r="H937">
        <f>VLOOKUP(B937,raw!A:K,6,0)</f>
        <v>0</v>
      </c>
      <c r="I937">
        <f>VLOOKUP(B937,raw!A:K,9,0)</f>
        <v>0</v>
      </c>
      <c r="J937">
        <f>VLOOKUP(B937,raw!A:K,8,0)</f>
        <v>0</v>
      </c>
      <c r="K937">
        <f>_xlfn.IFNA(VLOOKUP(B937,TDK!A:C,2,0),0)</f>
        <v>19</v>
      </c>
      <c r="L937">
        <f>_xlfn.IFNA(VLOOKUP(B937,TDK!A:C,3,0),0)</f>
        <v>1</v>
      </c>
      <c r="M937">
        <f>_xlfn.IFNA(VLOOKUP(B937,TDK!F:G,2,0),0)</f>
        <v>1</v>
      </c>
      <c r="N937">
        <f t="shared" si="14"/>
        <v>21</v>
      </c>
    </row>
    <row r="938" spans="1:14" x14ac:dyDescent="0.25">
      <c r="A938" t="s">
        <v>129</v>
      </c>
      <c r="B938" t="s">
        <v>1935</v>
      </c>
      <c r="C938">
        <f>VLOOKUP(B938,raw!A:K,11,0)</f>
        <v>26</v>
      </c>
      <c r="D938">
        <f>VLOOKUP(B938,raw!A:K,3,0)+VLOOKUP(B938,raw!A:K,7,0)</f>
        <v>25</v>
      </c>
      <c r="E938">
        <f>VLOOKUP(B938,raw!A:K,4,0)</f>
        <v>1</v>
      </c>
      <c r="F938">
        <f>VLOOKUP(B938,raw!A:K,5,0)</f>
        <v>0</v>
      </c>
      <c r="G938">
        <f>VLOOKUP(B938,raw!A:K,2,0)+VLOOKUP(B938,raw!A:K,10,0)</f>
        <v>0</v>
      </c>
      <c r="H938">
        <f>VLOOKUP(B938,raw!A:K,6,0)</f>
        <v>0</v>
      </c>
      <c r="I938">
        <f>VLOOKUP(B938,raw!A:K,9,0)</f>
        <v>0</v>
      </c>
      <c r="J938">
        <f>VLOOKUP(B938,raw!A:K,8,0)</f>
        <v>0</v>
      </c>
      <c r="K938">
        <f>_xlfn.IFNA(VLOOKUP(B938,TDK!A:C,2,0),0)</f>
        <v>11</v>
      </c>
      <c r="L938">
        <f>_xlfn.IFNA(VLOOKUP(B938,TDK!A:C,3,0),0)</f>
        <v>0</v>
      </c>
      <c r="M938">
        <f>_xlfn.IFNA(VLOOKUP(B938,TDK!F:G,2,0),0)</f>
        <v>0</v>
      </c>
      <c r="N938">
        <f t="shared" si="14"/>
        <v>11</v>
      </c>
    </row>
    <row r="939" spans="1:14" x14ac:dyDescent="0.25">
      <c r="A939" t="s">
        <v>112</v>
      </c>
      <c r="B939" t="s">
        <v>1936</v>
      </c>
      <c r="C939">
        <f>VLOOKUP(B939,raw!A:K,11,0)</f>
        <v>57</v>
      </c>
      <c r="D939">
        <f>VLOOKUP(B939,raw!A:K,3,0)+VLOOKUP(B939,raw!A:K,7,0)</f>
        <v>57</v>
      </c>
      <c r="E939">
        <f>VLOOKUP(B939,raw!A:K,4,0)</f>
        <v>0</v>
      </c>
      <c r="F939">
        <f>VLOOKUP(B939,raw!A:K,5,0)</f>
        <v>0</v>
      </c>
      <c r="G939">
        <f>VLOOKUP(B939,raw!A:K,2,0)+VLOOKUP(B939,raw!A:K,10,0)</f>
        <v>0</v>
      </c>
      <c r="H939">
        <f>VLOOKUP(B939,raw!A:K,6,0)</f>
        <v>0</v>
      </c>
      <c r="I939">
        <f>VLOOKUP(B939,raw!A:K,9,0)</f>
        <v>0</v>
      </c>
      <c r="J939">
        <f>VLOOKUP(B939,raw!A:K,8,0)</f>
        <v>0</v>
      </c>
      <c r="K939">
        <f>_xlfn.IFNA(VLOOKUP(B939,TDK!A:C,2,0),0)</f>
        <v>22</v>
      </c>
      <c r="L939">
        <f>_xlfn.IFNA(VLOOKUP(B939,TDK!A:C,3,0),0)</f>
        <v>0</v>
      </c>
      <c r="M939">
        <f>_xlfn.IFNA(VLOOKUP(B939,TDK!F:G,2,0),0)</f>
        <v>1</v>
      </c>
      <c r="N939">
        <f t="shared" si="14"/>
        <v>23</v>
      </c>
    </row>
    <row r="940" spans="1:14" x14ac:dyDescent="0.25">
      <c r="A940" t="s">
        <v>129</v>
      </c>
      <c r="B940" t="s">
        <v>1937</v>
      </c>
      <c r="C940">
        <f>VLOOKUP(B940,raw!A:K,11,0)</f>
        <v>93</v>
      </c>
      <c r="D940">
        <f>VLOOKUP(B940,raw!A:K,3,0)+VLOOKUP(B940,raw!A:K,7,0)</f>
        <v>92</v>
      </c>
      <c r="E940">
        <f>VLOOKUP(B940,raw!A:K,4,0)</f>
        <v>0</v>
      </c>
      <c r="F940">
        <f>VLOOKUP(B940,raw!A:K,5,0)</f>
        <v>0</v>
      </c>
      <c r="G940">
        <f>VLOOKUP(B940,raw!A:K,2,0)+VLOOKUP(B940,raw!A:K,10,0)</f>
        <v>0</v>
      </c>
      <c r="H940">
        <f>VLOOKUP(B940,raw!A:K,6,0)</f>
        <v>0</v>
      </c>
      <c r="I940">
        <f>VLOOKUP(B940,raw!A:K,9,0)</f>
        <v>1</v>
      </c>
      <c r="J940">
        <f>VLOOKUP(B940,raw!A:K,8,0)</f>
        <v>0</v>
      </c>
      <c r="K940">
        <f>_xlfn.IFNA(VLOOKUP(B940,TDK!A:C,2,0),0)</f>
        <v>36</v>
      </c>
      <c r="L940">
        <f>_xlfn.IFNA(VLOOKUP(B940,TDK!A:C,3,0),0)</f>
        <v>1</v>
      </c>
      <c r="M940">
        <f>_xlfn.IFNA(VLOOKUP(B940,TDK!F:G,2,0),0)</f>
        <v>6</v>
      </c>
      <c r="N940">
        <f t="shared" si="14"/>
        <v>43</v>
      </c>
    </row>
    <row r="941" spans="1:14" x14ac:dyDescent="0.25">
      <c r="A941" t="s">
        <v>129</v>
      </c>
      <c r="B941" t="s">
        <v>1938</v>
      </c>
      <c r="C941">
        <f>VLOOKUP(B941,raw!A:K,11,0)</f>
        <v>116</v>
      </c>
      <c r="D941">
        <f>VLOOKUP(B941,raw!A:K,3,0)+VLOOKUP(B941,raw!A:K,7,0)</f>
        <v>55</v>
      </c>
      <c r="E941">
        <f>VLOOKUP(B941,raw!A:K,4,0)</f>
        <v>34</v>
      </c>
      <c r="F941">
        <f>VLOOKUP(B941,raw!A:K,5,0)</f>
        <v>0</v>
      </c>
      <c r="G941">
        <f>VLOOKUP(B941,raw!A:K,2,0)+VLOOKUP(B941,raw!A:K,10,0)</f>
        <v>0</v>
      </c>
      <c r="H941">
        <f>VLOOKUP(B941,raw!A:K,6,0)</f>
        <v>0</v>
      </c>
      <c r="I941">
        <f>VLOOKUP(B941,raw!A:K,9,0)</f>
        <v>27</v>
      </c>
      <c r="J941">
        <f>VLOOKUP(B941,raw!A:K,8,0)</f>
        <v>0</v>
      </c>
      <c r="K941">
        <f>_xlfn.IFNA(VLOOKUP(B941,TDK!A:C,2,0),0)</f>
        <v>25</v>
      </c>
      <c r="L941">
        <f>_xlfn.IFNA(VLOOKUP(B941,TDK!A:C,3,0),0)</f>
        <v>1</v>
      </c>
      <c r="M941">
        <f>_xlfn.IFNA(VLOOKUP(B941,TDK!F:G,2,0),0)</f>
        <v>5</v>
      </c>
      <c r="N941">
        <f t="shared" si="14"/>
        <v>31</v>
      </c>
    </row>
    <row r="942" spans="1:14" x14ac:dyDescent="0.25">
      <c r="A942" t="s">
        <v>129</v>
      </c>
      <c r="B942" t="s">
        <v>1939</v>
      </c>
      <c r="C942">
        <f>VLOOKUP(B942,raw!A:K,11,0)</f>
        <v>78</v>
      </c>
      <c r="D942">
        <f>VLOOKUP(B942,raw!A:K,3,0)+VLOOKUP(B942,raw!A:K,7,0)</f>
        <v>65</v>
      </c>
      <c r="E942">
        <f>VLOOKUP(B942,raw!A:K,4,0)</f>
        <v>10</v>
      </c>
      <c r="F942">
        <f>VLOOKUP(B942,raw!A:K,5,0)</f>
        <v>0</v>
      </c>
      <c r="G942">
        <f>VLOOKUP(B942,raw!A:K,2,0)+VLOOKUP(B942,raw!A:K,10,0)</f>
        <v>0</v>
      </c>
      <c r="H942">
        <f>VLOOKUP(B942,raw!A:K,6,0)</f>
        <v>0</v>
      </c>
      <c r="I942">
        <f>VLOOKUP(B942,raw!A:K,9,0)</f>
        <v>3</v>
      </c>
      <c r="J942">
        <f>VLOOKUP(B942,raw!A:K,8,0)</f>
        <v>0</v>
      </c>
      <c r="K942">
        <f>_xlfn.IFNA(VLOOKUP(B942,TDK!A:C,2,0),0)</f>
        <v>24</v>
      </c>
      <c r="L942">
        <f>_xlfn.IFNA(VLOOKUP(B942,TDK!A:C,3,0),0)</f>
        <v>0</v>
      </c>
      <c r="M942">
        <f>_xlfn.IFNA(VLOOKUP(B942,TDK!F:G,2,0),0)</f>
        <v>6</v>
      </c>
      <c r="N942">
        <f t="shared" si="14"/>
        <v>30</v>
      </c>
    </row>
    <row r="943" spans="1:14" x14ac:dyDescent="0.25">
      <c r="A943" t="s">
        <v>129</v>
      </c>
      <c r="B943" t="s">
        <v>1940</v>
      </c>
      <c r="C943">
        <f>VLOOKUP(B943,raw!A:K,11,0)</f>
        <v>136</v>
      </c>
      <c r="D943">
        <f>VLOOKUP(B943,raw!A:K,3,0)+VLOOKUP(B943,raw!A:K,7,0)</f>
        <v>117</v>
      </c>
      <c r="E943">
        <f>VLOOKUP(B943,raw!A:K,4,0)</f>
        <v>1</v>
      </c>
      <c r="F943">
        <f>VLOOKUP(B943,raw!A:K,5,0)</f>
        <v>0</v>
      </c>
      <c r="G943">
        <f>VLOOKUP(B943,raw!A:K,2,0)+VLOOKUP(B943,raw!A:K,10,0)</f>
        <v>2</v>
      </c>
      <c r="H943">
        <f>VLOOKUP(B943,raw!A:K,6,0)</f>
        <v>0</v>
      </c>
      <c r="I943">
        <f>VLOOKUP(B943,raw!A:K,9,0)</f>
        <v>16</v>
      </c>
      <c r="J943">
        <f>VLOOKUP(B943,raw!A:K,8,0)</f>
        <v>0</v>
      </c>
      <c r="K943">
        <f>_xlfn.IFNA(VLOOKUP(B943,TDK!A:C,2,0),0)</f>
        <v>35</v>
      </c>
      <c r="L943">
        <f>_xlfn.IFNA(VLOOKUP(B943,TDK!A:C,3,0),0)</f>
        <v>1</v>
      </c>
      <c r="M943">
        <f>_xlfn.IFNA(VLOOKUP(B943,TDK!F:G,2,0),0)</f>
        <v>15</v>
      </c>
      <c r="N943">
        <f t="shared" si="14"/>
        <v>51</v>
      </c>
    </row>
    <row r="944" spans="1:14" x14ac:dyDescent="0.25">
      <c r="A944" t="s">
        <v>129</v>
      </c>
      <c r="B944" t="s">
        <v>1941</v>
      </c>
      <c r="C944">
        <f>VLOOKUP(B944,raw!A:K,11,0)</f>
        <v>89</v>
      </c>
      <c r="D944">
        <f>VLOOKUP(B944,raw!A:K,3,0)+VLOOKUP(B944,raw!A:K,7,0)</f>
        <v>85</v>
      </c>
      <c r="E944">
        <f>VLOOKUP(B944,raw!A:K,4,0)</f>
        <v>2</v>
      </c>
      <c r="F944">
        <f>VLOOKUP(B944,raw!A:K,5,0)</f>
        <v>0</v>
      </c>
      <c r="G944">
        <f>VLOOKUP(B944,raw!A:K,2,0)+VLOOKUP(B944,raw!A:K,10,0)</f>
        <v>0</v>
      </c>
      <c r="H944">
        <f>VLOOKUP(B944,raw!A:K,6,0)</f>
        <v>0</v>
      </c>
      <c r="I944">
        <f>VLOOKUP(B944,raw!A:K,9,0)</f>
        <v>2</v>
      </c>
      <c r="J944">
        <f>VLOOKUP(B944,raw!A:K,8,0)</f>
        <v>0</v>
      </c>
      <c r="K944">
        <f>_xlfn.IFNA(VLOOKUP(B944,TDK!A:C,2,0),0)</f>
        <v>21</v>
      </c>
      <c r="L944">
        <f>_xlfn.IFNA(VLOOKUP(B944,TDK!A:C,3,0),0)</f>
        <v>0</v>
      </c>
      <c r="M944">
        <f>_xlfn.IFNA(VLOOKUP(B944,TDK!F:G,2,0),0)</f>
        <v>2</v>
      </c>
      <c r="N944">
        <f t="shared" si="14"/>
        <v>23</v>
      </c>
    </row>
    <row r="945" spans="1:14" x14ac:dyDescent="0.25">
      <c r="A945" t="s">
        <v>112</v>
      </c>
      <c r="B945" t="s">
        <v>1942</v>
      </c>
      <c r="C945">
        <f>VLOOKUP(B945,raw!A:K,11,0)</f>
        <v>95</v>
      </c>
      <c r="D945">
        <f>VLOOKUP(B945,raw!A:K,3,0)+VLOOKUP(B945,raw!A:K,7,0)</f>
        <v>95</v>
      </c>
      <c r="E945">
        <f>VLOOKUP(B945,raw!A:K,4,0)</f>
        <v>0</v>
      </c>
      <c r="F945">
        <f>VLOOKUP(B945,raw!A:K,5,0)</f>
        <v>0</v>
      </c>
      <c r="G945">
        <f>VLOOKUP(B945,raw!A:K,2,0)+VLOOKUP(B945,raw!A:K,10,0)</f>
        <v>0</v>
      </c>
      <c r="H945">
        <f>VLOOKUP(B945,raw!A:K,6,0)</f>
        <v>0</v>
      </c>
      <c r="I945">
        <f>VLOOKUP(B945,raw!A:K,9,0)</f>
        <v>0</v>
      </c>
      <c r="J945">
        <f>VLOOKUP(B945,raw!A:K,8,0)</f>
        <v>0</v>
      </c>
      <c r="K945">
        <f>_xlfn.IFNA(VLOOKUP(B945,TDK!A:C,2,0),0)</f>
        <v>30</v>
      </c>
      <c r="L945">
        <f>_xlfn.IFNA(VLOOKUP(B945,TDK!A:C,3,0),0)</f>
        <v>0</v>
      </c>
      <c r="M945">
        <f>_xlfn.IFNA(VLOOKUP(B945,TDK!F:G,2,0),0)</f>
        <v>10</v>
      </c>
      <c r="N945">
        <f t="shared" si="14"/>
        <v>40</v>
      </c>
    </row>
    <row r="946" spans="1:14" x14ac:dyDescent="0.25">
      <c r="A946" t="s">
        <v>112</v>
      </c>
      <c r="B946" t="s">
        <v>1943</v>
      </c>
      <c r="C946">
        <f>VLOOKUP(B946,raw!A:K,11,0)</f>
        <v>30</v>
      </c>
      <c r="D946">
        <f>VLOOKUP(B946,raw!A:K,3,0)+VLOOKUP(B946,raw!A:K,7,0)</f>
        <v>30</v>
      </c>
      <c r="E946">
        <f>VLOOKUP(B946,raw!A:K,4,0)</f>
        <v>0</v>
      </c>
      <c r="F946">
        <f>VLOOKUP(B946,raw!A:K,5,0)</f>
        <v>0</v>
      </c>
      <c r="G946">
        <f>VLOOKUP(B946,raw!A:K,2,0)+VLOOKUP(B946,raw!A:K,10,0)</f>
        <v>0</v>
      </c>
      <c r="H946">
        <f>VLOOKUP(B946,raw!A:K,6,0)</f>
        <v>0</v>
      </c>
      <c r="I946">
        <f>VLOOKUP(B946,raw!A:K,9,0)</f>
        <v>0</v>
      </c>
      <c r="J946">
        <f>VLOOKUP(B946,raw!A:K,8,0)</f>
        <v>0</v>
      </c>
      <c r="K946">
        <f>_xlfn.IFNA(VLOOKUP(B946,TDK!A:C,2,0),0)</f>
        <v>18</v>
      </c>
      <c r="L946">
        <f>_xlfn.IFNA(VLOOKUP(B946,TDK!A:C,3,0),0)</f>
        <v>0</v>
      </c>
      <c r="M946">
        <f>_xlfn.IFNA(VLOOKUP(B946,TDK!F:G,2,0),0)</f>
        <v>1</v>
      </c>
      <c r="N946">
        <f t="shared" si="14"/>
        <v>19</v>
      </c>
    </row>
    <row r="947" spans="1:14" x14ac:dyDescent="0.25">
      <c r="A947" t="s">
        <v>129</v>
      </c>
      <c r="B947" t="s">
        <v>1944</v>
      </c>
      <c r="C947">
        <f>VLOOKUP(B947,raw!A:K,11,0)</f>
        <v>21</v>
      </c>
      <c r="D947">
        <f>VLOOKUP(B947,raw!A:K,3,0)+VLOOKUP(B947,raw!A:K,7,0)</f>
        <v>17</v>
      </c>
      <c r="E947">
        <f>VLOOKUP(B947,raw!A:K,4,0)</f>
        <v>1</v>
      </c>
      <c r="F947">
        <f>VLOOKUP(B947,raw!A:K,5,0)</f>
        <v>0</v>
      </c>
      <c r="G947">
        <f>VLOOKUP(B947,raw!A:K,2,0)+VLOOKUP(B947,raw!A:K,10,0)</f>
        <v>3</v>
      </c>
      <c r="H947">
        <f>VLOOKUP(B947,raw!A:K,6,0)</f>
        <v>0</v>
      </c>
      <c r="I947">
        <f>VLOOKUP(B947,raw!A:K,9,0)</f>
        <v>0</v>
      </c>
      <c r="J947">
        <f>VLOOKUP(B947,raw!A:K,8,0)</f>
        <v>0</v>
      </c>
      <c r="K947">
        <f>_xlfn.IFNA(VLOOKUP(B947,TDK!A:C,2,0),0)</f>
        <v>4</v>
      </c>
      <c r="L947">
        <f>_xlfn.IFNA(VLOOKUP(B947,TDK!A:C,3,0),0)</f>
        <v>0</v>
      </c>
      <c r="M947">
        <f>_xlfn.IFNA(VLOOKUP(B947,TDK!F:G,2,0),0)</f>
        <v>2</v>
      </c>
      <c r="N947">
        <f t="shared" si="14"/>
        <v>6</v>
      </c>
    </row>
    <row r="948" spans="1:14" x14ac:dyDescent="0.25">
      <c r="A948" t="s">
        <v>130</v>
      </c>
      <c r="B948" t="s">
        <v>1945</v>
      </c>
      <c r="C948">
        <f>VLOOKUP(B948,raw!A:K,11,0)</f>
        <v>85</v>
      </c>
      <c r="D948">
        <f>VLOOKUP(B948,raw!A:K,3,0)+VLOOKUP(B948,raw!A:K,7,0)</f>
        <v>53</v>
      </c>
      <c r="E948">
        <f>VLOOKUP(B948,raw!A:K,4,0)</f>
        <v>21</v>
      </c>
      <c r="F948">
        <f>VLOOKUP(B948,raw!A:K,5,0)</f>
        <v>0</v>
      </c>
      <c r="G948">
        <f>VLOOKUP(B948,raw!A:K,2,0)+VLOOKUP(B948,raw!A:K,10,0)</f>
        <v>2</v>
      </c>
      <c r="H948">
        <f>VLOOKUP(B948,raw!A:K,6,0)</f>
        <v>0</v>
      </c>
      <c r="I948">
        <f>VLOOKUP(B948,raw!A:K,9,0)</f>
        <v>9</v>
      </c>
      <c r="J948">
        <f>VLOOKUP(B948,raw!A:K,8,0)</f>
        <v>0</v>
      </c>
      <c r="K948">
        <f>_xlfn.IFNA(VLOOKUP(B948,TDK!A:C,2,0),0)</f>
        <v>22</v>
      </c>
      <c r="L948">
        <f>_xlfn.IFNA(VLOOKUP(B948,TDK!A:C,3,0),0)</f>
        <v>2</v>
      </c>
      <c r="M948">
        <f>_xlfn.IFNA(VLOOKUP(B948,TDK!F:G,2,0),0)</f>
        <v>5</v>
      </c>
      <c r="N948">
        <f t="shared" si="14"/>
        <v>29</v>
      </c>
    </row>
    <row r="949" spans="1:14" x14ac:dyDescent="0.25">
      <c r="A949" t="s">
        <v>130</v>
      </c>
      <c r="B949" t="s">
        <v>1946</v>
      </c>
      <c r="C949">
        <f>VLOOKUP(B949,raw!A:K,11,0)</f>
        <v>104</v>
      </c>
      <c r="D949">
        <f>VLOOKUP(B949,raw!A:K,3,0)+VLOOKUP(B949,raw!A:K,7,0)</f>
        <v>77</v>
      </c>
      <c r="E949">
        <f>VLOOKUP(B949,raw!A:K,4,0)</f>
        <v>3</v>
      </c>
      <c r="F949">
        <f>VLOOKUP(B949,raw!A:K,5,0)</f>
        <v>0</v>
      </c>
      <c r="G949">
        <f>VLOOKUP(B949,raw!A:K,2,0)+VLOOKUP(B949,raw!A:K,10,0)</f>
        <v>0</v>
      </c>
      <c r="H949">
        <f>VLOOKUP(B949,raw!A:K,6,0)</f>
        <v>0</v>
      </c>
      <c r="I949">
        <f>VLOOKUP(B949,raw!A:K,9,0)</f>
        <v>24</v>
      </c>
      <c r="J949">
        <f>VLOOKUP(B949,raw!A:K,8,0)</f>
        <v>0</v>
      </c>
      <c r="K949">
        <f>_xlfn.IFNA(VLOOKUP(B949,TDK!A:C,2,0),0)</f>
        <v>20</v>
      </c>
      <c r="L949">
        <f>_xlfn.IFNA(VLOOKUP(B949,TDK!A:C,3,0),0)</f>
        <v>0</v>
      </c>
      <c r="M949">
        <f>_xlfn.IFNA(VLOOKUP(B949,TDK!F:G,2,0),0)</f>
        <v>6</v>
      </c>
      <c r="N949">
        <f t="shared" si="14"/>
        <v>26</v>
      </c>
    </row>
    <row r="950" spans="1:14" x14ac:dyDescent="0.25">
      <c r="A950" t="s">
        <v>130</v>
      </c>
      <c r="B950" t="s">
        <v>1947</v>
      </c>
      <c r="C950">
        <f>VLOOKUP(B950,raw!A:K,11,0)</f>
        <v>56</v>
      </c>
      <c r="D950">
        <f>VLOOKUP(B950,raw!A:K,3,0)+VLOOKUP(B950,raw!A:K,7,0)</f>
        <v>41</v>
      </c>
      <c r="E950">
        <f>VLOOKUP(B950,raw!A:K,4,0)</f>
        <v>1</v>
      </c>
      <c r="F950">
        <f>VLOOKUP(B950,raw!A:K,5,0)</f>
        <v>0</v>
      </c>
      <c r="G950">
        <f>VLOOKUP(B950,raw!A:K,2,0)+VLOOKUP(B950,raw!A:K,10,0)</f>
        <v>1</v>
      </c>
      <c r="H950">
        <f>VLOOKUP(B950,raw!A:K,6,0)</f>
        <v>0</v>
      </c>
      <c r="I950">
        <f>VLOOKUP(B950,raw!A:K,9,0)</f>
        <v>13</v>
      </c>
      <c r="J950">
        <f>VLOOKUP(B950,raw!A:K,8,0)</f>
        <v>0</v>
      </c>
      <c r="K950">
        <f>_xlfn.IFNA(VLOOKUP(B950,TDK!A:C,2,0),0)</f>
        <v>10</v>
      </c>
      <c r="L950">
        <f>_xlfn.IFNA(VLOOKUP(B950,TDK!A:C,3,0),0)</f>
        <v>0</v>
      </c>
      <c r="M950">
        <f>_xlfn.IFNA(VLOOKUP(B950,TDK!F:G,2,0),0)</f>
        <v>8</v>
      </c>
      <c r="N950">
        <f t="shared" si="14"/>
        <v>18</v>
      </c>
    </row>
    <row r="951" spans="1:14" x14ac:dyDescent="0.25">
      <c r="A951" t="s">
        <v>131</v>
      </c>
      <c r="B951" t="s">
        <v>1948</v>
      </c>
      <c r="C951">
        <f>VLOOKUP(B951,raw!A:K,11,0)</f>
        <v>45</v>
      </c>
      <c r="D951">
        <f>VLOOKUP(B951,raw!A:K,3,0)+VLOOKUP(B951,raw!A:K,7,0)</f>
        <v>45</v>
      </c>
      <c r="E951">
        <f>VLOOKUP(B951,raw!A:K,4,0)</f>
        <v>0</v>
      </c>
      <c r="F951">
        <f>VLOOKUP(B951,raw!A:K,5,0)</f>
        <v>0</v>
      </c>
      <c r="G951">
        <f>VLOOKUP(B951,raw!A:K,2,0)+VLOOKUP(B951,raw!A:K,10,0)</f>
        <v>0</v>
      </c>
      <c r="H951">
        <f>VLOOKUP(B951,raw!A:K,6,0)</f>
        <v>0</v>
      </c>
      <c r="I951">
        <f>VLOOKUP(B951,raw!A:K,9,0)</f>
        <v>0</v>
      </c>
      <c r="J951">
        <f>VLOOKUP(B951,raw!A:K,8,0)</f>
        <v>0</v>
      </c>
      <c r="K951">
        <f>_xlfn.IFNA(VLOOKUP(B951,TDK!A:C,2,0),0)</f>
        <v>17</v>
      </c>
      <c r="L951">
        <f>_xlfn.IFNA(VLOOKUP(B951,TDK!A:C,3,0),0)</f>
        <v>1</v>
      </c>
      <c r="M951">
        <f>_xlfn.IFNA(VLOOKUP(B951,TDK!F:G,2,0),0)</f>
        <v>3</v>
      </c>
      <c r="N951">
        <f t="shared" si="14"/>
        <v>21</v>
      </c>
    </row>
    <row r="952" spans="1:14" x14ac:dyDescent="0.25">
      <c r="A952" t="s">
        <v>131</v>
      </c>
      <c r="B952" t="s">
        <v>1949</v>
      </c>
      <c r="C952">
        <f>VLOOKUP(B952,raw!A:K,11,0)</f>
        <v>59</v>
      </c>
      <c r="D952">
        <f>VLOOKUP(B952,raw!A:K,3,0)+VLOOKUP(B952,raw!A:K,7,0)</f>
        <v>59</v>
      </c>
      <c r="E952">
        <f>VLOOKUP(B952,raw!A:K,4,0)</f>
        <v>0</v>
      </c>
      <c r="F952">
        <f>VLOOKUP(B952,raw!A:K,5,0)</f>
        <v>0</v>
      </c>
      <c r="G952">
        <f>VLOOKUP(B952,raw!A:K,2,0)+VLOOKUP(B952,raw!A:K,10,0)</f>
        <v>0</v>
      </c>
      <c r="H952">
        <f>VLOOKUP(B952,raw!A:K,6,0)</f>
        <v>0</v>
      </c>
      <c r="I952">
        <f>VLOOKUP(B952,raw!A:K,9,0)</f>
        <v>0</v>
      </c>
      <c r="J952">
        <f>VLOOKUP(B952,raw!A:K,8,0)</f>
        <v>0</v>
      </c>
      <c r="K952">
        <f>_xlfn.IFNA(VLOOKUP(B952,TDK!A:C,2,0),0)</f>
        <v>12</v>
      </c>
      <c r="L952">
        <f>_xlfn.IFNA(VLOOKUP(B952,TDK!A:C,3,0),0)</f>
        <v>0</v>
      </c>
      <c r="M952">
        <f>_xlfn.IFNA(VLOOKUP(B952,TDK!F:G,2,0),0)</f>
        <v>1</v>
      </c>
      <c r="N952">
        <f t="shared" si="14"/>
        <v>13</v>
      </c>
    </row>
    <row r="953" spans="1:14" x14ac:dyDescent="0.25">
      <c r="A953" t="s">
        <v>131</v>
      </c>
      <c r="B953" t="s">
        <v>1950</v>
      </c>
      <c r="C953">
        <f>VLOOKUP(B953,raw!A:K,11,0)</f>
        <v>72</v>
      </c>
      <c r="D953">
        <f>VLOOKUP(B953,raw!A:K,3,0)+VLOOKUP(B953,raw!A:K,7,0)</f>
        <v>72</v>
      </c>
      <c r="E953">
        <f>VLOOKUP(B953,raw!A:K,4,0)</f>
        <v>0</v>
      </c>
      <c r="F953">
        <f>VLOOKUP(B953,raw!A:K,5,0)</f>
        <v>0</v>
      </c>
      <c r="G953">
        <f>VLOOKUP(B953,raw!A:K,2,0)+VLOOKUP(B953,raw!A:K,10,0)</f>
        <v>0</v>
      </c>
      <c r="H953">
        <f>VLOOKUP(B953,raw!A:K,6,0)</f>
        <v>0</v>
      </c>
      <c r="I953">
        <f>VLOOKUP(B953,raw!A:K,9,0)</f>
        <v>0</v>
      </c>
      <c r="J953">
        <f>VLOOKUP(B953,raw!A:K,8,0)</f>
        <v>0</v>
      </c>
      <c r="K953">
        <f>_xlfn.IFNA(VLOOKUP(B953,TDK!A:C,2,0),0)</f>
        <v>27</v>
      </c>
      <c r="L953">
        <f>_xlfn.IFNA(VLOOKUP(B953,TDK!A:C,3,0),0)</f>
        <v>0</v>
      </c>
      <c r="M953">
        <f>_xlfn.IFNA(VLOOKUP(B953,TDK!F:G,2,0),0)</f>
        <v>0</v>
      </c>
      <c r="N953">
        <f t="shared" si="14"/>
        <v>27</v>
      </c>
    </row>
    <row r="954" spans="1:14" x14ac:dyDescent="0.25">
      <c r="A954" t="s">
        <v>131</v>
      </c>
      <c r="B954" t="s">
        <v>1951</v>
      </c>
      <c r="C954">
        <f>VLOOKUP(B954,raw!A:K,11,0)</f>
        <v>62</v>
      </c>
      <c r="D954">
        <f>VLOOKUP(B954,raw!A:K,3,0)+VLOOKUP(B954,raw!A:K,7,0)</f>
        <v>62</v>
      </c>
      <c r="E954">
        <f>VLOOKUP(B954,raw!A:K,4,0)</f>
        <v>0</v>
      </c>
      <c r="F954">
        <f>VLOOKUP(B954,raw!A:K,5,0)</f>
        <v>0</v>
      </c>
      <c r="G954">
        <f>VLOOKUP(B954,raw!A:K,2,0)+VLOOKUP(B954,raw!A:K,10,0)</f>
        <v>0</v>
      </c>
      <c r="H954">
        <f>VLOOKUP(B954,raw!A:K,6,0)</f>
        <v>0</v>
      </c>
      <c r="I954">
        <f>VLOOKUP(B954,raw!A:K,9,0)</f>
        <v>0</v>
      </c>
      <c r="J954">
        <f>VLOOKUP(B954,raw!A:K,8,0)</f>
        <v>0</v>
      </c>
      <c r="K954">
        <f>_xlfn.IFNA(VLOOKUP(B954,TDK!A:C,2,0),0)</f>
        <v>17</v>
      </c>
      <c r="L954">
        <f>_xlfn.IFNA(VLOOKUP(B954,TDK!A:C,3,0),0)</f>
        <v>1</v>
      </c>
      <c r="M954">
        <f>_xlfn.IFNA(VLOOKUP(B954,TDK!F:G,2,0),0)</f>
        <v>3</v>
      </c>
      <c r="N954">
        <f t="shared" si="14"/>
        <v>21</v>
      </c>
    </row>
    <row r="955" spans="1:14" x14ac:dyDescent="0.25">
      <c r="A955" t="s">
        <v>131</v>
      </c>
      <c r="B955" t="s">
        <v>1952</v>
      </c>
      <c r="C955">
        <f>VLOOKUP(B955,raw!A:K,11,0)</f>
        <v>52</v>
      </c>
      <c r="D955">
        <f>VLOOKUP(B955,raw!A:K,3,0)+VLOOKUP(B955,raw!A:K,7,0)</f>
        <v>52</v>
      </c>
      <c r="E955">
        <f>VLOOKUP(B955,raw!A:K,4,0)</f>
        <v>0</v>
      </c>
      <c r="F955">
        <f>VLOOKUP(B955,raw!A:K,5,0)</f>
        <v>0</v>
      </c>
      <c r="G955">
        <f>VLOOKUP(B955,raw!A:K,2,0)+VLOOKUP(B955,raw!A:K,10,0)</f>
        <v>0</v>
      </c>
      <c r="H955">
        <f>VLOOKUP(B955,raw!A:K,6,0)</f>
        <v>0</v>
      </c>
      <c r="I955">
        <f>VLOOKUP(B955,raw!A:K,9,0)</f>
        <v>0</v>
      </c>
      <c r="J955">
        <f>VLOOKUP(B955,raw!A:K,8,0)</f>
        <v>0</v>
      </c>
      <c r="K955">
        <f>_xlfn.IFNA(VLOOKUP(B955,TDK!A:C,2,0),0)</f>
        <v>21</v>
      </c>
      <c r="L955">
        <f>_xlfn.IFNA(VLOOKUP(B955,TDK!A:C,3,0),0)</f>
        <v>0</v>
      </c>
      <c r="M955">
        <f>_xlfn.IFNA(VLOOKUP(B955,TDK!F:G,2,0),0)</f>
        <v>8</v>
      </c>
      <c r="N955">
        <f t="shared" si="14"/>
        <v>29</v>
      </c>
    </row>
    <row r="956" spans="1:14" x14ac:dyDescent="0.25">
      <c r="A956" t="s">
        <v>131</v>
      </c>
      <c r="B956" t="s">
        <v>1953</v>
      </c>
      <c r="C956">
        <f>VLOOKUP(B956,raw!A:K,11,0)</f>
        <v>78</v>
      </c>
      <c r="D956">
        <f>VLOOKUP(B956,raw!A:K,3,0)+VLOOKUP(B956,raw!A:K,7,0)</f>
        <v>78</v>
      </c>
      <c r="E956">
        <f>VLOOKUP(B956,raw!A:K,4,0)</f>
        <v>0</v>
      </c>
      <c r="F956">
        <f>VLOOKUP(B956,raw!A:K,5,0)</f>
        <v>0</v>
      </c>
      <c r="G956">
        <f>VLOOKUP(B956,raw!A:K,2,0)+VLOOKUP(B956,raw!A:K,10,0)</f>
        <v>0</v>
      </c>
      <c r="H956">
        <f>VLOOKUP(B956,raw!A:K,6,0)</f>
        <v>0</v>
      </c>
      <c r="I956">
        <f>VLOOKUP(B956,raw!A:K,9,0)</f>
        <v>0</v>
      </c>
      <c r="J956">
        <f>VLOOKUP(B956,raw!A:K,8,0)</f>
        <v>0</v>
      </c>
      <c r="K956">
        <f>_xlfn.IFNA(VLOOKUP(B956,TDK!A:C,2,0),0)</f>
        <v>19</v>
      </c>
      <c r="L956">
        <f>_xlfn.IFNA(VLOOKUP(B956,TDK!A:C,3,0),0)</f>
        <v>2</v>
      </c>
      <c r="M956">
        <f>_xlfn.IFNA(VLOOKUP(B956,TDK!F:G,2,0),0)</f>
        <v>1</v>
      </c>
      <c r="N956">
        <f t="shared" si="14"/>
        <v>22</v>
      </c>
    </row>
    <row r="957" spans="1:14" x14ac:dyDescent="0.25">
      <c r="A957" t="s">
        <v>132</v>
      </c>
      <c r="B957" t="s">
        <v>1954</v>
      </c>
      <c r="C957">
        <f>VLOOKUP(B957,raw!A:K,11,0)</f>
        <v>109</v>
      </c>
      <c r="D957">
        <f>VLOOKUP(B957,raw!A:K,3,0)+VLOOKUP(B957,raw!A:K,7,0)</f>
        <v>109</v>
      </c>
      <c r="E957">
        <f>VLOOKUP(B957,raw!A:K,4,0)</f>
        <v>0</v>
      </c>
      <c r="F957">
        <f>VLOOKUP(B957,raw!A:K,5,0)</f>
        <v>0</v>
      </c>
      <c r="G957">
        <f>VLOOKUP(B957,raw!A:K,2,0)+VLOOKUP(B957,raw!A:K,10,0)</f>
        <v>0</v>
      </c>
      <c r="H957">
        <f>VLOOKUP(B957,raw!A:K,6,0)</f>
        <v>0</v>
      </c>
      <c r="I957">
        <f>VLOOKUP(B957,raw!A:K,9,0)</f>
        <v>0</v>
      </c>
      <c r="J957">
        <f>VLOOKUP(B957,raw!A:K,8,0)</f>
        <v>0</v>
      </c>
      <c r="K957">
        <f>_xlfn.IFNA(VLOOKUP(B957,TDK!A:C,2,0),0)</f>
        <v>88</v>
      </c>
      <c r="L957">
        <f>_xlfn.IFNA(VLOOKUP(B957,TDK!A:C,3,0),0)</f>
        <v>2</v>
      </c>
      <c r="M957">
        <f>_xlfn.IFNA(VLOOKUP(B957,TDK!F:G,2,0),0)</f>
        <v>0</v>
      </c>
      <c r="N957">
        <f t="shared" si="14"/>
        <v>90</v>
      </c>
    </row>
    <row r="958" spans="1:14" x14ac:dyDescent="0.25">
      <c r="A958" t="s">
        <v>133</v>
      </c>
      <c r="B958" t="s">
        <v>1955</v>
      </c>
      <c r="C958">
        <f>VLOOKUP(B958,raw!A:K,11,0)</f>
        <v>149</v>
      </c>
      <c r="D958">
        <f>VLOOKUP(B958,raw!A:K,3,0)+VLOOKUP(B958,raw!A:K,7,0)</f>
        <v>149</v>
      </c>
      <c r="E958">
        <f>VLOOKUP(B958,raw!A:K,4,0)</f>
        <v>0</v>
      </c>
      <c r="F958">
        <f>VLOOKUP(B958,raw!A:K,5,0)</f>
        <v>0</v>
      </c>
      <c r="G958">
        <f>VLOOKUP(B958,raw!A:K,2,0)+VLOOKUP(B958,raw!A:K,10,0)</f>
        <v>0</v>
      </c>
      <c r="H958">
        <f>VLOOKUP(B958,raw!A:K,6,0)</f>
        <v>0</v>
      </c>
      <c r="I958">
        <f>VLOOKUP(B958,raw!A:K,9,0)</f>
        <v>0</v>
      </c>
      <c r="J958">
        <f>VLOOKUP(B958,raw!A:K,8,0)</f>
        <v>0</v>
      </c>
      <c r="K958">
        <f>_xlfn.IFNA(VLOOKUP(B958,TDK!A:C,2,0),0)</f>
        <v>48</v>
      </c>
      <c r="L958">
        <f>_xlfn.IFNA(VLOOKUP(B958,TDK!A:C,3,0),0)</f>
        <v>2</v>
      </c>
      <c r="M958">
        <f>_xlfn.IFNA(VLOOKUP(B958,TDK!F:G,2,0),0)</f>
        <v>15</v>
      </c>
      <c r="N958">
        <f t="shared" si="14"/>
        <v>65</v>
      </c>
    </row>
    <row r="959" spans="1:14" x14ac:dyDescent="0.25">
      <c r="A959" t="s">
        <v>134</v>
      </c>
      <c r="B959" t="s">
        <v>1956</v>
      </c>
      <c r="C959">
        <f>VLOOKUP(B959,raw!A:K,11,0)</f>
        <v>110</v>
      </c>
      <c r="D959">
        <f>VLOOKUP(B959,raw!A:K,3,0)+VLOOKUP(B959,raw!A:K,7,0)</f>
        <v>110</v>
      </c>
      <c r="E959">
        <f>VLOOKUP(B959,raw!A:K,4,0)</f>
        <v>0</v>
      </c>
      <c r="F959">
        <f>VLOOKUP(B959,raw!A:K,5,0)</f>
        <v>0</v>
      </c>
      <c r="G959">
        <f>VLOOKUP(B959,raw!A:K,2,0)+VLOOKUP(B959,raw!A:K,10,0)</f>
        <v>0</v>
      </c>
      <c r="H959">
        <f>VLOOKUP(B959,raw!A:K,6,0)</f>
        <v>0</v>
      </c>
      <c r="I959">
        <f>VLOOKUP(B959,raw!A:K,9,0)</f>
        <v>0</v>
      </c>
      <c r="J959">
        <f>VLOOKUP(B959,raw!A:K,8,0)</f>
        <v>0</v>
      </c>
      <c r="K959">
        <f>_xlfn.IFNA(VLOOKUP(B959,TDK!A:C,2,0),0)</f>
        <v>26</v>
      </c>
      <c r="L959">
        <f>_xlfn.IFNA(VLOOKUP(B959,TDK!A:C,3,0),0)</f>
        <v>6</v>
      </c>
      <c r="M959">
        <f>_xlfn.IFNA(VLOOKUP(B959,TDK!F:G,2,0),0)</f>
        <v>32</v>
      </c>
      <c r="N959">
        <f t="shared" si="14"/>
        <v>64</v>
      </c>
    </row>
    <row r="960" spans="1:14" x14ac:dyDescent="0.25">
      <c r="A960" t="s">
        <v>133</v>
      </c>
      <c r="B960" t="s">
        <v>1957</v>
      </c>
      <c r="C960">
        <f>VLOOKUP(B960,raw!A:K,11,0)</f>
        <v>174</v>
      </c>
      <c r="D960">
        <f>VLOOKUP(B960,raw!A:K,3,0)+VLOOKUP(B960,raw!A:K,7,0)</f>
        <v>174</v>
      </c>
      <c r="E960">
        <f>VLOOKUP(B960,raw!A:K,4,0)</f>
        <v>0</v>
      </c>
      <c r="F960">
        <f>VLOOKUP(B960,raw!A:K,5,0)</f>
        <v>0</v>
      </c>
      <c r="G960">
        <f>VLOOKUP(B960,raw!A:K,2,0)+VLOOKUP(B960,raw!A:K,10,0)</f>
        <v>0</v>
      </c>
      <c r="H960">
        <f>VLOOKUP(B960,raw!A:K,6,0)</f>
        <v>0</v>
      </c>
      <c r="I960">
        <f>VLOOKUP(B960,raw!A:K,9,0)</f>
        <v>0</v>
      </c>
      <c r="J960">
        <f>VLOOKUP(B960,raw!A:K,8,0)</f>
        <v>0</v>
      </c>
      <c r="K960">
        <f>_xlfn.IFNA(VLOOKUP(B960,TDK!A:C,2,0),0)</f>
        <v>69</v>
      </c>
      <c r="L960">
        <f>_xlfn.IFNA(VLOOKUP(B960,TDK!A:C,3,0),0)</f>
        <v>1</v>
      </c>
      <c r="M960">
        <f>_xlfn.IFNA(VLOOKUP(B960,TDK!F:G,2,0),0)</f>
        <v>12</v>
      </c>
      <c r="N960">
        <f t="shared" si="14"/>
        <v>82</v>
      </c>
    </row>
    <row r="961" spans="1:14" x14ac:dyDescent="0.25">
      <c r="A961" t="s">
        <v>133</v>
      </c>
      <c r="B961" t="s">
        <v>1958</v>
      </c>
      <c r="C961">
        <f>VLOOKUP(B961,raw!A:K,11,0)</f>
        <v>76</v>
      </c>
      <c r="D961">
        <f>VLOOKUP(B961,raw!A:K,3,0)+VLOOKUP(B961,raw!A:K,7,0)</f>
        <v>76</v>
      </c>
      <c r="E961">
        <f>VLOOKUP(B961,raw!A:K,4,0)</f>
        <v>0</v>
      </c>
      <c r="F961">
        <f>VLOOKUP(B961,raw!A:K,5,0)</f>
        <v>0</v>
      </c>
      <c r="G961">
        <f>VLOOKUP(B961,raw!A:K,2,0)+VLOOKUP(B961,raw!A:K,10,0)</f>
        <v>0</v>
      </c>
      <c r="H961">
        <f>VLOOKUP(B961,raw!A:K,6,0)</f>
        <v>0</v>
      </c>
      <c r="I961">
        <f>VLOOKUP(B961,raw!A:K,9,0)</f>
        <v>0</v>
      </c>
      <c r="J961">
        <f>VLOOKUP(B961,raw!A:K,8,0)</f>
        <v>0</v>
      </c>
      <c r="K961">
        <f>_xlfn.IFNA(VLOOKUP(B961,TDK!A:C,2,0),0)</f>
        <v>54</v>
      </c>
      <c r="L961">
        <f>_xlfn.IFNA(VLOOKUP(B961,TDK!A:C,3,0),0)</f>
        <v>2</v>
      </c>
      <c r="M961">
        <f>_xlfn.IFNA(VLOOKUP(B961,TDK!F:G,2,0),0)</f>
        <v>4</v>
      </c>
      <c r="N961">
        <f t="shared" si="14"/>
        <v>60</v>
      </c>
    </row>
    <row r="962" spans="1:14" x14ac:dyDescent="0.25">
      <c r="A962" t="s">
        <v>132</v>
      </c>
      <c r="B962" t="s">
        <v>1959</v>
      </c>
      <c r="C962">
        <f>VLOOKUP(B962,raw!A:K,11,0)</f>
        <v>260</v>
      </c>
      <c r="D962">
        <f>VLOOKUP(B962,raw!A:K,3,0)+VLOOKUP(B962,raw!A:K,7,0)</f>
        <v>260</v>
      </c>
      <c r="E962">
        <f>VLOOKUP(B962,raw!A:K,4,0)</f>
        <v>0</v>
      </c>
      <c r="F962">
        <f>VLOOKUP(B962,raw!A:K,5,0)</f>
        <v>0</v>
      </c>
      <c r="G962">
        <f>VLOOKUP(B962,raw!A:K,2,0)+VLOOKUP(B962,raw!A:K,10,0)</f>
        <v>0</v>
      </c>
      <c r="H962">
        <f>VLOOKUP(B962,raw!A:K,6,0)</f>
        <v>0</v>
      </c>
      <c r="I962">
        <f>VLOOKUP(B962,raw!A:K,9,0)</f>
        <v>0</v>
      </c>
      <c r="J962">
        <f>VLOOKUP(B962,raw!A:K,8,0)</f>
        <v>0</v>
      </c>
      <c r="K962">
        <f>_xlfn.IFNA(VLOOKUP(B962,TDK!A:C,2,0),0)</f>
        <v>95</v>
      </c>
      <c r="L962">
        <f>_xlfn.IFNA(VLOOKUP(B962,TDK!A:C,3,0),0)</f>
        <v>1</v>
      </c>
      <c r="M962">
        <f>_xlfn.IFNA(VLOOKUP(B962,TDK!F:G,2,0),0)</f>
        <v>12</v>
      </c>
      <c r="N962">
        <f t="shared" si="14"/>
        <v>108</v>
      </c>
    </row>
    <row r="963" spans="1:14" x14ac:dyDescent="0.25">
      <c r="A963" t="s">
        <v>132</v>
      </c>
      <c r="B963" t="s">
        <v>1960</v>
      </c>
      <c r="C963">
        <f>VLOOKUP(B963,raw!A:K,11,0)</f>
        <v>233</v>
      </c>
      <c r="D963">
        <f>VLOOKUP(B963,raw!A:K,3,0)+VLOOKUP(B963,raw!A:K,7,0)</f>
        <v>233</v>
      </c>
      <c r="E963">
        <f>VLOOKUP(B963,raw!A:K,4,0)</f>
        <v>0</v>
      </c>
      <c r="F963">
        <f>VLOOKUP(B963,raw!A:K,5,0)</f>
        <v>0</v>
      </c>
      <c r="G963">
        <f>VLOOKUP(B963,raw!A:K,2,0)+VLOOKUP(B963,raw!A:K,10,0)</f>
        <v>0</v>
      </c>
      <c r="H963">
        <f>VLOOKUP(B963,raw!A:K,6,0)</f>
        <v>0</v>
      </c>
      <c r="I963">
        <f>VLOOKUP(B963,raw!A:K,9,0)</f>
        <v>0</v>
      </c>
      <c r="J963">
        <f>VLOOKUP(B963,raw!A:K,8,0)</f>
        <v>0</v>
      </c>
      <c r="K963">
        <f>_xlfn.IFNA(VLOOKUP(B963,TDK!A:C,2,0),0)</f>
        <v>92</v>
      </c>
      <c r="L963">
        <f>_xlfn.IFNA(VLOOKUP(B963,TDK!A:C,3,0),0)</f>
        <v>3</v>
      </c>
      <c r="M963">
        <f>_xlfn.IFNA(VLOOKUP(B963,TDK!F:G,2,0),0)</f>
        <v>29</v>
      </c>
      <c r="N963">
        <f t="shared" ref="N963:N1026" si="15">SUM(K963:M963)</f>
        <v>124</v>
      </c>
    </row>
    <row r="964" spans="1:14" x14ac:dyDescent="0.25">
      <c r="A964" t="s">
        <v>133</v>
      </c>
      <c r="B964" t="s">
        <v>1961</v>
      </c>
      <c r="C964">
        <f>VLOOKUP(B964,raw!A:K,11,0)</f>
        <v>99</v>
      </c>
      <c r="D964">
        <f>VLOOKUP(B964,raw!A:K,3,0)+VLOOKUP(B964,raw!A:K,7,0)</f>
        <v>99</v>
      </c>
      <c r="E964">
        <f>VLOOKUP(B964,raw!A:K,4,0)</f>
        <v>0</v>
      </c>
      <c r="F964">
        <f>VLOOKUP(B964,raw!A:K,5,0)</f>
        <v>0</v>
      </c>
      <c r="G964">
        <f>VLOOKUP(B964,raw!A:K,2,0)+VLOOKUP(B964,raw!A:K,10,0)</f>
        <v>0</v>
      </c>
      <c r="H964">
        <f>VLOOKUP(B964,raw!A:K,6,0)</f>
        <v>0</v>
      </c>
      <c r="I964">
        <f>VLOOKUP(B964,raw!A:K,9,0)</f>
        <v>0</v>
      </c>
      <c r="J964">
        <f>VLOOKUP(B964,raw!A:K,8,0)</f>
        <v>0</v>
      </c>
      <c r="K964">
        <f>_xlfn.IFNA(VLOOKUP(B964,TDK!A:C,2,0),0)</f>
        <v>39</v>
      </c>
      <c r="L964">
        <f>_xlfn.IFNA(VLOOKUP(B964,TDK!A:C,3,0),0)</f>
        <v>3</v>
      </c>
      <c r="M964">
        <f>_xlfn.IFNA(VLOOKUP(B964,TDK!F:G,2,0),0)</f>
        <v>19</v>
      </c>
      <c r="N964">
        <f t="shared" si="15"/>
        <v>61</v>
      </c>
    </row>
    <row r="965" spans="1:14" x14ac:dyDescent="0.25">
      <c r="A965" t="s">
        <v>133</v>
      </c>
      <c r="B965" t="s">
        <v>1962</v>
      </c>
      <c r="C965">
        <f>VLOOKUP(B965,raw!A:K,11,0)</f>
        <v>84</v>
      </c>
      <c r="D965">
        <f>VLOOKUP(B965,raw!A:K,3,0)+VLOOKUP(B965,raw!A:K,7,0)</f>
        <v>84</v>
      </c>
      <c r="E965">
        <f>VLOOKUP(B965,raw!A:K,4,0)</f>
        <v>0</v>
      </c>
      <c r="F965">
        <f>VLOOKUP(B965,raw!A:K,5,0)</f>
        <v>0</v>
      </c>
      <c r="G965">
        <f>VLOOKUP(B965,raw!A:K,2,0)+VLOOKUP(B965,raw!A:K,10,0)</f>
        <v>0</v>
      </c>
      <c r="H965">
        <f>VLOOKUP(B965,raw!A:K,6,0)</f>
        <v>0</v>
      </c>
      <c r="I965">
        <f>VLOOKUP(B965,raw!A:K,9,0)</f>
        <v>0</v>
      </c>
      <c r="J965">
        <f>VLOOKUP(B965,raw!A:K,8,0)</f>
        <v>0</v>
      </c>
      <c r="K965">
        <f>_xlfn.IFNA(VLOOKUP(B965,TDK!A:C,2,0),0)</f>
        <v>37</v>
      </c>
      <c r="L965">
        <f>_xlfn.IFNA(VLOOKUP(B965,TDK!A:C,3,0),0)</f>
        <v>2</v>
      </c>
      <c r="M965">
        <f>_xlfn.IFNA(VLOOKUP(B965,TDK!F:G,2,0),0)</f>
        <v>6</v>
      </c>
      <c r="N965">
        <f t="shared" si="15"/>
        <v>45</v>
      </c>
    </row>
    <row r="966" spans="1:14" x14ac:dyDescent="0.25">
      <c r="A966" t="s">
        <v>379</v>
      </c>
      <c r="B966" t="s">
        <v>1963</v>
      </c>
      <c r="C966">
        <f>VLOOKUP(B966,raw!A:K,11,0)</f>
        <v>97</v>
      </c>
      <c r="D966">
        <f>VLOOKUP(B966,raw!A:K,3,0)+VLOOKUP(B966,raw!A:K,7,0)</f>
        <v>97</v>
      </c>
      <c r="E966">
        <f>VLOOKUP(B966,raw!A:K,4,0)</f>
        <v>0</v>
      </c>
      <c r="F966">
        <f>VLOOKUP(B966,raw!A:K,5,0)</f>
        <v>0</v>
      </c>
      <c r="G966">
        <f>VLOOKUP(B966,raw!A:K,2,0)+VLOOKUP(B966,raw!A:K,10,0)</f>
        <v>0</v>
      </c>
      <c r="H966">
        <f>VLOOKUP(B966,raw!A:K,6,0)</f>
        <v>0</v>
      </c>
      <c r="I966">
        <f>VLOOKUP(B966,raw!A:K,9,0)</f>
        <v>0</v>
      </c>
      <c r="J966">
        <f>VLOOKUP(B966,raw!A:K,8,0)</f>
        <v>0</v>
      </c>
      <c r="K966">
        <f>_xlfn.IFNA(VLOOKUP(B966,TDK!A:C,2,0),0)</f>
        <v>18</v>
      </c>
      <c r="L966">
        <f>_xlfn.IFNA(VLOOKUP(B966,TDK!A:C,3,0),0)</f>
        <v>1</v>
      </c>
      <c r="M966">
        <f>_xlfn.IFNA(VLOOKUP(B966,TDK!F:G,2,0),0)</f>
        <v>23</v>
      </c>
      <c r="N966">
        <f t="shared" si="15"/>
        <v>42</v>
      </c>
    </row>
    <row r="967" spans="1:14" x14ac:dyDescent="0.25">
      <c r="A967" t="s">
        <v>134</v>
      </c>
      <c r="B967" t="s">
        <v>1964</v>
      </c>
      <c r="C967">
        <f>VLOOKUP(B967,raw!A:K,11,0)</f>
        <v>138</v>
      </c>
      <c r="D967">
        <f>VLOOKUP(B967,raw!A:K,3,0)+VLOOKUP(B967,raw!A:K,7,0)</f>
        <v>138</v>
      </c>
      <c r="E967">
        <f>VLOOKUP(B967,raw!A:K,4,0)</f>
        <v>0</v>
      </c>
      <c r="F967">
        <f>VLOOKUP(B967,raw!A:K,5,0)</f>
        <v>0</v>
      </c>
      <c r="G967">
        <f>VLOOKUP(B967,raw!A:K,2,0)+VLOOKUP(B967,raw!A:K,10,0)</f>
        <v>0</v>
      </c>
      <c r="H967">
        <f>VLOOKUP(B967,raw!A:K,6,0)</f>
        <v>0</v>
      </c>
      <c r="I967">
        <f>VLOOKUP(B967,raw!A:K,9,0)</f>
        <v>0</v>
      </c>
      <c r="J967">
        <f>VLOOKUP(B967,raw!A:K,8,0)</f>
        <v>0</v>
      </c>
      <c r="K967">
        <f>_xlfn.IFNA(VLOOKUP(B967,TDK!A:C,2,0),0)</f>
        <v>40</v>
      </c>
      <c r="L967">
        <f>_xlfn.IFNA(VLOOKUP(B967,TDK!A:C,3,0),0)</f>
        <v>1</v>
      </c>
      <c r="M967">
        <f>_xlfn.IFNA(VLOOKUP(B967,TDK!F:G,2,0),0)</f>
        <v>30</v>
      </c>
      <c r="N967">
        <f t="shared" si="15"/>
        <v>71</v>
      </c>
    </row>
    <row r="968" spans="1:14" x14ac:dyDescent="0.25">
      <c r="A968" t="s">
        <v>134</v>
      </c>
      <c r="B968" t="s">
        <v>1965</v>
      </c>
      <c r="C968">
        <f>VLOOKUP(B968,raw!A:K,11,0)</f>
        <v>143</v>
      </c>
      <c r="D968">
        <f>VLOOKUP(B968,raw!A:K,3,0)+VLOOKUP(B968,raw!A:K,7,0)</f>
        <v>143</v>
      </c>
      <c r="E968">
        <f>VLOOKUP(B968,raw!A:K,4,0)</f>
        <v>0</v>
      </c>
      <c r="F968">
        <f>VLOOKUP(B968,raw!A:K,5,0)</f>
        <v>0</v>
      </c>
      <c r="G968">
        <f>VLOOKUP(B968,raw!A:K,2,0)+VLOOKUP(B968,raw!A:K,10,0)</f>
        <v>0</v>
      </c>
      <c r="H968">
        <f>VLOOKUP(B968,raw!A:K,6,0)</f>
        <v>0</v>
      </c>
      <c r="I968">
        <f>VLOOKUP(B968,raw!A:K,9,0)</f>
        <v>0</v>
      </c>
      <c r="J968">
        <f>VLOOKUP(B968,raw!A:K,8,0)</f>
        <v>0</v>
      </c>
      <c r="K968">
        <f>_xlfn.IFNA(VLOOKUP(B968,TDK!A:C,2,0),0)</f>
        <v>48</v>
      </c>
      <c r="L968">
        <f>_xlfn.IFNA(VLOOKUP(B968,TDK!A:C,3,0),0)</f>
        <v>1</v>
      </c>
      <c r="M968">
        <f>_xlfn.IFNA(VLOOKUP(B968,TDK!F:G,2,0),0)</f>
        <v>14</v>
      </c>
      <c r="N968">
        <f t="shared" si="15"/>
        <v>63</v>
      </c>
    </row>
    <row r="969" spans="1:14" x14ac:dyDescent="0.25">
      <c r="A969" t="s">
        <v>134</v>
      </c>
      <c r="B969" t="s">
        <v>1966</v>
      </c>
      <c r="C969">
        <f>VLOOKUP(B969,raw!A:K,11,0)</f>
        <v>181</v>
      </c>
      <c r="D969">
        <f>VLOOKUP(B969,raw!A:K,3,0)+VLOOKUP(B969,raw!A:K,7,0)</f>
        <v>181</v>
      </c>
      <c r="E969">
        <f>VLOOKUP(B969,raw!A:K,4,0)</f>
        <v>0</v>
      </c>
      <c r="F969">
        <f>VLOOKUP(B969,raw!A:K,5,0)</f>
        <v>0</v>
      </c>
      <c r="G969">
        <f>VLOOKUP(B969,raw!A:K,2,0)+VLOOKUP(B969,raw!A:K,10,0)</f>
        <v>0</v>
      </c>
      <c r="H969">
        <f>VLOOKUP(B969,raw!A:K,6,0)</f>
        <v>0</v>
      </c>
      <c r="I969">
        <f>VLOOKUP(B969,raw!A:K,9,0)</f>
        <v>0</v>
      </c>
      <c r="J969">
        <f>VLOOKUP(B969,raw!A:K,8,0)</f>
        <v>0</v>
      </c>
      <c r="K969">
        <f>_xlfn.IFNA(VLOOKUP(B969,TDK!A:C,2,0),0)</f>
        <v>43</v>
      </c>
      <c r="L969">
        <f>_xlfn.IFNA(VLOOKUP(B969,TDK!A:C,3,0),0)</f>
        <v>1</v>
      </c>
      <c r="M969">
        <f>_xlfn.IFNA(VLOOKUP(B969,TDK!F:G,2,0),0)</f>
        <v>39</v>
      </c>
      <c r="N969">
        <f t="shared" si="15"/>
        <v>83</v>
      </c>
    </row>
    <row r="970" spans="1:14" x14ac:dyDescent="0.25">
      <c r="A970" t="s">
        <v>134</v>
      </c>
      <c r="B970" t="s">
        <v>1967</v>
      </c>
      <c r="C970">
        <f>VLOOKUP(B970,raw!A:K,11,0)</f>
        <v>233</v>
      </c>
      <c r="D970">
        <f>VLOOKUP(B970,raw!A:K,3,0)+VLOOKUP(B970,raw!A:K,7,0)</f>
        <v>233</v>
      </c>
      <c r="E970">
        <f>VLOOKUP(B970,raw!A:K,4,0)</f>
        <v>0</v>
      </c>
      <c r="F970">
        <f>VLOOKUP(B970,raw!A:K,5,0)</f>
        <v>0</v>
      </c>
      <c r="G970">
        <f>VLOOKUP(B970,raw!A:K,2,0)+VLOOKUP(B970,raw!A:K,10,0)</f>
        <v>0</v>
      </c>
      <c r="H970">
        <f>VLOOKUP(B970,raw!A:K,6,0)</f>
        <v>0</v>
      </c>
      <c r="I970">
        <f>VLOOKUP(B970,raw!A:K,9,0)</f>
        <v>0</v>
      </c>
      <c r="J970">
        <f>VLOOKUP(B970,raw!A:K,8,0)</f>
        <v>0</v>
      </c>
      <c r="K970">
        <f>_xlfn.IFNA(VLOOKUP(B970,TDK!A:C,2,0),0)</f>
        <v>56</v>
      </c>
      <c r="L970">
        <f>_xlfn.IFNA(VLOOKUP(B970,TDK!A:C,3,0),0)</f>
        <v>0</v>
      </c>
      <c r="M970">
        <f>_xlfn.IFNA(VLOOKUP(B970,TDK!F:G,2,0),0)</f>
        <v>56</v>
      </c>
      <c r="N970">
        <f t="shared" si="15"/>
        <v>112</v>
      </c>
    </row>
    <row r="971" spans="1:14" x14ac:dyDescent="0.25">
      <c r="A971" t="s">
        <v>379</v>
      </c>
      <c r="B971" t="s">
        <v>1968</v>
      </c>
      <c r="C971">
        <f>VLOOKUP(B971,raw!A:K,11,0)</f>
        <v>192</v>
      </c>
      <c r="D971">
        <f>VLOOKUP(B971,raw!A:K,3,0)+VLOOKUP(B971,raw!A:K,7,0)</f>
        <v>192</v>
      </c>
      <c r="E971">
        <f>VLOOKUP(B971,raw!A:K,4,0)</f>
        <v>0</v>
      </c>
      <c r="F971">
        <f>VLOOKUP(B971,raw!A:K,5,0)</f>
        <v>0</v>
      </c>
      <c r="G971">
        <f>VLOOKUP(B971,raw!A:K,2,0)+VLOOKUP(B971,raw!A:K,10,0)</f>
        <v>0</v>
      </c>
      <c r="H971">
        <f>VLOOKUP(B971,raw!A:K,6,0)</f>
        <v>0</v>
      </c>
      <c r="I971">
        <f>VLOOKUP(B971,raw!A:K,9,0)</f>
        <v>0</v>
      </c>
      <c r="J971">
        <f>VLOOKUP(B971,raw!A:K,8,0)</f>
        <v>0</v>
      </c>
      <c r="K971">
        <f>_xlfn.IFNA(VLOOKUP(B971,TDK!A:C,2,0),0)</f>
        <v>84</v>
      </c>
      <c r="L971">
        <f>_xlfn.IFNA(VLOOKUP(B971,TDK!A:C,3,0),0)</f>
        <v>0</v>
      </c>
      <c r="M971">
        <f>_xlfn.IFNA(VLOOKUP(B971,TDK!F:G,2,0),0)</f>
        <v>35</v>
      </c>
      <c r="N971">
        <f t="shared" si="15"/>
        <v>119</v>
      </c>
    </row>
    <row r="972" spans="1:14" x14ac:dyDescent="0.25">
      <c r="A972" t="s">
        <v>379</v>
      </c>
      <c r="B972" t="s">
        <v>1969</v>
      </c>
      <c r="C972">
        <f>VLOOKUP(B972,raw!A:K,11,0)</f>
        <v>109</v>
      </c>
      <c r="D972">
        <f>VLOOKUP(B972,raw!A:K,3,0)+VLOOKUP(B972,raw!A:K,7,0)</f>
        <v>109</v>
      </c>
      <c r="E972">
        <f>VLOOKUP(B972,raw!A:K,4,0)</f>
        <v>0</v>
      </c>
      <c r="F972">
        <f>VLOOKUP(B972,raw!A:K,5,0)</f>
        <v>0</v>
      </c>
      <c r="G972">
        <f>VLOOKUP(B972,raw!A:K,2,0)+VLOOKUP(B972,raw!A:K,10,0)</f>
        <v>0</v>
      </c>
      <c r="H972">
        <f>VLOOKUP(B972,raw!A:K,6,0)</f>
        <v>0</v>
      </c>
      <c r="I972">
        <f>VLOOKUP(B972,raw!A:K,9,0)</f>
        <v>0</v>
      </c>
      <c r="J972">
        <f>VLOOKUP(B972,raw!A:K,8,0)</f>
        <v>0</v>
      </c>
      <c r="K972">
        <f>_xlfn.IFNA(VLOOKUP(B972,TDK!A:C,2,0),0)</f>
        <v>13</v>
      </c>
      <c r="L972">
        <f>_xlfn.IFNA(VLOOKUP(B972,TDK!A:C,3,0),0)</f>
        <v>0</v>
      </c>
      <c r="M972">
        <f>_xlfn.IFNA(VLOOKUP(B972,TDK!F:G,2,0),0)</f>
        <v>31</v>
      </c>
      <c r="N972">
        <f t="shared" si="15"/>
        <v>44</v>
      </c>
    </row>
    <row r="973" spans="1:14" x14ac:dyDescent="0.25">
      <c r="A973" t="s">
        <v>379</v>
      </c>
      <c r="B973" t="s">
        <v>1970</v>
      </c>
      <c r="C973">
        <f>VLOOKUP(B973,raw!A:K,11,0)</f>
        <v>128</v>
      </c>
      <c r="D973">
        <f>VLOOKUP(B973,raw!A:K,3,0)+VLOOKUP(B973,raw!A:K,7,0)</f>
        <v>128</v>
      </c>
      <c r="E973">
        <f>VLOOKUP(B973,raw!A:K,4,0)</f>
        <v>0</v>
      </c>
      <c r="F973">
        <f>VLOOKUP(B973,raw!A:K,5,0)</f>
        <v>0</v>
      </c>
      <c r="G973">
        <f>VLOOKUP(B973,raw!A:K,2,0)+VLOOKUP(B973,raw!A:K,10,0)</f>
        <v>0</v>
      </c>
      <c r="H973">
        <f>VLOOKUP(B973,raw!A:K,6,0)</f>
        <v>0</v>
      </c>
      <c r="I973">
        <f>VLOOKUP(B973,raw!A:K,9,0)</f>
        <v>0</v>
      </c>
      <c r="J973">
        <f>VLOOKUP(B973,raw!A:K,8,0)</f>
        <v>0</v>
      </c>
      <c r="K973">
        <f>_xlfn.IFNA(VLOOKUP(B973,TDK!A:C,2,0),0)</f>
        <v>50</v>
      </c>
      <c r="L973">
        <f>_xlfn.IFNA(VLOOKUP(B973,TDK!A:C,3,0),0)</f>
        <v>2</v>
      </c>
      <c r="M973">
        <f>_xlfn.IFNA(VLOOKUP(B973,TDK!F:G,2,0),0)</f>
        <v>25</v>
      </c>
      <c r="N973">
        <f t="shared" si="15"/>
        <v>77</v>
      </c>
    </row>
    <row r="974" spans="1:14" x14ac:dyDescent="0.25">
      <c r="A974" t="s">
        <v>379</v>
      </c>
      <c r="B974" t="s">
        <v>1971</v>
      </c>
      <c r="C974">
        <f>VLOOKUP(B974,raw!A:K,11,0)</f>
        <v>274</v>
      </c>
      <c r="D974">
        <f>VLOOKUP(B974,raw!A:K,3,0)+VLOOKUP(B974,raw!A:K,7,0)</f>
        <v>274</v>
      </c>
      <c r="E974">
        <f>VLOOKUP(B974,raw!A:K,4,0)</f>
        <v>0</v>
      </c>
      <c r="F974">
        <f>VLOOKUP(B974,raw!A:K,5,0)</f>
        <v>0</v>
      </c>
      <c r="G974">
        <f>VLOOKUP(B974,raw!A:K,2,0)+VLOOKUP(B974,raw!A:K,10,0)</f>
        <v>0</v>
      </c>
      <c r="H974">
        <f>VLOOKUP(B974,raw!A:K,6,0)</f>
        <v>0</v>
      </c>
      <c r="I974">
        <f>VLOOKUP(B974,raw!A:K,9,0)</f>
        <v>0</v>
      </c>
      <c r="J974">
        <f>VLOOKUP(B974,raw!A:K,8,0)</f>
        <v>0</v>
      </c>
      <c r="K974">
        <f>_xlfn.IFNA(VLOOKUP(B974,TDK!A:C,2,0),0)</f>
        <v>79</v>
      </c>
      <c r="L974">
        <f>_xlfn.IFNA(VLOOKUP(B974,TDK!A:C,3,0),0)</f>
        <v>3</v>
      </c>
      <c r="M974">
        <f>_xlfn.IFNA(VLOOKUP(B974,TDK!F:G,2,0),0)</f>
        <v>41</v>
      </c>
      <c r="N974">
        <f t="shared" si="15"/>
        <v>123</v>
      </c>
    </row>
    <row r="975" spans="1:14" x14ac:dyDescent="0.25">
      <c r="A975" t="s">
        <v>379</v>
      </c>
      <c r="B975" t="s">
        <v>1972</v>
      </c>
      <c r="C975">
        <f>VLOOKUP(B975,raw!A:K,11,0)</f>
        <v>282</v>
      </c>
      <c r="D975">
        <f>VLOOKUP(B975,raw!A:K,3,0)+VLOOKUP(B975,raw!A:K,7,0)</f>
        <v>282</v>
      </c>
      <c r="E975">
        <f>VLOOKUP(B975,raw!A:K,4,0)</f>
        <v>0</v>
      </c>
      <c r="F975">
        <f>VLOOKUP(B975,raw!A:K,5,0)</f>
        <v>0</v>
      </c>
      <c r="G975">
        <f>VLOOKUP(B975,raw!A:K,2,0)+VLOOKUP(B975,raw!A:K,10,0)</f>
        <v>0</v>
      </c>
      <c r="H975">
        <f>VLOOKUP(B975,raw!A:K,6,0)</f>
        <v>0</v>
      </c>
      <c r="I975">
        <f>VLOOKUP(B975,raw!A:K,9,0)</f>
        <v>0</v>
      </c>
      <c r="J975">
        <f>VLOOKUP(B975,raw!A:K,8,0)</f>
        <v>0</v>
      </c>
      <c r="K975">
        <f>_xlfn.IFNA(VLOOKUP(B975,TDK!A:C,2,0),0)</f>
        <v>13</v>
      </c>
      <c r="L975">
        <f>_xlfn.IFNA(VLOOKUP(B975,TDK!A:C,3,0),0)</f>
        <v>2</v>
      </c>
      <c r="M975">
        <f>_xlfn.IFNA(VLOOKUP(B975,TDK!F:G,2,0),0)</f>
        <v>217</v>
      </c>
      <c r="N975">
        <f t="shared" si="15"/>
        <v>232</v>
      </c>
    </row>
    <row r="976" spans="1:14" x14ac:dyDescent="0.25">
      <c r="A976" t="s">
        <v>136</v>
      </c>
      <c r="B976" t="s">
        <v>1973</v>
      </c>
      <c r="C976">
        <f>VLOOKUP(B976,raw!A:K,11,0)</f>
        <v>58</v>
      </c>
      <c r="D976">
        <f>VLOOKUP(B976,raw!A:K,3,0)+VLOOKUP(B976,raw!A:K,7,0)</f>
        <v>58</v>
      </c>
      <c r="E976">
        <f>VLOOKUP(B976,raw!A:K,4,0)</f>
        <v>0</v>
      </c>
      <c r="F976">
        <f>VLOOKUP(B976,raw!A:K,5,0)</f>
        <v>0</v>
      </c>
      <c r="G976">
        <f>VLOOKUP(B976,raw!A:K,2,0)+VLOOKUP(B976,raw!A:K,10,0)</f>
        <v>0</v>
      </c>
      <c r="H976">
        <f>VLOOKUP(B976,raw!A:K,6,0)</f>
        <v>0</v>
      </c>
      <c r="I976">
        <f>VLOOKUP(B976,raw!A:K,9,0)</f>
        <v>0</v>
      </c>
      <c r="J976">
        <f>VLOOKUP(B976,raw!A:K,8,0)</f>
        <v>0</v>
      </c>
      <c r="K976">
        <f>_xlfn.IFNA(VLOOKUP(B976,TDK!A:C,2,0),0)</f>
        <v>16</v>
      </c>
      <c r="L976">
        <f>_xlfn.IFNA(VLOOKUP(B976,TDK!A:C,3,0),0)</f>
        <v>4</v>
      </c>
      <c r="M976">
        <f>_xlfn.IFNA(VLOOKUP(B976,TDK!F:G,2,0),0)</f>
        <v>2</v>
      </c>
      <c r="N976">
        <f t="shared" si="15"/>
        <v>22</v>
      </c>
    </row>
    <row r="977" spans="1:14" x14ac:dyDescent="0.25">
      <c r="A977" t="s">
        <v>136</v>
      </c>
      <c r="B977" t="s">
        <v>1974</v>
      </c>
      <c r="C977">
        <f>VLOOKUP(B977,raw!A:K,11,0)</f>
        <v>65</v>
      </c>
      <c r="D977">
        <f>VLOOKUP(B977,raw!A:K,3,0)+VLOOKUP(B977,raw!A:K,7,0)</f>
        <v>65</v>
      </c>
      <c r="E977">
        <f>VLOOKUP(B977,raw!A:K,4,0)</f>
        <v>0</v>
      </c>
      <c r="F977">
        <f>VLOOKUP(B977,raw!A:K,5,0)</f>
        <v>0</v>
      </c>
      <c r="G977">
        <f>VLOOKUP(B977,raw!A:K,2,0)+VLOOKUP(B977,raw!A:K,10,0)</f>
        <v>0</v>
      </c>
      <c r="H977">
        <f>VLOOKUP(B977,raw!A:K,6,0)</f>
        <v>0</v>
      </c>
      <c r="I977">
        <f>VLOOKUP(B977,raw!A:K,9,0)</f>
        <v>0</v>
      </c>
      <c r="J977">
        <f>VLOOKUP(B977,raw!A:K,8,0)</f>
        <v>0</v>
      </c>
      <c r="K977">
        <f>_xlfn.IFNA(VLOOKUP(B977,TDK!A:C,2,0),0)</f>
        <v>22</v>
      </c>
      <c r="L977">
        <f>_xlfn.IFNA(VLOOKUP(B977,TDK!A:C,3,0),0)</f>
        <v>2</v>
      </c>
      <c r="M977">
        <f>_xlfn.IFNA(VLOOKUP(B977,TDK!F:G,2,0),0)</f>
        <v>0</v>
      </c>
      <c r="N977">
        <f t="shared" si="15"/>
        <v>24</v>
      </c>
    </row>
    <row r="978" spans="1:14" x14ac:dyDescent="0.25">
      <c r="A978" t="s">
        <v>136</v>
      </c>
      <c r="B978" t="s">
        <v>1975</v>
      </c>
      <c r="C978">
        <f>VLOOKUP(B978,raw!A:K,11,0)</f>
        <v>48</v>
      </c>
      <c r="D978">
        <f>VLOOKUP(B978,raw!A:K,3,0)+VLOOKUP(B978,raw!A:K,7,0)</f>
        <v>48</v>
      </c>
      <c r="E978">
        <f>VLOOKUP(B978,raw!A:K,4,0)</f>
        <v>0</v>
      </c>
      <c r="F978">
        <f>VLOOKUP(B978,raw!A:K,5,0)</f>
        <v>0</v>
      </c>
      <c r="G978">
        <f>VLOOKUP(B978,raw!A:K,2,0)+VLOOKUP(B978,raw!A:K,10,0)</f>
        <v>0</v>
      </c>
      <c r="H978">
        <f>VLOOKUP(B978,raw!A:K,6,0)</f>
        <v>0</v>
      </c>
      <c r="I978">
        <f>VLOOKUP(B978,raw!A:K,9,0)</f>
        <v>0</v>
      </c>
      <c r="J978">
        <f>VLOOKUP(B978,raw!A:K,8,0)</f>
        <v>0</v>
      </c>
      <c r="K978">
        <f>_xlfn.IFNA(VLOOKUP(B978,TDK!A:C,2,0),0)</f>
        <v>13</v>
      </c>
      <c r="L978">
        <f>_xlfn.IFNA(VLOOKUP(B978,TDK!A:C,3,0),0)</f>
        <v>0</v>
      </c>
      <c r="M978">
        <f>_xlfn.IFNA(VLOOKUP(B978,TDK!F:G,2,0),0)</f>
        <v>0</v>
      </c>
      <c r="N978">
        <f t="shared" si="15"/>
        <v>13</v>
      </c>
    </row>
    <row r="979" spans="1:14" x14ac:dyDescent="0.25">
      <c r="A979" t="s">
        <v>136</v>
      </c>
      <c r="B979" t="s">
        <v>1976</v>
      </c>
      <c r="C979">
        <f>VLOOKUP(B979,raw!A:K,11,0)</f>
        <v>45</v>
      </c>
      <c r="D979">
        <f>VLOOKUP(B979,raw!A:K,3,0)+VLOOKUP(B979,raw!A:K,7,0)</f>
        <v>45</v>
      </c>
      <c r="E979">
        <f>VLOOKUP(B979,raw!A:K,4,0)</f>
        <v>0</v>
      </c>
      <c r="F979">
        <f>VLOOKUP(B979,raw!A:K,5,0)</f>
        <v>0</v>
      </c>
      <c r="G979">
        <f>VLOOKUP(B979,raw!A:K,2,0)+VLOOKUP(B979,raw!A:K,10,0)</f>
        <v>0</v>
      </c>
      <c r="H979">
        <f>VLOOKUP(B979,raw!A:K,6,0)</f>
        <v>0</v>
      </c>
      <c r="I979">
        <f>VLOOKUP(B979,raw!A:K,9,0)</f>
        <v>0</v>
      </c>
      <c r="J979">
        <f>VLOOKUP(B979,raw!A:K,8,0)</f>
        <v>0</v>
      </c>
      <c r="K979">
        <f>_xlfn.IFNA(VLOOKUP(B979,TDK!A:C,2,0),0)</f>
        <v>14</v>
      </c>
      <c r="L979">
        <f>_xlfn.IFNA(VLOOKUP(B979,TDK!A:C,3,0),0)</f>
        <v>0</v>
      </c>
      <c r="M979">
        <f>_xlfn.IFNA(VLOOKUP(B979,TDK!F:G,2,0),0)</f>
        <v>2</v>
      </c>
      <c r="N979">
        <f t="shared" si="15"/>
        <v>16</v>
      </c>
    </row>
    <row r="980" spans="1:14" x14ac:dyDescent="0.25">
      <c r="A980" t="s">
        <v>136</v>
      </c>
      <c r="B980" t="s">
        <v>1977</v>
      </c>
      <c r="C980">
        <f>VLOOKUP(B980,raw!A:K,11,0)</f>
        <v>97</v>
      </c>
      <c r="D980">
        <f>VLOOKUP(B980,raw!A:K,3,0)+VLOOKUP(B980,raw!A:K,7,0)</f>
        <v>97</v>
      </c>
      <c r="E980">
        <f>VLOOKUP(B980,raw!A:K,4,0)</f>
        <v>0</v>
      </c>
      <c r="F980">
        <f>VLOOKUP(B980,raw!A:K,5,0)</f>
        <v>0</v>
      </c>
      <c r="G980">
        <f>VLOOKUP(B980,raw!A:K,2,0)+VLOOKUP(B980,raw!A:K,10,0)</f>
        <v>0</v>
      </c>
      <c r="H980">
        <f>VLOOKUP(B980,raw!A:K,6,0)</f>
        <v>0</v>
      </c>
      <c r="I980">
        <f>VLOOKUP(B980,raw!A:K,9,0)</f>
        <v>0</v>
      </c>
      <c r="J980">
        <f>VLOOKUP(B980,raw!A:K,8,0)</f>
        <v>0</v>
      </c>
      <c r="K980">
        <f>_xlfn.IFNA(VLOOKUP(B980,TDK!A:C,2,0),0)</f>
        <v>38</v>
      </c>
      <c r="L980">
        <f>_xlfn.IFNA(VLOOKUP(B980,TDK!A:C,3,0),0)</f>
        <v>0</v>
      </c>
      <c r="M980">
        <f>_xlfn.IFNA(VLOOKUP(B980,TDK!F:G,2,0),0)</f>
        <v>2</v>
      </c>
      <c r="N980">
        <f t="shared" si="15"/>
        <v>40</v>
      </c>
    </row>
    <row r="981" spans="1:14" x14ac:dyDescent="0.25">
      <c r="A981" t="s">
        <v>136</v>
      </c>
      <c r="B981" t="s">
        <v>1978</v>
      </c>
      <c r="C981">
        <f>VLOOKUP(B981,raw!A:K,11,0)</f>
        <v>137</v>
      </c>
      <c r="D981">
        <f>VLOOKUP(B981,raw!A:K,3,0)+VLOOKUP(B981,raw!A:K,7,0)</f>
        <v>137</v>
      </c>
      <c r="E981">
        <f>VLOOKUP(B981,raw!A:K,4,0)</f>
        <v>0</v>
      </c>
      <c r="F981">
        <f>VLOOKUP(B981,raw!A:K,5,0)</f>
        <v>0</v>
      </c>
      <c r="G981">
        <f>VLOOKUP(B981,raw!A:K,2,0)+VLOOKUP(B981,raw!A:K,10,0)</f>
        <v>0</v>
      </c>
      <c r="H981">
        <f>VLOOKUP(B981,raw!A:K,6,0)</f>
        <v>0</v>
      </c>
      <c r="I981">
        <f>VLOOKUP(B981,raw!A:K,9,0)</f>
        <v>0</v>
      </c>
      <c r="J981">
        <f>VLOOKUP(B981,raw!A:K,8,0)</f>
        <v>0</v>
      </c>
      <c r="K981">
        <f>_xlfn.IFNA(VLOOKUP(B981,TDK!A:C,2,0),0)</f>
        <v>43</v>
      </c>
      <c r="L981">
        <f>_xlfn.IFNA(VLOOKUP(B981,TDK!A:C,3,0),0)</f>
        <v>10</v>
      </c>
      <c r="M981">
        <f>_xlfn.IFNA(VLOOKUP(B981,TDK!F:G,2,0),0)</f>
        <v>0</v>
      </c>
      <c r="N981">
        <f t="shared" si="15"/>
        <v>53</v>
      </c>
    </row>
    <row r="982" spans="1:14" x14ac:dyDescent="0.25">
      <c r="A982" t="s">
        <v>137</v>
      </c>
      <c r="B982" t="s">
        <v>1979</v>
      </c>
      <c r="C982">
        <f>VLOOKUP(B982,raw!A:K,11,0)</f>
        <v>62</v>
      </c>
      <c r="D982">
        <f>VLOOKUP(B982,raw!A:K,3,0)+VLOOKUP(B982,raw!A:K,7,0)</f>
        <v>62</v>
      </c>
      <c r="E982">
        <f>VLOOKUP(B982,raw!A:K,4,0)</f>
        <v>0</v>
      </c>
      <c r="F982">
        <f>VLOOKUP(B982,raw!A:K,5,0)</f>
        <v>0</v>
      </c>
      <c r="G982">
        <f>VLOOKUP(B982,raw!A:K,2,0)+VLOOKUP(B982,raw!A:K,10,0)</f>
        <v>0</v>
      </c>
      <c r="H982">
        <f>VLOOKUP(B982,raw!A:K,6,0)</f>
        <v>0</v>
      </c>
      <c r="I982">
        <f>VLOOKUP(B982,raw!A:K,9,0)</f>
        <v>0</v>
      </c>
      <c r="J982">
        <f>VLOOKUP(B982,raw!A:K,8,0)</f>
        <v>0</v>
      </c>
      <c r="K982">
        <f>_xlfn.IFNA(VLOOKUP(B982,TDK!A:C,2,0),0)</f>
        <v>14</v>
      </c>
      <c r="L982">
        <f>_xlfn.IFNA(VLOOKUP(B982,TDK!A:C,3,0),0)</f>
        <v>2</v>
      </c>
      <c r="M982">
        <f>_xlfn.IFNA(VLOOKUP(B982,TDK!F:G,2,0),0)</f>
        <v>5</v>
      </c>
      <c r="N982">
        <f t="shared" si="15"/>
        <v>21</v>
      </c>
    </row>
    <row r="983" spans="1:14" x14ac:dyDescent="0.25">
      <c r="A983" t="s">
        <v>137</v>
      </c>
      <c r="B983" t="s">
        <v>1980</v>
      </c>
      <c r="C983">
        <f>VLOOKUP(B983,raw!A:K,11,0)</f>
        <v>203</v>
      </c>
      <c r="D983">
        <f>VLOOKUP(B983,raw!A:K,3,0)+VLOOKUP(B983,raw!A:K,7,0)</f>
        <v>203</v>
      </c>
      <c r="E983">
        <f>VLOOKUP(B983,raw!A:K,4,0)</f>
        <v>0</v>
      </c>
      <c r="F983">
        <f>VLOOKUP(B983,raw!A:K,5,0)</f>
        <v>0</v>
      </c>
      <c r="G983">
        <f>VLOOKUP(B983,raw!A:K,2,0)+VLOOKUP(B983,raw!A:K,10,0)</f>
        <v>0</v>
      </c>
      <c r="H983">
        <f>VLOOKUP(B983,raw!A:K,6,0)</f>
        <v>0</v>
      </c>
      <c r="I983">
        <f>VLOOKUP(B983,raw!A:K,9,0)</f>
        <v>0</v>
      </c>
      <c r="J983">
        <f>VLOOKUP(B983,raw!A:K,8,0)</f>
        <v>0</v>
      </c>
      <c r="K983">
        <f>_xlfn.IFNA(VLOOKUP(B983,TDK!A:C,2,0),0)</f>
        <v>31</v>
      </c>
      <c r="L983">
        <f>_xlfn.IFNA(VLOOKUP(B983,TDK!A:C,3,0),0)</f>
        <v>0</v>
      </c>
      <c r="M983">
        <f>_xlfn.IFNA(VLOOKUP(B983,TDK!F:G,2,0),0)</f>
        <v>71</v>
      </c>
      <c r="N983">
        <f t="shared" si="15"/>
        <v>102</v>
      </c>
    </row>
    <row r="984" spans="1:14" x14ac:dyDescent="0.25">
      <c r="A984" t="s">
        <v>137</v>
      </c>
      <c r="B984" t="s">
        <v>1981</v>
      </c>
      <c r="C984">
        <f>VLOOKUP(B984,raw!A:K,11,0)</f>
        <v>51</v>
      </c>
      <c r="D984">
        <f>VLOOKUP(B984,raw!A:K,3,0)+VLOOKUP(B984,raw!A:K,7,0)</f>
        <v>51</v>
      </c>
      <c r="E984">
        <f>VLOOKUP(B984,raw!A:K,4,0)</f>
        <v>0</v>
      </c>
      <c r="F984">
        <f>VLOOKUP(B984,raw!A:K,5,0)</f>
        <v>0</v>
      </c>
      <c r="G984">
        <f>VLOOKUP(B984,raw!A:K,2,0)+VLOOKUP(B984,raw!A:K,10,0)</f>
        <v>0</v>
      </c>
      <c r="H984">
        <f>VLOOKUP(B984,raw!A:K,6,0)</f>
        <v>0</v>
      </c>
      <c r="I984">
        <f>VLOOKUP(B984,raw!A:K,9,0)</f>
        <v>0</v>
      </c>
      <c r="J984">
        <f>VLOOKUP(B984,raw!A:K,8,0)</f>
        <v>0</v>
      </c>
      <c r="K984">
        <f>_xlfn.IFNA(VLOOKUP(B984,TDK!A:C,2,0),0)</f>
        <v>10</v>
      </c>
      <c r="L984">
        <f>_xlfn.IFNA(VLOOKUP(B984,TDK!A:C,3,0),0)</f>
        <v>1</v>
      </c>
      <c r="M984">
        <f>_xlfn.IFNA(VLOOKUP(B984,TDK!F:G,2,0),0)</f>
        <v>3</v>
      </c>
      <c r="N984">
        <f t="shared" si="15"/>
        <v>14</v>
      </c>
    </row>
    <row r="985" spans="1:14" x14ac:dyDescent="0.25">
      <c r="A985" t="s">
        <v>137</v>
      </c>
      <c r="B985" t="s">
        <v>1982</v>
      </c>
      <c r="C985">
        <f>VLOOKUP(B985,raw!A:K,11,0)</f>
        <v>119</v>
      </c>
      <c r="D985">
        <f>VLOOKUP(B985,raw!A:K,3,0)+VLOOKUP(B985,raw!A:K,7,0)</f>
        <v>119</v>
      </c>
      <c r="E985">
        <f>VLOOKUP(B985,raw!A:K,4,0)</f>
        <v>0</v>
      </c>
      <c r="F985">
        <f>VLOOKUP(B985,raw!A:K,5,0)</f>
        <v>0</v>
      </c>
      <c r="G985">
        <f>VLOOKUP(B985,raw!A:K,2,0)+VLOOKUP(B985,raw!A:K,10,0)</f>
        <v>0</v>
      </c>
      <c r="H985">
        <f>VLOOKUP(B985,raw!A:K,6,0)</f>
        <v>0</v>
      </c>
      <c r="I985">
        <f>VLOOKUP(B985,raw!A:K,9,0)</f>
        <v>0</v>
      </c>
      <c r="J985">
        <f>VLOOKUP(B985,raw!A:K,8,0)</f>
        <v>0</v>
      </c>
      <c r="K985">
        <f>_xlfn.IFNA(VLOOKUP(B985,TDK!A:C,2,0),0)</f>
        <v>22</v>
      </c>
      <c r="L985">
        <f>_xlfn.IFNA(VLOOKUP(B985,TDK!A:C,3,0),0)</f>
        <v>3</v>
      </c>
      <c r="M985">
        <f>_xlfn.IFNA(VLOOKUP(B985,TDK!F:G,2,0),0)</f>
        <v>41</v>
      </c>
      <c r="N985">
        <f t="shared" si="15"/>
        <v>66</v>
      </c>
    </row>
    <row r="986" spans="1:14" x14ac:dyDescent="0.25">
      <c r="A986" t="s">
        <v>137</v>
      </c>
      <c r="B986" t="s">
        <v>1983</v>
      </c>
      <c r="C986">
        <f>VLOOKUP(B986,raw!A:K,11,0)</f>
        <v>34</v>
      </c>
      <c r="D986">
        <f>VLOOKUP(B986,raw!A:K,3,0)+VLOOKUP(B986,raw!A:K,7,0)</f>
        <v>34</v>
      </c>
      <c r="E986">
        <f>VLOOKUP(B986,raw!A:K,4,0)</f>
        <v>0</v>
      </c>
      <c r="F986">
        <f>VLOOKUP(B986,raw!A:K,5,0)</f>
        <v>0</v>
      </c>
      <c r="G986">
        <f>VLOOKUP(B986,raw!A:K,2,0)+VLOOKUP(B986,raw!A:K,10,0)</f>
        <v>0</v>
      </c>
      <c r="H986">
        <f>VLOOKUP(B986,raw!A:K,6,0)</f>
        <v>0</v>
      </c>
      <c r="I986">
        <f>VLOOKUP(B986,raw!A:K,9,0)</f>
        <v>0</v>
      </c>
      <c r="J986">
        <f>VLOOKUP(B986,raw!A:K,8,0)</f>
        <v>0</v>
      </c>
      <c r="K986">
        <f>_xlfn.IFNA(VLOOKUP(B986,TDK!A:C,2,0),0)</f>
        <v>5</v>
      </c>
      <c r="L986">
        <f>_xlfn.IFNA(VLOOKUP(B986,TDK!A:C,3,0),0)</f>
        <v>0</v>
      </c>
      <c r="M986">
        <f>_xlfn.IFNA(VLOOKUP(B986,TDK!F:G,2,0),0)</f>
        <v>3</v>
      </c>
      <c r="N986">
        <f t="shared" si="15"/>
        <v>8</v>
      </c>
    </row>
    <row r="987" spans="1:14" x14ac:dyDescent="0.25">
      <c r="A987" t="s">
        <v>133</v>
      </c>
      <c r="B987" t="s">
        <v>1984</v>
      </c>
      <c r="C987">
        <f>VLOOKUP(B987,raw!A:K,11,0)</f>
        <v>44</v>
      </c>
      <c r="D987">
        <f>VLOOKUP(B987,raw!A:K,3,0)+VLOOKUP(B987,raw!A:K,7,0)</f>
        <v>44</v>
      </c>
      <c r="E987">
        <f>VLOOKUP(B987,raw!A:K,4,0)</f>
        <v>0</v>
      </c>
      <c r="F987">
        <f>VLOOKUP(B987,raw!A:K,5,0)</f>
        <v>0</v>
      </c>
      <c r="G987">
        <f>VLOOKUP(B987,raw!A:K,2,0)+VLOOKUP(B987,raw!A:K,10,0)</f>
        <v>0</v>
      </c>
      <c r="H987">
        <f>VLOOKUP(B987,raw!A:K,6,0)</f>
        <v>0</v>
      </c>
      <c r="I987">
        <f>VLOOKUP(B987,raw!A:K,9,0)</f>
        <v>0</v>
      </c>
      <c r="J987">
        <f>VLOOKUP(B987,raw!A:K,8,0)</f>
        <v>0</v>
      </c>
      <c r="K987">
        <f>_xlfn.IFNA(VLOOKUP(B987,TDK!A:C,2,0),0)</f>
        <v>17</v>
      </c>
      <c r="L987">
        <f>_xlfn.IFNA(VLOOKUP(B987,TDK!A:C,3,0),0)</f>
        <v>0</v>
      </c>
      <c r="M987">
        <f>_xlfn.IFNA(VLOOKUP(B987,TDK!F:G,2,0),0)</f>
        <v>1</v>
      </c>
      <c r="N987">
        <f t="shared" si="15"/>
        <v>18</v>
      </c>
    </row>
    <row r="988" spans="1:14" x14ac:dyDescent="0.25">
      <c r="A988" t="s">
        <v>137</v>
      </c>
      <c r="B988" t="s">
        <v>1985</v>
      </c>
      <c r="C988">
        <f>VLOOKUP(B988,raw!A:K,11,0)</f>
        <v>67</v>
      </c>
      <c r="D988">
        <f>VLOOKUP(B988,raw!A:K,3,0)+VLOOKUP(B988,raw!A:K,7,0)</f>
        <v>67</v>
      </c>
      <c r="E988">
        <f>VLOOKUP(B988,raw!A:K,4,0)</f>
        <v>0</v>
      </c>
      <c r="F988">
        <f>VLOOKUP(B988,raw!A:K,5,0)</f>
        <v>0</v>
      </c>
      <c r="G988">
        <f>VLOOKUP(B988,raw!A:K,2,0)+VLOOKUP(B988,raw!A:K,10,0)</f>
        <v>0</v>
      </c>
      <c r="H988">
        <f>VLOOKUP(B988,raw!A:K,6,0)</f>
        <v>0</v>
      </c>
      <c r="I988">
        <f>VLOOKUP(B988,raw!A:K,9,0)</f>
        <v>0</v>
      </c>
      <c r="J988">
        <f>VLOOKUP(B988,raw!A:K,8,0)</f>
        <v>0</v>
      </c>
      <c r="K988">
        <f>_xlfn.IFNA(VLOOKUP(B988,TDK!A:C,2,0),0)</f>
        <v>13</v>
      </c>
      <c r="L988">
        <f>_xlfn.IFNA(VLOOKUP(B988,TDK!A:C,3,0),0)</f>
        <v>0</v>
      </c>
      <c r="M988">
        <f>_xlfn.IFNA(VLOOKUP(B988,TDK!F:G,2,0),0)</f>
        <v>8</v>
      </c>
      <c r="N988">
        <f t="shared" si="15"/>
        <v>21</v>
      </c>
    </row>
    <row r="989" spans="1:14" x14ac:dyDescent="0.25">
      <c r="A989" t="s">
        <v>137</v>
      </c>
      <c r="B989" t="s">
        <v>1986</v>
      </c>
      <c r="C989">
        <f>VLOOKUP(B989,raw!A:K,11,0)</f>
        <v>48</v>
      </c>
      <c r="D989">
        <f>VLOOKUP(B989,raw!A:K,3,0)+VLOOKUP(B989,raw!A:K,7,0)</f>
        <v>48</v>
      </c>
      <c r="E989">
        <f>VLOOKUP(B989,raw!A:K,4,0)</f>
        <v>0</v>
      </c>
      <c r="F989">
        <f>VLOOKUP(B989,raw!A:K,5,0)</f>
        <v>0</v>
      </c>
      <c r="G989">
        <f>VLOOKUP(B989,raw!A:K,2,0)+VLOOKUP(B989,raw!A:K,10,0)</f>
        <v>0</v>
      </c>
      <c r="H989">
        <f>VLOOKUP(B989,raw!A:K,6,0)</f>
        <v>0</v>
      </c>
      <c r="I989">
        <f>VLOOKUP(B989,raw!A:K,9,0)</f>
        <v>0</v>
      </c>
      <c r="J989">
        <f>VLOOKUP(B989,raw!A:K,8,0)</f>
        <v>0</v>
      </c>
      <c r="K989">
        <f>_xlfn.IFNA(VLOOKUP(B989,TDK!A:C,2,0),0)</f>
        <v>7</v>
      </c>
      <c r="L989">
        <f>_xlfn.IFNA(VLOOKUP(B989,TDK!A:C,3,0),0)</f>
        <v>0</v>
      </c>
      <c r="M989">
        <f>_xlfn.IFNA(VLOOKUP(B989,TDK!F:G,2,0),0)</f>
        <v>8</v>
      </c>
      <c r="N989">
        <f t="shared" si="15"/>
        <v>15</v>
      </c>
    </row>
    <row r="990" spans="1:14" x14ac:dyDescent="0.25">
      <c r="A990" t="s">
        <v>137</v>
      </c>
      <c r="B990" t="s">
        <v>1987</v>
      </c>
      <c r="C990">
        <f>VLOOKUP(B990,raw!A:K,11,0)</f>
        <v>60</v>
      </c>
      <c r="D990">
        <f>VLOOKUP(B990,raw!A:K,3,0)+VLOOKUP(B990,raw!A:K,7,0)</f>
        <v>60</v>
      </c>
      <c r="E990">
        <f>VLOOKUP(B990,raw!A:K,4,0)</f>
        <v>0</v>
      </c>
      <c r="F990">
        <f>VLOOKUP(B990,raw!A:K,5,0)</f>
        <v>0</v>
      </c>
      <c r="G990">
        <f>VLOOKUP(B990,raw!A:K,2,0)+VLOOKUP(B990,raw!A:K,10,0)</f>
        <v>0</v>
      </c>
      <c r="H990">
        <f>VLOOKUP(B990,raw!A:K,6,0)</f>
        <v>0</v>
      </c>
      <c r="I990">
        <f>VLOOKUP(B990,raw!A:K,9,0)</f>
        <v>0</v>
      </c>
      <c r="J990">
        <f>VLOOKUP(B990,raw!A:K,8,0)</f>
        <v>0</v>
      </c>
      <c r="K990">
        <f>_xlfn.IFNA(VLOOKUP(B990,TDK!A:C,2,0),0)</f>
        <v>11</v>
      </c>
      <c r="L990">
        <f>_xlfn.IFNA(VLOOKUP(B990,TDK!A:C,3,0),0)</f>
        <v>2</v>
      </c>
      <c r="M990">
        <f>_xlfn.IFNA(VLOOKUP(B990,TDK!F:G,2,0),0)</f>
        <v>7</v>
      </c>
      <c r="N990">
        <f t="shared" si="15"/>
        <v>20</v>
      </c>
    </row>
    <row r="991" spans="1:14" x14ac:dyDescent="0.25">
      <c r="A991" t="s">
        <v>137</v>
      </c>
      <c r="B991" t="s">
        <v>1988</v>
      </c>
      <c r="C991">
        <f>VLOOKUP(B991,raw!A:K,11,0)</f>
        <v>52</v>
      </c>
      <c r="D991">
        <f>VLOOKUP(B991,raw!A:K,3,0)+VLOOKUP(B991,raw!A:K,7,0)</f>
        <v>52</v>
      </c>
      <c r="E991">
        <f>VLOOKUP(B991,raw!A:K,4,0)</f>
        <v>0</v>
      </c>
      <c r="F991">
        <f>VLOOKUP(B991,raw!A:K,5,0)</f>
        <v>0</v>
      </c>
      <c r="G991">
        <f>VLOOKUP(B991,raw!A:K,2,0)+VLOOKUP(B991,raw!A:K,10,0)</f>
        <v>0</v>
      </c>
      <c r="H991">
        <f>VLOOKUP(B991,raw!A:K,6,0)</f>
        <v>0</v>
      </c>
      <c r="I991">
        <f>VLOOKUP(B991,raw!A:K,9,0)</f>
        <v>0</v>
      </c>
      <c r="J991">
        <f>VLOOKUP(B991,raw!A:K,8,0)</f>
        <v>0</v>
      </c>
      <c r="K991">
        <f>_xlfn.IFNA(VLOOKUP(B991,TDK!A:C,2,0),0)</f>
        <v>11</v>
      </c>
      <c r="L991">
        <f>_xlfn.IFNA(VLOOKUP(B991,TDK!A:C,3,0),0)</f>
        <v>0</v>
      </c>
      <c r="M991">
        <f>_xlfn.IFNA(VLOOKUP(B991,TDK!F:G,2,0),0)</f>
        <v>5</v>
      </c>
      <c r="N991">
        <f t="shared" si="15"/>
        <v>16</v>
      </c>
    </row>
    <row r="992" spans="1:14" x14ac:dyDescent="0.25">
      <c r="A992" t="s">
        <v>137</v>
      </c>
      <c r="B992" t="s">
        <v>1989</v>
      </c>
      <c r="C992">
        <f>VLOOKUP(B992,raw!A:K,11,0)</f>
        <v>75</v>
      </c>
      <c r="D992">
        <f>VLOOKUP(B992,raw!A:K,3,0)+VLOOKUP(B992,raw!A:K,7,0)</f>
        <v>75</v>
      </c>
      <c r="E992">
        <f>VLOOKUP(B992,raw!A:K,4,0)</f>
        <v>0</v>
      </c>
      <c r="F992">
        <f>VLOOKUP(B992,raw!A:K,5,0)</f>
        <v>0</v>
      </c>
      <c r="G992">
        <f>VLOOKUP(B992,raw!A:K,2,0)+VLOOKUP(B992,raw!A:K,10,0)</f>
        <v>0</v>
      </c>
      <c r="H992">
        <f>VLOOKUP(B992,raw!A:K,6,0)</f>
        <v>0</v>
      </c>
      <c r="I992">
        <f>VLOOKUP(B992,raw!A:K,9,0)</f>
        <v>0</v>
      </c>
      <c r="J992">
        <f>VLOOKUP(B992,raw!A:K,8,0)</f>
        <v>0</v>
      </c>
      <c r="K992">
        <f>_xlfn.IFNA(VLOOKUP(B992,TDK!A:C,2,0),0)</f>
        <v>20</v>
      </c>
      <c r="L992">
        <f>_xlfn.IFNA(VLOOKUP(B992,TDK!A:C,3,0),0)</f>
        <v>0</v>
      </c>
      <c r="M992">
        <f>_xlfn.IFNA(VLOOKUP(B992,TDK!F:G,2,0),0)</f>
        <v>6</v>
      </c>
      <c r="N992">
        <f t="shared" si="15"/>
        <v>26</v>
      </c>
    </row>
    <row r="993" spans="1:14" x14ac:dyDescent="0.25">
      <c r="A993" t="s">
        <v>137</v>
      </c>
      <c r="B993" t="s">
        <v>1990</v>
      </c>
      <c r="C993">
        <f>VLOOKUP(B993,raw!A:K,11,0)</f>
        <v>203</v>
      </c>
      <c r="D993">
        <f>VLOOKUP(B993,raw!A:K,3,0)+VLOOKUP(B993,raw!A:K,7,0)</f>
        <v>202</v>
      </c>
      <c r="E993">
        <f>VLOOKUP(B993,raw!A:K,4,0)</f>
        <v>0</v>
      </c>
      <c r="F993">
        <f>VLOOKUP(B993,raw!A:K,5,0)</f>
        <v>0</v>
      </c>
      <c r="G993">
        <f>VLOOKUP(B993,raw!A:K,2,0)+VLOOKUP(B993,raw!A:K,10,0)</f>
        <v>0</v>
      </c>
      <c r="H993">
        <f>VLOOKUP(B993,raw!A:K,6,0)</f>
        <v>0</v>
      </c>
      <c r="I993">
        <f>VLOOKUP(B993,raw!A:K,9,0)</f>
        <v>1</v>
      </c>
      <c r="J993">
        <f>VLOOKUP(B993,raw!A:K,8,0)</f>
        <v>0</v>
      </c>
      <c r="K993">
        <f>_xlfn.IFNA(VLOOKUP(B993,TDK!A:C,2,0),0)</f>
        <v>32</v>
      </c>
      <c r="L993">
        <f>_xlfn.IFNA(VLOOKUP(B993,TDK!A:C,3,0),0)</f>
        <v>4</v>
      </c>
      <c r="M993">
        <f>_xlfn.IFNA(VLOOKUP(B993,TDK!F:G,2,0),0)</f>
        <v>47</v>
      </c>
      <c r="N993">
        <f t="shared" si="15"/>
        <v>83</v>
      </c>
    </row>
    <row r="994" spans="1:14" x14ac:dyDescent="0.25">
      <c r="A994" t="s">
        <v>138</v>
      </c>
      <c r="B994" t="s">
        <v>1991</v>
      </c>
      <c r="C994">
        <f>VLOOKUP(B994,raw!A:K,11,0)</f>
        <v>56</v>
      </c>
      <c r="D994">
        <f>VLOOKUP(B994,raw!A:K,3,0)+VLOOKUP(B994,raw!A:K,7,0)</f>
        <v>56</v>
      </c>
      <c r="E994">
        <f>VLOOKUP(B994,raw!A:K,4,0)</f>
        <v>0</v>
      </c>
      <c r="F994">
        <f>VLOOKUP(B994,raw!A:K,5,0)</f>
        <v>0</v>
      </c>
      <c r="G994">
        <f>VLOOKUP(B994,raw!A:K,2,0)+VLOOKUP(B994,raw!A:K,10,0)</f>
        <v>0</v>
      </c>
      <c r="H994">
        <f>VLOOKUP(B994,raw!A:K,6,0)</f>
        <v>0</v>
      </c>
      <c r="I994">
        <f>VLOOKUP(B994,raw!A:K,9,0)</f>
        <v>0</v>
      </c>
      <c r="J994">
        <f>VLOOKUP(B994,raw!A:K,8,0)</f>
        <v>0</v>
      </c>
      <c r="K994">
        <f>_xlfn.IFNA(VLOOKUP(B994,TDK!A:C,2,0),0)</f>
        <v>14</v>
      </c>
      <c r="L994">
        <f>_xlfn.IFNA(VLOOKUP(B994,TDK!A:C,3,0),0)</f>
        <v>0</v>
      </c>
      <c r="M994">
        <f>_xlfn.IFNA(VLOOKUP(B994,TDK!F:G,2,0),0)</f>
        <v>0</v>
      </c>
      <c r="N994">
        <f t="shared" si="15"/>
        <v>14</v>
      </c>
    </row>
    <row r="995" spans="1:14" x14ac:dyDescent="0.25">
      <c r="A995" t="s">
        <v>138</v>
      </c>
      <c r="B995" t="s">
        <v>1992</v>
      </c>
      <c r="C995">
        <f>VLOOKUP(B995,raw!A:K,11,0)</f>
        <v>88</v>
      </c>
      <c r="D995">
        <f>VLOOKUP(B995,raw!A:K,3,0)+VLOOKUP(B995,raw!A:K,7,0)</f>
        <v>88</v>
      </c>
      <c r="E995">
        <f>VLOOKUP(B995,raw!A:K,4,0)</f>
        <v>0</v>
      </c>
      <c r="F995">
        <f>VLOOKUP(B995,raw!A:K,5,0)</f>
        <v>0</v>
      </c>
      <c r="G995">
        <f>VLOOKUP(B995,raw!A:K,2,0)+VLOOKUP(B995,raw!A:K,10,0)</f>
        <v>0</v>
      </c>
      <c r="H995">
        <f>VLOOKUP(B995,raw!A:K,6,0)</f>
        <v>0</v>
      </c>
      <c r="I995">
        <f>VLOOKUP(B995,raw!A:K,9,0)</f>
        <v>0</v>
      </c>
      <c r="J995">
        <f>VLOOKUP(B995,raw!A:K,8,0)</f>
        <v>0</v>
      </c>
      <c r="K995">
        <f>_xlfn.IFNA(VLOOKUP(B995,TDK!A:C,2,0),0)</f>
        <v>43</v>
      </c>
      <c r="L995">
        <f>_xlfn.IFNA(VLOOKUP(B995,TDK!A:C,3,0),0)</f>
        <v>0</v>
      </c>
      <c r="M995">
        <f>_xlfn.IFNA(VLOOKUP(B995,TDK!F:G,2,0),0)</f>
        <v>13</v>
      </c>
      <c r="N995">
        <f t="shared" si="15"/>
        <v>56</v>
      </c>
    </row>
    <row r="996" spans="1:14" x14ac:dyDescent="0.25">
      <c r="A996" t="s">
        <v>138</v>
      </c>
      <c r="B996" t="s">
        <v>1993</v>
      </c>
      <c r="C996">
        <f>VLOOKUP(B996,raw!A:K,11,0)</f>
        <v>75</v>
      </c>
      <c r="D996">
        <f>VLOOKUP(B996,raw!A:K,3,0)+VLOOKUP(B996,raw!A:K,7,0)</f>
        <v>75</v>
      </c>
      <c r="E996">
        <f>VLOOKUP(B996,raw!A:K,4,0)</f>
        <v>0</v>
      </c>
      <c r="F996">
        <f>VLOOKUP(B996,raw!A:K,5,0)</f>
        <v>0</v>
      </c>
      <c r="G996">
        <f>VLOOKUP(B996,raw!A:K,2,0)+VLOOKUP(B996,raw!A:K,10,0)</f>
        <v>0</v>
      </c>
      <c r="H996">
        <f>VLOOKUP(B996,raw!A:K,6,0)</f>
        <v>0</v>
      </c>
      <c r="I996">
        <f>VLOOKUP(B996,raw!A:K,9,0)</f>
        <v>0</v>
      </c>
      <c r="J996">
        <f>VLOOKUP(B996,raw!A:K,8,0)</f>
        <v>0</v>
      </c>
      <c r="K996">
        <f>_xlfn.IFNA(VLOOKUP(B996,TDK!A:C,2,0),0)</f>
        <v>15</v>
      </c>
      <c r="L996">
        <f>_xlfn.IFNA(VLOOKUP(B996,TDK!A:C,3,0),0)</f>
        <v>1</v>
      </c>
      <c r="M996">
        <f>_xlfn.IFNA(VLOOKUP(B996,TDK!F:G,2,0),0)</f>
        <v>6</v>
      </c>
      <c r="N996">
        <f t="shared" si="15"/>
        <v>22</v>
      </c>
    </row>
    <row r="997" spans="1:14" x14ac:dyDescent="0.25">
      <c r="A997" t="s">
        <v>138</v>
      </c>
      <c r="B997" t="s">
        <v>1994</v>
      </c>
      <c r="C997">
        <f>VLOOKUP(B997,raw!A:K,11,0)</f>
        <v>66</v>
      </c>
      <c r="D997">
        <f>VLOOKUP(B997,raw!A:K,3,0)+VLOOKUP(B997,raw!A:K,7,0)</f>
        <v>66</v>
      </c>
      <c r="E997">
        <f>VLOOKUP(B997,raw!A:K,4,0)</f>
        <v>0</v>
      </c>
      <c r="F997">
        <f>VLOOKUP(B997,raw!A:K,5,0)</f>
        <v>0</v>
      </c>
      <c r="G997">
        <f>VLOOKUP(B997,raw!A:K,2,0)+VLOOKUP(B997,raw!A:K,10,0)</f>
        <v>0</v>
      </c>
      <c r="H997">
        <f>VLOOKUP(B997,raw!A:K,6,0)</f>
        <v>0</v>
      </c>
      <c r="I997">
        <f>VLOOKUP(B997,raw!A:K,9,0)</f>
        <v>0</v>
      </c>
      <c r="J997">
        <f>VLOOKUP(B997,raw!A:K,8,0)</f>
        <v>0</v>
      </c>
      <c r="K997">
        <f>_xlfn.IFNA(VLOOKUP(B997,TDK!A:C,2,0),0)</f>
        <v>16</v>
      </c>
      <c r="L997">
        <f>_xlfn.IFNA(VLOOKUP(B997,TDK!A:C,3,0),0)</f>
        <v>1</v>
      </c>
      <c r="M997">
        <f>_xlfn.IFNA(VLOOKUP(B997,TDK!F:G,2,0),0)</f>
        <v>5</v>
      </c>
      <c r="N997">
        <f t="shared" si="15"/>
        <v>22</v>
      </c>
    </row>
    <row r="998" spans="1:14" x14ac:dyDescent="0.25">
      <c r="A998" t="s">
        <v>133</v>
      </c>
      <c r="B998" t="s">
        <v>1995</v>
      </c>
      <c r="C998">
        <f>VLOOKUP(B998,raw!A:K,11,0)</f>
        <v>36</v>
      </c>
      <c r="D998">
        <f>VLOOKUP(B998,raw!A:K,3,0)+VLOOKUP(B998,raw!A:K,7,0)</f>
        <v>36</v>
      </c>
      <c r="E998">
        <f>VLOOKUP(B998,raw!A:K,4,0)</f>
        <v>0</v>
      </c>
      <c r="F998">
        <f>VLOOKUP(B998,raw!A:K,5,0)</f>
        <v>0</v>
      </c>
      <c r="G998">
        <f>VLOOKUP(B998,raw!A:K,2,0)+VLOOKUP(B998,raw!A:K,10,0)</f>
        <v>0</v>
      </c>
      <c r="H998">
        <f>VLOOKUP(B998,raw!A:K,6,0)</f>
        <v>0</v>
      </c>
      <c r="I998">
        <f>VLOOKUP(B998,raw!A:K,9,0)</f>
        <v>0</v>
      </c>
      <c r="J998">
        <f>VLOOKUP(B998,raw!A:K,8,0)</f>
        <v>0</v>
      </c>
      <c r="K998">
        <f>_xlfn.IFNA(VLOOKUP(B998,TDK!A:C,2,0),0)</f>
        <v>9</v>
      </c>
      <c r="L998">
        <f>_xlfn.IFNA(VLOOKUP(B998,TDK!A:C,3,0),0)</f>
        <v>0</v>
      </c>
      <c r="M998">
        <f>_xlfn.IFNA(VLOOKUP(B998,TDK!F:G,2,0),0)</f>
        <v>2</v>
      </c>
      <c r="N998">
        <f t="shared" si="15"/>
        <v>11</v>
      </c>
    </row>
    <row r="999" spans="1:14" x14ac:dyDescent="0.25">
      <c r="A999" t="s">
        <v>138</v>
      </c>
      <c r="B999" t="s">
        <v>1996</v>
      </c>
      <c r="C999">
        <f>VLOOKUP(B999,raw!A:K,11,0)</f>
        <v>183</v>
      </c>
      <c r="D999">
        <f>VLOOKUP(B999,raw!A:K,3,0)+VLOOKUP(B999,raw!A:K,7,0)</f>
        <v>183</v>
      </c>
      <c r="E999">
        <f>VLOOKUP(B999,raw!A:K,4,0)</f>
        <v>0</v>
      </c>
      <c r="F999">
        <f>VLOOKUP(B999,raw!A:K,5,0)</f>
        <v>0</v>
      </c>
      <c r="G999">
        <f>VLOOKUP(B999,raw!A:K,2,0)+VLOOKUP(B999,raw!A:K,10,0)</f>
        <v>0</v>
      </c>
      <c r="H999">
        <f>VLOOKUP(B999,raw!A:K,6,0)</f>
        <v>0</v>
      </c>
      <c r="I999">
        <f>VLOOKUP(B999,raw!A:K,9,0)</f>
        <v>0</v>
      </c>
      <c r="J999">
        <f>VLOOKUP(B999,raw!A:K,8,0)</f>
        <v>0</v>
      </c>
      <c r="K999">
        <f>_xlfn.IFNA(VLOOKUP(B999,TDK!A:C,2,0),0)</f>
        <v>36</v>
      </c>
      <c r="L999">
        <f>_xlfn.IFNA(VLOOKUP(B999,TDK!A:C,3,0),0)</f>
        <v>4</v>
      </c>
      <c r="M999">
        <f>_xlfn.IFNA(VLOOKUP(B999,TDK!F:G,2,0),0)</f>
        <v>43</v>
      </c>
      <c r="N999">
        <f t="shared" si="15"/>
        <v>83</v>
      </c>
    </row>
    <row r="1000" spans="1:14" x14ac:dyDescent="0.25">
      <c r="A1000" t="s">
        <v>138</v>
      </c>
      <c r="B1000" t="s">
        <v>1997</v>
      </c>
      <c r="C1000">
        <f>VLOOKUP(B1000,raw!A:K,11,0)</f>
        <v>126</v>
      </c>
      <c r="D1000">
        <f>VLOOKUP(B1000,raw!A:K,3,0)+VLOOKUP(B1000,raw!A:K,7,0)</f>
        <v>126</v>
      </c>
      <c r="E1000">
        <f>VLOOKUP(B1000,raw!A:K,4,0)</f>
        <v>0</v>
      </c>
      <c r="F1000">
        <f>VLOOKUP(B1000,raw!A:K,5,0)</f>
        <v>0</v>
      </c>
      <c r="G1000">
        <f>VLOOKUP(B1000,raw!A:K,2,0)+VLOOKUP(B1000,raw!A:K,10,0)</f>
        <v>0</v>
      </c>
      <c r="H1000">
        <f>VLOOKUP(B1000,raw!A:K,6,0)</f>
        <v>0</v>
      </c>
      <c r="I1000">
        <f>VLOOKUP(B1000,raw!A:K,9,0)</f>
        <v>0</v>
      </c>
      <c r="J1000">
        <f>VLOOKUP(B1000,raw!A:K,8,0)</f>
        <v>0</v>
      </c>
      <c r="K1000">
        <f>_xlfn.IFNA(VLOOKUP(B1000,TDK!A:C,2,0),0)</f>
        <v>32</v>
      </c>
      <c r="L1000">
        <f>_xlfn.IFNA(VLOOKUP(B1000,TDK!A:C,3,0),0)</f>
        <v>1</v>
      </c>
      <c r="M1000">
        <f>_xlfn.IFNA(VLOOKUP(B1000,TDK!F:G,2,0),0)</f>
        <v>10</v>
      </c>
      <c r="N1000">
        <f t="shared" si="15"/>
        <v>43</v>
      </c>
    </row>
    <row r="1001" spans="1:14" x14ac:dyDescent="0.25">
      <c r="A1001" t="s">
        <v>132</v>
      </c>
      <c r="B1001" t="s">
        <v>1998</v>
      </c>
      <c r="C1001">
        <f>VLOOKUP(B1001,raw!A:K,11,0)</f>
        <v>157</v>
      </c>
      <c r="D1001">
        <f>VLOOKUP(B1001,raw!A:K,3,0)+VLOOKUP(B1001,raw!A:K,7,0)</f>
        <v>157</v>
      </c>
      <c r="E1001">
        <f>VLOOKUP(B1001,raw!A:K,4,0)</f>
        <v>0</v>
      </c>
      <c r="F1001">
        <f>VLOOKUP(B1001,raw!A:K,5,0)</f>
        <v>0</v>
      </c>
      <c r="G1001">
        <f>VLOOKUP(B1001,raw!A:K,2,0)+VLOOKUP(B1001,raw!A:K,10,0)</f>
        <v>0</v>
      </c>
      <c r="H1001">
        <f>VLOOKUP(B1001,raw!A:K,6,0)</f>
        <v>0</v>
      </c>
      <c r="I1001">
        <f>VLOOKUP(B1001,raw!A:K,9,0)</f>
        <v>0</v>
      </c>
      <c r="J1001">
        <f>VLOOKUP(B1001,raw!A:K,8,0)</f>
        <v>0</v>
      </c>
      <c r="K1001">
        <f>_xlfn.IFNA(VLOOKUP(B1001,TDK!A:C,2,0),0)</f>
        <v>33</v>
      </c>
      <c r="L1001">
        <f>_xlfn.IFNA(VLOOKUP(B1001,TDK!A:C,3,0),0)</f>
        <v>2</v>
      </c>
      <c r="M1001">
        <f>_xlfn.IFNA(VLOOKUP(B1001,TDK!F:G,2,0),0)</f>
        <v>21</v>
      </c>
      <c r="N1001">
        <f t="shared" si="15"/>
        <v>56</v>
      </c>
    </row>
    <row r="1002" spans="1:14" x14ac:dyDescent="0.25">
      <c r="A1002" t="s">
        <v>138</v>
      </c>
      <c r="B1002" t="s">
        <v>1999</v>
      </c>
      <c r="C1002">
        <f>VLOOKUP(B1002,raw!A:K,11,0)</f>
        <v>155</v>
      </c>
      <c r="D1002">
        <f>VLOOKUP(B1002,raw!A:K,3,0)+VLOOKUP(B1002,raw!A:K,7,0)</f>
        <v>155</v>
      </c>
      <c r="E1002">
        <f>VLOOKUP(B1002,raw!A:K,4,0)</f>
        <v>0</v>
      </c>
      <c r="F1002">
        <f>VLOOKUP(B1002,raw!A:K,5,0)</f>
        <v>0</v>
      </c>
      <c r="G1002">
        <f>VLOOKUP(B1002,raw!A:K,2,0)+VLOOKUP(B1002,raw!A:K,10,0)</f>
        <v>0</v>
      </c>
      <c r="H1002">
        <f>VLOOKUP(B1002,raw!A:K,6,0)</f>
        <v>0</v>
      </c>
      <c r="I1002">
        <f>VLOOKUP(B1002,raw!A:K,9,0)</f>
        <v>0</v>
      </c>
      <c r="J1002">
        <f>VLOOKUP(B1002,raw!A:K,8,0)</f>
        <v>0</v>
      </c>
      <c r="K1002">
        <f>_xlfn.IFNA(VLOOKUP(B1002,TDK!A:C,2,0),0)</f>
        <v>54</v>
      </c>
      <c r="L1002">
        <f>_xlfn.IFNA(VLOOKUP(B1002,TDK!A:C,3,0),0)</f>
        <v>7</v>
      </c>
      <c r="M1002">
        <f>_xlfn.IFNA(VLOOKUP(B1002,TDK!F:G,2,0),0)</f>
        <v>21</v>
      </c>
      <c r="N1002">
        <f t="shared" si="15"/>
        <v>82</v>
      </c>
    </row>
    <row r="1003" spans="1:14" x14ac:dyDescent="0.25">
      <c r="A1003" t="s">
        <v>132</v>
      </c>
      <c r="B1003" t="s">
        <v>2000</v>
      </c>
      <c r="C1003">
        <f>VLOOKUP(B1003,raw!A:K,11,0)</f>
        <v>105</v>
      </c>
      <c r="D1003">
        <f>VLOOKUP(B1003,raw!A:K,3,0)+VLOOKUP(B1003,raw!A:K,7,0)</f>
        <v>105</v>
      </c>
      <c r="E1003">
        <f>VLOOKUP(B1003,raw!A:K,4,0)</f>
        <v>0</v>
      </c>
      <c r="F1003">
        <f>VLOOKUP(B1003,raw!A:K,5,0)</f>
        <v>0</v>
      </c>
      <c r="G1003">
        <f>VLOOKUP(B1003,raw!A:K,2,0)+VLOOKUP(B1003,raw!A:K,10,0)</f>
        <v>0</v>
      </c>
      <c r="H1003">
        <f>VLOOKUP(B1003,raw!A:K,6,0)</f>
        <v>0</v>
      </c>
      <c r="I1003">
        <f>VLOOKUP(B1003,raw!A:K,9,0)</f>
        <v>0</v>
      </c>
      <c r="J1003">
        <f>VLOOKUP(B1003,raw!A:K,8,0)</f>
        <v>0</v>
      </c>
      <c r="K1003">
        <f>_xlfn.IFNA(VLOOKUP(B1003,TDK!A:C,2,0),0)</f>
        <v>14</v>
      </c>
      <c r="L1003">
        <f>_xlfn.IFNA(VLOOKUP(B1003,TDK!A:C,3,0),0)</f>
        <v>0</v>
      </c>
      <c r="M1003">
        <f>_xlfn.IFNA(VLOOKUP(B1003,TDK!F:G,2,0),0)</f>
        <v>13</v>
      </c>
      <c r="N1003">
        <f t="shared" si="15"/>
        <v>27</v>
      </c>
    </row>
    <row r="1004" spans="1:14" x14ac:dyDescent="0.25">
      <c r="A1004" t="s">
        <v>139</v>
      </c>
      <c r="B1004" t="s">
        <v>2001</v>
      </c>
      <c r="C1004">
        <f>VLOOKUP(B1004,raw!A:K,11,0)</f>
        <v>95</v>
      </c>
      <c r="D1004">
        <f>VLOOKUP(B1004,raw!A:K,3,0)+VLOOKUP(B1004,raw!A:K,7,0)</f>
        <v>94</v>
      </c>
      <c r="E1004">
        <f>VLOOKUP(B1004,raw!A:K,4,0)</f>
        <v>0</v>
      </c>
      <c r="F1004">
        <f>VLOOKUP(B1004,raw!A:K,5,0)</f>
        <v>0</v>
      </c>
      <c r="G1004">
        <f>VLOOKUP(B1004,raw!A:K,2,0)+VLOOKUP(B1004,raw!A:K,10,0)</f>
        <v>1</v>
      </c>
      <c r="H1004">
        <f>VLOOKUP(B1004,raw!A:K,6,0)</f>
        <v>0</v>
      </c>
      <c r="I1004">
        <f>VLOOKUP(B1004,raw!A:K,9,0)</f>
        <v>0</v>
      </c>
      <c r="J1004">
        <f>VLOOKUP(B1004,raw!A:K,8,0)</f>
        <v>0</v>
      </c>
      <c r="K1004">
        <f>_xlfn.IFNA(VLOOKUP(B1004,TDK!A:C,2,0),0)</f>
        <v>23</v>
      </c>
      <c r="L1004">
        <f>_xlfn.IFNA(VLOOKUP(B1004,TDK!A:C,3,0),0)</f>
        <v>1</v>
      </c>
      <c r="M1004">
        <f>_xlfn.IFNA(VLOOKUP(B1004,TDK!F:G,2,0),0)</f>
        <v>8</v>
      </c>
      <c r="N1004">
        <f t="shared" si="15"/>
        <v>32</v>
      </c>
    </row>
    <row r="1005" spans="1:14" x14ac:dyDescent="0.25">
      <c r="A1005" t="s">
        <v>139</v>
      </c>
      <c r="B1005" t="s">
        <v>2002</v>
      </c>
      <c r="C1005">
        <f>VLOOKUP(B1005,raw!A:K,11,0)</f>
        <v>84</v>
      </c>
      <c r="D1005">
        <f>VLOOKUP(B1005,raw!A:K,3,0)+VLOOKUP(B1005,raw!A:K,7,0)</f>
        <v>83</v>
      </c>
      <c r="E1005">
        <f>VLOOKUP(B1005,raw!A:K,4,0)</f>
        <v>0</v>
      </c>
      <c r="F1005">
        <f>VLOOKUP(B1005,raw!A:K,5,0)</f>
        <v>0</v>
      </c>
      <c r="G1005">
        <f>VLOOKUP(B1005,raw!A:K,2,0)+VLOOKUP(B1005,raw!A:K,10,0)</f>
        <v>1</v>
      </c>
      <c r="H1005">
        <f>VLOOKUP(B1005,raw!A:K,6,0)</f>
        <v>0</v>
      </c>
      <c r="I1005">
        <f>VLOOKUP(B1005,raw!A:K,9,0)</f>
        <v>0</v>
      </c>
      <c r="J1005">
        <f>VLOOKUP(B1005,raw!A:K,8,0)</f>
        <v>0</v>
      </c>
      <c r="K1005">
        <f>_xlfn.IFNA(VLOOKUP(B1005,TDK!A:C,2,0),0)</f>
        <v>15</v>
      </c>
      <c r="L1005">
        <f>_xlfn.IFNA(VLOOKUP(B1005,TDK!A:C,3,0),0)</f>
        <v>1</v>
      </c>
      <c r="M1005">
        <f>_xlfn.IFNA(VLOOKUP(B1005,TDK!F:G,2,0),0)</f>
        <v>12</v>
      </c>
      <c r="N1005">
        <f t="shared" si="15"/>
        <v>28</v>
      </c>
    </row>
    <row r="1006" spans="1:14" x14ac:dyDescent="0.25">
      <c r="A1006" t="s">
        <v>139</v>
      </c>
      <c r="B1006" t="s">
        <v>2003</v>
      </c>
      <c r="C1006">
        <f>VLOOKUP(B1006,raw!A:K,11,0)</f>
        <v>80</v>
      </c>
      <c r="D1006">
        <f>VLOOKUP(B1006,raw!A:K,3,0)+VLOOKUP(B1006,raw!A:K,7,0)</f>
        <v>80</v>
      </c>
      <c r="E1006">
        <f>VLOOKUP(B1006,raw!A:K,4,0)</f>
        <v>0</v>
      </c>
      <c r="F1006">
        <f>VLOOKUP(B1006,raw!A:K,5,0)</f>
        <v>0</v>
      </c>
      <c r="G1006">
        <f>VLOOKUP(B1006,raw!A:K,2,0)+VLOOKUP(B1006,raw!A:K,10,0)</f>
        <v>0</v>
      </c>
      <c r="H1006">
        <f>VLOOKUP(B1006,raw!A:K,6,0)</f>
        <v>0</v>
      </c>
      <c r="I1006">
        <f>VLOOKUP(B1006,raw!A:K,9,0)</f>
        <v>0</v>
      </c>
      <c r="J1006">
        <f>VLOOKUP(B1006,raw!A:K,8,0)</f>
        <v>0</v>
      </c>
      <c r="K1006">
        <f>_xlfn.IFNA(VLOOKUP(B1006,TDK!A:C,2,0),0)</f>
        <v>9</v>
      </c>
      <c r="L1006">
        <f>_xlfn.IFNA(VLOOKUP(B1006,TDK!A:C,3,0),0)</f>
        <v>0</v>
      </c>
      <c r="M1006">
        <f>_xlfn.IFNA(VLOOKUP(B1006,TDK!F:G,2,0),0)</f>
        <v>10</v>
      </c>
      <c r="N1006">
        <f t="shared" si="15"/>
        <v>19</v>
      </c>
    </row>
    <row r="1007" spans="1:14" x14ac:dyDescent="0.25">
      <c r="A1007" t="s">
        <v>139</v>
      </c>
      <c r="B1007" t="s">
        <v>2004</v>
      </c>
      <c r="C1007">
        <f>VLOOKUP(B1007,raw!A:K,11,0)</f>
        <v>68</v>
      </c>
      <c r="D1007">
        <f>VLOOKUP(B1007,raw!A:K,3,0)+VLOOKUP(B1007,raw!A:K,7,0)</f>
        <v>68</v>
      </c>
      <c r="E1007">
        <f>VLOOKUP(B1007,raw!A:K,4,0)</f>
        <v>0</v>
      </c>
      <c r="F1007">
        <f>VLOOKUP(B1007,raw!A:K,5,0)</f>
        <v>0</v>
      </c>
      <c r="G1007">
        <f>VLOOKUP(B1007,raw!A:K,2,0)+VLOOKUP(B1007,raw!A:K,10,0)</f>
        <v>0</v>
      </c>
      <c r="H1007">
        <f>VLOOKUP(B1007,raw!A:K,6,0)</f>
        <v>0</v>
      </c>
      <c r="I1007">
        <f>VLOOKUP(B1007,raw!A:K,9,0)</f>
        <v>0</v>
      </c>
      <c r="J1007">
        <f>VLOOKUP(B1007,raw!A:K,8,0)</f>
        <v>0</v>
      </c>
      <c r="K1007">
        <f>_xlfn.IFNA(VLOOKUP(B1007,TDK!A:C,2,0),0)</f>
        <v>10</v>
      </c>
      <c r="L1007">
        <f>_xlfn.IFNA(VLOOKUP(B1007,TDK!A:C,3,0),0)</f>
        <v>1</v>
      </c>
      <c r="M1007">
        <f>_xlfn.IFNA(VLOOKUP(B1007,TDK!F:G,2,0),0)</f>
        <v>10</v>
      </c>
      <c r="N1007">
        <f t="shared" si="15"/>
        <v>21</v>
      </c>
    </row>
    <row r="1008" spans="1:14" x14ac:dyDescent="0.25">
      <c r="A1008" t="s">
        <v>139</v>
      </c>
      <c r="B1008" t="s">
        <v>2005</v>
      </c>
      <c r="C1008">
        <f>VLOOKUP(B1008,raw!A:K,11,0)</f>
        <v>98</v>
      </c>
      <c r="D1008">
        <f>VLOOKUP(B1008,raw!A:K,3,0)+VLOOKUP(B1008,raw!A:K,7,0)</f>
        <v>96</v>
      </c>
      <c r="E1008">
        <f>VLOOKUP(B1008,raw!A:K,4,0)</f>
        <v>0</v>
      </c>
      <c r="F1008">
        <f>VLOOKUP(B1008,raw!A:K,5,0)</f>
        <v>0</v>
      </c>
      <c r="G1008">
        <f>VLOOKUP(B1008,raw!A:K,2,0)+VLOOKUP(B1008,raw!A:K,10,0)</f>
        <v>1</v>
      </c>
      <c r="H1008">
        <f>VLOOKUP(B1008,raw!A:K,6,0)</f>
        <v>1</v>
      </c>
      <c r="I1008">
        <f>VLOOKUP(B1008,raw!A:K,9,0)</f>
        <v>0</v>
      </c>
      <c r="J1008">
        <f>VLOOKUP(B1008,raw!A:K,8,0)</f>
        <v>0</v>
      </c>
      <c r="K1008">
        <f>_xlfn.IFNA(VLOOKUP(B1008,TDK!A:C,2,0),0)</f>
        <v>11</v>
      </c>
      <c r="L1008">
        <f>_xlfn.IFNA(VLOOKUP(B1008,TDK!A:C,3,0),0)</f>
        <v>1</v>
      </c>
      <c r="M1008">
        <f>_xlfn.IFNA(VLOOKUP(B1008,TDK!F:G,2,0),0)</f>
        <v>10</v>
      </c>
      <c r="N1008">
        <f t="shared" si="15"/>
        <v>22</v>
      </c>
    </row>
    <row r="1009" spans="1:14" x14ac:dyDescent="0.25">
      <c r="A1009" t="s">
        <v>139</v>
      </c>
      <c r="B1009" t="s">
        <v>2006</v>
      </c>
      <c r="C1009">
        <f>VLOOKUP(B1009,raw!A:K,11,0)</f>
        <v>88</v>
      </c>
      <c r="D1009">
        <f>VLOOKUP(B1009,raw!A:K,3,0)+VLOOKUP(B1009,raw!A:K,7,0)</f>
        <v>87</v>
      </c>
      <c r="E1009">
        <f>VLOOKUP(B1009,raw!A:K,4,0)</f>
        <v>0</v>
      </c>
      <c r="F1009">
        <f>VLOOKUP(B1009,raw!A:K,5,0)</f>
        <v>0</v>
      </c>
      <c r="G1009">
        <f>VLOOKUP(B1009,raw!A:K,2,0)+VLOOKUP(B1009,raw!A:K,10,0)</f>
        <v>1</v>
      </c>
      <c r="H1009">
        <f>VLOOKUP(B1009,raw!A:K,6,0)</f>
        <v>0</v>
      </c>
      <c r="I1009">
        <f>VLOOKUP(B1009,raw!A:K,9,0)</f>
        <v>0</v>
      </c>
      <c r="J1009">
        <f>VLOOKUP(B1009,raw!A:K,8,0)</f>
        <v>0</v>
      </c>
      <c r="K1009">
        <f>_xlfn.IFNA(VLOOKUP(B1009,TDK!A:C,2,0),0)</f>
        <v>7</v>
      </c>
      <c r="L1009">
        <f>_xlfn.IFNA(VLOOKUP(B1009,TDK!A:C,3,0),0)</f>
        <v>0</v>
      </c>
      <c r="M1009">
        <f>_xlfn.IFNA(VLOOKUP(B1009,TDK!F:G,2,0),0)</f>
        <v>20</v>
      </c>
      <c r="N1009">
        <f t="shared" si="15"/>
        <v>27</v>
      </c>
    </row>
    <row r="1010" spans="1:14" x14ac:dyDescent="0.25">
      <c r="A1010" t="s">
        <v>131</v>
      </c>
      <c r="B1010" t="s">
        <v>2007</v>
      </c>
      <c r="C1010">
        <f>VLOOKUP(B1010,raw!A:K,11,0)</f>
        <v>81</v>
      </c>
      <c r="D1010">
        <f>VLOOKUP(B1010,raw!A:K,3,0)+VLOOKUP(B1010,raw!A:K,7,0)</f>
        <v>81</v>
      </c>
      <c r="E1010">
        <f>VLOOKUP(B1010,raw!A:K,4,0)</f>
        <v>0</v>
      </c>
      <c r="F1010">
        <f>VLOOKUP(B1010,raw!A:K,5,0)</f>
        <v>0</v>
      </c>
      <c r="G1010">
        <f>VLOOKUP(B1010,raw!A:K,2,0)+VLOOKUP(B1010,raw!A:K,10,0)</f>
        <v>0</v>
      </c>
      <c r="H1010">
        <f>VLOOKUP(B1010,raw!A:K,6,0)</f>
        <v>0</v>
      </c>
      <c r="I1010">
        <f>VLOOKUP(B1010,raw!A:K,9,0)</f>
        <v>0</v>
      </c>
      <c r="J1010">
        <f>VLOOKUP(B1010,raw!A:K,8,0)</f>
        <v>0</v>
      </c>
      <c r="K1010">
        <f>_xlfn.IFNA(VLOOKUP(B1010,TDK!A:C,2,0),0)</f>
        <v>27</v>
      </c>
      <c r="L1010">
        <f>_xlfn.IFNA(VLOOKUP(B1010,TDK!A:C,3,0),0)</f>
        <v>1</v>
      </c>
      <c r="M1010">
        <f>_xlfn.IFNA(VLOOKUP(B1010,TDK!F:G,2,0),0)</f>
        <v>4</v>
      </c>
      <c r="N1010">
        <f t="shared" si="15"/>
        <v>32</v>
      </c>
    </row>
    <row r="1011" spans="1:14" x14ac:dyDescent="0.25">
      <c r="A1011" t="s">
        <v>131</v>
      </c>
      <c r="B1011" t="s">
        <v>2008</v>
      </c>
      <c r="C1011">
        <f>VLOOKUP(B1011,raw!A:K,11,0)</f>
        <v>86</v>
      </c>
      <c r="D1011">
        <f>VLOOKUP(B1011,raw!A:K,3,0)+VLOOKUP(B1011,raw!A:K,7,0)</f>
        <v>86</v>
      </c>
      <c r="E1011">
        <f>VLOOKUP(B1011,raw!A:K,4,0)</f>
        <v>0</v>
      </c>
      <c r="F1011">
        <f>VLOOKUP(B1011,raw!A:K,5,0)</f>
        <v>0</v>
      </c>
      <c r="G1011">
        <f>VLOOKUP(B1011,raw!A:K,2,0)+VLOOKUP(B1011,raw!A:K,10,0)</f>
        <v>0</v>
      </c>
      <c r="H1011">
        <f>VLOOKUP(B1011,raw!A:K,6,0)</f>
        <v>0</v>
      </c>
      <c r="I1011">
        <f>VLOOKUP(B1011,raw!A:K,9,0)</f>
        <v>0</v>
      </c>
      <c r="J1011">
        <f>VLOOKUP(B1011,raw!A:K,8,0)</f>
        <v>0</v>
      </c>
      <c r="K1011">
        <f>_xlfn.IFNA(VLOOKUP(B1011,TDK!A:C,2,0),0)</f>
        <v>28</v>
      </c>
      <c r="L1011">
        <f>_xlfn.IFNA(VLOOKUP(B1011,TDK!A:C,3,0),0)</f>
        <v>4</v>
      </c>
      <c r="M1011">
        <f>_xlfn.IFNA(VLOOKUP(B1011,TDK!F:G,2,0),0)</f>
        <v>4</v>
      </c>
      <c r="N1011">
        <f t="shared" si="15"/>
        <v>36</v>
      </c>
    </row>
    <row r="1012" spans="1:14" x14ac:dyDescent="0.25">
      <c r="A1012" t="s">
        <v>131</v>
      </c>
      <c r="B1012" t="s">
        <v>2009</v>
      </c>
      <c r="C1012">
        <f>VLOOKUP(B1012,raw!A:K,11,0)</f>
        <v>102</v>
      </c>
      <c r="D1012">
        <f>VLOOKUP(B1012,raw!A:K,3,0)+VLOOKUP(B1012,raw!A:K,7,0)</f>
        <v>102</v>
      </c>
      <c r="E1012">
        <f>VLOOKUP(B1012,raw!A:K,4,0)</f>
        <v>0</v>
      </c>
      <c r="F1012">
        <f>VLOOKUP(B1012,raw!A:K,5,0)</f>
        <v>0</v>
      </c>
      <c r="G1012">
        <f>VLOOKUP(B1012,raw!A:K,2,0)+VLOOKUP(B1012,raw!A:K,10,0)</f>
        <v>0</v>
      </c>
      <c r="H1012">
        <f>VLOOKUP(B1012,raw!A:K,6,0)</f>
        <v>0</v>
      </c>
      <c r="I1012">
        <f>VLOOKUP(B1012,raw!A:K,9,0)</f>
        <v>0</v>
      </c>
      <c r="J1012">
        <f>VLOOKUP(B1012,raw!A:K,8,0)</f>
        <v>0</v>
      </c>
      <c r="K1012">
        <f>_xlfn.IFNA(VLOOKUP(B1012,TDK!A:C,2,0),0)</f>
        <v>20</v>
      </c>
      <c r="L1012">
        <f>_xlfn.IFNA(VLOOKUP(B1012,TDK!A:C,3,0),0)</f>
        <v>2</v>
      </c>
      <c r="M1012">
        <f>_xlfn.IFNA(VLOOKUP(B1012,TDK!F:G,2,0),0)</f>
        <v>9</v>
      </c>
      <c r="N1012">
        <f t="shared" si="15"/>
        <v>31</v>
      </c>
    </row>
    <row r="1013" spans="1:14" x14ac:dyDescent="0.25">
      <c r="A1013" t="s">
        <v>131</v>
      </c>
      <c r="B1013" t="s">
        <v>2010</v>
      </c>
      <c r="C1013">
        <f>VLOOKUP(B1013,raw!A:K,11,0)</f>
        <v>47</v>
      </c>
      <c r="D1013">
        <f>VLOOKUP(B1013,raw!A:K,3,0)+VLOOKUP(B1013,raw!A:K,7,0)</f>
        <v>47</v>
      </c>
      <c r="E1013">
        <f>VLOOKUP(B1013,raw!A:K,4,0)</f>
        <v>0</v>
      </c>
      <c r="F1013">
        <f>VLOOKUP(B1013,raw!A:K,5,0)</f>
        <v>0</v>
      </c>
      <c r="G1013">
        <f>VLOOKUP(B1013,raw!A:K,2,0)+VLOOKUP(B1013,raw!A:K,10,0)</f>
        <v>0</v>
      </c>
      <c r="H1013">
        <f>VLOOKUP(B1013,raw!A:K,6,0)</f>
        <v>0</v>
      </c>
      <c r="I1013">
        <f>VLOOKUP(B1013,raw!A:K,9,0)</f>
        <v>0</v>
      </c>
      <c r="J1013">
        <f>VLOOKUP(B1013,raw!A:K,8,0)</f>
        <v>0</v>
      </c>
      <c r="K1013">
        <f>_xlfn.IFNA(VLOOKUP(B1013,TDK!A:C,2,0),0)</f>
        <v>12</v>
      </c>
      <c r="L1013">
        <f>_xlfn.IFNA(VLOOKUP(B1013,TDK!A:C,3,0),0)</f>
        <v>1</v>
      </c>
      <c r="M1013">
        <f>_xlfn.IFNA(VLOOKUP(B1013,TDK!F:G,2,0),0)</f>
        <v>6</v>
      </c>
      <c r="N1013">
        <f t="shared" si="15"/>
        <v>19</v>
      </c>
    </row>
    <row r="1014" spans="1:14" x14ac:dyDescent="0.25">
      <c r="A1014" t="s">
        <v>136</v>
      </c>
      <c r="B1014" t="s">
        <v>2011</v>
      </c>
      <c r="C1014">
        <f>VLOOKUP(B1014,raw!A:K,11,0)</f>
        <v>40</v>
      </c>
      <c r="D1014">
        <f>VLOOKUP(B1014,raw!A:K,3,0)+VLOOKUP(B1014,raw!A:K,7,0)</f>
        <v>40</v>
      </c>
      <c r="E1014">
        <f>VLOOKUP(B1014,raw!A:K,4,0)</f>
        <v>0</v>
      </c>
      <c r="F1014">
        <f>VLOOKUP(B1014,raw!A:K,5,0)</f>
        <v>0</v>
      </c>
      <c r="G1014">
        <f>VLOOKUP(B1014,raw!A:K,2,0)+VLOOKUP(B1014,raw!A:K,10,0)</f>
        <v>0</v>
      </c>
      <c r="H1014">
        <f>VLOOKUP(B1014,raw!A:K,6,0)</f>
        <v>0</v>
      </c>
      <c r="I1014">
        <f>VLOOKUP(B1014,raw!A:K,9,0)</f>
        <v>0</v>
      </c>
      <c r="J1014">
        <f>VLOOKUP(B1014,raw!A:K,8,0)</f>
        <v>0</v>
      </c>
      <c r="K1014">
        <f>_xlfn.IFNA(VLOOKUP(B1014,TDK!A:C,2,0),0)</f>
        <v>9</v>
      </c>
      <c r="L1014">
        <f>_xlfn.IFNA(VLOOKUP(B1014,TDK!A:C,3,0),0)</f>
        <v>1</v>
      </c>
      <c r="M1014">
        <f>_xlfn.IFNA(VLOOKUP(B1014,TDK!F:G,2,0),0)</f>
        <v>2</v>
      </c>
      <c r="N1014">
        <f t="shared" si="15"/>
        <v>12</v>
      </c>
    </row>
    <row r="1015" spans="1:14" x14ac:dyDescent="0.25">
      <c r="A1015" t="s">
        <v>136</v>
      </c>
      <c r="B1015" t="s">
        <v>2012</v>
      </c>
      <c r="C1015">
        <f>VLOOKUP(B1015,raw!A:K,11,0)</f>
        <v>59</v>
      </c>
      <c r="D1015">
        <f>VLOOKUP(B1015,raw!A:K,3,0)+VLOOKUP(B1015,raw!A:K,7,0)</f>
        <v>59</v>
      </c>
      <c r="E1015">
        <f>VLOOKUP(B1015,raw!A:K,4,0)</f>
        <v>0</v>
      </c>
      <c r="F1015">
        <f>VLOOKUP(B1015,raw!A:K,5,0)</f>
        <v>0</v>
      </c>
      <c r="G1015">
        <f>VLOOKUP(B1015,raw!A:K,2,0)+VLOOKUP(B1015,raw!A:K,10,0)</f>
        <v>0</v>
      </c>
      <c r="H1015">
        <f>VLOOKUP(B1015,raw!A:K,6,0)</f>
        <v>0</v>
      </c>
      <c r="I1015">
        <f>VLOOKUP(B1015,raw!A:K,9,0)</f>
        <v>0</v>
      </c>
      <c r="J1015">
        <f>VLOOKUP(B1015,raw!A:K,8,0)</f>
        <v>0</v>
      </c>
      <c r="K1015">
        <f>_xlfn.IFNA(VLOOKUP(B1015,TDK!A:C,2,0),0)</f>
        <v>19</v>
      </c>
      <c r="L1015">
        <f>_xlfn.IFNA(VLOOKUP(B1015,TDK!A:C,3,0),0)</f>
        <v>1</v>
      </c>
      <c r="M1015">
        <f>_xlfn.IFNA(VLOOKUP(B1015,TDK!F:G,2,0),0)</f>
        <v>4</v>
      </c>
      <c r="N1015">
        <f t="shared" si="15"/>
        <v>24</v>
      </c>
    </row>
    <row r="1016" spans="1:14" x14ac:dyDescent="0.25">
      <c r="A1016" t="s">
        <v>136</v>
      </c>
      <c r="B1016" t="s">
        <v>2013</v>
      </c>
      <c r="C1016">
        <f>VLOOKUP(B1016,raw!A:K,11,0)</f>
        <v>53</v>
      </c>
      <c r="D1016">
        <f>VLOOKUP(B1016,raw!A:K,3,0)+VLOOKUP(B1016,raw!A:K,7,0)</f>
        <v>53</v>
      </c>
      <c r="E1016">
        <f>VLOOKUP(B1016,raw!A:K,4,0)</f>
        <v>0</v>
      </c>
      <c r="F1016">
        <f>VLOOKUP(B1016,raw!A:K,5,0)</f>
        <v>0</v>
      </c>
      <c r="G1016">
        <f>VLOOKUP(B1016,raw!A:K,2,0)+VLOOKUP(B1016,raw!A:K,10,0)</f>
        <v>0</v>
      </c>
      <c r="H1016">
        <f>VLOOKUP(B1016,raw!A:K,6,0)</f>
        <v>0</v>
      </c>
      <c r="I1016">
        <f>VLOOKUP(B1016,raw!A:K,9,0)</f>
        <v>0</v>
      </c>
      <c r="J1016">
        <f>VLOOKUP(B1016,raw!A:K,8,0)</f>
        <v>0</v>
      </c>
      <c r="K1016">
        <f>_xlfn.IFNA(VLOOKUP(B1016,TDK!A:C,2,0),0)</f>
        <v>19</v>
      </c>
      <c r="L1016">
        <f>_xlfn.IFNA(VLOOKUP(B1016,TDK!A:C,3,0),0)</f>
        <v>2</v>
      </c>
      <c r="M1016">
        <f>_xlfn.IFNA(VLOOKUP(B1016,TDK!F:G,2,0),0)</f>
        <v>9</v>
      </c>
      <c r="N1016">
        <f t="shared" si="15"/>
        <v>30</v>
      </c>
    </row>
    <row r="1017" spans="1:14" x14ac:dyDescent="0.25">
      <c r="A1017" t="s">
        <v>136</v>
      </c>
      <c r="B1017" t="s">
        <v>2014</v>
      </c>
      <c r="C1017">
        <f>VLOOKUP(B1017,raw!A:K,11,0)</f>
        <v>42</v>
      </c>
      <c r="D1017">
        <f>VLOOKUP(B1017,raw!A:K,3,0)+VLOOKUP(B1017,raw!A:K,7,0)</f>
        <v>42</v>
      </c>
      <c r="E1017">
        <f>VLOOKUP(B1017,raw!A:K,4,0)</f>
        <v>0</v>
      </c>
      <c r="F1017">
        <f>VLOOKUP(B1017,raw!A:K,5,0)</f>
        <v>0</v>
      </c>
      <c r="G1017">
        <f>VLOOKUP(B1017,raw!A:K,2,0)+VLOOKUP(B1017,raw!A:K,10,0)</f>
        <v>0</v>
      </c>
      <c r="H1017">
        <f>VLOOKUP(B1017,raw!A:K,6,0)</f>
        <v>0</v>
      </c>
      <c r="I1017">
        <f>VLOOKUP(B1017,raw!A:K,9,0)</f>
        <v>0</v>
      </c>
      <c r="J1017">
        <f>VLOOKUP(B1017,raw!A:K,8,0)</f>
        <v>0</v>
      </c>
      <c r="K1017">
        <f>_xlfn.IFNA(VLOOKUP(B1017,TDK!A:C,2,0),0)</f>
        <v>17</v>
      </c>
      <c r="L1017">
        <f>_xlfn.IFNA(VLOOKUP(B1017,TDK!A:C,3,0),0)</f>
        <v>1</v>
      </c>
      <c r="M1017">
        <f>_xlfn.IFNA(VLOOKUP(B1017,TDK!F:G,2,0),0)</f>
        <v>6</v>
      </c>
      <c r="N1017">
        <f t="shared" si="15"/>
        <v>24</v>
      </c>
    </row>
    <row r="1018" spans="1:14" x14ac:dyDescent="0.25">
      <c r="A1018" t="s">
        <v>130</v>
      </c>
      <c r="B1018" t="s">
        <v>2015</v>
      </c>
      <c r="C1018">
        <f>VLOOKUP(B1018,raw!A:K,11,0)</f>
        <v>84</v>
      </c>
      <c r="D1018">
        <f>VLOOKUP(B1018,raw!A:K,3,0)+VLOOKUP(B1018,raw!A:K,7,0)</f>
        <v>73</v>
      </c>
      <c r="E1018">
        <f>VLOOKUP(B1018,raw!A:K,4,0)</f>
        <v>10</v>
      </c>
      <c r="F1018">
        <f>VLOOKUP(B1018,raw!A:K,5,0)</f>
        <v>0</v>
      </c>
      <c r="G1018">
        <f>VLOOKUP(B1018,raw!A:K,2,0)+VLOOKUP(B1018,raw!A:K,10,0)</f>
        <v>1</v>
      </c>
      <c r="H1018">
        <f>VLOOKUP(B1018,raw!A:K,6,0)</f>
        <v>0</v>
      </c>
      <c r="I1018">
        <f>VLOOKUP(B1018,raw!A:K,9,0)</f>
        <v>0</v>
      </c>
      <c r="J1018">
        <f>VLOOKUP(B1018,raw!A:K,8,0)</f>
        <v>0</v>
      </c>
      <c r="K1018">
        <f>_xlfn.IFNA(VLOOKUP(B1018,TDK!A:C,2,0),0)</f>
        <v>9</v>
      </c>
      <c r="L1018">
        <f>_xlfn.IFNA(VLOOKUP(B1018,TDK!A:C,3,0),0)</f>
        <v>6</v>
      </c>
      <c r="M1018">
        <f>_xlfn.IFNA(VLOOKUP(B1018,TDK!F:G,2,0),0)</f>
        <v>6</v>
      </c>
      <c r="N1018">
        <f t="shared" si="15"/>
        <v>21</v>
      </c>
    </row>
    <row r="1019" spans="1:14" x14ac:dyDescent="0.25">
      <c r="A1019" t="s">
        <v>130</v>
      </c>
      <c r="B1019" t="s">
        <v>2016</v>
      </c>
      <c r="C1019">
        <f>VLOOKUP(B1019,raw!A:K,11,0)</f>
        <v>99</v>
      </c>
      <c r="D1019">
        <f>VLOOKUP(B1019,raw!A:K,3,0)+VLOOKUP(B1019,raw!A:K,7,0)</f>
        <v>91</v>
      </c>
      <c r="E1019">
        <f>VLOOKUP(B1019,raw!A:K,4,0)</f>
        <v>1</v>
      </c>
      <c r="F1019">
        <f>VLOOKUP(B1019,raw!A:K,5,0)</f>
        <v>0</v>
      </c>
      <c r="G1019">
        <f>VLOOKUP(B1019,raw!A:K,2,0)+VLOOKUP(B1019,raw!A:K,10,0)</f>
        <v>0</v>
      </c>
      <c r="H1019">
        <f>VLOOKUP(B1019,raw!A:K,6,0)</f>
        <v>0</v>
      </c>
      <c r="I1019">
        <f>VLOOKUP(B1019,raw!A:K,9,0)</f>
        <v>7</v>
      </c>
      <c r="J1019">
        <f>VLOOKUP(B1019,raw!A:K,8,0)</f>
        <v>0</v>
      </c>
      <c r="K1019">
        <f>_xlfn.IFNA(VLOOKUP(B1019,TDK!A:C,2,0),0)</f>
        <v>14</v>
      </c>
      <c r="L1019">
        <f>_xlfn.IFNA(VLOOKUP(B1019,TDK!A:C,3,0),0)</f>
        <v>3</v>
      </c>
      <c r="M1019">
        <f>_xlfn.IFNA(VLOOKUP(B1019,TDK!F:G,2,0),0)</f>
        <v>8</v>
      </c>
      <c r="N1019">
        <f t="shared" si="15"/>
        <v>25</v>
      </c>
    </row>
    <row r="1020" spans="1:14" x14ac:dyDescent="0.25">
      <c r="A1020" t="s">
        <v>130</v>
      </c>
      <c r="B1020" t="s">
        <v>2017</v>
      </c>
      <c r="C1020">
        <f>VLOOKUP(B1020,raw!A:K,11,0)</f>
        <v>69</v>
      </c>
      <c r="D1020">
        <f>VLOOKUP(B1020,raw!A:K,3,0)+VLOOKUP(B1020,raw!A:K,7,0)</f>
        <v>53</v>
      </c>
      <c r="E1020">
        <f>VLOOKUP(B1020,raw!A:K,4,0)</f>
        <v>2</v>
      </c>
      <c r="F1020">
        <f>VLOOKUP(B1020,raw!A:K,5,0)</f>
        <v>0</v>
      </c>
      <c r="G1020">
        <f>VLOOKUP(B1020,raw!A:K,2,0)+VLOOKUP(B1020,raw!A:K,10,0)</f>
        <v>0</v>
      </c>
      <c r="H1020">
        <f>VLOOKUP(B1020,raw!A:K,6,0)</f>
        <v>0</v>
      </c>
      <c r="I1020">
        <f>VLOOKUP(B1020,raw!A:K,9,0)</f>
        <v>14</v>
      </c>
      <c r="J1020">
        <f>VLOOKUP(B1020,raw!A:K,8,0)</f>
        <v>0</v>
      </c>
      <c r="K1020">
        <f>_xlfn.IFNA(VLOOKUP(B1020,TDK!A:C,2,0),0)</f>
        <v>19</v>
      </c>
      <c r="L1020">
        <f>_xlfn.IFNA(VLOOKUP(B1020,TDK!A:C,3,0),0)</f>
        <v>1</v>
      </c>
      <c r="M1020">
        <f>_xlfn.IFNA(VLOOKUP(B1020,TDK!F:G,2,0),0)</f>
        <v>2</v>
      </c>
      <c r="N1020">
        <f t="shared" si="15"/>
        <v>22</v>
      </c>
    </row>
    <row r="1021" spans="1:14" x14ac:dyDescent="0.25">
      <c r="A1021" t="s">
        <v>130</v>
      </c>
      <c r="B1021" t="s">
        <v>2018</v>
      </c>
      <c r="C1021">
        <f>VLOOKUP(B1021,raw!A:K,11,0)</f>
        <v>65</v>
      </c>
      <c r="D1021">
        <f>VLOOKUP(B1021,raw!A:K,3,0)+VLOOKUP(B1021,raw!A:K,7,0)</f>
        <v>54</v>
      </c>
      <c r="E1021">
        <f>VLOOKUP(B1021,raw!A:K,4,0)</f>
        <v>3</v>
      </c>
      <c r="F1021">
        <f>VLOOKUP(B1021,raw!A:K,5,0)</f>
        <v>0</v>
      </c>
      <c r="G1021">
        <f>VLOOKUP(B1021,raw!A:K,2,0)+VLOOKUP(B1021,raw!A:K,10,0)</f>
        <v>0</v>
      </c>
      <c r="H1021">
        <f>VLOOKUP(B1021,raw!A:K,6,0)</f>
        <v>0</v>
      </c>
      <c r="I1021">
        <f>VLOOKUP(B1021,raw!A:K,9,0)</f>
        <v>8</v>
      </c>
      <c r="J1021">
        <f>VLOOKUP(B1021,raw!A:K,8,0)</f>
        <v>0</v>
      </c>
      <c r="K1021">
        <f>_xlfn.IFNA(VLOOKUP(B1021,TDK!A:C,2,0),0)</f>
        <v>13</v>
      </c>
      <c r="L1021">
        <f>_xlfn.IFNA(VLOOKUP(B1021,TDK!A:C,3,0),0)</f>
        <v>1</v>
      </c>
      <c r="M1021">
        <f>_xlfn.IFNA(VLOOKUP(B1021,TDK!F:G,2,0),0)</f>
        <v>2</v>
      </c>
      <c r="N1021">
        <f t="shared" si="15"/>
        <v>16</v>
      </c>
    </row>
    <row r="1022" spans="1:14" x14ac:dyDescent="0.25">
      <c r="A1022" t="s">
        <v>130</v>
      </c>
      <c r="B1022" t="s">
        <v>2019</v>
      </c>
      <c r="C1022">
        <f>VLOOKUP(B1022,raw!A:K,11,0)</f>
        <v>101</v>
      </c>
      <c r="D1022">
        <f>VLOOKUP(B1022,raw!A:K,3,0)+VLOOKUP(B1022,raw!A:K,7,0)</f>
        <v>78</v>
      </c>
      <c r="E1022">
        <f>VLOOKUP(B1022,raw!A:K,4,0)</f>
        <v>3</v>
      </c>
      <c r="F1022">
        <f>VLOOKUP(B1022,raw!A:K,5,0)</f>
        <v>0</v>
      </c>
      <c r="G1022">
        <f>VLOOKUP(B1022,raw!A:K,2,0)+VLOOKUP(B1022,raw!A:K,10,0)</f>
        <v>0</v>
      </c>
      <c r="H1022">
        <f>VLOOKUP(B1022,raw!A:K,6,0)</f>
        <v>0</v>
      </c>
      <c r="I1022">
        <f>VLOOKUP(B1022,raw!A:K,9,0)</f>
        <v>20</v>
      </c>
      <c r="J1022">
        <f>VLOOKUP(B1022,raw!A:K,8,0)</f>
        <v>0</v>
      </c>
      <c r="K1022">
        <f>_xlfn.IFNA(VLOOKUP(B1022,TDK!A:C,2,0),0)</f>
        <v>19</v>
      </c>
      <c r="L1022">
        <f>_xlfn.IFNA(VLOOKUP(B1022,TDK!A:C,3,0),0)</f>
        <v>3</v>
      </c>
      <c r="M1022">
        <f>_xlfn.IFNA(VLOOKUP(B1022,TDK!F:G,2,0),0)</f>
        <v>7</v>
      </c>
      <c r="N1022">
        <f t="shared" si="15"/>
        <v>29</v>
      </c>
    </row>
    <row r="1023" spans="1:14" x14ac:dyDescent="0.25">
      <c r="A1023" t="s">
        <v>130</v>
      </c>
      <c r="B1023" t="s">
        <v>2020</v>
      </c>
      <c r="C1023">
        <f>VLOOKUP(B1023,raw!A:K,11,0)</f>
        <v>89</v>
      </c>
      <c r="D1023">
        <f>VLOOKUP(B1023,raw!A:K,3,0)+VLOOKUP(B1023,raw!A:K,7,0)</f>
        <v>45</v>
      </c>
      <c r="E1023">
        <f>VLOOKUP(B1023,raw!A:K,4,0)</f>
        <v>3</v>
      </c>
      <c r="F1023">
        <f>VLOOKUP(B1023,raw!A:K,5,0)</f>
        <v>0</v>
      </c>
      <c r="G1023">
        <f>VLOOKUP(B1023,raw!A:K,2,0)+VLOOKUP(B1023,raw!A:K,10,0)</f>
        <v>0</v>
      </c>
      <c r="H1023">
        <f>VLOOKUP(B1023,raw!A:K,6,0)</f>
        <v>0</v>
      </c>
      <c r="I1023">
        <f>VLOOKUP(B1023,raw!A:K,9,0)</f>
        <v>41</v>
      </c>
      <c r="J1023">
        <f>VLOOKUP(B1023,raw!A:K,8,0)</f>
        <v>0</v>
      </c>
      <c r="K1023">
        <f>_xlfn.IFNA(VLOOKUP(B1023,TDK!A:C,2,0),0)</f>
        <v>17</v>
      </c>
      <c r="L1023">
        <f>_xlfn.IFNA(VLOOKUP(B1023,TDK!A:C,3,0),0)</f>
        <v>5</v>
      </c>
      <c r="M1023">
        <f>_xlfn.IFNA(VLOOKUP(B1023,TDK!F:G,2,0),0)</f>
        <v>10</v>
      </c>
      <c r="N1023">
        <f t="shared" si="15"/>
        <v>32</v>
      </c>
    </row>
    <row r="1024" spans="1:14" x14ac:dyDescent="0.25">
      <c r="A1024" t="s">
        <v>139</v>
      </c>
      <c r="B1024" t="s">
        <v>2021</v>
      </c>
      <c r="C1024">
        <f>VLOOKUP(B1024,raw!A:K,11,0)</f>
        <v>50</v>
      </c>
      <c r="D1024">
        <f>VLOOKUP(B1024,raw!A:K,3,0)+VLOOKUP(B1024,raw!A:K,7,0)</f>
        <v>50</v>
      </c>
      <c r="E1024">
        <f>VLOOKUP(B1024,raw!A:K,4,0)</f>
        <v>0</v>
      </c>
      <c r="F1024">
        <f>VLOOKUP(B1024,raw!A:K,5,0)</f>
        <v>0</v>
      </c>
      <c r="G1024">
        <f>VLOOKUP(B1024,raw!A:K,2,0)+VLOOKUP(B1024,raw!A:K,10,0)</f>
        <v>0</v>
      </c>
      <c r="H1024">
        <f>VLOOKUP(B1024,raw!A:K,6,0)</f>
        <v>0</v>
      </c>
      <c r="I1024">
        <f>VLOOKUP(B1024,raw!A:K,9,0)</f>
        <v>0</v>
      </c>
      <c r="J1024">
        <f>VLOOKUP(B1024,raw!A:K,8,0)</f>
        <v>0</v>
      </c>
      <c r="K1024">
        <f>_xlfn.IFNA(VLOOKUP(B1024,TDK!A:C,2,0),0)</f>
        <v>8</v>
      </c>
      <c r="L1024">
        <f>_xlfn.IFNA(VLOOKUP(B1024,TDK!A:C,3,0),0)</f>
        <v>0</v>
      </c>
      <c r="M1024">
        <f>_xlfn.IFNA(VLOOKUP(B1024,TDK!F:G,2,0),0)</f>
        <v>4</v>
      </c>
      <c r="N1024">
        <f t="shared" si="15"/>
        <v>12</v>
      </c>
    </row>
    <row r="1025" spans="1:14" x14ac:dyDescent="0.25">
      <c r="A1025" t="s">
        <v>139</v>
      </c>
      <c r="B1025" t="s">
        <v>2022</v>
      </c>
      <c r="C1025">
        <f>VLOOKUP(B1025,raw!A:K,11,0)</f>
        <v>51</v>
      </c>
      <c r="D1025">
        <f>VLOOKUP(B1025,raw!A:K,3,0)+VLOOKUP(B1025,raw!A:K,7,0)</f>
        <v>48</v>
      </c>
      <c r="E1025">
        <f>VLOOKUP(B1025,raw!A:K,4,0)</f>
        <v>0</v>
      </c>
      <c r="F1025">
        <f>VLOOKUP(B1025,raw!A:K,5,0)</f>
        <v>0</v>
      </c>
      <c r="G1025">
        <f>VLOOKUP(B1025,raw!A:K,2,0)+VLOOKUP(B1025,raw!A:K,10,0)</f>
        <v>1</v>
      </c>
      <c r="H1025">
        <f>VLOOKUP(B1025,raw!A:K,6,0)</f>
        <v>0</v>
      </c>
      <c r="I1025">
        <f>VLOOKUP(B1025,raw!A:K,9,0)</f>
        <v>2</v>
      </c>
      <c r="J1025">
        <f>VLOOKUP(B1025,raw!A:K,8,0)</f>
        <v>0</v>
      </c>
      <c r="K1025">
        <f>_xlfn.IFNA(VLOOKUP(B1025,TDK!A:C,2,0),0)</f>
        <v>7</v>
      </c>
      <c r="L1025">
        <f>_xlfn.IFNA(VLOOKUP(B1025,TDK!A:C,3,0),0)</f>
        <v>0</v>
      </c>
      <c r="M1025">
        <f>_xlfn.IFNA(VLOOKUP(B1025,TDK!F:G,2,0),0)</f>
        <v>7</v>
      </c>
      <c r="N1025">
        <f t="shared" si="15"/>
        <v>14</v>
      </c>
    </row>
    <row r="1026" spans="1:14" x14ac:dyDescent="0.25">
      <c r="A1026" t="s">
        <v>139</v>
      </c>
      <c r="B1026" t="s">
        <v>2023</v>
      </c>
      <c r="C1026">
        <f>VLOOKUP(B1026,raw!A:K,11,0)</f>
        <v>43</v>
      </c>
      <c r="D1026">
        <f>VLOOKUP(B1026,raw!A:K,3,0)+VLOOKUP(B1026,raw!A:K,7,0)</f>
        <v>30</v>
      </c>
      <c r="E1026">
        <f>VLOOKUP(B1026,raw!A:K,4,0)</f>
        <v>0</v>
      </c>
      <c r="F1026">
        <f>VLOOKUP(B1026,raw!A:K,5,0)</f>
        <v>0</v>
      </c>
      <c r="G1026">
        <f>VLOOKUP(B1026,raw!A:K,2,0)+VLOOKUP(B1026,raw!A:K,10,0)</f>
        <v>0</v>
      </c>
      <c r="H1026">
        <f>VLOOKUP(B1026,raw!A:K,6,0)</f>
        <v>0</v>
      </c>
      <c r="I1026">
        <f>VLOOKUP(B1026,raw!A:K,9,0)</f>
        <v>13</v>
      </c>
      <c r="J1026">
        <f>VLOOKUP(B1026,raw!A:K,8,0)</f>
        <v>0</v>
      </c>
      <c r="K1026">
        <f>_xlfn.IFNA(VLOOKUP(B1026,TDK!A:C,2,0),0)</f>
        <v>7</v>
      </c>
      <c r="L1026">
        <f>_xlfn.IFNA(VLOOKUP(B1026,TDK!A:C,3,0),0)</f>
        <v>0</v>
      </c>
      <c r="M1026">
        <f>_xlfn.IFNA(VLOOKUP(B1026,TDK!F:G,2,0),0)</f>
        <v>4</v>
      </c>
      <c r="N1026">
        <f t="shared" si="15"/>
        <v>11</v>
      </c>
    </row>
    <row r="1027" spans="1:14" x14ac:dyDescent="0.25">
      <c r="A1027" t="s">
        <v>140</v>
      </c>
      <c r="B1027" t="s">
        <v>2024</v>
      </c>
      <c r="C1027">
        <f>VLOOKUP(B1027,raw!A:K,11,0)</f>
        <v>46</v>
      </c>
      <c r="D1027">
        <f>VLOOKUP(B1027,raw!A:K,3,0)+VLOOKUP(B1027,raw!A:K,7,0)</f>
        <v>11</v>
      </c>
      <c r="E1027">
        <f>VLOOKUP(B1027,raw!A:K,4,0)</f>
        <v>0</v>
      </c>
      <c r="F1027">
        <f>VLOOKUP(B1027,raw!A:K,5,0)</f>
        <v>0</v>
      </c>
      <c r="G1027">
        <f>VLOOKUP(B1027,raw!A:K,2,0)+VLOOKUP(B1027,raw!A:K,10,0)</f>
        <v>0</v>
      </c>
      <c r="H1027">
        <f>VLOOKUP(B1027,raw!A:K,6,0)</f>
        <v>0</v>
      </c>
      <c r="I1027">
        <f>VLOOKUP(B1027,raw!A:K,9,0)</f>
        <v>35</v>
      </c>
      <c r="J1027">
        <f>VLOOKUP(B1027,raw!A:K,8,0)</f>
        <v>0</v>
      </c>
      <c r="K1027">
        <f>_xlfn.IFNA(VLOOKUP(B1027,TDK!A:C,2,0),0)</f>
        <v>9</v>
      </c>
      <c r="L1027">
        <f>_xlfn.IFNA(VLOOKUP(B1027,TDK!A:C,3,0),0)</f>
        <v>0</v>
      </c>
      <c r="M1027">
        <f>_xlfn.IFNA(VLOOKUP(B1027,TDK!F:G,2,0),0)</f>
        <v>10</v>
      </c>
      <c r="N1027">
        <f t="shared" ref="N1027:N1058" si="16">SUM(K1027:M1027)</f>
        <v>19</v>
      </c>
    </row>
    <row r="1028" spans="1:14" x14ac:dyDescent="0.25">
      <c r="A1028" t="s">
        <v>140</v>
      </c>
      <c r="B1028" t="s">
        <v>2025</v>
      </c>
      <c r="C1028">
        <f>VLOOKUP(B1028,raw!A:K,11,0)</f>
        <v>108</v>
      </c>
      <c r="D1028">
        <f>VLOOKUP(B1028,raw!A:K,3,0)+VLOOKUP(B1028,raw!A:K,7,0)</f>
        <v>105</v>
      </c>
      <c r="E1028">
        <f>VLOOKUP(B1028,raw!A:K,4,0)</f>
        <v>2</v>
      </c>
      <c r="F1028">
        <f>VLOOKUP(B1028,raw!A:K,5,0)</f>
        <v>0</v>
      </c>
      <c r="G1028">
        <f>VLOOKUP(B1028,raw!A:K,2,0)+VLOOKUP(B1028,raw!A:K,10,0)</f>
        <v>0</v>
      </c>
      <c r="H1028">
        <f>VLOOKUP(B1028,raw!A:K,6,0)</f>
        <v>0</v>
      </c>
      <c r="I1028">
        <f>VLOOKUP(B1028,raw!A:K,9,0)</f>
        <v>1</v>
      </c>
      <c r="J1028">
        <f>VLOOKUP(B1028,raw!A:K,8,0)</f>
        <v>0</v>
      </c>
      <c r="K1028">
        <f>_xlfn.IFNA(VLOOKUP(B1028,TDK!A:C,2,0),0)</f>
        <v>21</v>
      </c>
      <c r="L1028">
        <f>_xlfn.IFNA(VLOOKUP(B1028,TDK!A:C,3,0),0)</f>
        <v>0</v>
      </c>
      <c r="M1028">
        <f>_xlfn.IFNA(VLOOKUP(B1028,TDK!F:G,2,0),0)</f>
        <v>31</v>
      </c>
      <c r="N1028">
        <f t="shared" si="16"/>
        <v>52</v>
      </c>
    </row>
    <row r="1029" spans="1:14" x14ac:dyDescent="0.25">
      <c r="A1029" t="s">
        <v>140</v>
      </c>
      <c r="B1029" t="s">
        <v>2026</v>
      </c>
      <c r="C1029">
        <f>VLOOKUP(B1029,raw!A:K,11,0)</f>
        <v>106</v>
      </c>
      <c r="D1029">
        <f>VLOOKUP(B1029,raw!A:K,3,0)+VLOOKUP(B1029,raw!A:K,7,0)</f>
        <v>100</v>
      </c>
      <c r="E1029">
        <f>VLOOKUP(B1029,raw!A:K,4,0)</f>
        <v>0</v>
      </c>
      <c r="F1029">
        <f>VLOOKUP(B1029,raw!A:K,5,0)</f>
        <v>0</v>
      </c>
      <c r="G1029">
        <f>VLOOKUP(B1029,raw!A:K,2,0)+VLOOKUP(B1029,raw!A:K,10,0)</f>
        <v>0</v>
      </c>
      <c r="H1029">
        <f>VLOOKUP(B1029,raw!A:K,6,0)</f>
        <v>0</v>
      </c>
      <c r="I1029">
        <f>VLOOKUP(B1029,raw!A:K,9,0)</f>
        <v>6</v>
      </c>
      <c r="J1029">
        <f>VLOOKUP(B1029,raw!A:K,8,0)</f>
        <v>0</v>
      </c>
      <c r="K1029">
        <f>_xlfn.IFNA(VLOOKUP(B1029,TDK!A:C,2,0),0)</f>
        <v>17</v>
      </c>
      <c r="L1029">
        <f>_xlfn.IFNA(VLOOKUP(B1029,TDK!A:C,3,0),0)</f>
        <v>0</v>
      </c>
      <c r="M1029">
        <f>_xlfn.IFNA(VLOOKUP(B1029,TDK!F:G,2,0),0)</f>
        <v>42</v>
      </c>
      <c r="N1029">
        <f t="shared" si="16"/>
        <v>59</v>
      </c>
    </row>
    <row r="1030" spans="1:14" x14ac:dyDescent="0.25">
      <c r="A1030" t="s">
        <v>140</v>
      </c>
      <c r="B1030" t="s">
        <v>2027</v>
      </c>
      <c r="C1030">
        <f>VLOOKUP(B1030,raw!A:K,11,0)</f>
        <v>54</v>
      </c>
      <c r="D1030">
        <f>VLOOKUP(B1030,raw!A:K,3,0)+VLOOKUP(B1030,raw!A:K,7,0)</f>
        <v>53</v>
      </c>
      <c r="E1030">
        <f>VLOOKUP(B1030,raw!A:K,4,0)</f>
        <v>0</v>
      </c>
      <c r="F1030">
        <f>VLOOKUP(B1030,raw!A:K,5,0)</f>
        <v>0</v>
      </c>
      <c r="G1030">
        <f>VLOOKUP(B1030,raw!A:K,2,0)+VLOOKUP(B1030,raw!A:K,10,0)</f>
        <v>0</v>
      </c>
      <c r="H1030">
        <f>VLOOKUP(B1030,raw!A:K,6,0)</f>
        <v>0</v>
      </c>
      <c r="I1030">
        <f>VLOOKUP(B1030,raw!A:K,9,0)</f>
        <v>1</v>
      </c>
      <c r="J1030">
        <f>VLOOKUP(B1030,raw!A:K,8,0)</f>
        <v>0</v>
      </c>
      <c r="K1030">
        <f>_xlfn.IFNA(VLOOKUP(B1030,TDK!A:C,2,0),0)</f>
        <v>16</v>
      </c>
      <c r="L1030">
        <f>_xlfn.IFNA(VLOOKUP(B1030,TDK!A:C,3,0),0)</f>
        <v>1</v>
      </c>
      <c r="M1030">
        <f>_xlfn.IFNA(VLOOKUP(B1030,TDK!F:G,2,0),0)</f>
        <v>17</v>
      </c>
      <c r="N1030">
        <f t="shared" si="16"/>
        <v>34</v>
      </c>
    </row>
    <row r="1031" spans="1:14" x14ac:dyDescent="0.25">
      <c r="A1031" t="s">
        <v>140</v>
      </c>
      <c r="B1031" t="s">
        <v>2028</v>
      </c>
      <c r="C1031">
        <f>VLOOKUP(B1031,raw!A:K,11,0)</f>
        <v>62</v>
      </c>
      <c r="D1031">
        <f>VLOOKUP(B1031,raw!A:K,3,0)+VLOOKUP(B1031,raw!A:K,7,0)</f>
        <v>50</v>
      </c>
      <c r="E1031">
        <f>VLOOKUP(B1031,raw!A:K,4,0)</f>
        <v>0</v>
      </c>
      <c r="F1031">
        <f>VLOOKUP(B1031,raw!A:K,5,0)</f>
        <v>0</v>
      </c>
      <c r="G1031">
        <f>VLOOKUP(B1031,raw!A:K,2,0)+VLOOKUP(B1031,raw!A:K,10,0)</f>
        <v>0</v>
      </c>
      <c r="H1031">
        <f>VLOOKUP(B1031,raw!A:K,6,0)</f>
        <v>0</v>
      </c>
      <c r="I1031">
        <f>VLOOKUP(B1031,raw!A:K,9,0)</f>
        <v>12</v>
      </c>
      <c r="J1031">
        <f>VLOOKUP(B1031,raw!A:K,8,0)</f>
        <v>0</v>
      </c>
      <c r="K1031">
        <f>_xlfn.IFNA(VLOOKUP(B1031,TDK!A:C,2,0),0)</f>
        <v>14</v>
      </c>
      <c r="L1031">
        <f>_xlfn.IFNA(VLOOKUP(B1031,TDK!A:C,3,0),0)</f>
        <v>2</v>
      </c>
      <c r="M1031">
        <f>_xlfn.IFNA(VLOOKUP(B1031,TDK!F:G,2,0),0)</f>
        <v>18</v>
      </c>
      <c r="N1031">
        <f t="shared" si="16"/>
        <v>34</v>
      </c>
    </row>
    <row r="1032" spans="1:14" x14ac:dyDescent="0.25">
      <c r="A1032" t="s">
        <v>140</v>
      </c>
      <c r="B1032" t="s">
        <v>2029</v>
      </c>
      <c r="C1032">
        <f>VLOOKUP(B1032,raw!A:K,11,0)</f>
        <v>103</v>
      </c>
      <c r="D1032">
        <f>VLOOKUP(B1032,raw!A:K,3,0)+VLOOKUP(B1032,raw!A:K,7,0)</f>
        <v>103</v>
      </c>
      <c r="E1032">
        <f>VLOOKUP(B1032,raw!A:K,4,0)</f>
        <v>0</v>
      </c>
      <c r="F1032">
        <f>VLOOKUP(B1032,raw!A:K,5,0)</f>
        <v>0</v>
      </c>
      <c r="G1032">
        <f>VLOOKUP(B1032,raw!A:K,2,0)+VLOOKUP(B1032,raw!A:K,10,0)</f>
        <v>0</v>
      </c>
      <c r="H1032">
        <f>VLOOKUP(B1032,raw!A:K,6,0)</f>
        <v>0</v>
      </c>
      <c r="I1032">
        <f>VLOOKUP(B1032,raw!A:K,9,0)</f>
        <v>0</v>
      </c>
      <c r="J1032">
        <f>VLOOKUP(B1032,raw!A:K,8,0)</f>
        <v>0</v>
      </c>
      <c r="K1032">
        <f>_xlfn.IFNA(VLOOKUP(B1032,TDK!A:C,2,0),0)</f>
        <v>15</v>
      </c>
      <c r="L1032">
        <f>_xlfn.IFNA(VLOOKUP(B1032,TDK!A:C,3,0),0)</f>
        <v>0</v>
      </c>
      <c r="M1032">
        <f>_xlfn.IFNA(VLOOKUP(B1032,TDK!F:G,2,0),0)</f>
        <v>18</v>
      </c>
      <c r="N1032">
        <f t="shared" si="16"/>
        <v>33</v>
      </c>
    </row>
    <row r="1033" spans="1:14" x14ac:dyDescent="0.25">
      <c r="A1033" t="s">
        <v>140</v>
      </c>
      <c r="B1033" t="s">
        <v>2030</v>
      </c>
      <c r="C1033">
        <f>VLOOKUP(B1033,raw!A:K,11,0)</f>
        <v>113</v>
      </c>
      <c r="D1033">
        <f>VLOOKUP(B1033,raw!A:K,3,0)+VLOOKUP(B1033,raw!A:K,7,0)</f>
        <v>78</v>
      </c>
      <c r="E1033">
        <f>VLOOKUP(B1033,raw!A:K,4,0)</f>
        <v>0</v>
      </c>
      <c r="F1033">
        <f>VLOOKUP(B1033,raw!A:K,5,0)</f>
        <v>0</v>
      </c>
      <c r="G1033">
        <f>VLOOKUP(B1033,raw!A:K,2,0)+VLOOKUP(B1033,raw!A:K,10,0)</f>
        <v>0</v>
      </c>
      <c r="H1033">
        <f>VLOOKUP(B1033,raw!A:K,6,0)</f>
        <v>0</v>
      </c>
      <c r="I1033">
        <f>VLOOKUP(B1033,raw!A:K,9,0)</f>
        <v>35</v>
      </c>
      <c r="J1033">
        <f>VLOOKUP(B1033,raw!A:K,8,0)</f>
        <v>0</v>
      </c>
      <c r="K1033">
        <f>_xlfn.IFNA(VLOOKUP(B1033,TDK!A:C,2,0),0)</f>
        <v>19</v>
      </c>
      <c r="L1033">
        <f>_xlfn.IFNA(VLOOKUP(B1033,TDK!A:C,3,0),0)</f>
        <v>0</v>
      </c>
      <c r="M1033">
        <f>_xlfn.IFNA(VLOOKUP(B1033,TDK!F:G,2,0),0)</f>
        <v>16</v>
      </c>
      <c r="N1033">
        <f t="shared" si="16"/>
        <v>35</v>
      </c>
    </row>
    <row r="1034" spans="1:14" x14ac:dyDescent="0.25">
      <c r="A1034" t="s">
        <v>140</v>
      </c>
      <c r="B1034" t="s">
        <v>2031</v>
      </c>
      <c r="C1034">
        <f>VLOOKUP(B1034,raw!A:K,11,0)</f>
        <v>112</v>
      </c>
      <c r="D1034">
        <f>VLOOKUP(B1034,raw!A:K,3,0)+VLOOKUP(B1034,raw!A:K,7,0)</f>
        <v>87</v>
      </c>
      <c r="E1034">
        <f>VLOOKUP(B1034,raw!A:K,4,0)</f>
        <v>0</v>
      </c>
      <c r="F1034">
        <f>VLOOKUP(B1034,raw!A:K,5,0)</f>
        <v>0</v>
      </c>
      <c r="G1034">
        <f>VLOOKUP(B1034,raw!A:K,2,0)+VLOOKUP(B1034,raw!A:K,10,0)</f>
        <v>0</v>
      </c>
      <c r="H1034">
        <f>VLOOKUP(B1034,raw!A:K,6,0)</f>
        <v>0</v>
      </c>
      <c r="I1034">
        <f>VLOOKUP(B1034,raw!A:K,9,0)</f>
        <v>25</v>
      </c>
      <c r="J1034">
        <f>VLOOKUP(B1034,raw!A:K,8,0)</f>
        <v>0</v>
      </c>
      <c r="K1034">
        <f>_xlfn.IFNA(VLOOKUP(B1034,TDK!A:C,2,0),0)</f>
        <v>25</v>
      </c>
      <c r="L1034">
        <f>_xlfn.IFNA(VLOOKUP(B1034,TDK!A:C,3,0),0)</f>
        <v>1</v>
      </c>
      <c r="M1034">
        <f>_xlfn.IFNA(VLOOKUP(B1034,TDK!F:G,2,0),0)</f>
        <v>13</v>
      </c>
      <c r="N1034">
        <f t="shared" si="16"/>
        <v>39</v>
      </c>
    </row>
    <row r="1035" spans="1:14" x14ac:dyDescent="0.25">
      <c r="A1035" t="s">
        <v>140</v>
      </c>
      <c r="B1035" t="s">
        <v>2032</v>
      </c>
      <c r="C1035">
        <f>VLOOKUP(B1035,raw!A:K,11,0)</f>
        <v>88</v>
      </c>
      <c r="D1035">
        <f>VLOOKUP(B1035,raw!A:K,3,0)+VLOOKUP(B1035,raw!A:K,7,0)</f>
        <v>81</v>
      </c>
      <c r="E1035">
        <f>VLOOKUP(B1035,raw!A:K,4,0)</f>
        <v>0</v>
      </c>
      <c r="F1035">
        <f>VLOOKUP(B1035,raw!A:K,5,0)</f>
        <v>0</v>
      </c>
      <c r="G1035">
        <f>VLOOKUP(B1035,raw!A:K,2,0)+VLOOKUP(B1035,raw!A:K,10,0)</f>
        <v>0</v>
      </c>
      <c r="H1035">
        <f>VLOOKUP(B1035,raw!A:K,6,0)</f>
        <v>0</v>
      </c>
      <c r="I1035">
        <f>VLOOKUP(B1035,raw!A:K,9,0)</f>
        <v>7</v>
      </c>
      <c r="J1035">
        <f>VLOOKUP(B1035,raw!A:K,8,0)</f>
        <v>0</v>
      </c>
      <c r="K1035">
        <f>_xlfn.IFNA(VLOOKUP(B1035,TDK!A:C,2,0),0)</f>
        <v>35</v>
      </c>
      <c r="L1035">
        <f>_xlfn.IFNA(VLOOKUP(B1035,TDK!A:C,3,0),0)</f>
        <v>0</v>
      </c>
      <c r="M1035">
        <f>_xlfn.IFNA(VLOOKUP(B1035,TDK!F:G,2,0),0)</f>
        <v>6</v>
      </c>
      <c r="N1035">
        <f t="shared" si="16"/>
        <v>41</v>
      </c>
    </row>
    <row r="1036" spans="1:14" x14ac:dyDescent="0.25">
      <c r="A1036" t="s">
        <v>140</v>
      </c>
      <c r="B1036" t="s">
        <v>2033</v>
      </c>
      <c r="C1036">
        <f>VLOOKUP(B1036,raw!A:K,11,0)</f>
        <v>48</v>
      </c>
      <c r="D1036">
        <f>VLOOKUP(B1036,raw!A:K,3,0)+VLOOKUP(B1036,raw!A:K,7,0)</f>
        <v>45</v>
      </c>
      <c r="E1036">
        <f>VLOOKUP(B1036,raw!A:K,4,0)</f>
        <v>0</v>
      </c>
      <c r="F1036">
        <f>VLOOKUP(B1036,raw!A:K,5,0)</f>
        <v>0</v>
      </c>
      <c r="G1036">
        <f>VLOOKUP(B1036,raw!A:K,2,0)+VLOOKUP(B1036,raw!A:K,10,0)</f>
        <v>0</v>
      </c>
      <c r="H1036">
        <f>VLOOKUP(B1036,raw!A:K,6,0)</f>
        <v>0</v>
      </c>
      <c r="I1036">
        <f>VLOOKUP(B1036,raw!A:K,9,0)</f>
        <v>3</v>
      </c>
      <c r="J1036">
        <f>VLOOKUP(B1036,raw!A:K,8,0)</f>
        <v>0</v>
      </c>
      <c r="K1036">
        <f>_xlfn.IFNA(VLOOKUP(B1036,TDK!A:C,2,0),0)</f>
        <v>18</v>
      </c>
      <c r="L1036">
        <f>_xlfn.IFNA(VLOOKUP(B1036,TDK!A:C,3,0),0)</f>
        <v>0</v>
      </c>
      <c r="M1036">
        <f>_xlfn.IFNA(VLOOKUP(B1036,TDK!F:G,2,0),0)</f>
        <v>5</v>
      </c>
      <c r="N1036">
        <f t="shared" si="16"/>
        <v>23</v>
      </c>
    </row>
    <row r="1037" spans="1:14" x14ac:dyDescent="0.25">
      <c r="A1037" t="s">
        <v>140</v>
      </c>
      <c r="B1037" t="s">
        <v>2034</v>
      </c>
      <c r="C1037">
        <f>VLOOKUP(B1037,raw!A:K,11,0)</f>
        <v>53</v>
      </c>
      <c r="D1037">
        <f>VLOOKUP(B1037,raw!A:K,3,0)+VLOOKUP(B1037,raw!A:K,7,0)</f>
        <v>53</v>
      </c>
      <c r="E1037">
        <f>VLOOKUP(B1037,raw!A:K,4,0)</f>
        <v>0</v>
      </c>
      <c r="F1037">
        <f>VLOOKUP(B1037,raw!A:K,5,0)</f>
        <v>0</v>
      </c>
      <c r="G1037">
        <f>VLOOKUP(B1037,raw!A:K,2,0)+VLOOKUP(B1037,raw!A:K,10,0)</f>
        <v>0</v>
      </c>
      <c r="H1037">
        <f>VLOOKUP(B1037,raw!A:K,6,0)</f>
        <v>0</v>
      </c>
      <c r="I1037">
        <f>VLOOKUP(B1037,raw!A:K,9,0)</f>
        <v>0</v>
      </c>
      <c r="J1037">
        <f>VLOOKUP(B1037,raw!A:K,8,0)</f>
        <v>0</v>
      </c>
      <c r="K1037">
        <f>_xlfn.IFNA(VLOOKUP(B1037,TDK!A:C,2,0),0)</f>
        <v>9</v>
      </c>
      <c r="L1037">
        <f>_xlfn.IFNA(VLOOKUP(B1037,TDK!A:C,3,0),0)</f>
        <v>0</v>
      </c>
      <c r="M1037">
        <f>_xlfn.IFNA(VLOOKUP(B1037,TDK!F:G,2,0),0)</f>
        <v>11</v>
      </c>
      <c r="N1037">
        <f t="shared" si="16"/>
        <v>20</v>
      </c>
    </row>
    <row r="1038" spans="1:14" x14ac:dyDescent="0.25">
      <c r="A1038" t="s">
        <v>141</v>
      </c>
      <c r="B1038" t="s">
        <v>2035</v>
      </c>
      <c r="C1038">
        <f>VLOOKUP(B1038,raw!A:K,11,0)</f>
        <v>45</v>
      </c>
      <c r="D1038">
        <f>VLOOKUP(B1038,raw!A:K,3,0)+VLOOKUP(B1038,raw!A:K,7,0)</f>
        <v>37</v>
      </c>
      <c r="E1038">
        <f>VLOOKUP(B1038,raw!A:K,4,0)</f>
        <v>0</v>
      </c>
      <c r="F1038">
        <f>VLOOKUP(B1038,raw!A:K,5,0)</f>
        <v>0</v>
      </c>
      <c r="G1038">
        <f>VLOOKUP(B1038,raw!A:K,2,0)+VLOOKUP(B1038,raw!A:K,10,0)</f>
        <v>0</v>
      </c>
      <c r="H1038">
        <f>VLOOKUP(B1038,raw!A:K,6,0)</f>
        <v>0</v>
      </c>
      <c r="I1038">
        <f>VLOOKUP(B1038,raw!A:K,9,0)</f>
        <v>8</v>
      </c>
      <c r="J1038">
        <f>VLOOKUP(B1038,raw!A:K,8,0)</f>
        <v>0</v>
      </c>
      <c r="K1038">
        <f>_xlfn.IFNA(VLOOKUP(B1038,TDK!A:C,2,0),0)</f>
        <v>20</v>
      </c>
      <c r="L1038">
        <f>_xlfn.IFNA(VLOOKUP(B1038,TDK!A:C,3,0),0)</f>
        <v>0</v>
      </c>
      <c r="M1038">
        <f>_xlfn.IFNA(VLOOKUP(B1038,TDK!F:G,2,0),0)</f>
        <v>3</v>
      </c>
      <c r="N1038">
        <f t="shared" si="16"/>
        <v>23</v>
      </c>
    </row>
    <row r="1039" spans="1:14" x14ac:dyDescent="0.25">
      <c r="A1039" t="s">
        <v>141</v>
      </c>
      <c r="B1039" t="s">
        <v>2036</v>
      </c>
      <c r="C1039">
        <f>VLOOKUP(B1039,raw!A:K,11,0)</f>
        <v>50</v>
      </c>
      <c r="D1039">
        <f>VLOOKUP(B1039,raw!A:K,3,0)+VLOOKUP(B1039,raw!A:K,7,0)</f>
        <v>35</v>
      </c>
      <c r="E1039">
        <f>VLOOKUP(B1039,raw!A:K,4,0)</f>
        <v>0</v>
      </c>
      <c r="F1039">
        <f>VLOOKUP(B1039,raw!A:K,5,0)</f>
        <v>0</v>
      </c>
      <c r="G1039">
        <f>VLOOKUP(B1039,raw!A:K,2,0)+VLOOKUP(B1039,raw!A:K,10,0)</f>
        <v>0</v>
      </c>
      <c r="H1039">
        <f>VLOOKUP(B1039,raw!A:K,6,0)</f>
        <v>0</v>
      </c>
      <c r="I1039">
        <f>VLOOKUP(B1039,raw!A:K,9,0)</f>
        <v>15</v>
      </c>
      <c r="J1039">
        <f>VLOOKUP(B1039,raw!A:K,8,0)</f>
        <v>0</v>
      </c>
      <c r="K1039">
        <f>_xlfn.IFNA(VLOOKUP(B1039,TDK!A:C,2,0),0)</f>
        <v>16</v>
      </c>
      <c r="L1039">
        <f>_xlfn.IFNA(VLOOKUP(B1039,TDK!A:C,3,0),0)</f>
        <v>0</v>
      </c>
      <c r="M1039">
        <f>_xlfn.IFNA(VLOOKUP(B1039,TDK!F:G,2,0),0)</f>
        <v>5</v>
      </c>
      <c r="N1039">
        <f t="shared" si="16"/>
        <v>21</v>
      </c>
    </row>
    <row r="1040" spans="1:14" x14ac:dyDescent="0.25">
      <c r="A1040" t="s">
        <v>141</v>
      </c>
      <c r="B1040" t="s">
        <v>2037</v>
      </c>
      <c r="C1040">
        <f>VLOOKUP(B1040,raw!A:K,11,0)</f>
        <v>61</v>
      </c>
      <c r="D1040">
        <f>VLOOKUP(B1040,raw!A:K,3,0)+VLOOKUP(B1040,raw!A:K,7,0)</f>
        <v>36</v>
      </c>
      <c r="E1040">
        <f>VLOOKUP(B1040,raw!A:K,4,0)</f>
        <v>0</v>
      </c>
      <c r="F1040">
        <f>VLOOKUP(B1040,raw!A:K,5,0)</f>
        <v>0</v>
      </c>
      <c r="G1040">
        <f>VLOOKUP(B1040,raw!A:K,2,0)+VLOOKUP(B1040,raw!A:K,10,0)</f>
        <v>0</v>
      </c>
      <c r="H1040">
        <f>VLOOKUP(B1040,raw!A:K,6,0)</f>
        <v>0</v>
      </c>
      <c r="I1040">
        <f>VLOOKUP(B1040,raw!A:K,9,0)</f>
        <v>25</v>
      </c>
      <c r="J1040">
        <f>VLOOKUP(B1040,raw!A:K,8,0)</f>
        <v>0</v>
      </c>
      <c r="K1040">
        <f>_xlfn.IFNA(VLOOKUP(B1040,TDK!A:C,2,0),0)</f>
        <v>14</v>
      </c>
      <c r="L1040">
        <f>_xlfn.IFNA(VLOOKUP(B1040,TDK!A:C,3,0),0)</f>
        <v>0</v>
      </c>
      <c r="M1040">
        <f>_xlfn.IFNA(VLOOKUP(B1040,TDK!F:G,2,0),0)</f>
        <v>7</v>
      </c>
      <c r="N1040">
        <f t="shared" si="16"/>
        <v>21</v>
      </c>
    </row>
    <row r="1041" spans="1:14" x14ac:dyDescent="0.25">
      <c r="A1041" t="s">
        <v>141</v>
      </c>
      <c r="B1041" t="s">
        <v>2038</v>
      </c>
      <c r="C1041">
        <f>VLOOKUP(B1041,raw!A:K,11,0)</f>
        <v>49</v>
      </c>
      <c r="D1041">
        <f>VLOOKUP(B1041,raw!A:K,3,0)+VLOOKUP(B1041,raw!A:K,7,0)</f>
        <v>39</v>
      </c>
      <c r="E1041">
        <f>VLOOKUP(B1041,raw!A:K,4,0)</f>
        <v>0</v>
      </c>
      <c r="F1041">
        <f>VLOOKUP(B1041,raw!A:K,5,0)</f>
        <v>0</v>
      </c>
      <c r="G1041">
        <f>VLOOKUP(B1041,raw!A:K,2,0)+VLOOKUP(B1041,raw!A:K,10,0)</f>
        <v>0</v>
      </c>
      <c r="H1041">
        <f>VLOOKUP(B1041,raw!A:K,6,0)</f>
        <v>0</v>
      </c>
      <c r="I1041">
        <f>VLOOKUP(B1041,raw!A:K,9,0)</f>
        <v>10</v>
      </c>
      <c r="J1041">
        <f>VLOOKUP(B1041,raw!A:K,8,0)</f>
        <v>0</v>
      </c>
      <c r="K1041">
        <f>_xlfn.IFNA(VLOOKUP(B1041,TDK!A:C,2,0),0)</f>
        <v>13</v>
      </c>
      <c r="L1041">
        <f>_xlfn.IFNA(VLOOKUP(B1041,TDK!A:C,3,0),0)</f>
        <v>0</v>
      </c>
      <c r="M1041">
        <f>_xlfn.IFNA(VLOOKUP(B1041,TDK!F:G,2,0),0)</f>
        <v>5</v>
      </c>
      <c r="N1041">
        <f t="shared" si="16"/>
        <v>18</v>
      </c>
    </row>
    <row r="1042" spans="1:14" x14ac:dyDescent="0.25">
      <c r="A1042" t="s">
        <v>141</v>
      </c>
      <c r="B1042" t="s">
        <v>2039</v>
      </c>
      <c r="C1042">
        <f>VLOOKUP(B1042,raw!A:K,11,0)</f>
        <v>52</v>
      </c>
      <c r="D1042">
        <f>VLOOKUP(B1042,raw!A:K,3,0)+VLOOKUP(B1042,raw!A:K,7,0)</f>
        <v>49</v>
      </c>
      <c r="E1042">
        <f>VLOOKUP(B1042,raw!A:K,4,0)</f>
        <v>0</v>
      </c>
      <c r="F1042">
        <f>VLOOKUP(B1042,raw!A:K,5,0)</f>
        <v>0</v>
      </c>
      <c r="G1042">
        <f>VLOOKUP(B1042,raw!A:K,2,0)+VLOOKUP(B1042,raw!A:K,10,0)</f>
        <v>0</v>
      </c>
      <c r="H1042">
        <f>VLOOKUP(B1042,raw!A:K,6,0)</f>
        <v>0</v>
      </c>
      <c r="I1042">
        <f>VLOOKUP(B1042,raw!A:K,9,0)</f>
        <v>3</v>
      </c>
      <c r="J1042">
        <f>VLOOKUP(B1042,raw!A:K,8,0)</f>
        <v>0</v>
      </c>
      <c r="K1042">
        <f>_xlfn.IFNA(VLOOKUP(B1042,TDK!A:C,2,0),0)</f>
        <v>7</v>
      </c>
      <c r="L1042">
        <f>_xlfn.IFNA(VLOOKUP(B1042,TDK!A:C,3,0),0)</f>
        <v>2</v>
      </c>
      <c r="M1042">
        <f>_xlfn.IFNA(VLOOKUP(B1042,TDK!F:G,2,0),0)</f>
        <v>5</v>
      </c>
      <c r="N1042">
        <f t="shared" si="16"/>
        <v>14</v>
      </c>
    </row>
    <row r="1043" spans="1:14" x14ac:dyDescent="0.25">
      <c r="A1043" t="s">
        <v>141</v>
      </c>
      <c r="B1043" t="s">
        <v>2040</v>
      </c>
      <c r="C1043">
        <f>VLOOKUP(B1043,raw!A:K,11,0)</f>
        <v>91</v>
      </c>
      <c r="D1043">
        <f>VLOOKUP(B1043,raw!A:K,3,0)+VLOOKUP(B1043,raw!A:K,7,0)</f>
        <v>91</v>
      </c>
      <c r="E1043">
        <f>VLOOKUP(B1043,raw!A:K,4,0)</f>
        <v>0</v>
      </c>
      <c r="F1043">
        <f>VLOOKUP(B1043,raw!A:K,5,0)</f>
        <v>0</v>
      </c>
      <c r="G1043">
        <f>VLOOKUP(B1043,raw!A:K,2,0)+VLOOKUP(B1043,raw!A:K,10,0)</f>
        <v>0</v>
      </c>
      <c r="H1043">
        <f>VLOOKUP(B1043,raw!A:K,6,0)</f>
        <v>0</v>
      </c>
      <c r="I1043">
        <f>VLOOKUP(B1043,raw!A:K,9,0)</f>
        <v>0</v>
      </c>
      <c r="J1043">
        <f>VLOOKUP(B1043,raw!A:K,8,0)</f>
        <v>0</v>
      </c>
      <c r="K1043">
        <f>_xlfn.IFNA(VLOOKUP(B1043,TDK!A:C,2,0),0)</f>
        <v>16</v>
      </c>
      <c r="L1043">
        <f>_xlfn.IFNA(VLOOKUP(B1043,TDK!A:C,3,0),0)</f>
        <v>3</v>
      </c>
      <c r="M1043">
        <f>_xlfn.IFNA(VLOOKUP(B1043,TDK!F:G,2,0),0)</f>
        <v>9</v>
      </c>
      <c r="N1043">
        <f t="shared" si="16"/>
        <v>28</v>
      </c>
    </row>
    <row r="1044" spans="1:14" x14ac:dyDescent="0.25">
      <c r="A1044" t="s">
        <v>141</v>
      </c>
      <c r="B1044" t="s">
        <v>2041</v>
      </c>
      <c r="C1044">
        <f>VLOOKUP(B1044,raw!A:K,11,0)</f>
        <v>69</v>
      </c>
      <c r="D1044">
        <f>VLOOKUP(B1044,raw!A:K,3,0)+VLOOKUP(B1044,raw!A:K,7,0)</f>
        <v>69</v>
      </c>
      <c r="E1044">
        <f>VLOOKUP(B1044,raw!A:K,4,0)</f>
        <v>0</v>
      </c>
      <c r="F1044">
        <f>VLOOKUP(B1044,raw!A:K,5,0)</f>
        <v>0</v>
      </c>
      <c r="G1044">
        <f>VLOOKUP(B1044,raw!A:K,2,0)+VLOOKUP(B1044,raw!A:K,10,0)</f>
        <v>0</v>
      </c>
      <c r="H1044">
        <f>VLOOKUP(B1044,raw!A:K,6,0)</f>
        <v>0</v>
      </c>
      <c r="I1044">
        <f>VLOOKUP(B1044,raw!A:K,9,0)</f>
        <v>0</v>
      </c>
      <c r="J1044">
        <f>VLOOKUP(B1044,raw!A:K,8,0)</f>
        <v>0</v>
      </c>
      <c r="K1044">
        <f>_xlfn.IFNA(VLOOKUP(B1044,TDK!A:C,2,0),0)</f>
        <v>17</v>
      </c>
      <c r="L1044">
        <f>_xlfn.IFNA(VLOOKUP(B1044,TDK!A:C,3,0),0)</f>
        <v>2</v>
      </c>
      <c r="M1044">
        <f>_xlfn.IFNA(VLOOKUP(B1044,TDK!F:G,2,0),0)</f>
        <v>8</v>
      </c>
      <c r="N1044">
        <f t="shared" si="16"/>
        <v>27</v>
      </c>
    </row>
    <row r="1045" spans="1:14" x14ac:dyDescent="0.25">
      <c r="A1045" t="s">
        <v>141</v>
      </c>
      <c r="B1045" t="s">
        <v>2042</v>
      </c>
      <c r="C1045">
        <f>VLOOKUP(B1045,raw!A:K,11,0)</f>
        <v>62</v>
      </c>
      <c r="D1045">
        <f>VLOOKUP(B1045,raw!A:K,3,0)+VLOOKUP(B1045,raw!A:K,7,0)</f>
        <v>54</v>
      </c>
      <c r="E1045">
        <f>VLOOKUP(B1045,raw!A:K,4,0)</f>
        <v>0</v>
      </c>
      <c r="F1045">
        <f>VLOOKUP(B1045,raw!A:K,5,0)</f>
        <v>0</v>
      </c>
      <c r="G1045">
        <f>VLOOKUP(B1045,raw!A:K,2,0)+VLOOKUP(B1045,raw!A:K,10,0)</f>
        <v>0</v>
      </c>
      <c r="H1045">
        <f>VLOOKUP(B1045,raw!A:K,6,0)</f>
        <v>0</v>
      </c>
      <c r="I1045">
        <f>VLOOKUP(B1045,raw!A:K,9,0)</f>
        <v>8</v>
      </c>
      <c r="J1045">
        <f>VLOOKUP(B1045,raw!A:K,8,0)</f>
        <v>0</v>
      </c>
      <c r="K1045">
        <f>_xlfn.IFNA(VLOOKUP(B1045,TDK!A:C,2,0),0)</f>
        <v>13</v>
      </c>
      <c r="L1045">
        <f>_xlfn.IFNA(VLOOKUP(B1045,TDK!A:C,3,0),0)</f>
        <v>3</v>
      </c>
      <c r="M1045">
        <f>_xlfn.IFNA(VLOOKUP(B1045,TDK!F:G,2,0),0)</f>
        <v>6</v>
      </c>
      <c r="N1045">
        <f t="shared" si="16"/>
        <v>22</v>
      </c>
    </row>
    <row r="1046" spans="1:14" x14ac:dyDescent="0.25">
      <c r="A1046" t="s">
        <v>142</v>
      </c>
      <c r="B1046" t="s">
        <v>2043</v>
      </c>
      <c r="C1046">
        <f>VLOOKUP(B1046,raw!A:K,11,0)</f>
        <v>66</v>
      </c>
      <c r="D1046">
        <f>VLOOKUP(B1046,raw!A:K,3,0)+VLOOKUP(B1046,raw!A:K,7,0)</f>
        <v>21</v>
      </c>
      <c r="E1046">
        <f>VLOOKUP(B1046,raw!A:K,4,0)</f>
        <v>0</v>
      </c>
      <c r="F1046">
        <f>VLOOKUP(B1046,raw!A:K,5,0)</f>
        <v>0</v>
      </c>
      <c r="G1046">
        <f>VLOOKUP(B1046,raw!A:K,2,0)+VLOOKUP(B1046,raw!A:K,10,0)</f>
        <v>0</v>
      </c>
      <c r="H1046">
        <f>VLOOKUP(B1046,raw!A:K,6,0)</f>
        <v>0</v>
      </c>
      <c r="I1046">
        <f>VLOOKUP(B1046,raw!A:K,9,0)</f>
        <v>45</v>
      </c>
      <c r="J1046">
        <f>VLOOKUP(B1046,raw!A:K,8,0)</f>
        <v>0</v>
      </c>
      <c r="K1046">
        <f>_xlfn.IFNA(VLOOKUP(B1046,TDK!A:C,2,0),0)</f>
        <v>14</v>
      </c>
      <c r="L1046">
        <f>_xlfn.IFNA(VLOOKUP(B1046,TDK!A:C,3,0),0)</f>
        <v>3</v>
      </c>
      <c r="M1046">
        <f>_xlfn.IFNA(VLOOKUP(B1046,TDK!F:G,2,0),0)</f>
        <v>2</v>
      </c>
      <c r="N1046">
        <f t="shared" si="16"/>
        <v>19</v>
      </c>
    </row>
    <row r="1047" spans="1:14" x14ac:dyDescent="0.25">
      <c r="A1047" t="s">
        <v>141</v>
      </c>
      <c r="B1047" t="s">
        <v>2044</v>
      </c>
      <c r="C1047">
        <f>VLOOKUP(B1047,raw!A:K,11,0)</f>
        <v>153</v>
      </c>
      <c r="D1047">
        <f>VLOOKUP(B1047,raw!A:K,3,0)+VLOOKUP(B1047,raw!A:K,7,0)</f>
        <v>24</v>
      </c>
      <c r="E1047">
        <f>VLOOKUP(B1047,raw!A:K,4,0)</f>
        <v>0</v>
      </c>
      <c r="F1047">
        <f>VLOOKUP(B1047,raw!A:K,5,0)</f>
        <v>0</v>
      </c>
      <c r="G1047">
        <f>VLOOKUP(B1047,raw!A:K,2,0)+VLOOKUP(B1047,raw!A:K,10,0)</f>
        <v>2</v>
      </c>
      <c r="H1047">
        <f>VLOOKUP(B1047,raw!A:K,6,0)</f>
        <v>0</v>
      </c>
      <c r="I1047">
        <f>VLOOKUP(B1047,raw!A:K,9,0)</f>
        <v>127</v>
      </c>
      <c r="J1047">
        <f>VLOOKUP(B1047,raw!A:K,8,0)</f>
        <v>0</v>
      </c>
      <c r="K1047">
        <f>_xlfn.IFNA(VLOOKUP(B1047,TDK!A:C,2,0),0)</f>
        <v>22</v>
      </c>
      <c r="L1047">
        <f>_xlfn.IFNA(VLOOKUP(B1047,TDK!A:C,3,0),0)</f>
        <v>6</v>
      </c>
      <c r="M1047">
        <f>_xlfn.IFNA(VLOOKUP(B1047,TDK!F:G,2,0),0)</f>
        <v>13</v>
      </c>
      <c r="N1047">
        <f t="shared" si="16"/>
        <v>41</v>
      </c>
    </row>
    <row r="1048" spans="1:14" x14ac:dyDescent="0.25">
      <c r="A1048" t="s">
        <v>141</v>
      </c>
      <c r="B1048" t="s">
        <v>2045</v>
      </c>
      <c r="C1048">
        <f>VLOOKUP(B1048,raw!A:K,11,0)</f>
        <v>110</v>
      </c>
      <c r="D1048">
        <f>VLOOKUP(B1048,raw!A:K,3,0)+VLOOKUP(B1048,raw!A:K,7,0)</f>
        <v>82</v>
      </c>
      <c r="E1048">
        <f>VLOOKUP(B1048,raw!A:K,4,0)</f>
        <v>0</v>
      </c>
      <c r="F1048">
        <f>VLOOKUP(B1048,raw!A:K,5,0)</f>
        <v>0</v>
      </c>
      <c r="G1048">
        <f>VLOOKUP(B1048,raw!A:K,2,0)+VLOOKUP(B1048,raw!A:K,10,0)</f>
        <v>0</v>
      </c>
      <c r="H1048">
        <f>VLOOKUP(B1048,raw!A:K,6,0)</f>
        <v>0</v>
      </c>
      <c r="I1048">
        <f>VLOOKUP(B1048,raw!A:K,9,0)</f>
        <v>28</v>
      </c>
      <c r="J1048">
        <f>VLOOKUP(B1048,raw!A:K,8,0)</f>
        <v>0</v>
      </c>
      <c r="K1048">
        <f>_xlfn.IFNA(VLOOKUP(B1048,TDK!A:C,2,0),0)</f>
        <v>43</v>
      </c>
      <c r="L1048">
        <f>_xlfn.IFNA(VLOOKUP(B1048,TDK!A:C,3,0),0)</f>
        <v>2</v>
      </c>
      <c r="M1048">
        <f>_xlfn.IFNA(VLOOKUP(B1048,TDK!F:G,2,0),0)</f>
        <v>1</v>
      </c>
      <c r="N1048">
        <f t="shared" si="16"/>
        <v>46</v>
      </c>
    </row>
    <row r="1049" spans="1:14" x14ac:dyDescent="0.25">
      <c r="A1049" t="s">
        <v>142</v>
      </c>
      <c r="B1049" t="s">
        <v>2046</v>
      </c>
      <c r="C1049">
        <f>VLOOKUP(B1049,raw!A:K,11,0)</f>
        <v>75</v>
      </c>
      <c r="D1049">
        <f>VLOOKUP(B1049,raw!A:K,3,0)+VLOOKUP(B1049,raw!A:K,7,0)</f>
        <v>70</v>
      </c>
      <c r="E1049">
        <f>VLOOKUP(B1049,raw!A:K,4,0)</f>
        <v>1</v>
      </c>
      <c r="F1049">
        <f>VLOOKUP(B1049,raw!A:K,5,0)</f>
        <v>0</v>
      </c>
      <c r="G1049">
        <f>VLOOKUP(B1049,raw!A:K,2,0)+VLOOKUP(B1049,raw!A:K,10,0)</f>
        <v>0</v>
      </c>
      <c r="H1049">
        <f>VLOOKUP(B1049,raw!A:K,6,0)</f>
        <v>1</v>
      </c>
      <c r="I1049">
        <f>VLOOKUP(B1049,raw!A:K,9,0)</f>
        <v>3</v>
      </c>
      <c r="J1049">
        <f>VLOOKUP(B1049,raw!A:K,8,0)</f>
        <v>0</v>
      </c>
      <c r="K1049">
        <f>_xlfn.IFNA(VLOOKUP(B1049,TDK!A:C,2,0),0)</f>
        <v>29</v>
      </c>
      <c r="L1049">
        <f>_xlfn.IFNA(VLOOKUP(B1049,TDK!A:C,3,0),0)</f>
        <v>3</v>
      </c>
      <c r="M1049">
        <f>_xlfn.IFNA(VLOOKUP(B1049,TDK!F:G,2,0),0)</f>
        <v>1</v>
      </c>
      <c r="N1049">
        <f t="shared" si="16"/>
        <v>33</v>
      </c>
    </row>
    <row r="1050" spans="1:14" x14ac:dyDescent="0.25">
      <c r="A1050" t="s">
        <v>142</v>
      </c>
      <c r="B1050" t="s">
        <v>2047</v>
      </c>
      <c r="C1050">
        <f>VLOOKUP(B1050,raw!A:K,11,0)</f>
        <v>78</v>
      </c>
      <c r="D1050">
        <f>VLOOKUP(B1050,raw!A:K,3,0)+VLOOKUP(B1050,raw!A:K,7,0)</f>
        <v>72</v>
      </c>
      <c r="E1050">
        <f>VLOOKUP(B1050,raw!A:K,4,0)</f>
        <v>0</v>
      </c>
      <c r="F1050">
        <f>VLOOKUP(B1050,raw!A:K,5,0)</f>
        <v>0</v>
      </c>
      <c r="G1050">
        <f>VLOOKUP(B1050,raw!A:K,2,0)+VLOOKUP(B1050,raw!A:K,10,0)</f>
        <v>0</v>
      </c>
      <c r="H1050">
        <f>VLOOKUP(B1050,raw!A:K,6,0)</f>
        <v>0</v>
      </c>
      <c r="I1050">
        <f>VLOOKUP(B1050,raw!A:K,9,0)</f>
        <v>6</v>
      </c>
      <c r="J1050">
        <f>VLOOKUP(B1050,raw!A:K,8,0)</f>
        <v>0</v>
      </c>
      <c r="K1050">
        <f>_xlfn.IFNA(VLOOKUP(B1050,TDK!A:C,2,0),0)</f>
        <v>25</v>
      </c>
      <c r="L1050">
        <f>_xlfn.IFNA(VLOOKUP(B1050,TDK!A:C,3,0),0)</f>
        <v>1</v>
      </c>
      <c r="M1050">
        <f>_xlfn.IFNA(VLOOKUP(B1050,TDK!F:G,2,0),0)</f>
        <v>1</v>
      </c>
      <c r="N1050">
        <f t="shared" si="16"/>
        <v>27</v>
      </c>
    </row>
    <row r="1051" spans="1:14" x14ac:dyDescent="0.25">
      <c r="A1051" t="s">
        <v>142</v>
      </c>
      <c r="B1051" t="s">
        <v>2048</v>
      </c>
      <c r="C1051">
        <f>VLOOKUP(B1051,raw!A:K,11,0)</f>
        <v>61</v>
      </c>
      <c r="D1051">
        <f>VLOOKUP(B1051,raw!A:K,3,0)+VLOOKUP(B1051,raw!A:K,7,0)</f>
        <v>53</v>
      </c>
      <c r="E1051">
        <f>VLOOKUP(B1051,raw!A:K,4,0)</f>
        <v>0</v>
      </c>
      <c r="F1051">
        <f>VLOOKUP(B1051,raw!A:K,5,0)</f>
        <v>0</v>
      </c>
      <c r="G1051">
        <f>VLOOKUP(B1051,raw!A:K,2,0)+VLOOKUP(B1051,raw!A:K,10,0)</f>
        <v>1</v>
      </c>
      <c r="H1051">
        <f>VLOOKUP(B1051,raw!A:K,6,0)</f>
        <v>0</v>
      </c>
      <c r="I1051">
        <f>VLOOKUP(B1051,raw!A:K,9,0)</f>
        <v>7</v>
      </c>
      <c r="J1051">
        <f>VLOOKUP(B1051,raw!A:K,8,0)</f>
        <v>0</v>
      </c>
      <c r="K1051">
        <f>_xlfn.IFNA(VLOOKUP(B1051,TDK!A:C,2,0),0)</f>
        <v>8</v>
      </c>
      <c r="L1051">
        <f>_xlfn.IFNA(VLOOKUP(B1051,TDK!A:C,3,0),0)</f>
        <v>7</v>
      </c>
      <c r="M1051">
        <f>_xlfn.IFNA(VLOOKUP(B1051,TDK!F:G,2,0),0)</f>
        <v>0</v>
      </c>
      <c r="N1051">
        <f t="shared" si="16"/>
        <v>15</v>
      </c>
    </row>
    <row r="1052" spans="1:14" x14ac:dyDescent="0.25">
      <c r="A1052" t="s">
        <v>142</v>
      </c>
      <c r="B1052" t="s">
        <v>2049</v>
      </c>
      <c r="C1052">
        <f>VLOOKUP(B1052,raw!A:K,11,0)</f>
        <v>132</v>
      </c>
      <c r="D1052">
        <f>VLOOKUP(B1052,raw!A:K,3,0)+VLOOKUP(B1052,raw!A:K,7,0)</f>
        <v>130</v>
      </c>
      <c r="E1052">
        <f>VLOOKUP(B1052,raw!A:K,4,0)</f>
        <v>0</v>
      </c>
      <c r="F1052">
        <f>VLOOKUP(B1052,raw!A:K,5,0)</f>
        <v>0</v>
      </c>
      <c r="G1052">
        <f>VLOOKUP(B1052,raw!A:K,2,0)+VLOOKUP(B1052,raw!A:K,10,0)</f>
        <v>0</v>
      </c>
      <c r="H1052">
        <f>VLOOKUP(B1052,raw!A:K,6,0)</f>
        <v>0</v>
      </c>
      <c r="I1052">
        <f>VLOOKUP(B1052,raw!A:K,9,0)</f>
        <v>2</v>
      </c>
      <c r="J1052">
        <f>VLOOKUP(B1052,raw!A:K,8,0)</f>
        <v>0</v>
      </c>
      <c r="K1052">
        <f>_xlfn.IFNA(VLOOKUP(B1052,TDK!A:C,2,0),0)</f>
        <v>14</v>
      </c>
      <c r="L1052">
        <f>_xlfn.IFNA(VLOOKUP(B1052,TDK!A:C,3,0),0)</f>
        <v>20</v>
      </c>
      <c r="M1052">
        <f>_xlfn.IFNA(VLOOKUP(B1052,TDK!F:G,2,0),0)</f>
        <v>11</v>
      </c>
      <c r="N1052">
        <f t="shared" si="16"/>
        <v>45</v>
      </c>
    </row>
    <row r="1053" spans="1:14" x14ac:dyDescent="0.25">
      <c r="A1053" t="s">
        <v>142</v>
      </c>
      <c r="B1053" t="s">
        <v>2050</v>
      </c>
      <c r="C1053">
        <f>VLOOKUP(B1053,raw!A:K,11,0)</f>
        <v>65</v>
      </c>
      <c r="D1053">
        <f>VLOOKUP(B1053,raw!A:K,3,0)+VLOOKUP(B1053,raw!A:K,7,0)</f>
        <v>40</v>
      </c>
      <c r="E1053">
        <f>VLOOKUP(B1053,raw!A:K,4,0)</f>
        <v>0</v>
      </c>
      <c r="F1053">
        <f>VLOOKUP(B1053,raw!A:K,5,0)</f>
        <v>0</v>
      </c>
      <c r="G1053">
        <f>VLOOKUP(B1053,raw!A:K,2,0)+VLOOKUP(B1053,raw!A:K,10,0)</f>
        <v>0</v>
      </c>
      <c r="H1053">
        <f>VLOOKUP(B1053,raw!A:K,6,0)</f>
        <v>0</v>
      </c>
      <c r="I1053">
        <f>VLOOKUP(B1053,raw!A:K,9,0)</f>
        <v>25</v>
      </c>
      <c r="J1053">
        <f>VLOOKUP(B1053,raw!A:K,8,0)</f>
        <v>0</v>
      </c>
      <c r="K1053">
        <f>_xlfn.IFNA(VLOOKUP(B1053,TDK!A:C,2,0),0)</f>
        <v>11</v>
      </c>
      <c r="L1053">
        <f>_xlfn.IFNA(VLOOKUP(B1053,TDK!A:C,3,0),0)</f>
        <v>1</v>
      </c>
      <c r="M1053">
        <f>_xlfn.IFNA(VLOOKUP(B1053,TDK!F:G,2,0),0)</f>
        <v>0</v>
      </c>
      <c r="N1053">
        <f t="shared" si="16"/>
        <v>12</v>
      </c>
    </row>
    <row r="1054" spans="1:14" x14ac:dyDescent="0.25">
      <c r="A1054" t="s">
        <v>142</v>
      </c>
      <c r="B1054" t="s">
        <v>2051</v>
      </c>
      <c r="C1054">
        <f>VLOOKUP(B1054,raw!A:K,11,0)</f>
        <v>90</v>
      </c>
      <c r="D1054">
        <f>VLOOKUP(B1054,raw!A:K,3,0)+VLOOKUP(B1054,raw!A:K,7,0)</f>
        <v>89</v>
      </c>
      <c r="E1054">
        <f>VLOOKUP(B1054,raw!A:K,4,0)</f>
        <v>0</v>
      </c>
      <c r="F1054">
        <f>VLOOKUP(B1054,raw!A:K,5,0)</f>
        <v>0</v>
      </c>
      <c r="G1054">
        <f>VLOOKUP(B1054,raw!A:K,2,0)+VLOOKUP(B1054,raw!A:K,10,0)</f>
        <v>0</v>
      </c>
      <c r="H1054">
        <f>VLOOKUP(B1054,raw!A:K,6,0)</f>
        <v>0</v>
      </c>
      <c r="I1054">
        <f>VLOOKUP(B1054,raw!A:K,9,0)</f>
        <v>1</v>
      </c>
      <c r="J1054">
        <f>VLOOKUP(B1054,raw!A:K,8,0)</f>
        <v>0</v>
      </c>
      <c r="K1054">
        <f>_xlfn.IFNA(VLOOKUP(B1054,TDK!A:C,2,0),0)</f>
        <v>8</v>
      </c>
      <c r="L1054">
        <f>_xlfn.IFNA(VLOOKUP(B1054,TDK!A:C,3,0),0)</f>
        <v>7</v>
      </c>
      <c r="M1054">
        <f>_xlfn.IFNA(VLOOKUP(B1054,TDK!F:G,2,0),0)</f>
        <v>7</v>
      </c>
      <c r="N1054">
        <f t="shared" si="16"/>
        <v>22</v>
      </c>
    </row>
    <row r="1055" spans="1:14" x14ac:dyDescent="0.25">
      <c r="A1055" t="s">
        <v>142</v>
      </c>
      <c r="B1055" t="s">
        <v>2052</v>
      </c>
      <c r="C1055">
        <f>VLOOKUP(B1055,raw!A:K,11,0)</f>
        <v>72</v>
      </c>
      <c r="D1055">
        <f>VLOOKUP(B1055,raw!A:K,3,0)+VLOOKUP(B1055,raw!A:K,7,0)</f>
        <v>59</v>
      </c>
      <c r="E1055">
        <f>VLOOKUP(B1055,raw!A:K,4,0)</f>
        <v>0</v>
      </c>
      <c r="F1055">
        <f>VLOOKUP(B1055,raw!A:K,5,0)</f>
        <v>0</v>
      </c>
      <c r="G1055">
        <f>VLOOKUP(B1055,raw!A:K,2,0)+VLOOKUP(B1055,raw!A:K,10,0)</f>
        <v>2</v>
      </c>
      <c r="H1055">
        <f>VLOOKUP(B1055,raw!A:K,6,0)</f>
        <v>0</v>
      </c>
      <c r="I1055">
        <f>VLOOKUP(B1055,raw!A:K,9,0)</f>
        <v>11</v>
      </c>
      <c r="J1055">
        <f>VLOOKUP(B1055,raw!A:K,8,0)</f>
        <v>0</v>
      </c>
      <c r="K1055">
        <f>_xlfn.IFNA(VLOOKUP(B1055,TDK!A:C,2,0),0)</f>
        <v>7</v>
      </c>
      <c r="L1055">
        <f>_xlfn.IFNA(VLOOKUP(B1055,TDK!A:C,3,0),0)</f>
        <v>4</v>
      </c>
      <c r="M1055">
        <f>_xlfn.IFNA(VLOOKUP(B1055,TDK!F:G,2,0),0)</f>
        <v>4</v>
      </c>
      <c r="N1055">
        <f t="shared" si="16"/>
        <v>15</v>
      </c>
    </row>
    <row r="1056" spans="1:14" x14ac:dyDescent="0.25">
      <c r="A1056" t="s">
        <v>142</v>
      </c>
      <c r="B1056" t="s">
        <v>2053</v>
      </c>
      <c r="C1056">
        <f>VLOOKUP(B1056,raw!A:K,11,0)</f>
        <v>60</v>
      </c>
      <c r="D1056">
        <f>VLOOKUP(B1056,raw!A:K,3,0)+VLOOKUP(B1056,raw!A:K,7,0)</f>
        <v>41</v>
      </c>
      <c r="E1056">
        <f>VLOOKUP(B1056,raw!A:K,4,0)</f>
        <v>0</v>
      </c>
      <c r="F1056">
        <f>VLOOKUP(B1056,raw!A:K,5,0)</f>
        <v>0</v>
      </c>
      <c r="G1056">
        <f>VLOOKUP(B1056,raw!A:K,2,0)+VLOOKUP(B1056,raw!A:K,10,0)</f>
        <v>0</v>
      </c>
      <c r="H1056">
        <f>VLOOKUP(B1056,raw!A:K,6,0)</f>
        <v>0</v>
      </c>
      <c r="I1056">
        <f>VLOOKUP(B1056,raw!A:K,9,0)</f>
        <v>19</v>
      </c>
      <c r="J1056">
        <f>VLOOKUP(B1056,raw!A:K,8,0)</f>
        <v>0</v>
      </c>
      <c r="K1056">
        <f>_xlfn.IFNA(VLOOKUP(B1056,TDK!A:C,2,0),0)</f>
        <v>9</v>
      </c>
      <c r="L1056">
        <f>_xlfn.IFNA(VLOOKUP(B1056,TDK!A:C,3,0),0)</f>
        <v>2</v>
      </c>
      <c r="M1056">
        <f>_xlfn.IFNA(VLOOKUP(B1056,TDK!F:G,2,0),0)</f>
        <v>1</v>
      </c>
      <c r="N1056">
        <f t="shared" si="16"/>
        <v>12</v>
      </c>
    </row>
    <row r="1057" spans="1:14" x14ac:dyDescent="0.25">
      <c r="A1057" t="s">
        <v>142</v>
      </c>
      <c r="B1057" t="s">
        <v>2054</v>
      </c>
      <c r="C1057">
        <f>VLOOKUP(B1057,raw!A:K,11,0)</f>
        <v>64</v>
      </c>
      <c r="D1057">
        <f>VLOOKUP(B1057,raw!A:K,3,0)+VLOOKUP(B1057,raw!A:K,7,0)</f>
        <v>55</v>
      </c>
      <c r="E1057">
        <f>VLOOKUP(B1057,raw!A:K,4,0)</f>
        <v>0</v>
      </c>
      <c r="F1057">
        <f>VLOOKUP(B1057,raw!A:K,5,0)</f>
        <v>0</v>
      </c>
      <c r="G1057">
        <f>VLOOKUP(B1057,raw!A:K,2,0)+VLOOKUP(B1057,raw!A:K,10,0)</f>
        <v>2</v>
      </c>
      <c r="H1057">
        <f>VLOOKUP(B1057,raw!A:K,6,0)</f>
        <v>0</v>
      </c>
      <c r="I1057">
        <f>VLOOKUP(B1057,raw!A:K,9,0)</f>
        <v>7</v>
      </c>
      <c r="J1057">
        <f>VLOOKUP(B1057,raw!A:K,8,0)</f>
        <v>0</v>
      </c>
      <c r="K1057">
        <f>_xlfn.IFNA(VLOOKUP(B1057,TDK!A:C,2,0),0)</f>
        <v>10</v>
      </c>
      <c r="L1057">
        <f>_xlfn.IFNA(VLOOKUP(B1057,TDK!A:C,3,0),0)</f>
        <v>2</v>
      </c>
      <c r="M1057">
        <f>_xlfn.IFNA(VLOOKUP(B1057,TDK!F:G,2,0),0)</f>
        <v>6</v>
      </c>
      <c r="N1057">
        <f t="shared" si="16"/>
        <v>18</v>
      </c>
    </row>
    <row r="1058" spans="1:14" x14ac:dyDescent="0.25">
      <c r="A1058" t="s">
        <v>142</v>
      </c>
      <c r="B1058" t="s">
        <v>2055</v>
      </c>
      <c r="C1058">
        <f>VLOOKUP(B1058,raw!A:K,11,0)</f>
        <v>67</v>
      </c>
      <c r="D1058">
        <f>VLOOKUP(B1058,raw!A:K,3,0)+VLOOKUP(B1058,raw!A:K,7,0)</f>
        <v>46</v>
      </c>
      <c r="E1058">
        <f>VLOOKUP(B1058,raw!A:K,4,0)</f>
        <v>0</v>
      </c>
      <c r="F1058">
        <f>VLOOKUP(B1058,raw!A:K,5,0)</f>
        <v>0</v>
      </c>
      <c r="G1058">
        <f>VLOOKUP(B1058,raw!A:K,2,0)+VLOOKUP(B1058,raw!A:K,10,0)</f>
        <v>0</v>
      </c>
      <c r="H1058">
        <f>VLOOKUP(B1058,raw!A:K,6,0)</f>
        <v>1</v>
      </c>
      <c r="I1058">
        <f>VLOOKUP(B1058,raw!A:K,9,0)</f>
        <v>20</v>
      </c>
      <c r="J1058">
        <f>VLOOKUP(B1058,raw!A:K,8,0)</f>
        <v>0</v>
      </c>
      <c r="K1058">
        <f>_xlfn.IFNA(VLOOKUP(B1058,TDK!A:C,2,0),0)</f>
        <v>7</v>
      </c>
      <c r="L1058">
        <f>_xlfn.IFNA(VLOOKUP(B1058,TDK!A:C,3,0),0)</f>
        <v>4</v>
      </c>
      <c r="M1058">
        <f>_xlfn.IFNA(VLOOKUP(B1058,TDK!F:G,2,0),0)</f>
        <v>5</v>
      </c>
      <c r="N1058">
        <f t="shared" si="16"/>
        <v>16</v>
      </c>
    </row>
  </sheetData>
  <autoFilter ref="A1:N1058" xr:uid="{C1F85D3E-1715-486E-8317-E7456678D32A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AE67-B307-46FD-AE88-39C12AB67CD6}">
  <dimension ref="A1:L1062"/>
  <sheetViews>
    <sheetView tabSelected="1" workbookViewId="0">
      <selection activeCell="G18" sqref="G18"/>
    </sheetView>
  </sheetViews>
  <sheetFormatPr defaultRowHeight="15" x14ac:dyDescent="0.25"/>
  <cols>
    <col min="1" max="1" width="17.28515625" bestFit="1" customWidth="1"/>
    <col min="2" max="2" width="27.28515625" bestFit="1" customWidth="1"/>
    <col min="3" max="3" width="20.85546875" bestFit="1" customWidth="1"/>
    <col min="4" max="4" width="6.7109375" bestFit="1" customWidth="1"/>
    <col min="5" max="5" width="6" bestFit="1" customWidth="1"/>
    <col min="6" max="6" width="19.42578125" bestFit="1" customWidth="1"/>
    <col min="7" max="7" width="25" bestFit="1" customWidth="1"/>
    <col min="8" max="8" width="24.28515625" bestFit="1" customWidth="1"/>
    <col min="9" max="9" width="20.5703125" bestFit="1" customWidth="1"/>
    <col min="10" max="10" width="19.42578125" bestFit="1" customWidth="1"/>
    <col min="11" max="11" width="12" bestFit="1" customWidth="1"/>
  </cols>
  <sheetData>
    <row r="1" spans="1:12" x14ac:dyDescent="0.25">
      <c r="A1" t="s">
        <v>990</v>
      </c>
      <c r="B1" t="s">
        <v>991</v>
      </c>
      <c r="C1" t="s">
        <v>992</v>
      </c>
      <c r="D1" t="s">
        <v>223</v>
      </c>
      <c r="E1" t="s">
        <v>224</v>
      </c>
      <c r="F1" t="s">
        <v>993</v>
      </c>
      <c r="G1" t="s">
        <v>994</v>
      </c>
      <c r="H1" t="s">
        <v>995</v>
      </c>
      <c r="I1" t="s">
        <v>996</v>
      </c>
      <c r="J1" t="s">
        <v>997</v>
      </c>
      <c r="K1" t="s">
        <v>998</v>
      </c>
      <c r="L1" t="s">
        <v>2069</v>
      </c>
    </row>
    <row r="2" spans="1:12" x14ac:dyDescent="0.25">
      <c r="A2" s="7" t="s">
        <v>2056</v>
      </c>
      <c r="B2" s="7">
        <v>0</v>
      </c>
      <c r="C2" s="7">
        <v>0</v>
      </c>
      <c r="D2" s="7">
        <v>4</v>
      </c>
      <c r="E2" s="7">
        <v>5</v>
      </c>
      <c r="F2" s="7">
        <v>0</v>
      </c>
      <c r="G2" s="7">
        <v>0</v>
      </c>
      <c r="H2" s="7">
        <v>12</v>
      </c>
      <c r="I2" s="7">
        <v>0</v>
      </c>
      <c r="J2" s="7">
        <v>0</v>
      </c>
      <c r="K2" s="7">
        <v>21</v>
      </c>
      <c r="L2" t="b">
        <f>K2=SUM(B2:J2)</f>
        <v>1</v>
      </c>
    </row>
    <row r="3" spans="1:12" x14ac:dyDescent="0.25">
      <c r="A3" s="7" t="s">
        <v>999</v>
      </c>
      <c r="B3" s="7">
        <v>0</v>
      </c>
      <c r="C3" s="7">
        <v>102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102</v>
      </c>
      <c r="L3" t="b">
        <f t="shared" ref="L3:L66" si="0">K3=SUM(B3:J3)</f>
        <v>1</v>
      </c>
    </row>
    <row r="4" spans="1:12" x14ac:dyDescent="0.25">
      <c r="A4" s="7" t="s">
        <v>1000</v>
      </c>
      <c r="B4" s="7">
        <v>0</v>
      </c>
      <c r="C4" s="7">
        <v>71</v>
      </c>
      <c r="D4" s="7">
        <v>0</v>
      </c>
      <c r="E4" s="7">
        <v>0</v>
      </c>
      <c r="F4" s="7">
        <v>0</v>
      </c>
      <c r="G4" s="7">
        <v>2</v>
      </c>
      <c r="H4" s="7">
        <v>0</v>
      </c>
      <c r="I4" s="7">
        <v>0</v>
      </c>
      <c r="J4" s="7">
        <v>0</v>
      </c>
      <c r="K4" s="7">
        <v>73</v>
      </c>
      <c r="L4" t="b">
        <f t="shared" si="0"/>
        <v>1</v>
      </c>
    </row>
    <row r="5" spans="1:12" x14ac:dyDescent="0.25">
      <c r="A5" s="7" t="s">
        <v>1001</v>
      </c>
      <c r="B5" s="7">
        <v>0</v>
      </c>
      <c r="C5" s="7">
        <v>43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43</v>
      </c>
      <c r="L5" t="b">
        <f t="shared" si="0"/>
        <v>1</v>
      </c>
    </row>
    <row r="6" spans="1:12" x14ac:dyDescent="0.25">
      <c r="A6" s="7" t="s">
        <v>1002</v>
      </c>
      <c r="B6" s="7">
        <v>0</v>
      </c>
      <c r="C6" s="7">
        <v>66</v>
      </c>
      <c r="D6" s="7">
        <v>0</v>
      </c>
      <c r="E6" s="7">
        <v>0</v>
      </c>
      <c r="F6" s="7">
        <v>0</v>
      </c>
      <c r="G6" s="7">
        <v>5</v>
      </c>
      <c r="H6" s="7">
        <v>0</v>
      </c>
      <c r="I6" s="7">
        <v>0</v>
      </c>
      <c r="J6" s="7">
        <v>0</v>
      </c>
      <c r="K6" s="7">
        <v>71</v>
      </c>
      <c r="L6" t="b">
        <f t="shared" si="0"/>
        <v>1</v>
      </c>
    </row>
    <row r="7" spans="1:12" x14ac:dyDescent="0.25">
      <c r="A7" s="7" t="s">
        <v>1003</v>
      </c>
      <c r="B7" s="7">
        <v>0</v>
      </c>
      <c r="C7" s="7">
        <v>87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88</v>
      </c>
      <c r="L7" t="b">
        <f t="shared" si="0"/>
        <v>1</v>
      </c>
    </row>
    <row r="8" spans="1:12" x14ac:dyDescent="0.25">
      <c r="A8" s="7" t="s">
        <v>1004</v>
      </c>
      <c r="B8" s="7">
        <v>0</v>
      </c>
      <c r="C8" s="7">
        <v>144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144</v>
      </c>
      <c r="L8" t="b">
        <f t="shared" si="0"/>
        <v>1</v>
      </c>
    </row>
    <row r="9" spans="1:12" x14ac:dyDescent="0.25">
      <c r="A9" s="7" t="s">
        <v>1005</v>
      </c>
      <c r="B9" s="7">
        <v>0</v>
      </c>
      <c r="C9" s="7">
        <v>172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172</v>
      </c>
      <c r="L9" t="b">
        <f t="shared" si="0"/>
        <v>1</v>
      </c>
    </row>
    <row r="10" spans="1:12" x14ac:dyDescent="0.25">
      <c r="A10" s="7" t="s">
        <v>1006</v>
      </c>
      <c r="B10" s="7">
        <v>0</v>
      </c>
      <c r="C10" s="7">
        <v>153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0</v>
      </c>
      <c r="J10" s="7">
        <v>0</v>
      </c>
      <c r="K10" s="7">
        <v>154</v>
      </c>
      <c r="L10" t="b">
        <f t="shared" si="0"/>
        <v>1</v>
      </c>
    </row>
    <row r="11" spans="1:12" x14ac:dyDescent="0.25">
      <c r="A11" s="7" t="s">
        <v>1007</v>
      </c>
      <c r="B11" s="7">
        <v>0</v>
      </c>
      <c r="C11" s="7">
        <v>92</v>
      </c>
      <c r="D11" s="7">
        <v>0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0</v>
      </c>
      <c r="K11" s="7">
        <v>93</v>
      </c>
      <c r="L11" t="b">
        <f t="shared" si="0"/>
        <v>1</v>
      </c>
    </row>
    <row r="12" spans="1:12" x14ac:dyDescent="0.25">
      <c r="A12" s="7" t="s">
        <v>1008</v>
      </c>
      <c r="B12" s="7">
        <v>0</v>
      </c>
      <c r="C12" s="7">
        <v>201</v>
      </c>
      <c r="D12" s="7">
        <v>0</v>
      </c>
      <c r="E12" s="7">
        <v>0</v>
      </c>
      <c r="F12" s="7">
        <v>0</v>
      </c>
      <c r="G12" s="7">
        <v>4</v>
      </c>
      <c r="H12" s="7">
        <v>0</v>
      </c>
      <c r="I12" s="7">
        <v>0</v>
      </c>
      <c r="J12" s="7">
        <v>0</v>
      </c>
      <c r="K12" s="7">
        <v>205</v>
      </c>
      <c r="L12" t="b">
        <f t="shared" si="0"/>
        <v>1</v>
      </c>
    </row>
    <row r="13" spans="1:12" x14ac:dyDescent="0.25">
      <c r="A13" s="7" t="s">
        <v>1009</v>
      </c>
      <c r="B13" s="7">
        <v>0</v>
      </c>
      <c r="C13" s="7">
        <v>189</v>
      </c>
      <c r="D13" s="7">
        <v>0</v>
      </c>
      <c r="E13" s="7">
        <v>0</v>
      </c>
      <c r="F13" s="7">
        <v>0</v>
      </c>
      <c r="G13" s="7">
        <v>2</v>
      </c>
      <c r="H13" s="7">
        <v>0</v>
      </c>
      <c r="I13" s="7">
        <v>0</v>
      </c>
      <c r="J13" s="7">
        <v>0</v>
      </c>
      <c r="K13" s="7">
        <v>191</v>
      </c>
      <c r="L13" t="b">
        <f t="shared" si="0"/>
        <v>1</v>
      </c>
    </row>
    <row r="14" spans="1:12" x14ac:dyDescent="0.25">
      <c r="A14" s="7" t="s">
        <v>1010</v>
      </c>
      <c r="B14" s="7">
        <v>0</v>
      </c>
      <c r="C14" s="7">
        <v>130</v>
      </c>
      <c r="D14" s="7">
        <v>0</v>
      </c>
      <c r="E14" s="7">
        <v>0</v>
      </c>
      <c r="F14" s="7">
        <v>0</v>
      </c>
      <c r="G14" s="7">
        <v>14</v>
      </c>
      <c r="H14" s="7">
        <v>0</v>
      </c>
      <c r="I14" s="7">
        <v>0</v>
      </c>
      <c r="J14" s="7">
        <v>0</v>
      </c>
      <c r="K14" s="7">
        <v>144</v>
      </c>
      <c r="L14" t="b">
        <f t="shared" si="0"/>
        <v>1</v>
      </c>
    </row>
    <row r="15" spans="1:12" x14ac:dyDescent="0.25">
      <c r="A15" s="7" t="s">
        <v>1011</v>
      </c>
      <c r="B15" s="7">
        <v>0</v>
      </c>
      <c r="C15" s="7">
        <v>65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65</v>
      </c>
      <c r="L15" t="b">
        <f t="shared" si="0"/>
        <v>1</v>
      </c>
    </row>
    <row r="16" spans="1:12" x14ac:dyDescent="0.25">
      <c r="A16" s="7" t="s">
        <v>1012</v>
      </c>
      <c r="B16" s="7">
        <v>0</v>
      </c>
      <c r="C16" s="7">
        <v>141</v>
      </c>
      <c r="D16" s="7">
        <v>0</v>
      </c>
      <c r="E16" s="7">
        <v>0</v>
      </c>
      <c r="F16" s="7">
        <v>0</v>
      </c>
      <c r="G16" s="7">
        <v>5</v>
      </c>
      <c r="H16" s="7">
        <v>0</v>
      </c>
      <c r="I16" s="7">
        <v>2</v>
      </c>
      <c r="J16" s="7">
        <v>4</v>
      </c>
      <c r="K16" s="7">
        <v>152</v>
      </c>
      <c r="L16" t="b">
        <f t="shared" si="0"/>
        <v>1</v>
      </c>
    </row>
    <row r="17" spans="1:12" x14ac:dyDescent="0.25">
      <c r="A17" s="7" t="s">
        <v>1013</v>
      </c>
      <c r="B17" s="7">
        <v>0</v>
      </c>
      <c r="C17" s="7">
        <v>106</v>
      </c>
      <c r="D17" s="7">
        <v>0</v>
      </c>
      <c r="E17" s="7">
        <v>0</v>
      </c>
      <c r="F17" s="7">
        <v>0</v>
      </c>
      <c r="G17" s="7">
        <v>9</v>
      </c>
      <c r="H17" s="7">
        <v>0</v>
      </c>
      <c r="I17" s="7">
        <v>0</v>
      </c>
      <c r="J17" s="7">
        <v>1</v>
      </c>
      <c r="K17" s="7">
        <v>116</v>
      </c>
      <c r="L17" t="b">
        <f t="shared" si="0"/>
        <v>1</v>
      </c>
    </row>
    <row r="18" spans="1:12" x14ac:dyDescent="0.25">
      <c r="A18" s="7" t="s">
        <v>1014</v>
      </c>
      <c r="B18" s="7">
        <v>0</v>
      </c>
      <c r="C18" s="7">
        <v>106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  <c r="I18" s="7">
        <v>0</v>
      </c>
      <c r="J18" s="7">
        <v>0</v>
      </c>
      <c r="K18" s="7">
        <v>107</v>
      </c>
      <c r="L18" t="b">
        <f t="shared" si="0"/>
        <v>1</v>
      </c>
    </row>
    <row r="19" spans="1:12" x14ac:dyDescent="0.25">
      <c r="A19" s="7" t="s">
        <v>1015</v>
      </c>
      <c r="B19" s="7">
        <v>0</v>
      </c>
      <c r="C19" s="7">
        <v>21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21</v>
      </c>
      <c r="L19" t="b">
        <f t="shared" si="0"/>
        <v>1</v>
      </c>
    </row>
    <row r="20" spans="1:12" x14ac:dyDescent="0.25">
      <c r="A20" s="7" t="s">
        <v>1016</v>
      </c>
      <c r="B20" s="7">
        <v>0</v>
      </c>
      <c r="C20" s="7">
        <v>55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0</v>
      </c>
      <c r="J20" s="7">
        <v>0</v>
      </c>
      <c r="K20" s="7">
        <v>56</v>
      </c>
      <c r="L20" t="b">
        <f t="shared" si="0"/>
        <v>1</v>
      </c>
    </row>
    <row r="21" spans="1:12" x14ac:dyDescent="0.25">
      <c r="A21" s="7" t="s">
        <v>1017</v>
      </c>
      <c r="B21" s="7">
        <v>0</v>
      </c>
      <c r="C21" s="7">
        <v>51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51</v>
      </c>
      <c r="L21" t="b">
        <f t="shared" si="0"/>
        <v>1</v>
      </c>
    </row>
    <row r="22" spans="1:12" x14ac:dyDescent="0.25">
      <c r="A22" s="7" t="s">
        <v>1018</v>
      </c>
      <c r="B22" s="7">
        <v>0</v>
      </c>
      <c r="C22" s="7">
        <v>17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17</v>
      </c>
      <c r="L22" t="b">
        <f t="shared" si="0"/>
        <v>1</v>
      </c>
    </row>
    <row r="23" spans="1:12" x14ac:dyDescent="0.25">
      <c r="A23" s="7" t="s">
        <v>1019</v>
      </c>
      <c r="B23" s="7">
        <v>0</v>
      </c>
      <c r="C23" s="7">
        <v>35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35</v>
      </c>
      <c r="L23" t="b">
        <f t="shared" si="0"/>
        <v>1</v>
      </c>
    </row>
    <row r="24" spans="1:12" x14ac:dyDescent="0.25">
      <c r="A24" s="7" t="s">
        <v>1020</v>
      </c>
      <c r="B24" s="7">
        <v>0</v>
      </c>
      <c r="C24" s="7">
        <v>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22</v>
      </c>
      <c r="L24" t="b">
        <f t="shared" si="0"/>
        <v>1</v>
      </c>
    </row>
    <row r="25" spans="1:12" x14ac:dyDescent="0.25">
      <c r="A25" s="7" t="s">
        <v>1021</v>
      </c>
      <c r="B25" s="7">
        <v>0</v>
      </c>
      <c r="C25" s="7">
        <v>54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54</v>
      </c>
      <c r="L25" t="b">
        <f t="shared" si="0"/>
        <v>1</v>
      </c>
    </row>
    <row r="26" spans="1:12" x14ac:dyDescent="0.25">
      <c r="A26" s="7" t="s">
        <v>1022</v>
      </c>
      <c r="B26" s="7">
        <v>0</v>
      </c>
      <c r="C26" s="7">
        <v>43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43</v>
      </c>
      <c r="L26" t="b">
        <f t="shared" si="0"/>
        <v>1</v>
      </c>
    </row>
    <row r="27" spans="1:12" x14ac:dyDescent="0.25">
      <c r="A27" s="7" t="s">
        <v>1023</v>
      </c>
      <c r="B27" s="7">
        <v>0</v>
      </c>
      <c r="C27" s="7">
        <v>83</v>
      </c>
      <c r="D27" s="7">
        <v>0</v>
      </c>
      <c r="E27" s="7">
        <v>0</v>
      </c>
      <c r="F27" s="7">
        <v>0</v>
      </c>
      <c r="G27" s="7">
        <v>4</v>
      </c>
      <c r="H27" s="7">
        <v>0</v>
      </c>
      <c r="I27" s="7">
        <v>0</v>
      </c>
      <c r="J27" s="7">
        <v>0</v>
      </c>
      <c r="K27" s="7">
        <v>87</v>
      </c>
      <c r="L27" t="b">
        <f t="shared" si="0"/>
        <v>1</v>
      </c>
    </row>
    <row r="28" spans="1:12" x14ac:dyDescent="0.25">
      <c r="A28" s="7" t="s">
        <v>1024</v>
      </c>
      <c r="B28" s="7">
        <v>0</v>
      </c>
      <c r="C28" s="7">
        <v>70</v>
      </c>
      <c r="D28" s="7">
        <v>0</v>
      </c>
      <c r="E28" s="7">
        <v>0</v>
      </c>
      <c r="F28" s="7">
        <v>0</v>
      </c>
      <c r="G28" s="7">
        <v>4</v>
      </c>
      <c r="H28" s="7">
        <v>0</v>
      </c>
      <c r="I28" s="7">
        <v>1</v>
      </c>
      <c r="J28" s="7">
        <v>0</v>
      </c>
      <c r="K28" s="7">
        <v>75</v>
      </c>
      <c r="L28" t="b">
        <f t="shared" si="0"/>
        <v>1</v>
      </c>
    </row>
    <row r="29" spans="1:12" x14ac:dyDescent="0.25">
      <c r="A29" s="7" t="s">
        <v>1025</v>
      </c>
      <c r="B29" s="7">
        <v>0</v>
      </c>
      <c r="C29" s="7">
        <v>33</v>
      </c>
      <c r="D29" s="7">
        <v>0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34</v>
      </c>
      <c r="L29" t="b">
        <f t="shared" si="0"/>
        <v>1</v>
      </c>
    </row>
    <row r="30" spans="1:12" x14ac:dyDescent="0.25">
      <c r="A30" s="7" t="s">
        <v>1026</v>
      </c>
      <c r="B30" s="7">
        <v>0</v>
      </c>
      <c r="C30" s="7">
        <v>47</v>
      </c>
      <c r="D30" s="7">
        <v>0</v>
      </c>
      <c r="E30" s="7">
        <v>0</v>
      </c>
      <c r="F30" s="7">
        <v>0</v>
      </c>
      <c r="G30" s="7">
        <v>1</v>
      </c>
      <c r="H30" s="7">
        <v>0</v>
      </c>
      <c r="I30" s="7">
        <v>0</v>
      </c>
      <c r="J30" s="7">
        <v>0</v>
      </c>
      <c r="K30" s="7">
        <v>48</v>
      </c>
      <c r="L30" t="b">
        <f t="shared" si="0"/>
        <v>1</v>
      </c>
    </row>
    <row r="31" spans="1:12" x14ac:dyDescent="0.25">
      <c r="A31" s="7" t="s">
        <v>1027</v>
      </c>
      <c r="B31" s="7">
        <v>0</v>
      </c>
      <c r="C31" s="7">
        <v>69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69</v>
      </c>
      <c r="L31" t="b">
        <f t="shared" si="0"/>
        <v>1</v>
      </c>
    </row>
    <row r="32" spans="1:12" x14ac:dyDescent="0.25">
      <c r="A32" s="7" t="s">
        <v>1028</v>
      </c>
      <c r="B32" s="7">
        <v>0</v>
      </c>
      <c r="C32" s="7">
        <v>34</v>
      </c>
      <c r="D32" s="7">
        <v>0</v>
      </c>
      <c r="E32" s="7">
        <v>0</v>
      </c>
      <c r="F32" s="7">
        <v>0</v>
      </c>
      <c r="G32" s="7">
        <v>2</v>
      </c>
      <c r="H32" s="7">
        <v>0</v>
      </c>
      <c r="I32" s="7">
        <v>0</v>
      </c>
      <c r="J32" s="7">
        <v>0</v>
      </c>
      <c r="K32" s="7">
        <v>36</v>
      </c>
      <c r="L32" t="b">
        <f t="shared" si="0"/>
        <v>1</v>
      </c>
    </row>
    <row r="33" spans="1:12" x14ac:dyDescent="0.25">
      <c r="A33" s="7" t="s">
        <v>1029</v>
      </c>
      <c r="B33" s="7">
        <v>0</v>
      </c>
      <c r="C33" s="7">
        <v>51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1</v>
      </c>
      <c r="K33" s="7">
        <v>52</v>
      </c>
      <c r="L33" t="b">
        <f t="shared" si="0"/>
        <v>1</v>
      </c>
    </row>
    <row r="34" spans="1:12" x14ac:dyDescent="0.25">
      <c r="A34" s="7" t="s">
        <v>1030</v>
      </c>
      <c r="B34" s="7">
        <v>0</v>
      </c>
      <c r="C34" s="7">
        <v>61</v>
      </c>
      <c r="D34" s="7">
        <v>0</v>
      </c>
      <c r="E34" s="7">
        <v>0</v>
      </c>
      <c r="F34" s="7">
        <v>0</v>
      </c>
      <c r="G34" s="7">
        <v>1</v>
      </c>
      <c r="H34" s="7">
        <v>0</v>
      </c>
      <c r="I34" s="7">
        <v>0</v>
      </c>
      <c r="J34" s="7">
        <v>0</v>
      </c>
      <c r="K34" s="7">
        <v>62</v>
      </c>
      <c r="L34" t="b">
        <f t="shared" si="0"/>
        <v>1</v>
      </c>
    </row>
    <row r="35" spans="1:12" x14ac:dyDescent="0.25">
      <c r="A35" s="7" t="s">
        <v>1031</v>
      </c>
      <c r="B35" s="7">
        <v>0</v>
      </c>
      <c r="C35" s="7">
        <v>68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68</v>
      </c>
      <c r="L35" t="b">
        <f t="shared" si="0"/>
        <v>1</v>
      </c>
    </row>
    <row r="36" spans="1:12" x14ac:dyDescent="0.25">
      <c r="A36" s="7" t="s">
        <v>1032</v>
      </c>
      <c r="B36" s="7">
        <v>0</v>
      </c>
      <c r="C36" s="7">
        <v>58</v>
      </c>
      <c r="D36" s="7">
        <v>0</v>
      </c>
      <c r="E36" s="7">
        <v>0</v>
      </c>
      <c r="F36" s="7">
        <v>0</v>
      </c>
      <c r="G36" s="7">
        <v>1</v>
      </c>
      <c r="H36" s="7">
        <v>0</v>
      </c>
      <c r="I36" s="7">
        <v>0</v>
      </c>
      <c r="J36" s="7">
        <v>3</v>
      </c>
      <c r="K36" s="7">
        <v>62</v>
      </c>
      <c r="L36" t="b">
        <f t="shared" si="0"/>
        <v>1</v>
      </c>
    </row>
    <row r="37" spans="1:12" x14ac:dyDescent="0.25">
      <c r="A37" s="7" t="s">
        <v>1033</v>
      </c>
      <c r="B37" s="7">
        <v>0</v>
      </c>
      <c r="C37" s="7">
        <v>65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6</v>
      </c>
      <c r="K37" s="7">
        <v>71</v>
      </c>
      <c r="L37" t="b">
        <f t="shared" si="0"/>
        <v>1</v>
      </c>
    </row>
    <row r="38" spans="1:12" x14ac:dyDescent="0.25">
      <c r="A38" s="7" t="s">
        <v>1034</v>
      </c>
      <c r="B38" s="7">
        <v>0</v>
      </c>
      <c r="C38" s="7">
        <v>25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38</v>
      </c>
      <c r="J38" s="7">
        <v>3</v>
      </c>
      <c r="K38" s="7">
        <v>66</v>
      </c>
      <c r="L38" t="b">
        <f t="shared" si="0"/>
        <v>1</v>
      </c>
    </row>
    <row r="39" spans="1:12" x14ac:dyDescent="0.25">
      <c r="A39" s="7" t="s">
        <v>1035</v>
      </c>
      <c r="B39" s="7">
        <v>0</v>
      </c>
      <c r="C39" s="7">
        <v>35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15</v>
      </c>
      <c r="J39" s="7">
        <v>1</v>
      </c>
      <c r="K39" s="7">
        <v>51</v>
      </c>
      <c r="L39" t="b">
        <f t="shared" si="0"/>
        <v>1</v>
      </c>
    </row>
    <row r="40" spans="1:12" x14ac:dyDescent="0.25">
      <c r="A40" s="7" t="s">
        <v>1036</v>
      </c>
      <c r="B40" s="7">
        <v>0</v>
      </c>
      <c r="C40" s="7">
        <v>16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37</v>
      </c>
      <c r="J40" s="7">
        <v>4</v>
      </c>
      <c r="K40" s="7">
        <v>57</v>
      </c>
      <c r="L40" t="b">
        <f t="shared" si="0"/>
        <v>1</v>
      </c>
    </row>
    <row r="41" spans="1:12" x14ac:dyDescent="0.25">
      <c r="A41" s="7" t="s">
        <v>1037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73</v>
      </c>
      <c r="J41" s="7">
        <v>0</v>
      </c>
      <c r="K41" s="7">
        <v>73</v>
      </c>
      <c r="L41" t="b">
        <f t="shared" si="0"/>
        <v>1</v>
      </c>
    </row>
    <row r="42" spans="1:12" x14ac:dyDescent="0.25">
      <c r="A42" s="7" t="s">
        <v>1038</v>
      </c>
      <c r="B42" s="7">
        <v>0</v>
      </c>
      <c r="C42" s="7">
        <v>6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21</v>
      </c>
      <c r="J42" s="7">
        <v>1</v>
      </c>
      <c r="K42" s="7">
        <v>28</v>
      </c>
      <c r="L42" t="b">
        <f t="shared" si="0"/>
        <v>1</v>
      </c>
    </row>
    <row r="43" spans="1:12" x14ac:dyDescent="0.25">
      <c r="A43" s="7" t="s">
        <v>1039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65</v>
      </c>
      <c r="J43" s="7">
        <v>1</v>
      </c>
      <c r="K43" s="7">
        <v>66</v>
      </c>
      <c r="L43" t="b">
        <f t="shared" si="0"/>
        <v>1</v>
      </c>
    </row>
    <row r="44" spans="1:12" x14ac:dyDescent="0.25">
      <c r="A44" s="7" t="s">
        <v>1040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53</v>
      </c>
      <c r="J44" s="7">
        <v>0</v>
      </c>
      <c r="K44" s="7">
        <v>53</v>
      </c>
      <c r="L44" t="b">
        <f t="shared" si="0"/>
        <v>1</v>
      </c>
    </row>
    <row r="45" spans="1:12" x14ac:dyDescent="0.25">
      <c r="A45" s="7" t="s">
        <v>1041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87</v>
      </c>
      <c r="J45" s="7">
        <v>0</v>
      </c>
      <c r="K45" s="7">
        <v>87</v>
      </c>
      <c r="L45" t="b">
        <f t="shared" si="0"/>
        <v>1</v>
      </c>
    </row>
    <row r="46" spans="1:12" x14ac:dyDescent="0.25">
      <c r="A46" s="7" t="s">
        <v>1042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61</v>
      </c>
      <c r="J46" s="7">
        <v>0</v>
      </c>
      <c r="K46" s="7">
        <v>61</v>
      </c>
      <c r="L46" t="b">
        <f t="shared" si="0"/>
        <v>1</v>
      </c>
    </row>
    <row r="47" spans="1:12" x14ac:dyDescent="0.25">
      <c r="A47" s="7" t="s">
        <v>1043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59</v>
      </c>
      <c r="J47" s="7">
        <v>0</v>
      </c>
      <c r="K47" s="7">
        <v>59</v>
      </c>
      <c r="L47" t="b">
        <f t="shared" si="0"/>
        <v>1</v>
      </c>
    </row>
    <row r="48" spans="1:12" x14ac:dyDescent="0.25">
      <c r="A48" s="7" t="s">
        <v>1044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54</v>
      </c>
      <c r="J48" s="7">
        <v>0</v>
      </c>
      <c r="K48" s="7">
        <v>54</v>
      </c>
      <c r="L48" t="b">
        <f t="shared" si="0"/>
        <v>1</v>
      </c>
    </row>
    <row r="49" spans="1:12" x14ac:dyDescent="0.25">
      <c r="A49" s="7" t="s">
        <v>1045</v>
      </c>
      <c r="B49" s="7">
        <v>0</v>
      </c>
      <c r="C49" s="7">
        <v>2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92</v>
      </c>
      <c r="J49" s="7">
        <v>0</v>
      </c>
      <c r="K49" s="7">
        <v>94</v>
      </c>
      <c r="L49" t="b">
        <f t="shared" si="0"/>
        <v>1</v>
      </c>
    </row>
    <row r="50" spans="1:12" x14ac:dyDescent="0.25">
      <c r="A50" s="7" t="s">
        <v>1046</v>
      </c>
      <c r="B50" s="7">
        <v>0</v>
      </c>
      <c r="C50" s="7">
        <v>93</v>
      </c>
      <c r="D50" s="7">
        <v>0</v>
      </c>
      <c r="E50" s="7">
        <v>0</v>
      </c>
      <c r="F50" s="7">
        <v>0</v>
      </c>
      <c r="G50" s="7">
        <v>1</v>
      </c>
      <c r="H50" s="7">
        <v>0</v>
      </c>
      <c r="I50" s="7">
        <v>0</v>
      </c>
      <c r="J50" s="7">
        <v>0</v>
      </c>
      <c r="K50" s="7">
        <v>94</v>
      </c>
      <c r="L50" t="b">
        <f t="shared" si="0"/>
        <v>1</v>
      </c>
    </row>
    <row r="51" spans="1:12" x14ac:dyDescent="0.25">
      <c r="A51" s="7" t="s">
        <v>1047</v>
      </c>
      <c r="B51" s="7">
        <v>0</v>
      </c>
      <c r="C51" s="7">
        <v>101</v>
      </c>
      <c r="D51" s="7">
        <v>0</v>
      </c>
      <c r="E51" s="7">
        <v>0</v>
      </c>
      <c r="F51" s="7">
        <v>0</v>
      </c>
      <c r="G51" s="7">
        <v>3</v>
      </c>
      <c r="H51" s="7">
        <v>0</v>
      </c>
      <c r="I51" s="7">
        <v>0</v>
      </c>
      <c r="J51" s="7">
        <v>0</v>
      </c>
      <c r="K51" s="7">
        <v>104</v>
      </c>
      <c r="L51" t="b">
        <f t="shared" si="0"/>
        <v>1</v>
      </c>
    </row>
    <row r="52" spans="1:12" x14ac:dyDescent="0.25">
      <c r="A52" s="7" t="s">
        <v>1048</v>
      </c>
      <c r="B52" s="7">
        <v>0</v>
      </c>
      <c r="C52" s="7">
        <v>101</v>
      </c>
      <c r="D52" s="7">
        <v>0</v>
      </c>
      <c r="E52" s="7">
        <v>0</v>
      </c>
      <c r="F52" s="7">
        <v>0</v>
      </c>
      <c r="G52" s="7">
        <v>2</v>
      </c>
      <c r="H52" s="7">
        <v>0</v>
      </c>
      <c r="I52" s="7">
        <v>0</v>
      </c>
      <c r="J52" s="7">
        <v>0</v>
      </c>
      <c r="K52" s="7">
        <v>103</v>
      </c>
      <c r="L52" t="b">
        <f t="shared" si="0"/>
        <v>1</v>
      </c>
    </row>
    <row r="53" spans="1:12" x14ac:dyDescent="0.25">
      <c r="A53" s="7" t="s">
        <v>1049</v>
      </c>
      <c r="B53" s="7">
        <v>0</v>
      </c>
      <c r="C53" s="7">
        <v>109</v>
      </c>
      <c r="D53" s="7">
        <v>0</v>
      </c>
      <c r="E53" s="7">
        <v>0</v>
      </c>
      <c r="F53" s="7">
        <v>0</v>
      </c>
      <c r="G53" s="7">
        <v>1</v>
      </c>
      <c r="H53" s="7">
        <v>0</v>
      </c>
      <c r="I53" s="7">
        <v>0</v>
      </c>
      <c r="J53" s="7">
        <v>0</v>
      </c>
      <c r="K53" s="7">
        <v>110</v>
      </c>
      <c r="L53" t="b">
        <f t="shared" si="0"/>
        <v>1</v>
      </c>
    </row>
    <row r="54" spans="1:12" x14ac:dyDescent="0.25">
      <c r="A54" s="7" t="s">
        <v>1050</v>
      </c>
      <c r="B54" s="7">
        <v>0</v>
      </c>
      <c r="C54" s="7">
        <v>88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88</v>
      </c>
      <c r="L54" t="b">
        <f t="shared" si="0"/>
        <v>1</v>
      </c>
    </row>
    <row r="55" spans="1:12" x14ac:dyDescent="0.25">
      <c r="A55" s="7" t="s">
        <v>1051</v>
      </c>
      <c r="B55" s="7">
        <v>0</v>
      </c>
      <c r="C55" s="7">
        <v>101</v>
      </c>
      <c r="D55" s="7">
        <v>0</v>
      </c>
      <c r="E55" s="7">
        <v>0</v>
      </c>
      <c r="F55" s="7">
        <v>0</v>
      </c>
      <c r="G55" s="7">
        <v>1</v>
      </c>
      <c r="H55" s="7">
        <v>0</v>
      </c>
      <c r="I55" s="7">
        <v>0</v>
      </c>
      <c r="J55" s="7">
        <v>0</v>
      </c>
      <c r="K55" s="7">
        <v>102</v>
      </c>
      <c r="L55" t="b">
        <f t="shared" si="0"/>
        <v>1</v>
      </c>
    </row>
    <row r="56" spans="1:12" x14ac:dyDescent="0.25">
      <c r="A56" s="7" t="s">
        <v>1052</v>
      </c>
      <c r="B56" s="7">
        <v>0</v>
      </c>
      <c r="C56" s="7">
        <v>97</v>
      </c>
      <c r="D56" s="7">
        <v>0</v>
      </c>
      <c r="E56" s="7">
        <v>0</v>
      </c>
      <c r="F56" s="7">
        <v>0</v>
      </c>
      <c r="G56" s="7">
        <v>1</v>
      </c>
      <c r="H56" s="7">
        <v>0</v>
      </c>
      <c r="I56" s="7">
        <v>0</v>
      </c>
      <c r="J56" s="7">
        <v>0</v>
      </c>
      <c r="K56" s="7">
        <v>98</v>
      </c>
      <c r="L56" t="b">
        <f t="shared" si="0"/>
        <v>1</v>
      </c>
    </row>
    <row r="57" spans="1:12" x14ac:dyDescent="0.25">
      <c r="A57" s="7" t="s">
        <v>1053</v>
      </c>
      <c r="B57" s="7">
        <v>0</v>
      </c>
      <c r="C57" s="7">
        <v>131</v>
      </c>
      <c r="D57" s="7">
        <v>0</v>
      </c>
      <c r="E57" s="7">
        <v>0</v>
      </c>
      <c r="F57" s="7">
        <v>0</v>
      </c>
      <c r="G57" s="7">
        <v>2</v>
      </c>
      <c r="H57" s="7">
        <v>0</v>
      </c>
      <c r="I57" s="7">
        <v>0</v>
      </c>
      <c r="J57" s="7">
        <v>0</v>
      </c>
      <c r="K57" s="7">
        <v>133</v>
      </c>
      <c r="L57" t="b">
        <f t="shared" si="0"/>
        <v>1</v>
      </c>
    </row>
    <row r="58" spans="1:12" x14ac:dyDescent="0.25">
      <c r="A58" s="7" t="s">
        <v>1054</v>
      </c>
      <c r="B58" s="7">
        <v>0</v>
      </c>
      <c r="C58" s="7">
        <v>75</v>
      </c>
      <c r="D58" s="7">
        <v>0</v>
      </c>
      <c r="E58" s="7">
        <v>0</v>
      </c>
      <c r="F58" s="7">
        <v>0</v>
      </c>
      <c r="G58" s="7">
        <v>1</v>
      </c>
      <c r="H58" s="7">
        <v>0</v>
      </c>
      <c r="I58" s="7">
        <v>0</v>
      </c>
      <c r="J58" s="7">
        <v>0</v>
      </c>
      <c r="K58" s="7">
        <v>76</v>
      </c>
      <c r="L58" t="b">
        <f t="shared" si="0"/>
        <v>1</v>
      </c>
    </row>
    <row r="59" spans="1:12" x14ac:dyDescent="0.25">
      <c r="A59" s="7" t="s">
        <v>1055</v>
      </c>
      <c r="B59" s="7">
        <v>0</v>
      </c>
      <c r="C59" s="7">
        <v>47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47</v>
      </c>
      <c r="L59" t="b">
        <f t="shared" si="0"/>
        <v>1</v>
      </c>
    </row>
    <row r="60" spans="1:12" x14ac:dyDescent="0.25">
      <c r="A60" s="7" t="s">
        <v>1056</v>
      </c>
      <c r="B60" s="7">
        <v>0</v>
      </c>
      <c r="C60" s="7">
        <v>79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79</v>
      </c>
      <c r="L60" t="b">
        <f t="shared" si="0"/>
        <v>1</v>
      </c>
    </row>
    <row r="61" spans="1:12" x14ac:dyDescent="0.25">
      <c r="A61" s="7" t="s">
        <v>1057</v>
      </c>
      <c r="B61" s="7">
        <v>0</v>
      </c>
      <c r="C61" s="7">
        <v>79</v>
      </c>
      <c r="D61" s="7">
        <v>0</v>
      </c>
      <c r="E61" s="7">
        <v>0</v>
      </c>
      <c r="F61" s="7">
        <v>0</v>
      </c>
      <c r="G61" s="7">
        <v>1</v>
      </c>
      <c r="H61" s="7">
        <v>0</v>
      </c>
      <c r="I61" s="7">
        <v>11</v>
      </c>
      <c r="J61" s="7">
        <v>0</v>
      </c>
      <c r="K61" s="7">
        <v>91</v>
      </c>
      <c r="L61" t="b">
        <f t="shared" si="0"/>
        <v>1</v>
      </c>
    </row>
    <row r="62" spans="1:12" x14ac:dyDescent="0.25">
      <c r="A62" s="7" t="s">
        <v>1058</v>
      </c>
      <c r="B62" s="7">
        <v>0</v>
      </c>
      <c r="C62" s="7">
        <v>55</v>
      </c>
      <c r="D62" s="7">
        <v>0</v>
      </c>
      <c r="E62" s="7">
        <v>0</v>
      </c>
      <c r="F62" s="7">
        <v>0</v>
      </c>
      <c r="G62" s="7">
        <v>2</v>
      </c>
      <c r="H62" s="7">
        <v>0</v>
      </c>
      <c r="I62" s="7">
        <v>13</v>
      </c>
      <c r="J62" s="7">
        <v>0</v>
      </c>
      <c r="K62" s="7">
        <v>70</v>
      </c>
      <c r="L62" t="b">
        <f t="shared" si="0"/>
        <v>1</v>
      </c>
    </row>
    <row r="63" spans="1:12" x14ac:dyDescent="0.25">
      <c r="A63" s="7" t="s">
        <v>1059</v>
      </c>
      <c r="B63" s="7">
        <v>0</v>
      </c>
      <c r="C63" s="7">
        <v>28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51</v>
      </c>
      <c r="J63" s="7">
        <v>0</v>
      </c>
      <c r="K63" s="7">
        <v>79</v>
      </c>
      <c r="L63" t="b">
        <f t="shared" si="0"/>
        <v>1</v>
      </c>
    </row>
    <row r="64" spans="1:12" x14ac:dyDescent="0.25">
      <c r="A64" s="7" t="s">
        <v>1060</v>
      </c>
      <c r="B64" s="7">
        <v>0</v>
      </c>
      <c r="C64" s="7">
        <v>3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29</v>
      </c>
      <c r="J64" s="7">
        <v>0</v>
      </c>
      <c r="K64" s="7">
        <v>32</v>
      </c>
      <c r="L64" t="b">
        <f t="shared" si="0"/>
        <v>1</v>
      </c>
    </row>
    <row r="65" spans="1:12" x14ac:dyDescent="0.25">
      <c r="A65" s="7" t="s">
        <v>1061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35</v>
      </c>
      <c r="J65" s="7">
        <v>0</v>
      </c>
      <c r="K65" s="7">
        <v>35</v>
      </c>
      <c r="L65" t="b">
        <f t="shared" si="0"/>
        <v>1</v>
      </c>
    </row>
    <row r="66" spans="1:12" x14ac:dyDescent="0.25">
      <c r="A66" s="7" t="s">
        <v>1062</v>
      </c>
      <c r="B66" s="7">
        <v>0</v>
      </c>
      <c r="C66" s="7">
        <v>46</v>
      </c>
      <c r="D66" s="7">
        <v>0</v>
      </c>
      <c r="E66" s="7">
        <v>0</v>
      </c>
      <c r="F66" s="7">
        <v>0</v>
      </c>
      <c r="G66" s="7">
        <v>1</v>
      </c>
      <c r="H66" s="7">
        <v>0</v>
      </c>
      <c r="I66" s="7">
        <v>9</v>
      </c>
      <c r="J66" s="7">
        <v>0</v>
      </c>
      <c r="K66" s="7">
        <v>56</v>
      </c>
      <c r="L66" t="b">
        <f t="shared" si="0"/>
        <v>1</v>
      </c>
    </row>
    <row r="67" spans="1:12" x14ac:dyDescent="0.25">
      <c r="A67" s="7" t="s">
        <v>1063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92</v>
      </c>
      <c r="J67" s="7">
        <v>0</v>
      </c>
      <c r="K67" s="7">
        <v>92</v>
      </c>
      <c r="L67" t="b">
        <f t="shared" ref="L67:L130" si="1">K67=SUM(B67:J67)</f>
        <v>1</v>
      </c>
    </row>
    <row r="68" spans="1:12" x14ac:dyDescent="0.25">
      <c r="A68" s="7" t="s">
        <v>1064</v>
      </c>
      <c r="B68" s="7">
        <v>0</v>
      </c>
      <c r="C68" s="7">
        <v>47</v>
      </c>
      <c r="D68" s="7">
        <v>0</v>
      </c>
      <c r="E68" s="7">
        <v>0</v>
      </c>
      <c r="F68" s="7">
        <v>0</v>
      </c>
      <c r="G68" s="7">
        <v>1</v>
      </c>
      <c r="H68" s="7">
        <v>0</v>
      </c>
      <c r="I68" s="7">
        <v>12</v>
      </c>
      <c r="J68" s="7">
        <v>0</v>
      </c>
      <c r="K68" s="7">
        <v>60</v>
      </c>
      <c r="L68" t="b">
        <f t="shared" si="1"/>
        <v>1</v>
      </c>
    </row>
    <row r="69" spans="1:12" x14ac:dyDescent="0.25">
      <c r="A69" s="7" t="s">
        <v>1065</v>
      </c>
      <c r="B69" s="7">
        <v>0</v>
      </c>
      <c r="C69" s="7">
        <v>40</v>
      </c>
      <c r="D69" s="7">
        <v>0</v>
      </c>
      <c r="E69" s="7">
        <v>0</v>
      </c>
      <c r="F69" s="7">
        <v>1</v>
      </c>
      <c r="G69" s="7">
        <v>2</v>
      </c>
      <c r="H69" s="7">
        <v>0</v>
      </c>
      <c r="I69" s="7">
        <v>10</v>
      </c>
      <c r="J69" s="7">
        <v>0</v>
      </c>
      <c r="K69" s="7">
        <v>53</v>
      </c>
      <c r="L69" t="b">
        <f t="shared" si="1"/>
        <v>1</v>
      </c>
    </row>
    <row r="70" spans="1:12" x14ac:dyDescent="0.25">
      <c r="A70" s="7" t="s">
        <v>1066</v>
      </c>
      <c r="B70" s="7">
        <v>0</v>
      </c>
      <c r="C70" s="7">
        <v>75</v>
      </c>
      <c r="D70" s="7">
        <v>0</v>
      </c>
      <c r="E70" s="7">
        <v>0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  <c r="K70" s="7">
        <v>76</v>
      </c>
      <c r="L70" t="b">
        <f t="shared" si="1"/>
        <v>1</v>
      </c>
    </row>
    <row r="71" spans="1:12" x14ac:dyDescent="0.25">
      <c r="A71" s="7" t="s">
        <v>1067</v>
      </c>
      <c r="B71" s="7">
        <v>0</v>
      </c>
      <c r="C71" s="7">
        <v>83</v>
      </c>
      <c r="D71" s="7">
        <v>0</v>
      </c>
      <c r="E71" s="7">
        <v>0</v>
      </c>
      <c r="F71" s="7">
        <v>0</v>
      </c>
      <c r="G71" s="7">
        <v>2</v>
      </c>
      <c r="H71" s="7">
        <v>0</v>
      </c>
      <c r="I71" s="7">
        <v>0</v>
      </c>
      <c r="J71" s="7">
        <v>0</v>
      </c>
      <c r="K71" s="7">
        <v>85</v>
      </c>
      <c r="L71" t="b">
        <f t="shared" si="1"/>
        <v>1</v>
      </c>
    </row>
    <row r="72" spans="1:12" x14ac:dyDescent="0.25">
      <c r="A72" s="7" t="s">
        <v>1068</v>
      </c>
      <c r="B72" s="7">
        <v>0</v>
      </c>
      <c r="C72" s="7">
        <v>52</v>
      </c>
      <c r="D72" s="7">
        <v>0</v>
      </c>
      <c r="E72" s="7">
        <v>0</v>
      </c>
      <c r="F72" s="7">
        <v>0</v>
      </c>
      <c r="G72" s="7">
        <v>2</v>
      </c>
      <c r="H72" s="7">
        <v>0</v>
      </c>
      <c r="I72" s="7">
        <v>10</v>
      </c>
      <c r="J72" s="7">
        <v>2</v>
      </c>
      <c r="K72" s="7">
        <v>66</v>
      </c>
      <c r="L72" t="b">
        <f t="shared" si="1"/>
        <v>1</v>
      </c>
    </row>
    <row r="73" spans="1:12" x14ac:dyDescent="0.25">
      <c r="A73" s="7" t="s">
        <v>1069</v>
      </c>
      <c r="B73" s="7">
        <v>0</v>
      </c>
      <c r="C73" s="7">
        <v>72</v>
      </c>
      <c r="D73" s="7">
        <v>1</v>
      </c>
      <c r="E73" s="7">
        <v>0</v>
      </c>
      <c r="F73" s="7">
        <v>0</v>
      </c>
      <c r="G73" s="7">
        <v>5</v>
      </c>
      <c r="H73" s="7">
        <v>0</v>
      </c>
      <c r="I73" s="7">
        <v>4</v>
      </c>
      <c r="J73" s="7">
        <v>0</v>
      </c>
      <c r="K73" s="7">
        <v>82</v>
      </c>
      <c r="L73" t="b">
        <f t="shared" si="1"/>
        <v>1</v>
      </c>
    </row>
    <row r="74" spans="1:12" x14ac:dyDescent="0.25">
      <c r="A74" s="7" t="s">
        <v>1070</v>
      </c>
      <c r="B74" s="7">
        <v>0</v>
      </c>
      <c r="C74" s="7">
        <v>56</v>
      </c>
      <c r="D74" s="7">
        <v>0</v>
      </c>
      <c r="E74" s="7">
        <v>0</v>
      </c>
      <c r="F74" s="7">
        <v>0</v>
      </c>
      <c r="G74" s="7">
        <v>1</v>
      </c>
      <c r="H74" s="7">
        <v>0</v>
      </c>
      <c r="I74" s="7">
        <v>21</v>
      </c>
      <c r="J74" s="7">
        <v>0</v>
      </c>
      <c r="K74" s="7">
        <v>78</v>
      </c>
      <c r="L74" t="b">
        <f t="shared" si="1"/>
        <v>1</v>
      </c>
    </row>
    <row r="75" spans="1:12" x14ac:dyDescent="0.25">
      <c r="A75" s="7" t="s">
        <v>1071</v>
      </c>
      <c r="B75" s="7">
        <v>0</v>
      </c>
      <c r="C75" s="7">
        <v>20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54</v>
      </c>
      <c r="J75" s="7">
        <v>0</v>
      </c>
      <c r="K75" s="7">
        <v>74</v>
      </c>
      <c r="L75" t="b">
        <f t="shared" si="1"/>
        <v>1</v>
      </c>
    </row>
    <row r="76" spans="1:12" x14ac:dyDescent="0.25">
      <c r="A76" s="7" t="s">
        <v>1072</v>
      </c>
      <c r="B76" s="7">
        <v>0</v>
      </c>
      <c r="C76" s="7">
        <v>81</v>
      </c>
      <c r="D76" s="7">
        <v>0</v>
      </c>
      <c r="E76" s="7">
        <v>0</v>
      </c>
      <c r="F76" s="7">
        <v>0</v>
      </c>
      <c r="G76" s="7">
        <v>3</v>
      </c>
      <c r="H76" s="7">
        <v>0</v>
      </c>
      <c r="I76" s="7">
        <v>2</v>
      </c>
      <c r="J76" s="7">
        <v>0</v>
      </c>
      <c r="K76" s="7">
        <v>86</v>
      </c>
      <c r="L76" t="b">
        <f t="shared" si="1"/>
        <v>1</v>
      </c>
    </row>
    <row r="77" spans="1:12" x14ac:dyDescent="0.25">
      <c r="A77" s="7" t="s">
        <v>1073</v>
      </c>
      <c r="B77" s="7">
        <v>0</v>
      </c>
      <c r="C77" s="7">
        <v>37</v>
      </c>
      <c r="D77" s="7">
        <v>0</v>
      </c>
      <c r="E77" s="7">
        <v>0</v>
      </c>
      <c r="F77" s="7">
        <v>0</v>
      </c>
      <c r="G77" s="7">
        <v>3</v>
      </c>
      <c r="H77" s="7">
        <v>0</v>
      </c>
      <c r="I77" s="7">
        <v>0</v>
      </c>
      <c r="J77" s="7">
        <v>0</v>
      </c>
      <c r="K77" s="7">
        <v>40</v>
      </c>
      <c r="L77" t="b">
        <f t="shared" si="1"/>
        <v>1</v>
      </c>
    </row>
    <row r="78" spans="1:12" x14ac:dyDescent="0.25">
      <c r="A78" s="7" t="s">
        <v>1074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52</v>
      </c>
      <c r="J78" s="7">
        <v>0</v>
      </c>
      <c r="K78" s="7">
        <v>52</v>
      </c>
      <c r="L78" t="b">
        <f t="shared" si="1"/>
        <v>1</v>
      </c>
    </row>
    <row r="79" spans="1:12" x14ac:dyDescent="0.25">
      <c r="A79" s="7" t="s">
        <v>1075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49</v>
      </c>
      <c r="J79" s="7">
        <v>0</v>
      </c>
      <c r="K79" s="7">
        <v>49</v>
      </c>
      <c r="L79" t="b">
        <f t="shared" si="1"/>
        <v>1</v>
      </c>
    </row>
    <row r="80" spans="1:12" x14ac:dyDescent="0.25">
      <c r="A80" s="7" t="s">
        <v>1076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52</v>
      </c>
      <c r="J80" s="7">
        <v>0</v>
      </c>
      <c r="K80" s="7">
        <v>52</v>
      </c>
      <c r="L80" t="b">
        <f t="shared" si="1"/>
        <v>1</v>
      </c>
    </row>
    <row r="81" spans="1:12" x14ac:dyDescent="0.25">
      <c r="A81" s="7" t="s">
        <v>1077</v>
      </c>
      <c r="B81" s="7">
        <v>0</v>
      </c>
      <c r="C81" s="7">
        <v>22</v>
      </c>
      <c r="D81" s="7">
        <v>0</v>
      </c>
      <c r="E81" s="7">
        <v>0</v>
      </c>
      <c r="F81" s="7">
        <v>0</v>
      </c>
      <c r="G81" s="7">
        <v>1</v>
      </c>
      <c r="H81" s="7">
        <v>0</v>
      </c>
      <c r="I81" s="7">
        <v>0</v>
      </c>
      <c r="J81" s="7">
        <v>0</v>
      </c>
      <c r="K81" s="7">
        <v>23</v>
      </c>
      <c r="L81" t="b">
        <f t="shared" si="1"/>
        <v>1</v>
      </c>
    </row>
    <row r="82" spans="1:12" x14ac:dyDescent="0.25">
      <c r="A82" s="7" t="s">
        <v>1078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40</v>
      </c>
      <c r="J82" s="7">
        <v>0</v>
      </c>
      <c r="K82" s="7">
        <v>40</v>
      </c>
      <c r="L82" t="b">
        <f t="shared" si="1"/>
        <v>1</v>
      </c>
    </row>
    <row r="83" spans="1:12" x14ac:dyDescent="0.25">
      <c r="A83" s="7" t="s">
        <v>1079</v>
      </c>
      <c r="B83" s="7">
        <v>0</v>
      </c>
      <c r="C83" s="7">
        <v>18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37</v>
      </c>
      <c r="J83" s="7">
        <v>0</v>
      </c>
      <c r="K83" s="7">
        <v>55</v>
      </c>
      <c r="L83" t="b">
        <f t="shared" si="1"/>
        <v>1</v>
      </c>
    </row>
    <row r="84" spans="1:12" x14ac:dyDescent="0.25">
      <c r="A84" s="7" t="s">
        <v>1080</v>
      </c>
      <c r="B84" s="7">
        <v>0</v>
      </c>
      <c r="C84" s="7">
        <v>60</v>
      </c>
      <c r="D84" s="7">
        <v>0</v>
      </c>
      <c r="E84" s="7">
        <v>0</v>
      </c>
      <c r="F84" s="7">
        <v>0</v>
      </c>
      <c r="G84" s="7">
        <v>1</v>
      </c>
      <c r="H84" s="7">
        <v>0</v>
      </c>
      <c r="I84" s="7">
        <v>0</v>
      </c>
      <c r="J84" s="7">
        <v>0</v>
      </c>
      <c r="K84" s="7">
        <v>61</v>
      </c>
      <c r="L84" t="b">
        <f t="shared" si="1"/>
        <v>1</v>
      </c>
    </row>
    <row r="85" spans="1:12" x14ac:dyDescent="0.25">
      <c r="A85" s="7" t="s">
        <v>1081</v>
      </c>
      <c r="B85" s="7">
        <v>0</v>
      </c>
      <c r="C85" s="7">
        <v>55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55</v>
      </c>
      <c r="L85" t="b">
        <f t="shared" si="1"/>
        <v>1</v>
      </c>
    </row>
    <row r="86" spans="1:12" x14ac:dyDescent="0.25">
      <c r="A86" s="7" t="s">
        <v>1082</v>
      </c>
      <c r="B86" s="7">
        <v>0</v>
      </c>
      <c r="C86" s="7">
        <v>38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38</v>
      </c>
      <c r="L86" t="b">
        <f t="shared" si="1"/>
        <v>1</v>
      </c>
    </row>
    <row r="87" spans="1:12" x14ac:dyDescent="0.25">
      <c r="A87" s="7" t="s">
        <v>1083</v>
      </c>
      <c r="B87" s="7">
        <v>0</v>
      </c>
      <c r="C87" s="7">
        <v>12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29</v>
      </c>
      <c r="J87" s="7">
        <v>0</v>
      </c>
      <c r="K87" s="7">
        <v>41</v>
      </c>
      <c r="L87" t="b">
        <f t="shared" si="1"/>
        <v>1</v>
      </c>
    </row>
    <row r="88" spans="1:12" x14ac:dyDescent="0.25">
      <c r="A88" s="7" t="s">
        <v>1084</v>
      </c>
      <c r="B88" s="7">
        <v>0</v>
      </c>
      <c r="C88" s="7">
        <v>11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33</v>
      </c>
      <c r="J88" s="7">
        <v>0</v>
      </c>
      <c r="K88" s="7">
        <v>44</v>
      </c>
      <c r="L88" t="b">
        <f t="shared" si="1"/>
        <v>1</v>
      </c>
    </row>
    <row r="89" spans="1:12" x14ac:dyDescent="0.25">
      <c r="A89" s="7" t="s">
        <v>1085</v>
      </c>
      <c r="B89" s="7">
        <v>0</v>
      </c>
      <c r="C89" s="7">
        <v>37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37</v>
      </c>
      <c r="L89" t="b">
        <f t="shared" si="1"/>
        <v>1</v>
      </c>
    </row>
    <row r="90" spans="1:12" x14ac:dyDescent="0.25">
      <c r="A90" s="7" t="s">
        <v>1086</v>
      </c>
      <c r="B90" s="7">
        <v>0</v>
      </c>
      <c r="C90" s="7">
        <v>23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23</v>
      </c>
      <c r="L90" t="b">
        <f t="shared" si="1"/>
        <v>1</v>
      </c>
    </row>
    <row r="91" spans="1:12" x14ac:dyDescent="0.25">
      <c r="A91" s="7" t="s">
        <v>1087</v>
      </c>
      <c r="B91" s="7">
        <v>0</v>
      </c>
      <c r="C91" s="7">
        <v>46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46</v>
      </c>
      <c r="L91" t="b">
        <f t="shared" si="1"/>
        <v>1</v>
      </c>
    </row>
    <row r="92" spans="1:12" x14ac:dyDescent="0.25">
      <c r="A92" s="7" t="s">
        <v>1088</v>
      </c>
      <c r="B92" s="7">
        <v>0</v>
      </c>
      <c r="C92" s="7">
        <v>17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30</v>
      </c>
      <c r="J92" s="7">
        <v>0</v>
      </c>
      <c r="K92" s="7">
        <v>47</v>
      </c>
      <c r="L92" t="b">
        <f t="shared" si="1"/>
        <v>1</v>
      </c>
    </row>
    <row r="93" spans="1:12" x14ac:dyDescent="0.25">
      <c r="A93" s="7" t="s">
        <v>1089</v>
      </c>
      <c r="B93" s="7">
        <v>0</v>
      </c>
      <c r="C93" s="7">
        <v>20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12</v>
      </c>
      <c r="J93" s="7">
        <v>0</v>
      </c>
      <c r="K93" s="7">
        <v>32</v>
      </c>
      <c r="L93" t="b">
        <f t="shared" si="1"/>
        <v>1</v>
      </c>
    </row>
    <row r="94" spans="1:12" x14ac:dyDescent="0.25">
      <c r="A94" s="7" t="s">
        <v>1090</v>
      </c>
      <c r="B94" s="7">
        <v>0</v>
      </c>
      <c r="C94" s="7">
        <v>19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21</v>
      </c>
      <c r="J94" s="7">
        <v>0</v>
      </c>
      <c r="K94" s="7">
        <v>40</v>
      </c>
      <c r="L94" t="b">
        <f t="shared" si="1"/>
        <v>1</v>
      </c>
    </row>
    <row r="95" spans="1:12" x14ac:dyDescent="0.25">
      <c r="A95" s="7" t="s">
        <v>1091</v>
      </c>
      <c r="B95" s="7">
        <v>0</v>
      </c>
      <c r="C95" s="7">
        <v>60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6</v>
      </c>
      <c r="J95" s="7">
        <v>0</v>
      </c>
      <c r="K95" s="7">
        <v>66</v>
      </c>
      <c r="L95" t="b">
        <f t="shared" si="1"/>
        <v>1</v>
      </c>
    </row>
    <row r="96" spans="1:12" x14ac:dyDescent="0.25">
      <c r="A96" s="7" t="s">
        <v>1092</v>
      </c>
      <c r="B96" s="7">
        <v>0</v>
      </c>
      <c r="C96" s="7">
        <v>31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41</v>
      </c>
      <c r="J96" s="7">
        <v>0</v>
      </c>
      <c r="K96" s="7">
        <v>72</v>
      </c>
      <c r="L96" t="b">
        <f t="shared" si="1"/>
        <v>1</v>
      </c>
    </row>
    <row r="97" spans="1:12" x14ac:dyDescent="0.25">
      <c r="A97" s="7" t="s">
        <v>1093</v>
      </c>
      <c r="B97" s="7">
        <v>0</v>
      </c>
      <c r="C97" s="7">
        <v>18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60</v>
      </c>
      <c r="J97" s="7">
        <v>0</v>
      </c>
      <c r="K97" s="7">
        <v>78</v>
      </c>
      <c r="L97" t="b">
        <f t="shared" si="1"/>
        <v>1</v>
      </c>
    </row>
    <row r="98" spans="1:12" x14ac:dyDescent="0.25">
      <c r="A98" s="7" t="s">
        <v>1094</v>
      </c>
      <c r="B98" s="7">
        <v>0</v>
      </c>
      <c r="C98" s="7">
        <v>16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38</v>
      </c>
      <c r="J98" s="7">
        <v>0</v>
      </c>
      <c r="K98" s="7">
        <v>54</v>
      </c>
      <c r="L98" t="b">
        <f t="shared" si="1"/>
        <v>1</v>
      </c>
    </row>
    <row r="99" spans="1:12" x14ac:dyDescent="0.25">
      <c r="A99" s="7" t="s">
        <v>1095</v>
      </c>
      <c r="B99" s="7">
        <v>0</v>
      </c>
      <c r="C99" s="7">
        <v>87</v>
      </c>
      <c r="D99" s="7">
        <v>0</v>
      </c>
      <c r="E99" s="7">
        <v>0</v>
      </c>
      <c r="F99" s="7">
        <v>0</v>
      </c>
      <c r="G99" s="7">
        <v>2</v>
      </c>
      <c r="H99" s="7">
        <v>0</v>
      </c>
      <c r="I99" s="7">
        <v>0</v>
      </c>
      <c r="J99" s="7">
        <v>0</v>
      </c>
      <c r="K99" s="7">
        <v>89</v>
      </c>
      <c r="L99" t="b">
        <f t="shared" si="1"/>
        <v>1</v>
      </c>
    </row>
    <row r="100" spans="1:12" x14ac:dyDescent="0.25">
      <c r="A100" s="7" t="s">
        <v>1096</v>
      </c>
      <c r="B100" s="7">
        <v>0</v>
      </c>
      <c r="C100" s="7">
        <v>50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50</v>
      </c>
      <c r="L100" t="b">
        <f t="shared" si="1"/>
        <v>1</v>
      </c>
    </row>
    <row r="101" spans="1:12" x14ac:dyDescent="0.25">
      <c r="A101" s="7" t="s">
        <v>1097</v>
      </c>
      <c r="B101" s="7">
        <v>0</v>
      </c>
      <c r="C101" s="7">
        <v>47</v>
      </c>
      <c r="D101" s="7">
        <v>0</v>
      </c>
      <c r="E101" s="7">
        <v>0</v>
      </c>
      <c r="F101" s="7">
        <v>0</v>
      </c>
      <c r="G101" s="7">
        <v>1</v>
      </c>
      <c r="H101" s="7">
        <v>0</v>
      </c>
      <c r="I101" s="7">
        <v>0</v>
      </c>
      <c r="J101" s="7">
        <v>0</v>
      </c>
      <c r="K101" s="7">
        <v>48</v>
      </c>
      <c r="L101" t="b">
        <f t="shared" si="1"/>
        <v>1</v>
      </c>
    </row>
    <row r="102" spans="1:12" x14ac:dyDescent="0.25">
      <c r="A102" s="7" t="s">
        <v>1098</v>
      </c>
      <c r="B102" s="7">
        <v>0</v>
      </c>
      <c r="C102" s="7">
        <v>77</v>
      </c>
      <c r="D102" s="7">
        <v>0</v>
      </c>
      <c r="E102" s="7">
        <v>0</v>
      </c>
      <c r="F102" s="7">
        <v>0</v>
      </c>
      <c r="G102" s="7">
        <v>5</v>
      </c>
      <c r="H102" s="7">
        <v>0</v>
      </c>
      <c r="I102" s="7">
        <v>0</v>
      </c>
      <c r="J102" s="7">
        <v>0</v>
      </c>
      <c r="K102" s="7">
        <v>82</v>
      </c>
      <c r="L102" t="b">
        <f t="shared" si="1"/>
        <v>1</v>
      </c>
    </row>
    <row r="103" spans="1:12" x14ac:dyDescent="0.25">
      <c r="A103" s="7" t="s">
        <v>1099</v>
      </c>
      <c r="B103" s="7">
        <v>0</v>
      </c>
      <c r="C103" s="7">
        <v>28</v>
      </c>
      <c r="D103" s="7">
        <v>0</v>
      </c>
      <c r="E103" s="7">
        <v>0</v>
      </c>
      <c r="F103" s="7">
        <v>0</v>
      </c>
      <c r="G103" s="7">
        <v>10</v>
      </c>
      <c r="H103" s="7">
        <v>0</v>
      </c>
      <c r="I103" s="7">
        <v>0</v>
      </c>
      <c r="J103" s="7">
        <v>0</v>
      </c>
      <c r="K103" s="7">
        <v>38</v>
      </c>
      <c r="L103" t="b">
        <f t="shared" si="1"/>
        <v>1</v>
      </c>
    </row>
    <row r="104" spans="1:12" x14ac:dyDescent="0.25">
      <c r="A104" s="7" t="s">
        <v>1100</v>
      </c>
      <c r="B104" s="7">
        <v>0</v>
      </c>
      <c r="C104" s="7">
        <v>60</v>
      </c>
      <c r="D104" s="7">
        <v>0</v>
      </c>
      <c r="E104" s="7">
        <v>0</v>
      </c>
      <c r="F104" s="7">
        <v>0</v>
      </c>
      <c r="G104" s="7">
        <v>11</v>
      </c>
      <c r="H104" s="7">
        <v>0</v>
      </c>
      <c r="I104" s="7">
        <v>0</v>
      </c>
      <c r="J104" s="7">
        <v>0</v>
      </c>
      <c r="K104" s="7">
        <v>71</v>
      </c>
      <c r="L104" t="b">
        <f t="shared" si="1"/>
        <v>1</v>
      </c>
    </row>
    <row r="105" spans="1:12" x14ac:dyDescent="0.25">
      <c r="A105" s="7" t="s">
        <v>1101</v>
      </c>
      <c r="B105" s="7">
        <v>0</v>
      </c>
      <c r="C105" s="7">
        <v>50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50</v>
      </c>
      <c r="L105" t="b">
        <f t="shared" si="1"/>
        <v>1</v>
      </c>
    </row>
    <row r="106" spans="1:12" x14ac:dyDescent="0.25">
      <c r="A106" s="7" t="s">
        <v>1102</v>
      </c>
      <c r="B106" s="7">
        <v>0</v>
      </c>
      <c r="C106" s="7">
        <v>73</v>
      </c>
      <c r="D106" s="7">
        <v>0</v>
      </c>
      <c r="E106" s="7">
        <v>0</v>
      </c>
      <c r="F106" s="7">
        <v>0</v>
      </c>
      <c r="G106" s="7">
        <v>4</v>
      </c>
      <c r="H106" s="7">
        <v>0</v>
      </c>
      <c r="I106" s="7">
        <v>0</v>
      </c>
      <c r="J106" s="7">
        <v>0</v>
      </c>
      <c r="K106" s="7">
        <v>77</v>
      </c>
      <c r="L106" t="b">
        <f t="shared" si="1"/>
        <v>1</v>
      </c>
    </row>
    <row r="107" spans="1:12" x14ac:dyDescent="0.25">
      <c r="A107" s="7" t="s">
        <v>1103</v>
      </c>
      <c r="B107" s="7">
        <v>0</v>
      </c>
      <c r="C107" s="7">
        <v>40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40</v>
      </c>
      <c r="L107" t="b">
        <f t="shared" si="1"/>
        <v>1</v>
      </c>
    </row>
    <row r="108" spans="1:12" x14ac:dyDescent="0.25">
      <c r="A108" s="7" t="s">
        <v>1104</v>
      </c>
      <c r="B108" s="7">
        <v>0</v>
      </c>
      <c r="C108" s="7">
        <v>47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47</v>
      </c>
      <c r="L108" t="b">
        <f t="shared" si="1"/>
        <v>1</v>
      </c>
    </row>
    <row r="109" spans="1:12" x14ac:dyDescent="0.25">
      <c r="A109" s="7" t="s">
        <v>1105</v>
      </c>
      <c r="B109" s="7">
        <v>0</v>
      </c>
      <c r="C109" s="7">
        <v>90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90</v>
      </c>
      <c r="L109" t="b">
        <f t="shared" si="1"/>
        <v>1</v>
      </c>
    </row>
    <row r="110" spans="1:12" x14ac:dyDescent="0.25">
      <c r="A110" s="7" t="s">
        <v>1106</v>
      </c>
      <c r="B110" s="7">
        <v>0</v>
      </c>
      <c r="C110" s="7">
        <v>81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81</v>
      </c>
      <c r="L110" t="b">
        <f t="shared" si="1"/>
        <v>1</v>
      </c>
    </row>
    <row r="111" spans="1:12" x14ac:dyDescent="0.25">
      <c r="A111" s="7" t="s">
        <v>1107</v>
      </c>
      <c r="B111" s="7">
        <v>0</v>
      </c>
      <c r="C111" s="7">
        <v>55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55</v>
      </c>
      <c r="L111" t="b">
        <f t="shared" si="1"/>
        <v>1</v>
      </c>
    </row>
    <row r="112" spans="1:12" x14ac:dyDescent="0.25">
      <c r="A112" s="7" t="s">
        <v>1108</v>
      </c>
      <c r="B112" s="7">
        <v>0</v>
      </c>
      <c r="C112" s="7">
        <v>30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30</v>
      </c>
      <c r="L112" t="b">
        <f t="shared" si="1"/>
        <v>1</v>
      </c>
    </row>
    <row r="113" spans="1:12" x14ac:dyDescent="0.25">
      <c r="A113" s="7" t="s">
        <v>1109</v>
      </c>
      <c r="B113" s="7">
        <v>0</v>
      </c>
      <c r="C113" s="7">
        <v>62</v>
      </c>
      <c r="D113" s="7">
        <v>0</v>
      </c>
      <c r="E113" s="7">
        <v>0</v>
      </c>
      <c r="F113" s="7">
        <v>0</v>
      </c>
      <c r="G113" s="7">
        <v>3</v>
      </c>
      <c r="H113" s="7">
        <v>0</v>
      </c>
      <c r="I113" s="7">
        <v>0</v>
      </c>
      <c r="J113" s="7">
        <v>0</v>
      </c>
      <c r="K113" s="7">
        <v>65</v>
      </c>
      <c r="L113" t="b">
        <f t="shared" si="1"/>
        <v>1</v>
      </c>
    </row>
    <row r="114" spans="1:12" x14ac:dyDescent="0.25">
      <c r="A114" s="7" t="s">
        <v>1110</v>
      </c>
      <c r="B114" s="7">
        <v>0</v>
      </c>
      <c r="C114" s="7">
        <v>78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78</v>
      </c>
      <c r="L114" t="b">
        <f t="shared" si="1"/>
        <v>1</v>
      </c>
    </row>
    <row r="115" spans="1:12" x14ac:dyDescent="0.25">
      <c r="A115" s="7" t="s">
        <v>1111</v>
      </c>
      <c r="B115" s="7">
        <v>0</v>
      </c>
      <c r="C115" s="7">
        <v>30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30</v>
      </c>
      <c r="L115" t="b">
        <f t="shared" si="1"/>
        <v>1</v>
      </c>
    </row>
    <row r="116" spans="1:12" x14ac:dyDescent="0.25">
      <c r="A116" s="7" t="s">
        <v>1112</v>
      </c>
      <c r="B116" s="7">
        <v>0</v>
      </c>
      <c r="C116" s="7">
        <v>50</v>
      </c>
      <c r="D116" s="7">
        <v>0</v>
      </c>
      <c r="E116" s="7">
        <v>0</v>
      </c>
      <c r="F116" s="7">
        <v>0</v>
      </c>
      <c r="G116" s="7">
        <v>3</v>
      </c>
      <c r="H116" s="7">
        <v>0</v>
      </c>
      <c r="I116" s="7">
        <v>0</v>
      </c>
      <c r="J116" s="7">
        <v>0</v>
      </c>
      <c r="K116" s="7">
        <v>53</v>
      </c>
      <c r="L116" t="b">
        <f t="shared" si="1"/>
        <v>1</v>
      </c>
    </row>
    <row r="117" spans="1:12" x14ac:dyDescent="0.25">
      <c r="A117" s="7" t="s">
        <v>1113</v>
      </c>
      <c r="B117" s="7">
        <v>0</v>
      </c>
      <c r="C117" s="7">
        <v>72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72</v>
      </c>
      <c r="L117" t="b">
        <f t="shared" si="1"/>
        <v>1</v>
      </c>
    </row>
    <row r="118" spans="1:12" x14ac:dyDescent="0.25">
      <c r="A118" s="7" t="s">
        <v>1114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29</v>
      </c>
      <c r="J118" s="7">
        <v>0</v>
      </c>
      <c r="K118" s="7">
        <v>29</v>
      </c>
      <c r="L118" t="b">
        <f t="shared" si="1"/>
        <v>1</v>
      </c>
    </row>
    <row r="119" spans="1:12" x14ac:dyDescent="0.25">
      <c r="A119" s="7" t="s">
        <v>1115</v>
      </c>
      <c r="B119" s="7">
        <v>0</v>
      </c>
      <c r="C119" s="7">
        <v>18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46</v>
      </c>
      <c r="J119" s="7">
        <v>0</v>
      </c>
      <c r="K119" s="7">
        <v>64</v>
      </c>
      <c r="L119" t="b">
        <f t="shared" si="1"/>
        <v>1</v>
      </c>
    </row>
    <row r="120" spans="1:12" x14ac:dyDescent="0.25">
      <c r="A120" s="7" t="s">
        <v>1116</v>
      </c>
      <c r="B120" s="7">
        <v>0</v>
      </c>
      <c r="C120" s="7">
        <v>52</v>
      </c>
      <c r="D120" s="7">
        <v>0</v>
      </c>
      <c r="E120" s="7">
        <v>0</v>
      </c>
      <c r="F120" s="7">
        <v>0</v>
      </c>
      <c r="G120" s="7">
        <v>2</v>
      </c>
      <c r="H120" s="7">
        <v>0</v>
      </c>
      <c r="I120" s="7">
        <v>35</v>
      </c>
      <c r="J120" s="7">
        <v>0</v>
      </c>
      <c r="K120" s="7">
        <v>89</v>
      </c>
      <c r="L120" t="b">
        <f t="shared" si="1"/>
        <v>1</v>
      </c>
    </row>
    <row r="121" spans="1:12" x14ac:dyDescent="0.25">
      <c r="A121" s="7" t="s">
        <v>1117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77</v>
      </c>
      <c r="J121" s="7">
        <v>0</v>
      </c>
      <c r="K121" s="7">
        <v>77</v>
      </c>
      <c r="L121" t="b">
        <f t="shared" si="1"/>
        <v>1</v>
      </c>
    </row>
    <row r="122" spans="1:12" x14ac:dyDescent="0.25">
      <c r="A122" s="7" t="s">
        <v>1118</v>
      </c>
      <c r="B122" s="7">
        <v>0</v>
      </c>
      <c r="C122" s="7">
        <v>9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106</v>
      </c>
      <c r="J122" s="7">
        <v>0</v>
      </c>
      <c r="K122" s="7">
        <v>115</v>
      </c>
      <c r="L122" t="b">
        <f t="shared" si="1"/>
        <v>1</v>
      </c>
    </row>
    <row r="123" spans="1:12" x14ac:dyDescent="0.25">
      <c r="A123" s="7" t="s">
        <v>1119</v>
      </c>
      <c r="B123" s="7">
        <v>0</v>
      </c>
      <c r="C123" s="7">
        <v>27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32</v>
      </c>
      <c r="J123" s="7">
        <v>0</v>
      </c>
      <c r="K123" s="7">
        <v>59</v>
      </c>
      <c r="L123" t="b">
        <f t="shared" si="1"/>
        <v>1</v>
      </c>
    </row>
    <row r="124" spans="1:12" x14ac:dyDescent="0.25">
      <c r="A124" s="7" t="s">
        <v>1120</v>
      </c>
      <c r="B124" s="7">
        <v>0</v>
      </c>
      <c r="C124" s="7">
        <v>92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92</v>
      </c>
      <c r="L124" t="b">
        <f t="shared" si="1"/>
        <v>1</v>
      </c>
    </row>
    <row r="125" spans="1:12" x14ac:dyDescent="0.25">
      <c r="A125" s="7" t="s">
        <v>1121</v>
      </c>
      <c r="B125" s="7">
        <v>0</v>
      </c>
      <c r="C125" s="7">
        <v>80</v>
      </c>
      <c r="D125" s="7">
        <v>0</v>
      </c>
      <c r="E125" s="7">
        <v>0</v>
      </c>
      <c r="F125" s="7">
        <v>0</v>
      </c>
      <c r="G125" s="7">
        <v>2</v>
      </c>
      <c r="H125" s="7">
        <v>0</v>
      </c>
      <c r="I125" s="7">
        <v>0</v>
      </c>
      <c r="J125" s="7">
        <v>0</v>
      </c>
      <c r="K125" s="7">
        <v>82</v>
      </c>
      <c r="L125" t="b">
        <f t="shared" si="1"/>
        <v>1</v>
      </c>
    </row>
    <row r="126" spans="1:12" x14ac:dyDescent="0.25">
      <c r="A126" s="7" t="s">
        <v>1122</v>
      </c>
      <c r="B126" s="7">
        <v>0</v>
      </c>
      <c r="C126" s="7">
        <v>63</v>
      </c>
      <c r="D126" s="7">
        <v>0</v>
      </c>
      <c r="E126" s="7">
        <v>0</v>
      </c>
      <c r="F126" s="7">
        <v>0</v>
      </c>
      <c r="G126" s="7">
        <v>1</v>
      </c>
      <c r="H126" s="7">
        <v>0</v>
      </c>
      <c r="I126" s="7">
        <v>0</v>
      </c>
      <c r="J126" s="7">
        <v>0</v>
      </c>
      <c r="K126" s="7">
        <v>64</v>
      </c>
      <c r="L126" t="b">
        <f t="shared" si="1"/>
        <v>1</v>
      </c>
    </row>
    <row r="127" spans="1:12" x14ac:dyDescent="0.25">
      <c r="A127" s="7" t="s">
        <v>1123</v>
      </c>
      <c r="B127" s="7">
        <v>0</v>
      </c>
      <c r="C127" s="7">
        <v>77</v>
      </c>
      <c r="D127" s="7">
        <v>0</v>
      </c>
      <c r="E127" s="7">
        <v>0</v>
      </c>
      <c r="F127" s="7">
        <v>0</v>
      </c>
      <c r="G127" s="7">
        <v>1</v>
      </c>
      <c r="H127" s="7">
        <v>0</v>
      </c>
      <c r="I127" s="7">
        <v>0</v>
      </c>
      <c r="J127" s="7">
        <v>2</v>
      </c>
      <c r="K127" s="7">
        <v>80</v>
      </c>
      <c r="L127" t="b">
        <f t="shared" si="1"/>
        <v>1</v>
      </c>
    </row>
    <row r="128" spans="1:12" x14ac:dyDescent="0.25">
      <c r="A128" s="7" t="s">
        <v>1124</v>
      </c>
      <c r="B128" s="7">
        <v>0</v>
      </c>
      <c r="C128" s="7">
        <v>45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45</v>
      </c>
      <c r="L128" t="b">
        <f t="shared" si="1"/>
        <v>1</v>
      </c>
    </row>
    <row r="129" spans="1:12" x14ac:dyDescent="0.25">
      <c r="A129" s="7" t="s">
        <v>1125</v>
      </c>
      <c r="B129" s="7">
        <v>0</v>
      </c>
      <c r="C129" s="7">
        <v>54</v>
      </c>
      <c r="D129" s="7">
        <v>0</v>
      </c>
      <c r="E129" s="7">
        <v>0</v>
      </c>
      <c r="F129" s="7">
        <v>0</v>
      </c>
      <c r="G129" s="7">
        <v>1</v>
      </c>
      <c r="H129" s="7">
        <v>0</v>
      </c>
      <c r="I129" s="7">
        <v>0</v>
      </c>
      <c r="J129" s="7">
        <v>0</v>
      </c>
      <c r="K129" s="7">
        <v>55</v>
      </c>
      <c r="L129" t="b">
        <f t="shared" si="1"/>
        <v>1</v>
      </c>
    </row>
    <row r="130" spans="1:12" x14ac:dyDescent="0.25">
      <c r="A130" s="7" t="s">
        <v>1126</v>
      </c>
      <c r="B130" s="7">
        <v>0</v>
      </c>
      <c r="C130" s="7">
        <v>87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1</v>
      </c>
      <c r="J130" s="7">
        <v>0</v>
      </c>
      <c r="K130" s="7">
        <v>88</v>
      </c>
      <c r="L130" t="b">
        <f t="shared" si="1"/>
        <v>1</v>
      </c>
    </row>
    <row r="131" spans="1:12" x14ac:dyDescent="0.25">
      <c r="A131" s="7" t="s">
        <v>1127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93</v>
      </c>
      <c r="J131" s="7">
        <v>0</v>
      </c>
      <c r="K131" s="7">
        <v>93</v>
      </c>
      <c r="L131" t="b">
        <f t="shared" ref="L131:L194" si="2">K131=SUM(B131:J131)</f>
        <v>1</v>
      </c>
    </row>
    <row r="132" spans="1:12" x14ac:dyDescent="0.25">
      <c r="A132" s="7" t="s">
        <v>1128</v>
      </c>
      <c r="B132" s="7">
        <v>0</v>
      </c>
      <c r="C132" s="7">
        <v>68</v>
      </c>
      <c r="D132" s="7">
        <v>1</v>
      </c>
      <c r="E132" s="7">
        <v>0</v>
      </c>
      <c r="F132" s="7">
        <v>0</v>
      </c>
      <c r="G132" s="7">
        <v>0</v>
      </c>
      <c r="H132" s="7">
        <v>0</v>
      </c>
      <c r="I132" s="7">
        <v>4</v>
      </c>
      <c r="J132" s="7">
        <v>0</v>
      </c>
      <c r="K132" s="7">
        <v>73</v>
      </c>
      <c r="L132" t="b">
        <f t="shared" si="2"/>
        <v>1</v>
      </c>
    </row>
    <row r="133" spans="1:12" x14ac:dyDescent="0.25">
      <c r="A133" s="7" t="s">
        <v>1129</v>
      </c>
      <c r="B133" s="7">
        <v>0</v>
      </c>
      <c r="C133" s="7">
        <v>145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145</v>
      </c>
      <c r="L133" t="b">
        <f t="shared" si="2"/>
        <v>1</v>
      </c>
    </row>
    <row r="134" spans="1:12" x14ac:dyDescent="0.25">
      <c r="A134" s="7" t="s">
        <v>1130</v>
      </c>
      <c r="B134" s="7">
        <v>0</v>
      </c>
      <c r="C134" s="7">
        <v>59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59</v>
      </c>
      <c r="L134" t="b">
        <f t="shared" si="2"/>
        <v>1</v>
      </c>
    </row>
    <row r="135" spans="1:12" x14ac:dyDescent="0.25">
      <c r="A135" s="7" t="s">
        <v>1131</v>
      </c>
      <c r="B135" s="7">
        <v>0</v>
      </c>
      <c r="C135" s="7">
        <v>43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43</v>
      </c>
      <c r="L135" t="b">
        <f t="shared" si="2"/>
        <v>1</v>
      </c>
    </row>
    <row r="136" spans="1:12" x14ac:dyDescent="0.25">
      <c r="A136" s="7" t="s">
        <v>1132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52</v>
      </c>
      <c r="J136" s="7">
        <v>0</v>
      </c>
      <c r="K136" s="7">
        <v>52</v>
      </c>
      <c r="L136" t="b">
        <f t="shared" si="2"/>
        <v>1</v>
      </c>
    </row>
    <row r="137" spans="1:12" x14ac:dyDescent="0.25">
      <c r="A137" s="7" t="s">
        <v>1133</v>
      </c>
      <c r="B137" s="7">
        <v>0</v>
      </c>
      <c r="C137" s="7">
        <v>114</v>
      </c>
      <c r="D137" s="7">
        <v>0</v>
      </c>
      <c r="E137" s="7">
        <v>0</v>
      </c>
      <c r="F137" s="7">
        <v>0</v>
      </c>
      <c r="G137" s="7">
        <v>4</v>
      </c>
      <c r="H137" s="7">
        <v>0</v>
      </c>
      <c r="I137" s="7">
        <v>0</v>
      </c>
      <c r="J137" s="7">
        <v>0</v>
      </c>
      <c r="K137" s="7">
        <v>118</v>
      </c>
      <c r="L137" t="b">
        <f t="shared" si="2"/>
        <v>1</v>
      </c>
    </row>
    <row r="138" spans="1:12" x14ac:dyDescent="0.25">
      <c r="A138" s="7" t="s">
        <v>1134</v>
      </c>
      <c r="B138" s="7">
        <v>0</v>
      </c>
      <c r="C138" s="7">
        <v>139</v>
      </c>
      <c r="D138" s="7">
        <v>0</v>
      </c>
      <c r="E138" s="7">
        <v>0</v>
      </c>
      <c r="F138" s="7">
        <v>0</v>
      </c>
      <c r="G138" s="7">
        <v>7</v>
      </c>
      <c r="H138" s="7">
        <v>0</v>
      </c>
      <c r="I138" s="7">
        <v>0</v>
      </c>
      <c r="J138" s="7">
        <v>0</v>
      </c>
      <c r="K138" s="7">
        <v>146</v>
      </c>
      <c r="L138" t="b">
        <f t="shared" si="2"/>
        <v>1</v>
      </c>
    </row>
    <row r="139" spans="1:12" x14ac:dyDescent="0.25">
      <c r="A139" s="7" t="s">
        <v>1135</v>
      </c>
      <c r="B139" s="7">
        <v>0</v>
      </c>
      <c r="C139" s="7">
        <v>69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69</v>
      </c>
      <c r="L139" t="b">
        <f t="shared" si="2"/>
        <v>1</v>
      </c>
    </row>
    <row r="140" spans="1:12" x14ac:dyDescent="0.25">
      <c r="A140" s="7" t="s">
        <v>1136</v>
      </c>
      <c r="B140" s="7">
        <v>0</v>
      </c>
      <c r="C140" s="7">
        <v>218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218</v>
      </c>
      <c r="L140" t="b">
        <f t="shared" si="2"/>
        <v>1</v>
      </c>
    </row>
    <row r="141" spans="1:12" x14ac:dyDescent="0.25">
      <c r="A141" s="7" t="s">
        <v>1137</v>
      </c>
      <c r="B141" s="7">
        <v>0</v>
      </c>
      <c r="C141" s="7">
        <v>121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121</v>
      </c>
      <c r="L141" t="b">
        <f t="shared" si="2"/>
        <v>1</v>
      </c>
    </row>
    <row r="142" spans="1:12" x14ac:dyDescent="0.25">
      <c r="A142" s="7" t="s">
        <v>1138</v>
      </c>
      <c r="B142" s="7">
        <v>0</v>
      </c>
      <c r="C142" s="7">
        <v>75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75</v>
      </c>
      <c r="L142" t="b">
        <f t="shared" si="2"/>
        <v>1</v>
      </c>
    </row>
    <row r="143" spans="1:12" x14ac:dyDescent="0.25">
      <c r="A143" s="7" t="s">
        <v>1139</v>
      </c>
      <c r="B143" s="7">
        <v>0</v>
      </c>
      <c r="C143" s="7">
        <v>151</v>
      </c>
      <c r="D143" s="7">
        <v>0</v>
      </c>
      <c r="E143" s="7">
        <v>0</v>
      </c>
      <c r="F143" s="7">
        <v>0</v>
      </c>
      <c r="G143" s="7">
        <v>4</v>
      </c>
      <c r="H143" s="7">
        <v>0</v>
      </c>
      <c r="I143" s="7">
        <v>0</v>
      </c>
      <c r="J143" s="7">
        <v>0</v>
      </c>
      <c r="K143" s="7">
        <v>155</v>
      </c>
      <c r="L143" t="b">
        <f t="shared" si="2"/>
        <v>1</v>
      </c>
    </row>
    <row r="144" spans="1:12" x14ac:dyDescent="0.25">
      <c r="A144" s="7" t="s">
        <v>1140</v>
      </c>
      <c r="B144" s="7">
        <v>0</v>
      </c>
      <c r="C144" s="7">
        <v>125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125</v>
      </c>
      <c r="L144" t="b">
        <f t="shared" si="2"/>
        <v>1</v>
      </c>
    </row>
    <row r="145" spans="1:12" x14ac:dyDescent="0.25">
      <c r="A145" s="7" t="s">
        <v>1141</v>
      </c>
      <c r="B145" s="7">
        <v>0</v>
      </c>
      <c r="C145" s="7">
        <v>192</v>
      </c>
      <c r="D145" s="7">
        <v>0</v>
      </c>
      <c r="E145" s="7">
        <v>0</v>
      </c>
      <c r="F145" s="7">
        <v>0</v>
      </c>
      <c r="G145" s="7">
        <v>1</v>
      </c>
      <c r="H145" s="7">
        <v>0</v>
      </c>
      <c r="I145" s="7">
        <v>0</v>
      </c>
      <c r="J145" s="7">
        <v>0</v>
      </c>
      <c r="K145" s="7">
        <v>193</v>
      </c>
      <c r="L145" t="b">
        <f t="shared" si="2"/>
        <v>1</v>
      </c>
    </row>
    <row r="146" spans="1:12" x14ac:dyDescent="0.25">
      <c r="A146" s="7" t="s">
        <v>1142</v>
      </c>
      <c r="B146" s="7">
        <v>0</v>
      </c>
      <c r="C146" s="7">
        <v>68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23</v>
      </c>
      <c r="J146" s="7">
        <v>0</v>
      </c>
      <c r="K146" s="7">
        <v>91</v>
      </c>
      <c r="L146" t="b">
        <f t="shared" si="2"/>
        <v>1</v>
      </c>
    </row>
    <row r="147" spans="1:12" x14ac:dyDescent="0.25">
      <c r="A147" s="7" t="s">
        <v>1143</v>
      </c>
      <c r="B147" s="7">
        <v>0</v>
      </c>
      <c r="C147" s="7">
        <v>83</v>
      </c>
      <c r="D147" s="7">
        <v>0</v>
      </c>
      <c r="E147" s="7">
        <v>0</v>
      </c>
      <c r="F147" s="7">
        <v>0</v>
      </c>
      <c r="G147" s="7">
        <v>7</v>
      </c>
      <c r="H147" s="7">
        <v>0</v>
      </c>
      <c r="I147" s="7">
        <v>50</v>
      </c>
      <c r="J147" s="7">
        <v>0</v>
      </c>
      <c r="K147" s="7">
        <v>140</v>
      </c>
      <c r="L147" t="b">
        <f t="shared" si="2"/>
        <v>1</v>
      </c>
    </row>
    <row r="148" spans="1:12" x14ac:dyDescent="0.25">
      <c r="A148" s="7" t="s">
        <v>1144</v>
      </c>
      <c r="B148" s="7">
        <v>0</v>
      </c>
      <c r="C148" s="7">
        <v>79</v>
      </c>
      <c r="D148" s="7">
        <v>0</v>
      </c>
      <c r="E148" s="7">
        <v>0</v>
      </c>
      <c r="F148" s="7">
        <v>0</v>
      </c>
      <c r="G148" s="7">
        <v>6</v>
      </c>
      <c r="H148" s="7">
        <v>0</v>
      </c>
      <c r="I148" s="7">
        <v>40</v>
      </c>
      <c r="J148" s="7">
        <v>0</v>
      </c>
      <c r="K148" s="7">
        <v>125</v>
      </c>
      <c r="L148" t="b">
        <f t="shared" si="2"/>
        <v>1</v>
      </c>
    </row>
    <row r="149" spans="1:12" x14ac:dyDescent="0.25">
      <c r="A149" s="7" t="s">
        <v>1145</v>
      </c>
      <c r="B149" s="7">
        <v>0</v>
      </c>
      <c r="C149" s="7">
        <v>179</v>
      </c>
      <c r="D149" s="7">
        <v>0</v>
      </c>
      <c r="E149" s="7">
        <v>0</v>
      </c>
      <c r="F149" s="7">
        <v>0</v>
      </c>
      <c r="G149" s="7">
        <v>1</v>
      </c>
      <c r="H149" s="7">
        <v>0</v>
      </c>
      <c r="I149" s="7">
        <v>21</v>
      </c>
      <c r="J149" s="7">
        <v>0</v>
      </c>
      <c r="K149" s="7">
        <v>201</v>
      </c>
      <c r="L149" t="b">
        <f t="shared" si="2"/>
        <v>1</v>
      </c>
    </row>
    <row r="150" spans="1:12" x14ac:dyDescent="0.25">
      <c r="A150" s="7" t="s">
        <v>1146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94</v>
      </c>
      <c r="J150" s="7">
        <v>0</v>
      </c>
      <c r="K150" s="7">
        <v>94</v>
      </c>
      <c r="L150" t="b">
        <f t="shared" si="2"/>
        <v>1</v>
      </c>
    </row>
    <row r="151" spans="1:12" x14ac:dyDescent="0.25">
      <c r="A151" s="7" t="s">
        <v>1147</v>
      </c>
      <c r="B151" s="7">
        <v>0</v>
      </c>
      <c r="C151" s="7">
        <v>106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106</v>
      </c>
      <c r="L151" t="b">
        <f t="shared" si="2"/>
        <v>1</v>
      </c>
    </row>
    <row r="152" spans="1:12" x14ac:dyDescent="0.25">
      <c r="A152" s="7" t="s">
        <v>1148</v>
      </c>
      <c r="B152" s="7">
        <v>0</v>
      </c>
      <c r="C152" s="7">
        <v>50</v>
      </c>
      <c r="D152" s="7">
        <v>0</v>
      </c>
      <c r="E152" s="7">
        <v>0</v>
      </c>
      <c r="F152" s="7">
        <v>0</v>
      </c>
      <c r="G152" s="7">
        <v>2</v>
      </c>
      <c r="H152" s="7">
        <v>0</v>
      </c>
      <c r="I152" s="7">
        <v>9</v>
      </c>
      <c r="J152" s="7">
        <v>0</v>
      </c>
      <c r="K152" s="7">
        <v>61</v>
      </c>
      <c r="L152" t="b">
        <f t="shared" si="2"/>
        <v>1</v>
      </c>
    </row>
    <row r="153" spans="1:12" x14ac:dyDescent="0.25">
      <c r="A153" s="7" t="s">
        <v>1149</v>
      </c>
      <c r="B153" s="7">
        <v>0</v>
      </c>
      <c r="C153" s="7">
        <v>100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100</v>
      </c>
      <c r="L153" t="b">
        <f t="shared" si="2"/>
        <v>1</v>
      </c>
    </row>
    <row r="154" spans="1:12" x14ac:dyDescent="0.25">
      <c r="A154" s="7" t="s">
        <v>1150</v>
      </c>
      <c r="B154" s="7">
        <v>0</v>
      </c>
      <c r="C154" s="7">
        <v>36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33</v>
      </c>
      <c r="J154" s="7">
        <v>0</v>
      </c>
      <c r="K154" s="7">
        <v>69</v>
      </c>
      <c r="L154" t="b">
        <f t="shared" si="2"/>
        <v>1</v>
      </c>
    </row>
    <row r="155" spans="1:12" x14ac:dyDescent="0.25">
      <c r="A155" s="7" t="s">
        <v>1151</v>
      </c>
      <c r="B155" s="7">
        <v>0</v>
      </c>
      <c r="C155" s="7">
        <v>116</v>
      </c>
      <c r="D155" s="7">
        <v>0</v>
      </c>
      <c r="E155" s="7">
        <v>0</v>
      </c>
      <c r="F155" s="7">
        <v>0</v>
      </c>
      <c r="G155" s="7">
        <v>6</v>
      </c>
      <c r="H155" s="7">
        <v>0</v>
      </c>
      <c r="I155" s="7">
        <v>28</v>
      </c>
      <c r="J155" s="7">
        <v>0</v>
      </c>
      <c r="K155" s="7">
        <v>150</v>
      </c>
      <c r="L155" t="b">
        <f t="shared" si="2"/>
        <v>1</v>
      </c>
    </row>
    <row r="156" spans="1:12" x14ac:dyDescent="0.25">
      <c r="A156" s="7" t="s">
        <v>1152</v>
      </c>
      <c r="B156" s="7">
        <v>0</v>
      </c>
      <c r="C156" s="7">
        <v>207</v>
      </c>
      <c r="D156" s="7">
        <v>0</v>
      </c>
      <c r="E156" s="7">
        <v>0</v>
      </c>
      <c r="F156" s="7">
        <v>0</v>
      </c>
      <c r="G156" s="7">
        <v>2</v>
      </c>
      <c r="H156" s="7">
        <v>0</v>
      </c>
      <c r="I156" s="7">
        <v>20</v>
      </c>
      <c r="J156" s="7">
        <v>0</v>
      </c>
      <c r="K156" s="7">
        <v>229</v>
      </c>
      <c r="L156" t="b">
        <f t="shared" si="2"/>
        <v>1</v>
      </c>
    </row>
    <row r="157" spans="1:12" x14ac:dyDescent="0.25">
      <c r="A157" s="7" t="s">
        <v>1153</v>
      </c>
      <c r="B157" s="7">
        <v>0</v>
      </c>
      <c r="C157" s="7">
        <v>225</v>
      </c>
      <c r="D157" s="7">
        <v>0</v>
      </c>
      <c r="E157" s="7">
        <v>0</v>
      </c>
      <c r="F157" s="7">
        <v>0</v>
      </c>
      <c r="G157" s="7">
        <v>1</v>
      </c>
      <c r="H157" s="7">
        <v>0</v>
      </c>
      <c r="I157" s="7">
        <v>26</v>
      </c>
      <c r="J157" s="7">
        <v>0</v>
      </c>
      <c r="K157" s="7">
        <v>252</v>
      </c>
      <c r="L157" t="b">
        <f t="shared" si="2"/>
        <v>1</v>
      </c>
    </row>
    <row r="158" spans="1:12" x14ac:dyDescent="0.25">
      <c r="A158" s="7" t="s">
        <v>1154</v>
      </c>
      <c r="B158" s="7">
        <v>0</v>
      </c>
      <c r="C158" s="7">
        <v>230</v>
      </c>
      <c r="D158" s="7">
        <v>0</v>
      </c>
      <c r="E158" s="7">
        <v>0</v>
      </c>
      <c r="F158" s="7">
        <v>0</v>
      </c>
      <c r="G158" s="7">
        <v>5</v>
      </c>
      <c r="H158" s="7">
        <v>0</v>
      </c>
      <c r="I158" s="7">
        <v>0</v>
      </c>
      <c r="J158" s="7">
        <v>0</v>
      </c>
      <c r="K158" s="7">
        <v>235</v>
      </c>
      <c r="L158" t="b">
        <f t="shared" si="2"/>
        <v>1</v>
      </c>
    </row>
    <row r="159" spans="1:12" x14ac:dyDescent="0.25">
      <c r="A159" s="7" t="s">
        <v>1155</v>
      </c>
      <c r="B159" s="7">
        <v>0</v>
      </c>
      <c r="C159" s="7">
        <v>35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35</v>
      </c>
      <c r="L159" t="b">
        <f t="shared" si="2"/>
        <v>1</v>
      </c>
    </row>
    <row r="160" spans="1:12" x14ac:dyDescent="0.25">
      <c r="A160" s="7" t="s">
        <v>1156</v>
      </c>
      <c r="B160" s="7">
        <v>0</v>
      </c>
      <c r="C160" s="7">
        <v>55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55</v>
      </c>
      <c r="L160" t="b">
        <f t="shared" si="2"/>
        <v>1</v>
      </c>
    </row>
    <row r="161" spans="1:12" x14ac:dyDescent="0.25">
      <c r="A161" s="7" t="s">
        <v>1157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66</v>
      </c>
      <c r="J161" s="7">
        <v>0</v>
      </c>
      <c r="K161" s="7">
        <v>66</v>
      </c>
      <c r="L161" t="b">
        <f t="shared" si="2"/>
        <v>1</v>
      </c>
    </row>
    <row r="162" spans="1:12" x14ac:dyDescent="0.25">
      <c r="A162" s="7" t="s">
        <v>1158</v>
      </c>
      <c r="B162" s="7">
        <v>0</v>
      </c>
      <c r="C162" s="7">
        <v>51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18</v>
      </c>
      <c r="J162" s="7">
        <v>0</v>
      </c>
      <c r="K162" s="7">
        <v>69</v>
      </c>
      <c r="L162" t="b">
        <f t="shared" si="2"/>
        <v>1</v>
      </c>
    </row>
    <row r="163" spans="1:12" x14ac:dyDescent="0.25">
      <c r="A163" s="7" t="s">
        <v>1159</v>
      </c>
      <c r="B163" s="7">
        <v>0</v>
      </c>
      <c r="C163" s="7">
        <v>64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38</v>
      </c>
      <c r="J163" s="7">
        <v>2</v>
      </c>
      <c r="K163" s="7">
        <v>104</v>
      </c>
      <c r="L163" t="b">
        <f t="shared" si="2"/>
        <v>1</v>
      </c>
    </row>
    <row r="164" spans="1:12" x14ac:dyDescent="0.25">
      <c r="A164" s="7" t="s">
        <v>1160</v>
      </c>
      <c r="B164" s="7">
        <v>0</v>
      </c>
      <c r="C164" s="7">
        <v>89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1</v>
      </c>
      <c r="J164" s="7">
        <v>2</v>
      </c>
      <c r="K164" s="7">
        <v>92</v>
      </c>
      <c r="L164" t="b">
        <f t="shared" si="2"/>
        <v>1</v>
      </c>
    </row>
    <row r="165" spans="1:12" x14ac:dyDescent="0.25">
      <c r="A165" s="7" t="s">
        <v>1161</v>
      </c>
      <c r="B165" s="7">
        <v>0</v>
      </c>
      <c r="C165" s="7">
        <v>82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82</v>
      </c>
      <c r="L165" t="b">
        <f t="shared" si="2"/>
        <v>1</v>
      </c>
    </row>
    <row r="166" spans="1:12" x14ac:dyDescent="0.25">
      <c r="A166" s="7" t="s">
        <v>1162</v>
      </c>
      <c r="B166" s="7">
        <v>0</v>
      </c>
      <c r="C166" s="7">
        <v>69</v>
      </c>
      <c r="D166" s="7">
        <v>0</v>
      </c>
      <c r="E166" s="7">
        <v>0</v>
      </c>
      <c r="F166" s="7">
        <v>0</v>
      </c>
      <c r="G166" s="7">
        <v>1</v>
      </c>
      <c r="H166" s="7">
        <v>0</v>
      </c>
      <c r="I166" s="7">
        <v>0</v>
      </c>
      <c r="J166" s="7">
        <v>0</v>
      </c>
      <c r="K166" s="7">
        <v>70</v>
      </c>
      <c r="L166" t="b">
        <f t="shared" si="2"/>
        <v>1</v>
      </c>
    </row>
    <row r="167" spans="1:12" x14ac:dyDescent="0.25">
      <c r="A167" s="7" t="s">
        <v>1163</v>
      </c>
      <c r="B167" s="7">
        <v>0</v>
      </c>
      <c r="C167" s="7">
        <v>63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7">
        <v>64</v>
      </c>
      <c r="L167" t="b">
        <f t="shared" si="2"/>
        <v>1</v>
      </c>
    </row>
    <row r="168" spans="1:12" x14ac:dyDescent="0.25">
      <c r="A168" s="7" t="s">
        <v>1164</v>
      </c>
      <c r="B168" s="7">
        <v>0</v>
      </c>
      <c r="C168" s="7">
        <v>57</v>
      </c>
      <c r="D168" s="7">
        <v>0</v>
      </c>
      <c r="E168" s="7">
        <v>0</v>
      </c>
      <c r="F168" s="7">
        <v>0</v>
      </c>
      <c r="G168" s="7">
        <v>1</v>
      </c>
      <c r="H168" s="7">
        <v>0</v>
      </c>
      <c r="I168" s="7">
        <v>0</v>
      </c>
      <c r="J168" s="7">
        <v>0</v>
      </c>
      <c r="K168" s="7">
        <v>58</v>
      </c>
      <c r="L168" t="b">
        <f t="shared" si="2"/>
        <v>1</v>
      </c>
    </row>
    <row r="169" spans="1:12" x14ac:dyDescent="0.25">
      <c r="A169" s="7" t="s">
        <v>1165</v>
      </c>
      <c r="B169" s="7">
        <v>0</v>
      </c>
      <c r="C169" s="7">
        <v>39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2</v>
      </c>
      <c r="K169" s="7">
        <v>41</v>
      </c>
      <c r="L169" t="b">
        <f t="shared" si="2"/>
        <v>1</v>
      </c>
    </row>
    <row r="170" spans="1:12" x14ac:dyDescent="0.25">
      <c r="A170" s="7" t="s">
        <v>1166</v>
      </c>
      <c r="B170" s="7">
        <v>0</v>
      </c>
      <c r="C170" s="7">
        <v>84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1</v>
      </c>
      <c r="K170" s="7">
        <v>85</v>
      </c>
      <c r="L170" t="b">
        <f t="shared" si="2"/>
        <v>1</v>
      </c>
    </row>
    <row r="171" spans="1:12" x14ac:dyDescent="0.25">
      <c r="A171" s="7" t="s">
        <v>1167</v>
      </c>
      <c r="B171" s="7">
        <v>0</v>
      </c>
      <c r="C171" s="7">
        <v>106</v>
      </c>
      <c r="D171" s="7">
        <v>0</v>
      </c>
      <c r="E171" s="7">
        <v>0</v>
      </c>
      <c r="F171" s="7">
        <v>0</v>
      </c>
      <c r="G171" s="7">
        <v>2</v>
      </c>
      <c r="H171" s="7">
        <v>0</v>
      </c>
      <c r="I171" s="7">
        <v>0</v>
      </c>
      <c r="J171" s="7">
        <v>0</v>
      </c>
      <c r="K171" s="7">
        <v>108</v>
      </c>
      <c r="L171" t="b">
        <f t="shared" si="2"/>
        <v>1</v>
      </c>
    </row>
    <row r="172" spans="1:12" x14ac:dyDescent="0.25">
      <c r="A172" s="7" t="s">
        <v>1168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53</v>
      </c>
      <c r="J172" s="7">
        <v>0</v>
      </c>
      <c r="K172" s="7">
        <v>53</v>
      </c>
      <c r="L172" t="b">
        <f t="shared" si="2"/>
        <v>1</v>
      </c>
    </row>
    <row r="173" spans="1:12" x14ac:dyDescent="0.25">
      <c r="A173" s="7" t="s">
        <v>1169</v>
      </c>
      <c r="B173" s="7">
        <v>0</v>
      </c>
      <c r="C173" s="7">
        <v>43</v>
      </c>
      <c r="D173" s="7">
        <v>0</v>
      </c>
      <c r="E173" s="7">
        <v>0</v>
      </c>
      <c r="F173" s="7">
        <v>0</v>
      </c>
      <c r="G173" s="7">
        <v>8</v>
      </c>
      <c r="H173" s="7">
        <v>0</v>
      </c>
      <c r="I173" s="7">
        <v>0</v>
      </c>
      <c r="J173" s="7">
        <v>0</v>
      </c>
      <c r="K173" s="7">
        <v>51</v>
      </c>
      <c r="L173" t="b">
        <f t="shared" si="2"/>
        <v>1</v>
      </c>
    </row>
    <row r="174" spans="1:12" x14ac:dyDescent="0.25">
      <c r="A174" s="7" t="s">
        <v>1170</v>
      </c>
      <c r="B174" s="7">
        <v>0</v>
      </c>
      <c r="C174" s="7">
        <v>4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73</v>
      </c>
      <c r="J174" s="7">
        <v>0</v>
      </c>
      <c r="K174" s="7">
        <v>77</v>
      </c>
      <c r="L174" t="b">
        <f t="shared" si="2"/>
        <v>1</v>
      </c>
    </row>
    <row r="175" spans="1:12" x14ac:dyDescent="0.25">
      <c r="A175" s="7" t="s">
        <v>1171</v>
      </c>
      <c r="B175" s="7">
        <v>0</v>
      </c>
      <c r="C175" s="7">
        <v>110</v>
      </c>
      <c r="D175" s="7">
        <v>0</v>
      </c>
      <c r="E175" s="7">
        <v>0</v>
      </c>
      <c r="F175" s="7">
        <v>0</v>
      </c>
      <c r="G175" s="7">
        <v>5</v>
      </c>
      <c r="H175" s="7">
        <v>0</v>
      </c>
      <c r="I175" s="7">
        <v>0</v>
      </c>
      <c r="J175" s="7">
        <v>4</v>
      </c>
      <c r="K175" s="7">
        <v>119</v>
      </c>
      <c r="L175" t="b">
        <f t="shared" si="2"/>
        <v>1</v>
      </c>
    </row>
    <row r="176" spans="1:12" x14ac:dyDescent="0.25">
      <c r="A176" s="7" t="s">
        <v>1172</v>
      </c>
      <c r="B176" s="7">
        <v>0</v>
      </c>
      <c r="C176" s="7">
        <v>149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1</v>
      </c>
      <c r="K176" s="7">
        <v>150</v>
      </c>
      <c r="L176" t="b">
        <f t="shared" si="2"/>
        <v>1</v>
      </c>
    </row>
    <row r="177" spans="1:12" x14ac:dyDescent="0.25">
      <c r="A177" s="7" t="s">
        <v>1173</v>
      </c>
      <c r="B177" s="7">
        <v>0</v>
      </c>
      <c r="C177" s="7">
        <v>104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104</v>
      </c>
      <c r="L177" t="b">
        <f t="shared" si="2"/>
        <v>1</v>
      </c>
    </row>
    <row r="178" spans="1:12" x14ac:dyDescent="0.25">
      <c r="A178" s="7" t="s">
        <v>1174</v>
      </c>
      <c r="B178" s="7">
        <v>0</v>
      </c>
      <c r="C178" s="7">
        <v>99</v>
      </c>
      <c r="D178" s="7">
        <v>0</v>
      </c>
      <c r="E178" s="7">
        <v>0</v>
      </c>
      <c r="F178" s="7">
        <v>0</v>
      </c>
      <c r="G178" s="7">
        <v>4</v>
      </c>
      <c r="H178" s="7">
        <v>0</v>
      </c>
      <c r="I178" s="7">
        <v>0</v>
      </c>
      <c r="J178" s="7">
        <v>0</v>
      </c>
      <c r="K178" s="7">
        <v>103</v>
      </c>
      <c r="L178" t="b">
        <f t="shared" si="2"/>
        <v>1</v>
      </c>
    </row>
    <row r="179" spans="1:12" x14ac:dyDescent="0.25">
      <c r="A179" s="7" t="s">
        <v>1175</v>
      </c>
      <c r="B179" s="7">
        <v>0</v>
      </c>
      <c r="C179" s="7">
        <v>70</v>
      </c>
      <c r="D179" s="7">
        <v>0</v>
      </c>
      <c r="E179" s="7">
        <v>0</v>
      </c>
      <c r="F179" s="7">
        <v>0</v>
      </c>
      <c r="G179" s="7">
        <v>2</v>
      </c>
      <c r="H179" s="7">
        <v>0</v>
      </c>
      <c r="I179" s="7">
        <v>0</v>
      </c>
      <c r="J179" s="7">
        <v>0</v>
      </c>
      <c r="K179" s="7">
        <v>72</v>
      </c>
      <c r="L179" t="b">
        <f t="shared" si="2"/>
        <v>1</v>
      </c>
    </row>
    <row r="180" spans="1:12" x14ac:dyDescent="0.25">
      <c r="A180" s="7" t="s">
        <v>1176</v>
      </c>
      <c r="B180" s="7">
        <v>0</v>
      </c>
      <c r="C180" s="7">
        <v>67</v>
      </c>
      <c r="D180" s="7">
        <v>0</v>
      </c>
      <c r="E180" s="7">
        <v>0</v>
      </c>
      <c r="F180" s="7">
        <v>0</v>
      </c>
      <c r="G180" s="7">
        <v>4</v>
      </c>
      <c r="H180" s="7">
        <v>0</v>
      </c>
      <c r="I180" s="7">
        <v>0</v>
      </c>
      <c r="J180" s="7">
        <v>0</v>
      </c>
      <c r="K180" s="7">
        <v>71</v>
      </c>
      <c r="L180" t="b">
        <f t="shared" si="2"/>
        <v>1</v>
      </c>
    </row>
    <row r="181" spans="1:12" x14ac:dyDescent="0.25">
      <c r="A181" s="7" t="s">
        <v>1177</v>
      </c>
      <c r="B181" s="7">
        <v>0</v>
      </c>
      <c r="C181" s="7">
        <v>239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239</v>
      </c>
      <c r="L181" t="b">
        <f t="shared" si="2"/>
        <v>1</v>
      </c>
    </row>
    <row r="182" spans="1:12" x14ac:dyDescent="0.25">
      <c r="A182" s="7" t="s">
        <v>1178</v>
      </c>
      <c r="B182" s="7">
        <v>0</v>
      </c>
      <c r="C182" s="7">
        <v>98</v>
      </c>
      <c r="D182" s="7">
        <v>0</v>
      </c>
      <c r="E182" s="7">
        <v>0</v>
      </c>
      <c r="F182" s="7">
        <v>0</v>
      </c>
      <c r="G182" s="7">
        <v>9</v>
      </c>
      <c r="H182" s="7">
        <v>0</v>
      </c>
      <c r="I182" s="7">
        <v>0</v>
      </c>
      <c r="J182" s="7">
        <v>0</v>
      </c>
      <c r="K182" s="7">
        <v>107</v>
      </c>
      <c r="L182" t="b">
        <f t="shared" si="2"/>
        <v>1</v>
      </c>
    </row>
    <row r="183" spans="1:12" x14ac:dyDescent="0.25">
      <c r="A183" s="7" t="s">
        <v>1179</v>
      </c>
      <c r="B183" s="7">
        <v>0</v>
      </c>
      <c r="C183" s="7">
        <v>177</v>
      </c>
      <c r="D183" s="7">
        <v>0</v>
      </c>
      <c r="E183" s="7">
        <v>0</v>
      </c>
      <c r="F183" s="7">
        <v>0</v>
      </c>
      <c r="G183" s="7">
        <v>0</v>
      </c>
      <c r="H183" s="7">
        <v>1</v>
      </c>
      <c r="I183" s="7">
        <v>0</v>
      </c>
      <c r="J183" s="7">
        <v>0</v>
      </c>
      <c r="K183" s="7">
        <v>178</v>
      </c>
      <c r="L183" t="b">
        <f t="shared" si="2"/>
        <v>1</v>
      </c>
    </row>
    <row r="184" spans="1:12" x14ac:dyDescent="0.25">
      <c r="A184" s="7" t="s">
        <v>1180</v>
      </c>
      <c r="B184" s="7">
        <v>0</v>
      </c>
      <c r="C184" s="7">
        <v>64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64</v>
      </c>
      <c r="L184" t="b">
        <f t="shared" si="2"/>
        <v>1</v>
      </c>
    </row>
    <row r="185" spans="1:12" x14ac:dyDescent="0.25">
      <c r="A185" s="7" t="s">
        <v>1181</v>
      </c>
      <c r="B185" s="7">
        <v>0</v>
      </c>
      <c r="C185" s="7">
        <v>53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53</v>
      </c>
      <c r="L185" t="b">
        <f t="shared" si="2"/>
        <v>1</v>
      </c>
    </row>
    <row r="186" spans="1:12" x14ac:dyDescent="0.25">
      <c r="A186" s="7" t="s">
        <v>1182</v>
      </c>
      <c r="B186" s="7">
        <v>0</v>
      </c>
      <c r="C186" s="7">
        <v>56</v>
      </c>
      <c r="D186" s="7">
        <v>0</v>
      </c>
      <c r="E186" s="7">
        <v>0</v>
      </c>
      <c r="F186" s="7">
        <v>0</v>
      </c>
      <c r="G186" s="7">
        <v>5</v>
      </c>
      <c r="H186" s="7">
        <v>0</v>
      </c>
      <c r="I186" s="7">
        <v>0</v>
      </c>
      <c r="J186" s="7">
        <v>0</v>
      </c>
      <c r="K186" s="7">
        <v>61</v>
      </c>
      <c r="L186" t="b">
        <f t="shared" si="2"/>
        <v>1</v>
      </c>
    </row>
    <row r="187" spans="1:12" x14ac:dyDescent="0.25">
      <c r="A187" s="7" t="s">
        <v>1183</v>
      </c>
      <c r="B187" s="7">
        <v>0</v>
      </c>
      <c r="C187" s="7">
        <v>23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48</v>
      </c>
      <c r="J187" s="7">
        <v>0</v>
      </c>
      <c r="K187" s="7">
        <v>71</v>
      </c>
      <c r="L187" t="b">
        <f t="shared" si="2"/>
        <v>1</v>
      </c>
    </row>
    <row r="188" spans="1:12" x14ac:dyDescent="0.25">
      <c r="A188" s="7" t="s">
        <v>1184</v>
      </c>
      <c r="B188" s="7">
        <v>0</v>
      </c>
      <c r="C188" s="7">
        <v>80</v>
      </c>
      <c r="D188" s="7">
        <v>0</v>
      </c>
      <c r="E188" s="7">
        <v>0</v>
      </c>
      <c r="F188" s="7">
        <v>0</v>
      </c>
      <c r="G188" s="7">
        <v>2</v>
      </c>
      <c r="H188" s="7">
        <v>0</v>
      </c>
      <c r="I188" s="7">
        <v>47</v>
      </c>
      <c r="J188" s="7">
        <v>0</v>
      </c>
      <c r="K188" s="7">
        <v>129</v>
      </c>
      <c r="L188" t="b">
        <f t="shared" si="2"/>
        <v>1</v>
      </c>
    </row>
    <row r="189" spans="1:12" x14ac:dyDescent="0.25">
      <c r="A189" s="7" t="s">
        <v>1185</v>
      </c>
      <c r="B189" s="7">
        <v>0</v>
      </c>
      <c r="C189" s="7">
        <v>42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63</v>
      </c>
      <c r="J189" s="7">
        <v>0</v>
      </c>
      <c r="K189" s="7">
        <v>105</v>
      </c>
      <c r="L189" t="b">
        <f t="shared" si="2"/>
        <v>1</v>
      </c>
    </row>
    <row r="190" spans="1:12" x14ac:dyDescent="0.25">
      <c r="A190" s="7" t="s">
        <v>1186</v>
      </c>
      <c r="B190" s="7">
        <v>0</v>
      </c>
      <c r="C190" s="7">
        <v>29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27</v>
      </c>
      <c r="J190" s="7">
        <v>0</v>
      </c>
      <c r="K190" s="7">
        <v>56</v>
      </c>
      <c r="L190" t="b">
        <f t="shared" si="2"/>
        <v>1</v>
      </c>
    </row>
    <row r="191" spans="1:12" x14ac:dyDescent="0.25">
      <c r="A191" s="7" t="s">
        <v>1187</v>
      </c>
      <c r="B191" s="7">
        <v>0</v>
      </c>
      <c r="C191" s="7">
        <v>24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45</v>
      </c>
      <c r="J191" s="7">
        <v>0</v>
      </c>
      <c r="K191" s="7">
        <v>69</v>
      </c>
      <c r="L191" t="b">
        <f t="shared" si="2"/>
        <v>1</v>
      </c>
    </row>
    <row r="192" spans="1:12" x14ac:dyDescent="0.25">
      <c r="A192" s="7" t="s">
        <v>1188</v>
      </c>
      <c r="B192" s="7">
        <v>0</v>
      </c>
      <c r="C192" s="7">
        <v>100</v>
      </c>
      <c r="D192" s="7">
        <v>0</v>
      </c>
      <c r="E192" s="7">
        <v>0</v>
      </c>
      <c r="F192" s="7">
        <v>0</v>
      </c>
      <c r="G192" s="7">
        <v>1</v>
      </c>
      <c r="H192" s="7">
        <v>0</v>
      </c>
      <c r="I192" s="7">
        <v>0</v>
      </c>
      <c r="J192" s="7">
        <v>0</v>
      </c>
      <c r="K192" s="7">
        <v>101</v>
      </c>
      <c r="L192" t="b">
        <f t="shared" si="2"/>
        <v>1</v>
      </c>
    </row>
    <row r="193" spans="1:12" x14ac:dyDescent="0.25">
      <c r="A193" s="7" t="s">
        <v>1189</v>
      </c>
      <c r="B193" s="7">
        <v>0</v>
      </c>
      <c r="C193" s="7">
        <v>36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29</v>
      </c>
      <c r="J193" s="7">
        <v>0</v>
      </c>
      <c r="K193" s="7">
        <v>65</v>
      </c>
      <c r="L193" t="b">
        <f t="shared" si="2"/>
        <v>1</v>
      </c>
    </row>
    <row r="194" spans="1:12" x14ac:dyDescent="0.25">
      <c r="A194" s="7" t="s">
        <v>1190</v>
      </c>
      <c r="B194" s="7">
        <v>0</v>
      </c>
      <c r="C194" s="7">
        <v>82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82</v>
      </c>
      <c r="L194" t="b">
        <f t="shared" si="2"/>
        <v>1</v>
      </c>
    </row>
    <row r="195" spans="1:12" x14ac:dyDescent="0.25">
      <c r="A195" s="7" t="s">
        <v>1191</v>
      </c>
      <c r="B195" s="7">
        <v>0</v>
      </c>
      <c r="C195" s="7">
        <v>104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104</v>
      </c>
      <c r="L195" t="b">
        <f t="shared" ref="L195:L258" si="3">K195=SUM(B195:J195)</f>
        <v>1</v>
      </c>
    </row>
    <row r="196" spans="1:12" x14ac:dyDescent="0.25">
      <c r="A196" s="7" t="s">
        <v>1192</v>
      </c>
      <c r="B196" s="7">
        <v>0</v>
      </c>
      <c r="C196" s="7">
        <v>171</v>
      </c>
      <c r="D196" s="7">
        <v>0</v>
      </c>
      <c r="E196" s="7">
        <v>0</v>
      </c>
      <c r="F196" s="7">
        <v>0</v>
      </c>
      <c r="G196" s="7">
        <v>1</v>
      </c>
      <c r="H196" s="7">
        <v>0</v>
      </c>
      <c r="I196" s="7">
        <v>0</v>
      </c>
      <c r="J196" s="7">
        <v>0</v>
      </c>
      <c r="K196" s="7">
        <v>172</v>
      </c>
      <c r="L196" t="b">
        <f t="shared" si="3"/>
        <v>1</v>
      </c>
    </row>
    <row r="197" spans="1:12" x14ac:dyDescent="0.25">
      <c r="A197" s="7" t="s">
        <v>1193</v>
      </c>
      <c r="B197" s="7">
        <v>0</v>
      </c>
      <c r="C197" s="7">
        <v>138</v>
      </c>
      <c r="D197" s="7">
        <v>0</v>
      </c>
      <c r="E197" s="7">
        <v>0</v>
      </c>
      <c r="F197" s="7">
        <v>0</v>
      </c>
      <c r="G197" s="7">
        <v>1</v>
      </c>
      <c r="H197" s="7">
        <v>0</v>
      </c>
      <c r="I197" s="7">
        <v>0</v>
      </c>
      <c r="J197" s="7">
        <v>0</v>
      </c>
      <c r="K197" s="7">
        <v>139</v>
      </c>
      <c r="L197" t="b">
        <f t="shared" si="3"/>
        <v>1</v>
      </c>
    </row>
    <row r="198" spans="1:12" x14ac:dyDescent="0.25">
      <c r="A198" s="7" t="s">
        <v>1194</v>
      </c>
      <c r="B198" s="7">
        <v>0</v>
      </c>
      <c r="C198" s="7">
        <v>33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63</v>
      </c>
      <c r="J198" s="7">
        <v>0</v>
      </c>
      <c r="K198" s="7">
        <v>96</v>
      </c>
      <c r="L198" t="b">
        <f t="shared" si="3"/>
        <v>1</v>
      </c>
    </row>
    <row r="199" spans="1:12" x14ac:dyDescent="0.25">
      <c r="A199" s="7" t="s">
        <v>1195</v>
      </c>
      <c r="B199" s="7">
        <v>0</v>
      </c>
      <c r="C199" s="7">
        <v>62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43</v>
      </c>
      <c r="J199" s="7">
        <v>0</v>
      </c>
      <c r="K199" s="7">
        <v>105</v>
      </c>
      <c r="L199" t="b">
        <f t="shared" si="3"/>
        <v>1</v>
      </c>
    </row>
    <row r="200" spans="1:12" x14ac:dyDescent="0.25">
      <c r="A200" s="7" t="s">
        <v>1196</v>
      </c>
      <c r="B200" s="7">
        <v>0</v>
      </c>
      <c r="C200" s="7">
        <v>78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9</v>
      </c>
      <c r="J200" s="7">
        <v>0</v>
      </c>
      <c r="K200" s="7">
        <v>87</v>
      </c>
      <c r="L200" t="b">
        <f t="shared" si="3"/>
        <v>1</v>
      </c>
    </row>
    <row r="201" spans="1:12" x14ac:dyDescent="0.25">
      <c r="A201" s="7" t="s">
        <v>1197</v>
      </c>
      <c r="B201" s="7">
        <v>0</v>
      </c>
      <c r="C201" s="7">
        <v>40</v>
      </c>
      <c r="D201" s="7">
        <v>0</v>
      </c>
      <c r="E201" s="7">
        <v>0</v>
      </c>
      <c r="F201" s="7">
        <v>0</v>
      </c>
      <c r="G201" s="7">
        <v>1</v>
      </c>
      <c r="H201" s="7">
        <v>0</v>
      </c>
      <c r="I201" s="7">
        <v>0</v>
      </c>
      <c r="J201" s="7">
        <v>0</v>
      </c>
      <c r="K201" s="7">
        <v>41</v>
      </c>
      <c r="L201" t="b">
        <f t="shared" si="3"/>
        <v>1</v>
      </c>
    </row>
    <row r="202" spans="1:12" x14ac:dyDescent="0.25">
      <c r="A202" s="7" t="s">
        <v>1198</v>
      </c>
      <c r="B202" s="7">
        <v>0</v>
      </c>
      <c r="C202" s="7">
        <v>105</v>
      </c>
      <c r="D202" s="7">
        <v>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7">
        <v>106</v>
      </c>
      <c r="L202" t="b">
        <f t="shared" si="3"/>
        <v>1</v>
      </c>
    </row>
    <row r="203" spans="1:12" x14ac:dyDescent="0.25">
      <c r="A203" s="7" t="s">
        <v>1199</v>
      </c>
      <c r="B203" s="7">
        <v>0</v>
      </c>
      <c r="C203" s="7">
        <v>110</v>
      </c>
      <c r="D203" s="7">
        <v>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7">
        <v>111</v>
      </c>
      <c r="L203" t="b">
        <f t="shared" si="3"/>
        <v>1</v>
      </c>
    </row>
    <row r="204" spans="1:12" x14ac:dyDescent="0.25">
      <c r="A204" s="7" t="s">
        <v>1200</v>
      </c>
      <c r="B204" s="7">
        <v>0</v>
      </c>
      <c r="C204" s="7">
        <v>80</v>
      </c>
      <c r="D204" s="7">
        <v>0</v>
      </c>
      <c r="E204" s="7">
        <v>0</v>
      </c>
      <c r="F204" s="7">
        <v>0</v>
      </c>
      <c r="G204" s="7">
        <v>1</v>
      </c>
      <c r="H204" s="7">
        <v>0</v>
      </c>
      <c r="I204" s="7">
        <v>0</v>
      </c>
      <c r="J204" s="7">
        <v>0</v>
      </c>
      <c r="K204" s="7">
        <v>81</v>
      </c>
      <c r="L204" t="b">
        <f t="shared" si="3"/>
        <v>1</v>
      </c>
    </row>
    <row r="205" spans="1:12" x14ac:dyDescent="0.25">
      <c r="A205" s="7" t="s">
        <v>1201</v>
      </c>
      <c r="B205" s="7">
        <v>0</v>
      </c>
      <c r="C205" s="7">
        <v>165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165</v>
      </c>
      <c r="L205" t="b">
        <f t="shared" si="3"/>
        <v>1</v>
      </c>
    </row>
    <row r="206" spans="1:12" x14ac:dyDescent="0.25">
      <c r="A206" s="7" t="s">
        <v>1202</v>
      </c>
      <c r="B206" s="7">
        <v>0</v>
      </c>
      <c r="C206" s="7">
        <v>140</v>
      </c>
      <c r="D206" s="7">
        <v>5</v>
      </c>
      <c r="E206" s="7">
        <v>0</v>
      </c>
      <c r="F206" s="7">
        <v>0</v>
      </c>
      <c r="G206" s="7">
        <v>6</v>
      </c>
      <c r="H206" s="7">
        <v>0</v>
      </c>
      <c r="I206" s="7">
        <v>0</v>
      </c>
      <c r="J206" s="7">
        <v>0</v>
      </c>
      <c r="K206" s="7">
        <v>151</v>
      </c>
      <c r="L206" t="b">
        <f t="shared" si="3"/>
        <v>1</v>
      </c>
    </row>
    <row r="207" spans="1:12" x14ac:dyDescent="0.25">
      <c r="A207" s="7" t="s">
        <v>1203</v>
      </c>
      <c r="B207" s="7">
        <v>0</v>
      </c>
      <c r="C207" s="7">
        <v>91</v>
      </c>
      <c r="D207" s="7">
        <v>2</v>
      </c>
      <c r="E207" s="7">
        <v>0</v>
      </c>
      <c r="F207" s="7">
        <v>0</v>
      </c>
      <c r="G207" s="7">
        <v>3</v>
      </c>
      <c r="H207" s="7">
        <v>0</v>
      </c>
      <c r="I207" s="7">
        <v>0</v>
      </c>
      <c r="J207" s="7">
        <v>0</v>
      </c>
      <c r="K207" s="7">
        <v>96</v>
      </c>
      <c r="L207" t="b">
        <f t="shared" si="3"/>
        <v>1</v>
      </c>
    </row>
    <row r="208" spans="1:12" x14ac:dyDescent="0.25">
      <c r="A208" s="7" t="s">
        <v>1204</v>
      </c>
      <c r="B208" s="7">
        <v>0</v>
      </c>
      <c r="C208" s="7">
        <v>120</v>
      </c>
      <c r="D208" s="7">
        <v>2</v>
      </c>
      <c r="E208" s="7">
        <v>0</v>
      </c>
      <c r="F208" s="7">
        <v>0</v>
      </c>
      <c r="G208" s="7">
        <v>0</v>
      </c>
      <c r="H208" s="7">
        <v>0</v>
      </c>
      <c r="I208" s="7">
        <v>2</v>
      </c>
      <c r="J208" s="7">
        <v>0</v>
      </c>
      <c r="K208" s="7">
        <v>124</v>
      </c>
      <c r="L208" t="b">
        <f t="shared" si="3"/>
        <v>1</v>
      </c>
    </row>
    <row r="209" spans="1:12" x14ac:dyDescent="0.25">
      <c r="A209" s="7" t="s">
        <v>1205</v>
      </c>
      <c r="B209" s="7">
        <v>0</v>
      </c>
      <c r="C209" s="7">
        <v>79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79</v>
      </c>
      <c r="L209" t="b">
        <f t="shared" si="3"/>
        <v>1</v>
      </c>
    </row>
    <row r="210" spans="1:12" x14ac:dyDescent="0.25">
      <c r="A210" s="7" t="s">
        <v>1206</v>
      </c>
      <c r="B210" s="7">
        <v>0</v>
      </c>
      <c r="C210" s="7">
        <v>63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4</v>
      </c>
      <c r="J210" s="7">
        <v>0</v>
      </c>
      <c r="K210" s="7">
        <v>67</v>
      </c>
      <c r="L210" t="b">
        <f t="shared" si="3"/>
        <v>1</v>
      </c>
    </row>
    <row r="211" spans="1:12" x14ac:dyDescent="0.25">
      <c r="A211" s="7" t="s">
        <v>1207</v>
      </c>
      <c r="B211" s="7">
        <v>0</v>
      </c>
      <c r="C211" s="7">
        <v>87</v>
      </c>
      <c r="D211" s="7">
        <v>1</v>
      </c>
      <c r="E211" s="7">
        <v>0</v>
      </c>
      <c r="F211" s="7">
        <v>0</v>
      </c>
      <c r="G211" s="7">
        <v>0</v>
      </c>
      <c r="H211" s="7">
        <v>0</v>
      </c>
      <c r="I211" s="7">
        <v>3</v>
      </c>
      <c r="J211" s="7">
        <v>0</v>
      </c>
      <c r="K211" s="7">
        <v>91</v>
      </c>
      <c r="L211" t="b">
        <f t="shared" si="3"/>
        <v>1</v>
      </c>
    </row>
    <row r="212" spans="1:12" x14ac:dyDescent="0.25">
      <c r="A212" s="7" t="s">
        <v>1208</v>
      </c>
      <c r="B212" s="7">
        <v>0</v>
      </c>
      <c r="C212" s="7">
        <v>197</v>
      </c>
      <c r="D212" s="7">
        <v>1</v>
      </c>
      <c r="E212" s="7">
        <v>0</v>
      </c>
      <c r="F212" s="7">
        <v>0</v>
      </c>
      <c r="G212" s="7">
        <v>6</v>
      </c>
      <c r="H212" s="7">
        <v>0</v>
      </c>
      <c r="I212" s="7">
        <v>0</v>
      </c>
      <c r="J212" s="7">
        <v>0</v>
      </c>
      <c r="K212" s="7">
        <v>204</v>
      </c>
      <c r="L212" t="b">
        <f t="shared" si="3"/>
        <v>1</v>
      </c>
    </row>
    <row r="213" spans="1:12" x14ac:dyDescent="0.25">
      <c r="A213" s="7" t="s">
        <v>1209</v>
      </c>
      <c r="B213" s="7">
        <v>0</v>
      </c>
      <c r="C213" s="7">
        <v>88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88</v>
      </c>
      <c r="L213" t="b">
        <f t="shared" si="3"/>
        <v>1</v>
      </c>
    </row>
    <row r="214" spans="1:12" x14ac:dyDescent="0.25">
      <c r="A214" s="7" t="s">
        <v>1210</v>
      </c>
      <c r="B214" s="7">
        <v>0</v>
      </c>
      <c r="C214" s="7">
        <v>129</v>
      </c>
      <c r="D214" s="7">
        <v>0</v>
      </c>
      <c r="E214" s="7">
        <v>0</v>
      </c>
      <c r="F214" s="7">
        <v>0</v>
      </c>
      <c r="G214" s="7">
        <v>1</v>
      </c>
      <c r="H214" s="7">
        <v>0</v>
      </c>
      <c r="I214" s="7">
        <v>0</v>
      </c>
      <c r="J214" s="7">
        <v>0</v>
      </c>
      <c r="K214" s="7">
        <v>130</v>
      </c>
      <c r="L214" t="b">
        <f t="shared" si="3"/>
        <v>1</v>
      </c>
    </row>
    <row r="215" spans="1:12" x14ac:dyDescent="0.25">
      <c r="A215" s="7" t="s">
        <v>1211</v>
      </c>
      <c r="B215" s="7">
        <v>0</v>
      </c>
      <c r="C215" s="7">
        <v>246</v>
      </c>
      <c r="D215" s="7">
        <v>2</v>
      </c>
      <c r="E215" s="7">
        <v>0</v>
      </c>
      <c r="F215" s="7">
        <v>0</v>
      </c>
      <c r="G215" s="7">
        <v>0</v>
      </c>
      <c r="H215" s="7">
        <v>0</v>
      </c>
      <c r="I215" s="7">
        <v>3</v>
      </c>
      <c r="J215" s="7">
        <v>0</v>
      </c>
      <c r="K215" s="7">
        <v>251</v>
      </c>
      <c r="L215" t="b">
        <f t="shared" si="3"/>
        <v>1</v>
      </c>
    </row>
    <row r="216" spans="1:12" x14ac:dyDescent="0.25">
      <c r="A216" s="7" t="s">
        <v>1212</v>
      </c>
      <c r="B216" s="7">
        <v>0</v>
      </c>
      <c r="C216" s="7">
        <v>118</v>
      </c>
      <c r="D216" s="7">
        <v>3</v>
      </c>
      <c r="E216" s="7">
        <v>0</v>
      </c>
      <c r="F216" s="7">
        <v>0</v>
      </c>
      <c r="G216" s="7">
        <v>0</v>
      </c>
      <c r="H216" s="7">
        <v>0</v>
      </c>
      <c r="I216" s="7">
        <v>4</v>
      </c>
      <c r="J216" s="7">
        <v>0</v>
      </c>
      <c r="K216" s="7">
        <v>125</v>
      </c>
      <c r="L216" t="b">
        <f t="shared" si="3"/>
        <v>1</v>
      </c>
    </row>
    <row r="217" spans="1:12" x14ac:dyDescent="0.25">
      <c r="A217" s="7" t="s">
        <v>1213</v>
      </c>
      <c r="B217" s="7">
        <v>0</v>
      </c>
      <c r="C217" s="7">
        <v>97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2</v>
      </c>
      <c r="J217" s="7">
        <v>1</v>
      </c>
      <c r="K217" s="7">
        <v>100</v>
      </c>
      <c r="L217" t="b">
        <f t="shared" si="3"/>
        <v>1</v>
      </c>
    </row>
    <row r="218" spans="1:12" x14ac:dyDescent="0.25">
      <c r="A218" s="7" t="s">
        <v>1214</v>
      </c>
      <c r="B218" s="7">
        <v>0</v>
      </c>
      <c r="C218" s="7">
        <v>115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115</v>
      </c>
      <c r="L218" t="b">
        <f t="shared" si="3"/>
        <v>1</v>
      </c>
    </row>
    <row r="219" spans="1:12" x14ac:dyDescent="0.25">
      <c r="A219" s="7" t="s">
        <v>1215</v>
      </c>
      <c r="B219" s="7">
        <v>0</v>
      </c>
      <c r="C219" s="7">
        <v>95</v>
      </c>
      <c r="D219" s="7">
        <v>4</v>
      </c>
      <c r="E219" s="7">
        <v>0</v>
      </c>
      <c r="F219" s="7">
        <v>0</v>
      </c>
      <c r="G219" s="7">
        <v>9</v>
      </c>
      <c r="H219" s="7">
        <v>0</v>
      </c>
      <c r="I219" s="7">
        <v>2</v>
      </c>
      <c r="J219" s="7">
        <v>0</v>
      </c>
      <c r="K219" s="7">
        <v>110</v>
      </c>
      <c r="L219" t="b">
        <f t="shared" si="3"/>
        <v>1</v>
      </c>
    </row>
    <row r="220" spans="1:12" x14ac:dyDescent="0.25">
      <c r="A220" s="7" t="s">
        <v>1216</v>
      </c>
      <c r="B220" s="7">
        <v>0</v>
      </c>
      <c r="C220" s="7">
        <v>203</v>
      </c>
      <c r="D220" s="7">
        <v>0</v>
      </c>
      <c r="E220" s="7">
        <v>0</v>
      </c>
      <c r="F220" s="7">
        <v>0</v>
      </c>
      <c r="G220" s="7">
        <v>9</v>
      </c>
      <c r="H220" s="7">
        <v>0</v>
      </c>
      <c r="I220" s="7">
        <v>0</v>
      </c>
      <c r="J220" s="7">
        <v>0</v>
      </c>
      <c r="K220" s="7">
        <v>212</v>
      </c>
      <c r="L220" t="b">
        <f t="shared" si="3"/>
        <v>1</v>
      </c>
    </row>
    <row r="221" spans="1:12" x14ac:dyDescent="0.25">
      <c r="A221" s="7" t="s">
        <v>1217</v>
      </c>
      <c r="B221" s="7">
        <v>0</v>
      </c>
      <c r="C221" s="7">
        <v>109</v>
      </c>
      <c r="D221" s="7">
        <v>2</v>
      </c>
      <c r="E221" s="7">
        <v>0</v>
      </c>
      <c r="F221" s="7">
        <v>0</v>
      </c>
      <c r="G221" s="7">
        <v>1</v>
      </c>
      <c r="H221" s="7">
        <v>0</v>
      </c>
      <c r="I221" s="7">
        <v>4</v>
      </c>
      <c r="J221" s="7">
        <v>0</v>
      </c>
      <c r="K221" s="7">
        <v>116</v>
      </c>
      <c r="L221" t="b">
        <f t="shared" si="3"/>
        <v>1</v>
      </c>
    </row>
    <row r="222" spans="1:12" x14ac:dyDescent="0.25">
      <c r="A222" s="7" t="s">
        <v>1218</v>
      </c>
      <c r="B222" s="7">
        <v>0</v>
      </c>
      <c r="C222" s="7">
        <v>52</v>
      </c>
      <c r="D222" s="7">
        <v>1</v>
      </c>
      <c r="E222" s="7">
        <v>0</v>
      </c>
      <c r="F222" s="7">
        <v>0</v>
      </c>
      <c r="G222" s="7">
        <v>0</v>
      </c>
      <c r="H222" s="7">
        <v>0</v>
      </c>
      <c r="I222" s="7">
        <v>2</v>
      </c>
      <c r="J222" s="7">
        <v>0</v>
      </c>
      <c r="K222" s="7">
        <v>55</v>
      </c>
      <c r="L222" t="b">
        <f t="shared" si="3"/>
        <v>1</v>
      </c>
    </row>
    <row r="223" spans="1:12" x14ac:dyDescent="0.25">
      <c r="A223" s="7" t="s">
        <v>1219</v>
      </c>
      <c r="B223" s="7">
        <v>0</v>
      </c>
      <c r="C223" s="7">
        <v>237</v>
      </c>
      <c r="D223" s="7">
        <v>0</v>
      </c>
      <c r="E223" s="7">
        <v>0</v>
      </c>
      <c r="F223" s="7">
        <v>0</v>
      </c>
      <c r="G223" s="7">
        <v>5</v>
      </c>
      <c r="H223" s="7">
        <v>0</v>
      </c>
      <c r="I223" s="7">
        <v>0</v>
      </c>
      <c r="J223" s="7">
        <v>0</v>
      </c>
      <c r="K223" s="7">
        <v>242</v>
      </c>
      <c r="L223" t="b">
        <f t="shared" si="3"/>
        <v>1</v>
      </c>
    </row>
    <row r="224" spans="1:12" x14ac:dyDescent="0.25">
      <c r="A224" s="7" t="s">
        <v>1220</v>
      </c>
      <c r="B224" s="7">
        <v>0</v>
      </c>
      <c r="C224" s="7">
        <v>67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67</v>
      </c>
      <c r="L224" t="b">
        <f t="shared" si="3"/>
        <v>1</v>
      </c>
    </row>
    <row r="225" spans="1:12" x14ac:dyDescent="0.25">
      <c r="A225" s="7" t="s">
        <v>1221</v>
      </c>
      <c r="B225" s="7">
        <v>0</v>
      </c>
      <c r="C225" s="7">
        <v>86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86</v>
      </c>
      <c r="L225" t="b">
        <f t="shared" si="3"/>
        <v>1</v>
      </c>
    </row>
    <row r="226" spans="1:12" x14ac:dyDescent="0.25">
      <c r="A226" s="7" t="s">
        <v>1222</v>
      </c>
      <c r="B226" s="7">
        <v>0</v>
      </c>
      <c r="C226" s="7">
        <v>134</v>
      </c>
      <c r="D226" s="7">
        <v>0</v>
      </c>
      <c r="E226" s="7">
        <v>0</v>
      </c>
      <c r="F226" s="7">
        <v>0</v>
      </c>
      <c r="G226" s="7">
        <v>1</v>
      </c>
      <c r="H226" s="7">
        <v>0</v>
      </c>
      <c r="I226" s="7">
        <v>0</v>
      </c>
      <c r="J226" s="7">
        <v>0</v>
      </c>
      <c r="K226" s="7">
        <v>135</v>
      </c>
      <c r="L226" t="b">
        <f t="shared" si="3"/>
        <v>1</v>
      </c>
    </row>
    <row r="227" spans="1:12" x14ac:dyDescent="0.25">
      <c r="A227" s="7" t="s">
        <v>1223</v>
      </c>
      <c r="B227" s="7">
        <v>0</v>
      </c>
      <c r="C227" s="7">
        <v>89</v>
      </c>
      <c r="D227" s="7">
        <v>0</v>
      </c>
      <c r="E227" s="7">
        <v>0</v>
      </c>
      <c r="F227" s="7">
        <v>0</v>
      </c>
      <c r="G227" s="7">
        <v>1</v>
      </c>
      <c r="H227" s="7">
        <v>0</v>
      </c>
      <c r="I227" s="7">
        <v>0</v>
      </c>
      <c r="J227" s="7">
        <v>0</v>
      </c>
      <c r="K227" s="7">
        <v>90</v>
      </c>
      <c r="L227" t="b">
        <f t="shared" si="3"/>
        <v>1</v>
      </c>
    </row>
    <row r="228" spans="1:12" x14ac:dyDescent="0.25">
      <c r="A228" s="7" t="s">
        <v>1224</v>
      </c>
      <c r="B228" s="7">
        <v>0</v>
      </c>
      <c r="C228" s="7">
        <v>126</v>
      </c>
      <c r="D228" s="7">
        <v>0</v>
      </c>
      <c r="E228" s="7">
        <v>0</v>
      </c>
      <c r="F228" s="7">
        <v>0</v>
      </c>
      <c r="G228" s="7">
        <v>1</v>
      </c>
      <c r="H228" s="7">
        <v>0</v>
      </c>
      <c r="I228" s="7">
        <v>0</v>
      </c>
      <c r="J228" s="7">
        <v>0</v>
      </c>
      <c r="K228" s="7">
        <v>127</v>
      </c>
      <c r="L228" t="b">
        <f t="shared" si="3"/>
        <v>1</v>
      </c>
    </row>
    <row r="229" spans="1:12" x14ac:dyDescent="0.25">
      <c r="A229" s="7" t="s">
        <v>1225</v>
      </c>
      <c r="B229" s="7">
        <v>0</v>
      </c>
      <c r="C229" s="7">
        <v>120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120</v>
      </c>
      <c r="L229" t="b">
        <f t="shared" si="3"/>
        <v>1</v>
      </c>
    </row>
    <row r="230" spans="1:12" x14ac:dyDescent="0.25">
      <c r="A230" s="7" t="s">
        <v>1226</v>
      </c>
      <c r="B230" s="7">
        <v>5</v>
      </c>
      <c r="C230" s="7">
        <v>134</v>
      </c>
      <c r="D230" s="7">
        <v>1</v>
      </c>
      <c r="E230" s="7">
        <v>0</v>
      </c>
      <c r="F230" s="7">
        <v>0</v>
      </c>
      <c r="G230" s="7">
        <v>3</v>
      </c>
      <c r="H230" s="7">
        <v>0</v>
      </c>
      <c r="I230" s="7">
        <v>0</v>
      </c>
      <c r="J230" s="7">
        <v>0</v>
      </c>
      <c r="K230" s="7">
        <v>143</v>
      </c>
      <c r="L230" t="b">
        <f t="shared" si="3"/>
        <v>1</v>
      </c>
    </row>
    <row r="231" spans="1:12" x14ac:dyDescent="0.25">
      <c r="A231" s="7" t="s">
        <v>1227</v>
      </c>
      <c r="B231" s="7">
        <v>0</v>
      </c>
      <c r="C231" s="7">
        <v>176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176</v>
      </c>
      <c r="L231" t="b">
        <f t="shared" si="3"/>
        <v>1</v>
      </c>
    </row>
    <row r="232" spans="1:12" x14ac:dyDescent="0.25">
      <c r="A232" s="7" t="s">
        <v>1228</v>
      </c>
      <c r="B232" s="7">
        <v>0</v>
      </c>
      <c r="C232" s="7">
        <v>96</v>
      </c>
      <c r="D232" s="7">
        <v>2</v>
      </c>
      <c r="E232" s="7">
        <v>0</v>
      </c>
      <c r="F232" s="7">
        <v>0</v>
      </c>
      <c r="G232" s="7">
        <v>0</v>
      </c>
      <c r="H232" s="7">
        <v>0</v>
      </c>
      <c r="I232" s="7">
        <v>53</v>
      </c>
      <c r="J232" s="7">
        <v>20</v>
      </c>
      <c r="K232" s="7">
        <v>171</v>
      </c>
      <c r="L232" t="b">
        <f t="shared" si="3"/>
        <v>1</v>
      </c>
    </row>
    <row r="233" spans="1:12" x14ac:dyDescent="0.25">
      <c r="A233" s="7" t="s">
        <v>1229</v>
      </c>
      <c r="B233" s="7">
        <v>0</v>
      </c>
      <c r="C233" s="7">
        <v>163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42</v>
      </c>
      <c r="J233" s="7">
        <v>0</v>
      </c>
      <c r="K233" s="7">
        <v>205</v>
      </c>
      <c r="L233" t="b">
        <f t="shared" si="3"/>
        <v>1</v>
      </c>
    </row>
    <row r="234" spans="1:12" x14ac:dyDescent="0.25">
      <c r="A234" s="7" t="s">
        <v>1230</v>
      </c>
      <c r="B234" s="7">
        <v>0</v>
      </c>
      <c r="C234" s="7">
        <v>220</v>
      </c>
      <c r="D234" s="7">
        <v>1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2</v>
      </c>
      <c r="K234" s="7">
        <v>223</v>
      </c>
      <c r="L234" t="b">
        <f t="shared" si="3"/>
        <v>1</v>
      </c>
    </row>
    <row r="235" spans="1:12" x14ac:dyDescent="0.25">
      <c r="A235" s="7" t="s">
        <v>1231</v>
      </c>
      <c r="B235" s="7">
        <v>0</v>
      </c>
      <c r="C235" s="7">
        <v>166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18</v>
      </c>
      <c r="J235" s="7">
        <v>1</v>
      </c>
      <c r="K235" s="7">
        <v>185</v>
      </c>
      <c r="L235" t="b">
        <f t="shared" si="3"/>
        <v>1</v>
      </c>
    </row>
    <row r="236" spans="1:12" x14ac:dyDescent="0.25">
      <c r="A236" s="7" t="s">
        <v>1232</v>
      </c>
      <c r="B236" s="7">
        <v>0</v>
      </c>
      <c r="C236" s="7">
        <v>72</v>
      </c>
      <c r="D236" s="7">
        <v>3</v>
      </c>
      <c r="E236" s="7">
        <v>0</v>
      </c>
      <c r="F236" s="7">
        <v>0</v>
      </c>
      <c r="G236" s="7">
        <v>0</v>
      </c>
      <c r="H236" s="7">
        <v>0</v>
      </c>
      <c r="I236" s="7">
        <v>155</v>
      </c>
      <c r="J236" s="7">
        <v>3</v>
      </c>
      <c r="K236" s="7">
        <v>233</v>
      </c>
      <c r="L236" t="b">
        <f t="shared" si="3"/>
        <v>1</v>
      </c>
    </row>
    <row r="237" spans="1:12" x14ac:dyDescent="0.25">
      <c r="A237" s="7" t="s">
        <v>1233</v>
      </c>
      <c r="B237" s="7">
        <v>0</v>
      </c>
      <c r="C237" s="7">
        <v>36</v>
      </c>
      <c r="D237" s="7">
        <v>0</v>
      </c>
      <c r="E237" s="7">
        <v>0</v>
      </c>
      <c r="F237" s="7">
        <v>1</v>
      </c>
      <c r="G237" s="7">
        <v>0</v>
      </c>
      <c r="H237" s="7">
        <v>0</v>
      </c>
      <c r="I237" s="7">
        <v>223</v>
      </c>
      <c r="J237" s="7">
        <v>0</v>
      </c>
      <c r="K237" s="7">
        <v>260</v>
      </c>
      <c r="L237" t="b">
        <f t="shared" si="3"/>
        <v>1</v>
      </c>
    </row>
    <row r="238" spans="1:12" x14ac:dyDescent="0.25">
      <c r="A238" s="7" t="s">
        <v>1234</v>
      </c>
      <c r="B238" s="7">
        <v>0</v>
      </c>
      <c r="C238" s="7">
        <v>133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63</v>
      </c>
      <c r="J238" s="7">
        <v>1</v>
      </c>
      <c r="K238" s="7">
        <v>197</v>
      </c>
      <c r="L238" t="b">
        <f t="shared" si="3"/>
        <v>1</v>
      </c>
    </row>
    <row r="239" spans="1:12" x14ac:dyDescent="0.25">
      <c r="A239" s="7" t="s">
        <v>1235</v>
      </c>
      <c r="B239" s="7">
        <v>0</v>
      </c>
      <c r="C239" s="7">
        <v>143</v>
      </c>
      <c r="D239" s="7">
        <v>0</v>
      </c>
      <c r="E239" s="7">
        <v>0</v>
      </c>
      <c r="F239" s="7">
        <v>0</v>
      </c>
      <c r="G239" s="7">
        <v>2</v>
      </c>
      <c r="H239" s="7">
        <v>0</v>
      </c>
      <c r="I239" s="7">
        <v>1</v>
      </c>
      <c r="J239" s="7">
        <v>0</v>
      </c>
      <c r="K239" s="7">
        <v>146</v>
      </c>
      <c r="L239" t="b">
        <f t="shared" si="3"/>
        <v>1</v>
      </c>
    </row>
    <row r="240" spans="1:12" x14ac:dyDescent="0.25">
      <c r="A240" s="7" t="s">
        <v>1236</v>
      </c>
      <c r="B240" s="7">
        <v>0</v>
      </c>
      <c r="C240" s="7">
        <v>154</v>
      </c>
      <c r="D240" s="7">
        <v>2</v>
      </c>
      <c r="E240" s="7">
        <v>0</v>
      </c>
      <c r="F240" s="7">
        <v>0</v>
      </c>
      <c r="G240" s="7">
        <v>0</v>
      </c>
      <c r="H240" s="7">
        <v>0</v>
      </c>
      <c r="I240" s="7">
        <v>5</v>
      </c>
      <c r="J240" s="7">
        <v>0</v>
      </c>
      <c r="K240" s="7">
        <v>161</v>
      </c>
      <c r="L240" t="b">
        <f t="shared" si="3"/>
        <v>1</v>
      </c>
    </row>
    <row r="241" spans="1:12" x14ac:dyDescent="0.25">
      <c r="A241" s="7" t="s">
        <v>1237</v>
      </c>
      <c r="B241" s="7">
        <v>0</v>
      </c>
      <c r="C241" s="7">
        <v>42</v>
      </c>
      <c r="D241" s="7">
        <v>1</v>
      </c>
      <c r="E241" s="7">
        <v>0</v>
      </c>
      <c r="F241" s="7">
        <v>0</v>
      </c>
      <c r="G241" s="7">
        <v>0</v>
      </c>
      <c r="H241" s="7">
        <v>0</v>
      </c>
      <c r="I241" s="7">
        <v>102</v>
      </c>
      <c r="J241" s="7">
        <v>0</v>
      </c>
      <c r="K241" s="7">
        <v>145</v>
      </c>
      <c r="L241" t="b">
        <f t="shared" si="3"/>
        <v>1</v>
      </c>
    </row>
    <row r="242" spans="1:12" x14ac:dyDescent="0.25">
      <c r="A242" s="7" t="s">
        <v>1238</v>
      </c>
      <c r="B242" s="7">
        <v>0</v>
      </c>
      <c r="C242" s="7">
        <v>0</v>
      </c>
      <c r="D242" s="7">
        <v>11</v>
      </c>
      <c r="E242" s="7">
        <v>0</v>
      </c>
      <c r="F242" s="7">
        <v>0</v>
      </c>
      <c r="G242" s="7">
        <v>0</v>
      </c>
      <c r="H242" s="7">
        <v>0</v>
      </c>
      <c r="I242" s="7">
        <v>105</v>
      </c>
      <c r="J242" s="7">
        <v>0</v>
      </c>
      <c r="K242" s="7">
        <v>116</v>
      </c>
      <c r="L242" t="b">
        <f t="shared" si="3"/>
        <v>1</v>
      </c>
    </row>
    <row r="243" spans="1:12" x14ac:dyDescent="0.25">
      <c r="A243" s="7" t="s">
        <v>1239</v>
      </c>
      <c r="B243" s="7">
        <v>0</v>
      </c>
      <c r="C243" s="7">
        <v>195</v>
      </c>
      <c r="D243" s="7">
        <v>0</v>
      </c>
      <c r="E243" s="7">
        <v>0</v>
      </c>
      <c r="F243" s="7">
        <v>0</v>
      </c>
      <c r="G243" s="7">
        <v>1</v>
      </c>
      <c r="H243" s="7">
        <v>0</v>
      </c>
      <c r="I243" s="7">
        <v>63</v>
      </c>
      <c r="J243" s="7">
        <v>18</v>
      </c>
      <c r="K243" s="7">
        <v>277</v>
      </c>
      <c r="L243" t="b">
        <f t="shared" si="3"/>
        <v>1</v>
      </c>
    </row>
    <row r="244" spans="1:12" x14ac:dyDescent="0.25">
      <c r="A244" s="7" t="s">
        <v>1240</v>
      </c>
      <c r="B244" s="7">
        <v>0</v>
      </c>
      <c r="C244" s="7">
        <v>120</v>
      </c>
      <c r="D244" s="7">
        <v>0</v>
      </c>
      <c r="E244" s="7">
        <v>0</v>
      </c>
      <c r="F244" s="7">
        <v>0</v>
      </c>
      <c r="G244" s="7">
        <v>1</v>
      </c>
      <c r="H244" s="7">
        <v>0</v>
      </c>
      <c r="I244" s="7">
        <v>1</v>
      </c>
      <c r="J244" s="7">
        <v>0</v>
      </c>
      <c r="K244" s="7">
        <v>122</v>
      </c>
      <c r="L244" t="b">
        <f t="shared" si="3"/>
        <v>1</v>
      </c>
    </row>
    <row r="245" spans="1:12" x14ac:dyDescent="0.25">
      <c r="A245" s="7" t="s">
        <v>1241</v>
      </c>
      <c r="B245" s="7">
        <v>0</v>
      </c>
      <c r="C245" s="7">
        <v>62</v>
      </c>
      <c r="D245" s="7">
        <v>0</v>
      </c>
      <c r="E245" s="7">
        <v>0</v>
      </c>
      <c r="F245" s="7">
        <v>0</v>
      </c>
      <c r="G245" s="7">
        <v>1</v>
      </c>
      <c r="H245" s="7">
        <v>0</v>
      </c>
      <c r="I245" s="7">
        <v>29</v>
      </c>
      <c r="J245" s="7">
        <v>0</v>
      </c>
      <c r="K245" s="7">
        <v>92</v>
      </c>
      <c r="L245" t="b">
        <f t="shared" si="3"/>
        <v>1</v>
      </c>
    </row>
    <row r="246" spans="1:12" x14ac:dyDescent="0.25">
      <c r="A246" s="7" t="s">
        <v>1242</v>
      </c>
      <c r="B246" s="7">
        <v>0</v>
      </c>
      <c r="C246" s="7">
        <v>118</v>
      </c>
      <c r="D246" s="7">
        <v>0</v>
      </c>
      <c r="E246" s="7">
        <v>0</v>
      </c>
      <c r="F246" s="7">
        <v>0</v>
      </c>
      <c r="G246" s="7">
        <v>2</v>
      </c>
      <c r="H246" s="7">
        <v>0</v>
      </c>
      <c r="I246" s="7">
        <v>1</v>
      </c>
      <c r="J246" s="7">
        <v>0</v>
      </c>
      <c r="K246" s="7">
        <v>121</v>
      </c>
      <c r="L246" t="b">
        <f t="shared" si="3"/>
        <v>1</v>
      </c>
    </row>
    <row r="247" spans="1:12" x14ac:dyDescent="0.25">
      <c r="A247" s="7" t="s">
        <v>1243</v>
      </c>
      <c r="B247" s="7">
        <v>0</v>
      </c>
      <c r="C247" s="7">
        <v>104</v>
      </c>
      <c r="D247" s="7">
        <v>2</v>
      </c>
      <c r="E247" s="7">
        <v>0</v>
      </c>
      <c r="F247" s="7">
        <v>0</v>
      </c>
      <c r="G247" s="7">
        <v>5</v>
      </c>
      <c r="H247" s="7">
        <v>0</v>
      </c>
      <c r="I247" s="7">
        <v>0</v>
      </c>
      <c r="J247" s="7">
        <v>0</v>
      </c>
      <c r="K247" s="7">
        <v>111</v>
      </c>
      <c r="L247" t="b">
        <f t="shared" si="3"/>
        <v>1</v>
      </c>
    </row>
    <row r="248" spans="1:12" x14ac:dyDescent="0.25">
      <c r="A248" s="7" t="s">
        <v>1244</v>
      </c>
      <c r="B248" s="7">
        <v>0</v>
      </c>
      <c r="C248" s="7">
        <v>118</v>
      </c>
      <c r="D248" s="7">
        <v>0</v>
      </c>
      <c r="E248" s="7">
        <v>0</v>
      </c>
      <c r="F248" s="7">
        <v>0</v>
      </c>
      <c r="G248" s="7">
        <v>2</v>
      </c>
      <c r="H248" s="7">
        <v>0</v>
      </c>
      <c r="I248" s="7">
        <v>1</v>
      </c>
      <c r="J248" s="7">
        <v>0</v>
      </c>
      <c r="K248" s="7">
        <v>121</v>
      </c>
      <c r="L248" t="b">
        <f t="shared" si="3"/>
        <v>1</v>
      </c>
    </row>
    <row r="249" spans="1:12" x14ac:dyDescent="0.25">
      <c r="A249" s="7" t="s">
        <v>1245</v>
      </c>
      <c r="B249" s="7">
        <v>0</v>
      </c>
      <c r="C249" s="7">
        <v>66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34</v>
      </c>
      <c r="J249" s="7">
        <v>0</v>
      </c>
      <c r="K249" s="7">
        <v>106</v>
      </c>
      <c r="L249" t="b">
        <f t="shared" si="3"/>
        <v>1</v>
      </c>
    </row>
    <row r="250" spans="1:12" x14ac:dyDescent="0.25">
      <c r="A250" s="7" t="s">
        <v>1246</v>
      </c>
      <c r="B250" s="7">
        <v>0</v>
      </c>
      <c r="C250" s="7">
        <v>72</v>
      </c>
      <c r="D250" s="7">
        <v>1</v>
      </c>
      <c r="E250" s="7">
        <v>0</v>
      </c>
      <c r="F250" s="7">
        <v>0</v>
      </c>
      <c r="G250" s="7">
        <v>0</v>
      </c>
      <c r="H250" s="7">
        <v>0</v>
      </c>
      <c r="I250" s="7">
        <v>224</v>
      </c>
      <c r="J250" s="7">
        <v>0</v>
      </c>
      <c r="K250" s="7">
        <v>297</v>
      </c>
      <c r="L250" t="b">
        <f t="shared" si="3"/>
        <v>1</v>
      </c>
    </row>
    <row r="251" spans="1:12" x14ac:dyDescent="0.25">
      <c r="A251" s="7" t="s">
        <v>1247</v>
      </c>
      <c r="B251" s="7">
        <v>0</v>
      </c>
      <c r="C251" s="7">
        <v>21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93</v>
      </c>
      <c r="J251" s="7">
        <v>0</v>
      </c>
      <c r="K251" s="7">
        <v>114</v>
      </c>
      <c r="L251" t="b">
        <f t="shared" si="3"/>
        <v>1</v>
      </c>
    </row>
    <row r="252" spans="1:12" x14ac:dyDescent="0.25">
      <c r="A252" s="7" t="s">
        <v>1248</v>
      </c>
      <c r="B252" s="7">
        <v>0</v>
      </c>
      <c r="C252" s="7">
        <v>207</v>
      </c>
      <c r="D252" s="7">
        <v>0</v>
      </c>
      <c r="E252" s="7">
        <v>0</v>
      </c>
      <c r="F252" s="7">
        <v>0</v>
      </c>
      <c r="G252" s="7">
        <v>4</v>
      </c>
      <c r="H252" s="7">
        <v>0</v>
      </c>
      <c r="I252" s="7">
        <v>11</v>
      </c>
      <c r="J252" s="7">
        <v>6</v>
      </c>
      <c r="K252" s="7">
        <v>228</v>
      </c>
      <c r="L252" t="b">
        <f t="shared" si="3"/>
        <v>1</v>
      </c>
    </row>
    <row r="253" spans="1:12" x14ac:dyDescent="0.25">
      <c r="A253" s="7" t="s">
        <v>1249</v>
      </c>
      <c r="B253" s="7">
        <v>0</v>
      </c>
      <c r="C253" s="7">
        <v>92</v>
      </c>
      <c r="D253" s="7">
        <v>1</v>
      </c>
      <c r="E253" s="7">
        <v>0</v>
      </c>
      <c r="F253" s="7">
        <v>0</v>
      </c>
      <c r="G253" s="7">
        <v>0</v>
      </c>
      <c r="H253" s="7">
        <v>0</v>
      </c>
      <c r="I253" s="7">
        <v>52</v>
      </c>
      <c r="J253" s="7">
        <v>1</v>
      </c>
      <c r="K253" s="7">
        <v>146</v>
      </c>
      <c r="L253" t="b">
        <f t="shared" si="3"/>
        <v>1</v>
      </c>
    </row>
    <row r="254" spans="1:12" x14ac:dyDescent="0.25">
      <c r="A254" s="7" t="s">
        <v>1250</v>
      </c>
      <c r="B254" s="7">
        <v>0</v>
      </c>
      <c r="C254" s="7">
        <v>35</v>
      </c>
      <c r="D254" s="7">
        <v>5</v>
      </c>
      <c r="E254" s="7">
        <v>0</v>
      </c>
      <c r="F254" s="7">
        <v>1</v>
      </c>
      <c r="G254" s="7">
        <v>1</v>
      </c>
      <c r="H254" s="7">
        <v>0</v>
      </c>
      <c r="I254" s="7">
        <v>115</v>
      </c>
      <c r="J254" s="7">
        <v>0</v>
      </c>
      <c r="K254" s="7">
        <v>157</v>
      </c>
      <c r="L254" t="b">
        <f t="shared" si="3"/>
        <v>1</v>
      </c>
    </row>
    <row r="255" spans="1:12" x14ac:dyDescent="0.25">
      <c r="A255" s="7" t="s">
        <v>1251</v>
      </c>
      <c r="B255" s="7">
        <v>0</v>
      </c>
      <c r="C255" s="7">
        <v>62</v>
      </c>
      <c r="D255" s="7">
        <v>10</v>
      </c>
      <c r="E255" s="7">
        <v>0</v>
      </c>
      <c r="F255" s="7">
        <v>0</v>
      </c>
      <c r="G255" s="7">
        <v>0</v>
      </c>
      <c r="H255" s="7">
        <v>0</v>
      </c>
      <c r="I255" s="7">
        <v>103</v>
      </c>
      <c r="J255" s="7">
        <v>0</v>
      </c>
      <c r="K255" s="7">
        <v>175</v>
      </c>
      <c r="L255" t="b">
        <f t="shared" si="3"/>
        <v>1</v>
      </c>
    </row>
    <row r="256" spans="1:12" x14ac:dyDescent="0.25">
      <c r="A256" s="7" t="s">
        <v>1252</v>
      </c>
      <c r="B256" s="7">
        <v>0</v>
      </c>
      <c r="C256" s="7">
        <v>20</v>
      </c>
      <c r="D256" s="7">
        <v>3</v>
      </c>
      <c r="E256" s="7">
        <v>0</v>
      </c>
      <c r="F256" s="7">
        <v>0</v>
      </c>
      <c r="G256" s="7">
        <v>0</v>
      </c>
      <c r="H256" s="7">
        <v>0</v>
      </c>
      <c r="I256" s="7">
        <v>85</v>
      </c>
      <c r="J256" s="7">
        <v>0</v>
      </c>
      <c r="K256" s="7">
        <v>108</v>
      </c>
      <c r="L256" t="b">
        <f t="shared" si="3"/>
        <v>1</v>
      </c>
    </row>
    <row r="257" spans="1:12" x14ac:dyDescent="0.25">
      <c r="A257" s="7" t="s">
        <v>1253</v>
      </c>
      <c r="B257" s="7">
        <v>0</v>
      </c>
      <c r="C257" s="7">
        <v>67</v>
      </c>
      <c r="D257" s="7">
        <v>3</v>
      </c>
      <c r="E257" s="7">
        <v>0</v>
      </c>
      <c r="F257" s="7">
        <v>0</v>
      </c>
      <c r="G257" s="7">
        <v>0</v>
      </c>
      <c r="H257" s="7">
        <v>0</v>
      </c>
      <c r="I257" s="7">
        <v>75</v>
      </c>
      <c r="J257" s="7">
        <v>0</v>
      </c>
      <c r="K257" s="7">
        <v>145</v>
      </c>
      <c r="L257" t="b">
        <f t="shared" si="3"/>
        <v>1</v>
      </c>
    </row>
    <row r="258" spans="1:12" x14ac:dyDescent="0.25">
      <c r="A258" s="7" t="s">
        <v>1254</v>
      </c>
      <c r="B258" s="7">
        <v>0</v>
      </c>
      <c r="C258" s="7">
        <v>153</v>
      </c>
      <c r="D258" s="7">
        <v>5</v>
      </c>
      <c r="E258" s="7">
        <v>0</v>
      </c>
      <c r="F258" s="7">
        <v>0</v>
      </c>
      <c r="G258" s="7">
        <v>0</v>
      </c>
      <c r="H258" s="7">
        <v>0</v>
      </c>
      <c r="I258" s="7">
        <v>37</v>
      </c>
      <c r="J258" s="7">
        <v>0</v>
      </c>
      <c r="K258" s="7">
        <v>195</v>
      </c>
      <c r="L258" t="b">
        <f t="shared" si="3"/>
        <v>1</v>
      </c>
    </row>
    <row r="259" spans="1:12" x14ac:dyDescent="0.25">
      <c r="A259" s="7" t="s">
        <v>1255</v>
      </c>
      <c r="B259" s="7">
        <v>0</v>
      </c>
      <c r="C259" s="7">
        <v>53</v>
      </c>
      <c r="D259" s="7">
        <v>1</v>
      </c>
      <c r="E259" s="7">
        <v>0</v>
      </c>
      <c r="F259" s="7">
        <v>0</v>
      </c>
      <c r="G259" s="7">
        <v>0</v>
      </c>
      <c r="H259" s="7">
        <v>0</v>
      </c>
      <c r="I259" s="7">
        <v>52</v>
      </c>
      <c r="J259" s="7">
        <v>0</v>
      </c>
      <c r="K259" s="7">
        <v>106</v>
      </c>
      <c r="L259" t="b">
        <f t="shared" ref="L259:L322" si="4">K259=SUM(B259:J259)</f>
        <v>1</v>
      </c>
    </row>
    <row r="260" spans="1:12" x14ac:dyDescent="0.25">
      <c r="A260" s="7" t="s">
        <v>1256</v>
      </c>
      <c r="B260" s="7">
        <v>0</v>
      </c>
      <c r="C260" s="7">
        <v>0</v>
      </c>
      <c r="D260" s="7">
        <v>5</v>
      </c>
      <c r="E260" s="7">
        <v>0</v>
      </c>
      <c r="F260" s="7">
        <v>0</v>
      </c>
      <c r="G260" s="7">
        <v>0</v>
      </c>
      <c r="H260" s="7">
        <v>0</v>
      </c>
      <c r="I260" s="7">
        <v>62</v>
      </c>
      <c r="J260" s="7">
        <v>5</v>
      </c>
      <c r="K260" s="7">
        <v>72</v>
      </c>
      <c r="L260" t="b">
        <f t="shared" si="4"/>
        <v>1</v>
      </c>
    </row>
    <row r="261" spans="1:12" x14ac:dyDescent="0.25">
      <c r="A261" s="7" t="s">
        <v>1257</v>
      </c>
      <c r="B261" s="7">
        <v>0</v>
      </c>
      <c r="C261" s="7">
        <v>191</v>
      </c>
      <c r="D261" s="7">
        <v>0</v>
      </c>
      <c r="E261" s="7">
        <v>0</v>
      </c>
      <c r="F261" s="7">
        <v>0</v>
      </c>
      <c r="G261" s="7">
        <v>2</v>
      </c>
      <c r="H261" s="7">
        <v>0</v>
      </c>
      <c r="I261" s="7">
        <v>0</v>
      </c>
      <c r="J261" s="7">
        <v>10</v>
      </c>
      <c r="K261" s="7">
        <v>203</v>
      </c>
      <c r="L261" t="b">
        <f t="shared" si="4"/>
        <v>1</v>
      </c>
    </row>
    <row r="262" spans="1:12" x14ac:dyDescent="0.25">
      <c r="A262" s="7" t="s">
        <v>1258</v>
      </c>
      <c r="B262" s="7">
        <v>0</v>
      </c>
      <c r="C262" s="7">
        <v>189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21</v>
      </c>
      <c r="J262" s="7">
        <v>3</v>
      </c>
      <c r="K262" s="7">
        <v>213</v>
      </c>
      <c r="L262" t="b">
        <f t="shared" si="4"/>
        <v>1</v>
      </c>
    </row>
    <row r="263" spans="1:12" x14ac:dyDescent="0.25">
      <c r="A263" s="7" t="s">
        <v>1259</v>
      </c>
      <c r="B263" s="7">
        <v>0</v>
      </c>
      <c r="C263" s="7">
        <v>200</v>
      </c>
      <c r="D263" s="7">
        <v>0</v>
      </c>
      <c r="E263" s="7">
        <v>0</v>
      </c>
      <c r="F263" s="7">
        <v>0</v>
      </c>
      <c r="G263" s="7">
        <v>2</v>
      </c>
      <c r="H263" s="7">
        <v>0</v>
      </c>
      <c r="I263" s="7">
        <v>37</v>
      </c>
      <c r="J263" s="7">
        <v>4</v>
      </c>
      <c r="K263" s="7">
        <v>243</v>
      </c>
      <c r="L263" t="b">
        <f t="shared" si="4"/>
        <v>1</v>
      </c>
    </row>
    <row r="264" spans="1:12" x14ac:dyDescent="0.25">
      <c r="A264" s="7" t="s">
        <v>1260</v>
      </c>
      <c r="B264" s="7">
        <v>0</v>
      </c>
      <c r="C264" s="7">
        <v>28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75</v>
      </c>
      <c r="J264" s="7">
        <v>0</v>
      </c>
      <c r="K264" s="7">
        <v>103</v>
      </c>
      <c r="L264" t="b">
        <f t="shared" si="4"/>
        <v>1</v>
      </c>
    </row>
    <row r="265" spans="1:12" x14ac:dyDescent="0.25">
      <c r="A265" s="7" t="s">
        <v>1261</v>
      </c>
      <c r="B265" s="7">
        <v>0</v>
      </c>
      <c r="C265" s="7">
        <v>115</v>
      </c>
      <c r="D265" s="7">
        <v>1</v>
      </c>
      <c r="E265" s="7">
        <v>0</v>
      </c>
      <c r="F265" s="7">
        <v>0</v>
      </c>
      <c r="G265" s="7">
        <v>0</v>
      </c>
      <c r="H265" s="7">
        <v>0</v>
      </c>
      <c r="I265" s="7">
        <v>32</v>
      </c>
      <c r="J265" s="7">
        <v>0</v>
      </c>
      <c r="K265" s="7">
        <v>148</v>
      </c>
      <c r="L265" t="b">
        <f t="shared" si="4"/>
        <v>1</v>
      </c>
    </row>
    <row r="266" spans="1:12" x14ac:dyDescent="0.25">
      <c r="A266" s="7" t="s">
        <v>1262</v>
      </c>
      <c r="B266" s="7">
        <v>0</v>
      </c>
      <c r="C266" s="7">
        <v>91</v>
      </c>
      <c r="D266" s="7">
        <v>3</v>
      </c>
      <c r="E266" s="7">
        <v>0</v>
      </c>
      <c r="F266" s="7">
        <v>0</v>
      </c>
      <c r="G266" s="7">
        <v>0</v>
      </c>
      <c r="H266" s="7">
        <v>0</v>
      </c>
      <c r="I266" s="7">
        <v>44</v>
      </c>
      <c r="J266" s="7">
        <v>0</v>
      </c>
      <c r="K266" s="7">
        <v>138</v>
      </c>
      <c r="L266" t="b">
        <f t="shared" si="4"/>
        <v>1</v>
      </c>
    </row>
    <row r="267" spans="1:12" x14ac:dyDescent="0.25">
      <c r="A267" s="7" t="s">
        <v>1263</v>
      </c>
      <c r="B267" s="7">
        <v>0</v>
      </c>
      <c r="C267" s="7">
        <v>82</v>
      </c>
      <c r="D267" s="7">
        <v>1</v>
      </c>
      <c r="E267" s="7">
        <v>0</v>
      </c>
      <c r="F267" s="7">
        <v>0</v>
      </c>
      <c r="G267" s="7">
        <v>1</v>
      </c>
      <c r="H267" s="7">
        <v>0</v>
      </c>
      <c r="I267" s="7">
        <v>40</v>
      </c>
      <c r="J267" s="7">
        <v>1</v>
      </c>
      <c r="K267" s="7">
        <v>125</v>
      </c>
      <c r="L267" t="b">
        <f t="shared" si="4"/>
        <v>1</v>
      </c>
    </row>
    <row r="268" spans="1:12" x14ac:dyDescent="0.25">
      <c r="A268" s="7" t="s">
        <v>1264</v>
      </c>
      <c r="B268" s="7">
        <v>0</v>
      </c>
      <c r="C268" s="7">
        <v>78</v>
      </c>
      <c r="D268" s="7">
        <v>0</v>
      </c>
      <c r="E268" s="7">
        <v>0</v>
      </c>
      <c r="F268" s="7">
        <v>0</v>
      </c>
      <c r="G268" s="7">
        <v>1</v>
      </c>
      <c r="H268" s="7">
        <v>0</v>
      </c>
      <c r="I268" s="7">
        <v>34</v>
      </c>
      <c r="J268" s="7">
        <v>0</v>
      </c>
      <c r="K268" s="7">
        <v>113</v>
      </c>
      <c r="L268" t="b">
        <f t="shared" si="4"/>
        <v>1</v>
      </c>
    </row>
    <row r="269" spans="1:12" x14ac:dyDescent="0.25">
      <c r="A269" s="7" t="s">
        <v>1265</v>
      </c>
      <c r="B269" s="7">
        <v>0</v>
      </c>
      <c r="C269" s="7">
        <v>86</v>
      </c>
      <c r="D269" s="7">
        <v>2</v>
      </c>
      <c r="E269" s="7">
        <v>0</v>
      </c>
      <c r="F269" s="7">
        <v>0</v>
      </c>
      <c r="G269" s="7">
        <v>0</v>
      </c>
      <c r="H269" s="7">
        <v>0</v>
      </c>
      <c r="I269" s="7">
        <v>54</v>
      </c>
      <c r="J269" s="7">
        <v>2</v>
      </c>
      <c r="K269" s="7">
        <v>144</v>
      </c>
      <c r="L269" t="b">
        <f t="shared" si="4"/>
        <v>1</v>
      </c>
    </row>
    <row r="270" spans="1:12" x14ac:dyDescent="0.25">
      <c r="A270" s="7" t="s">
        <v>1266</v>
      </c>
      <c r="B270" s="7">
        <v>0</v>
      </c>
      <c r="C270" s="7">
        <v>154</v>
      </c>
      <c r="D270" s="7">
        <v>7</v>
      </c>
      <c r="E270" s="7">
        <v>0</v>
      </c>
      <c r="F270" s="7">
        <v>0</v>
      </c>
      <c r="G270" s="7">
        <v>3</v>
      </c>
      <c r="H270" s="7">
        <v>0</v>
      </c>
      <c r="I270" s="7">
        <v>44</v>
      </c>
      <c r="J270" s="7">
        <v>0</v>
      </c>
      <c r="K270" s="7">
        <v>208</v>
      </c>
      <c r="L270" t="b">
        <f t="shared" si="4"/>
        <v>1</v>
      </c>
    </row>
    <row r="271" spans="1:12" x14ac:dyDescent="0.25">
      <c r="A271" s="7" t="s">
        <v>1267</v>
      </c>
      <c r="B271" s="7">
        <v>0</v>
      </c>
      <c r="C271" s="7">
        <v>150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7</v>
      </c>
      <c r="J271" s="7">
        <v>0</v>
      </c>
      <c r="K271" s="7">
        <v>157</v>
      </c>
      <c r="L271" t="b">
        <f t="shared" si="4"/>
        <v>1</v>
      </c>
    </row>
    <row r="272" spans="1:12" x14ac:dyDescent="0.25">
      <c r="A272" s="7" t="s">
        <v>1268</v>
      </c>
      <c r="B272" s="7">
        <v>0</v>
      </c>
      <c r="C272" s="7">
        <v>241</v>
      </c>
      <c r="D272" s="7">
        <v>2</v>
      </c>
      <c r="E272" s="7">
        <v>0</v>
      </c>
      <c r="F272" s="7">
        <v>0</v>
      </c>
      <c r="G272" s="7">
        <v>1</v>
      </c>
      <c r="H272" s="7">
        <v>0</v>
      </c>
      <c r="I272" s="7">
        <v>5</v>
      </c>
      <c r="J272" s="7">
        <v>0</v>
      </c>
      <c r="K272" s="7">
        <v>249</v>
      </c>
      <c r="L272" t="b">
        <f t="shared" si="4"/>
        <v>1</v>
      </c>
    </row>
    <row r="273" spans="1:12" x14ac:dyDescent="0.25">
      <c r="A273" s="7" t="s">
        <v>1269</v>
      </c>
      <c r="B273" s="7">
        <v>0</v>
      </c>
      <c r="C273" s="7">
        <v>91</v>
      </c>
      <c r="D273" s="7">
        <v>2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93</v>
      </c>
      <c r="L273" t="b">
        <f t="shared" si="4"/>
        <v>1</v>
      </c>
    </row>
    <row r="274" spans="1:12" x14ac:dyDescent="0.25">
      <c r="A274" s="7" t="s">
        <v>1270</v>
      </c>
      <c r="B274" s="7">
        <v>0</v>
      </c>
      <c r="C274" s="7">
        <v>116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65</v>
      </c>
      <c r="J274" s="7">
        <v>0</v>
      </c>
      <c r="K274" s="7">
        <v>181</v>
      </c>
      <c r="L274" t="b">
        <f t="shared" si="4"/>
        <v>1</v>
      </c>
    </row>
    <row r="275" spans="1:12" x14ac:dyDescent="0.25">
      <c r="A275" s="7" t="s">
        <v>1271</v>
      </c>
      <c r="B275" s="7">
        <v>0</v>
      </c>
      <c r="C275" s="7">
        <v>63</v>
      </c>
      <c r="D275" s="7">
        <v>1</v>
      </c>
      <c r="E275" s="7">
        <v>0</v>
      </c>
      <c r="F275" s="7">
        <v>1</v>
      </c>
      <c r="G275" s="7">
        <v>1</v>
      </c>
      <c r="H275" s="7">
        <v>0</v>
      </c>
      <c r="I275" s="7">
        <v>7</v>
      </c>
      <c r="J275" s="7">
        <v>0</v>
      </c>
      <c r="K275" s="7">
        <v>73</v>
      </c>
      <c r="L275" t="b">
        <f t="shared" si="4"/>
        <v>1</v>
      </c>
    </row>
    <row r="276" spans="1:12" x14ac:dyDescent="0.25">
      <c r="A276" s="7" t="s">
        <v>1272</v>
      </c>
      <c r="B276" s="7">
        <v>0</v>
      </c>
      <c r="C276" s="7">
        <v>120</v>
      </c>
      <c r="D276" s="7">
        <v>1</v>
      </c>
      <c r="E276" s="7">
        <v>0</v>
      </c>
      <c r="F276" s="7">
        <v>0</v>
      </c>
      <c r="G276" s="7">
        <v>4</v>
      </c>
      <c r="H276" s="7">
        <v>0</v>
      </c>
      <c r="I276" s="7">
        <v>26</v>
      </c>
      <c r="J276" s="7">
        <v>0</v>
      </c>
      <c r="K276" s="7">
        <v>151</v>
      </c>
      <c r="L276" t="b">
        <f t="shared" si="4"/>
        <v>1</v>
      </c>
    </row>
    <row r="277" spans="1:12" x14ac:dyDescent="0.25">
      <c r="A277" s="7" t="s">
        <v>1273</v>
      </c>
      <c r="B277" s="7">
        <v>0</v>
      </c>
      <c r="C277" s="7">
        <v>129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107</v>
      </c>
      <c r="J277" s="7">
        <v>31</v>
      </c>
      <c r="K277" s="7">
        <v>273</v>
      </c>
      <c r="L277" t="b">
        <f t="shared" si="4"/>
        <v>1</v>
      </c>
    </row>
    <row r="278" spans="1:12" x14ac:dyDescent="0.25">
      <c r="A278" s="7" t="s">
        <v>1274</v>
      </c>
      <c r="B278" s="7">
        <v>0</v>
      </c>
      <c r="C278" s="7">
        <v>160</v>
      </c>
      <c r="D278" s="7">
        <v>3</v>
      </c>
      <c r="E278" s="7">
        <v>0</v>
      </c>
      <c r="F278" s="7">
        <v>0</v>
      </c>
      <c r="G278" s="7">
        <v>2</v>
      </c>
      <c r="H278" s="7">
        <v>0</v>
      </c>
      <c r="I278" s="7">
        <v>11</v>
      </c>
      <c r="J278" s="7">
        <v>0</v>
      </c>
      <c r="K278" s="7">
        <v>176</v>
      </c>
      <c r="L278" t="b">
        <f t="shared" si="4"/>
        <v>1</v>
      </c>
    </row>
    <row r="279" spans="1:12" x14ac:dyDescent="0.25">
      <c r="A279" s="7" t="s">
        <v>1275</v>
      </c>
      <c r="B279" s="7">
        <v>0</v>
      </c>
      <c r="C279" s="7">
        <v>102</v>
      </c>
      <c r="D279" s="7">
        <v>4</v>
      </c>
      <c r="E279" s="7">
        <v>0</v>
      </c>
      <c r="F279" s="7">
        <v>0</v>
      </c>
      <c r="G279" s="7">
        <v>0</v>
      </c>
      <c r="H279" s="7">
        <v>0</v>
      </c>
      <c r="I279" s="7">
        <v>13</v>
      </c>
      <c r="J279" s="7">
        <v>2</v>
      </c>
      <c r="K279" s="7">
        <v>121</v>
      </c>
      <c r="L279" t="b">
        <f t="shared" si="4"/>
        <v>1</v>
      </c>
    </row>
    <row r="280" spans="1:12" x14ac:dyDescent="0.25">
      <c r="A280" s="7" t="s">
        <v>1276</v>
      </c>
      <c r="B280" s="7">
        <v>0</v>
      </c>
      <c r="C280" s="7">
        <v>71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6</v>
      </c>
      <c r="J280" s="7">
        <v>0</v>
      </c>
      <c r="K280" s="7">
        <v>77</v>
      </c>
      <c r="L280" t="b">
        <f t="shared" si="4"/>
        <v>1</v>
      </c>
    </row>
    <row r="281" spans="1:12" x14ac:dyDescent="0.25">
      <c r="A281" s="7" t="s">
        <v>1277</v>
      </c>
      <c r="B281" s="7">
        <v>0</v>
      </c>
      <c r="C281" s="7">
        <v>96</v>
      </c>
      <c r="D281" s="7">
        <v>1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1</v>
      </c>
      <c r="K281" s="7">
        <v>98</v>
      </c>
      <c r="L281" t="b">
        <f t="shared" si="4"/>
        <v>1</v>
      </c>
    </row>
    <row r="282" spans="1:12" x14ac:dyDescent="0.25">
      <c r="A282" s="7" t="s">
        <v>1278</v>
      </c>
      <c r="B282" s="7">
        <v>0</v>
      </c>
      <c r="C282" s="7">
        <v>108</v>
      </c>
      <c r="D282" s="7">
        <v>7</v>
      </c>
      <c r="E282" s="7">
        <v>0</v>
      </c>
      <c r="F282" s="7">
        <v>0</v>
      </c>
      <c r="G282" s="7">
        <v>0</v>
      </c>
      <c r="H282" s="7">
        <v>0</v>
      </c>
      <c r="I282" s="7">
        <v>19</v>
      </c>
      <c r="J282" s="7">
        <v>2</v>
      </c>
      <c r="K282" s="7">
        <v>136</v>
      </c>
      <c r="L282" t="b">
        <f t="shared" si="4"/>
        <v>1</v>
      </c>
    </row>
    <row r="283" spans="1:12" x14ac:dyDescent="0.25">
      <c r="A283" s="7" t="s">
        <v>1279</v>
      </c>
      <c r="B283" s="7">
        <v>0</v>
      </c>
      <c r="C283" s="7">
        <v>120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50</v>
      </c>
      <c r="J283" s="7">
        <v>0</v>
      </c>
      <c r="K283" s="7">
        <v>170</v>
      </c>
      <c r="L283" t="b">
        <f t="shared" si="4"/>
        <v>1</v>
      </c>
    </row>
    <row r="284" spans="1:12" x14ac:dyDescent="0.25">
      <c r="A284" s="7" t="s">
        <v>1280</v>
      </c>
      <c r="B284" s="7">
        <v>0</v>
      </c>
      <c r="C284" s="7">
        <v>131</v>
      </c>
      <c r="D284" s="7">
        <v>1</v>
      </c>
      <c r="E284" s="7">
        <v>0</v>
      </c>
      <c r="F284" s="7">
        <v>1</v>
      </c>
      <c r="G284" s="7">
        <v>5</v>
      </c>
      <c r="H284" s="7">
        <v>0</v>
      </c>
      <c r="I284" s="7">
        <v>2</v>
      </c>
      <c r="J284" s="7">
        <v>0</v>
      </c>
      <c r="K284" s="7">
        <v>140</v>
      </c>
      <c r="L284" t="b">
        <f t="shared" si="4"/>
        <v>1</v>
      </c>
    </row>
    <row r="285" spans="1:12" x14ac:dyDescent="0.25">
      <c r="A285" s="7" t="s">
        <v>1281</v>
      </c>
      <c r="B285" s="7">
        <v>0</v>
      </c>
      <c r="C285" s="7">
        <v>78</v>
      </c>
      <c r="D285" s="7">
        <v>0</v>
      </c>
      <c r="E285" s="7">
        <v>0</v>
      </c>
      <c r="F285" s="7">
        <v>0</v>
      </c>
      <c r="G285" s="7">
        <v>1</v>
      </c>
      <c r="H285" s="7">
        <v>0</v>
      </c>
      <c r="I285" s="7">
        <v>4</v>
      </c>
      <c r="J285" s="7">
        <v>0</v>
      </c>
      <c r="K285" s="7">
        <v>83</v>
      </c>
      <c r="L285" t="b">
        <f t="shared" si="4"/>
        <v>1</v>
      </c>
    </row>
    <row r="286" spans="1:12" x14ac:dyDescent="0.25">
      <c r="A286" s="7" t="s">
        <v>1282</v>
      </c>
      <c r="B286" s="7">
        <v>0</v>
      </c>
      <c r="C286" s="7">
        <v>104</v>
      </c>
      <c r="D286" s="7">
        <v>25</v>
      </c>
      <c r="E286" s="7">
        <v>0</v>
      </c>
      <c r="F286" s="7">
        <v>0</v>
      </c>
      <c r="G286" s="7">
        <v>0</v>
      </c>
      <c r="H286" s="7">
        <v>0</v>
      </c>
      <c r="I286" s="7">
        <v>70</v>
      </c>
      <c r="J286" s="7">
        <v>0</v>
      </c>
      <c r="K286" s="7">
        <v>199</v>
      </c>
      <c r="L286" t="b">
        <f t="shared" si="4"/>
        <v>1</v>
      </c>
    </row>
    <row r="287" spans="1:12" x14ac:dyDescent="0.25">
      <c r="A287" s="7" t="s">
        <v>1283</v>
      </c>
      <c r="B287" s="7">
        <v>0</v>
      </c>
      <c r="C287" s="7">
        <v>74</v>
      </c>
      <c r="D287" s="7">
        <v>12</v>
      </c>
      <c r="E287" s="7">
        <v>0</v>
      </c>
      <c r="F287" s="7">
        <v>0</v>
      </c>
      <c r="G287" s="7">
        <v>1</v>
      </c>
      <c r="H287" s="7">
        <v>0</v>
      </c>
      <c r="I287" s="7">
        <v>29</v>
      </c>
      <c r="J287" s="7">
        <v>0</v>
      </c>
      <c r="K287" s="7">
        <v>116</v>
      </c>
      <c r="L287" t="b">
        <f t="shared" si="4"/>
        <v>1</v>
      </c>
    </row>
    <row r="288" spans="1:12" x14ac:dyDescent="0.25">
      <c r="A288" s="7" t="s">
        <v>1284</v>
      </c>
      <c r="B288" s="7">
        <v>0</v>
      </c>
      <c r="C288" s="7">
        <v>25</v>
      </c>
      <c r="D288" s="7">
        <v>5</v>
      </c>
      <c r="E288" s="7">
        <v>0</v>
      </c>
      <c r="F288" s="7">
        <v>0</v>
      </c>
      <c r="G288" s="7">
        <v>0</v>
      </c>
      <c r="H288" s="7">
        <v>0</v>
      </c>
      <c r="I288" s="7">
        <v>45</v>
      </c>
      <c r="J288" s="7">
        <v>0</v>
      </c>
      <c r="K288" s="7">
        <v>75</v>
      </c>
      <c r="L288" t="b">
        <f t="shared" si="4"/>
        <v>1</v>
      </c>
    </row>
    <row r="289" spans="1:12" x14ac:dyDescent="0.25">
      <c r="A289" s="7" t="s">
        <v>1285</v>
      </c>
      <c r="B289" s="7">
        <v>0</v>
      </c>
      <c r="C289" s="7">
        <v>194</v>
      </c>
      <c r="D289" s="7">
        <v>0</v>
      </c>
      <c r="E289" s="7">
        <v>0</v>
      </c>
      <c r="F289" s="7">
        <v>0</v>
      </c>
      <c r="G289" s="7">
        <v>1</v>
      </c>
      <c r="H289" s="7">
        <v>0</v>
      </c>
      <c r="I289" s="7">
        <v>0</v>
      </c>
      <c r="J289" s="7">
        <v>0</v>
      </c>
      <c r="K289" s="7">
        <v>195</v>
      </c>
      <c r="L289" t="b">
        <f t="shared" si="4"/>
        <v>1</v>
      </c>
    </row>
    <row r="290" spans="1:12" x14ac:dyDescent="0.25">
      <c r="A290" s="7" t="s">
        <v>1286</v>
      </c>
      <c r="B290" s="7">
        <v>0</v>
      </c>
      <c r="C290" s="7">
        <v>130</v>
      </c>
      <c r="D290" s="7">
        <v>1</v>
      </c>
      <c r="E290" s="7">
        <v>0</v>
      </c>
      <c r="F290" s="7">
        <v>0</v>
      </c>
      <c r="G290" s="7">
        <v>0</v>
      </c>
      <c r="H290" s="7">
        <v>0</v>
      </c>
      <c r="I290" s="7">
        <v>4</v>
      </c>
      <c r="J290" s="7">
        <v>0</v>
      </c>
      <c r="K290" s="7">
        <v>135</v>
      </c>
      <c r="L290" t="b">
        <f t="shared" si="4"/>
        <v>1</v>
      </c>
    </row>
    <row r="291" spans="1:12" x14ac:dyDescent="0.25">
      <c r="A291" s="7" t="s">
        <v>1287</v>
      </c>
      <c r="B291" s="7">
        <v>0</v>
      </c>
      <c r="C291" s="7">
        <v>85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3</v>
      </c>
      <c r="J291" s="7">
        <v>0</v>
      </c>
      <c r="K291" s="7">
        <v>88</v>
      </c>
      <c r="L291" t="b">
        <f t="shared" si="4"/>
        <v>1</v>
      </c>
    </row>
    <row r="292" spans="1:12" x14ac:dyDescent="0.25">
      <c r="A292" s="7" t="s">
        <v>1288</v>
      </c>
      <c r="B292" s="7">
        <v>0</v>
      </c>
      <c r="C292" s="7">
        <v>147</v>
      </c>
      <c r="D292" s="7">
        <v>0</v>
      </c>
      <c r="E292" s="7">
        <v>0</v>
      </c>
      <c r="F292" s="7">
        <v>1</v>
      </c>
      <c r="G292" s="7">
        <v>4</v>
      </c>
      <c r="H292" s="7">
        <v>0</v>
      </c>
      <c r="I292" s="7">
        <v>0</v>
      </c>
      <c r="J292" s="7">
        <v>0</v>
      </c>
      <c r="K292" s="7">
        <v>152</v>
      </c>
      <c r="L292" t="b">
        <f t="shared" si="4"/>
        <v>1</v>
      </c>
    </row>
    <row r="293" spans="1:12" x14ac:dyDescent="0.25">
      <c r="A293" s="7" t="s">
        <v>1289</v>
      </c>
      <c r="B293" s="7">
        <v>0</v>
      </c>
      <c r="C293" s="7">
        <v>118</v>
      </c>
      <c r="D293" s="7">
        <v>0</v>
      </c>
      <c r="E293" s="7">
        <v>0</v>
      </c>
      <c r="F293" s="7">
        <v>0</v>
      </c>
      <c r="G293" s="7">
        <v>1</v>
      </c>
      <c r="H293" s="7">
        <v>0</v>
      </c>
      <c r="I293" s="7">
        <v>4</v>
      </c>
      <c r="J293" s="7">
        <v>0</v>
      </c>
      <c r="K293" s="7">
        <v>123</v>
      </c>
      <c r="L293" t="b">
        <f t="shared" si="4"/>
        <v>1</v>
      </c>
    </row>
    <row r="294" spans="1:12" x14ac:dyDescent="0.25">
      <c r="A294" s="7" t="s">
        <v>1290</v>
      </c>
      <c r="B294" s="7">
        <v>0</v>
      </c>
      <c r="C294" s="7">
        <v>97</v>
      </c>
      <c r="D294" s="7">
        <v>0</v>
      </c>
      <c r="E294" s="7">
        <v>0</v>
      </c>
      <c r="F294" s="7">
        <v>0</v>
      </c>
      <c r="G294" s="7">
        <v>1</v>
      </c>
      <c r="H294" s="7">
        <v>0</v>
      </c>
      <c r="I294" s="7">
        <v>4</v>
      </c>
      <c r="J294" s="7">
        <v>0</v>
      </c>
      <c r="K294" s="7">
        <v>102</v>
      </c>
      <c r="L294" t="b">
        <f t="shared" si="4"/>
        <v>1</v>
      </c>
    </row>
    <row r="295" spans="1:12" x14ac:dyDescent="0.25">
      <c r="A295" s="7" t="s">
        <v>1291</v>
      </c>
      <c r="B295" s="7">
        <v>0</v>
      </c>
      <c r="C295" s="7">
        <v>279</v>
      </c>
      <c r="D295" s="7">
        <v>0</v>
      </c>
      <c r="E295" s="7">
        <v>0</v>
      </c>
      <c r="F295" s="7">
        <v>0</v>
      </c>
      <c r="G295" s="7">
        <v>1</v>
      </c>
      <c r="H295" s="7">
        <v>0</v>
      </c>
      <c r="I295" s="7">
        <v>5</v>
      </c>
      <c r="J295" s="7">
        <v>0</v>
      </c>
      <c r="K295" s="7">
        <v>285</v>
      </c>
      <c r="L295" t="b">
        <f t="shared" si="4"/>
        <v>1</v>
      </c>
    </row>
    <row r="296" spans="1:12" x14ac:dyDescent="0.25">
      <c r="A296" s="7" t="s">
        <v>1292</v>
      </c>
      <c r="B296" s="7">
        <v>0</v>
      </c>
      <c r="C296" s="7">
        <v>97</v>
      </c>
      <c r="D296" s="7">
        <v>0</v>
      </c>
      <c r="E296" s="7">
        <v>0</v>
      </c>
      <c r="F296" s="7">
        <v>0</v>
      </c>
      <c r="G296" s="7">
        <v>2</v>
      </c>
      <c r="H296" s="7">
        <v>0</v>
      </c>
      <c r="I296" s="7">
        <v>14</v>
      </c>
      <c r="J296" s="7">
        <v>0</v>
      </c>
      <c r="K296" s="7">
        <v>113</v>
      </c>
      <c r="L296" t="b">
        <f t="shared" si="4"/>
        <v>1</v>
      </c>
    </row>
    <row r="297" spans="1:12" x14ac:dyDescent="0.25">
      <c r="A297" s="7" t="s">
        <v>1293</v>
      </c>
      <c r="B297" s="7">
        <v>0</v>
      </c>
      <c r="C297" s="7">
        <v>90</v>
      </c>
      <c r="D297" s="7">
        <v>24</v>
      </c>
      <c r="E297" s="7">
        <v>0</v>
      </c>
      <c r="F297" s="7">
        <v>0</v>
      </c>
      <c r="G297" s="7">
        <v>1</v>
      </c>
      <c r="H297" s="7">
        <v>0</v>
      </c>
      <c r="I297" s="7">
        <v>52</v>
      </c>
      <c r="J297" s="7">
        <v>1</v>
      </c>
      <c r="K297" s="7">
        <v>168</v>
      </c>
      <c r="L297" t="b">
        <f t="shared" si="4"/>
        <v>1</v>
      </c>
    </row>
    <row r="298" spans="1:12" x14ac:dyDescent="0.25">
      <c r="A298" s="7" t="s">
        <v>1294</v>
      </c>
      <c r="B298" s="7">
        <v>0</v>
      </c>
      <c r="C298" s="7">
        <v>67</v>
      </c>
      <c r="D298" s="7">
        <v>20</v>
      </c>
      <c r="E298" s="7">
        <v>0</v>
      </c>
      <c r="F298" s="7">
        <v>0</v>
      </c>
      <c r="G298" s="7">
        <v>0</v>
      </c>
      <c r="H298" s="7">
        <v>0</v>
      </c>
      <c r="I298" s="7">
        <v>24</v>
      </c>
      <c r="J298" s="7">
        <v>5</v>
      </c>
      <c r="K298" s="7">
        <v>116</v>
      </c>
      <c r="L298" t="b">
        <f t="shared" si="4"/>
        <v>1</v>
      </c>
    </row>
    <row r="299" spans="1:12" x14ac:dyDescent="0.25">
      <c r="A299" s="7" t="s">
        <v>1295</v>
      </c>
      <c r="B299" s="7">
        <v>0</v>
      </c>
      <c r="C299" s="7">
        <v>36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36</v>
      </c>
      <c r="L299" t="b">
        <f t="shared" si="4"/>
        <v>1</v>
      </c>
    </row>
    <row r="300" spans="1:12" x14ac:dyDescent="0.25">
      <c r="A300" s="7" t="s">
        <v>1296</v>
      </c>
      <c r="B300" s="7">
        <v>0</v>
      </c>
      <c r="C300" s="7">
        <v>48</v>
      </c>
      <c r="D300" s="7">
        <v>0</v>
      </c>
      <c r="E300" s="7">
        <v>0</v>
      </c>
      <c r="F300" s="7">
        <v>0</v>
      </c>
      <c r="G300" s="7">
        <v>1</v>
      </c>
      <c r="H300" s="7">
        <v>0</v>
      </c>
      <c r="I300" s="7">
        <v>0</v>
      </c>
      <c r="J300" s="7">
        <v>0</v>
      </c>
      <c r="K300" s="7">
        <v>49</v>
      </c>
      <c r="L300" t="b">
        <f t="shared" si="4"/>
        <v>1</v>
      </c>
    </row>
    <row r="301" spans="1:12" x14ac:dyDescent="0.25">
      <c r="A301" s="7" t="s">
        <v>1297</v>
      </c>
      <c r="B301" s="7">
        <v>0</v>
      </c>
      <c r="C301" s="7">
        <v>47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22</v>
      </c>
      <c r="J301" s="7">
        <v>0</v>
      </c>
      <c r="K301" s="7">
        <v>69</v>
      </c>
      <c r="L301" t="b">
        <f t="shared" si="4"/>
        <v>1</v>
      </c>
    </row>
    <row r="302" spans="1:12" x14ac:dyDescent="0.25">
      <c r="A302" s="7" t="s">
        <v>1298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96</v>
      </c>
      <c r="J302" s="7">
        <v>0</v>
      </c>
      <c r="K302" s="7">
        <v>96</v>
      </c>
      <c r="L302" t="b">
        <f t="shared" si="4"/>
        <v>1</v>
      </c>
    </row>
    <row r="303" spans="1:12" x14ac:dyDescent="0.25">
      <c r="A303" s="7" t="s">
        <v>1299</v>
      </c>
      <c r="B303" s="7">
        <v>0</v>
      </c>
      <c r="C303" s="7">
        <v>73</v>
      </c>
      <c r="D303" s="7">
        <v>1</v>
      </c>
      <c r="E303" s="7">
        <v>0</v>
      </c>
      <c r="F303" s="7">
        <v>0</v>
      </c>
      <c r="G303" s="7">
        <v>5</v>
      </c>
      <c r="H303" s="7">
        <v>0</v>
      </c>
      <c r="I303" s="7">
        <v>7</v>
      </c>
      <c r="J303" s="7">
        <v>0</v>
      </c>
      <c r="K303" s="7">
        <v>86</v>
      </c>
      <c r="L303" t="b">
        <f t="shared" si="4"/>
        <v>1</v>
      </c>
    </row>
    <row r="304" spans="1:12" x14ac:dyDescent="0.25">
      <c r="A304" s="7" t="s">
        <v>1300</v>
      </c>
      <c r="B304" s="7">
        <v>0</v>
      </c>
      <c r="C304" s="7">
        <v>57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17</v>
      </c>
      <c r="J304" s="7">
        <v>0</v>
      </c>
      <c r="K304" s="7">
        <v>74</v>
      </c>
      <c r="L304" t="b">
        <f t="shared" si="4"/>
        <v>1</v>
      </c>
    </row>
    <row r="305" spans="1:12" x14ac:dyDescent="0.25">
      <c r="A305" s="7" t="s">
        <v>1301</v>
      </c>
      <c r="B305" s="7">
        <v>0</v>
      </c>
      <c r="C305" s="7">
        <v>21</v>
      </c>
      <c r="D305" s="7">
        <v>0</v>
      </c>
      <c r="E305" s="7">
        <v>0</v>
      </c>
      <c r="F305" s="7">
        <v>0</v>
      </c>
      <c r="G305" s="7">
        <v>2</v>
      </c>
      <c r="H305" s="7">
        <v>0</v>
      </c>
      <c r="I305" s="7">
        <v>4</v>
      </c>
      <c r="J305" s="7">
        <v>0</v>
      </c>
      <c r="K305" s="7">
        <v>27</v>
      </c>
      <c r="L305" t="b">
        <f t="shared" si="4"/>
        <v>1</v>
      </c>
    </row>
    <row r="306" spans="1:12" x14ac:dyDescent="0.25">
      <c r="A306" s="7" t="s">
        <v>1302</v>
      </c>
      <c r="B306" s="7">
        <v>0</v>
      </c>
      <c r="C306" s="7">
        <v>40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31</v>
      </c>
      <c r="J306" s="7">
        <v>0</v>
      </c>
      <c r="K306" s="7">
        <v>71</v>
      </c>
      <c r="L306" t="b">
        <f t="shared" si="4"/>
        <v>1</v>
      </c>
    </row>
    <row r="307" spans="1:12" x14ac:dyDescent="0.25">
      <c r="A307" s="7" t="s">
        <v>1303</v>
      </c>
      <c r="B307" s="7">
        <v>0</v>
      </c>
      <c r="C307" s="7">
        <v>52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14</v>
      </c>
      <c r="J307" s="7">
        <v>0</v>
      </c>
      <c r="K307" s="7">
        <v>66</v>
      </c>
      <c r="L307" t="b">
        <f t="shared" si="4"/>
        <v>1</v>
      </c>
    </row>
    <row r="308" spans="1:12" x14ac:dyDescent="0.25">
      <c r="A308" s="7" t="s">
        <v>1304</v>
      </c>
      <c r="B308" s="7">
        <v>0</v>
      </c>
      <c r="C308" s="7">
        <v>17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30</v>
      </c>
      <c r="J308" s="7">
        <v>0</v>
      </c>
      <c r="K308" s="7">
        <v>47</v>
      </c>
      <c r="L308" t="b">
        <f t="shared" si="4"/>
        <v>1</v>
      </c>
    </row>
    <row r="309" spans="1:12" x14ac:dyDescent="0.25">
      <c r="A309" s="7" t="s">
        <v>1305</v>
      </c>
      <c r="B309" s="7">
        <v>0</v>
      </c>
      <c r="C309" s="7">
        <v>16</v>
      </c>
      <c r="D309" s="7">
        <v>1</v>
      </c>
      <c r="E309" s="7">
        <v>0</v>
      </c>
      <c r="F309" s="7">
        <v>0</v>
      </c>
      <c r="G309" s="7">
        <v>0</v>
      </c>
      <c r="H309" s="7">
        <v>0</v>
      </c>
      <c r="I309" s="7">
        <v>51</v>
      </c>
      <c r="J309" s="7">
        <v>0</v>
      </c>
      <c r="K309" s="7">
        <v>68</v>
      </c>
      <c r="L309" t="b">
        <f t="shared" si="4"/>
        <v>1</v>
      </c>
    </row>
    <row r="310" spans="1:12" x14ac:dyDescent="0.25">
      <c r="A310" s="7" t="s">
        <v>1306</v>
      </c>
      <c r="B310" s="7">
        <v>0</v>
      </c>
      <c r="C310" s="7">
        <v>11</v>
      </c>
      <c r="D310" s="7">
        <v>0</v>
      </c>
      <c r="E310" s="7">
        <v>0</v>
      </c>
      <c r="F310" s="7">
        <v>0</v>
      </c>
      <c r="G310" s="7">
        <v>1</v>
      </c>
      <c r="H310" s="7">
        <v>0</v>
      </c>
      <c r="I310" s="7">
        <v>36</v>
      </c>
      <c r="J310" s="7">
        <v>0</v>
      </c>
      <c r="K310" s="7">
        <v>48</v>
      </c>
      <c r="L310" t="b">
        <f t="shared" si="4"/>
        <v>1</v>
      </c>
    </row>
    <row r="311" spans="1:12" x14ac:dyDescent="0.25">
      <c r="A311" s="7" t="s">
        <v>1307</v>
      </c>
      <c r="B311" s="7">
        <v>0</v>
      </c>
      <c r="C311" s="7">
        <v>5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59</v>
      </c>
      <c r="J311" s="7">
        <v>0</v>
      </c>
      <c r="K311" s="7">
        <v>64</v>
      </c>
      <c r="L311" t="b">
        <f t="shared" si="4"/>
        <v>1</v>
      </c>
    </row>
    <row r="312" spans="1:12" x14ac:dyDescent="0.25">
      <c r="A312" s="7" t="s">
        <v>1308</v>
      </c>
      <c r="B312" s="7">
        <v>0</v>
      </c>
      <c r="C312" s="7">
        <v>16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51</v>
      </c>
      <c r="J312" s="7">
        <v>0</v>
      </c>
      <c r="K312" s="7">
        <v>67</v>
      </c>
      <c r="L312" t="b">
        <f t="shared" si="4"/>
        <v>1</v>
      </c>
    </row>
    <row r="313" spans="1:12" x14ac:dyDescent="0.25">
      <c r="A313" s="7" t="s">
        <v>1309</v>
      </c>
      <c r="B313" s="7">
        <v>0</v>
      </c>
      <c r="C313" s="7">
        <v>1</v>
      </c>
      <c r="D313" s="7">
        <v>1</v>
      </c>
      <c r="E313" s="7">
        <v>0</v>
      </c>
      <c r="F313" s="7">
        <v>0</v>
      </c>
      <c r="G313" s="7">
        <v>0</v>
      </c>
      <c r="H313" s="7">
        <v>0</v>
      </c>
      <c r="I313" s="7">
        <v>131</v>
      </c>
      <c r="J313" s="7">
        <v>0</v>
      </c>
      <c r="K313" s="7">
        <v>133</v>
      </c>
      <c r="L313" t="b">
        <f t="shared" si="4"/>
        <v>1</v>
      </c>
    </row>
    <row r="314" spans="1:12" x14ac:dyDescent="0.25">
      <c r="A314" s="7" t="s">
        <v>1310</v>
      </c>
      <c r="B314" s="7">
        <v>0</v>
      </c>
      <c r="C314" s="7">
        <v>177</v>
      </c>
      <c r="D314" s="7">
        <v>0</v>
      </c>
      <c r="E314" s="7">
        <v>0</v>
      </c>
      <c r="F314" s="7">
        <v>1</v>
      </c>
      <c r="G314" s="7">
        <v>6</v>
      </c>
      <c r="H314" s="7">
        <v>0</v>
      </c>
      <c r="I314" s="7">
        <v>416</v>
      </c>
      <c r="J314" s="7">
        <v>0</v>
      </c>
      <c r="K314" s="7">
        <v>600</v>
      </c>
      <c r="L314" t="b">
        <f t="shared" si="4"/>
        <v>1</v>
      </c>
    </row>
    <row r="315" spans="1:12" x14ac:dyDescent="0.25">
      <c r="A315" s="7" t="s">
        <v>1311</v>
      </c>
      <c r="B315" s="7">
        <v>0</v>
      </c>
      <c r="C315" s="7">
        <v>2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2</v>
      </c>
      <c r="L315" t="b">
        <f t="shared" si="4"/>
        <v>1</v>
      </c>
    </row>
    <row r="316" spans="1:12" x14ac:dyDescent="0.25">
      <c r="A316" s="7" t="s">
        <v>1312</v>
      </c>
      <c r="B316" s="7">
        <v>0</v>
      </c>
      <c r="C316" s="7">
        <v>1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1</v>
      </c>
      <c r="L316" t="b">
        <f t="shared" si="4"/>
        <v>1</v>
      </c>
    </row>
    <row r="317" spans="1:12" x14ac:dyDescent="0.25">
      <c r="A317" s="7" t="s">
        <v>1313</v>
      </c>
      <c r="B317" s="7">
        <v>0</v>
      </c>
      <c r="C317" s="7">
        <v>81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30</v>
      </c>
      <c r="J317" s="7">
        <v>0</v>
      </c>
      <c r="K317" s="7">
        <v>111</v>
      </c>
      <c r="L317" t="b">
        <f t="shared" si="4"/>
        <v>1</v>
      </c>
    </row>
    <row r="318" spans="1:12" x14ac:dyDescent="0.25">
      <c r="A318" s="7" t="s">
        <v>1314</v>
      </c>
      <c r="B318" s="7">
        <v>0</v>
      </c>
      <c r="C318" s="7">
        <v>101</v>
      </c>
      <c r="D318" s="7">
        <v>0</v>
      </c>
      <c r="E318" s="7">
        <v>0</v>
      </c>
      <c r="F318" s="7">
        <v>0</v>
      </c>
      <c r="G318" s="7">
        <v>3</v>
      </c>
      <c r="H318" s="7">
        <v>0</v>
      </c>
      <c r="I318" s="7">
        <v>42</v>
      </c>
      <c r="J318" s="7">
        <v>0</v>
      </c>
      <c r="K318" s="7">
        <v>146</v>
      </c>
      <c r="L318" t="b">
        <f t="shared" si="4"/>
        <v>1</v>
      </c>
    </row>
    <row r="319" spans="1:12" x14ac:dyDescent="0.25">
      <c r="A319" s="7" t="s">
        <v>1315</v>
      </c>
      <c r="B319" s="7">
        <v>0</v>
      </c>
      <c r="C319" s="7">
        <v>41</v>
      </c>
      <c r="D319" s="7">
        <v>0</v>
      </c>
      <c r="E319" s="7">
        <v>0</v>
      </c>
      <c r="F319" s="7">
        <v>0</v>
      </c>
      <c r="G319" s="7">
        <v>1</v>
      </c>
      <c r="H319" s="7">
        <v>0</v>
      </c>
      <c r="I319" s="7">
        <v>41</v>
      </c>
      <c r="J319" s="7">
        <v>1</v>
      </c>
      <c r="K319" s="7">
        <v>84</v>
      </c>
      <c r="L319" t="b">
        <f t="shared" si="4"/>
        <v>1</v>
      </c>
    </row>
    <row r="320" spans="1:12" x14ac:dyDescent="0.25">
      <c r="A320" s="7" t="s">
        <v>1316</v>
      </c>
      <c r="B320" s="7">
        <v>0</v>
      </c>
      <c r="C320" s="7">
        <v>92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15</v>
      </c>
      <c r="J320" s="7">
        <v>0</v>
      </c>
      <c r="K320" s="7">
        <v>107</v>
      </c>
      <c r="L320" t="b">
        <f t="shared" si="4"/>
        <v>1</v>
      </c>
    </row>
    <row r="321" spans="1:12" x14ac:dyDescent="0.25">
      <c r="A321" s="7" t="s">
        <v>1317</v>
      </c>
      <c r="B321" s="7">
        <v>0</v>
      </c>
      <c r="C321" s="7">
        <v>66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66</v>
      </c>
      <c r="L321" t="b">
        <f t="shared" si="4"/>
        <v>1</v>
      </c>
    </row>
    <row r="322" spans="1:12" x14ac:dyDescent="0.25">
      <c r="A322" s="7" t="s">
        <v>1318</v>
      </c>
      <c r="B322" s="7">
        <v>0</v>
      </c>
      <c r="C322" s="7">
        <v>51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2</v>
      </c>
      <c r="K322" s="7">
        <v>53</v>
      </c>
      <c r="L322" t="b">
        <f t="shared" si="4"/>
        <v>1</v>
      </c>
    </row>
    <row r="323" spans="1:12" x14ac:dyDescent="0.25">
      <c r="A323" s="7" t="s">
        <v>1319</v>
      </c>
      <c r="B323" s="7">
        <v>0</v>
      </c>
      <c r="C323" s="7">
        <v>178</v>
      </c>
      <c r="D323" s="7">
        <v>0</v>
      </c>
      <c r="E323" s="7">
        <v>0</v>
      </c>
      <c r="F323" s="7">
        <v>0</v>
      </c>
      <c r="G323" s="7">
        <v>4</v>
      </c>
      <c r="H323" s="7">
        <v>0</v>
      </c>
      <c r="I323" s="7">
        <v>0</v>
      </c>
      <c r="J323" s="7">
        <v>3</v>
      </c>
      <c r="K323" s="7">
        <v>185</v>
      </c>
      <c r="L323" t="b">
        <f t="shared" ref="L323:L386" si="5">K323=SUM(B323:J323)</f>
        <v>1</v>
      </c>
    </row>
    <row r="324" spans="1:12" x14ac:dyDescent="0.25">
      <c r="A324" s="7" t="s">
        <v>1320</v>
      </c>
      <c r="B324" s="7">
        <v>0</v>
      </c>
      <c r="C324" s="7">
        <v>80</v>
      </c>
      <c r="D324" s="7">
        <v>0</v>
      </c>
      <c r="E324" s="7">
        <v>0</v>
      </c>
      <c r="F324" s="7">
        <v>0</v>
      </c>
      <c r="G324" s="7">
        <v>1</v>
      </c>
      <c r="H324" s="7">
        <v>0</v>
      </c>
      <c r="I324" s="7">
        <v>0</v>
      </c>
      <c r="J324" s="7">
        <v>0</v>
      </c>
      <c r="K324" s="7">
        <v>81</v>
      </c>
      <c r="L324" t="b">
        <f t="shared" si="5"/>
        <v>1</v>
      </c>
    </row>
    <row r="325" spans="1:12" x14ac:dyDescent="0.25">
      <c r="A325" s="7" t="s">
        <v>1321</v>
      </c>
      <c r="B325" s="7">
        <v>0</v>
      </c>
      <c r="C325" s="7">
        <v>98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98</v>
      </c>
      <c r="L325" t="b">
        <f t="shared" si="5"/>
        <v>1</v>
      </c>
    </row>
    <row r="326" spans="1:12" x14ac:dyDescent="0.25">
      <c r="A326" s="7" t="s">
        <v>1322</v>
      </c>
      <c r="B326" s="7">
        <v>0</v>
      </c>
      <c r="C326" s="7">
        <v>148</v>
      </c>
      <c r="D326" s="7">
        <v>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2</v>
      </c>
      <c r="K326" s="7">
        <v>155</v>
      </c>
      <c r="L326" t="b">
        <f t="shared" si="5"/>
        <v>1</v>
      </c>
    </row>
    <row r="327" spans="1:12" x14ac:dyDescent="0.25">
      <c r="A327" s="7" t="s">
        <v>1323</v>
      </c>
      <c r="B327" s="7">
        <v>0</v>
      </c>
      <c r="C327" s="7">
        <v>308</v>
      </c>
      <c r="D327" s="7">
        <v>2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1</v>
      </c>
      <c r="K327" s="7">
        <v>311</v>
      </c>
      <c r="L327" t="b">
        <f t="shared" si="5"/>
        <v>1</v>
      </c>
    </row>
    <row r="328" spans="1:12" x14ac:dyDescent="0.25">
      <c r="A328" s="7" t="s">
        <v>1324</v>
      </c>
      <c r="B328" s="7">
        <v>0</v>
      </c>
      <c r="C328" s="7">
        <v>149</v>
      </c>
      <c r="D328" s="7">
        <v>0</v>
      </c>
      <c r="E328" s="7">
        <v>0</v>
      </c>
      <c r="F328" s="7">
        <v>0</v>
      </c>
      <c r="G328" s="7">
        <v>1</v>
      </c>
      <c r="H328" s="7">
        <v>0</v>
      </c>
      <c r="I328" s="7">
        <v>0</v>
      </c>
      <c r="J328" s="7">
        <v>0</v>
      </c>
      <c r="K328" s="7">
        <v>150</v>
      </c>
      <c r="L328" t="b">
        <f t="shared" si="5"/>
        <v>1</v>
      </c>
    </row>
    <row r="329" spans="1:12" x14ac:dyDescent="0.25">
      <c r="A329" s="7" t="s">
        <v>1325</v>
      </c>
      <c r="B329" s="7">
        <v>0</v>
      </c>
      <c r="C329" s="7">
        <v>141</v>
      </c>
      <c r="D329" s="7">
        <v>0</v>
      </c>
      <c r="E329" s="7">
        <v>0</v>
      </c>
      <c r="F329" s="7">
        <v>0</v>
      </c>
      <c r="G329" s="7">
        <v>2</v>
      </c>
      <c r="H329" s="7">
        <v>0</v>
      </c>
      <c r="I329" s="7">
        <v>0</v>
      </c>
      <c r="J329" s="7">
        <v>0</v>
      </c>
      <c r="K329" s="7">
        <v>143</v>
      </c>
      <c r="L329" t="b">
        <f t="shared" si="5"/>
        <v>1</v>
      </c>
    </row>
    <row r="330" spans="1:12" x14ac:dyDescent="0.25">
      <c r="A330" s="7" t="s">
        <v>1326</v>
      </c>
      <c r="B330" s="7">
        <v>0</v>
      </c>
      <c r="C330" s="7">
        <v>3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3</v>
      </c>
      <c r="L330" t="b">
        <f t="shared" si="5"/>
        <v>1</v>
      </c>
    </row>
    <row r="331" spans="1:12" x14ac:dyDescent="0.25">
      <c r="A331" s="7" t="s">
        <v>1327</v>
      </c>
      <c r="B331" s="7">
        <v>0</v>
      </c>
      <c r="C331" s="7">
        <v>55</v>
      </c>
      <c r="D331" s="7">
        <v>0</v>
      </c>
      <c r="E331" s="7">
        <v>0</v>
      </c>
      <c r="F331" s="7">
        <v>0</v>
      </c>
      <c r="G331" s="7">
        <v>5</v>
      </c>
      <c r="H331" s="7">
        <v>0</v>
      </c>
      <c r="I331" s="7">
        <v>0</v>
      </c>
      <c r="J331" s="7">
        <v>1</v>
      </c>
      <c r="K331" s="7">
        <v>61</v>
      </c>
      <c r="L331" t="b">
        <f t="shared" si="5"/>
        <v>1</v>
      </c>
    </row>
    <row r="332" spans="1:12" x14ac:dyDescent="0.25">
      <c r="A332" s="7" t="s">
        <v>1328</v>
      </c>
      <c r="B332" s="7">
        <v>1</v>
      </c>
      <c r="C332" s="7">
        <v>54</v>
      </c>
      <c r="D332" s="7">
        <v>0</v>
      </c>
      <c r="E332" s="7">
        <v>0</v>
      </c>
      <c r="F332" s="7">
        <v>0</v>
      </c>
      <c r="G332" s="7">
        <v>5</v>
      </c>
      <c r="H332" s="7">
        <v>0</v>
      </c>
      <c r="I332" s="7">
        <v>0</v>
      </c>
      <c r="J332" s="7">
        <v>0</v>
      </c>
      <c r="K332" s="7">
        <v>60</v>
      </c>
      <c r="L332" t="b">
        <f t="shared" si="5"/>
        <v>1</v>
      </c>
    </row>
    <row r="333" spans="1:12" x14ac:dyDescent="0.25">
      <c r="A333" s="7" t="s">
        <v>1329</v>
      </c>
      <c r="B333" s="7">
        <v>0</v>
      </c>
      <c r="C333" s="7">
        <v>39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20</v>
      </c>
      <c r="J333" s="7">
        <v>0</v>
      </c>
      <c r="K333" s="7">
        <v>59</v>
      </c>
      <c r="L333" t="b">
        <f t="shared" si="5"/>
        <v>1</v>
      </c>
    </row>
    <row r="334" spans="1:12" x14ac:dyDescent="0.25">
      <c r="A334" s="7" t="s">
        <v>1330</v>
      </c>
      <c r="B334" s="7">
        <v>0</v>
      </c>
      <c r="C334" s="7">
        <v>22</v>
      </c>
      <c r="D334" s="7">
        <v>0</v>
      </c>
      <c r="E334" s="7">
        <v>0</v>
      </c>
      <c r="F334" s="7">
        <v>1</v>
      </c>
      <c r="G334" s="7">
        <v>0</v>
      </c>
      <c r="H334" s="7">
        <v>0</v>
      </c>
      <c r="I334" s="7">
        <v>16</v>
      </c>
      <c r="J334" s="7">
        <v>1</v>
      </c>
      <c r="K334" s="7">
        <v>40</v>
      </c>
      <c r="L334" t="b">
        <f t="shared" si="5"/>
        <v>1</v>
      </c>
    </row>
    <row r="335" spans="1:12" x14ac:dyDescent="0.25">
      <c r="A335" s="7" t="s">
        <v>1331</v>
      </c>
      <c r="B335" s="7">
        <v>0</v>
      </c>
      <c r="C335" s="7">
        <v>44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39</v>
      </c>
      <c r="J335" s="7">
        <v>1</v>
      </c>
      <c r="K335" s="7">
        <v>84</v>
      </c>
      <c r="L335" t="b">
        <f t="shared" si="5"/>
        <v>1</v>
      </c>
    </row>
    <row r="336" spans="1:12" x14ac:dyDescent="0.25">
      <c r="A336" s="7" t="s">
        <v>1332</v>
      </c>
      <c r="B336" s="7">
        <v>0</v>
      </c>
      <c r="C336" s="7">
        <v>33</v>
      </c>
      <c r="D336" s="7">
        <v>24</v>
      </c>
      <c r="E336" s="7">
        <v>0</v>
      </c>
      <c r="F336" s="7">
        <v>1</v>
      </c>
      <c r="G336" s="7">
        <v>1</v>
      </c>
      <c r="H336" s="7">
        <v>0</v>
      </c>
      <c r="I336" s="7">
        <v>2</v>
      </c>
      <c r="J336" s="7">
        <v>1</v>
      </c>
      <c r="K336" s="7">
        <v>62</v>
      </c>
      <c r="L336" t="b">
        <f t="shared" si="5"/>
        <v>1</v>
      </c>
    </row>
    <row r="337" spans="1:12" x14ac:dyDescent="0.25">
      <c r="A337" s="7" t="s">
        <v>1333</v>
      </c>
      <c r="B337" s="7">
        <v>0</v>
      </c>
      <c r="C337" s="7">
        <v>1</v>
      </c>
      <c r="D337" s="7">
        <v>2</v>
      </c>
      <c r="E337" s="7">
        <v>0</v>
      </c>
      <c r="F337" s="7">
        <v>0</v>
      </c>
      <c r="G337" s="7">
        <v>0</v>
      </c>
      <c r="H337" s="7">
        <v>0</v>
      </c>
      <c r="I337" s="7">
        <v>107</v>
      </c>
      <c r="J337" s="7">
        <v>0</v>
      </c>
      <c r="K337" s="7">
        <v>110</v>
      </c>
      <c r="L337" t="b">
        <f t="shared" si="5"/>
        <v>1</v>
      </c>
    </row>
    <row r="338" spans="1:12" x14ac:dyDescent="0.25">
      <c r="A338" s="7" t="s">
        <v>1334</v>
      </c>
      <c r="B338" s="7">
        <v>0</v>
      </c>
      <c r="C338" s="7">
        <v>70</v>
      </c>
      <c r="D338" s="7">
        <v>20</v>
      </c>
      <c r="E338" s="7">
        <v>0</v>
      </c>
      <c r="F338" s="7">
        <v>0</v>
      </c>
      <c r="G338" s="7">
        <v>1</v>
      </c>
      <c r="H338" s="7">
        <v>0</v>
      </c>
      <c r="I338" s="7">
        <v>3</v>
      </c>
      <c r="J338" s="7">
        <v>0</v>
      </c>
      <c r="K338" s="7">
        <v>94</v>
      </c>
      <c r="L338" t="b">
        <f t="shared" si="5"/>
        <v>1</v>
      </c>
    </row>
    <row r="339" spans="1:12" x14ac:dyDescent="0.25">
      <c r="A339" s="7" t="s">
        <v>1335</v>
      </c>
      <c r="B339" s="7">
        <v>0</v>
      </c>
      <c r="C339" s="7">
        <v>74</v>
      </c>
      <c r="D339" s="7">
        <v>1</v>
      </c>
      <c r="E339" s="7">
        <v>0</v>
      </c>
      <c r="F339" s="7">
        <v>0</v>
      </c>
      <c r="G339" s="7">
        <v>1</v>
      </c>
      <c r="H339" s="7">
        <v>0</v>
      </c>
      <c r="I339" s="7">
        <v>5</v>
      </c>
      <c r="J339" s="7">
        <v>1</v>
      </c>
      <c r="K339" s="7">
        <v>82</v>
      </c>
      <c r="L339" t="b">
        <f t="shared" si="5"/>
        <v>1</v>
      </c>
    </row>
    <row r="340" spans="1:12" x14ac:dyDescent="0.25">
      <c r="A340" s="7" t="s">
        <v>1336</v>
      </c>
      <c r="B340" s="7">
        <v>0</v>
      </c>
      <c r="C340" s="7">
        <v>0</v>
      </c>
      <c r="D340" s="7">
        <v>22</v>
      </c>
      <c r="E340" s="7">
        <v>0</v>
      </c>
      <c r="F340" s="7">
        <v>0</v>
      </c>
      <c r="G340" s="7">
        <v>0</v>
      </c>
      <c r="H340" s="7">
        <v>0</v>
      </c>
      <c r="I340" s="7">
        <v>32</v>
      </c>
      <c r="J340" s="7">
        <v>4</v>
      </c>
      <c r="K340" s="7">
        <v>58</v>
      </c>
      <c r="L340" t="b">
        <f t="shared" si="5"/>
        <v>1</v>
      </c>
    </row>
    <row r="341" spans="1:12" x14ac:dyDescent="0.25">
      <c r="A341" s="7" t="s">
        <v>1337</v>
      </c>
      <c r="B341" s="7">
        <v>0</v>
      </c>
      <c r="C341" s="7">
        <v>16</v>
      </c>
      <c r="D341" s="7">
        <v>19</v>
      </c>
      <c r="E341" s="7">
        <v>0</v>
      </c>
      <c r="F341" s="7">
        <v>0</v>
      </c>
      <c r="G341" s="7">
        <v>0</v>
      </c>
      <c r="H341" s="7">
        <v>0</v>
      </c>
      <c r="I341" s="7">
        <v>32</v>
      </c>
      <c r="J341" s="7">
        <v>0</v>
      </c>
      <c r="K341" s="7">
        <v>67</v>
      </c>
      <c r="L341" t="b">
        <f t="shared" si="5"/>
        <v>1</v>
      </c>
    </row>
    <row r="342" spans="1:12" x14ac:dyDescent="0.25">
      <c r="A342" s="7" t="s">
        <v>1338</v>
      </c>
      <c r="B342" s="7">
        <v>0</v>
      </c>
      <c r="C342" s="7">
        <v>23</v>
      </c>
      <c r="D342" s="7">
        <v>4</v>
      </c>
      <c r="E342" s="7">
        <v>0</v>
      </c>
      <c r="F342" s="7">
        <v>0</v>
      </c>
      <c r="G342" s="7">
        <v>0</v>
      </c>
      <c r="H342" s="7">
        <v>0</v>
      </c>
      <c r="I342" s="7">
        <v>44</v>
      </c>
      <c r="J342" s="7">
        <v>1</v>
      </c>
      <c r="K342" s="7">
        <v>72</v>
      </c>
      <c r="L342" t="b">
        <f t="shared" si="5"/>
        <v>1</v>
      </c>
    </row>
    <row r="343" spans="1:12" x14ac:dyDescent="0.25">
      <c r="A343" s="7" t="s">
        <v>1339</v>
      </c>
      <c r="B343" s="7">
        <v>0</v>
      </c>
      <c r="C343" s="7">
        <v>27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4</v>
      </c>
      <c r="J343" s="7">
        <v>0</v>
      </c>
      <c r="K343" s="7">
        <v>31</v>
      </c>
      <c r="L343" t="b">
        <f t="shared" si="5"/>
        <v>1</v>
      </c>
    </row>
    <row r="344" spans="1:12" x14ac:dyDescent="0.25">
      <c r="A344" s="7" t="s">
        <v>1340</v>
      </c>
      <c r="B344" s="7">
        <v>0</v>
      </c>
      <c r="C344" s="7">
        <v>36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7">
        <v>37</v>
      </c>
      <c r="L344" t="b">
        <f t="shared" si="5"/>
        <v>1</v>
      </c>
    </row>
    <row r="345" spans="1:12" x14ac:dyDescent="0.25">
      <c r="A345" s="7" t="s">
        <v>1341</v>
      </c>
      <c r="B345" s="7">
        <v>0</v>
      </c>
      <c r="C345" s="7">
        <v>0</v>
      </c>
      <c r="D345" s="7">
        <v>1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1</v>
      </c>
      <c r="K345" s="7">
        <v>2</v>
      </c>
      <c r="L345" t="b">
        <f t="shared" si="5"/>
        <v>1</v>
      </c>
    </row>
    <row r="346" spans="1:12" x14ac:dyDescent="0.25">
      <c r="A346" s="7" t="s">
        <v>1342</v>
      </c>
      <c r="B346" s="7">
        <v>0</v>
      </c>
      <c r="C346" s="7">
        <v>0</v>
      </c>
      <c r="D346" s="7">
        <v>3</v>
      </c>
      <c r="E346" s="7">
        <v>0</v>
      </c>
      <c r="F346" s="7">
        <v>0</v>
      </c>
      <c r="G346" s="7">
        <v>0</v>
      </c>
      <c r="H346" s="7">
        <v>0</v>
      </c>
      <c r="I346" s="7">
        <v>7</v>
      </c>
      <c r="J346" s="7">
        <v>0</v>
      </c>
      <c r="K346" s="7">
        <v>10</v>
      </c>
      <c r="L346" t="b">
        <f t="shared" si="5"/>
        <v>1</v>
      </c>
    </row>
    <row r="347" spans="1:12" x14ac:dyDescent="0.25">
      <c r="A347" s="7" t="s">
        <v>2067</v>
      </c>
      <c r="B347" s="7">
        <v>0</v>
      </c>
      <c r="C347" s="7">
        <v>0</v>
      </c>
      <c r="D347" s="7">
        <v>1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1</v>
      </c>
      <c r="L347" t="b">
        <f t="shared" si="5"/>
        <v>1</v>
      </c>
    </row>
    <row r="348" spans="1:12" x14ac:dyDescent="0.25">
      <c r="A348" s="7" t="s">
        <v>1343</v>
      </c>
      <c r="B348" s="7">
        <v>0</v>
      </c>
      <c r="C348" s="7">
        <v>67</v>
      </c>
      <c r="D348" s="7">
        <v>1</v>
      </c>
      <c r="E348" s="7">
        <v>0</v>
      </c>
      <c r="F348" s="7">
        <v>1</v>
      </c>
      <c r="G348" s="7">
        <v>0</v>
      </c>
      <c r="H348" s="7">
        <v>0</v>
      </c>
      <c r="I348" s="7">
        <v>93</v>
      </c>
      <c r="J348" s="7">
        <v>0</v>
      </c>
      <c r="K348" s="7">
        <v>162</v>
      </c>
      <c r="L348" t="b">
        <f t="shared" si="5"/>
        <v>1</v>
      </c>
    </row>
    <row r="349" spans="1:12" x14ac:dyDescent="0.25">
      <c r="A349" s="7" t="s">
        <v>1344</v>
      </c>
      <c r="B349" s="7">
        <v>0</v>
      </c>
      <c r="C349" s="7">
        <v>39</v>
      </c>
      <c r="D349" s="7">
        <v>1</v>
      </c>
      <c r="E349" s="7">
        <v>0</v>
      </c>
      <c r="F349" s="7">
        <v>1</v>
      </c>
      <c r="G349" s="7">
        <v>0</v>
      </c>
      <c r="H349" s="7">
        <v>0</v>
      </c>
      <c r="I349" s="7">
        <v>88</v>
      </c>
      <c r="J349" s="7">
        <v>37</v>
      </c>
      <c r="K349" s="7">
        <v>166</v>
      </c>
      <c r="L349" t="b">
        <f t="shared" si="5"/>
        <v>1</v>
      </c>
    </row>
    <row r="350" spans="1:12" x14ac:dyDescent="0.25">
      <c r="A350" s="7" t="s">
        <v>1345</v>
      </c>
      <c r="B350" s="7">
        <v>0</v>
      </c>
      <c r="C350" s="7">
        <v>64</v>
      </c>
      <c r="D350" s="7">
        <v>4</v>
      </c>
      <c r="E350" s="7">
        <v>0</v>
      </c>
      <c r="F350" s="7">
        <v>0</v>
      </c>
      <c r="G350" s="7">
        <v>0</v>
      </c>
      <c r="H350" s="7">
        <v>1</v>
      </c>
      <c r="I350" s="7">
        <v>162</v>
      </c>
      <c r="J350" s="7">
        <v>1</v>
      </c>
      <c r="K350" s="7">
        <v>232</v>
      </c>
      <c r="L350" t="b">
        <f t="shared" si="5"/>
        <v>1</v>
      </c>
    </row>
    <row r="351" spans="1:12" x14ac:dyDescent="0.25">
      <c r="A351" s="7" t="s">
        <v>1346</v>
      </c>
      <c r="B351" s="7">
        <v>0</v>
      </c>
      <c r="C351" s="7">
        <v>43</v>
      </c>
      <c r="D351" s="7">
        <v>4</v>
      </c>
      <c r="E351" s="7">
        <v>0</v>
      </c>
      <c r="F351" s="7">
        <v>0</v>
      </c>
      <c r="G351" s="7">
        <v>0</v>
      </c>
      <c r="H351" s="7">
        <v>0</v>
      </c>
      <c r="I351" s="7">
        <v>74</v>
      </c>
      <c r="J351" s="7">
        <v>0</v>
      </c>
      <c r="K351" s="7">
        <v>121</v>
      </c>
      <c r="L351" t="b">
        <f t="shared" si="5"/>
        <v>1</v>
      </c>
    </row>
    <row r="352" spans="1:12" x14ac:dyDescent="0.25">
      <c r="A352" s="7" t="s">
        <v>1347</v>
      </c>
      <c r="B352" s="7">
        <v>0</v>
      </c>
      <c r="C352" s="7">
        <v>96</v>
      </c>
      <c r="D352" s="7">
        <v>0</v>
      </c>
      <c r="E352" s="7">
        <v>0</v>
      </c>
      <c r="F352" s="7">
        <v>0</v>
      </c>
      <c r="G352" s="7">
        <v>1</v>
      </c>
      <c r="H352" s="7">
        <v>0</v>
      </c>
      <c r="I352" s="7">
        <v>14</v>
      </c>
      <c r="J352" s="7">
        <v>0</v>
      </c>
      <c r="K352" s="7">
        <v>111</v>
      </c>
      <c r="L352" t="b">
        <f t="shared" si="5"/>
        <v>1</v>
      </c>
    </row>
    <row r="353" spans="1:12" x14ac:dyDescent="0.25">
      <c r="A353" s="7" t="s">
        <v>1348</v>
      </c>
      <c r="B353" s="7">
        <v>0</v>
      </c>
      <c r="C353" s="7">
        <v>121</v>
      </c>
      <c r="D353" s="7">
        <v>2</v>
      </c>
      <c r="E353" s="7">
        <v>0</v>
      </c>
      <c r="F353" s="7">
        <v>0</v>
      </c>
      <c r="G353" s="7">
        <v>0</v>
      </c>
      <c r="H353" s="7">
        <v>0</v>
      </c>
      <c r="I353" s="7">
        <v>70</v>
      </c>
      <c r="J353" s="7">
        <v>3</v>
      </c>
      <c r="K353" s="7">
        <v>196</v>
      </c>
      <c r="L353" t="b">
        <f t="shared" si="5"/>
        <v>1</v>
      </c>
    </row>
    <row r="354" spans="1:12" x14ac:dyDescent="0.25">
      <c r="A354" s="7" t="s">
        <v>1349</v>
      </c>
      <c r="B354" s="7">
        <v>0</v>
      </c>
      <c r="C354" s="7">
        <v>174</v>
      </c>
      <c r="D354" s="7">
        <v>0</v>
      </c>
      <c r="E354" s="7">
        <v>0</v>
      </c>
      <c r="F354" s="7">
        <v>0</v>
      </c>
      <c r="G354" s="7">
        <v>1</v>
      </c>
      <c r="H354" s="7">
        <v>0</v>
      </c>
      <c r="I354" s="7">
        <v>16</v>
      </c>
      <c r="J354" s="7">
        <v>1</v>
      </c>
      <c r="K354" s="7">
        <v>192</v>
      </c>
      <c r="L354" t="b">
        <f t="shared" si="5"/>
        <v>1</v>
      </c>
    </row>
    <row r="355" spans="1:12" x14ac:dyDescent="0.25">
      <c r="A355" s="7" t="s">
        <v>1350</v>
      </c>
      <c r="B355" s="7">
        <v>0</v>
      </c>
      <c r="C355" s="7">
        <v>64</v>
      </c>
      <c r="D355" s="7">
        <v>1</v>
      </c>
      <c r="E355" s="7">
        <v>0</v>
      </c>
      <c r="F355" s="7">
        <v>0</v>
      </c>
      <c r="G355" s="7">
        <v>0</v>
      </c>
      <c r="H355" s="7">
        <v>0</v>
      </c>
      <c r="I355" s="7">
        <v>4</v>
      </c>
      <c r="J355" s="7">
        <v>0</v>
      </c>
      <c r="K355" s="7">
        <v>69</v>
      </c>
      <c r="L355" t="b">
        <f t="shared" si="5"/>
        <v>1</v>
      </c>
    </row>
    <row r="356" spans="1:12" x14ac:dyDescent="0.25">
      <c r="A356" s="7" t="s">
        <v>1351</v>
      </c>
      <c r="B356" s="7">
        <v>0</v>
      </c>
      <c r="C356" s="7">
        <v>65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106</v>
      </c>
      <c r="J356" s="7">
        <v>0</v>
      </c>
      <c r="K356" s="7">
        <v>171</v>
      </c>
      <c r="L356" t="b">
        <f t="shared" si="5"/>
        <v>1</v>
      </c>
    </row>
    <row r="357" spans="1:12" x14ac:dyDescent="0.25">
      <c r="A357" s="7" t="s">
        <v>1352</v>
      </c>
      <c r="B357" s="7">
        <v>0</v>
      </c>
      <c r="C357" s="7">
        <v>60</v>
      </c>
      <c r="D357" s="7">
        <v>0</v>
      </c>
      <c r="E357" s="7">
        <v>0</v>
      </c>
      <c r="F357" s="7">
        <v>0</v>
      </c>
      <c r="G357" s="7">
        <v>1</v>
      </c>
      <c r="H357" s="7">
        <v>0</v>
      </c>
      <c r="I357" s="7">
        <v>23</v>
      </c>
      <c r="J357" s="7">
        <v>0</v>
      </c>
      <c r="K357" s="7">
        <v>84</v>
      </c>
      <c r="L357" t="b">
        <f t="shared" si="5"/>
        <v>1</v>
      </c>
    </row>
    <row r="358" spans="1:12" x14ac:dyDescent="0.25">
      <c r="A358" s="7" t="s">
        <v>1353</v>
      </c>
      <c r="B358" s="7">
        <v>0</v>
      </c>
      <c r="C358" s="7">
        <v>176</v>
      </c>
      <c r="D358" s="7">
        <v>0</v>
      </c>
      <c r="E358" s="7">
        <v>0</v>
      </c>
      <c r="F358" s="7">
        <v>0</v>
      </c>
      <c r="G358" s="7">
        <v>3</v>
      </c>
      <c r="H358" s="7">
        <v>0</v>
      </c>
      <c r="I358" s="7">
        <v>39</v>
      </c>
      <c r="J358" s="7">
        <v>0</v>
      </c>
      <c r="K358" s="7">
        <v>218</v>
      </c>
      <c r="L358" t="b">
        <f t="shared" si="5"/>
        <v>1</v>
      </c>
    </row>
    <row r="359" spans="1:12" x14ac:dyDescent="0.25">
      <c r="A359" s="7" t="s">
        <v>1354</v>
      </c>
      <c r="B359" s="7">
        <v>0</v>
      </c>
      <c r="C359" s="7">
        <v>202</v>
      </c>
      <c r="D359" s="7">
        <v>1</v>
      </c>
      <c r="E359" s="7">
        <v>0</v>
      </c>
      <c r="F359" s="7">
        <v>3</v>
      </c>
      <c r="G359" s="7">
        <v>7</v>
      </c>
      <c r="H359" s="7">
        <v>0</v>
      </c>
      <c r="I359" s="7">
        <v>28</v>
      </c>
      <c r="J359" s="7">
        <v>0</v>
      </c>
      <c r="K359" s="7">
        <v>241</v>
      </c>
      <c r="L359" t="b">
        <f t="shared" si="5"/>
        <v>1</v>
      </c>
    </row>
    <row r="360" spans="1:12" x14ac:dyDescent="0.25">
      <c r="A360" s="7" t="s">
        <v>1355</v>
      </c>
      <c r="B360" s="7">
        <v>0</v>
      </c>
      <c r="C360" s="7">
        <v>70</v>
      </c>
      <c r="D360" s="7">
        <v>3</v>
      </c>
      <c r="E360" s="7">
        <v>0</v>
      </c>
      <c r="F360" s="7">
        <v>0</v>
      </c>
      <c r="G360" s="7">
        <v>1</v>
      </c>
      <c r="H360" s="7">
        <v>0</v>
      </c>
      <c r="I360" s="7">
        <v>149</v>
      </c>
      <c r="J360" s="7">
        <v>0</v>
      </c>
      <c r="K360" s="7">
        <v>223</v>
      </c>
      <c r="L360" t="b">
        <f t="shared" si="5"/>
        <v>1</v>
      </c>
    </row>
    <row r="361" spans="1:12" x14ac:dyDescent="0.25">
      <c r="A361" s="7" t="s">
        <v>1356</v>
      </c>
      <c r="B361" s="7">
        <v>0</v>
      </c>
      <c r="C361" s="7">
        <v>88</v>
      </c>
      <c r="D361" s="7">
        <v>1</v>
      </c>
      <c r="E361" s="7">
        <v>0</v>
      </c>
      <c r="F361" s="7">
        <v>0</v>
      </c>
      <c r="G361" s="7">
        <v>1</v>
      </c>
      <c r="H361" s="7">
        <v>0</v>
      </c>
      <c r="I361" s="7">
        <v>42</v>
      </c>
      <c r="J361" s="7">
        <v>0</v>
      </c>
      <c r="K361" s="7">
        <v>132</v>
      </c>
      <c r="L361" t="b">
        <f t="shared" si="5"/>
        <v>1</v>
      </c>
    </row>
    <row r="362" spans="1:12" x14ac:dyDescent="0.25">
      <c r="A362" s="7" t="s">
        <v>1357</v>
      </c>
      <c r="B362" s="7">
        <v>0</v>
      </c>
      <c r="C362" s="7">
        <v>89</v>
      </c>
      <c r="D362" s="7">
        <v>0</v>
      </c>
      <c r="E362" s="7">
        <v>0</v>
      </c>
      <c r="F362" s="7">
        <v>0</v>
      </c>
      <c r="G362" s="7">
        <v>1</v>
      </c>
      <c r="H362" s="7">
        <v>0</v>
      </c>
      <c r="I362" s="7">
        <v>6</v>
      </c>
      <c r="J362" s="7">
        <v>0</v>
      </c>
      <c r="K362" s="7">
        <v>96</v>
      </c>
      <c r="L362" t="b">
        <f t="shared" si="5"/>
        <v>1</v>
      </c>
    </row>
    <row r="363" spans="1:12" x14ac:dyDescent="0.25">
      <c r="A363" s="7" t="s">
        <v>1358</v>
      </c>
      <c r="B363" s="7">
        <v>0</v>
      </c>
      <c r="C363" s="7">
        <v>112</v>
      </c>
      <c r="D363" s="7">
        <v>0</v>
      </c>
      <c r="E363" s="7">
        <v>0</v>
      </c>
      <c r="F363" s="7">
        <v>0</v>
      </c>
      <c r="G363" s="7">
        <v>6</v>
      </c>
      <c r="H363" s="7">
        <v>0</v>
      </c>
      <c r="I363" s="7">
        <v>0</v>
      </c>
      <c r="J363" s="7">
        <v>0</v>
      </c>
      <c r="K363" s="7">
        <v>118</v>
      </c>
      <c r="L363" t="b">
        <f t="shared" si="5"/>
        <v>1</v>
      </c>
    </row>
    <row r="364" spans="1:12" x14ac:dyDescent="0.25">
      <c r="A364" s="7" t="s">
        <v>1359</v>
      </c>
      <c r="B364" s="7">
        <v>0</v>
      </c>
      <c r="C364" s="7">
        <v>120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7">
        <v>121</v>
      </c>
      <c r="L364" t="b">
        <f t="shared" si="5"/>
        <v>1</v>
      </c>
    </row>
    <row r="365" spans="1:12" x14ac:dyDescent="0.25">
      <c r="A365" s="7" t="s">
        <v>1360</v>
      </c>
      <c r="B365" s="7">
        <v>0</v>
      </c>
      <c r="C365" s="7">
        <v>110</v>
      </c>
      <c r="D365" s="7">
        <v>0</v>
      </c>
      <c r="E365" s="7">
        <v>0</v>
      </c>
      <c r="F365" s="7">
        <v>1</v>
      </c>
      <c r="G365" s="7">
        <v>5</v>
      </c>
      <c r="H365" s="7">
        <v>0</v>
      </c>
      <c r="I365" s="7">
        <v>2</v>
      </c>
      <c r="J365" s="7">
        <v>0</v>
      </c>
      <c r="K365" s="7">
        <v>118</v>
      </c>
      <c r="L365" t="b">
        <f t="shared" si="5"/>
        <v>1</v>
      </c>
    </row>
    <row r="366" spans="1:12" x14ac:dyDescent="0.25">
      <c r="A366" s="7" t="s">
        <v>1361</v>
      </c>
      <c r="B366" s="7">
        <v>0</v>
      </c>
      <c r="C366" s="7">
        <v>92</v>
      </c>
      <c r="D366" s="7">
        <v>0</v>
      </c>
      <c r="E366" s="7">
        <v>0</v>
      </c>
      <c r="F366" s="7">
        <v>0</v>
      </c>
      <c r="G366" s="7">
        <v>6</v>
      </c>
      <c r="H366" s="7">
        <v>0</v>
      </c>
      <c r="I366" s="7">
        <v>0</v>
      </c>
      <c r="J366" s="7">
        <v>0</v>
      </c>
      <c r="K366" s="7">
        <v>98</v>
      </c>
      <c r="L366" t="b">
        <f t="shared" si="5"/>
        <v>1</v>
      </c>
    </row>
    <row r="367" spans="1:12" x14ac:dyDescent="0.25">
      <c r="A367" s="7" t="s">
        <v>1362</v>
      </c>
      <c r="B367" s="7">
        <v>0</v>
      </c>
      <c r="C367" s="7">
        <v>122</v>
      </c>
      <c r="D367" s="7">
        <v>0</v>
      </c>
      <c r="E367" s="7">
        <v>0</v>
      </c>
      <c r="F367" s="7">
        <v>0</v>
      </c>
      <c r="G367" s="7">
        <v>2</v>
      </c>
      <c r="H367" s="7">
        <v>0</v>
      </c>
      <c r="I367" s="7">
        <v>1</v>
      </c>
      <c r="J367" s="7">
        <v>0</v>
      </c>
      <c r="K367" s="7">
        <v>125</v>
      </c>
      <c r="L367" t="b">
        <f t="shared" si="5"/>
        <v>1</v>
      </c>
    </row>
    <row r="368" spans="1:12" x14ac:dyDescent="0.25">
      <c r="A368" s="7" t="s">
        <v>1363</v>
      </c>
      <c r="B368" s="7">
        <v>0</v>
      </c>
      <c r="C368" s="7">
        <v>56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126</v>
      </c>
      <c r="J368" s="7">
        <v>0</v>
      </c>
      <c r="K368" s="7">
        <v>182</v>
      </c>
      <c r="L368" t="b">
        <f t="shared" si="5"/>
        <v>1</v>
      </c>
    </row>
    <row r="369" spans="1:12" x14ac:dyDescent="0.25">
      <c r="A369" s="7" t="s">
        <v>1364</v>
      </c>
      <c r="B369" s="7">
        <v>0</v>
      </c>
      <c r="C369" s="7">
        <v>42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200</v>
      </c>
      <c r="J369" s="7">
        <v>0</v>
      </c>
      <c r="K369" s="7">
        <v>242</v>
      </c>
      <c r="L369" t="b">
        <f t="shared" si="5"/>
        <v>1</v>
      </c>
    </row>
    <row r="370" spans="1:12" x14ac:dyDescent="0.25">
      <c r="A370" s="7" t="s">
        <v>1365</v>
      </c>
      <c r="B370" s="7">
        <v>0</v>
      </c>
      <c r="C370" s="7">
        <v>9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155</v>
      </c>
      <c r="J370" s="7">
        <v>0</v>
      </c>
      <c r="K370" s="7">
        <v>164</v>
      </c>
      <c r="L370" t="b">
        <f t="shared" si="5"/>
        <v>1</v>
      </c>
    </row>
    <row r="371" spans="1:12" x14ac:dyDescent="0.25">
      <c r="A371" s="7" t="s">
        <v>1366</v>
      </c>
      <c r="B371" s="7">
        <v>0</v>
      </c>
      <c r="C371" s="7">
        <v>187</v>
      </c>
      <c r="D371" s="7">
        <v>0</v>
      </c>
      <c r="E371" s="7">
        <v>0</v>
      </c>
      <c r="F371" s="7">
        <v>0</v>
      </c>
      <c r="G371" s="7">
        <v>1</v>
      </c>
      <c r="H371" s="7">
        <v>0</v>
      </c>
      <c r="I371" s="7">
        <v>13</v>
      </c>
      <c r="J371" s="7">
        <v>0</v>
      </c>
      <c r="K371" s="7">
        <v>201</v>
      </c>
      <c r="L371" t="b">
        <f t="shared" si="5"/>
        <v>1</v>
      </c>
    </row>
    <row r="372" spans="1:12" x14ac:dyDescent="0.25">
      <c r="A372" s="7" t="s">
        <v>1367</v>
      </c>
      <c r="B372" s="7">
        <v>0</v>
      </c>
      <c r="C372" s="7">
        <v>202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14</v>
      </c>
      <c r="J372" s="7">
        <v>0</v>
      </c>
      <c r="K372" s="7">
        <v>216</v>
      </c>
      <c r="L372" t="b">
        <f t="shared" si="5"/>
        <v>1</v>
      </c>
    </row>
    <row r="373" spans="1:12" x14ac:dyDescent="0.25">
      <c r="A373" s="7" t="s">
        <v>1368</v>
      </c>
      <c r="B373" s="7">
        <v>0</v>
      </c>
      <c r="C373" s="7">
        <v>334</v>
      </c>
      <c r="D373" s="7">
        <v>0</v>
      </c>
      <c r="E373" s="7">
        <v>0</v>
      </c>
      <c r="F373" s="7">
        <v>0</v>
      </c>
      <c r="G373" s="7">
        <v>1</v>
      </c>
      <c r="H373" s="7">
        <v>0</v>
      </c>
      <c r="I373" s="7">
        <v>0</v>
      </c>
      <c r="J373" s="7">
        <v>0</v>
      </c>
      <c r="K373" s="7">
        <v>335</v>
      </c>
      <c r="L373" t="b">
        <f t="shared" si="5"/>
        <v>1</v>
      </c>
    </row>
    <row r="374" spans="1:12" x14ac:dyDescent="0.25">
      <c r="A374" s="7" t="s">
        <v>1369</v>
      </c>
      <c r="B374" s="7">
        <v>0</v>
      </c>
      <c r="C374" s="7">
        <v>331</v>
      </c>
      <c r="D374" s="7">
        <v>0</v>
      </c>
      <c r="E374" s="7">
        <v>0</v>
      </c>
      <c r="F374" s="7">
        <v>0</v>
      </c>
      <c r="G374" s="7">
        <v>4</v>
      </c>
      <c r="H374" s="7">
        <v>0</v>
      </c>
      <c r="I374" s="7">
        <v>0</v>
      </c>
      <c r="J374" s="7">
        <v>0</v>
      </c>
      <c r="K374" s="7">
        <v>335</v>
      </c>
      <c r="L374" t="b">
        <f t="shared" si="5"/>
        <v>1</v>
      </c>
    </row>
    <row r="375" spans="1:12" x14ac:dyDescent="0.25">
      <c r="A375" s="7" t="s">
        <v>1370</v>
      </c>
      <c r="B375" s="7">
        <v>0</v>
      </c>
      <c r="C375" s="7">
        <v>81</v>
      </c>
      <c r="D375" s="7">
        <v>0</v>
      </c>
      <c r="E375" s="7">
        <v>0</v>
      </c>
      <c r="F375" s="7">
        <v>1</v>
      </c>
      <c r="G375" s="7">
        <v>1</v>
      </c>
      <c r="H375" s="7">
        <v>0</v>
      </c>
      <c r="I375" s="7">
        <v>42</v>
      </c>
      <c r="J375" s="7">
        <v>9</v>
      </c>
      <c r="K375" s="7">
        <v>134</v>
      </c>
      <c r="L375" t="b">
        <f t="shared" si="5"/>
        <v>1</v>
      </c>
    </row>
    <row r="376" spans="1:12" x14ac:dyDescent="0.25">
      <c r="A376" s="7" t="s">
        <v>1371</v>
      </c>
      <c r="B376" s="7">
        <v>0</v>
      </c>
      <c r="C376" s="7">
        <v>103</v>
      </c>
      <c r="D376" s="7">
        <v>0</v>
      </c>
      <c r="E376" s="7">
        <v>0</v>
      </c>
      <c r="F376" s="7">
        <v>0</v>
      </c>
      <c r="G376" s="7">
        <v>3</v>
      </c>
      <c r="H376" s="7">
        <v>0</v>
      </c>
      <c r="I376" s="7">
        <v>42</v>
      </c>
      <c r="J376" s="7">
        <v>0</v>
      </c>
      <c r="K376" s="7">
        <v>148</v>
      </c>
      <c r="L376" t="b">
        <f t="shared" si="5"/>
        <v>1</v>
      </c>
    </row>
    <row r="377" spans="1:12" x14ac:dyDescent="0.25">
      <c r="A377" s="7" t="s">
        <v>1372</v>
      </c>
      <c r="B377" s="7">
        <v>0</v>
      </c>
      <c r="C377" s="7">
        <v>180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22</v>
      </c>
      <c r="J377" s="7">
        <v>2</v>
      </c>
      <c r="K377" s="7">
        <v>204</v>
      </c>
      <c r="L377" t="b">
        <f t="shared" si="5"/>
        <v>1</v>
      </c>
    </row>
    <row r="378" spans="1:12" x14ac:dyDescent="0.25">
      <c r="A378" s="7" t="s">
        <v>1373</v>
      </c>
      <c r="B378" s="7">
        <v>0</v>
      </c>
      <c r="C378" s="7">
        <v>55</v>
      </c>
      <c r="D378" s="7">
        <v>1</v>
      </c>
      <c r="E378" s="7">
        <v>0</v>
      </c>
      <c r="F378" s="7">
        <v>0</v>
      </c>
      <c r="G378" s="7">
        <v>0</v>
      </c>
      <c r="H378" s="7">
        <v>0</v>
      </c>
      <c r="I378" s="7">
        <v>118</v>
      </c>
      <c r="J378" s="7">
        <v>1</v>
      </c>
      <c r="K378" s="7">
        <v>175</v>
      </c>
      <c r="L378" t="b">
        <f t="shared" si="5"/>
        <v>1</v>
      </c>
    </row>
    <row r="379" spans="1:12" x14ac:dyDescent="0.25">
      <c r="A379" s="7" t="s">
        <v>1374</v>
      </c>
      <c r="B379" s="7">
        <v>0</v>
      </c>
      <c r="C379" s="7">
        <v>71</v>
      </c>
      <c r="D379" s="7">
        <v>23</v>
      </c>
      <c r="E379" s="7">
        <v>0</v>
      </c>
      <c r="F379" s="7">
        <v>0</v>
      </c>
      <c r="G379" s="7">
        <v>0</v>
      </c>
      <c r="H379" s="7">
        <v>0</v>
      </c>
      <c r="I379" s="7">
        <v>61</v>
      </c>
      <c r="J379" s="7">
        <v>1</v>
      </c>
      <c r="K379" s="7">
        <v>156</v>
      </c>
      <c r="L379" t="b">
        <f t="shared" si="5"/>
        <v>1</v>
      </c>
    </row>
    <row r="380" spans="1:12" x14ac:dyDescent="0.25">
      <c r="A380" s="7" t="s">
        <v>1375</v>
      </c>
      <c r="B380" s="7">
        <v>0</v>
      </c>
      <c r="C380" s="7">
        <v>93</v>
      </c>
      <c r="D380" s="7">
        <v>19</v>
      </c>
      <c r="E380" s="7">
        <v>0</v>
      </c>
      <c r="F380" s="7">
        <v>0</v>
      </c>
      <c r="G380" s="7">
        <v>0</v>
      </c>
      <c r="H380" s="7">
        <v>0</v>
      </c>
      <c r="I380" s="7">
        <v>27</v>
      </c>
      <c r="J380" s="7">
        <v>27</v>
      </c>
      <c r="K380" s="7">
        <v>166</v>
      </c>
      <c r="L380" t="b">
        <f t="shared" si="5"/>
        <v>1</v>
      </c>
    </row>
    <row r="381" spans="1:12" x14ac:dyDescent="0.25">
      <c r="A381" s="7" t="s">
        <v>1376</v>
      </c>
      <c r="B381" s="7">
        <v>0</v>
      </c>
      <c r="C381" s="7">
        <v>11</v>
      </c>
      <c r="D381" s="7">
        <v>25</v>
      </c>
      <c r="E381" s="7">
        <v>0</v>
      </c>
      <c r="F381" s="7">
        <v>0</v>
      </c>
      <c r="G381" s="7">
        <v>0</v>
      </c>
      <c r="H381" s="7">
        <v>0</v>
      </c>
      <c r="I381" s="7">
        <v>54</v>
      </c>
      <c r="J381" s="7">
        <v>2</v>
      </c>
      <c r="K381" s="7">
        <v>92</v>
      </c>
      <c r="L381" t="b">
        <f t="shared" si="5"/>
        <v>1</v>
      </c>
    </row>
    <row r="382" spans="1:12" x14ac:dyDescent="0.25">
      <c r="A382" s="7" t="s">
        <v>1377</v>
      </c>
      <c r="B382" s="7">
        <v>0</v>
      </c>
      <c r="C382" s="7">
        <v>177</v>
      </c>
      <c r="D382" s="7">
        <v>1</v>
      </c>
      <c r="E382" s="7">
        <v>0</v>
      </c>
      <c r="F382" s="7">
        <v>1</v>
      </c>
      <c r="G382" s="7">
        <v>1</v>
      </c>
      <c r="H382" s="7">
        <v>0</v>
      </c>
      <c r="I382" s="7">
        <v>3</v>
      </c>
      <c r="J382" s="7">
        <v>3</v>
      </c>
      <c r="K382" s="7">
        <v>186</v>
      </c>
      <c r="L382" t="b">
        <f t="shared" si="5"/>
        <v>1</v>
      </c>
    </row>
    <row r="383" spans="1:12" x14ac:dyDescent="0.25">
      <c r="A383" s="7" t="s">
        <v>1378</v>
      </c>
      <c r="B383" s="7">
        <v>0</v>
      </c>
      <c r="C383" s="7">
        <v>96</v>
      </c>
      <c r="D383" s="7">
        <v>0</v>
      </c>
      <c r="E383" s="7">
        <v>0</v>
      </c>
      <c r="F383" s="7">
        <v>1</v>
      </c>
      <c r="G383" s="7">
        <v>0</v>
      </c>
      <c r="H383" s="7">
        <v>0</v>
      </c>
      <c r="I383" s="7">
        <v>13</v>
      </c>
      <c r="J383" s="7">
        <v>0</v>
      </c>
      <c r="K383" s="7">
        <v>110</v>
      </c>
      <c r="L383" t="b">
        <f t="shared" si="5"/>
        <v>1</v>
      </c>
    </row>
    <row r="384" spans="1:12" x14ac:dyDescent="0.25">
      <c r="A384" s="7" t="s">
        <v>1379</v>
      </c>
      <c r="B384" s="7">
        <v>0</v>
      </c>
      <c r="C384" s="7">
        <v>83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68</v>
      </c>
      <c r="J384" s="7">
        <v>0</v>
      </c>
      <c r="K384" s="7">
        <v>151</v>
      </c>
      <c r="L384" t="b">
        <f t="shared" si="5"/>
        <v>1</v>
      </c>
    </row>
    <row r="385" spans="1:12" x14ac:dyDescent="0.25">
      <c r="A385" s="7" t="s">
        <v>1380</v>
      </c>
      <c r="B385" s="7">
        <v>0</v>
      </c>
      <c r="C385" s="7">
        <v>25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92</v>
      </c>
      <c r="J385" s="7">
        <v>0</v>
      </c>
      <c r="K385" s="7">
        <v>117</v>
      </c>
      <c r="L385" t="b">
        <f t="shared" si="5"/>
        <v>1</v>
      </c>
    </row>
    <row r="386" spans="1:12" x14ac:dyDescent="0.25">
      <c r="A386" s="7" t="s">
        <v>1381</v>
      </c>
      <c r="B386" s="7">
        <v>0</v>
      </c>
      <c r="C386" s="7">
        <v>44</v>
      </c>
      <c r="D386" s="7">
        <v>41</v>
      </c>
      <c r="E386" s="7">
        <v>0</v>
      </c>
      <c r="F386" s="7">
        <v>3</v>
      </c>
      <c r="G386" s="7">
        <v>0</v>
      </c>
      <c r="H386" s="7">
        <v>0</v>
      </c>
      <c r="I386" s="7">
        <v>105</v>
      </c>
      <c r="J386" s="7">
        <v>7</v>
      </c>
      <c r="K386" s="7">
        <v>200</v>
      </c>
      <c r="L386" t="b">
        <f t="shared" si="5"/>
        <v>1</v>
      </c>
    </row>
    <row r="387" spans="1:12" x14ac:dyDescent="0.25">
      <c r="A387" s="7" t="s">
        <v>1382</v>
      </c>
      <c r="B387" s="7">
        <v>0</v>
      </c>
      <c r="C387" s="7">
        <v>113</v>
      </c>
      <c r="D387" s="7">
        <v>0</v>
      </c>
      <c r="E387" s="7">
        <v>0</v>
      </c>
      <c r="F387" s="7">
        <v>0</v>
      </c>
      <c r="G387" s="7">
        <v>2</v>
      </c>
      <c r="H387" s="7">
        <v>0</v>
      </c>
      <c r="I387" s="7">
        <v>19</v>
      </c>
      <c r="J387" s="7">
        <v>0</v>
      </c>
      <c r="K387" s="7">
        <v>134</v>
      </c>
      <c r="L387" t="b">
        <f t="shared" ref="L387:L450" si="6">K387=SUM(B387:J387)</f>
        <v>1</v>
      </c>
    </row>
    <row r="388" spans="1:12" x14ac:dyDescent="0.25">
      <c r="A388" s="7" t="s">
        <v>1383</v>
      </c>
      <c r="B388" s="7">
        <v>0</v>
      </c>
      <c r="C388" s="7">
        <v>51</v>
      </c>
      <c r="D388" s="7">
        <v>0</v>
      </c>
      <c r="E388" s="7">
        <v>0</v>
      </c>
      <c r="F388" s="7">
        <v>0</v>
      </c>
      <c r="G388" s="7">
        <v>1</v>
      </c>
      <c r="H388" s="7">
        <v>0</v>
      </c>
      <c r="I388" s="7">
        <v>50</v>
      </c>
      <c r="J388" s="7">
        <v>0</v>
      </c>
      <c r="K388" s="7">
        <v>102</v>
      </c>
      <c r="L388" t="b">
        <f t="shared" si="6"/>
        <v>1</v>
      </c>
    </row>
    <row r="389" spans="1:12" x14ac:dyDescent="0.25">
      <c r="A389" s="7" t="s">
        <v>1384</v>
      </c>
      <c r="B389" s="7">
        <v>0</v>
      </c>
      <c r="C389" s="7">
        <v>27</v>
      </c>
      <c r="D389" s="7">
        <v>0</v>
      </c>
      <c r="E389" s="7">
        <v>0</v>
      </c>
      <c r="F389" s="7">
        <v>0</v>
      </c>
      <c r="G389" s="7">
        <v>1</v>
      </c>
      <c r="H389" s="7">
        <v>0</v>
      </c>
      <c r="I389" s="7">
        <v>98</v>
      </c>
      <c r="J389" s="7">
        <v>0</v>
      </c>
      <c r="K389" s="7">
        <v>126</v>
      </c>
      <c r="L389" t="b">
        <f t="shared" si="6"/>
        <v>1</v>
      </c>
    </row>
    <row r="390" spans="1:12" x14ac:dyDescent="0.25">
      <c r="A390" s="7" t="s">
        <v>1385</v>
      </c>
      <c r="B390" s="7">
        <v>0</v>
      </c>
      <c r="C390" s="7">
        <v>131</v>
      </c>
      <c r="D390" s="7">
        <v>1</v>
      </c>
      <c r="E390" s="7">
        <v>0</v>
      </c>
      <c r="F390" s="7">
        <v>0</v>
      </c>
      <c r="G390" s="7">
        <v>1</v>
      </c>
      <c r="H390" s="7">
        <v>0</v>
      </c>
      <c r="I390" s="7">
        <v>9</v>
      </c>
      <c r="J390" s="7">
        <v>7</v>
      </c>
      <c r="K390" s="7">
        <v>149</v>
      </c>
      <c r="L390" t="b">
        <f t="shared" si="6"/>
        <v>1</v>
      </c>
    </row>
    <row r="391" spans="1:12" x14ac:dyDescent="0.25">
      <c r="A391" s="7" t="s">
        <v>1386</v>
      </c>
      <c r="B391" s="7">
        <v>0</v>
      </c>
      <c r="C391" s="7">
        <v>17</v>
      </c>
      <c r="D391" s="7">
        <v>1</v>
      </c>
      <c r="E391" s="7">
        <v>0</v>
      </c>
      <c r="F391" s="7">
        <v>0</v>
      </c>
      <c r="G391" s="7">
        <v>0</v>
      </c>
      <c r="H391" s="7">
        <v>0</v>
      </c>
      <c r="I391" s="7">
        <v>106</v>
      </c>
      <c r="J391" s="7">
        <v>15</v>
      </c>
      <c r="K391" s="7">
        <v>139</v>
      </c>
      <c r="L391" t="b">
        <f t="shared" si="6"/>
        <v>1</v>
      </c>
    </row>
    <row r="392" spans="1:12" x14ac:dyDescent="0.25">
      <c r="A392" s="7" t="s">
        <v>1387</v>
      </c>
      <c r="B392" s="7">
        <v>0</v>
      </c>
      <c r="C392" s="7">
        <v>46</v>
      </c>
      <c r="D392" s="7">
        <v>1</v>
      </c>
      <c r="E392" s="7">
        <v>0</v>
      </c>
      <c r="F392" s="7">
        <v>0</v>
      </c>
      <c r="G392" s="7">
        <v>0</v>
      </c>
      <c r="H392" s="7">
        <v>0</v>
      </c>
      <c r="I392" s="7">
        <v>40</v>
      </c>
      <c r="J392" s="7">
        <v>0</v>
      </c>
      <c r="K392" s="7">
        <v>87</v>
      </c>
      <c r="L392" t="b">
        <f t="shared" si="6"/>
        <v>1</v>
      </c>
    </row>
    <row r="393" spans="1:12" x14ac:dyDescent="0.25">
      <c r="A393" s="7" t="s">
        <v>1388</v>
      </c>
      <c r="B393" s="7">
        <v>0</v>
      </c>
      <c r="C393" s="7">
        <v>20</v>
      </c>
      <c r="D393" s="7">
        <v>0</v>
      </c>
      <c r="E393" s="7">
        <v>0</v>
      </c>
      <c r="F393" s="7">
        <v>1</v>
      </c>
      <c r="G393" s="7">
        <v>0</v>
      </c>
      <c r="H393" s="7">
        <v>0</v>
      </c>
      <c r="I393" s="7">
        <v>45</v>
      </c>
      <c r="J393" s="7">
        <v>0</v>
      </c>
      <c r="K393" s="7">
        <v>66</v>
      </c>
      <c r="L393" t="b">
        <f t="shared" si="6"/>
        <v>1</v>
      </c>
    </row>
    <row r="394" spans="1:12" x14ac:dyDescent="0.25">
      <c r="A394" s="7" t="s">
        <v>1389</v>
      </c>
      <c r="B394" s="7">
        <v>0</v>
      </c>
      <c r="C394" s="7">
        <v>89</v>
      </c>
      <c r="D394" s="7">
        <v>1</v>
      </c>
      <c r="E394" s="7">
        <v>0</v>
      </c>
      <c r="F394" s="7">
        <v>0</v>
      </c>
      <c r="G394" s="7">
        <v>0</v>
      </c>
      <c r="H394" s="7">
        <v>0</v>
      </c>
      <c r="I394" s="7">
        <v>93</v>
      </c>
      <c r="J394" s="7">
        <v>0</v>
      </c>
      <c r="K394" s="7">
        <v>183</v>
      </c>
      <c r="L394" t="b">
        <f t="shared" si="6"/>
        <v>1</v>
      </c>
    </row>
    <row r="395" spans="1:12" x14ac:dyDescent="0.25">
      <c r="A395" s="7" t="s">
        <v>1390</v>
      </c>
      <c r="B395" s="7">
        <v>0</v>
      </c>
      <c r="C395" s="7">
        <v>125</v>
      </c>
      <c r="D395" s="7">
        <v>5</v>
      </c>
      <c r="E395" s="7">
        <v>0</v>
      </c>
      <c r="F395" s="7">
        <v>0</v>
      </c>
      <c r="G395" s="7">
        <v>4</v>
      </c>
      <c r="H395" s="7">
        <v>0</v>
      </c>
      <c r="I395" s="7">
        <v>28</v>
      </c>
      <c r="J395" s="7">
        <v>0</v>
      </c>
      <c r="K395" s="7">
        <v>162</v>
      </c>
      <c r="L395" t="b">
        <f t="shared" si="6"/>
        <v>1</v>
      </c>
    </row>
    <row r="396" spans="1:12" x14ac:dyDescent="0.25">
      <c r="A396" s="7" t="s">
        <v>1391</v>
      </c>
      <c r="B396" s="7">
        <v>0</v>
      </c>
      <c r="C396" s="7">
        <v>13</v>
      </c>
      <c r="D396" s="7">
        <v>9</v>
      </c>
      <c r="E396" s="7">
        <v>0</v>
      </c>
      <c r="F396" s="7">
        <v>0</v>
      </c>
      <c r="G396" s="7">
        <v>0</v>
      </c>
      <c r="H396" s="7">
        <v>0</v>
      </c>
      <c r="I396" s="7">
        <v>104</v>
      </c>
      <c r="J396" s="7">
        <v>0</v>
      </c>
      <c r="K396" s="7">
        <v>126</v>
      </c>
      <c r="L396" t="b">
        <f t="shared" si="6"/>
        <v>1</v>
      </c>
    </row>
    <row r="397" spans="1:12" x14ac:dyDescent="0.25">
      <c r="A397" s="7" t="s">
        <v>1392</v>
      </c>
      <c r="B397" s="7">
        <v>0</v>
      </c>
      <c r="C397" s="7">
        <v>12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125</v>
      </c>
      <c r="J397" s="7">
        <v>0</v>
      </c>
      <c r="K397" s="7">
        <v>137</v>
      </c>
      <c r="L397" t="b">
        <f t="shared" si="6"/>
        <v>1</v>
      </c>
    </row>
    <row r="398" spans="1:12" x14ac:dyDescent="0.25">
      <c r="A398" s="7" t="s">
        <v>1393</v>
      </c>
      <c r="B398" s="7">
        <v>0</v>
      </c>
      <c r="C398" s="7">
        <v>64</v>
      </c>
      <c r="D398" s="7">
        <v>0</v>
      </c>
      <c r="E398" s="7">
        <v>0</v>
      </c>
      <c r="F398" s="7">
        <v>1</v>
      </c>
      <c r="G398" s="7">
        <v>0</v>
      </c>
      <c r="H398" s="7">
        <v>0</v>
      </c>
      <c r="I398" s="7">
        <v>49</v>
      </c>
      <c r="J398" s="7">
        <v>12</v>
      </c>
      <c r="K398" s="7">
        <v>126</v>
      </c>
      <c r="L398" t="b">
        <f t="shared" si="6"/>
        <v>1</v>
      </c>
    </row>
    <row r="399" spans="1:12" x14ac:dyDescent="0.25">
      <c r="A399" s="7" t="s">
        <v>1394</v>
      </c>
      <c r="B399" s="7">
        <v>0</v>
      </c>
      <c r="C399" s="7">
        <v>16</v>
      </c>
      <c r="D399" s="7">
        <v>5</v>
      </c>
      <c r="E399" s="7">
        <v>0</v>
      </c>
      <c r="F399" s="7">
        <v>0</v>
      </c>
      <c r="G399" s="7">
        <v>0</v>
      </c>
      <c r="H399" s="7">
        <v>0</v>
      </c>
      <c r="I399" s="7">
        <v>123</v>
      </c>
      <c r="J399" s="7">
        <v>0</v>
      </c>
      <c r="K399" s="7">
        <v>144</v>
      </c>
      <c r="L399" t="b">
        <f t="shared" si="6"/>
        <v>1</v>
      </c>
    </row>
    <row r="400" spans="1:12" x14ac:dyDescent="0.25">
      <c r="A400" s="7" t="s">
        <v>1395</v>
      </c>
      <c r="B400" s="7">
        <v>0</v>
      </c>
      <c r="C400" s="7">
        <v>11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75</v>
      </c>
      <c r="J400" s="7">
        <v>0</v>
      </c>
      <c r="K400" s="7">
        <v>86</v>
      </c>
      <c r="L400" t="b">
        <f t="shared" si="6"/>
        <v>1</v>
      </c>
    </row>
    <row r="401" spans="1:12" x14ac:dyDescent="0.25">
      <c r="A401" s="7" t="s">
        <v>1396</v>
      </c>
      <c r="B401" s="7">
        <v>0</v>
      </c>
      <c r="C401" s="7">
        <v>54</v>
      </c>
      <c r="D401" s="7">
        <v>1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7">
        <v>56</v>
      </c>
      <c r="L401" t="b">
        <f t="shared" si="6"/>
        <v>1</v>
      </c>
    </row>
    <row r="402" spans="1:12" x14ac:dyDescent="0.25">
      <c r="A402" s="7" t="s">
        <v>1397</v>
      </c>
      <c r="B402" s="7">
        <v>0</v>
      </c>
      <c r="C402" s="7">
        <v>61</v>
      </c>
      <c r="D402" s="7">
        <v>0</v>
      </c>
      <c r="E402" s="7">
        <v>0</v>
      </c>
      <c r="F402" s="7">
        <v>0</v>
      </c>
      <c r="G402" s="7">
        <v>1</v>
      </c>
      <c r="H402" s="7">
        <v>0</v>
      </c>
      <c r="I402" s="7">
        <v>3</v>
      </c>
      <c r="J402" s="7">
        <v>1</v>
      </c>
      <c r="K402" s="7">
        <v>66</v>
      </c>
      <c r="L402" t="b">
        <f t="shared" si="6"/>
        <v>1</v>
      </c>
    </row>
    <row r="403" spans="1:12" x14ac:dyDescent="0.25">
      <c r="A403" s="7" t="s">
        <v>1398</v>
      </c>
      <c r="B403" s="7">
        <v>0</v>
      </c>
      <c r="C403" s="7">
        <v>76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1</v>
      </c>
      <c r="K403" s="7">
        <v>78</v>
      </c>
      <c r="L403" t="b">
        <f t="shared" si="6"/>
        <v>1</v>
      </c>
    </row>
    <row r="404" spans="1:12" x14ac:dyDescent="0.25">
      <c r="A404" s="7" t="s">
        <v>1399</v>
      </c>
      <c r="B404" s="7">
        <v>0</v>
      </c>
      <c r="C404" s="7">
        <v>134</v>
      </c>
      <c r="D404" s="7">
        <v>0</v>
      </c>
      <c r="E404" s="7">
        <v>0</v>
      </c>
      <c r="F404" s="7">
        <v>0</v>
      </c>
      <c r="G404" s="7">
        <v>2</v>
      </c>
      <c r="H404" s="7">
        <v>0</v>
      </c>
      <c r="I404" s="7">
        <v>5</v>
      </c>
      <c r="J404" s="7">
        <v>0</v>
      </c>
      <c r="K404" s="7">
        <v>141</v>
      </c>
      <c r="L404" t="b">
        <f t="shared" si="6"/>
        <v>1</v>
      </c>
    </row>
    <row r="405" spans="1:12" x14ac:dyDescent="0.25">
      <c r="A405" s="7" t="s">
        <v>1400</v>
      </c>
      <c r="B405" s="7">
        <v>0</v>
      </c>
      <c r="C405" s="7">
        <v>67</v>
      </c>
      <c r="D405" s="7">
        <v>0</v>
      </c>
      <c r="E405" s="7">
        <v>0</v>
      </c>
      <c r="F405" s="7">
        <v>0</v>
      </c>
      <c r="G405" s="7">
        <v>1</v>
      </c>
      <c r="H405" s="7">
        <v>0</v>
      </c>
      <c r="I405" s="7">
        <v>7</v>
      </c>
      <c r="J405" s="7">
        <v>0</v>
      </c>
      <c r="K405" s="7">
        <v>75</v>
      </c>
      <c r="L405" t="b">
        <f t="shared" si="6"/>
        <v>1</v>
      </c>
    </row>
    <row r="406" spans="1:12" x14ac:dyDescent="0.25">
      <c r="A406" s="7" t="s">
        <v>1401</v>
      </c>
      <c r="B406" s="7">
        <v>0</v>
      </c>
      <c r="C406" s="7">
        <v>86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5</v>
      </c>
      <c r="J406" s="7">
        <v>0</v>
      </c>
      <c r="K406" s="7">
        <v>91</v>
      </c>
      <c r="L406" t="b">
        <f t="shared" si="6"/>
        <v>1</v>
      </c>
    </row>
    <row r="407" spans="1:12" x14ac:dyDescent="0.25">
      <c r="A407" s="7" t="s">
        <v>1402</v>
      </c>
      <c r="B407" s="7">
        <v>0</v>
      </c>
      <c r="C407" s="7">
        <v>72</v>
      </c>
      <c r="D407" s="7">
        <v>0</v>
      </c>
      <c r="E407" s="7">
        <v>0</v>
      </c>
      <c r="F407" s="7">
        <v>0</v>
      </c>
      <c r="G407" s="7">
        <v>1</v>
      </c>
      <c r="H407" s="7">
        <v>0</v>
      </c>
      <c r="I407" s="7">
        <v>1</v>
      </c>
      <c r="J407" s="7">
        <v>0</v>
      </c>
      <c r="K407" s="7">
        <v>74</v>
      </c>
      <c r="L407" t="b">
        <f t="shared" si="6"/>
        <v>1</v>
      </c>
    </row>
    <row r="408" spans="1:12" x14ac:dyDescent="0.25">
      <c r="A408" s="7" t="s">
        <v>1403</v>
      </c>
      <c r="B408" s="7">
        <v>0</v>
      </c>
      <c r="C408" s="7">
        <v>161</v>
      </c>
      <c r="D408" s="7">
        <v>1</v>
      </c>
      <c r="E408" s="7">
        <v>0</v>
      </c>
      <c r="F408" s="7">
        <v>0</v>
      </c>
      <c r="G408" s="7">
        <v>0</v>
      </c>
      <c r="H408" s="7">
        <v>0</v>
      </c>
      <c r="I408" s="7">
        <v>21</v>
      </c>
      <c r="J408" s="7">
        <v>0</v>
      </c>
      <c r="K408" s="7">
        <v>183</v>
      </c>
      <c r="L408" t="b">
        <f t="shared" si="6"/>
        <v>1</v>
      </c>
    </row>
    <row r="409" spans="1:12" x14ac:dyDescent="0.25">
      <c r="A409" s="7" t="s">
        <v>1404</v>
      </c>
      <c r="B409" s="7">
        <v>0</v>
      </c>
      <c r="C409" s="7">
        <v>75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9</v>
      </c>
      <c r="J409" s="7">
        <v>0</v>
      </c>
      <c r="K409" s="7">
        <v>84</v>
      </c>
      <c r="L409" t="b">
        <f t="shared" si="6"/>
        <v>1</v>
      </c>
    </row>
    <row r="410" spans="1:12" x14ac:dyDescent="0.25">
      <c r="A410" s="7" t="s">
        <v>1405</v>
      </c>
      <c r="B410" s="7">
        <v>0</v>
      </c>
      <c r="C410" s="7">
        <v>59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29</v>
      </c>
      <c r="J410" s="7">
        <v>0</v>
      </c>
      <c r="K410" s="7">
        <v>88</v>
      </c>
      <c r="L410" t="b">
        <f t="shared" si="6"/>
        <v>1</v>
      </c>
    </row>
    <row r="411" spans="1:12" x14ac:dyDescent="0.25">
      <c r="A411" s="7" t="s">
        <v>1406</v>
      </c>
      <c r="B411" s="7">
        <v>0</v>
      </c>
      <c r="C411" s="7">
        <v>97</v>
      </c>
      <c r="D411" s="7">
        <v>0</v>
      </c>
      <c r="E411" s="7">
        <v>0</v>
      </c>
      <c r="F411" s="7">
        <v>1</v>
      </c>
      <c r="G411" s="7">
        <v>1</v>
      </c>
      <c r="H411" s="7">
        <v>0</v>
      </c>
      <c r="I411" s="7">
        <v>31</v>
      </c>
      <c r="J411" s="7">
        <v>0</v>
      </c>
      <c r="K411" s="7">
        <v>130</v>
      </c>
      <c r="L411" t="b">
        <f t="shared" si="6"/>
        <v>1</v>
      </c>
    </row>
    <row r="412" spans="1:12" x14ac:dyDescent="0.25">
      <c r="A412" s="7" t="s">
        <v>1407</v>
      </c>
      <c r="B412" s="7">
        <v>0</v>
      </c>
      <c r="C412" s="7">
        <v>62</v>
      </c>
      <c r="D412" s="7">
        <v>3</v>
      </c>
      <c r="E412" s="7">
        <v>0</v>
      </c>
      <c r="F412" s="7">
        <v>0</v>
      </c>
      <c r="G412" s="7">
        <v>0</v>
      </c>
      <c r="H412" s="7">
        <v>0</v>
      </c>
      <c r="I412" s="7">
        <v>50</v>
      </c>
      <c r="J412" s="7">
        <v>0</v>
      </c>
      <c r="K412" s="7">
        <v>115</v>
      </c>
      <c r="L412" t="b">
        <f t="shared" si="6"/>
        <v>1</v>
      </c>
    </row>
    <row r="413" spans="1:12" x14ac:dyDescent="0.25">
      <c r="A413" s="7" t="s">
        <v>1408</v>
      </c>
      <c r="B413" s="7">
        <v>0</v>
      </c>
      <c r="C413" s="7">
        <v>68</v>
      </c>
      <c r="D413" s="7">
        <v>1</v>
      </c>
      <c r="E413" s="7">
        <v>0</v>
      </c>
      <c r="F413" s="7">
        <v>0</v>
      </c>
      <c r="G413" s="7">
        <v>0</v>
      </c>
      <c r="H413" s="7">
        <v>0</v>
      </c>
      <c r="I413" s="7">
        <v>19</v>
      </c>
      <c r="J413" s="7">
        <v>37</v>
      </c>
      <c r="K413" s="7">
        <v>125</v>
      </c>
      <c r="L413" t="b">
        <f t="shared" si="6"/>
        <v>1</v>
      </c>
    </row>
    <row r="414" spans="1:12" x14ac:dyDescent="0.25">
      <c r="A414" s="7" t="s">
        <v>1409</v>
      </c>
      <c r="B414" s="7">
        <v>0</v>
      </c>
      <c r="C414" s="7">
        <v>63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15</v>
      </c>
      <c r="J414" s="7">
        <v>1</v>
      </c>
      <c r="K414" s="7">
        <v>79</v>
      </c>
      <c r="L414" t="b">
        <f t="shared" si="6"/>
        <v>1</v>
      </c>
    </row>
    <row r="415" spans="1:12" x14ac:dyDescent="0.25">
      <c r="A415" s="7" t="s">
        <v>1410</v>
      </c>
      <c r="B415" s="7">
        <v>0</v>
      </c>
      <c r="C415" s="7">
        <v>51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60</v>
      </c>
      <c r="J415" s="7">
        <v>1</v>
      </c>
      <c r="K415" s="7">
        <v>112</v>
      </c>
      <c r="L415" t="b">
        <f t="shared" si="6"/>
        <v>1</v>
      </c>
    </row>
    <row r="416" spans="1:12" x14ac:dyDescent="0.25">
      <c r="A416" s="7" t="s">
        <v>1411</v>
      </c>
      <c r="B416" s="7">
        <v>0</v>
      </c>
      <c r="C416" s="7">
        <v>137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82</v>
      </c>
      <c r="J416" s="7">
        <v>0</v>
      </c>
      <c r="K416" s="7">
        <v>219</v>
      </c>
      <c r="L416" t="b">
        <f t="shared" si="6"/>
        <v>1</v>
      </c>
    </row>
    <row r="417" spans="1:12" x14ac:dyDescent="0.25">
      <c r="A417" s="7" t="s">
        <v>1412</v>
      </c>
      <c r="B417" s="7">
        <v>0</v>
      </c>
      <c r="C417" s="7">
        <v>154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91</v>
      </c>
      <c r="J417" s="7">
        <v>0</v>
      </c>
      <c r="K417" s="7">
        <v>245</v>
      </c>
      <c r="L417" t="b">
        <f t="shared" si="6"/>
        <v>1</v>
      </c>
    </row>
    <row r="418" spans="1:12" x14ac:dyDescent="0.25">
      <c r="A418" s="7" t="s">
        <v>1413</v>
      </c>
      <c r="B418" s="7">
        <v>0</v>
      </c>
      <c r="C418" s="7">
        <v>140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35</v>
      </c>
      <c r="J418" s="7">
        <v>0</v>
      </c>
      <c r="K418" s="7">
        <v>175</v>
      </c>
      <c r="L418" t="b">
        <f t="shared" si="6"/>
        <v>1</v>
      </c>
    </row>
    <row r="419" spans="1:12" x14ac:dyDescent="0.25">
      <c r="A419" s="7" t="s">
        <v>1414</v>
      </c>
      <c r="B419" s="7">
        <v>0</v>
      </c>
      <c r="C419" s="7">
        <v>96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38</v>
      </c>
      <c r="J419" s="7">
        <v>0</v>
      </c>
      <c r="K419" s="7">
        <v>134</v>
      </c>
      <c r="L419" t="b">
        <f t="shared" si="6"/>
        <v>1</v>
      </c>
    </row>
    <row r="420" spans="1:12" x14ac:dyDescent="0.25">
      <c r="A420" s="7" t="s">
        <v>1415</v>
      </c>
      <c r="B420" s="7">
        <v>0</v>
      </c>
      <c r="C420" s="7">
        <v>64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20</v>
      </c>
      <c r="J420" s="7">
        <v>0</v>
      </c>
      <c r="K420" s="7">
        <v>84</v>
      </c>
      <c r="L420" t="b">
        <f t="shared" si="6"/>
        <v>1</v>
      </c>
    </row>
    <row r="421" spans="1:12" x14ac:dyDescent="0.25">
      <c r="A421" s="7" t="s">
        <v>1416</v>
      </c>
      <c r="B421" s="7">
        <v>0</v>
      </c>
      <c r="C421" s="7">
        <v>173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12</v>
      </c>
      <c r="J421" s="7">
        <v>0</v>
      </c>
      <c r="K421" s="7">
        <v>185</v>
      </c>
      <c r="L421" t="b">
        <f t="shared" si="6"/>
        <v>1</v>
      </c>
    </row>
    <row r="422" spans="1:12" x14ac:dyDescent="0.25">
      <c r="A422" s="7" t="s">
        <v>1417</v>
      </c>
      <c r="B422" s="7">
        <v>0</v>
      </c>
      <c r="C422" s="7">
        <v>106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13</v>
      </c>
      <c r="J422" s="7">
        <v>0</v>
      </c>
      <c r="K422" s="7">
        <v>119</v>
      </c>
      <c r="L422" t="b">
        <f t="shared" si="6"/>
        <v>1</v>
      </c>
    </row>
    <row r="423" spans="1:12" x14ac:dyDescent="0.25">
      <c r="A423" s="7" t="s">
        <v>1418</v>
      </c>
      <c r="B423" s="7">
        <v>0</v>
      </c>
      <c r="C423" s="7">
        <v>65</v>
      </c>
      <c r="D423" s="7">
        <v>0</v>
      </c>
      <c r="E423" s="7">
        <v>0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7">
        <v>67</v>
      </c>
      <c r="L423" t="b">
        <f t="shared" si="6"/>
        <v>1</v>
      </c>
    </row>
    <row r="424" spans="1:12" x14ac:dyDescent="0.25">
      <c r="A424" s="7" t="s">
        <v>1419</v>
      </c>
      <c r="B424" s="7">
        <v>0</v>
      </c>
      <c r="C424" s="7">
        <v>87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13</v>
      </c>
      <c r="J424" s="7">
        <v>0</v>
      </c>
      <c r="K424" s="7">
        <v>100</v>
      </c>
      <c r="L424" t="b">
        <f t="shared" si="6"/>
        <v>1</v>
      </c>
    </row>
    <row r="425" spans="1:12" x14ac:dyDescent="0.25">
      <c r="A425" s="7" t="s">
        <v>1420</v>
      </c>
      <c r="B425" s="7">
        <v>0</v>
      </c>
      <c r="C425" s="7">
        <v>174</v>
      </c>
      <c r="D425" s="7">
        <v>0</v>
      </c>
      <c r="E425" s="7">
        <v>0</v>
      </c>
      <c r="F425" s="7">
        <v>0</v>
      </c>
      <c r="G425" s="7">
        <v>4</v>
      </c>
      <c r="H425" s="7">
        <v>0</v>
      </c>
      <c r="I425" s="7">
        <v>3</v>
      </c>
      <c r="J425" s="7">
        <v>0</v>
      </c>
      <c r="K425" s="7">
        <v>181</v>
      </c>
      <c r="L425" t="b">
        <f t="shared" si="6"/>
        <v>1</v>
      </c>
    </row>
    <row r="426" spans="1:12" x14ac:dyDescent="0.25">
      <c r="A426" s="7" t="s">
        <v>1421</v>
      </c>
      <c r="B426" s="7">
        <v>0</v>
      </c>
      <c r="C426" s="7">
        <v>234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5</v>
      </c>
      <c r="J426" s="7">
        <v>0</v>
      </c>
      <c r="K426" s="7">
        <v>239</v>
      </c>
      <c r="L426" t="b">
        <f t="shared" si="6"/>
        <v>1</v>
      </c>
    </row>
    <row r="427" spans="1:12" x14ac:dyDescent="0.25">
      <c r="A427" s="7" t="s">
        <v>1422</v>
      </c>
      <c r="B427" s="7">
        <v>0</v>
      </c>
      <c r="C427" s="7">
        <v>134</v>
      </c>
      <c r="D427" s="7">
        <v>0</v>
      </c>
      <c r="E427" s="7">
        <v>0</v>
      </c>
      <c r="F427" s="7">
        <v>0</v>
      </c>
      <c r="G427" s="7">
        <v>2</v>
      </c>
      <c r="H427" s="7">
        <v>0</v>
      </c>
      <c r="I427" s="7">
        <v>5</v>
      </c>
      <c r="J427" s="7">
        <v>0</v>
      </c>
      <c r="K427" s="7">
        <v>141</v>
      </c>
      <c r="L427" t="b">
        <f t="shared" si="6"/>
        <v>1</v>
      </c>
    </row>
    <row r="428" spans="1:12" x14ac:dyDescent="0.25">
      <c r="A428" s="7" t="s">
        <v>1423</v>
      </c>
      <c r="B428" s="7">
        <v>0</v>
      </c>
      <c r="C428" s="7">
        <v>146</v>
      </c>
      <c r="D428" s="7">
        <v>0</v>
      </c>
      <c r="E428" s="7">
        <v>0</v>
      </c>
      <c r="F428" s="7">
        <v>0</v>
      </c>
      <c r="G428" s="7">
        <v>1</v>
      </c>
      <c r="H428" s="7">
        <v>0</v>
      </c>
      <c r="I428" s="7">
        <v>8</v>
      </c>
      <c r="J428" s="7">
        <v>1</v>
      </c>
      <c r="K428" s="7">
        <v>156</v>
      </c>
      <c r="L428" t="b">
        <f t="shared" si="6"/>
        <v>1</v>
      </c>
    </row>
    <row r="429" spans="1:12" x14ac:dyDescent="0.25">
      <c r="A429" s="7" t="s">
        <v>1424</v>
      </c>
      <c r="B429" s="7">
        <v>0</v>
      </c>
      <c r="C429" s="7">
        <v>94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3</v>
      </c>
      <c r="J429" s="7">
        <v>0</v>
      </c>
      <c r="K429" s="7">
        <v>97</v>
      </c>
      <c r="L429" t="b">
        <f t="shared" si="6"/>
        <v>1</v>
      </c>
    </row>
    <row r="430" spans="1:12" x14ac:dyDescent="0.25">
      <c r="A430" s="7" t="s">
        <v>1425</v>
      </c>
      <c r="B430" s="7">
        <v>0</v>
      </c>
      <c r="C430" s="7">
        <v>81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7</v>
      </c>
      <c r="J430" s="7">
        <v>0</v>
      </c>
      <c r="K430" s="7">
        <v>88</v>
      </c>
      <c r="L430" t="b">
        <f t="shared" si="6"/>
        <v>1</v>
      </c>
    </row>
    <row r="431" spans="1:12" x14ac:dyDescent="0.25">
      <c r="A431" s="7" t="s">
        <v>1426</v>
      </c>
      <c r="B431" s="7">
        <v>0</v>
      </c>
      <c r="C431" s="7">
        <v>65</v>
      </c>
      <c r="D431" s="7">
        <v>0</v>
      </c>
      <c r="E431" s="7">
        <v>0</v>
      </c>
      <c r="F431" s="7">
        <v>0</v>
      </c>
      <c r="G431" s="7">
        <v>2</v>
      </c>
      <c r="H431" s="7">
        <v>0</v>
      </c>
      <c r="I431" s="7">
        <v>87</v>
      </c>
      <c r="J431" s="7">
        <v>0</v>
      </c>
      <c r="K431" s="7">
        <v>154</v>
      </c>
      <c r="L431" t="b">
        <f t="shared" si="6"/>
        <v>1</v>
      </c>
    </row>
    <row r="432" spans="1:12" x14ac:dyDescent="0.25">
      <c r="A432" s="7" t="s">
        <v>1427</v>
      </c>
      <c r="B432" s="7">
        <v>0</v>
      </c>
      <c r="C432" s="7">
        <v>116</v>
      </c>
      <c r="D432" s="7">
        <v>0</v>
      </c>
      <c r="E432" s="7">
        <v>0</v>
      </c>
      <c r="F432" s="7">
        <v>0</v>
      </c>
      <c r="G432" s="7">
        <v>1</v>
      </c>
      <c r="H432" s="7">
        <v>0</v>
      </c>
      <c r="I432" s="7">
        <v>138</v>
      </c>
      <c r="J432" s="7">
        <v>0</v>
      </c>
      <c r="K432" s="7">
        <v>255</v>
      </c>
      <c r="L432" t="b">
        <f t="shared" si="6"/>
        <v>1</v>
      </c>
    </row>
    <row r="433" spans="1:12" x14ac:dyDescent="0.25">
      <c r="A433" s="7" t="s">
        <v>1428</v>
      </c>
      <c r="B433" s="7">
        <v>0</v>
      </c>
      <c r="C433" s="7">
        <v>150</v>
      </c>
      <c r="D433" s="7">
        <v>22</v>
      </c>
      <c r="E433" s="7">
        <v>0</v>
      </c>
      <c r="F433" s="7">
        <v>1</v>
      </c>
      <c r="G433" s="7">
        <v>8</v>
      </c>
      <c r="H433" s="7">
        <v>0</v>
      </c>
      <c r="I433" s="7">
        <v>157</v>
      </c>
      <c r="J433" s="7">
        <v>16</v>
      </c>
      <c r="K433" s="7">
        <v>354</v>
      </c>
      <c r="L433" t="b">
        <f t="shared" si="6"/>
        <v>1</v>
      </c>
    </row>
    <row r="434" spans="1:12" x14ac:dyDescent="0.25">
      <c r="A434" s="7" t="s">
        <v>1429</v>
      </c>
      <c r="B434" s="7">
        <v>0</v>
      </c>
      <c r="C434" s="7">
        <v>68</v>
      </c>
      <c r="D434" s="7">
        <v>0</v>
      </c>
      <c r="E434" s="7">
        <v>0</v>
      </c>
      <c r="F434" s="7">
        <v>0</v>
      </c>
      <c r="G434" s="7">
        <v>2</v>
      </c>
      <c r="H434" s="7">
        <v>0</v>
      </c>
      <c r="I434" s="7">
        <v>112</v>
      </c>
      <c r="J434" s="7">
        <v>0</v>
      </c>
      <c r="K434" s="7">
        <v>182</v>
      </c>
      <c r="L434" t="b">
        <f t="shared" si="6"/>
        <v>1</v>
      </c>
    </row>
    <row r="435" spans="1:12" x14ac:dyDescent="0.25">
      <c r="A435" s="7" t="s">
        <v>1430</v>
      </c>
      <c r="B435" s="7">
        <v>0</v>
      </c>
      <c r="C435" s="7">
        <v>19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158</v>
      </c>
      <c r="J435" s="7">
        <v>0</v>
      </c>
      <c r="K435" s="7">
        <v>177</v>
      </c>
      <c r="L435" t="b">
        <f t="shared" si="6"/>
        <v>1</v>
      </c>
    </row>
    <row r="436" spans="1:12" x14ac:dyDescent="0.25">
      <c r="A436" s="7" t="s">
        <v>1431</v>
      </c>
      <c r="B436" s="7">
        <v>0</v>
      </c>
      <c r="C436" s="7">
        <v>61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48</v>
      </c>
      <c r="J436" s="7">
        <v>0</v>
      </c>
      <c r="K436" s="7">
        <v>109</v>
      </c>
      <c r="L436" t="b">
        <f t="shared" si="6"/>
        <v>1</v>
      </c>
    </row>
    <row r="437" spans="1:12" x14ac:dyDescent="0.25">
      <c r="A437" s="7" t="s">
        <v>1432</v>
      </c>
      <c r="B437" s="7">
        <v>0</v>
      </c>
      <c r="C437" s="7">
        <v>180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180</v>
      </c>
      <c r="L437" t="b">
        <f t="shared" si="6"/>
        <v>1</v>
      </c>
    </row>
    <row r="438" spans="1:12" x14ac:dyDescent="0.25">
      <c r="A438" s="7" t="s">
        <v>1433</v>
      </c>
      <c r="B438" s="7">
        <v>0</v>
      </c>
      <c r="C438" s="7">
        <v>17</v>
      </c>
      <c r="D438" s="7">
        <v>4</v>
      </c>
      <c r="E438" s="7">
        <v>0</v>
      </c>
      <c r="F438" s="7">
        <v>0</v>
      </c>
      <c r="G438" s="7">
        <v>0</v>
      </c>
      <c r="H438" s="7">
        <v>0</v>
      </c>
      <c r="I438" s="7">
        <v>199</v>
      </c>
      <c r="J438" s="7">
        <v>9</v>
      </c>
      <c r="K438" s="7">
        <v>229</v>
      </c>
      <c r="L438" t="b">
        <f t="shared" si="6"/>
        <v>1</v>
      </c>
    </row>
    <row r="439" spans="1:12" x14ac:dyDescent="0.25">
      <c r="A439" s="7" t="s">
        <v>1434</v>
      </c>
      <c r="B439" s="7">
        <v>0</v>
      </c>
      <c r="C439" s="7">
        <v>54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50</v>
      </c>
      <c r="J439" s="7">
        <v>0</v>
      </c>
      <c r="K439" s="7">
        <v>104</v>
      </c>
      <c r="L439" t="b">
        <f t="shared" si="6"/>
        <v>1</v>
      </c>
    </row>
    <row r="440" spans="1:12" x14ac:dyDescent="0.25">
      <c r="A440" s="7" t="s">
        <v>1435</v>
      </c>
      <c r="B440" s="7">
        <v>0</v>
      </c>
      <c r="C440" s="7">
        <v>9</v>
      </c>
      <c r="D440" s="7">
        <v>0</v>
      </c>
      <c r="E440" s="7">
        <v>0</v>
      </c>
      <c r="F440" s="7">
        <v>3</v>
      </c>
      <c r="G440" s="7">
        <v>0</v>
      </c>
      <c r="H440" s="7">
        <v>0</v>
      </c>
      <c r="I440" s="7">
        <v>108</v>
      </c>
      <c r="J440" s="7">
        <v>3</v>
      </c>
      <c r="K440" s="7">
        <v>123</v>
      </c>
      <c r="L440" t="b">
        <f t="shared" si="6"/>
        <v>1</v>
      </c>
    </row>
    <row r="441" spans="1:12" x14ac:dyDescent="0.25">
      <c r="A441" s="7" t="s">
        <v>1436</v>
      </c>
      <c r="B441" s="7">
        <v>0</v>
      </c>
      <c r="C441" s="7">
        <v>62</v>
      </c>
      <c r="D441" s="7">
        <v>0</v>
      </c>
      <c r="E441" s="7">
        <v>0</v>
      </c>
      <c r="F441" s="7">
        <v>0</v>
      </c>
      <c r="G441" s="7">
        <v>2</v>
      </c>
      <c r="H441" s="7">
        <v>0</v>
      </c>
      <c r="I441" s="7">
        <v>147</v>
      </c>
      <c r="J441" s="7">
        <v>0</v>
      </c>
      <c r="K441" s="7">
        <v>211</v>
      </c>
      <c r="L441" t="b">
        <f t="shared" si="6"/>
        <v>1</v>
      </c>
    </row>
    <row r="442" spans="1:12" x14ac:dyDescent="0.25">
      <c r="A442" s="7" t="s">
        <v>1437</v>
      </c>
      <c r="B442" s="7">
        <v>0</v>
      </c>
      <c r="C442" s="7">
        <v>104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123</v>
      </c>
      <c r="J442" s="7">
        <v>0</v>
      </c>
      <c r="K442" s="7">
        <v>227</v>
      </c>
      <c r="L442" t="b">
        <f t="shared" si="6"/>
        <v>1</v>
      </c>
    </row>
    <row r="443" spans="1:12" x14ac:dyDescent="0.25">
      <c r="A443" s="7" t="s">
        <v>1438</v>
      </c>
      <c r="B443" s="7">
        <v>0</v>
      </c>
      <c r="C443" s="7">
        <v>114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30</v>
      </c>
      <c r="J443" s="7">
        <v>1</v>
      </c>
      <c r="K443" s="7">
        <v>145</v>
      </c>
      <c r="L443" t="b">
        <f t="shared" si="6"/>
        <v>1</v>
      </c>
    </row>
    <row r="444" spans="1:12" x14ac:dyDescent="0.25">
      <c r="A444" s="7" t="s">
        <v>1439</v>
      </c>
      <c r="B444" s="7">
        <v>0</v>
      </c>
      <c r="C444" s="7">
        <v>28</v>
      </c>
      <c r="D444" s="7">
        <v>2</v>
      </c>
      <c r="E444" s="7">
        <v>0</v>
      </c>
      <c r="F444" s="7">
        <v>1</v>
      </c>
      <c r="G444" s="7">
        <v>1</v>
      </c>
      <c r="H444" s="7">
        <v>0</v>
      </c>
      <c r="I444" s="7">
        <v>1</v>
      </c>
      <c r="J444" s="7">
        <v>3</v>
      </c>
      <c r="K444" s="7">
        <v>36</v>
      </c>
      <c r="L444" t="b">
        <f t="shared" si="6"/>
        <v>1</v>
      </c>
    </row>
    <row r="445" spans="1:12" x14ac:dyDescent="0.25">
      <c r="A445" s="7" t="s">
        <v>1440</v>
      </c>
      <c r="B445" s="7">
        <v>0</v>
      </c>
      <c r="C445" s="7">
        <v>92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92</v>
      </c>
      <c r="L445" t="b">
        <f t="shared" si="6"/>
        <v>1</v>
      </c>
    </row>
    <row r="446" spans="1:12" x14ac:dyDescent="0.25">
      <c r="A446" s="7" t="s">
        <v>1441</v>
      </c>
      <c r="B446" s="7">
        <v>0</v>
      </c>
      <c r="C446" s="7">
        <v>88</v>
      </c>
      <c r="D446" s="7">
        <v>0</v>
      </c>
      <c r="E446" s="7">
        <v>0</v>
      </c>
      <c r="F446" s="7">
        <v>0</v>
      </c>
      <c r="G446" s="7">
        <v>1</v>
      </c>
      <c r="H446" s="7">
        <v>0</v>
      </c>
      <c r="I446" s="7">
        <v>82</v>
      </c>
      <c r="J446" s="7">
        <v>0</v>
      </c>
      <c r="K446" s="7">
        <v>171</v>
      </c>
      <c r="L446" t="b">
        <f t="shared" si="6"/>
        <v>1</v>
      </c>
    </row>
    <row r="447" spans="1:12" x14ac:dyDescent="0.25">
      <c r="A447" s="7" t="s">
        <v>1442</v>
      </c>
      <c r="B447" s="7">
        <v>0</v>
      </c>
      <c r="C447" s="7">
        <v>130</v>
      </c>
      <c r="D447" s="7">
        <v>0</v>
      </c>
      <c r="E447" s="7">
        <v>0</v>
      </c>
      <c r="F447" s="7">
        <v>0</v>
      </c>
      <c r="G447" s="7">
        <v>1</v>
      </c>
      <c r="H447" s="7">
        <v>0</v>
      </c>
      <c r="I447" s="7">
        <v>0</v>
      </c>
      <c r="J447" s="7">
        <v>0</v>
      </c>
      <c r="K447" s="7">
        <v>131</v>
      </c>
      <c r="L447" t="b">
        <f t="shared" si="6"/>
        <v>1</v>
      </c>
    </row>
    <row r="448" spans="1:12" x14ac:dyDescent="0.25">
      <c r="A448" s="7" t="s">
        <v>2068</v>
      </c>
      <c r="B448" s="7">
        <v>0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1</v>
      </c>
      <c r="I448" s="7">
        <v>0</v>
      </c>
      <c r="J448" s="7">
        <v>0</v>
      </c>
      <c r="K448" s="7">
        <v>1</v>
      </c>
      <c r="L448" t="b">
        <f t="shared" si="6"/>
        <v>1</v>
      </c>
    </row>
    <row r="449" spans="1:12" x14ac:dyDescent="0.25">
      <c r="A449" s="7" t="s">
        <v>1443</v>
      </c>
      <c r="B449" s="7">
        <v>0</v>
      </c>
      <c r="C449" s="7">
        <v>110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110</v>
      </c>
      <c r="L449" t="b">
        <f t="shared" si="6"/>
        <v>1</v>
      </c>
    </row>
    <row r="450" spans="1:12" x14ac:dyDescent="0.25">
      <c r="A450" s="7" t="s">
        <v>1444</v>
      </c>
      <c r="B450" s="7">
        <v>0</v>
      </c>
      <c r="C450" s="7">
        <v>54</v>
      </c>
      <c r="D450" s="7">
        <v>0</v>
      </c>
      <c r="E450" s="7">
        <v>0</v>
      </c>
      <c r="F450" s="7">
        <v>0</v>
      </c>
      <c r="G450" s="7">
        <v>1</v>
      </c>
      <c r="H450" s="7">
        <v>0</v>
      </c>
      <c r="I450" s="7">
        <v>0</v>
      </c>
      <c r="J450" s="7">
        <v>0</v>
      </c>
      <c r="K450" s="7">
        <v>55</v>
      </c>
      <c r="L450" t="b">
        <f t="shared" si="6"/>
        <v>1</v>
      </c>
    </row>
    <row r="451" spans="1:12" x14ac:dyDescent="0.25">
      <c r="A451" s="7" t="s">
        <v>1445</v>
      </c>
      <c r="B451" s="7">
        <v>0</v>
      </c>
      <c r="C451" s="7">
        <v>44</v>
      </c>
      <c r="D451" s="7">
        <v>0</v>
      </c>
      <c r="E451" s="7">
        <v>0</v>
      </c>
      <c r="F451" s="7">
        <v>0</v>
      </c>
      <c r="G451" s="7">
        <v>1</v>
      </c>
      <c r="H451" s="7">
        <v>0</v>
      </c>
      <c r="I451" s="7">
        <v>0</v>
      </c>
      <c r="J451" s="7">
        <v>0</v>
      </c>
      <c r="K451" s="7">
        <v>45</v>
      </c>
      <c r="L451" t="b">
        <f t="shared" ref="L451:L514" si="7">K451=SUM(B451:J451)</f>
        <v>1</v>
      </c>
    </row>
    <row r="452" spans="1:12" x14ac:dyDescent="0.25">
      <c r="A452" s="7" t="s">
        <v>1446</v>
      </c>
      <c r="B452" s="7">
        <v>0</v>
      </c>
      <c r="C452" s="7">
        <v>61</v>
      </c>
      <c r="D452" s="7">
        <v>0</v>
      </c>
      <c r="E452" s="7">
        <v>0</v>
      </c>
      <c r="F452" s="7">
        <v>1</v>
      </c>
      <c r="G452" s="7">
        <v>0</v>
      </c>
      <c r="H452" s="7">
        <v>0</v>
      </c>
      <c r="I452" s="7">
        <v>0</v>
      </c>
      <c r="J452" s="7">
        <v>1</v>
      </c>
      <c r="K452" s="7">
        <v>63</v>
      </c>
      <c r="L452" t="b">
        <f t="shared" si="7"/>
        <v>1</v>
      </c>
    </row>
    <row r="453" spans="1:12" x14ac:dyDescent="0.25">
      <c r="A453" s="7" t="s">
        <v>1447</v>
      </c>
      <c r="B453" s="7">
        <v>0</v>
      </c>
      <c r="C453" s="7">
        <v>57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57</v>
      </c>
      <c r="L453" t="b">
        <f t="shared" si="7"/>
        <v>1</v>
      </c>
    </row>
    <row r="454" spans="1:12" x14ac:dyDescent="0.25">
      <c r="A454" s="7" t="s">
        <v>1448</v>
      </c>
      <c r="B454" s="7">
        <v>0</v>
      </c>
      <c r="C454" s="7">
        <v>55</v>
      </c>
      <c r="D454" s="7">
        <v>0</v>
      </c>
      <c r="E454" s="7">
        <v>0</v>
      </c>
      <c r="F454" s="7">
        <v>0</v>
      </c>
      <c r="G454" s="7">
        <v>2</v>
      </c>
      <c r="H454" s="7">
        <v>0</v>
      </c>
      <c r="I454" s="7">
        <v>1</v>
      </c>
      <c r="J454" s="7">
        <v>2</v>
      </c>
      <c r="K454" s="7">
        <v>60</v>
      </c>
      <c r="L454" t="b">
        <f t="shared" si="7"/>
        <v>1</v>
      </c>
    </row>
    <row r="455" spans="1:12" x14ac:dyDescent="0.25">
      <c r="A455" s="7" t="s">
        <v>1449</v>
      </c>
      <c r="B455" s="7">
        <v>0</v>
      </c>
      <c r="C455" s="7">
        <v>42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42</v>
      </c>
      <c r="L455" t="b">
        <f t="shared" si="7"/>
        <v>1</v>
      </c>
    </row>
    <row r="456" spans="1:12" x14ac:dyDescent="0.25">
      <c r="A456" s="7" t="s">
        <v>1450</v>
      </c>
      <c r="B456" s="7">
        <v>0</v>
      </c>
      <c r="C456" s="7">
        <v>50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4</v>
      </c>
      <c r="J456" s="7">
        <v>0</v>
      </c>
      <c r="K456" s="7">
        <v>54</v>
      </c>
      <c r="L456" t="b">
        <f t="shared" si="7"/>
        <v>1</v>
      </c>
    </row>
    <row r="457" spans="1:12" x14ac:dyDescent="0.25">
      <c r="A457" s="7" t="s">
        <v>1451</v>
      </c>
      <c r="B457" s="7">
        <v>0</v>
      </c>
      <c r="C457" s="7">
        <v>189</v>
      </c>
      <c r="D457" s="7">
        <v>0</v>
      </c>
      <c r="E457" s="7">
        <v>0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7">
        <v>190</v>
      </c>
      <c r="L457" t="b">
        <f t="shared" si="7"/>
        <v>1</v>
      </c>
    </row>
    <row r="458" spans="1:12" x14ac:dyDescent="0.25">
      <c r="A458" s="7" t="s">
        <v>1452</v>
      </c>
      <c r="B458" s="7">
        <v>0</v>
      </c>
      <c r="C458" s="7">
        <v>129</v>
      </c>
      <c r="D458" s="7">
        <v>0</v>
      </c>
      <c r="E458" s="7">
        <v>0</v>
      </c>
      <c r="F458" s="7">
        <v>0</v>
      </c>
      <c r="G458" s="7">
        <v>2</v>
      </c>
      <c r="H458" s="7">
        <v>0</v>
      </c>
      <c r="I458" s="7">
        <v>0</v>
      </c>
      <c r="J458" s="7">
        <v>0</v>
      </c>
      <c r="K458" s="7">
        <v>131</v>
      </c>
      <c r="L458" t="b">
        <f t="shared" si="7"/>
        <v>1</v>
      </c>
    </row>
    <row r="459" spans="1:12" x14ac:dyDescent="0.25">
      <c r="A459" s="7" t="s">
        <v>1453</v>
      </c>
      <c r="B459" s="7">
        <v>0</v>
      </c>
      <c r="C459" s="7">
        <v>88</v>
      </c>
      <c r="D459" s="7">
        <v>0</v>
      </c>
      <c r="E459" s="7">
        <v>0</v>
      </c>
      <c r="F459" s="7">
        <v>0</v>
      </c>
      <c r="G459" s="7">
        <v>1</v>
      </c>
      <c r="H459" s="7">
        <v>0</v>
      </c>
      <c r="I459" s="7">
        <v>0</v>
      </c>
      <c r="J459" s="7">
        <v>0</v>
      </c>
      <c r="K459" s="7">
        <v>89</v>
      </c>
      <c r="L459" t="b">
        <f t="shared" si="7"/>
        <v>1</v>
      </c>
    </row>
    <row r="460" spans="1:12" x14ac:dyDescent="0.25">
      <c r="A460" s="7" t="s">
        <v>1454</v>
      </c>
      <c r="B460" s="7">
        <v>0</v>
      </c>
      <c r="C460" s="7">
        <v>72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7</v>
      </c>
      <c r="J460" s="7">
        <v>0</v>
      </c>
      <c r="K460" s="7">
        <v>79</v>
      </c>
      <c r="L460" t="b">
        <f t="shared" si="7"/>
        <v>1</v>
      </c>
    </row>
    <row r="461" spans="1:12" x14ac:dyDescent="0.25">
      <c r="A461" s="7" t="s">
        <v>1455</v>
      </c>
      <c r="B461" s="7">
        <v>0</v>
      </c>
      <c r="C461" s="7">
        <v>57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57</v>
      </c>
      <c r="L461" t="b">
        <f t="shared" si="7"/>
        <v>1</v>
      </c>
    </row>
    <row r="462" spans="1:12" x14ac:dyDescent="0.25">
      <c r="A462" s="7" t="s">
        <v>1456</v>
      </c>
      <c r="B462" s="7">
        <v>0</v>
      </c>
      <c r="C462" s="7">
        <v>211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211</v>
      </c>
      <c r="L462" t="b">
        <f t="shared" si="7"/>
        <v>1</v>
      </c>
    </row>
    <row r="463" spans="1:12" x14ac:dyDescent="0.25">
      <c r="A463" s="7" t="s">
        <v>1457</v>
      </c>
      <c r="B463" s="7">
        <v>0</v>
      </c>
      <c r="C463" s="7">
        <v>157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9</v>
      </c>
      <c r="J463" s="7">
        <v>0</v>
      </c>
      <c r="K463" s="7">
        <v>166</v>
      </c>
      <c r="L463" t="b">
        <f t="shared" si="7"/>
        <v>1</v>
      </c>
    </row>
    <row r="464" spans="1:12" x14ac:dyDescent="0.25">
      <c r="A464" s="7" t="s">
        <v>1458</v>
      </c>
      <c r="B464" s="7">
        <v>0</v>
      </c>
      <c r="C464" s="7">
        <v>62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3</v>
      </c>
      <c r="J464" s="7">
        <v>0</v>
      </c>
      <c r="K464" s="7">
        <v>65</v>
      </c>
      <c r="L464" t="b">
        <f t="shared" si="7"/>
        <v>1</v>
      </c>
    </row>
    <row r="465" spans="1:12" x14ac:dyDescent="0.25">
      <c r="A465" s="7" t="s">
        <v>1459</v>
      </c>
      <c r="B465" s="7">
        <v>0</v>
      </c>
      <c r="C465" s="7">
        <v>103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103</v>
      </c>
      <c r="L465" t="b">
        <f t="shared" si="7"/>
        <v>1</v>
      </c>
    </row>
    <row r="466" spans="1:12" x14ac:dyDescent="0.25">
      <c r="A466" s="7" t="s">
        <v>1460</v>
      </c>
      <c r="B466" s="7">
        <v>0</v>
      </c>
      <c r="C466" s="7">
        <v>79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79</v>
      </c>
      <c r="L466" t="b">
        <f t="shared" si="7"/>
        <v>1</v>
      </c>
    </row>
    <row r="467" spans="1:12" x14ac:dyDescent="0.25">
      <c r="A467" s="7" t="s">
        <v>1461</v>
      </c>
      <c r="B467" s="7">
        <v>0</v>
      </c>
      <c r="C467" s="7">
        <v>65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87</v>
      </c>
      <c r="J467" s="7">
        <v>2</v>
      </c>
      <c r="K467" s="7">
        <v>154</v>
      </c>
      <c r="L467" t="b">
        <f t="shared" si="7"/>
        <v>1</v>
      </c>
    </row>
    <row r="468" spans="1:12" x14ac:dyDescent="0.25">
      <c r="A468" s="7" t="s">
        <v>1462</v>
      </c>
      <c r="B468" s="7">
        <v>0</v>
      </c>
      <c r="C468" s="7">
        <v>32</v>
      </c>
      <c r="D468" s="7">
        <v>0</v>
      </c>
      <c r="E468" s="7">
        <v>0</v>
      </c>
      <c r="F468" s="7">
        <v>0</v>
      </c>
      <c r="G468" s="7">
        <v>1</v>
      </c>
      <c r="H468" s="7">
        <v>0</v>
      </c>
      <c r="I468" s="7">
        <v>0</v>
      </c>
      <c r="J468" s="7">
        <v>2</v>
      </c>
      <c r="K468" s="7">
        <v>35</v>
      </c>
      <c r="L468" t="b">
        <f t="shared" si="7"/>
        <v>1</v>
      </c>
    </row>
    <row r="469" spans="1:12" x14ac:dyDescent="0.25">
      <c r="A469" s="7" t="s">
        <v>1463</v>
      </c>
      <c r="B469" s="7">
        <v>0</v>
      </c>
      <c r="C469" s="7">
        <v>37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3</v>
      </c>
      <c r="J469" s="7">
        <v>1</v>
      </c>
      <c r="K469" s="7">
        <v>41</v>
      </c>
      <c r="L469" t="b">
        <f t="shared" si="7"/>
        <v>1</v>
      </c>
    </row>
    <row r="470" spans="1:12" x14ac:dyDescent="0.25">
      <c r="A470" s="7" t="s">
        <v>1464</v>
      </c>
      <c r="B470" s="7">
        <v>0</v>
      </c>
      <c r="C470" s="7">
        <v>54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1</v>
      </c>
      <c r="J470" s="7">
        <v>0</v>
      </c>
      <c r="K470" s="7">
        <v>55</v>
      </c>
      <c r="L470" t="b">
        <f t="shared" si="7"/>
        <v>1</v>
      </c>
    </row>
    <row r="471" spans="1:12" x14ac:dyDescent="0.25">
      <c r="A471" s="7" t="s">
        <v>1465</v>
      </c>
      <c r="B471" s="7">
        <v>0</v>
      </c>
      <c r="C471" s="7">
        <v>42</v>
      </c>
      <c r="D471" s="7">
        <v>0</v>
      </c>
      <c r="E471" s="7">
        <v>0</v>
      </c>
      <c r="F471" s="7">
        <v>0</v>
      </c>
      <c r="G471" s="7">
        <v>1</v>
      </c>
      <c r="H471" s="7">
        <v>0</v>
      </c>
      <c r="I471" s="7">
        <v>16</v>
      </c>
      <c r="J471" s="7">
        <v>0</v>
      </c>
      <c r="K471" s="7">
        <v>59</v>
      </c>
      <c r="L471" t="b">
        <f t="shared" si="7"/>
        <v>1</v>
      </c>
    </row>
    <row r="472" spans="1:12" x14ac:dyDescent="0.25">
      <c r="A472" s="7" t="s">
        <v>1466</v>
      </c>
      <c r="B472" s="7">
        <v>0</v>
      </c>
      <c r="C472" s="7">
        <v>58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4</v>
      </c>
      <c r="J472" s="7">
        <v>0</v>
      </c>
      <c r="K472" s="7">
        <v>62</v>
      </c>
      <c r="L472" t="b">
        <f t="shared" si="7"/>
        <v>1</v>
      </c>
    </row>
    <row r="473" spans="1:12" x14ac:dyDescent="0.25">
      <c r="A473" s="7" t="s">
        <v>1467</v>
      </c>
      <c r="B473" s="7">
        <v>0</v>
      </c>
      <c r="C473" s="7">
        <v>26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95</v>
      </c>
      <c r="J473" s="7">
        <v>0</v>
      </c>
      <c r="K473" s="7">
        <v>121</v>
      </c>
      <c r="L473" t="b">
        <f t="shared" si="7"/>
        <v>1</v>
      </c>
    </row>
    <row r="474" spans="1:12" x14ac:dyDescent="0.25">
      <c r="A474" s="7" t="s">
        <v>1468</v>
      </c>
      <c r="B474" s="7">
        <v>0</v>
      </c>
      <c r="C474" s="7">
        <v>3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60</v>
      </c>
      <c r="J474" s="7">
        <v>0</v>
      </c>
      <c r="K474" s="7">
        <v>63</v>
      </c>
      <c r="L474" t="b">
        <f t="shared" si="7"/>
        <v>1</v>
      </c>
    </row>
    <row r="475" spans="1:12" x14ac:dyDescent="0.25">
      <c r="A475" s="7" t="s">
        <v>1469</v>
      </c>
      <c r="B475" s="7">
        <v>0</v>
      </c>
      <c r="C475" s="7">
        <v>13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56</v>
      </c>
      <c r="J475" s="7">
        <v>0</v>
      </c>
      <c r="K475" s="7">
        <v>69</v>
      </c>
      <c r="L475" t="b">
        <f t="shared" si="7"/>
        <v>1</v>
      </c>
    </row>
    <row r="476" spans="1:12" x14ac:dyDescent="0.25">
      <c r="A476" s="7" t="s">
        <v>1470</v>
      </c>
      <c r="B476" s="7">
        <v>0</v>
      </c>
      <c r="C476" s="7">
        <v>24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74</v>
      </c>
      <c r="J476" s="7">
        <v>0</v>
      </c>
      <c r="K476" s="7">
        <v>98</v>
      </c>
      <c r="L476" t="b">
        <f t="shared" si="7"/>
        <v>1</v>
      </c>
    </row>
    <row r="477" spans="1:12" x14ac:dyDescent="0.25">
      <c r="A477" s="7" t="s">
        <v>1471</v>
      </c>
      <c r="B477" s="7">
        <v>0</v>
      </c>
      <c r="C477" s="7">
        <v>70</v>
      </c>
      <c r="D477" s="7">
        <v>0</v>
      </c>
      <c r="E477" s="7">
        <v>0</v>
      </c>
      <c r="F477" s="7">
        <v>0</v>
      </c>
      <c r="G477" s="7">
        <v>5</v>
      </c>
      <c r="H477" s="7">
        <v>0</v>
      </c>
      <c r="I477" s="7">
        <v>0</v>
      </c>
      <c r="J477" s="7">
        <v>0</v>
      </c>
      <c r="K477" s="7">
        <v>75</v>
      </c>
      <c r="L477" t="b">
        <f t="shared" si="7"/>
        <v>1</v>
      </c>
    </row>
    <row r="478" spans="1:12" x14ac:dyDescent="0.25">
      <c r="A478" s="7" t="s">
        <v>1472</v>
      </c>
      <c r="B478" s="7">
        <v>0</v>
      </c>
      <c r="C478" s="7">
        <v>107</v>
      </c>
      <c r="D478" s="7">
        <v>0</v>
      </c>
      <c r="E478" s="7">
        <v>0</v>
      </c>
      <c r="F478" s="7">
        <v>0</v>
      </c>
      <c r="G478" s="7">
        <v>1</v>
      </c>
      <c r="H478" s="7">
        <v>0</v>
      </c>
      <c r="I478" s="7">
        <v>13</v>
      </c>
      <c r="J478" s="7">
        <v>0</v>
      </c>
      <c r="K478" s="7">
        <v>121</v>
      </c>
      <c r="L478" t="b">
        <f t="shared" si="7"/>
        <v>1</v>
      </c>
    </row>
    <row r="479" spans="1:12" x14ac:dyDescent="0.25">
      <c r="A479" s="7" t="s">
        <v>1473</v>
      </c>
      <c r="B479" s="7">
        <v>0</v>
      </c>
      <c r="C479" s="7">
        <v>124</v>
      </c>
      <c r="D479" s="7">
        <v>0</v>
      </c>
      <c r="E479" s="7">
        <v>0</v>
      </c>
      <c r="F479" s="7">
        <v>0</v>
      </c>
      <c r="G479" s="7">
        <v>2</v>
      </c>
      <c r="H479" s="7">
        <v>0</v>
      </c>
      <c r="I479" s="7">
        <v>64</v>
      </c>
      <c r="J479" s="7">
        <v>0</v>
      </c>
      <c r="K479" s="7">
        <v>190</v>
      </c>
      <c r="L479" t="b">
        <f t="shared" si="7"/>
        <v>1</v>
      </c>
    </row>
    <row r="480" spans="1:12" x14ac:dyDescent="0.25">
      <c r="A480" s="7" t="s">
        <v>1474</v>
      </c>
      <c r="B480" s="7">
        <v>0</v>
      </c>
      <c r="C480" s="7">
        <v>137</v>
      </c>
      <c r="D480" s="7">
        <v>1</v>
      </c>
      <c r="E480" s="7">
        <v>0</v>
      </c>
      <c r="F480" s="7">
        <v>0</v>
      </c>
      <c r="G480" s="7">
        <v>1</v>
      </c>
      <c r="H480" s="7">
        <v>0</v>
      </c>
      <c r="I480" s="7">
        <v>29</v>
      </c>
      <c r="J480" s="7">
        <v>0</v>
      </c>
      <c r="K480" s="7">
        <v>168</v>
      </c>
      <c r="L480" t="b">
        <f t="shared" si="7"/>
        <v>1</v>
      </c>
    </row>
    <row r="481" spans="1:12" x14ac:dyDescent="0.25">
      <c r="A481" s="7" t="s">
        <v>1475</v>
      </c>
      <c r="B481" s="7">
        <v>0</v>
      </c>
      <c r="C481" s="7">
        <v>113</v>
      </c>
      <c r="D481" s="7">
        <v>1</v>
      </c>
      <c r="E481" s="7">
        <v>0</v>
      </c>
      <c r="F481" s="7">
        <v>0</v>
      </c>
      <c r="G481" s="7">
        <v>3</v>
      </c>
      <c r="H481" s="7">
        <v>0</v>
      </c>
      <c r="I481" s="7">
        <v>6</v>
      </c>
      <c r="J481" s="7">
        <v>0</v>
      </c>
      <c r="K481" s="7">
        <v>123</v>
      </c>
      <c r="L481" t="b">
        <f t="shared" si="7"/>
        <v>1</v>
      </c>
    </row>
    <row r="482" spans="1:12" x14ac:dyDescent="0.25">
      <c r="A482" s="7" t="s">
        <v>1476</v>
      </c>
      <c r="B482" s="7">
        <v>0</v>
      </c>
      <c r="C482" s="7">
        <v>36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126</v>
      </c>
      <c r="J482" s="7">
        <v>0</v>
      </c>
      <c r="K482" s="7">
        <v>162</v>
      </c>
      <c r="L482" t="b">
        <f t="shared" si="7"/>
        <v>1</v>
      </c>
    </row>
    <row r="483" spans="1:12" x14ac:dyDescent="0.25">
      <c r="A483" s="7" t="s">
        <v>1477</v>
      </c>
      <c r="B483" s="7">
        <v>0</v>
      </c>
      <c r="C483" s="7">
        <v>32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145</v>
      </c>
      <c r="J483" s="7">
        <v>18</v>
      </c>
      <c r="K483" s="7">
        <v>195</v>
      </c>
      <c r="L483" t="b">
        <f t="shared" si="7"/>
        <v>1</v>
      </c>
    </row>
    <row r="484" spans="1:12" x14ac:dyDescent="0.25">
      <c r="A484" s="7" t="s">
        <v>1478</v>
      </c>
      <c r="B484" s="7">
        <v>0</v>
      </c>
      <c r="C484" s="7">
        <v>2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126</v>
      </c>
      <c r="J484" s="7">
        <v>2</v>
      </c>
      <c r="K484" s="7">
        <v>130</v>
      </c>
      <c r="L484" t="b">
        <f t="shared" si="7"/>
        <v>1</v>
      </c>
    </row>
    <row r="485" spans="1:12" x14ac:dyDescent="0.25">
      <c r="A485" s="7" t="s">
        <v>1479</v>
      </c>
      <c r="B485" s="7">
        <v>0</v>
      </c>
      <c r="C485" s="7">
        <v>56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56</v>
      </c>
      <c r="J485" s="7">
        <v>3</v>
      </c>
      <c r="K485" s="7">
        <v>115</v>
      </c>
      <c r="L485" t="b">
        <f t="shared" si="7"/>
        <v>1</v>
      </c>
    </row>
    <row r="486" spans="1:12" x14ac:dyDescent="0.25">
      <c r="A486" s="7" t="s">
        <v>1480</v>
      </c>
      <c r="B486" s="7">
        <v>0</v>
      </c>
      <c r="C486" s="7">
        <v>46</v>
      </c>
      <c r="D486" s="7">
        <v>0</v>
      </c>
      <c r="E486" s="7">
        <v>0</v>
      </c>
      <c r="F486" s="7">
        <v>0</v>
      </c>
      <c r="G486" s="7">
        <v>1</v>
      </c>
      <c r="H486" s="7">
        <v>0</v>
      </c>
      <c r="I486" s="7">
        <v>4</v>
      </c>
      <c r="J486" s="7">
        <v>0</v>
      </c>
      <c r="K486" s="7">
        <v>51</v>
      </c>
      <c r="L486" t="b">
        <f t="shared" si="7"/>
        <v>1</v>
      </c>
    </row>
    <row r="487" spans="1:12" x14ac:dyDescent="0.25">
      <c r="A487" s="7" t="s">
        <v>1481</v>
      </c>
      <c r="B487" s="7">
        <v>0</v>
      </c>
      <c r="C487" s="7">
        <v>21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93</v>
      </c>
      <c r="J487" s="7">
        <v>1</v>
      </c>
      <c r="K487" s="7">
        <v>115</v>
      </c>
      <c r="L487" t="b">
        <f t="shared" si="7"/>
        <v>1</v>
      </c>
    </row>
    <row r="488" spans="1:12" x14ac:dyDescent="0.25">
      <c r="A488" s="7" t="s">
        <v>1482</v>
      </c>
      <c r="B488" s="7">
        <v>0</v>
      </c>
      <c r="C488" s="7">
        <v>46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78</v>
      </c>
      <c r="J488" s="7">
        <v>1</v>
      </c>
      <c r="K488" s="7">
        <v>125</v>
      </c>
      <c r="L488" t="b">
        <f t="shared" si="7"/>
        <v>1</v>
      </c>
    </row>
    <row r="489" spans="1:12" x14ac:dyDescent="0.25">
      <c r="A489" s="7" t="s">
        <v>1483</v>
      </c>
      <c r="B489" s="7">
        <v>0</v>
      </c>
      <c r="C489" s="7">
        <v>59</v>
      </c>
      <c r="D489" s="7">
        <v>0</v>
      </c>
      <c r="E489" s="7">
        <v>0</v>
      </c>
      <c r="F489" s="7">
        <v>0</v>
      </c>
      <c r="G489" s="7">
        <v>1</v>
      </c>
      <c r="H489" s="7">
        <v>0</v>
      </c>
      <c r="I489" s="7">
        <v>47</v>
      </c>
      <c r="J489" s="7">
        <v>0</v>
      </c>
      <c r="K489" s="7">
        <v>107</v>
      </c>
      <c r="L489" t="b">
        <f t="shared" si="7"/>
        <v>1</v>
      </c>
    </row>
    <row r="490" spans="1:12" x14ac:dyDescent="0.25">
      <c r="A490" s="7" t="s">
        <v>1484</v>
      </c>
      <c r="B490" s="7">
        <v>0</v>
      </c>
      <c r="C490" s="7">
        <v>48</v>
      </c>
      <c r="D490" s="7">
        <v>0</v>
      </c>
      <c r="E490" s="7">
        <v>0</v>
      </c>
      <c r="F490" s="7">
        <v>0</v>
      </c>
      <c r="G490" s="7">
        <v>2</v>
      </c>
      <c r="H490" s="7">
        <v>0</v>
      </c>
      <c r="I490" s="7">
        <v>51</v>
      </c>
      <c r="J490" s="7">
        <v>0</v>
      </c>
      <c r="K490" s="7">
        <v>101</v>
      </c>
      <c r="L490" t="b">
        <f t="shared" si="7"/>
        <v>1</v>
      </c>
    </row>
    <row r="491" spans="1:12" x14ac:dyDescent="0.25">
      <c r="A491" s="7" t="s">
        <v>1485</v>
      </c>
      <c r="B491" s="7">
        <v>0</v>
      </c>
      <c r="C491" s="7">
        <v>74</v>
      </c>
      <c r="D491" s="7">
        <v>0</v>
      </c>
      <c r="E491" s="7">
        <v>0</v>
      </c>
      <c r="F491" s="7">
        <v>0</v>
      </c>
      <c r="G491" s="7">
        <v>3</v>
      </c>
      <c r="H491" s="7">
        <v>0</v>
      </c>
      <c r="I491" s="7">
        <v>19</v>
      </c>
      <c r="J491" s="7">
        <v>28</v>
      </c>
      <c r="K491" s="7">
        <v>124</v>
      </c>
      <c r="L491" t="b">
        <f t="shared" si="7"/>
        <v>1</v>
      </c>
    </row>
    <row r="492" spans="1:12" x14ac:dyDescent="0.25">
      <c r="A492" s="7" t="s">
        <v>1486</v>
      </c>
      <c r="B492" s="7">
        <v>0</v>
      </c>
      <c r="C492" s="7">
        <v>23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166</v>
      </c>
      <c r="J492" s="7">
        <v>0</v>
      </c>
      <c r="K492" s="7">
        <v>189</v>
      </c>
      <c r="L492" t="b">
        <f t="shared" si="7"/>
        <v>1</v>
      </c>
    </row>
    <row r="493" spans="1:12" x14ac:dyDescent="0.25">
      <c r="A493" s="7" t="s">
        <v>1487</v>
      </c>
      <c r="B493" s="7">
        <v>0</v>
      </c>
      <c r="C493" s="7">
        <v>151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12</v>
      </c>
      <c r="J493" s="7">
        <v>0</v>
      </c>
      <c r="K493" s="7">
        <v>163</v>
      </c>
      <c r="L493" t="b">
        <f t="shared" si="7"/>
        <v>1</v>
      </c>
    </row>
    <row r="494" spans="1:12" x14ac:dyDescent="0.25">
      <c r="A494" s="7" t="s">
        <v>1488</v>
      </c>
      <c r="B494" s="7">
        <v>0</v>
      </c>
      <c r="C494" s="7">
        <v>40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146</v>
      </c>
      <c r="J494" s="7">
        <v>0</v>
      </c>
      <c r="K494" s="7">
        <v>186</v>
      </c>
      <c r="L494" t="b">
        <f t="shared" si="7"/>
        <v>1</v>
      </c>
    </row>
    <row r="495" spans="1:12" x14ac:dyDescent="0.25">
      <c r="A495" s="7" t="s">
        <v>1489</v>
      </c>
      <c r="B495" s="7">
        <v>0</v>
      </c>
      <c r="C495" s="7">
        <v>185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31</v>
      </c>
      <c r="J495" s="7">
        <v>1</v>
      </c>
      <c r="K495" s="7">
        <v>217</v>
      </c>
      <c r="L495" t="b">
        <f t="shared" si="7"/>
        <v>1</v>
      </c>
    </row>
    <row r="496" spans="1:12" x14ac:dyDescent="0.25">
      <c r="A496" s="7" t="s">
        <v>1490</v>
      </c>
      <c r="B496" s="7">
        <v>0</v>
      </c>
      <c r="C496" s="7">
        <v>131</v>
      </c>
      <c r="D496" s="7">
        <v>0</v>
      </c>
      <c r="E496" s="7">
        <v>0</v>
      </c>
      <c r="F496" s="7">
        <v>0</v>
      </c>
      <c r="G496" s="7">
        <v>3</v>
      </c>
      <c r="H496" s="7">
        <v>0</v>
      </c>
      <c r="I496" s="7">
        <v>1</v>
      </c>
      <c r="J496" s="7">
        <v>0</v>
      </c>
      <c r="K496" s="7">
        <v>135</v>
      </c>
      <c r="L496" t="b">
        <f t="shared" si="7"/>
        <v>1</v>
      </c>
    </row>
    <row r="497" spans="1:12" x14ac:dyDescent="0.25">
      <c r="A497" s="7" t="s">
        <v>1491</v>
      </c>
      <c r="B497" s="7">
        <v>0</v>
      </c>
      <c r="C497" s="7">
        <v>143</v>
      </c>
      <c r="D497" s="7">
        <v>0</v>
      </c>
      <c r="E497" s="7">
        <v>0</v>
      </c>
      <c r="F497" s="7">
        <v>0</v>
      </c>
      <c r="G497" s="7">
        <v>1</v>
      </c>
      <c r="H497" s="7">
        <v>0</v>
      </c>
      <c r="I497" s="7">
        <v>1</v>
      </c>
      <c r="J497" s="7">
        <v>0</v>
      </c>
      <c r="K497" s="7">
        <v>145</v>
      </c>
      <c r="L497" t="b">
        <f t="shared" si="7"/>
        <v>1</v>
      </c>
    </row>
    <row r="498" spans="1:12" x14ac:dyDescent="0.25">
      <c r="A498" s="7" t="s">
        <v>1492</v>
      </c>
      <c r="B498" s="7">
        <v>0</v>
      </c>
      <c r="C498" s="7">
        <v>121</v>
      </c>
      <c r="D498" s="7">
        <v>0</v>
      </c>
      <c r="E498" s="7">
        <v>0</v>
      </c>
      <c r="F498" s="7">
        <v>0</v>
      </c>
      <c r="G498" s="7">
        <v>1</v>
      </c>
      <c r="H498" s="7">
        <v>0</v>
      </c>
      <c r="I498" s="7">
        <v>2</v>
      </c>
      <c r="J498" s="7">
        <v>0</v>
      </c>
      <c r="K498" s="7">
        <v>124</v>
      </c>
      <c r="L498" t="b">
        <f t="shared" si="7"/>
        <v>1</v>
      </c>
    </row>
    <row r="499" spans="1:12" x14ac:dyDescent="0.25">
      <c r="A499" s="7" t="s">
        <v>1493</v>
      </c>
      <c r="B499" s="7">
        <v>0</v>
      </c>
      <c r="C499" s="7">
        <v>89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6</v>
      </c>
      <c r="J499" s="7">
        <v>4</v>
      </c>
      <c r="K499" s="7">
        <v>99</v>
      </c>
      <c r="L499" t="b">
        <f t="shared" si="7"/>
        <v>1</v>
      </c>
    </row>
    <row r="500" spans="1:12" x14ac:dyDescent="0.25">
      <c r="A500" s="7" t="s">
        <v>1494</v>
      </c>
      <c r="B500" s="7">
        <v>0</v>
      </c>
      <c r="C500" s="7">
        <v>289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289</v>
      </c>
      <c r="L500" t="b">
        <f t="shared" si="7"/>
        <v>1</v>
      </c>
    </row>
    <row r="501" spans="1:12" x14ac:dyDescent="0.25">
      <c r="A501" s="7" t="s">
        <v>1495</v>
      </c>
      <c r="B501" s="7">
        <v>0</v>
      </c>
      <c r="C501" s="7">
        <v>225</v>
      </c>
      <c r="D501" s="7">
        <v>0</v>
      </c>
      <c r="E501" s="7">
        <v>0</v>
      </c>
      <c r="F501" s="7">
        <v>0</v>
      </c>
      <c r="G501" s="7">
        <v>1</v>
      </c>
      <c r="H501" s="7">
        <v>0</v>
      </c>
      <c r="I501" s="7">
        <v>0</v>
      </c>
      <c r="J501" s="7">
        <v>0</v>
      </c>
      <c r="K501" s="7">
        <v>226</v>
      </c>
      <c r="L501" t="b">
        <f t="shared" si="7"/>
        <v>1</v>
      </c>
    </row>
    <row r="502" spans="1:12" x14ac:dyDescent="0.25">
      <c r="A502" s="7" t="s">
        <v>1496</v>
      </c>
      <c r="B502" s="7">
        <v>0</v>
      </c>
      <c r="C502" s="7">
        <v>88</v>
      </c>
      <c r="D502" s="7">
        <v>0</v>
      </c>
      <c r="E502" s="7">
        <v>0</v>
      </c>
      <c r="F502" s="7">
        <v>0</v>
      </c>
      <c r="G502" s="7">
        <v>2</v>
      </c>
      <c r="H502" s="7">
        <v>0</v>
      </c>
      <c r="I502" s="7">
        <v>34</v>
      </c>
      <c r="J502" s="7">
        <v>49</v>
      </c>
      <c r="K502" s="7">
        <v>173</v>
      </c>
      <c r="L502" t="b">
        <f t="shared" si="7"/>
        <v>1</v>
      </c>
    </row>
    <row r="503" spans="1:12" x14ac:dyDescent="0.25">
      <c r="A503" s="7" t="s">
        <v>1497</v>
      </c>
      <c r="B503" s="7">
        <v>0</v>
      </c>
      <c r="C503" s="7">
        <v>122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9</v>
      </c>
      <c r="J503" s="7">
        <v>0</v>
      </c>
      <c r="K503" s="7">
        <v>131</v>
      </c>
      <c r="L503" t="b">
        <f t="shared" si="7"/>
        <v>1</v>
      </c>
    </row>
    <row r="504" spans="1:12" x14ac:dyDescent="0.25">
      <c r="A504" s="7" t="s">
        <v>1498</v>
      </c>
      <c r="B504" s="7">
        <v>0</v>
      </c>
      <c r="C504" s="7">
        <v>97</v>
      </c>
      <c r="D504" s="7">
        <v>0</v>
      </c>
      <c r="E504" s="7">
        <v>0</v>
      </c>
      <c r="F504" s="7">
        <v>2</v>
      </c>
      <c r="G504" s="7">
        <v>0</v>
      </c>
      <c r="H504" s="7">
        <v>0</v>
      </c>
      <c r="I504" s="7">
        <v>1</v>
      </c>
      <c r="J504" s="7">
        <v>4</v>
      </c>
      <c r="K504" s="7">
        <v>104</v>
      </c>
      <c r="L504" t="b">
        <f t="shared" si="7"/>
        <v>1</v>
      </c>
    </row>
    <row r="505" spans="1:12" x14ac:dyDescent="0.25">
      <c r="A505" s="7" t="s">
        <v>1499</v>
      </c>
      <c r="B505" s="7">
        <v>0</v>
      </c>
      <c r="C505" s="7">
        <v>159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20</v>
      </c>
      <c r="J505" s="7">
        <v>34</v>
      </c>
      <c r="K505" s="7">
        <v>213</v>
      </c>
      <c r="L505" t="b">
        <f t="shared" si="7"/>
        <v>1</v>
      </c>
    </row>
    <row r="506" spans="1:12" x14ac:dyDescent="0.25">
      <c r="A506" s="7" t="s">
        <v>1500</v>
      </c>
      <c r="B506" s="7">
        <v>0</v>
      </c>
      <c r="C506" s="7">
        <v>58</v>
      </c>
      <c r="D506" s="7">
        <v>5</v>
      </c>
      <c r="E506" s="7">
        <v>0</v>
      </c>
      <c r="F506" s="7">
        <v>0</v>
      </c>
      <c r="G506" s="7">
        <v>0</v>
      </c>
      <c r="H506" s="7">
        <v>0</v>
      </c>
      <c r="I506" s="7">
        <v>51</v>
      </c>
      <c r="J506" s="7">
        <v>12</v>
      </c>
      <c r="K506" s="7">
        <v>126</v>
      </c>
      <c r="L506" t="b">
        <f t="shared" si="7"/>
        <v>1</v>
      </c>
    </row>
    <row r="507" spans="1:12" x14ac:dyDescent="0.25">
      <c r="A507" s="7" t="s">
        <v>1501</v>
      </c>
      <c r="B507" s="7">
        <v>0</v>
      </c>
      <c r="C507" s="7">
        <v>120</v>
      </c>
      <c r="D507" s="7">
        <v>6</v>
      </c>
      <c r="E507" s="7">
        <v>0</v>
      </c>
      <c r="F507" s="7">
        <v>2</v>
      </c>
      <c r="G507" s="7">
        <v>2</v>
      </c>
      <c r="H507" s="7">
        <v>0</v>
      </c>
      <c r="I507" s="7">
        <v>21</v>
      </c>
      <c r="J507" s="7">
        <v>37</v>
      </c>
      <c r="K507" s="7">
        <v>188</v>
      </c>
      <c r="L507" t="b">
        <f t="shared" si="7"/>
        <v>1</v>
      </c>
    </row>
    <row r="508" spans="1:12" x14ac:dyDescent="0.25">
      <c r="A508" s="7" t="s">
        <v>1502</v>
      </c>
      <c r="B508" s="7">
        <v>0</v>
      </c>
      <c r="C508" s="7">
        <v>74</v>
      </c>
      <c r="D508" s="7">
        <v>3</v>
      </c>
      <c r="E508" s="7">
        <v>0</v>
      </c>
      <c r="F508" s="7">
        <v>0</v>
      </c>
      <c r="G508" s="7">
        <v>0</v>
      </c>
      <c r="H508" s="7">
        <v>0</v>
      </c>
      <c r="I508" s="7">
        <v>48</v>
      </c>
      <c r="J508" s="7">
        <v>1</v>
      </c>
      <c r="K508" s="7">
        <v>126</v>
      </c>
      <c r="L508" t="b">
        <f t="shared" si="7"/>
        <v>1</v>
      </c>
    </row>
    <row r="509" spans="1:12" x14ac:dyDescent="0.25">
      <c r="A509" s="7" t="s">
        <v>1503</v>
      </c>
      <c r="B509" s="7">
        <v>0</v>
      </c>
      <c r="C509" s="7">
        <v>68</v>
      </c>
      <c r="D509" s="7">
        <v>3</v>
      </c>
      <c r="E509" s="7">
        <v>0</v>
      </c>
      <c r="F509" s="7">
        <v>0</v>
      </c>
      <c r="G509" s="7">
        <v>3</v>
      </c>
      <c r="H509" s="7">
        <v>0</v>
      </c>
      <c r="I509" s="7">
        <v>29</v>
      </c>
      <c r="J509" s="7">
        <v>0</v>
      </c>
      <c r="K509" s="7">
        <v>103</v>
      </c>
      <c r="L509" t="b">
        <f t="shared" si="7"/>
        <v>1</v>
      </c>
    </row>
    <row r="510" spans="1:12" x14ac:dyDescent="0.25">
      <c r="A510" s="7" t="s">
        <v>1504</v>
      </c>
      <c r="B510" s="7">
        <v>0</v>
      </c>
      <c r="C510" s="7">
        <v>70</v>
      </c>
      <c r="D510" s="7">
        <v>6</v>
      </c>
      <c r="E510" s="7">
        <v>0</v>
      </c>
      <c r="F510" s="7">
        <v>0</v>
      </c>
      <c r="G510" s="7">
        <v>0</v>
      </c>
      <c r="H510" s="7">
        <v>0</v>
      </c>
      <c r="I510" s="7">
        <v>37</v>
      </c>
      <c r="J510" s="7">
        <v>1</v>
      </c>
      <c r="K510" s="7">
        <v>114</v>
      </c>
      <c r="L510" t="b">
        <f t="shared" si="7"/>
        <v>1</v>
      </c>
    </row>
    <row r="511" spans="1:12" x14ac:dyDescent="0.25">
      <c r="A511" s="7" t="s">
        <v>1505</v>
      </c>
      <c r="B511" s="7">
        <v>0</v>
      </c>
      <c r="C511" s="7">
        <v>135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19</v>
      </c>
      <c r="J511" s="7">
        <v>6</v>
      </c>
      <c r="K511" s="7">
        <v>160</v>
      </c>
      <c r="L511" t="b">
        <f t="shared" si="7"/>
        <v>1</v>
      </c>
    </row>
    <row r="512" spans="1:12" x14ac:dyDescent="0.25">
      <c r="A512" s="7" t="s">
        <v>1506</v>
      </c>
      <c r="B512" s="7">
        <v>0</v>
      </c>
      <c r="C512" s="7">
        <v>118</v>
      </c>
      <c r="D512" s="7">
        <v>0</v>
      </c>
      <c r="E512" s="7">
        <v>0</v>
      </c>
      <c r="F512" s="7">
        <v>0</v>
      </c>
      <c r="G512" s="7">
        <v>2</v>
      </c>
      <c r="H512" s="7">
        <v>0</v>
      </c>
      <c r="I512" s="7">
        <v>5</v>
      </c>
      <c r="J512" s="7">
        <v>17</v>
      </c>
      <c r="K512" s="7">
        <v>142</v>
      </c>
      <c r="L512" t="b">
        <f t="shared" si="7"/>
        <v>1</v>
      </c>
    </row>
    <row r="513" spans="1:12" x14ac:dyDescent="0.25">
      <c r="A513" s="7" t="s">
        <v>1507</v>
      </c>
      <c r="B513" s="7">
        <v>0</v>
      </c>
      <c r="C513" s="7">
        <v>49</v>
      </c>
      <c r="D513" s="7">
        <v>16</v>
      </c>
      <c r="E513" s="7">
        <v>0</v>
      </c>
      <c r="F513" s="7">
        <v>0</v>
      </c>
      <c r="G513" s="7">
        <v>0</v>
      </c>
      <c r="H513" s="7">
        <v>0</v>
      </c>
      <c r="I513" s="7">
        <v>37</v>
      </c>
      <c r="J513" s="7">
        <v>0</v>
      </c>
      <c r="K513" s="7">
        <v>102</v>
      </c>
      <c r="L513" t="b">
        <f t="shared" si="7"/>
        <v>1</v>
      </c>
    </row>
    <row r="514" spans="1:12" x14ac:dyDescent="0.25">
      <c r="A514" s="7" t="s">
        <v>1508</v>
      </c>
      <c r="B514" s="7">
        <v>0</v>
      </c>
      <c r="C514" s="7">
        <v>124</v>
      </c>
      <c r="D514" s="7">
        <v>0</v>
      </c>
      <c r="E514" s="7">
        <v>0</v>
      </c>
      <c r="F514" s="7">
        <v>0</v>
      </c>
      <c r="G514" s="7">
        <v>1</v>
      </c>
      <c r="H514" s="7">
        <v>0</v>
      </c>
      <c r="I514" s="7">
        <v>3</v>
      </c>
      <c r="J514" s="7">
        <v>3</v>
      </c>
      <c r="K514" s="7">
        <v>131</v>
      </c>
      <c r="L514" t="b">
        <f t="shared" si="7"/>
        <v>1</v>
      </c>
    </row>
    <row r="515" spans="1:12" x14ac:dyDescent="0.25">
      <c r="A515" s="7" t="s">
        <v>1509</v>
      </c>
      <c r="B515" s="7">
        <v>0</v>
      </c>
      <c r="C515" s="7">
        <v>116</v>
      </c>
      <c r="D515" s="7">
        <v>1</v>
      </c>
      <c r="E515" s="7">
        <v>0</v>
      </c>
      <c r="F515" s="7">
        <v>0</v>
      </c>
      <c r="G515" s="7">
        <v>1</v>
      </c>
      <c r="H515" s="7">
        <v>0</v>
      </c>
      <c r="I515" s="7">
        <v>3</v>
      </c>
      <c r="J515" s="7">
        <v>1</v>
      </c>
      <c r="K515" s="7">
        <v>122</v>
      </c>
      <c r="L515" t="b">
        <f t="shared" ref="L515:L578" si="8">K515=SUM(B515:J515)</f>
        <v>1</v>
      </c>
    </row>
    <row r="516" spans="1:12" x14ac:dyDescent="0.25">
      <c r="A516" s="7" t="s">
        <v>1510</v>
      </c>
      <c r="B516" s="7">
        <v>0</v>
      </c>
      <c r="C516" s="7">
        <v>32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32</v>
      </c>
      <c r="L516" t="b">
        <f t="shared" si="8"/>
        <v>1</v>
      </c>
    </row>
    <row r="517" spans="1:12" x14ac:dyDescent="0.25">
      <c r="A517" s="7" t="s">
        <v>1511</v>
      </c>
      <c r="B517" s="7">
        <v>0</v>
      </c>
      <c r="C517" s="7">
        <v>44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44</v>
      </c>
      <c r="L517" t="b">
        <f t="shared" si="8"/>
        <v>1</v>
      </c>
    </row>
    <row r="518" spans="1:12" x14ac:dyDescent="0.25">
      <c r="A518" s="7" t="s">
        <v>1512</v>
      </c>
      <c r="B518" s="7">
        <v>0</v>
      </c>
      <c r="C518" s="7">
        <v>72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7">
        <v>73</v>
      </c>
      <c r="L518" t="b">
        <f t="shared" si="8"/>
        <v>1</v>
      </c>
    </row>
    <row r="519" spans="1:12" x14ac:dyDescent="0.25">
      <c r="A519" s="7" t="s">
        <v>1513</v>
      </c>
      <c r="B519" s="7">
        <v>0</v>
      </c>
      <c r="C519" s="7">
        <v>43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43</v>
      </c>
      <c r="L519" t="b">
        <f t="shared" si="8"/>
        <v>1</v>
      </c>
    </row>
    <row r="520" spans="1:12" x14ac:dyDescent="0.25">
      <c r="A520" s="7" t="s">
        <v>1514</v>
      </c>
      <c r="B520" s="7">
        <v>0</v>
      </c>
      <c r="C520" s="7">
        <v>65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2</v>
      </c>
      <c r="J520" s="7">
        <v>0</v>
      </c>
      <c r="K520" s="7">
        <v>67</v>
      </c>
      <c r="L520" t="b">
        <f t="shared" si="8"/>
        <v>1</v>
      </c>
    </row>
    <row r="521" spans="1:12" x14ac:dyDescent="0.25">
      <c r="A521" s="7" t="s">
        <v>1515</v>
      </c>
      <c r="B521" s="7">
        <v>0</v>
      </c>
      <c r="C521" s="7">
        <v>88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2</v>
      </c>
      <c r="J521" s="7">
        <v>0</v>
      </c>
      <c r="K521" s="7">
        <v>90</v>
      </c>
      <c r="L521" t="b">
        <f t="shared" si="8"/>
        <v>1</v>
      </c>
    </row>
    <row r="522" spans="1:12" x14ac:dyDescent="0.25">
      <c r="A522" s="7" t="s">
        <v>1516</v>
      </c>
      <c r="B522" s="7">
        <v>0</v>
      </c>
      <c r="C522" s="7">
        <v>88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1</v>
      </c>
      <c r="J522" s="7">
        <v>0</v>
      </c>
      <c r="K522" s="7">
        <v>89</v>
      </c>
      <c r="L522" t="b">
        <f t="shared" si="8"/>
        <v>1</v>
      </c>
    </row>
    <row r="523" spans="1:12" x14ac:dyDescent="0.25">
      <c r="A523" s="7" t="s">
        <v>1517</v>
      </c>
      <c r="B523" s="7">
        <v>0</v>
      </c>
      <c r="C523" s="7">
        <v>39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39</v>
      </c>
      <c r="L523" t="b">
        <f t="shared" si="8"/>
        <v>1</v>
      </c>
    </row>
    <row r="524" spans="1:12" x14ac:dyDescent="0.25">
      <c r="A524" s="7" t="s">
        <v>1518</v>
      </c>
      <c r="B524" s="7">
        <v>0</v>
      </c>
      <c r="C524" s="7">
        <v>105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7">
        <v>106</v>
      </c>
      <c r="L524" t="b">
        <f t="shared" si="8"/>
        <v>1</v>
      </c>
    </row>
    <row r="525" spans="1:12" x14ac:dyDescent="0.25">
      <c r="A525" s="7" t="s">
        <v>1519</v>
      </c>
      <c r="B525" s="7">
        <v>0</v>
      </c>
      <c r="C525" s="7">
        <v>67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4</v>
      </c>
      <c r="J525" s="7">
        <v>0</v>
      </c>
      <c r="K525" s="7">
        <v>71</v>
      </c>
      <c r="L525" t="b">
        <f t="shared" si="8"/>
        <v>1</v>
      </c>
    </row>
    <row r="526" spans="1:12" x14ac:dyDescent="0.25">
      <c r="A526" s="7" t="s">
        <v>1520</v>
      </c>
      <c r="B526" s="7">
        <v>0</v>
      </c>
      <c r="C526" s="7">
        <v>127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7">
        <v>128</v>
      </c>
      <c r="L526" t="b">
        <f t="shared" si="8"/>
        <v>1</v>
      </c>
    </row>
    <row r="527" spans="1:12" x14ac:dyDescent="0.25">
      <c r="A527" s="7" t="s">
        <v>1521</v>
      </c>
      <c r="B527" s="7">
        <v>0</v>
      </c>
      <c r="C527" s="7">
        <v>109</v>
      </c>
      <c r="D527" s="7">
        <v>0</v>
      </c>
      <c r="E527" s="7">
        <v>0</v>
      </c>
      <c r="F527" s="7">
        <v>0</v>
      </c>
      <c r="G527" s="7">
        <v>4</v>
      </c>
      <c r="H527" s="7">
        <v>0</v>
      </c>
      <c r="I527" s="7">
        <v>1</v>
      </c>
      <c r="J527" s="7">
        <v>0</v>
      </c>
      <c r="K527" s="7">
        <v>114</v>
      </c>
      <c r="L527" t="b">
        <f t="shared" si="8"/>
        <v>1</v>
      </c>
    </row>
    <row r="528" spans="1:12" x14ac:dyDescent="0.25">
      <c r="A528" s="7" t="s">
        <v>1522</v>
      </c>
      <c r="B528" s="7">
        <v>0</v>
      </c>
      <c r="C528" s="7">
        <v>66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3</v>
      </c>
      <c r="J528" s="7">
        <v>12</v>
      </c>
      <c r="K528" s="7">
        <v>81</v>
      </c>
      <c r="L528" t="b">
        <f t="shared" si="8"/>
        <v>1</v>
      </c>
    </row>
    <row r="529" spans="1:12" x14ac:dyDescent="0.25">
      <c r="A529" s="7" t="s">
        <v>1523</v>
      </c>
      <c r="B529" s="7">
        <v>0</v>
      </c>
      <c r="C529" s="7">
        <v>124</v>
      </c>
      <c r="D529" s="7">
        <v>0</v>
      </c>
      <c r="E529" s="7">
        <v>0</v>
      </c>
      <c r="F529" s="7">
        <v>0</v>
      </c>
      <c r="G529" s="7">
        <v>2</v>
      </c>
      <c r="H529" s="7">
        <v>0</v>
      </c>
      <c r="I529" s="7">
        <v>0</v>
      </c>
      <c r="J529" s="7">
        <v>0</v>
      </c>
      <c r="K529" s="7">
        <v>126</v>
      </c>
      <c r="L529" t="b">
        <f t="shared" si="8"/>
        <v>1</v>
      </c>
    </row>
    <row r="530" spans="1:12" x14ac:dyDescent="0.25">
      <c r="A530" s="7" t="s">
        <v>1524</v>
      </c>
      <c r="B530" s="7">
        <v>0</v>
      </c>
      <c r="C530" s="7">
        <v>107</v>
      </c>
      <c r="D530" s="7">
        <v>0</v>
      </c>
      <c r="E530" s="7">
        <v>0</v>
      </c>
      <c r="F530" s="7">
        <v>0</v>
      </c>
      <c r="G530" s="7">
        <v>1</v>
      </c>
      <c r="H530" s="7">
        <v>0</v>
      </c>
      <c r="I530" s="7">
        <v>0</v>
      </c>
      <c r="J530" s="7">
        <v>0</v>
      </c>
      <c r="K530" s="7">
        <v>108</v>
      </c>
      <c r="L530" t="b">
        <f t="shared" si="8"/>
        <v>1</v>
      </c>
    </row>
    <row r="531" spans="1:12" x14ac:dyDescent="0.25">
      <c r="A531" s="7" t="s">
        <v>1525</v>
      </c>
      <c r="B531" s="7">
        <v>0</v>
      </c>
      <c r="C531" s="7">
        <v>91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91</v>
      </c>
      <c r="L531" t="b">
        <f t="shared" si="8"/>
        <v>1</v>
      </c>
    </row>
    <row r="532" spans="1:12" x14ac:dyDescent="0.25">
      <c r="A532" s="7" t="s">
        <v>1526</v>
      </c>
      <c r="B532" s="7">
        <v>0</v>
      </c>
      <c r="C532" s="7">
        <v>60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60</v>
      </c>
      <c r="L532" t="b">
        <f t="shared" si="8"/>
        <v>1</v>
      </c>
    </row>
    <row r="533" spans="1:12" x14ac:dyDescent="0.25">
      <c r="A533" s="7" t="s">
        <v>1527</v>
      </c>
      <c r="B533" s="7">
        <v>0</v>
      </c>
      <c r="C533" s="7">
        <v>98</v>
      </c>
      <c r="D533" s="7">
        <v>0</v>
      </c>
      <c r="E533" s="7">
        <v>0</v>
      </c>
      <c r="F533" s="7">
        <v>3</v>
      </c>
      <c r="G533" s="7">
        <v>0</v>
      </c>
      <c r="H533" s="7">
        <v>0</v>
      </c>
      <c r="I533" s="7">
        <v>22</v>
      </c>
      <c r="J533" s="7">
        <v>1</v>
      </c>
      <c r="K533" s="7">
        <v>124</v>
      </c>
      <c r="L533" t="b">
        <f t="shared" si="8"/>
        <v>1</v>
      </c>
    </row>
    <row r="534" spans="1:12" x14ac:dyDescent="0.25">
      <c r="A534" s="7" t="s">
        <v>1528</v>
      </c>
      <c r="B534" s="7">
        <v>0</v>
      </c>
      <c r="C534" s="7">
        <v>28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50</v>
      </c>
      <c r="J534" s="7">
        <v>0</v>
      </c>
      <c r="K534" s="7">
        <v>78</v>
      </c>
      <c r="L534" t="b">
        <f t="shared" si="8"/>
        <v>1</v>
      </c>
    </row>
    <row r="535" spans="1:12" x14ac:dyDescent="0.25">
      <c r="A535" s="7" t="s">
        <v>1529</v>
      </c>
      <c r="B535" s="7">
        <v>0</v>
      </c>
      <c r="C535" s="7">
        <v>64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64</v>
      </c>
      <c r="L535" t="b">
        <f t="shared" si="8"/>
        <v>1</v>
      </c>
    </row>
    <row r="536" spans="1:12" x14ac:dyDescent="0.25">
      <c r="A536" s="7" t="s">
        <v>1530</v>
      </c>
      <c r="B536" s="7">
        <v>0</v>
      </c>
      <c r="C536" s="7">
        <v>104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12</v>
      </c>
      <c r="J536" s="7">
        <v>5</v>
      </c>
      <c r="K536" s="7">
        <v>121</v>
      </c>
      <c r="L536" t="b">
        <f t="shared" si="8"/>
        <v>1</v>
      </c>
    </row>
    <row r="537" spans="1:12" x14ac:dyDescent="0.25">
      <c r="A537" s="7" t="s">
        <v>1531</v>
      </c>
      <c r="B537" s="7">
        <v>0</v>
      </c>
      <c r="C537" s="7">
        <v>79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79</v>
      </c>
      <c r="L537" t="b">
        <f t="shared" si="8"/>
        <v>1</v>
      </c>
    </row>
    <row r="538" spans="1:12" x14ac:dyDescent="0.25">
      <c r="A538" s="7" t="s">
        <v>1532</v>
      </c>
      <c r="B538" s="7">
        <v>0</v>
      </c>
      <c r="C538" s="7">
        <v>73</v>
      </c>
      <c r="D538" s="7">
        <v>0</v>
      </c>
      <c r="E538" s="7">
        <v>0</v>
      </c>
      <c r="F538" s="7">
        <v>0</v>
      </c>
      <c r="G538" s="7">
        <v>3</v>
      </c>
      <c r="H538" s="7">
        <v>0</v>
      </c>
      <c r="I538" s="7">
        <v>0</v>
      </c>
      <c r="J538" s="7">
        <v>0</v>
      </c>
      <c r="K538" s="7">
        <v>76</v>
      </c>
      <c r="L538" t="b">
        <f t="shared" si="8"/>
        <v>1</v>
      </c>
    </row>
    <row r="539" spans="1:12" x14ac:dyDescent="0.25">
      <c r="A539" s="7" t="s">
        <v>1533</v>
      </c>
      <c r="B539" s="7">
        <v>0</v>
      </c>
      <c r="C539" s="7">
        <v>100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100</v>
      </c>
      <c r="L539" t="b">
        <f t="shared" si="8"/>
        <v>1</v>
      </c>
    </row>
    <row r="540" spans="1:12" x14ac:dyDescent="0.25">
      <c r="A540" s="7" t="s">
        <v>1534</v>
      </c>
      <c r="B540" s="7">
        <v>0</v>
      </c>
      <c r="C540" s="7">
        <v>63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63</v>
      </c>
      <c r="L540" t="b">
        <f t="shared" si="8"/>
        <v>1</v>
      </c>
    </row>
    <row r="541" spans="1:12" x14ac:dyDescent="0.25">
      <c r="A541" s="7" t="s">
        <v>1535</v>
      </c>
      <c r="B541" s="7">
        <v>0</v>
      </c>
      <c r="C541" s="7">
        <v>79</v>
      </c>
      <c r="D541" s="7">
        <v>0</v>
      </c>
      <c r="E541" s="7">
        <v>0</v>
      </c>
      <c r="F541" s="7">
        <v>0</v>
      </c>
      <c r="G541" s="7">
        <v>1</v>
      </c>
      <c r="H541" s="7">
        <v>0</v>
      </c>
      <c r="I541" s="7">
        <v>2</v>
      </c>
      <c r="J541" s="7">
        <v>0</v>
      </c>
      <c r="K541" s="7">
        <v>82</v>
      </c>
      <c r="L541" t="b">
        <f t="shared" si="8"/>
        <v>1</v>
      </c>
    </row>
    <row r="542" spans="1:12" x14ac:dyDescent="0.25">
      <c r="A542" s="7" t="s">
        <v>1536</v>
      </c>
      <c r="B542" s="7">
        <v>0</v>
      </c>
      <c r="C542" s="7">
        <v>111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111</v>
      </c>
      <c r="L542" t="b">
        <f t="shared" si="8"/>
        <v>1</v>
      </c>
    </row>
    <row r="543" spans="1:12" x14ac:dyDescent="0.25">
      <c r="A543" s="7" t="s">
        <v>1537</v>
      </c>
      <c r="B543" s="7">
        <v>0</v>
      </c>
      <c r="C543" s="7">
        <v>93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93</v>
      </c>
      <c r="L543" t="b">
        <f t="shared" si="8"/>
        <v>1</v>
      </c>
    </row>
    <row r="544" spans="1:12" x14ac:dyDescent="0.25">
      <c r="A544" s="7" t="s">
        <v>1538</v>
      </c>
      <c r="B544" s="7">
        <v>0</v>
      </c>
      <c r="C544" s="7">
        <v>95</v>
      </c>
      <c r="D544" s="7">
        <v>0</v>
      </c>
      <c r="E544" s="7">
        <v>0</v>
      </c>
      <c r="F544" s="7">
        <v>0</v>
      </c>
      <c r="G544" s="7">
        <v>4</v>
      </c>
      <c r="H544" s="7">
        <v>0</v>
      </c>
      <c r="I544" s="7">
        <v>0</v>
      </c>
      <c r="J544" s="7">
        <v>0</v>
      </c>
      <c r="K544" s="7">
        <v>99</v>
      </c>
      <c r="L544" t="b">
        <f t="shared" si="8"/>
        <v>1</v>
      </c>
    </row>
    <row r="545" spans="1:12" x14ac:dyDescent="0.25">
      <c r="A545" s="7" t="s">
        <v>1539</v>
      </c>
      <c r="B545" s="7">
        <v>0</v>
      </c>
      <c r="C545" s="7">
        <v>85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1</v>
      </c>
      <c r="K545" s="7">
        <v>86</v>
      </c>
      <c r="L545" t="b">
        <f t="shared" si="8"/>
        <v>1</v>
      </c>
    </row>
    <row r="546" spans="1:12" x14ac:dyDescent="0.25">
      <c r="A546" s="7" t="s">
        <v>1540</v>
      </c>
      <c r="B546" s="7">
        <v>0</v>
      </c>
      <c r="C546" s="7">
        <v>18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42</v>
      </c>
      <c r="J546" s="7">
        <v>1</v>
      </c>
      <c r="K546" s="7">
        <v>61</v>
      </c>
      <c r="L546" t="b">
        <f t="shared" si="8"/>
        <v>1</v>
      </c>
    </row>
    <row r="547" spans="1:12" x14ac:dyDescent="0.25">
      <c r="A547" s="7" t="s">
        <v>1541</v>
      </c>
      <c r="B547" s="7">
        <v>0</v>
      </c>
      <c r="C547" s="7">
        <v>23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23</v>
      </c>
      <c r="L547" t="b">
        <f t="shared" si="8"/>
        <v>1</v>
      </c>
    </row>
    <row r="548" spans="1:12" x14ac:dyDescent="0.25">
      <c r="A548" s="7" t="s">
        <v>1542</v>
      </c>
      <c r="B548" s="7">
        <v>0</v>
      </c>
      <c r="C548" s="7">
        <v>116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1</v>
      </c>
      <c r="J548" s="7">
        <v>5</v>
      </c>
      <c r="K548" s="7">
        <v>122</v>
      </c>
      <c r="L548" t="b">
        <f t="shared" si="8"/>
        <v>1</v>
      </c>
    </row>
    <row r="549" spans="1:12" x14ac:dyDescent="0.25">
      <c r="A549" s="7" t="s">
        <v>1543</v>
      </c>
      <c r="B549" s="7">
        <v>0</v>
      </c>
      <c r="C549" s="7">
        <v>95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1</v>
      </c>
      <c r="K549" s="7">
        <v>97</v>
      </c>
      <c r="L549" t="b">
        <f t="shared" si="8"/>
        <v>1</v>
      </c>
    </row>
    <row r="550" spans="1:12" x14ac:dyDescent="0.25">
      <c r="A550" s="7" t="s">
        <v>1544</v>
      </c>
      <c r="B550" s="7">
        <v>0</v>
      </c>
      <c r="C550" s="7">
        <v>100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100</v>
      </c>
      <c r="L550" t="b">
        <f t="shared" si="8"/>
        <v>1</v>
      </c>
    </row>
    <row r="551" spans="1:12" x14ac:dyDescent="0.25">
      <c r="A551" s="7" t="s">
        <v>1545</v>
      </c>
      <c r="B551" s="7">
        <v>0</v>
      </c>
      <c r="C551" s="7">
        <v>71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27</v>
      </c>
      <c r="J551" s="7">
        <v>2</v>
      </c>
      <c r="K551" s="7">
        <v>100</v>
      </c>
      <c r="L551" t="b">
        <f t="shared" si="8"/>
        <v>1</v>
      </c>
    </row>
    <row r="552" spans="1:12" x14ac:dyDescent="0.25">
      <c r="A552" s="7" t="s">
        <v>1546</v>
      </c>
      <c r="B552" s="7">
        <v>0</v>
      </c>
      <c r="C552" s="7">
        <v>33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23</v>
      </c>
      <c r="J552" s="7">
        <v>0</v>
      </c>
      <c r="K552" s="7">
        <v>56</v>
      </c>
      <c r="L552" t="b">
        <f t="shared" si="8"/>
        <v>1</v>
      </c>
    </row>
    <row r="553" spans="1:12" x14ac:dyDescent="0.25">
      <c r="A553" s="7" t="s">
        <v>1547</v>
      </c>
      <c r="B553" s="7">
        <v>0</v>
      </c>
      <c r="C553" s="7">
        <v>39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8</v>
      </c>
      <c r="J553" s="7">
        <v>0</v>
      </c>
      <c r="K553" s="7">
        <v>47</v>
      </c>
      <c r="L553" t="b">
        <f t="shared" si="8"/>
        <v>1</v>
      </c>
    </row>
    <row r="554" spans="1:12" x14ac:dyDescent="0.25">
      <c r="A554" s="7" t="s">
        <v>1548</v>
      </c>
      <c r="B554" s="7">
        <v>0</v>
      </c>
      <c r="C554" s="7">
        <v>9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34</v>
      </c>
      <c r="J554" s="7">
        <v>0</v>
      </c>
      <c r="K554" s="7">
        <v>43</v>
      </c>
      <c r="L554" t="b">
        <f t="shared" si="8"/>
        <v>1</v>
      </c>
    </row>
    <row r="555" spans="1:12" x14ac:dyDescent="0.25">
      <c r="A555" s="7" t="s">
        <v>1549</v>
      </c>
      <c r="B555" s="7">
        <v>0</v>
      </c>
      <c r="C555" s="7">
        <v>68</v>
      </c>
      <c r="D555" s="7">
        <v>0</v>
      </c>
      <c r="E555" s="7">
        <v>0</v>
      </c>
      <c r="F555" s="7">
        <v>0</v>
      </c>
      <c r="G555" s="7">
        <v>1</v>
      </c>
      <c r="H555" s="7">
        <v>0</v>
      </c>
      <c r="I555" s="7">
        <v>0</v>
      </c>
      <c r="J555" s="7">
        <v>0</v>
      </c>
      <c r="K555" s="7">
        <v>69</v>
      </c>
      <c r="L555" t="b">
        <f t="shared" si="8"/>
        <v>1</v>
      </c>
    </row>
    <row r="556" spans="1:12" x14ac:dyDescent="0.25">
      <c r="A556" s="7" t="s">
        <v>1550</v>
      </c>
      <c r="B556" s="7">
        <v>0</v>
      </c>
      <c r="C556" s="7">
        <v>69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2</v>
      </c>
      <c r="J556" s="7">
        <v>0</v>
      </c>
      <c r="K556" s="7">
        <v>71</v>
      </c>
      <c r="L556" t="b">
        <f t="shared" si="8"/>
        <v>1</v>
      </c>
    </row>
    <row r="557" spans="1:12" x14ac:dyDescent="0.25">
      <c r="A557" s="7" t="s">
        <v>1551</v>
      </c>
      <c r="B557" s="7">
        <v>0</v>
      </c>
      <c r="C557" s="7">
        <v>31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40</v>
      </c>
      <c r="J557" s="7">
        <v>0</v>
      </c>
      <c r="K557" s="7">
        <v>71</v>
      </c>
      <c r="L557" t="b">
        <f t="shared" si="8"/>
        <v>1</v>
      </c>
    </row>
    <row r="558" spans="1:12" x14ac:dyDescent="0.25">
      <c r="A558" s="7" t="s">
        <v>1552</v>
      </c>
      <c r="B558" s="7">
        <v>0</v>
      </c>
      <c r="C558" s="7">
        <v>31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31</v>
      </c>
      <c r="J558" s="7">
        <v>0</v>
      </c>
      <c r="K558" s="7">
        <v>62</v>
      </c>
      <c r="L558" t="b">
        <f t="shared" si="8"/>
        <v>1</v>
      </c>
    </row>
    <row r="559" spans="1:12" x14ac:dyDescent="0.25">
      <c r="A559" s="7" t="s">
        <v>1553</v>
      </c>
      <c r="B559" s="7">
        <v>0</v>
      </c>
      <c r="C559" s="7">
        <v>115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32</v>
      </c>
      <c r="J559" s="7">
        <v>0</v>
      </c>
      <c r="K559" s="7">
        <v>147</v>
      </c>
      <c r="L559" t="b">
        <f t="shared" si="8"/>
        <v>1</v>
      </c>
    </row>
    <row r="560" spans="1:12" x14ac:dyDescent="0.25">
      <c r="A560" s="7" t="s">
        <v>1554</v>
      </c>
      <c r="B560" s="7">
        <v>0</v>
      </c>
      <c r="C560" s="7">
        <v>45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45</v>
      </c>
      <c r="L560" t="b">
        <f t="shared" si="8"/>
        <v>1</v>
      </c>
    </row>
    <row r="561" spans="1:12" x14ac:dyDescent="0.25">
      <c r="A561" s="7" t="s">
        <v>1555</v>
      </c>
      <c r="B561" s="7">
        <v>0</v>
      </c>
      <c r="C561" s="7">
        <v>74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18</v>
      </c>
      <c r="J561" s="7">
        <v>0</v>
      </c>
      <c r="K561" s="7">
        <v>92</v>
      </c>
      <c r="L561" t="b">
        <f t="shared" si="8"/>
        <v>1</v>
      </c>
    </row>
    <row r="562" spans="1:12" x14ac:dyDescent="0.25">
      <c r="A562" s="7" t="s">
        <v>1556</v>
      </c>
      <c r="B562" s="7">
        <v>0</v>
      </c>
      <c r="C562" s="7">
        <v>48</v>
      </c>
      <c r="D562" s="7">
        <v>0</v>
      </c>
      <c r="E562" s="7">
        <v>0</v>
      </c>
      <c r="F562" s="7">
        <v>0</v>
      </c>
      <c r="G562" s="7">
        <v>2</v>
      </c>
      <c r="H562" s="7">
        <v>0</v>
      </c>
      <c r="I562" s="7">
        <v>41</v>
      </c>
      <c r="J562" s="7">
        <v>0</v>
      </c>
      <c r="K562" s="7">
        <v>91</v>
      </c>
      <c r="L562" t="b">
        <f t="shared" si="8"/>
        <v>1</v>
      </c>
    </row>
    <row r="563" spans="1:12" x14ac:dyDescent="0.25">
      <c r="A563" s="7" t="s">
        <v>1557</v>
      </c>
      <c r="B563" s="7">
        <v>0</v>
      </c>
      <c r="C563" s="7">
        <v>74</v>
      </c>
      <c r="D563" s="7">
        <v>0</v>
      </c>
      <c r="E563" s="7">
        <v>0</v>
      </c>
      <c r="F563" s="7">
        <v>0</v>
      </c>
      <c r="G563" s="7">
        <v>1</v>
      </c>
      <c r="H563" s="7">
        <v>0</v>
      </c>
      <c r="I563" s="7">
        <v>0</v>
      </c>
      <c r="J563" s="7">
        <v>1</v>
      </c>
      <c r="K563" s="7">
        <v>76</v>
      </c>
      <c r="L563" t="b">
        <f t="shared" si="8"/>
        <v>1</v>
      </c>
    </row>
    <row r="564" spans="1:12" x14ac:dyDescent="0.25">
      <c r="A564" s="7" t="s">
        <v>1558</v>
      </c>
      <c r="B564" s="7">
        <v>0</v>
      </c>
      <c r="C564" s="7">
        <v>39</v>
      </c>
      <c r="D564" s="7">
        <v>0</v>
      </c>
      <c r="E564" s="7">
        <v>0</v>
      </c>
      <c r="F564" s="7">
        <v>0</v>
      </c>
      <c r="G564" s="7">
        <v>1</v>
      </c>
      <c r="H564" s="7">
        <v>0</v>
      </c>
      <c r="I564" s="7">
        <v>1</v>
      </c>
      <c r="J564" s="7">
        <v>4</v>
      </c>
      <c r="K564" s="7">
        <v>45</v>
      </c>
      <c r="L564" t="b">
        <f t="shared" si="8"/>
        <v>1</v>
      </c>
    </row>
    <row r="565" spans="1:12" x14ac:dyDescent="0.25">
      <c r="A565" s="7" t="s">
        <v>1559</v>
      </c>
      <c r="B565" s="7">
        <v>0</v>
      </c>
      <c r="C565" s="7">
        <v>26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20</v>
      </c>
      <c r="J565" s="7">
        <v>18</v>
      </c>
      <c r="K565" s="7">
        <v>64</v>
      </c>
      <c r="L565" t="b">
        <f t="shared" si="8"/>
        <v>1</v>
      </c>
    </row>
    <row r="566" spans="1:12" x14ac:dyDescent="0.25">
      <c r="A566" s="7" t="s">
        <v>1560</v>
      </c>
      <c r="B566" s="7">
        <v>0</v>
      </c>
      <c r="C566" s="7">
        <v>38</v>
      </c>
      <c r="D566" s="7">
        <v>0</v>
      </c>
      <c r="E566" s="7">
        <v>0</v>
      </c>
      <c r="F566" s="7">
        <v>0</v>
      </c>
      <c r="G566" s="7">
        <v>1</v>
      </c>
      <c r="H566" s="7">
        <v>0</v>
      </c>
      <c r="I566" s="7">
        <v>46</v>
      </c>
      <c r="J566" s="7">
        <v>0</v>
      </c>
      <c r="K566" s="7">
        <v>85</v>
      </c>
      <c r="L566" t="b">
        <f t="shared" si="8"/>
        <v>1</v>
      </c>
    </row>
    <row r="567" spans="1:12" x14ac:dyDescent="0.25">
      <c r="A567" s="7" t="s">
        <v>1561</v>
      </c>
      <c r="B567" s="7">
        <v>0</v>
      </c>
      <c r="C567" s="7">
        <v>60</v>
      </c>
      <c r="D567" s="7">
        <v>0</v>
      </c>
      <c r="E567" s="7">
        <v>0</v>
      </c>
      <c r="F567" s="7">
        <v>0</v>
      </c>
      <c r="G567" s="7">
        <v>1</v>
      </c>
      <c r="H567" s="7">
        <v>0</v>
      </c>
      <c r="I567" s="7">
        <v>0</v>
      </c>
      <c r="J567" s="7">
        <v>0</v>
      </c>
      <c r="K567" s="7">
        <v>61</v>
      </c>
      <c r="L567" t="b">
        <f t="shared" si="8"/>
        <v>1</v>
      </c>
    </row>
    <row r="568" spans="1:12" x14ac:dyDescent="0.25">
      <c r="A568" s="7" t="s">
        <v>1562</v>
      </c>
      <c r="B568" s="7">
        <v>0</v>
      </c>
      <c r="C568" s="7">
        <v>24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41</v>
      </c>
      <c r="J568" s="7">
        <v>0</v>
      </c>
      <c r="K568" s="7">
        <v>65</v>
      </c>
      <c r="L568" t="b">
        <f t="shared" si="8"/>
        <v>1</v>
      </c>
    </row>
    <row r="569" spans="1:12" x14ac:dyDescent="0.25">
      <c r="A569" s="7" t="s">
        <v>1563</v>
      </c>
      <c r="B569" s="7">
        <v>0</v>
      </c>
      <c r="C569" s="7">
        <v>67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20</v>
      </c>
      <c r="K569" s="7">
        <v>87</v>
      </c>
      <c r="L569" t="b">
        <f t="shared" si="8"/>
        <v>1</v>
      </c>
    </row>
    <row r="570" spans="1:12" x14ac:dyDescent="0.25">
      <c r="A570" s="7" t="s">
        <v>1564</v>
      </c>
      <c r="B570" s="7">
        <v>0</v>
      </c>
      <c r="C570" s="7">
        <v>44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6</v>
      </c>
      <c r="J570" s="7">
        <v>3</v>
      </c>
      <c r="K570" s="7">
        <v>53</v>
      </c>
      <c r="L570" t="b">
        <f t="shared" si="8"/>
        <v>1</v>
      </c>
    </row>
    <row r="571" spans="1:12" x14ac:dyDescent="0.25">
      <c r="A571" s="7" t="s">
        <v>1565</v>
      </c>
      <c r="B571" s="7">
        <v>0</v>
      </c>
      <c r="C571" s="7">
        <v>26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8</v>
      </c>
      <c r="J571" s="7">
        <v>11</v>
      </c>
      <c r="K571" s="7">
        <v>45</v>
      </c>
      <c r="L571" t="b">
        <f t="shared" si="8"/>
        <v>1</v>
      </c>
    </row>
    <row r="572" spans="1:12" x14ac:dyDescent="0.25">
      <c r="A572" s="7" t="s">
        <v>1566</v>
      </c>
      <c r="B572" s="7">
        <v>0</v>
      </c>
      <c r="C572" s="7">
        <v>28</v>
      </c>
      <c r="D572" s="7">
        <v>0</v>
      </c>
      <c r="E572" s="7">
        <v>0</v>
      </c>
      <c r="F572" s="7">
        <v>0</v>
      </c>
      <c r="G572" s="7">
        <v>1</v>
      </c>
      <c r="H572" s="7">
        <v>0</v>
      </c>
      <c r="I572" s="7">
        <v>5</v>
      </c>
      <c r="J572" s="7">
        <v>9</v>
      </c>
      <c r="K572" s="7">
        <v>43</v>
      </c>
      <c r="L572" t="b">
        <f t="shared" si="8"/>
        <v>1</v>
      </c>
    </row>
    <row r="573" spans="1:12" x14ac:dyDescent="0.25">
      <c r="A573" s="7" t="s">
        <v>1567</v>
      </c>
      <c r="B573" s="7">
        <v>0</v>
      </c>
      <c r="C573" s="7">
        <v>59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27</v>
      </c>
      <c r="J573" s="7">
        <v>7</v>
      </c>
      <c r="K573" s="7">
        <v>93</v>
      </c>
      <c r="L573" t="b">
        <f t="shared" si="8"/>
        <v>1</v>
      </c>
    </row>
    <row r="574" spans="1:12" x14ac:dyDescent="0.25">
      <c r="A574" s="7" t="s">
        <v>1568</v>
      </c>
      <c r="B574" s="7">
        <v>0</v>
      </c>
      <c r="C574" s="7">
        <v>45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2</v>
      </c>
      <c r="J574" s="7">
        <v>15</v>
      </c>
      <c r="K574" s="7">
        <v>62</v>
      </c>
      <c r="L574" t="b">
        <f t="shared" si="8"/>
        <v>1</v>
      </c>
    </row>
    <row r="575" spans="1:12" x14ac:dyDescent="0.25">
      <c r="A575" s="7" t="s">
        <v>1569</v>
      </c>
      <c r="B575" s="7">
        <v>0</v>
      </c>
      <c r="C575" s="7">
        <v>23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13</v>
      </c>
      <c r="J575" s="7">
        <v>5</v>
      </c>
      <c r="K575" s="7">
        <v>41</v>
      </c>
      <c r="L575" t="b">
        <f t="shared" si="8"/>
        <v>1</v>
      </c>
    </row>
    <row r="576" spans="1:12" x14ac:dyDescent="0.25">
      <c r="A576" s="7" t="s">
        <v>1570</v>
      </c>
      <c r="B576" s="7">
        <v>0</v>
      </c>
      <c r="C576" s="7">
        <v>85</v>
      </c>
      <c r="D576" s="7">
        <v>0</v>
      </c>
      <c r="E576" s="7">
        <v>0</v>
      </c>
      <c r="F576" s="7">
        <v>0</v>
      </c>
      <c r="G576" s="7">
        <v>1</v>
      </c>
      <c r="H576" s="7">
        <v>0</v>
      </c>
      <c r="I576" s="7">
        <v>0</v>
      </c>
      <c r="J576" s="7">
        <v>0</v>
      </c>
      <c r="K576" s="7">
        <v>86</v>
      </c>
      <c r="L576" t="b">
        <f t="shared" si="8"/>
        <v>1</v>
      </c>
    </row>
    <row r="577" spans="1:12" x14ac:dyDescent="0.25">
      <c r="A577" s="7" t="s">
        <v>1571</v>
      </c>
      <c r="B577" s="7">
        <v>0</v>
      </c>
      <c r="C577" s="7">
        <v>109</v>
      </c>
      <c r="D577" s="7">
        <v>0</v>
      </c>
      <c r="E577" s="7">
        <v>0</v>
      </c>
      <c r="F577" s="7">
        <v>0</v>
      </c>
      <c r="G577" s="7">
        <v>1</v>
      </c>
      <c r="H577" s="7">
        <v>0</v>
      </c>
      <c r="I577" s="7">
        <v>0</v>
      </c>
      <c r="J577" s="7">
        <v>0</v>
      </c>
      <c r="K577" s="7">
        <v>110</v>
      </c>
      <c r="L577" t="b">
        <f t="shared" si="8"/>
        <v>1</v>
      </c>
    </row>
    <row r="578" spans="1:12" x14ac:dyDescent="0.25">
      <c r="A578" s="7" t="s">
        <v>1572</v>
      </c>
      <c r="B578" s="7">
        <v>0</v>
      </c>
      <c r="C578" s="7">
        <v>105</v>
      </c>
      <c r="D578" s="7">
        <v>0</v>
      </c>
      <c r="E578" s="7">
        <v>0</v>
      </c>
      <c r="F578" s="7">
        <v>0</v>
      </c>
      <c r="G578" s="7">
        <v>1</v>
      </c>
      <c r="H578" s="7">
        <v>0</v>
      </c>
      <c r="I578" s="7">
        <v>0</v>
      </c>
      <c r="J578" s="7">
        <v>0</v>
      </c>
      <c r="K578" s="7">
        <v>106</v>
      </c>
      <c r="L578" t="b">
        <f t="shared" si="8"/>
        <v>1</v>
      </c>
    </row>
    <row r="579" spans="1:12" x14ac:dyDescent="0.25">
      <c r="A579" s="7" t="s">
        <v>1573</v>
      </c>
      <c r="B579" s="7">
        <v>0</v>
      </c>
      <c r="C579" s="7">
        <v>111</v>
      </c>
      <c r="D579" s="7">
        <v>0</v>
      </c>
      <c r="E579" s="7">
        <v>0</v>
      </c>
      <c r="F579" s="7">
        <v>0</v>
      </c>
      <c r="G579" s="7">
        <v>2</v>
      </c>
      <c r="H579" s="7">
        <v>0</v>
      </c>
      <c r="I579" s="7">
        <v>2</v>
      </c>
      <c r="J579" s="7">
        <v>0</v>
      </c>
      <c r="K579" s="7">
        <v>115</v>
      </c>
      <c r="L579" t="b">
        <f t="shared" ref="L579:L642" si="9">K579=SUM(B579:J579)</f>
        <v>1</v>
      </c>
    </row>
    <row r="580" spans="1:12" x14ac:dyDescent="0.25">
      <c r="A580" s="7" t="s">
        <v>1574</v>
      </c>
      <c r="B580" s="7">
        <v>0</v>
      </c>
      <c r="C580" s="7">
        <v>100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100</v>
      </c>
      <c r="L580" t="b">
        <f t="shared" si="9"/>
        <v>1</v>
      </c>
    </row>
    <row r="581" spans="1:12" x14ac:dyDescent="0.25">
      <c r="A581" s="7" t="s">
        <v>1575</v>
      </c>
      <c r="B581" s="7">
        <v>0</v>
      </c>
      <c r="C581" s="7">
        <v>75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1</v>
      </c>
      <c r="K581" s="7">
        <v>77</v>
      </c>
      <c r="L581" t="b">
        <f t="shared" si="9"/>
        <v>1</v>
      </c>
    </row>
    <row r="582" spans="1:12" x14ac:dyDescent="0.25">
      <c r="A582" s="7" t="s">
        <v>1576</v>
      </c>
      <c r="B582" s="7">
        <v>0</v>
      </c>
      <c r="C582" s="7">
        <v>72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1</v>
      </c>
      <c r="K582" s="7">
        <v>73</v>
      </c>
      <c r="L582" t="b">
        <f t="shared" si="9"/>
        <v>1</v>
      </c>
    </row>
    <row r="583" spans="1:12" x14ac:dyDescent="0.25">
      <c r="A583" s="7" t="s">
        <v>1577</v>
      </c>
      <c r="B583" s="7">
        <v>0</v>
      </c>
      <c r="C583" s="7">
        <v>75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1</v>
      </c>
      <c r="K583" s="7">
        <v>76</v>
      </c>
      <c r="L583" t="b">
        <f t="shared" si="9"/>
        <v>1</v>
      </c>
    </row>
    <row r="584" spans="1:12" x14ac:dyDescent="0.25">
      <c r="A584" s="7" t="s">
        <v>1578</v>
      </c>
      <c r="B584" s="7">
        <v>0</v>
      </c>
      <c r="C584" s="7">
        <v>47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5</v>
      </c>
      <c r="J584" s="7">
        <v>23</v>
      </c>
      <c r="K584" s="7">
        <v>75</v>
      </c>
      <c r="L584" t="b">
        <f t="shared" si="9"/>
        <v>1</v>
      </c>
    </row>
    <row r="585" spans="1:12" x14ac:dyDescent="0.25">
      <c r="A585" s="7" t="s">
        <v>1579</v>
      </c>
      <c r="B585" s="7">
        <v>0</v>
      </c>
      <c r="C585" s="7">
        <v>40</v>
      </c>
      <c r="D585" s="7">
        <v>0</v>
      </c>
      <c r="E585" s="7">
        <v>0</v>
      </c>
      <c r="F585" s="7">
        <v>0</v>
      </c>
      <c r="G585" s="7">
        <v>1</v>
      </c>
      <c r="H585" s="7">
        <v>0</v>
      </c>
      <c r="I585" s="7">
        <v>1</v>
      </c>
      <c r="J585" s="7">
        <v>13</v>
      </c>
      <c r="K585" s="7">
        <v>55</v>
      </c>
      <c r="L585" t="b">
        <f t="shared" si="9"/>
        <v>1</v>
      </c>
    </row>
    <row r="586" spans="1:12" x14ac:dyDescent="0.25">
      <c r="A586" s="7" t="s">
        <v>1580</v>
      </c>
      <c r="B586" s="7">
        <v>0</v>
      </c>
      <c r="C586" s="7">
        <v>61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1</v>
      </c>
      <c r="K586" s="7">
        <v>62</v>
      </c>
      <c r="L586" t="b">
        <f t="shared" si="9"/>
        <v>1</v>
      </c>
    </row>
    <row r="587" spans="1:12" x14ac:dyDescent="0.25">
      <c r="A587" s="7" t="s">
        <v>1581</v>
      </c>
      <c r="B587" s="7">
        <v>0</v>
      </c>
      <c r="C587" s="7">
        <v>56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1</v>
      </c>
      <c r="K587" s="7">
        <v>57</v>
      </c>
      <c r="L587" t="b">
        <f t="shared" si="9"/>
        <v>1</v>
      </c>
    </row>
    <row r="588" spans="1:12" x14ac:dyDescent="0.25">
      <c r="A588" s="7" t="s">
        <v>1582</v>
      </c>
      <c r="B588" s="7">
        <v>0</v>
      </c>
      <c r="C588" s="7">
        <v>87</v>
      </c>
      <c r="D588" s="7">
        <v>0</v>
      </c>
      <c r="E588" s="7">
        <v>0</v>
      </c>
      <c r="F588" s="7">
        <v>0</v>
      </c>
      <c r="G588" s="7">
        <v>2</v>
      </c>
      <c r="H588" s="7">
        <v>0</v>
      </c>
      <c r="I588" s="7">
        <v>3</v>
      </c>
      <c r="J588" s="7">
        <v>0</v>
      </c>
      <c r="K588" s="7">
        <v>92</v>
      </c>
      <c r="L588" t="b">
        <f t="shared" si="9"/>
        <v>1</v>
      </c>
    </row>
    <row r="589" spans="1:12" x14ac:dyDescent="0.25">
      <c r="A589" s="7" t="s">
        <v>1583</v>
      </c>
      <c r="B589" s="7">
        <v>0</v>
      </c>
      <c r="C589" s="7">
        <v>65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3</v>
      </c>
      <c r="J589" s="7">
        <v>0</v>
      </c>
      <c r="K589" s="7">
        <v>68</v>
      </c>
      <c r="L589" t="b">
        <f t="shared" si="9"/>
        <v>1</v>
      </c>
    </row>
    <row r="590" spans="1:12" x14ac:dyDescent="0.25">
      <c r="A590" s="7" t="s">
        <v>1584</v>
      </c>
      <c r="B590" s="7">
        <v>0</v>
      </c>
      <c r="C590" s="7">
        <v>41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7">
        <v>42</v>
      </c>
      <c r="L590" t="b">
        <f t="shared" si="9"/>
        <v>1</v>
      </c>
    </row>
    <row r="591" spans="1:12" x14ac:dyDescent="0.25">
      <c r="A591" s="7" t="s">
        <v>1585</v>
      </c>
      <c r="B591" s="7">
        <v>0</v>
      </c>
      <c r="C591" s="7">
        <v>62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7">
        <v>63</v>
      </c>
      <c r="L591" t="b">
        <f t="shared" si="9"/>
        <v>1</v>
      </c>
    </row>
    <row r="592" spans="1:12" x14ac:dyDescent="0.25">
      <c r="A592" s="7" t="s">
        <v>1586</v>
      </c>
      <c r="B592" s="7">
        <v>0</v>
      </c>
      <c r="C592" s="7">
        <v>55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55</v>
      </c>
      <c r="L592" t="b">
        <f t="shared" si="9"/>
        <v>1</v>
      </c>
    </row>
    <row r="593" spans="1:12" x14ac:dyDescent="0.25">
      <c r="A593" s="7" t="s">
        <v>1587</v>
      </c>
      <c r="B593" s="7">
        <v>0</v>
      </c>
      <c r="C593" s="7">
        <v>46</v>
      </c>
      <c r="D593" s="7">
        <v>1</v>
      </c>
      <c r="E593" s="7">
        <v>0</v>
      </c>
      <c r="F593" s="7">
        <v>0</v>
      </c>
      <c r="G593" s="7">
        <v>0</v>
      </c>
      <c r="H593" s="7">
        <v>0</v>
      </c>
      <c r="I593" s="7">
        <v>8</v>
      </c>
      <c r="J593" s="7">
        <v>1</v>
      </c>
      <c r="K593" s="7">
        <v>56</v>
      </c>
      <c r="L593" t="b">
        <f t="shared" si="9"/>
        <v>1</v>
      </c>
    </row>
    <row r="594" spans="1:12" x14ac:dyDescent="0.25">
      <c r="A594" s="7" t="s">
        <v>1588</v>
      </c>
      <c r="B594" s="7">
        <v>0</v>
      </c>
      <c r="C594" s="7">
        <v>57</v>
      </c>
      <c r="D594" s="7">
        <v>1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7">
        <v>59</v>
      </c>
      <c r="L594" t="b">
        <f t="shared" si="9"/>
        <v>1</v>
      </c>
    </row>
    <row r="595" spans="1:12" x14ac:dyDescent="0.25">
      <c r="A595" s="7" t="s">
        <v>1589</v>
      </c>
      <c r="B595" s="7">
        <v>0</v>
      </c>
      <c r="C595" s="7">
        <v>47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47</v>
      </c>
      <c r="L595" t="b">
        <f t="shared" si="9"/>
        <v>1</v>
      </c>
    </row>
    <row r="596" spans="1:12" x14ac:dyDescent="0.25">
      <c r="A596" s="7" t="s">
        <v>1590</v>
      </c>
      <c r="B596" s="7">
        <v>0</v>
      </c>
      <c r="C596" s="7">
        <v>53</v>
      </c>
      <c r="D596" s="7">
        <v>2</v>
      </c>
      <c r="E596" s="7">
        <v>0</v>
      </c>
      <c r="F596" s="7">
        <v>0</v>
      </c>
      <c r="G596" s="7">
        <v>0</v>
      </c>
      <c r="H596" s="7">
        <v>0</v>
      </c>
      <c r="I596" s="7">
        <v>1</v>
      </c>
      <c r="J596" s="7">
        <v>0</v>
      </c>
      <c r="K596" s="7">
        <v>56</v>
      </c>
      <c r="L596" t="b">
        <f t="shared" si="9"/>
        <v>1</v>
      </c>
    </row>
    <row r="597" spans="1:12" x14ac:dyDescent="0.25">
      <c r="A597" s="7" t="s">
        <v>1591</v>
      </c>
      <c r="B597" s="7">
        <v>0</v>
      </c>
      <c r="C597" s="7">
        <v>109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4</v>
      </c>
      <c r="J597" s="7">
        <v>0</v>
      </c>
      <c r="K597" s="7">
        <v>113</v>
      </c>
      <c r="L597" t="b">
        <f t="shared" si="9"/>
        <v>1</v>
      </c>
    </row>
    <row r="598" spans="1:12" x14ac:dyDescent="0.25">
      <c r="A598" s="7" t="s">
        <v>1592</v>
      </c>
      <c r="B598" s="7">
        <v>0</v>
      </c>
      <c r="C598" s="7">
        <v>58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1</v>
      </c>
      <c r="J598" s="7">
        <v>1</v>
      </c>
      <c r="K598" s="7">
        <v>60</v>
      </c>
      <c r="L598" t="b">
        <f t="shared" si="9"/>
        <v>1</v>
      </c>
    </row>
    <row r="599" spans="1:12" x14ac:dyDescent="0.25">
      <c r="A599" s="7" t="s">
        <v>1593</v>
      </c>
      <c r="B599" s="7">
        <v>0</v>
      </c>
      <c r="C599" s="7">
        <v>71</v>
      </c>
      <c r="D599" s="7">
        <v>0</v>
      </c>
      <c r="E599" s="7">
        <v>0</v>
      </c>
      <c r="F599" s="7">
        <v>0</v>
      </c>
      <c r="G599" s="7">
        <v>1</v>
      </c>
      <c r="H599" s="7">
        <v>0</v>
      </c>
      <c r="I599" s="7">
        <v>1</v>
      </c>
      <c r="J599" s="7">
        <v>0</v>
      </c>
      <c r="K599" s="7">
        <v>73</v>
      </c>
      <c r="L599" t="b">
        <f t="shared" si="9"/>
        <v>1</v>
      </c>
    </row>
    <row r="600" spans="1:12" x14ac:dyDescent="0.25">
      <c r="A600" s="7" t="s">
        <v>1594</v>
      </c>
      <c r="B600" s="7">
        <v>0</v>
      </c>
      <c r="C600" s="7">
        <v>50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6</v>
      </c>
      <c r="J600" s="7">
        <v>0</v>
      </c>
      <c r="K600" s="7">
        <v>56</v>
      </c>
      <c r="L600" t="b">
        <f t="shared" si="9"/>
        <v>1</v>
      </c>
    </row>
    <row r="601" spans="1:12" x14ac:dyDescent="0.25">
      <c r="A601" s="7" t="s">
        <v>1595</v>
      </c>
      <c r="B601" s="7">
        <v>0</v>
      </c>
      <c r="C601" s="7">
        <v>47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2</v>
      </c>
      <c r="J601" s="7">
        <v>0</v>
      </c>
      <c r="K601" s="7">
        <v>49</v>
      </c>
      <c r="L601" t="b">
        <f t="shared" si="9"/>
        <v>1</v>
      </c>
    </row>
    <row r="602" spans="1:12" x14ac:dyDescent="0.25">
      <c r="A602" s="7" t="s">
        <v>1596</v>
      </c>
      <c r="B602" s="7">
        <v>0</v>
      </c>
      <c r="C602" s="7">
        <v>40</v>
      </c>
      <c r="D602" s="7">
        <v>0</v>
      </c>
      <c r="E602" s="7">
        <v>0</v>
      </c>
      <c r="F602" s="7">
        <v>0</v>
      </c>
      <c r="G602" s="7">
        <v>1</v>
      </c>
      <c r="H602" s="7">
        <v>0</v>
      </c>
      <c r="I602" s="7">
        <v>3</v>
      </c>
      <c r="J602" s="7">
        <v>0</v>
      </c>
      <c r="K602" s="7">
        <v>44</v>
      </c>
      <c r="L602" t="b">
        <f t="shared" si="9"/>
        <v>1</v>
      </c>
    </row>
    <row r="603" spans="1:12" x14ac:dyDescent="0.25">
      <c r="A603" s="7" t="s">
        <v>1597</v>
      </c>
      <c r="B603" s="7">
        <v>0</v>
      </c>
      <c r="C603" s="7">
        <v>47</v>
      </c>
      <c r="D603" s="7">
        <v>0</v>
      </c>
      <c r="E603" s="7">
        <v>0</v>
      </c>
      <c r="F603" s="7">
        <v>0</v>
      </c>
      <c r="G603" s="7">
        <v>1</v>
      </c>
      <c r="H603" s="7">
        <v>0</v>
      </c>
      <c r="I603" s="7">
        <v>2</v>
      </c>
      <c r="J603" s="7">
        <v>0</v>
      </c>
      <c r="K603" s="7">
        <v>50</v>
      </c>
      <c r="L603" t="b">
        <f t="shared" si="9"/>
        <v>1</v>
      </c>
    </row>
    <row r="604" spans="1:12" x14ac:dyDescent="0.25">
      <c r="A604" s="7" t="s">
        <v>1598</v>
      </c>
      <c r="B604" s="7">
        <v>0</v>
      </c>
      <c r="C604" s="7">
        <v>29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1</v>
      </c>
      <c r="J604" s="7">
        <v>0</v>
      </c>
      <c r="K604" s="7">
        <v>30</v>
      </c>
      <c r="L604" t="b">
        <f t="shared" si="9"/>
        <v>1</v>
      </c>
    </row>
    <row r="605" spans="1:12" x14ac:dyDescent="0.25">
      <c r="A605" s="7" t="s">
        <v>1599</v>
      </c>
      <c r="B605" s="7">
        <v>0</v>
      </c>
      <c r="C605" s="7">
        <v>31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1</v>
      </c>
      <c r="J605" s="7">
        <v>0</v>
      </c>
      <c r="K605" s="7">
        <v>32</v>
      </c>
      <c r="L605" t="b">
        <f t="shared" si="9"/>
        <v>1</v>
      </c>
    </row>
    <row r="606" spans="1:12" x14ac:dyDescent="0.25">
      <c r="A606" s="7" t="s">
        <v>1600</v>
      </c>
      <c r="B606" s="7">
        <v>0</v>
      </c>
      <c r="C606" s="7">
        <v>44</v>
      </c>
      <c r="D606" s="7">
        <v>0</v>
      </c>
      <c r="E606" s="7">
        <v>0</v>
      </c>
      <c r="F606" s="7">
        <v>0</v>
      </c>
      <c r="G606" s="7">
        <v>2</v>
      </c>
      <c r="H606" s="7">
        <v>0</v>
      </c>
      <c r="I606" s="7">
        <v>5</v>
      </c>
      <c r="J606" s="7">
        <v>0</v>
      </c>
      <c r="K606" s="7">
        <v>51</v>
      </c>
      <c r="L606" t="b">
        <f t="shared" si="9"/>
        <v>1</v>
      </c>
    </row>
    <row r="607" spans="1:12" x14ac:dyDescent="0.25">
      <c r="A607" s="7" t="s">
        <v>1601</v>
      </c>
      <c r="B607" s="7">
        <v>0</v>
      </c>
      <c r="C607" s="7">
        <v>57</v>
      </c>
      <c r="D607" s="7">
        <v>0</v>
      </c>
      <c r="E607" s="7">
        <v>0</v>
      </c>
      <c r="F607" s="7">
        <v>0</v>
      </c>
      <c r="G607" s="7">
        <v>5</v>
      </c>
      <c r="H607" s="7">
        <v>0</v>
      </c>
      <c r="I607" s="7">
        <v>0</v>
      </c>
      <c r="J607" s="7">
        <v>0</v>
      </c>
      <c r="K607" s="7">
        <v>62</v>
      </c>
      <c r="L607" t="b">
        <f t="shared" si="9"/>
        <v>1</v>
      </c>
    </row>
    <row r="608" spans="1:12" x14ac:dyDescent="0.25">
      <c r="A608" s="7" t="s">
        <v>1602</v>
      </c>
      <c r="B608" s="7">
        <v>0</v>
      </c>
      <c r="C608" s="7">
        <v>57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1</v>
      </c>
      <c r="J608" s="7">
        <v>0</v>
      </c>
      <c r="K608" s="7">
        <v>58</v>
      </c>
      <c r="L608" t="b">
        <f t="shared" si="9"/>
        <v>1</v>
      </c>
    </row>
    <row r="609" spans="1:12" x14ac:dyDescent="0.25">
      <c r="A609" s="7" t="s">
        <v>1603</v>
      </c>
      <c r="B609" s="7">
        <v>0</v>
      </c>
      <c r="C609" s="7">
        <v>41</v>
      </c>
      <c r="D609" s="7">
        <v>0</v>
      </c>
      <c r="E609" s="7">
        <v>0</v>
      </c>
      <c r="F609" s="7">
        <v>0</v>
      </c>
      <c r="G609" s="7">
        <v>1</v>
      </c>
      <c r="H609" s="7">
        <v>0</v>
      </c>
      <c r="I609" s="7">
        <v>3</v>
      </c>
      <c r="J609" s="7">
        <v>0</v>
      </c>
      <c r="K609" s="7">
        <v>45</v>
      </c>
      <c r="L609" t="b">
        <f t="shared" si="9"/>
        <v>1</v>
      </c>
    </row>
    <row r="610" spans="1:12" x14ac:dyDescent="0.25">
      <c r="A610" s="7" t="s">
        <v>1604</v>
      </c>
      <c r="B610" s="7">
        <v>0</v>
      </c>
      <c r="C610" s="7">
        <v>59</v>
      </c>
      <c r="D610" s="7">
        <v>0</v>
      </c>
      <c r="E610" s="7">
        <v>0</v>
      </c>
      <c r="F610" s="7">
        <v>0</v>
      </c>
      <c r="G610" s="7">
        <v>1</v>
      </c>
      <c r="H610" s="7">
        <v>0</v>
      </c>
      <c r="I610" s="7">
        <v>0</v>
      </c>
      <c r="J610" s="7">
        <v>0</v>
      </c>
      <c r="K610" s="7">
        <v>60</v>
      </c>
      <c r="L610" t="b">
        <f t="shared" si="9"/>
        <v>1</v>
      </c>
    </row>
    <row r="611" spans="1:12" x14ac:dyDescent="0.25">
      <c r="A611" s="7" t="s">
        <v>1605</v>
      </c>
      <c r="B611" s="7">
        <v>0</v>
      </c>
      <c r="C611" s="7">
        <v>67</v>
      </c>
      <c r="D611" s="7">
        <v>0</v>
      </c>
      <c r="E611" s="7">
        <v>0</v>
      </c>
      <c r="F611" s="7">
        <v>4</v>
      </c>
      <c r="G611" s="7">
        <v>0</v>
      </c>
      <c r="H611" s="7">
        <v>0</v>
      </c>
      <c r="I611" s="7">
        <v>0</v>
      </c>
      <c r="J611" s="7">
        <v>0</v>
      </c>
      <c r="K611" s="7">
        <v>71</v>
      </c>
      <c r="L611" t="b">
        <f t="shared" si="9"/>
        <v>1</v>
      </c>
    </row>
    <row r="612" spans="1:12" x14ac:dyDescent="0.25">
      <c r="A612" s="7" t="s">
        <v>1606</v>
      </c>
      <c r="B612" s="7">
        <v>0</v>
      </c>
      <c r="C612" s="7">
        <v>40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1</v>
      </c>
      <c r="K612" s="7">
        <v>41</v>
      </c>
      <c r="L612" t="b">
        <f t="shared" si="9"/>
        <v>1</v>
      </c>
    </row>
    <row r="613" spans="1:12" x14ac:dyDescent="0.25">
      <c r="A613" s="7" t="s">
        <v>1607</v>
      </c>
      <c r="B613" s="7">
        <v>0</v>
      </c>
      <c r="C613" s="7">
        <v>64</v>
      </c>
      <c r="D613" s="7">
        <v>0</v>
      </c>
      <c r="E613" s="7">
        <v>0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7">
        <v>65</v>
      </c>
      <c r="L613" t="b">
        <f t="shared" si="9"/>
        <v>1</v>
      </c>
    </row>
    <row r="614" spans="1:12" x14ac:dyDescent="0.25">
      <c r="A614" s="7" t="s">
        <v>1608</v>
      </c>
      <c r="B614" s="7">
        <v>0</v>
      </c>
      <c r="C614" s="7">
        <v>48</v>
      </c>
      <c r="D614" s="7">
        <v>0</v>
      </c>
      <c r="E614" s="7">
        <v>0</v>
      </c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7">
        <v>49</v>
      </c>
      <c r="L614" t="b">
        <f t="shared" si="9"/>
        <v>1</v>
      </c>
    </row>
    <row r="615" spans="1:12" x14ac:dyDescent="0.25">
      <c r="A615" s="7" t="s">
        <v>1609</v>
      </c>
      <c r="B615" s="7">
        <v>0</v>
      </c>
      <c r="C615" s="7">
        <v>56</v>
      </c>
      <c r="D615" s="7">
        <v>0</v>
      </c>
      <c r="E615" s="7">
        <v>0</v>
      </c>
      <c r="F615" s="7">
        <v>0</v>
      </c>
      <c r="G615" s="7">
        <v>1</v>
      </c>
      <c r="H615" s="7">
        <v>0</v>
      </c>
      <c r="I615" s="7">
        <v>0</v>
      </c>
      <c r="J615" s="7">
        <v>0</v>
      </c>
      <c r="K615" s="7">
        <v>57</v>
      </c>
      <c r="L615" t="b">
        <f t="shared" si="9"/>
        <v>1</v>
      </c>
    </row>
    <row r="616" spans="1:12" x14ac:dyDescent="0.25">
      <c r="A616" s="7" t="s">
        <v>1610</v>
      </c>
      <c r="B616" s="7">
        <v>0</v>
      </c>
      <c r="C616" s="7">
        <v>75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75</v>
      </c>
      <c r="L616" t="b">
        <f t="shared" si="9"/>
        <v>1</v>
      </c>
    </row>
    <row r="617" spans="1:12" x14ac:dyDescent="0.25">
      <c r="A617" s="7" t="s">
        <v>1611</v>
      </c>
      <c r="B617" s="7">
        <v>0</v>
      </c>
      <c r="C617" s="7">
        <v>67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67</v>
      </c>
      <c r="L617" t="b">
        <f t="shared" si="9"/>
        <v>1</v>
      </c>
    </row>
    <row r="618" spans="1:12" x14ac:dyDescent="0.25">
      <c r="A618" s="7" t="s">
        <v>1612</v>
      </c>
      <c r="B618" s="7">
        <v>0</v>
      </c>
      <c r="C618" s="7">
        <v>76</v>
      </c>
      <c r="D618" s="7">
        <v>0</v>
      </c>
      <c r="E618" s="7">
        <v>0</v>
      </c>
      <c r="F618" s="7">
        <v>0</v>
      </c>
      <c r="G618" s="7">
        <v>2</v>
      </c>
      <c r="H618" s="7">
        <v>0</v>
      </c>
      <c r="I618" s="7">
        <v>0</v>
      </c>
      <c r="J618" s="7">
        <v>0</v>
      </c>
      <c r="K618" s="7">
        <v>78</v>
      </c>
      <c r="L618" t="b">
        <f t="shared" si="9"/>
        <v>1</v>
      </c>
    </row>
    <row r="619" spans="1:12" x14ac:dyDescent="0.25">
      <c r="A619" s="7" t="s">
        <v>1613</v>
      </c>
      <c r="B619" s="7">
        <v>0</v>
      </c>
      <c r="C619" s="7">
        <v>78</v>
      </c>
      <c r="D619" s="7">
        <v>2</v>
      </c>
      <c r="E619" s="7">
        <v>0</v>
      </c>
      <c r="F619" s="7">
        <v>2</v>
      </c>
      <c r="G619" s="7">
        <v>0</v>
      </c>
      <c r="H619" s="7">
        <v>0</v>
      </c>
      <c r="I619" s="7">
        <v>0</v>
      </c>
      <c r="J619" s="7">
        <v>0</v>
      </c>
      <c r="K619" s="7">
        <v>82</v>
      </c>
      <c r="L619" t="b">
        <f t="shared" si="9"/>
        <v>1</v>
      </c>
    </row>
    <row r="620" spans="1:12" x14ac:dyDescent="0.25">
      <c r="A620" s="7" t="s">
        <v>1614</v>
      </c>
      <c r="B620" s="7">
        <v>0</v>
      </c>
      <c r="C620" s="7">
        <v>50</v>
      </c>
      <c r="D620" s="7">
        <v>0</v>
      </c>
      <c r="E620" s="7">
        <v>0</v>
      </c>
      <c r="F620" s="7">
        <v>1</v>
      </c>
      <c r="G620" s="7">
        <v>0</v>
      </c>
      <c r="H620" s="7">
        <v>0</v>
      </c>
      <c r="I620" s="7">
        <v>23</v>
      </c>
      <c r="J620" s="7">
        <v>0</v>
      </c>
      <c r="K620" s="7">
        <v>74</v>
      </c>
      <c r="L620" t="b">
        <f t="shared" si="9"/>
        <v>1</v>
      </c>
    </row>
    <row r="621" spans="1:12" x14ac:dyDescent="0.25">
      <c r="A621" s="7" t="s">
        <v>1615</v>
      </c>
      <c r="B621" s="7">
        <v>0</v>
      </c>
      <c r="C621" s="7">
        <v>38</v>
      </c>
      <c r="D621" s="7">
        <v>0</v>
      </c>
      <c r="E621" s="7">
        <v>0</v>
      </c>
      <c r="F621" s="7">
        <v>0</v>
      </c>
      <c r="G621" s="7">
        <v>1</v>
      </c>
      <c r="H621" s="7">
        <v>0</v>
      </c>
      <c r="I621" s="7">
        <v>13</v>
      </c>
      <c r="J621" s="7">
        <v>0</v>
      </c>
      <c r="K621" s="7">
        <v>52</v>
      </c>
      <c r="L621" t="b">
        <f t="shared" si="9"/>
        <v>1</v>
      </c>
    </row>
    <row r="622" spans="1:12" x14ac:dyDescent="0.25">
      <c r="A622" s="7" t="s">
        <v>1616</v>
      </c>
      <c r="B622" s="7">
        <v>0</v>
      </c>
      <c r="C622" s="7">
        <v>50</v>
      </c>
      <c r="D622" s="7">
        <v>0</v>
      </c>
      <c r="E622" s="7">
        <v>0</v>
      </c>
      <c r="F622" s="7">
        <v>1</v>
      </c>
      <c r="G622" s="7">
        <v>0</v>
      </c>
      <c r="H622" s="7">
        <v>0</v>
      </c>
      <c r="I622" s="7">
        <v>12</v>
      </c>
      <c r="J622" s="7">
        <v>0</v>
      </c>
      <c r="K622" s="7">
        <v>63</v>
      </c>
      <c r="L622" t="b">
        <f t="shared" si="9"/>
        <v>1</v>
      </c>
    </row>
    <row r="623" spans="1:12" x14ac:dyDescent="0.25">
      <c r="A623" s="7" t="s">
        <v>1617</v>
      </c>
      <c r="B623" s="7">
        <v>0</v>
      </c>
      <c r="C623" s="7">
        <v>49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50</v>
      </c>
      <c r="J623" s="7">
        <v>1</v>
      </c>
      <c r="K623" s="7">
        <v>100</v>
      </c>
      <c r="L623" t="b">
        <f t="shared" si="9"/>
        <v>1</v>
      </c>
    </row>
    <row r="624" spans="1:12" x14ac:dyDescent="0.25">
      <c r="A624" s="7" t="s">
        <v>1618</v>
      </c>
      <c r="B624" s="7">
        <v>0</v>
      </c>
      <c r="C624" s="7">
        <v>50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50</v>
      </c>
      <c r="L624" t="b">
        <f t="shared" si="9"/>
        <v>1</v>
      </c>
    </row>
    <row r="625" spans="1:12" x14ac:dyDescent="0.25">
      <c r="A625" s="7" t="s">
        <v>1619</v>
      </c>
      <c r="B625" s="7">
        <v>0</v>
      </c>
      <c r="C625" s="7">
        <v>107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19</v>
      </c>
      <c r="J625" s="7">
        <v>0</v>
      </c>
      <c r="K625" s="7">
        <v>126</v>
      </c>
      <c r="L625" t="b">
        <f t="shared" si="9"/>
        <v>1</v>
      </c>
    </row>
    <row r="626" spans="1:12" x14ac:dyDescent="0.25">
      <c r="A626" s="7" t="s">
        <v>1620</v>
      </c>
      <c r="B626" s="7">
        <v>0</v>
      </c>
      <c r="C626" s="7">
        <v>74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7</v>
      </c>
      <c r="J626" s="7">
        <v>2</v>
      </c>
      <c r="K626" s="7">
        <v>83</v>
      </c>
      <c r="L626" t="b">
        <f t="shared" si="9"/>
        <v>1</v>
      </c>
    </row>
    <row r="627" spans="1:12" x14ac:dyDescent="0.25">
      <c r="A627" s="7" t="s">
        <v>1621</v>
      </c>
      <c r="B627" s="7">
        <v>0</v>
      </c>
      <c r="C627" s="7">
        <v>47</v>
      </c>
      <c r="D627" s="7">
        <v>0</v>
      </c>
      <c r="E627" s="7">
        <v>0</v>
      </c>
      <c r="F627" s="7">
        <v>0</v>
      </c>
      <c r="G627" s="7">
        <v>1</v>
      </c>
      <c r="H627" s="7">
        <v>0</v>
      </c>
      <c r="I627" s="7">
        <v>0</v>
      </c>
      <c r="J627" s="7">
        <v>2</v>
      </c>
      <c r="K627" s="7">
        <v>50</v>
      </c>
      <c r="L627" t="b">
        <f t="shared" si="9"/>
        <v>1</v>
      </c>
    </row>
    <row r="628" spans="1:12" x14ac:dyDescent="0.25">
      <c r="A628" s="7" t="s">
        <v>1622</v>
      </c>
      <c r="B628" s="7">
        <v>0</v>
      </c>
      <c r="C628" s="7">
        <v>49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14</v>
      </c>
      <c r="K628" s="7">
        <v>63</v>
      </c>
      <c r="L628" t="b">
        <f t="shared" si="9"/>
        <v>1</v>
      </c>
    </row>
    <row r="629" spans="1:12" x14ac:dyDescent="0.25">
      <c r="A629" s="7" t="s">
        <v>1623</v>
      </c>
      <c r="B629" s="7">
        <v>0</v>
      </c>
      <c r="C629" s="7">
        <v>67</v>
      </c>
      <c r="D629" s="7">
        <v>0</v>
      </c>
      <c r="E629" s="7">
        <v>0</v>
      </c>
      <c r="F629" s="7">
        <v>0</v>
      </c>
      <c r="G629" s="7">
        <v>5</v>
      </c>
      <c r="H629" s="7">
        <v>0</v>
      </c>
      <c r="I629" s="7">
        <v>0</v>
      </c>
      <c r="J629" s="7">
        <v>0</v>
      </c>
      <c r="K629" s="7">
        <v>72</v>
      </c>
      <c r="L629" t="b">
        <f t="shared" si="9"/>
        <v>1</v>
      </c>
    </row>
    <row r="630" spans="1:12" x14ac:dyDescent="0.25">
      <c r="A630" s="7" t="s">
        <v>1624</v>
      </c>
      <c r="B630" s="7">
        <v>0</v>
      </c>
      <c r="C630" s="7">
        <v>43</v>
      </c>
      <c r="D630" s="7">
        <v>0</v>
      </c>
      <c r="E630" s="7">
        <v>0</v>
      </c>
      <c r="F630" s="7">
        <v>0</v>
      </c>
      <c r="G630" s="7">
        <v>3</v>
      </c>
      <c r="H630" s="7">
        <v>0</v>
      </c>
      <c r="I630" s="7">
        <v>0</v>
      </c>
      <c r="J630" s="7">
        <v>0</v>
      </c>
      <c r="K630" s="7">
        <v>46</v>
      </c>
      <c r="L630" t="b">
        <f t="shared" si="9"/>
        <v>1</v>
      </c>
    </row>
    <row r="631" spans="1:12" x14ac:dyDescent="0.25">
      <c r="A631" s="7" t="s">
        <v>1625</v>
      </c>
      <c r="B631" s="7">
        <v>0</v>
      </c>
      <c r="C631" s="7">
        <v>34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34</v>
      </c>
      <c r="L631" t="b">
        <f t="shared" si="9"/>
        <v>1</v>
      </c>
    </row>
    <row r="632" spans="1:12" x14ac:dyDescent="0.25">
      <c r="A632" s="7" t="s">
        <v>1626</v>
      </c>
      <c r="B632" s="7">
        <v>0</v>
      </c>
      <c r="C632" s="7">
        <v>47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47</v>
      </c>
      <c r="L632" t="b">
        <f t="shared" si="9"/>
        <v>1</v>
      </c>
    </row>
    <row r="633" spans="1:12" x14ac:dyDescent="0.25">
      <c r="A633" s="7" t="s">
        <v>1627</v>
      </c>
      <c r="B633" s="7">
        <v>0</v>
      </c>
      <c r="C633" s="7">
        <v>40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40</v>
      </c>
      <c r="L633" t="b">
        <f t="shared" si="9"/>
        <v>1</v>
      </c>
    </row>
    <row r="634" spans="1:12" x14ac:dyDescent="0.25">
      <c r="A634" s="7" t="s">
        <v>1628</v>
      </c>
      <c r="B634" s="7">
        <v>0</v>
      </c>
      <c r="C634" s="7">
        <v>48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1</v>
      </c>
      <c r="K634" s="7">
        <v>49</v>
      </c>
      <c r="L634" t="b">
        <f t="shared" si="9"/>
        <v>1</v>
      </c>
    </row>
    <row r="635" spans="1:12" x14ac:dyDescent="0.25">
      <c r="A635" s="7" t="s">
        <v>1629</v>
      </c>
      <c r="B635" s="7">
        <v>0</v>
      </c>
      <c r="C635" s="7">
        <v>41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41</v>
      </c>
      <c r="L635" t="b">
        <f t="shared" si="9"/>
        <v>1</v>
      </c>
    </row>
    <row r="636" spans="1:12" x14ac:dyDescent="0.25">
      <c r="A636" s="7" t="s">
        <v>1630</v>
      </c>
      <c r="B636" s="7">
        <v>0</v>
      </c>
      <c r="C636" s="7">
        <v>60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60</v>
      </c>
      <c r="L636" t="b">
        <f t="shared" si="9"/>
        <v>1</v>
      </c>
    </row>
    <row r="637" spans="1:12" x14ac:dyDescent="0.25">
      <c r="A637" s="7" t="s">
        <v>1631</v>
      </c>
      <c r="B637" s="7">
        <v>0</v>
      </c>
      <c r="C637" s="7">
        <v>164</v>
      </c>
      <c r="D637" s="7">
        <v>4</v>
      </c>
      <c r="E637" s="7">
        <v>0</v>
      </c>
      <c r="F637" s="7">
        <v>1</v>
      </c>
      <c r="G637" s="7">
        <v>0</v>
      </c>
      <c r="H637" s="7">
        <v>0</v>
      </c>
      <c r="I637" s="7">
        <v>0</v>
      </c>
      <c r="J637" s="7">
        <v>0</v>
      </c>
      <c r="K637" s="7">
        <v>169</v>
      </c>
      <c r="L637" t="b">
        <f t="shared" si="9"/>
        <v>1</v>
      </c>
    </row>
    <row r="638" spans="1:12" x14ac:dyDescent="0.25">
      <c r="A638" s="7" t="s">
        <v>1632</v>
      </c>
      <c r="B638" s="7">
        <v>0</v>
      </c>
      <c r="C638" s="7">
        <v>95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1</v>
      </c>
      <c r="K638" s="7">
        <v>96</v>
      </c>
      <c r="L638" t="b">
        <f t="shared" si="9"/>
        <v>1</v>
      </c>
    </row>
    <row r="639" spans="1:12" x14ac:dyDescent="0.25">
      <c r="A639" s="7" t="s">
        <v>1633</v>
      </c>
      <c r="B639" s="7">
        <v>0</v>
      </c>
      <c r="C639" s="7">
        <v>71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71</v>
      </c>
      <c r="L639" t="b">
        <f t="shared" si="9"/>
        <v>1</v>
      </c>
    </row>
    <row r="640" spans="1:12" x14ac:dyDescent="0.25">
      <c r="A640" s="7" t="s">
        <v>1634</v>
      </c>
      <c r="B640" s="7">
        <v>0</v>
      </c>
      <c r="C640" s="7">
        <v>64</v>
      </c>
      <c r="D640" s="7">
        <v>0</v>
      </c>
      <c r="E640" s="7">
        <v>0</v>
      </c>
      <c r="F640" s="7">
        <v>0</v>
      </c>
      <c r="G640" s="7">
        <v>1</v>
      </c>
      <c r="H640" s="7">
        <v>0</v>
      </c>
      <c r="I640" s="7">
        <v>0</v>
      </c>
      <c r="J640" s="7">
        <v>0</v>
      </c>
      <c r="K640" s="7">
        <v>65</v>
      </c>
      <c r="L640" t="b">
        <f t="shared" si="9"/>
        <v>1</v>
      </c>
    </row>
    <row r="641" spans="1:12" x14ac:dyDescent="0.25">
      <c r="A641" s="7" t="s">
        <v>1635</v>
      </c>
      <c r="B641" s="7">
        <v>0</v>
      </c>
      <c r="C641" s="7">
        <v>56</v>
      </c>
      <c r="D641" s="7">
        <v>1</v>
      </c>
      <c r="E641" s="7">
        <v>0</v>
      </c>
      <c r="F641" s="7">
        <v>0</v>
      </c>
      <c r="G641" s="7">
        <v>1</v>
      </c>
      <c r="H641" s="7">
        <v>0</v>
      </c>
      <c r="I641" s="7">
        <v>0</v>
      </c>
      <c r="J641" s="7">
        <v>0</v>
      </c>
      <c r="K641" s="7">
        <v>58</v>
      </c>
      <c r="L641" t="b">
        <f t="shared" si="9"/>
        <v>1</v>
      </c>
    </row>
    <row r="642" spans="1:12" x14ac:dyDescent="0.25">
      <c r="A642" s="7" t="s">
        <v>1636</v>
      </c>
      <c r="B642" s="7">
        <v>0</v>
      </c>
      <c r="C642" s="7">
        <v>111</v>
      </c>
      <c r="D642" s="7">
        <v>2</v>
      </c>
      <c r="E642" s="7">
        <v>0</v>
      </c>
      <c r="F642" s="7">
        <v>0</v>
      </c>
      <c r="G642" s="7">
        <v>1</v>
      </c>
      <c r="H642" s="7">
        <v>0</v>
      </c>
      <c r="I642" s="7">
        <v>0</v>
      </c>
      <c r="J642" s="7">
        <v>0</v>
      </c>
      <c r="K642" s="7">
        <v>114</v>
      </c>
      <c r="L642" t="b">
        <f t="shared" si="9"/>
        <v>1</v>
      </c>
    </row>
    <row r="643" spans="1:12" x14ac:dyDescent="0.25">
      <c r="A643" s="7" t="s">
        <v>1637</v>
      </c>
      <c r="B643" s="7">
        <v>0</v>
      </c>
      <c r="C643" s="7">
        <v>75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3</v>
      </c>
      <c r="J643" s="7">
        <v>0</v>
      </c>
      <c r="K643" s="7">
        <v>78</v>
      </c>
      <c r="L643" t="b">
        <f t="shared" ref="L643:L706" si="10">K643=SUM(B643:J643)</f>
        <v>1</v>
      </c>
    </row>
    <row r="644" spans="1:12" x14ac:dyDescent="0.25">
      <c r="A644" s="7" t="s">
        <v>1638</v>
      </c>
      <c r="B644" s="7">
        <v>0</v>
      </c>
      <c r="C644" s="7">
        <v>85</v>
      </c>
      <c r="D644" s="7">
        <v>0</v>
      </c>
      <c r="E644" s="7">
        <v>0</v>
      </c>
      <c r="F644" s="7">
        <v>0</v>
      </c>
      <c r="G644" s="7">
        <v>1</v>
      </c>
      <c r="H644" s="7">
        <v>0</v>
      </c>
      <c r="I644" s="7">
        <v>1</v>
      </c>
      <c r="J644" s="7">
        <v>0</v>
      </c>
      <c r="K644" s="7">
        <v>87</v>
      </c>
      <c r="L644" t="b">
        <f t="shared" si="10"/>
        <v>1</v>
      </c>
    </row>
    <row r="645" spans="1:12" x14ac:dyDescent="0.25">
      <c r="A645" s="7" t="s">
        <v>1639</v>
      </c>
      <c r="B645" s="7">
        <v>0</v>
      </c>
      <c r="C645" s="7">
        <v>92</v>
      </c>
      <c r="D645" s="7">
        <v>0</v>
      </c>
      <c r="E645" s="7">
        <v>0</v>
      </c>
      <c r="F645" s="7">
        <v>0</v>
      </c>
      <c r="G645" s="7">
        <v>1</v>
      </c>
      <c r="H645" s="7">
        <v>0</v>
      </c>
      <c r="I645" s="7">
        <v>7</v>
      </c>
      <c r="J645" s="7">
        <v>0</v>
      </c>
      <c r="K645" s="7">
        <v>100</v>
      </c>
      <c r="L645" t="b">
        <f t="shared" si="10"/>
        <v>1</v>
      </c>
    </row>
    <row r="646" spans="1:12" x14ac:dyDescent="0.25">
      <c r="A646" s="7" t="s">
        <v>1640</v>
      </c>
      <c r="B646" s="7">
        <v>0</v>
      </c>
      <c r="C646" s="7">
        <v>99</v>
      </c>
      <c r="D646" s="7">
        <v>0</v>
      </c>
      <c r="E646" s="7">
        <v>0</v>
      </c>
      <c r="F646" s="7">
        <v>0</v>
      </c>
      <c r="G646" s="7">
        <v>3</v>
      </c>
      <c r="H646" s="7">
        <v>0</v>
      </c>
      <c r="I646" s="7">
        <v>0</v>
      </c>
      <c r="J646" s="7">
        <v>0</v>
      </c>
      <c r="K646" s="7">
        <v>102</v>
      </c>
      <c r="L646" t="b">
        <f t="shared" si="10"/>
        <v>1</v>
      </c>
    </row>
    <row r="647" spans="1:12" x14ac:dyDescent="0.25">
      <c r="A647" s="7" t="s">
        <v>1641</v>
      </c>
      <c r="B647" s="7">
        <v>0</v>
      </c>
      <c r="C647" s="7">
        <v>124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124</v>
      </c>
      <c r="L647" t="b">
        <f t="shared" si="10"/>
        <v>1</v>
      </c>
    </row>
    <row r="648" spans="1:12" x14ac:dyDescent="0.25">
      <c r="A648" s="7" t="s">
        <v>1642</v>
      </c>
      <c r="B648" s="7">
        <v>0</v>
      </c>
      <c r="C648" s="7">
        <v>133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7">
        <v>135</v>
      </c>
      <c r="L648" t="b">
        <f t="shared" si="10"/>
        <v>1</v>
      </c>
    </row>
    <row r="649" spans="1:12" x14ac:dyDescent="0.25">
      <c r="A649" s="7" t="s">
        <v>1643</v>
      </c>
      <c r="B649" s="7">
        <v>0</v>
      </c>
      <c r="C649" s="7">
        <v>81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1</v>
      </c>
      <c r="J649" s="7">
        <v>0</v>
      </c>
      <c r="K649" s="7">
        <v>82</v>
      </c>
      <c r="L649" t="b">
        <f t="shared" si="10"/>
        <v>1</v>
      </c>
    </row>
    <row r="650" spans="1:12" x14ac:dyDescent="0.25">
      <c r="A650" s="7" t="s">
        <v>1644</v>
      </c>
      <c r="B650" s="7">
        <v>0</v>
      </c>
      <c r="C650" s="7">
        <v>57</v>
      </c>
      <c r="D650" s="7">
        <v>0</v>
      </c>
      <c r="E650" s="7">
        <v>0</v>
      </c>
      <c r="F650" s="7">
        <v>0</v>
      </c>
      <c r="G650" s="7">
        <v>1</v>
      </c>
      <c r="H650" s="7">
        <v>0</v>
      </c>
      <c r="I650" s="7">
        <v>3</v>
      </c>
      <c r="J650" s="7">
        <v>0</v>
      </c>
      <c r="K650" s="7">
        <v>61</v>
      </c>
      <c r="L650" t="b">
        <f t="shared" si="10"/>
        <v>1</v>
      </c>
    </row>
    <row r="651" spans="1:12" x14ac:dyDescent="0.25">
      <c r="A651" s="7" t="s">
        <v>1645</v>
      </c>
      <c r="B651" s="7">
        <v>0</v>
      </c>
      <c r="C651" s="7">
        <v>56</v>
      </c>
      <c r="D651" s="7">
        <v>0</v>
      </c>
      <c r="E651" s="7">
        <v>0</v>
      </c>
      <c r="F651" s="7">
        <v>0</v>
      </c>
      <c r="G651" s="7">
        <v>1</v>
      </c>
      <c r="H651" s="7">
        <v>0</v>
      </c>
      <c r="I651" s="7">
        <v>0</v>
      </c>
      <c r="J651" s="7">
        <v>0</v>
      </c>
      <c r="K651" s="7">
        <v>57</v>
      </c>
      <c r="L651" t="b">
        <f t="shared" si="10"/>
        <v>1</v>
      </c>
    </row>
    <row r="652" spans="1:12" x14ac:dyDescent="0.25">
      <c r="A652" s="7" t="s">
        <v>1646</v>
      </c>
      <c r="B652" s="7">
        <v>0</v>
      </c>
      <c r="C652" s="7">
        <v>79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79</v>
      </c>
      <c r="L652" t="b">
        <f t="shared" si="10"/>
        <v>1</v>
      </c>
    </row>
    <row r="653" spans="1:12" x14ac:dyDescent="0.25">
      <c r="A653" s="7" t="s">
        <v>1647</v>
      </c>
      <c r="B653" s="7">
        <v>0</v>
      </c>
      <c r="C653" s="7">
        <v>63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63</v>
      </c>
      <c r="L653" t="b">
        <f t="shared" si="10"/>
        <v>1</v>
      </c>
    </row>
    <row r="654" spans="1:12" x14ac:dyDescent="0.25">
      <c r="A654" s="7" t="s">
        <v>1648</v>
      </c>
      <c r="B654" s="7">
        <v>0</v>
      </c>
      <c r="C654" s="7">
        <v>58</v>
      </c>
      <c r="D654" s="7">
        <v>0</v>
      </c>
      <c r="E654" s="7">
        <v>0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58</v>
      </c>
      <c r="L654" t="b">
        <f t="shared" si="10"/>
        <v>1</v>
      </c>
    </row>
    <row r="655" spans="1:12" x14ac:dyDescent="0.25">
      <c r="A655" s="7" t="s">
        <v>1649</v>
      </c>
      <c r="B655" s="7">
        <v>0</v>
      </c>
      <c r="C655" s="7">
        <v>49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49</v>
      </c>
      <c r="L655" t="b">
        <f t="shared" si="10"/>
        <v>1</v>
      </c>
    </row>
    <row r="656" spans="1:12" x14ac:dyDescent="0.25">
      <c r="A656" s="7" t="s">
        <v>1650</v>
      </c>
      <c r="B656" s="7">
        <v>0</v>
      </c>
      <c r="C656" s="7">
        <v>53</v>
      </c>
      <c r="D656" s="7">
        <v>0</v>
      </c>
      <c r="E656" s="7">
        <v>0</v>
      </c>
      <c r="F656" s="7">
        <v>0</v>
      </c>
      <c r="G656" s="7">
        <v>6</v>
      </c>
      <c r="H656" s="7">
        <v>0</v>
      </c>
      <c r="I656" s="7">
        <v>2</v>
      </c>
      <c r="J656" s="7">
        <v>0</v>
      </c>
      <c r="K656" s="7">
        <v>61</v>
      </c>
      <c r="L656" t="b">
        <f t="shared" si="10"/>
        <v>1</v>
      </c>
    </row>
    <row r="657" spans="1:12" x14ac:dyDescent="0.25">
      <c r="A657" s="7" t="s">
        <v>1651</v>
      </c>
      <c r="B657" s="7">
        <v>0</v>
      </c>
      <c r="C657" s="7">
        <v>75</v>
      </c>
      <c r="D657" s="7">
        <v>0</v>
      </c>
      <c r="E657" s="7">
        <v>0</v>
      </c>
      <c r="F657" s="7">
        <v>0</v>
      </c>
      <c r="G657" s="7">
        <v>13</v>
      </c>
      <c r="H657" s="7">
        <v>0</v>
      </c>
      <c r="I657" s="7">
        <v>65</v>
      </c>
      <c r="J657" s="7">
        <v>0</v>
      </c>
      <c r="K657" s="7">
        <v>153</v>
      </c>
      <c r="L657" t="b">
        <f t="shared" si="10"/>
        <v>1</v>
      </c>
    </row>
    <row r="658" spans="1:12" x14ac:dyDescent="0.25">
      <c r="A658" s="7" t="s">
        <v>1652</v>
      </c>
      <c r="B658" s="7">
        <v>0</v>
      </c>
      <c r="C658" s="7">
        <v>1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56</v>
      </c>
      <c r="J658" s="7">
        <v>0</v>
      </c>
      <c r="K658" s="7">
        <v>57</v>
      </c>
      <c r="L658" t="b">
        <f t="shared" si="10"/>
        <v>1</v>
      </c>
    </row>
    <row r="659" spans="1:12" x14ac:dyDescent="0.25">
      <c r="A659" s="7" t="s">
        <v>1653</v>
      </c>
      <c r="B659" s="7">
        <v>0</v>
      </c>
      <c r="C659" s="7">
        <v>205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13</v>
      </c>
      <c r="J659" s="7">
        <v>0</v>
      </c>
      <c r="K659" s="7">
        <v>218</v>
      </c>
      <c r="L659" t="b">
        <f t="shared" si="10"/>
        <v>1</v>
      </c>
    </row>
    <row r="660" spans="1:12" x14ac:dyDescent="0.25">
      <c r="A660" s="7" t="s">
        <v>1654</v>
      </c>
      <c r="B660" s="7">
        <v>0</v>
      </c>
      <c r="C660" s="7">
        <v>81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9</v>
      </c>
      <c r="J660" s="7">
        <v>0</v>
      </c>
      <c r="K660" s="7">
        <v>90</v>
      </c>
      <c r="L660" t="b">
        <f t="shared" si="10"/>
        <v>1</v>
      </c>
    </row>
    <row r="661" spans="1:12" x14ac:dyDescent="0.25">
      <c r="A661" s="7" t="s">
        <v>1655</v>
      </c>
      <c r="B661" s="7">
        <v>0</v>
      </c>
      <c r="C661" s="7">
        <v>23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19</v>
      </c>
      <c r="J661" s="7">
        <v>0</v>
      </c>
      <c r="K661" s="7">
        <v>42</v>
      </c>
      <c r="L661" t="b">
        <f t="shared" si="10"/>
        <v>1</v>
      </c>
    </row>
    <row r="662" spans="1:12" x14ac:dyDescent="0.25">
      <c r="A662" s="7" t="s">
        <v>1656</v>
      </c>
      <c r="B662" s="7">
        <v>0</v>
      </c>
      <c r="C662" s="7">
        <v>73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5</v>
      </c>
      <c r="J662" s="7">
        <v>0</v>
      </c>
      <c r="K662" s="7">
        <v>78</v>
      </c>
      <c r="L662" t="b">
        <f t="shared" si="10"/>
        <v>1</v>
      </c>
    </row>
    <row r="663" spans="1:12" x14ac:dyDescent="0.25">
      <c r="A663" s="7" t="s">
        <v>1657</v>
      </c>
      <c r="B663" s="7">
        <v>0</v>
      </c>
      <c r="C663" s="7">
        <v>88</v>
      </c>
      <c r="D663" s="7">
        <v>0</v>
      </c>
      <c r="E663" s="7">
        <v>0</v>
      </c>
      <c r="F663" s="7">
        <v>0</v>
      </c>
      <c r="G663" s="7">
        <v>1</v>
      </c>
      <c r="H663" s="7">
        <v>0</v>
      </c>
      <c r="I663" s="7">
        <v>9</v>
      </c>
      <c r="J663" s="7">
        <v>0</v>
      </c>
      <c r="K663" s="7">
        <v>98</v>
      </c>
      <c r="L663" t="b">
        <f t="shared" si="10"/>
        <v>1</v>
      </c>
    </row>
    <row r="664" spans="1:12" x14ac:dyDescent="0.25">
      <c r="A664" s="7" t="s">
        <v>1658</v>
      </c>
      <c r="B664" s="7">
        <v>0</v>
      </c>
      <c r="C664" s="7">
        <v>90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1</v>
      </c>
      <c r="J664" s="7">
        <v>0</v>
      </c>
      <c r="K664" s="7">
        <v>91</v>
      </c>
      <c r="L664" t="b">
        <f t="shared" si="10"/>
        <v>1</v>
      </c>
    </row>
    <row r="665" spans="1:12" x14ac:dyDescent="0.25">
      <c r="A665" s="7" t="s">
        <v>1659</v>
      </c>
      <c r="B665" s="7">
        <v>0</v>
      </c>
      <c r="C665" s="7">
        <v>152</v>
      </c>
      <c r="D665" s="7">
        <v>0</v>
      </c>
      <c r="E665" s="7">
        <v>0</v>
      </c>
      <c r="F665" s="7">
        <v>0</v>
      </c>
      <c r="G665" s="7">
        <v>3</v>
      </c>
      <c r="H665" s="7">
        <v>0</v>
      </c>
      <c r="I665" s="7">
        <v>0</v>
      </c>
      <c r="J665" s="7">
        <v>0</v>
      </c>
      <c r="K665" s="7">
        <v>155</v>
      </c>
      <c r="L665" t="b">
        <f t="shared" si="10"/>
        <v>1</v>
      </c>
    </row>
    <row r="666" spans="1:12" x14ac:dyDescent="0.25">
      <c r="A666" s="7" t="s">
        <v>1660</v>
      </c>
      <c r="B666" s="7">
        <v>0</v>
      </c>
      <c r="C666" s="7">
        <v>56</v>
      </c>
      <c r="D666" s="7">
        <v>0</v>
      </c>
      <c r="E666" s="7">
        <v>0</v>
      </c>
      <c r="F666" s="7">
        <v>0</v>
      </c>
      <c r="G666" s="7">
        <v>2</v>
      </c>
      <c r="H666" s="7">
        <v>0</v>
      </c>
      <c r="I666" s="7">
        <v>0</v>
      </c>
      <c r="J666" s="7">
        <v>0</v>
      </c>
      <c r="K666" s="7">
        <v>58</v>
      </c>
      <c r="L666" t="b">
        <f t="shared" si="10"/>
        <v>1</v>
      </c>
    </row>
    <row r="667" spans="1:12" x14ac:dyDescent="0.25">
      <c r="A667" s="7" t="s">
        <v>1661</v>
      </c>
      <c r="B667" s="7">
        <v>0</v>
      </c>
      <c r="C667" s="7">
        <v>56</v>
      </c>
      <c r="D667" s="7">
        <v>0</v>
      </c>
      <c r="E667" s="7">
        <v>0</v>
      </c>
      <c r="F667" s="7">
        <v>0</v>
      </c>
      <c r="G667" s="7">
        <v>1</v>
      </c>
      <c r="H667" s="7">
        <v>0</v>
      </c>
      <c r="I667" s="7">
        <v>0</v>
      </c>
      <c r="J667" s="7">
        <v>0</v>
      </c>
      <c r="K667" s="7">
        <v>57</v>
      </c>
      <c r="L667" t="b">
        <f t="shared" si="10"/>
        <v>1</v>
      </c>
    </row>
    <row r="668" spans="1:12" x14ac:dyDescent="0.25">
      <c r="A668" s="7" t="s">
        <v>1662</v>
      </c>
      <c r="B668" s="7">
        <v>0</v>
      </c>
      <c r="C668" s="7">
        <v>44</v>
      </c>
      <c r="D668" s="7">
        <v>0</v>
      </c>
      <c r="E668" s="7">
        <v>0</v>
      </c>
      <c r="F668" s="7">
        <v>0</v>
      </c>
      <c r="G668" s="7">
        <v>1</v>
      </c>
      <c r="H668" s="7">
        <v>0</v>
      </c>
      <c r="I668" s="7">
        <v>0</v>
      </c>
      <c r="J668" s="7">
        <v>0</v>
      </c>
      <c r="K668" s="7">
        <v>45</v>
      </c>
      <c r="L668" t="b">
        <f t="shared" si="10"/>
        <v>1</v>
      </c>
    </row>
    <row r="669" spans="1:12" x14ac:dyDescent="0.25">
      <c r="A669" s="7" t="s">
        <v>1663</v>
      </c>
      <c r="B669" s="7">
        <v>0</v>
      </c>
      <c r="C669" s="7">
        <v>47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47</v>
      </c>
      <c r="L669" t="b">
        <f t="shared" si="10"/>
        <v>1</v>
      </c>
    </row>
    <row r="670" spans="1:12" x14ac:dyDescent="0.25">
      <c r="A670" s="7" t="s">
        <v>1664</v>
      </c>
      <c r="B670" s="7">
        <v>0</v>
      </c>
      <c r="C670" s="7">
        <v>92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92</v>
      </c>
      <c r="L670" t="b">
        <f t="shared" si="10"/>
        <v>1</v>
      </c>
    </row>
    <row r="671" spans="1:12" x14ac:dyDescent="0.25">
      <c r="A671" s="7" t="s">
        <v>1665</v>
      </c>
      <c r="B671" s="7">
        <v>0</v>
      </c>
      <c r="C671" s="7">
        <v>25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47</v>
      </c>
      <c r="J671" s="7">
        <v>0</v>
      </c>
      <c r="K671" s="7">
        <v>72</v>
      </c>
      <c r="L671" t="b">
        <f t="shared" si="10"/>
        <v>1</v>
      </c>
    </row>
    <row r="672" spans="1:12" x14ac:dyDescent="0.25">
      <c r="A672" s="7" t="s">
        <v>1666</v>
      </c>
      <c r="B672" s="7">
        <v>0</v>
      </c>
      <c r="C672" s="7">
        <v>26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76</v>
      </c>
      <c r="J672" s="7">
        <v>0</v>
      </c>
      <c r="K672" s="7">
        <v>102</v>
      </c>
      <c r="L672" t="b">
        <f t="shared" si="10"/>
        <v>1</v>
      </c>
    </row>
    <row r="673" spans="1:12" x14ac:dyDescent="0.25">
      <c r="A673" s="7" t="s">
        <v>1667</v>
      </c>
      <c r="B673" s="7">
        <v>0</v>
      </c>
      <c r="C673" s="7">
        <v>24</v>
      </c>
      <c r="D673" s="7">
        <v>3</v>
      </c>
      <c r="E673" s="7">
        <v>0</v>
      </c>
      <c r="F673" s="7">
        <v>0</v>
      </c>
      <c r="G673" s="7">
        <v>1</v>
      </c>
      <c r="H673" s="7">
        <v>0</v>
      </c>
      <c r="I673" s="7">
        <v>74</v>
      </c>
      <c r="J673" s="7">
        <v>0</v>
      </c>
      <c r="K673" s="7">
        <v>102</v>
      </c>
      <c r="L673" t="b">
        <f t="shared" si="10"/>
        <v>1</v>
      </c>
    </row>
    <row r="674" spans="1:12" x14ac:dyDescent="0.25">
      <c r="A674" s="7" t="s">
        <v>1668</v>
      </c>
      <c r="B674" s="7">
        <v>0</v>
      </c>
      <c r="C674" s="7">
        <v>16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89</v>
      </c>
      <c r="J674" s="7">
        <v>0</v>
      </c>
      <c r="K674" s="7">
        <v>105</v>
      </c>
      <c r="L674" t="b">
        <f t="shared" si="10"/>
        <v>1</v>
      </c>
    </row>
    <row r="675" spans="1:12" x14ac:dyDescent="0.25">
      <c r="A675" s="7" t="s">
        <v>1669</v>
      </c>
      <c r="B675" s="7">
        <v>0</v>
      </c>
      <c r="C675" s="7">
        <v>83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83</v>
      </c>
      <c r="L675" t="b">
        <f t="shared" si="10"/>
        <v>1</v>
      </c>
    </row>
    <row r="676" spans="1:12" x14ac:dyDescent="0.25">
      <c r="A676" s="7" t="s">
        <v>1670</v>
      </c>
      <c r="B676" s="7">
        <v>0</v>
      </c>
      <c r="C676" s="7">
        <v>66</v>
      </c>
      <c r="D676" s="7">
        <v>0</v>
      </c>
      <c r="E676" s="7">
        <v>0</v>
      </c>
      <c r="F676" s="7">
        <v>0</v>
      </c>
      <c r="G676" s="7">
        <v>1</v>
      </c>
      <c r="H676" s="7">
        <v>0</v>
      </c>
      <c r="I676" s="7">
        <v>0</v>
      </c>
      <c r="J676" s="7">
        <v>0</v>
      </c>
      <c r="K676" s="7">
        <v>67</v>
      </c>
      <c r="L676" t="b">
        <f t="shared" si="10"/>
        <v>1</v>
      </c>
    </row>
    <row r="677" spans="1:12" x14ac:dyDescent="0.25">
      <c r="A677" s="7" t="s">
        <v>1671</v>
      </c>
      <c r="B677" s="7">
        <v>0</v>
      </c>
      <c r="C677" s="7">
        <v>40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40</v>
      </c>
      <c r="L677" t="b">
        <f t="shared" si="10"/>
        <v>1</v>
      </c>
    </row>
    <row r="678" spans="1:12" x14ac:dyDescent="0.25">
      <c r="A678" s="7" t="s">
        <v>1672</v>
      </c>
      <c r="B678" s="7">
        <v>0</v>
      </c>
      <c r="C678" s="7">
        <v>70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70</v>
      </c>
      <c r="L678" t="b">
        <f t="shared" si="10"/>
        <v>1</v>
      </c>
    </row>
    <row r="679" spans="1:12" x14ac:dyDescent="0.25">
      <c r="A679" s="7" t="s">
        <v>1673</v>
      </c>
      <c r="B679" s="7">
        <v>0</v>
      </c>
      <c r="C679" s="7">
        <v>76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76</v>
      </c>
      <c r="L679" t="b">
        <f t="shared" si="10"/>
        <v>1</v>
      </c>
    </row>
    <row r="680" spans="1:12" x14ac:dyDescent="0.25">
      <c r="A680" s="7" t="s">
        <v>1674</v>
      </c>
      <c r="B680" s="7">
        <v>0</v>
      </c>
      <c r="C680" s="7">
        <v>54</v>
      </c>
      <c r="D680" s="7">
        <v>0</v>
      </c>
      <c r="E680" s="7">
        <v>0</v>
      </c>
      <c r="F680" s="7">
        <v>0</v>
      </c>
      <c r="G680" s="7">
        <v>2</v>
      </c>
      <c r="H680" s="7">
        <v>0</v>
      </c>
      <c r="I680" s="7">
        <v>0</v>
      </c>
      <c r="J680" s="7">
        <v>0</v>
      </c>
      <c r="K680" s="7">
        <v>56</v>
      </c>
      <c r="L680" t="b">
        <f t="shared" si="10"/>
        <v>1</v>
      </c>
    </row>
    <row r="681" spans="1:12" x14ac:dyDescent="0.25">
      <c r="A681" s="7" t="s">
        <v>1675</v>
      </c>
      <c r="B681" s="7">
        <v>0</v>
      </c>
      <c r="C681" s="7">
        <v>51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51</v>
      </c>
      <c r="L681" t="b">
        <f t="shared" si="10"/>
        <v>1</v>
      </c>
    </row>
    <row r="682" spans="1:12" x14ac:dyDescent="0.25">
      <c r="A682" s="7" t="s">
        <v>1676</v>
      </c>
      <c r="B682" s="7">
        <v>0</v>
      </c>
      <c r="C682" s="7">
        <v>43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1</v>
      </c>
      <c r="J682" s="7">
        <v>0</v>
      </c>
      <c r="K682" s="7">
        <v>44</v>
      </c>
      <c r="L682" t="b">
        <f t="shared" si="10"/>
        <v>1</v>
      </c>
    </row>
    <row r="683" spans="1:12" x14ac:dyDescent="0.25">
      <c r="A683" s="7" t="s">
        <v>1677</v>
      </c>
      <c r="B683" s="7">
        <v>0</v>
      </c>
      <c r="C683" s="7">
        <v>52</v>
      </c>
      <c r="D683" s="7">
        <v>0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7">
        <v>54</v>
      </c>
      <c r="L683" t="b">
        <f t="shared" si="10"/>
        <v>1</v>
      </c>
    </row>
    <row r="684" spans="1:12" x14ac:dyDescent="0.25">
      <c r="A684" s="7" t="s">
        <v>1678</v>
      </c>
      <c r="B684" s="7">
        <v>0</v>
      </c>
      <c r="C684" s="7">
        <v>148</v>
      </c>
      <c r="D684" s="7">
        <v>0</v>
      </c>
      <c r="E684" s="7">
        <v>0</v>
      </c>
      <c r="F684" s="7">
        <v>0</v>
      </c>
      <c r="G684" s="7">
        <v>3</v>
      </c>
      <c r="H684" s="7">
        <v>0</v>
      </c>
      <c r="I684" s="7">
        <v>1</v>
      </c>
      <c r="J684" s="7">
        <v>0</v>
      </c>
      <c r="K684" s="7">
        <v>152</v>
      </c>
      <c r="L684" t="b">
        <f t="shared" si="10"/>
        <v>1</v>
      </c>
    </row>
    <row r="685" spans="1:12" x14ac:dyDescent="0.25">
      <c r="A685" s="7" t="s">
        <v>1679</v>
      </c>
      <c r="B685" s="7">
        <v>0</v>
      </c>
      <c r="C685" s="7">
        <v>2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2</v>
      </c>
      <c r="L685" t="b">
        <f t="shared" si="10"/>
        <v>1</v>
      </c>
    </row>
    <row r="686" spans="1:12" x14ac:dyDescent="0.25">
      <c r="A686" s="7" t="s">
        <v>1680</v>
      </c>
      <c r="B686" s="7">
        <v>0</v>
      </c>
      <c r="C686" s="7">
        <v>0</v>
      </c>
      <c r="D686" s="7">
        <v>6</v>
      </c>
      <c r="E686" s="7">
        <v>0</v>
      </c>
      <c r="F686" s="7">
        <v>0</v>
      </c>
      <c r="G686" s="7">
        <v>0</v>
      </c>
      <c r="H686" s="7">
        <v>0</v>
      </c>
      <c r="I686" s="7">
        <v>119</v>
      </c>
      <c r="J686" s="7">
        <v>18</v>
      </c>
      <c r="K686" s="7">
        <v>143</v>
      </c>
      <c r="L686" t="b">
        <f t="shared" si="10"/>
        <v>1</v>
      </c>
    </row>
    <row r="687" spans="1:12" x14ac:dyDescent="0.25">
      <c r="A687" s="7" t="s">
        <v>1681</v>
      </c>
      <c r="B687" s="7">
        <v>0</v>
      </c>
      <c r="C687" s="7">
        <v>8</v>
      </c>
      <c r="D687" s="7">
        <v>43</v>
      </c>
      <c r="E687" s="7">
        <v>0</v>
      </c>
      <c r="F687" s="7">
        <v>0</v>
      </c>
      <c r="G687" s="7">
        <v>0</v>
      </c>
      <c r="H687" s="7">
        <v>0</v>
      </c>
      <c r="I687" s="7">
        <v>26</v>
      </c>
      <c r="J687" s="7">
        <v>0</v>
      </c>
      <c r="K687" s="7">
        <v>77</v>
      </c>
      <c r="L687" t="b">
        <f t="shared" si="10"/>
        <v>1</v>
      </c>
    </row>
    <row r="688" spans="1:12" x14ac:dyDescent="0.25">
      <c r="A688" s="7" t="s">
        <v>1682</v>
      </c>
      <c r="B688" s="7">
        <v>0</v>
      </c>
      <c r="C688" s="7">
        <v>2</v>
      </c>
      <c r="D688" s="7">
        <v>2</v>
      </c>
      <c r="E688" s="7">
        <v>0</v>
      </c>
      <c r="F688" s="7">
        <v>0</v>
      </c>
      <c r="G688" s="7">
        <v>0</v>
      </c>
      <c r="H688" s="7">
        <v>0</v>
      </c>
      <c r="I688" s="7">
        <v>56</v>
      </c>
      <c r="J688" s="7">
        <v>0</v>
      </c>
      <c r="K688" s="7">
        <v>60</v>
      </c>
      <c r="L688" t="b">
        <f t="shared" si="10"/>
        <v>1</v>
      </c>
    </row>
    <row r="689" spans="1:12" x14ac:dyDescent="0.25">
      <c r="A689" s="7" t="s">
        <v>1683</v>
      </c>
      <c r="B689" s="7">
        <v>0</v>
      </c>
      <c r="C689" s="7">
        <v>8</v>
      </c>
      <c r="D689" s="7">
        <v>1</v>
      </c>
      <c r="E689" s="7">
        <v>0</v>
      </c>
      <c r="F689" s="7">
        <v>0</v>
      </c>
      <c r="G689" s="7">
        <v>2</v>
      </c>
      <c r="H689" s="7">
        <v>0</v>
      </c>
      <c r="I689" s="7">
        <v>36</v>
      </c>
      <c r="J689" s="7">
        <v>0</v>
      </c>
      <c r="K689" s="7">
        <v>47</v>
      </c>
      <c r="L689" t="b">
        <f t="shared" si="10"/>
        <v>1</v>
      </c>
    </row>
    <row r="690" spans="1:12" x14ac:dyDescent="0.25">
      <c r="A690" s="7" t="s">
        <v>1684</v>
      </c>
      <c r="B690" s="7">
        <v>0</v>
      </c>
      <c r="C690" s="7">
        <v>6</v>
      </c>
      <c r="D690" s="7">
        <v>17</v>
      </c>
      <c r="E690" s="7">
        <v>0</v>
      </c>
      <c r="F690" s="7">
        <v>4</v>
      </c>
      <c r="G690" s="7">
        <v>0</v>
      </c>
      <c r="H690" s="7">
        <v>0</v>
      </c>
      <c r="I690" s="7">
        <v>44</v>
      </c>
      <c r="J690" s="7">
        <v>0</v>
      </c>
      <c r="K690" s="7">
        <v>71</v>
      </c>
      <c r="L690" t="b">
        <f t="shared" si="10"/>
        <v>1</v>
      </c>
    </row>
    <row r="691" spans="1:12" x14ac:dyDescent="0.25">
      <c r="A691" s="7" t="s">
        <v>1685</v>
      </c>
      <c r="B691" s="7">
        <v>0</v>
      </c>
      <c r="C691" s="7">
        <v>12</v>
      </c>
      <c r="D691" s="7">
        <v>16</v>
      </c>
      <c r="E691" s="7">
        <v>0</v>
      </c>
      <c r="F691" s="7">
        <v>0</v>
      </c>
      <c r="G691" s="7">
        <v>0</v>
      </c>
      <c r="H691" s="7">
        <v>0</v>
      </c>
      <c r="I691" s="7">
        <v>20</v>
      </c>
      <c r="J691" s="7">
        <v>1</v>
      </c>
      <c r="K691" s="7">
        <v>49</v>
      </c>
      <c r="L691" t="b">
        <f t="shared" si="10"/>
        <v>1</v>
      </c>
    </row>
    <row r="692" spans="1:12" x14ac:dyDescent="0.25">
      <c r="A692" s="7" t="s">
        <v>1686</v>
      </c>
      <c r="B692" s="7">
        <v>0</v>
      </c>
      <c r="C692" s="7">
        <v>0</v>
      </c>
      <c r="D692" s="7">
        <v>7</v>
      </c>
      <c r="E692" s="7">
        <v>0</v>
      </c>
      <c r="F692" s="7">
        <v>0</v>
      </c>
      <c r="G692" s="7">
        <v>0</v>
      </c>
      <c r="H692" s="7">
        <v>0</v>
      </c>
      <c r="I692" s="7">
        <v>13</v>
      </c>
      <c r="J692" s="7">
        <v>7</v>
      </c>
      <c r="K692" s="7">
        <v>27</v>
      </c>
      <c r="L692" t="b">
        <f t="shared" si="10"/>
        <v>1</v>
      </c>
    </row>
    <row r="693" spans="1:12" x14ac:dyDescent="0.25">
      <c r="A693" s="7" t="s">
        <v>1687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52</v>
      </c>
      <c r="J693" s="7">
        <v>0</v>
      </c>
      <c r="K693" s="7">
        <v>52</v>
      </c>
      <c r="L693" t="b">
        <f t="shared" si="10"/>
        <v>1</v>
      </c>
    </row>
    <row r="694" spans="1:12" x14ac:dyDescent="0.25">
      <c r="A694" s="7" t="s">
        <v>1688</v>
      </c>
      <c r="B694" s="7">
        <v>0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1</v>
      </c>
      <c r="J694" s="7">
        <v>0</v>
      </c>
      <c r="K694" s="7">
        <v>1</v>
      </c>
      <c r="L694" t="b">
        <f t="shared" si="10"/>
        <v>1</v>
      </c>
    </row>
    <row r="695" spans="1:12" x14ac:dyDescent="0.25">
      <c r="A695" s="7" t="s">
        <v>1689</v>
      </c>
      <c r="B695" s="7">
        <v>0</v>
      </c>
      <c r="C695" s="7">
        <v>51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45</v>
      </c>
      <c r="J695" s="7">
        <v>0</v>
      </c>
      <c r="K695" s="7">
        <v>96</v>
      </c>
      <c r="L695" t="b">
        <f t="shared" si="10"/>
        <v>1</v>
      </c>
    </row>
    <row r="696" spans="1:12" x14ac:dyDescent="0.25">
      <c r="A696" s="7" t="s">
        <v>1690</v>
      </c>
      <c r="B696" s="7">
        <v>0</v>
      </c>
      <c r="C696" s="7">
        <v>44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100</v>
      </c>
      <c r="J696" s="7">
        <v>1</v>
      </c>
      <c r="K696" s="7">
        <v>145</v>
      </c>
      <c r="L696" t="b">
        <f t="shared" si="10"/>
        <v>1</v>
      </c>
    </row>
    <row r="697" spans="1:12" x14ac:dyDescent="0.25">
      <c r="A697" s="7" t="s">
        <v>1691</v>
      </c>
      <c r="B697" s="7">
        <v>0</v>
      </c>
      <c r="C697" s="7">
        <v>78</v>
      </c>
      <c r="D697" s="7">
        <v>0</v>
      </c>
      <c r="E697" s="7">
        <v>0</v>
      </c>
      <c r="F697" s="7">
        <v>0</v>
      </c>
      <c r="G697" s="7">
        <v>3</v>
      </c>
      <c r="H697" s="7">
        <v>0</v>
      </c>
      <c r="I697" s="7">
        <v>10</v>
      </c>
      <c r="J697" s="7">
        <v>0</v>
      </c>
      <c r="K697" s="7">
        <v>91</v>
      </c>
      <c r="L697" t="b">
        <f t="shared" si="10"/>
        <v>1</v>
      </c>
    </row>
    <row r="698" spans="1:12" x14ac:dyDescent="0.25">
      <c r="A698" s="7" t="s">
        <v>1692</v>
      </c>
      <c r="B698" s="7">
        <v>0</v>
      </c>
      <c r="C698" s="7">
        <v>18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54</v>
      </c>
      <c r="J698" s="7">
        <v>0</v>
      </c>
      <c r="K698" s="7">
        <v>72</v>
      </c>
      <c r="L698" t="b">
        <f t="shared" si="10"/>
        <v>1</v>
      </c>
    </row>
    <row r="699" spans="1:12" x14ac:dyDescent="0.25">
      <c r="A699" s="7" t="s">
        <v>1693</v>
      </c>
      <c r="B699" s="7">
        <v>0</v>
      </c>
      <c r="C699" s="7">
        <v>77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29</v>
      </c>
      <c r="J699" s="7">
        <v>0</v>
      </c>
      <c r="K699" s="7">
        <v>106</v>
      </c>
      <c r="L699" t="b">
        <f t="shared" si="10"/>
        <v>1</v>
      </c>
    </row>
    <row r="700" spans="1:12" x14ac:dyDescent="0.25">
      <c r="A700" s="7" t="s">
        <v>1694</v>
      </c>
      <c r="B700" s="7">
        <v>0</v>
      </c>
      <c r="C700" s="7">
        <v>74</v>
      </c>
      <c r="D700" s="7">
        <v>2</v>
      </c>
      <c r="E700" s="7">
        <v>0</v>
      </c>
      <c r="F700" s="7">
        <v>0</v>
      </c>
      <c r="G700" s="7">
        <v>0</v>
      </c>
      <c r="H700" s="7">
        <v>0</v>
      </c>
      <c r="I700" s="7">
        <v>46</v>
      </c>
      <c r="J700" s="7">
        <v>0</v>
      </c>
      <c r="K700" s="7">
        <v>122</v>
      </c>
      <c r="L700" t="b">
        <f t="shared" si="10"/>
        <v>1</v>
      </c>
    </row>
    <row r="701" spans="1:12" x14ac:dyDescent="0.25">
      <c r="A701" s="7" t="s">
        <v>1695</v>
      </c>
      <c r="B701" s="7">
        <v>0</v>
      </c>
      <c r="C701" s="7">
        <v>105</v>
      </c>
      <c r="D701" s="7">
        <v>0</v>
      </c>
      <c r="E701" s="7">
        <v>0</v>
      </c>
      <c r="F701" s="7">
        <v>0</v>
      </c>
      <c r="G701" s="7">
        <v>3</v>
      </c>
      <c r="H701" s="7">
        <v>0</v>
      </c>
      <c r="I701" s="7">
        <v>9</v>
      </c>
      <c r="J701" s="7">
        <v>0</v>
      </c>
      <c r="K701" s="7">
        <v>117</v>
      </c>
      <c r="L701" t="b">
        <f t="shared" si="10"/>
        <v>1</v>
      </c>
    </row>
    <row r="702" spans="1:12" x14ac:dyDescent="0.25">
      <c r="A702" s="7" t="s">
        <v>1696</v>
      </c>
      <c r="B702" s="7">
        <v>0</v>
      </c>
      <c r="C702" s="7">
        <v>33</v>
      </c>
      <c r="D702" s="7">
        <v>0</v>
      </c>
      <c r="E702" s="7">
        <v>0</v>
      </c>
      <c r="F702" s="7">
        <v>1</v>
      </c>
      <c r="G702" s="7">
        <v>0</v>
      </c>
      <c r="H702" s="7">
        <v>0</v>
      </c>
      <c r="I702" s="7">
        <v>37</v>
      </c>
      <c r="J702" s="7">
        <v>47</v>
      </c>
      <c r="K702" s="7">
        <v>118</v>
      </c>
      <c r="L702" t="b">
        <f t="shared" si="10"/>
        <v>1</v>
      </c>
    </row>
    <row r="703" spans="1:12" x14ac:dyDescent="0.25">
      <c r="A703" s="7" t="s">
        <v>1697</v>
      </c>
      <c r="B703" s="7">
        <v>0</v>
      </c>
      <c r="C703" s="7">
        <v>75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29</v>
      </c>
      <c r="J703" s="7">
        <v>0</v>
      </c>
      <c r="K703" s="7">
        <v>104</v>
      </c>
      <c r="L703" t="b">
        <f t="shared" si="10"/>
        <v>1</v>
      </c>
    </row>
    <row r="704" spans="1:12" x14ac:dyDescent="0.25">
      <c r="A704" s="7" t="s">
        <v>1698</v>
      </c>
      <c r="B704" s="7">
        <v>0</v>
      </c>
      <c r="C704" s="7">
        <v>67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33</v>
      </c>
      <c r="J704" s="7">
        <v>0</v>
      </c>
      <c r="K704" s="7">
        <v>100</v>
      </c>
      <c r="L704" t="b">
        <f t="shared" si="10"/>
        <v>1</v>
      </c>
    </row>
    <row r="705" spans="1:12" x14ac:dyDescent="0.25">
      <c r="A705" s="7" t="s">
        <v>1699</v>
      </c>
      <c r="B705" s="7">
        <v>0</v>
      </c>
      <c r="C705" s="7">
        <v>46</v>
      </c>
      <c r="D705" s="7">
        <v>1</v>
      </c>
      <c r="E705" s="7">
        <v>0</v>
      </c>
      <c r="F705" s="7">
        <v>1</v>
      </c>
      <c r="G705" s="7">
        <v>2</v>
      </c>
      <c r="H705" s="7">
        <v>0</v>
      </c>
      <c r="I705" s="7">
        <v>26</v>
      </c>
      <c r="J705" s="7">
        <v>11</v>
      </c>
      <c r="K705" s="7">
        <v>87</v>
      </c>
      <c r="L705" t="b">
        <f t="shared" si="10"/>
        <v>1</v>
      </c>
    </row>
    <row r="706" spans="1:12" x14ac:dyDescent="0.25">
      <c r="A706" s="7" t="s">
        <v>1700</v>
      </c>
      <c r="B706" s="7">
        <v>0</v>
      </c>
      <c r="C706" s="7">
        <v>30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43</v>
      </c>
      <c r="J706" s="7">
        <v>1</v>
      </c>
      <c r="K706" s="7">
        <v>74</v>
      </c>
      <c r="L706" t="b">
        <f t="shared" si="10"/>
        <v>1</v>
      </c>
    </row>
    <row r="707" spans="1:12" x14ac:dyDescent="0.25">
      <c r="A707" s="7" t="s">
        <v>1701</v>
      </c>
      <c r="B707" s="7">
        <v>0</v>
      </c>
      <c r="C707" s="7">
        <v>62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64</v>
      </c>
      <c r="J707" s="7">
        <v>0</v>
      </c>
      <c r="K707" s="7">
        <v>126</v>
      </c>
      <c r="L707" t="b">
        <f t="shared" ref="L707:L770" si="11">K707=SUM(B707:J707)</f>
        <v>1</v>
      </c>
    </row>
    <row r="708" spans="1:12" x14ac:dyDescent="0.25">
      <c r="A708" s="7" t="s">
        <v>1702</v>
      </c>
      <c r="B708" s="7">
        <v>0</v>
      </c>
      <c r="C708" s="7">
        <v>65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1</v>
      </c>
      <c r="K708" s="7">
        <v>66</v>
      </c>
      <c r="L708" t="b">
        <f t="shared" si="11"/>
        <v>1</v>
      </c>
    </row>
    <row r="709" spans="1:12" x14ac:dyDescent="0.25">
      <c r="A709" s="7" t="s">
        <v>1703</v>
      </c>
      <c r="B709" s="7">
        <v>0</v>
      </c>
      <c r="C709" s="7">
        <v>42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17</v>
      </c>
      <c r="J709" s="7">
        <v>3</v>
      </c>
      <c r="K709" s="7">
        <v>62</v>
      </c>
      <c r="L709" t="b">
        <f t="shared" si="11"/>
        <v>1</v>
      </c>
    </row>
    <row r="710" spans="1:12" x14ac:dyDescent="0.25">
      <c r="A710" s="7" t="s">
        <v>1704</v>
      </c>
      <c r="B710" s="7">
        <v>0</v>
      </c>
      <c r="C710" s="7">
        <v>61</v>
      </c>
      <c r="D710" s="7">
        <v>0</v>
      </c>
      <c r="E710" s="7">
        <v>0</v>
      </c>
      <c r="F710" s="7">
        <v>0</v>
      </c>
      <c r="G710" s="7">
        <v>1</v>
      </c>
      <c r="H710" s="7">
        <v>0</v>
      </c>
      <c r="I710" s="7">
        <v>18</v>
      </c>
      <c r="J710" s="7">
        <v>1</v>
      </c>
      <c r="K710" s="7">
        <v>81</v>
      </c>
      <c r="L710" t="b">
        <f t="shared" si="11"/>
        <v>1</v>
      </c>
    </row>
    <row r="711" spans="1:12" x14ac:dyDescent="0.25">
      <c r="A711" s="7" t="s">
        <v>1705</v>
      </c>
      <c r="B711" s="7">
        <v>0</v>
      </c>
      <c r="C711" s="7">
        <v>38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35</v>
      </c>
      <c r="J711" s="7">
        <v>1</v>
      </c>
      <c r="K711" s="7">
        <v>74</v>
      </c>
      <c r="L711" t="b">
        <f t="shared" si="11"/>
        <v>1</v>
      </c>
    </row>
    <row r="712" spans="1:12" x14ac:dyDescent="0.25">
      <c r="A712" s="7" t="s">
        <v>1706</v>
      </c>
      <c r="B712" s="7">
        <v>0</v>
      </c>
      <c r="C712" s="7">
        <v>34</v>
      </c>
      <c r="D712" s="7">
        <v>1</v>
      </c>
      <c r="E712" s="7">
        <v>0</v>
      </c>
      <c r="F712" s="7">
        <v>0</v>
      </c>
      <c r="G712" s="7">
        <v>2</v>
      </c>
      <c r="H712" s="7">
        <v>0</v>
      </c>
      <c r="I712" s="7">
        <v>47</v>
      </c>
      <c r="J712" s="7">
        <v>0</v>
      </c>
      <c r="K712" s="7">
        <v>84</v>
      </c>
      <c r="L712" t="b">
        <f t="shared" si="11"/>
        <v>1</v>
      </c>
    </row>
    <row r="713" spans="1:12" x14ac:dyDescent="0.25">
      <c r="A713" s="7" t="s">
        <v>1707</v>
      </c>
      <c r="B713" s="7">
        <v>0</v>
      </c>
      <c r="C713" s="7">
        <v>16</v>
      </c>
      <c r="D713" s="7">
        <v>2</v>
      </c>
      <c r="E713" s="7">
        <v>0</v>
      </c>
      <c r="F713" s="7">
        <v>0</v>
      </c>
      <c r="G713" s="7">
        <v>6</v>
      </c>
      <c r="H713" s="7">
        <v>0</v>
      </c>
      <c r="I713" s="7">
        <v>27</v>
      </c>
      <c r="J713" s="7">
        <v>2</v>
      </c>
      <c r="K713" s="7">
        <v>53</v>
      </c>
      <c r="L713" t="b">
        <f t="shared" si="11"/>
        <v>1</v>
      </c>
    </row>
    <row r="714" spans="1:12" x14ac:dyDescent="0.25">
      <c r="A714" s="7" t="s">
        <v>1708</v>
      </c>
      <c r="B714" s="7">
        <v>0</v>
      </c>
      <c r="C714" s="7">
        <v>27</v>
      </c>
      <c r="D714" s="7">
        <v>3</v>
      </c>
      <c r="E714" s="7">
        <v>0</v>
      </c>
      <c r="F714" s="7">
        <v>0</v>
      </c>
      <c r="G714" s="7">
        <v>0</v>
      </c>
      <c r="H714" s="7">
        <v>0</v>
      </c>
      <c r="I714" s="7">
        <v>158</v>
      </c>
      <c r="J714" s="7">
        <v>0</v>
      </c>
      <c r="K714" s="7">
        <v>188</v>
      </c>
      <c r="L714" t="b">
        <f t="shared" si="11"/>
        <v>1</v>
      </c>
    </row>
    <row r="715" spans="1:12" x14ac:dyDescent="0.25">
      <c r="A715" s="7" t="s">
        <v>1709</v>
      </c>
      <c r="B715" s="7">
        <v>0</v>
      </c>
      <c r="C715" s="7">
        <v>77</v>
      </c>
      <c r="D715" s="7">
        <v>3</v>
      </c>
      <c r="E715" s="7">
        <v>0</v>
      </c>
      <c r="F715" s="7">
        <v>0</v>
      </c>
      <c r="G715" s="7">
        <v>6</v>
      </c>
      <c r="H715" s="7">
        <v>0</v>
      </c>
      <c r="I715" s="7">
        <v>0</v>
      </c>
      <c r="J715" s="7">
        <v>2</v>
      </c>
      <c r="K715" s="7">
        <v>88</v>
      </c>
      <c r="L715" t="b">
        <f t="shared" si="11"/>
        <v>1</v>
      </c>
    </row>
    <row r="716" spans="1:12" x14ac:dyDescent="0.25">
      <c r="A716" s="7" t="s">
        <v>1710</v>
      </c>
      <c r="B716" s="7">
        <v>0</v>
      </c>
      <c r="C716" s="7">
        <v>22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  <c r="I716" s="7">
        <v>26</v>
      </c>
      <c r="J716" s="7">
        <v>5</v>
      </c>
      <c r="K716" s="7">
        <v>53</v>
      </c>
      <c r="L716" t="b">
        <f t="shared" si="11"/>
        <v>1</v>
      </c>
    </row>
    <row r="717" spans="1:12" x14ac:dyDescent="0.25">
      <c r="A717" s="7" t="s">
        <v>1711</v>
      </c>
      <c r="B717" s="7">
        <v>0</v>
      </c>
      <c r="C717" s="7">
        <v>15</v>
      </c>
      <c r="D717" s="7">
        <v>36</v>
      </c>
      <c r="E717" s="7">
        <v>0</v>
      </c>
      <c r="F717" s="7">
        <v>19</v>
      </c>
      <c r="G717" s="7">
        <v>0</v>
      </c>
      <c r="H717" s="7">
        <v>0</v>
      </c>
      <c r="I717" s="7">
        <v>4</v>
      </c>
      <c r="J717" s="7">
        <v>5</v>
      </c>
      <c r="K717" s="7">
        <v>79</v>
      </c>
      <c r="L717" t="b">
        <f t="shared" si="11"/>
        <v>1</v>
      </c>
    </row>
    <row r="718" spans="1:12" x14ac:dyDescent="0.25">
      <c r="A718" s="7" t="s">
        <v>1712</v>
      </c>
      <c r="B718" s="7">
        <v>0</v>
      </c>
      <c r="C718" s="7">
        <v>2</v>
      </c>
      <c r="D718" s="7">
        <v>46</v>
      </c>
      <c r="E718" s="7">
        <v>0</v>
      </c>
      <c r="F718" s="7">
        <v>8</v>
      </c>
      <c r="G718" s="7">
        <v>0</v>
      </c>
      <c r="H718" s="7">
        <v>0</v>
      </c>
      <c r="I718" s="7">
        <v>22</v>
      </c>
      <c r="J718" s="7">
        <v>8</v>
      </c>
      <c r="K718" s="7">
        <v>86</v>
      </c>
      <c r="L718" t="b">
        <f t="shared" si="11"/>
        <v>1</v>
      </c>
    </row>
    <row r="719" spans="1:12" x14ac:dyDescent="0.25">
      <c r="A719" s="7" t="s">
        <v>1713</v>
      </c>
      <c r="B719" s="7">
        <v>0</v>
      </c>
      <c r="C719" s="7">
        <v>109</v>
      </c>
      <c r="D719" s="7">
        <v>6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1</v>
      </c>
      <c r="K719" s="7">
        <v>116</v>
      </c>
      <c r="L719" t="b">
        <f t="shared" si="11"/>
        <v>1</v>
      </c>
    </row>
    <row r="720" spans="1:12" x14ac:dyDescent="0.25">
      <c r="A720" s="7" t="s">
        <v>1714</v>
      </c>
      <c r="B720" s="7">
        <v>0</v>
      </c>
      <c r="C720" s="7">
        <v>37</v>
      </c>
      <c r="D720" s="7">
        <v>12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10</v>
      </c>
      <c r="K720" s="7">
        <v>59</v>
      </c>
      <c r="L720" t="b">
        <f t="shared" si="11"/>
        <v>1</v>
      </c>
    </row>
    <row r="721" spans="1:12" x14ac:dyDescent="0.25">
      <c r="A721" s="7" t="s">
        <v>1715</v>
      </c>
      <c r="B721" s="7">
        <v>0</v>
      </c>
      <c r="C721" s="7">
        <v>41</v>
      </c>
      <c r="D721" s="7">
        <v>20</v>
      </c>
      <c r="E721" s="7">
        <v>0</v>
      </c>
      <c r="F721" s="7">
        <v>0</v>
      </c>
      <c r="G721" s="7">
        <v>1</v>
      </c>
      <c r="H721" s="7">
        <v>0</v>
      </c>
      <c r="I721" s="7">
        <v>0</v>
      </c>
      <c r="J721" s="7">
        <v>3</v>
      </c>
      <c r="K721" s="7">
        <v>65</v>
      </c>
      <c r="L721" t="b">
        <f t="shared" si="11"/>
        <v>1</v>
      </c>
    </row>
    <row r="722" spans="1:12" x14ac:dyDescent="0.25">
      <c r="A722" s="7" t="s">
        <v>1716</v>
      </c>
      <c r="B722" s="7">
        <v>0</v>
      </c>
      <c r="C722" s="7">
        <v>5</v>
      </c>
      <c r="D722" s="7">
        <v>56</v>
      </c>
      <c r="E722" s="7">
        <v>0</v>
      </c>
      <c r="F722" s="7">
        <v>0</v>
      </c>
      <c r="G722" s="7">
        <v>0</v>
      </c>
      <c r="H722" s="7">
        <v>0</v>
      </c>
      <c r="I722" s="7">
        <v>9</v>
      </c>
      <c r="J722" s="7">
        <v>2</v>
      </c>
      <c r="K722" s="7">
        <v>72</v>
      </c>
      <c r="L722" t="b">
        <f t="shared" si="11"/>
        <v>1</v>
      </c>
    </row>
    <row r="723" spans="1:12" x14ac:dyDescent="0.25">
      <c r="A723" s="7" t="s">
        <v>1717</v>
      </c>
      <c r="B723" s="7">
        <v>0</v>
      </c>
      <c r="C723" s="7">
        <v>94</v>
      </c>
      <c r="D723" s="7">
        <v>51</v>
      </c>
      <c r="E723" s="7">
        <v>0</v>
      </c>
      <c r="F723" s="7">
        <v>0</v>
      </c>
      <c r="G723" s="7">
        <v>0</v>
      </c>
      <c r="H723" s="7">
        <v>0</v>
      </c>
      <c r="I723" s="7">
        <v>4</v>
      </c>
      <c r="J723" s="7">
        <v>5</v>
      </c>
      <c r="K723" s="7">
        <v>154</v>
      </c>
      <c r="L723" t="b">
        <f t="shared" si="11"/>
        <v>1</v>
      </c>
    </row>
    <row r="724" spans="1:12" x14ac:dyDescent="0.25">
      <c r="A724" s="7" t="s">
        <v>1718</v>
      </c>
      <c r="B724" s="7">
        <v>0</v>
      </c>
      <c r="C724" s="7">
        <v>78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78</v>
      </c>
      <c r="L724" t="b">
        <f t="shared" si="11"/>
        <v>1</v>
      </c>
    </row>
    <row r="725" spans="1:12" x14ac:dyDescent="0.25">
      <c r="A725" s="7" t="s">
        <v>1719</v>
      </c>
      <c r="B725" s="7">
        <v>0</v>
      </c>
      <c r="C725" s="7">
        <v>12</v>
      </c>
      <c r="D725" s="7">
        <v>13</v>
      </c>
      <c r="E725" s="7">
        <v>0</v>
      </c>
      <c r="F725" s="7">
        <v>0</v>
      </c>
      <c r="G725" s="7">
        <v>1</v>
      </c>
      <c r="H725" s="7">
        <v>0</v>
      </c>
      <c r="I725" s="7">
        <v>53</v>
      </c>
      <c r="J725" s="7">
        <v>3</v>
      </c>
      <c r="K725" s="7">
        <v>82</v>
      </c>
      <c r="L725" t="b">
        <f t="shared" si="11"/>
        <v>1</v>
      </c>
    </row>
    <row r="726" spans="1:12" x14ac:dyDescent="0.25">
      <c r="A726" s="7" t="s">
        <v>1720</v>
      </c>
      <c r="B726" s="7">
        <v>0</v>
      </c>
      <c r="C726" s="7">
        <v>137</v>
      </c>
      <c r="D726" s="7">
        <v>0</v>
      </c>
      <c r="E726" s="7">
        <v>0</v>
      </c>
      <c r="F726" s="7">
        <v>0</v>
      </c>
      <c r="G726" s="7">
        <v>1</v>
      </c>
      <c r="H726" s="7">
        <v>0</v>
      </c>
      <c r="I726" s="7">
        <v>0</v>
      </c>
      <c r="J726" s="7">
        <v>0</v>
      </c>
      <c r="K726" s="7">
        <v>138</v>
      </c>
      <c r="L726" t="b">
        <f t="shared" si="11"/>
        <v>1</v>
      </c>
    </row>
    <row r="727" spans="1:12" x14ac:dyDescent="0.25">
      <c r="A727" s="7" t="s">
        <v>1721</v>
      </c>
      <c r="B727" s="7">
        <v>0</v>
      </c>
      <c r="C727" s="7">
        <v>85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85</v>
      </c>
      <c r="L727" t="b">
        <f t="shared" si="11"/>
        <v>1</v>
      </c>
    </row>
    <row r="728" spans="1:12" x14ac:dyDescent="0.25">
      <c r="A728" s="7" t="s">
        <v>1722</v>
      </c>
      <c r="B728" s="7">
        <v>0</v>
      </c>
      <c r="C728" s="7">
        <v>146</v>
      </c>
      <c r="D728" s="7">
        <v>0</v>
      </c>
      <c r="E728" s="7">
        <v>0</v>
      </c>
      <c r="F728" s="7">
        <v>0</v>
      </c>
      <c r="G728" s="7">
        <v>1</v>
      </c>
      <c r="H728" s="7">
        <v>0</v>
      </c>
      <c r="I728" s="7">
        <v>0</v>
      </c>
      <c r="J728" s="7">
        <v>0</v>
      </c>
      <c r="K728" s="7">
        <v>147</v>
      </c>
      <c r="L728" t="b">
        <f t="shared" si="11"/>
        <v>1</v>
      </c>
    </row>
    <row r="729" spans="1:12" x14ac:dyDescent="0.25">
      <c r="A729" s="7" t="s">
        <v>1723</v>
      </c>
      <c r="B729" s="7">
        <v>0</v>
      </c>
      <c r="C729" s="7">
        <v>110</v>
      </c>
      <c r="D729" s="7">
        <v>0</v>
      </c>
      <c r="E729" s="7">
        <v>0</v>
      </c>
      <c r="F729" s="7">
        <v>0</v>
      </c>
      <c r="G729" s="7">
        <v>1</v>
      </c>
      <c r="H729" s="7">
        <v>0</v>
      </c>
      <c r="I729" s="7">
        <v>0</v>
      </c>
      <c r="J729" s="7">
        <v>0</v>
      </c>
      <c r="K729" s="7">
        <v>111</v>
      </c>
      <c r="L729" t="b">
        <f t="shared" si="11"/>
        <v>1</v>
      </c>
    </row>
    <row r="730" spans="1:12" x14ac:dyDescent="0.25">
      <c r="A730" s="7" t="s">
        <v>1724</v>
      </c>
      <c r="B730" s="7">
        <v>0</v>
      </c>
      <c r="C730" s="7">
        <v>87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87</v>
      </c>
      <c r="L730" t="b">
        <f t="shared" si="11"/>
        <v>1</v>
      </c>
    </row>
    <row r="731" spans="1:12" x14ac:dyDescent="0.25">
      <c r="A731" s="7" t="s">
        <v>1725</v>
      </c>
      <c r="B731" s="7">
        <v>0</v>
      </c>
      <c r="C731" s="7">
        <v>59</v>
      </c>
      <c r="D731" s="7">
        <v>0</v>
      </c>
      <c r="E731" s="7">
        <v>0</v>
      </c>
      <c r="F731" s="7">
        <v>0</v>
      </c>
      <c r="G731" s="7">
        <v>1</v>
      </c>
      <c r="H731" s="7">
        <v>0</v>
      </c>
      <c r="I731" s="7">
        <v>0</v>
      </c>
      <c r="J731" s="7">
        <v>0</v>
      </c>
      <c r="K731" s="7">
        <v>60</v>
      </c>
      <c r="L731" t="b">
        <f t="shared" si="11"/>
        <v>1</v>
      </c>
    </row>
    <row r="732" spans="1:12" x14ac:dyDescent="0.25">
      <c r="A732" s="7" t="s">
        <v>1726</v>
      </c>
      <c r="B732" s="7">
        <v>0</v>
      </c>
      <c r="C732" s="7">
        <v>99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99</v>
      </c>
      <c r="L732" t="b">
        <f t="shared" si="11"/>
        <v>1</v>
      </c>
    </row>
    <row r="733" spans="1:12" x14ac:dyDescent="0.25">
      <c r="A733" s="7" t="s">
        <v>1727</v>
      </c>
      <c r="B733" s="7">
        <v>0</v>
      </c>
      <c r="C733" s="7">
        <v>67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67</v>
      </c>
      <c r="L733" t="b">
        <f t="shared" si="11"/>
        <v>1</v>
      </c>
    </row>
    <row r="734" spans="1:12" x14ac:dyDescent="0.25">
      <c r="A734" s="7" t="s">
        <v>1728</v>
      </c>
      <c r="B734" s="7">
        <v>0</v>
      </c>
      <c r="C734" s="7">
        <v>142</v>
      </c>
      <c r="D734" s="7">
        <v>0</v>
      </c>
      <c r="E734" s="7">
        <v>0</v>
      </c>
      <c r="F734" s="7">
        <v>0</v>
      </c>
      <c r="G734" s="7">
        <v>2</v>
      </c>
      <c r="H734" s="7">
        <v>0</v>
      </c>
      <c r="I734" s="7">
        <v>0</v>
      </c>
      <c r="J734" s="7">
        <v>0</v>
      </c>
      <c r="K734" s="7">
        <v>144</v>
      </c>
      <c r="L734" t="b">
        <f t="shared" si="11"/>
        <v>1</v>
      </c>
    </row>
    <row r="735" spans="1:12" x14ac:dyDescent="0.25">
      <c r="A735" s="7" t="s">
        <v>1729</v>
      </c>
      <c r="B735" s="7">
        <v>0</v>
      </c>
      <c r="C735" s="7">
        <v>113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113</v>
      </c>
      <c r="L735" t="b">
        <f t="shared" si="11"/>
        <v>1</v>
      </c>
    </row>
    <row r="736" spans="1:12" x14ac:dyDescent="0.25">
      <c r="A736" s="7" t="s">
        <v>1730</v>
      </c>
      <c r="B736" s="7">
        <v>0</v>
      </c>
      <c r="C736" s="7">
        <v>111</v>
      </c>
      <c r="D736" s="7">
        <v>0</v>
      </c>
      <c r="E736" s="7">
        <v>0</v>
      </c>
      <c r="F736" s="7">
        <v>0</v>
      </c>
      <c r="G736" s="7">
        <v>1</v>
      </c>
      <c r="H736" s="7">
        <v>0</v>
      </c>
      <c r="I736" s="7">
        <v>0</v>
      </c>
      <c r="J736" s="7">
        <v>0</v>
      </c>
      <c r="K736" s="7">
        <v>112</v>
      </c>
      <c r="L736" t="b">
        <f t="shared" si="11"/>
        <v>1</v>
      </c>
    </row>
    <row r="737" spans="1:12" x14ac:dyDescent="0.25">
      <c r="A737" s="7" t="s">
        <v>1731</v>
      </c>
      <c r="B737" s="7">
        <v>0</v>
      </c>
      <c r="C737" s="7">
        <v>87</v>
      </c>
      <c r="D737" s="7">
        <v>0</v>
      </c>
      <c r="E737" s="7">
        <v>0</v>
      </c>
      <c r="F737" s="7">
        <v>0</v>
      </c>
      <c r="G737" s="7">
        <v>1</v>
      </c>
      <c r="H737" s="7">
        <v>0</v>
      </c>
      <c r="I737" s="7">
        <v>0</v>
      </c>
      <c r="J737" s="7">
        <v>0</v>
      </c>
      <c r="K737" s="7">
        <v>88</v>
      </c>
      <c r="L737" t="b">
        <f t="shared" si="11"/>
        <v>1</v>
      </c>
    </row>
    <row r="738" spans="1:12" x14ac:dyDescent="0.25">
      <c r="A738" s="7" t="s">
        <v>1732</v>
      </c>
      <c r="B738" s="7">
        <v>0</v>
      </c>
      <c r="C738" s="7">
        <v>139</v>
      </c>
      <c r="D738" s="7">
        <v>0</v>
      </c>
      <c r="E738" s="7">
        <v>0</v>
      </c>
      <c r="F738" s="7">
        <v>0</v>
      </c>
      <c r="G738" s="7">
        <v>2</v>
      </c>
      <c r="H738" s="7">
        <v>0</v>
      </c>
      <c r="I738" s="7">
        <v>0</v>
      </c>
      <c r="J738" s="7">
        <v>0</v>
      </c>
      <c r="K738" s="7">
        <v>141</v>
      </c>
      <c r="L738" t="b">
        <f t="shared" si="11"/>
        <v>1</v>
      </c>
    </row>
    <row r="739" spans="1:12" x14ac:dyDescent="0.25">
      <c r="A739" s="7" t="s">
        <v>1733</v>
      </c>
      <c r="B739" s="7">
        <v>0</v>
      </c>
      <c r="C739" s="7">
        <v>144</v>
      </c>
      <c r="D739" s="7">
        <v>0</v>
      </c>
      <c r="E739" s="7">
        <v>0</v>
      </c>
      <c r="F739" s="7">
        <v>0</v>
      </c>
      <c r="G739" s="7">
        <v>12</v>
      </c>
      <c r="H739" s="7">
        <v>0</v>
      </c>
      <c r="I739" s="7">
        <v>0</v>
      </c>
      <c r="J739" s="7">
        <v>0</v>
      </c>
      <c r="K739" s="7">
        <v>156</v>
      </c>
      <c r="L739" t="b">
        <f t="shared" si="11"/>
        <v>1</v>
      </c>
    </row>
    <row r="740" spans="1:12" x14ac:dyDescent="0.25">
      <c r="A740" s="7" t="s">
        <v>1734</v>
      </c>
      <c r="B740" s="7">
        <v>0</v>
      </c>
      <c r="C740" s="7">
        <v>253</v>
      </c>
      <c r="D740" s="7">
        <v>0</v>
      </c>
      <c r="E740" s="7">
        <v>0</v>
      </c>
      <c r="F740" s="7">
        <v>0</v>
      </c>
      <c r="G740" s="7">
        <v>4</v>
      </c>
      <c r="H740" s="7">
        <v>0</v>
      </c>
      <c r="I740" s="7">
        <v>0</v>
      </c>
      <c r="J740" s="7">
        <v>0</v>
      </c>
      <c r="K740" s="7">
        <v>257</v>
      </c>
      <c r="L740" t="b">
        <f t="shared" si="11"/>
        <v>1</v>
      </c>
    </row>
    <row r="741" spans="1:12" x14ac:dyDescent="0.25">
      <c r="A741" s="7" t="s">
        <v>1735</v>
      </c>
      <c r="B741" s="7">
        <v>0</v>
      </c>
      <c r="C741" s="7">
        <v>244</v>
      </c>
      <c r="D741" s="7">
        <v>0</v>
      </c>
      <c r="E741" s="7">
        <v>0</v>
      </c>
      <c r="F741" s="7">
        <v>0</v>
      </c>
      <c r="G741" s="7">
        <v>4</v>
      </c>
      <c r="H741" s="7">
        <v>0</v>
      </c>
      <c r="I741" s="7">
        <v>0</v>
      </c>
      <c r="J741" s="7">
        <v>0</v>
      </c>
      <c r="K741" s="7">
        <v>248</v>
      </c>
      <c r="L741" t="b">
        <f t="shared" si="11"/>
        <v>1</v>
      </c>
    </row>
    <row r="742" spans="1:12" x14ac:dyDescent="0.25">
      <c r="A742" s="7" t="s">
        <v>1736</v>
      </c>
      <c r="B742" s="7">
        <v>0</v>
      </c>
      <c r="C742" s="7">
        <v>87</v>
      </c>
      <c r="D742" s="7">
        <v>0</v>
      </c>
      <c r="E742" s="7">
        <v>0</v>
      </c>
      <c r="F742" s="7">
        <v>0</v>
      </c>
      <c r="G742" s="7">
        <v>2</v>
      </c>
      <c r="H742" s="7">
        <v>0</v>
      </c>
      <c r="I742" s="7">
        <v>0</v>
      </c>
      <c r="J742" s="7">
        <v>0</v>
      </c>
      <c r="K742" s="7">
        <v>89</v>
      </c>
      <c r="L742" t="b">
        <f t="shared" si="11"/>
        <v>1</v>
      </c>
    </row>
    <row r="743" spans="1:12" x14ac:dyDescent="0.25">
      <c r="A743" s="7" t="s">
        <v>1737</v>
      </c>
      <c r="B743" s="7">
        <v>0</v>
      </c>
      <c r="C743" s="7">
        <v>83</v>
      </c>
      <c r="D743" s="7">
        <v>0</v>
      </c>
      <c r="E743" s="7">
        <v>0</v>
      </c>
      <c r="F743" s="7">
        <v>0</v>
      </c>
      <c r="G743" s="7">
        <v>1</v>
      </c>
      <c r="H743" s="7">
        <v>0</v>
      </c>
      <c r="I743" s="7">
        <v>0</v>
      </c>
      <c r="J743" s="7">
        <v>0</v>
      </c>
      <c r="K743" s="7">
        <v>84</v>
      </c>
      <c r="L743" t="b">
        <f t="shared" si="11"/>
        <v>1</v>
      </c>
    </row>
    <row r="744" spans="1:12" x14ac:dyDescent="0.25">
      <c r="A744" s="7" t="s">
        <v>1738</v>
      </c>
      <c r="B744" s="7">
        <v>0</v>
      </c>
      <c r="C744" s="7">
        <v>124</v>
      </c>
      <c r="D744" s="7">
        <v>0</v>
      </c>
      <c r="E744" s="7">
        <v>0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7">
        <v>125</v>
      </c>
      <c r="L744" t="b">
        <f t="shared" si="11"/>
        <v>1</v>
      </c>
    </row>
    <row r="745" spans="1:12" x14ac:dyDescent="0.25">
      <c r="A745" s="7" t="s">
        <v>1739</v>
      </c>
      <c r="B745" s="7">
        <v>0</v>
      </c>
      <c r="C745" s="7">
        <v>94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94</v>
      </c>
      <c r="L745" t="b">
        <f t="shared" si="11"/>
        <v>1</v>
      </c>
    </row>
    <row r="746" spans="1:12" x14ac:dyDescent="0.25">
      <c r="A746" s="7" t="s">
        <v>1740</v>
      </c>
      <c r="B746" s="7">
        <v>0</v>
      </c>
      <c r="C746" s="7">
        <v>66</v>
      </c>
      <c r="D746" s="7">
        <v>0</v>
      </c>
      <c r="E746" s="7">
        <v>0</v>
      </c>
      <c r="F746" s="7">
        <v>0</v>
      </c>
      <c r="G746" s="7">
        <v>1</v>
      </c>
      <c r="H746" s="7">
        <v>0</v>
      </c>
      <c r="I746" s="7">
        <v>5</v>
      </c>
      <c r="J746" s="7">
        <v>1</v>
      </c>
      <c r="K746" s="7">
        <v>73</v>
      </c>
      <c r="L746" t="b">
        <f t="shared" si="11"/>
        <v>1</v>
      </c>
    </row>
    <row r="747" spans="1:12" x14ac:dyDescent="0.25">
      <c r="A747" s="7" t="s">
        <v>1741</v>
      </c>
      <c r="B747" s="7">
        <v>0</v>
      </c>
      <c r="C747" s="7">
        <v>50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3</v>
      </c>
      <c r="J747" s="7">
        <v>0</v>
      </c>
      <c r="K747" s="7">
        <v>53</v>
      </c>
      <c r="L747" t="b">
        <f t="shared" si="11"/>
        <v>1</v>
      </c>
    </row>
    <row r="748" spans="1:12" x14ac:dyDescent="0.25">
      <c r="A748" s="7" t="s">
        <v>1742</v>
      </c>
      <c r="B748" s="7">
        <v>0</v>
      </c>
      <c r="C748" s="7">
        <v>61</v>
      </c>
      <c r="D748" s="7">
        <v>0</v>
      </c>
      <c r="E748" s="7">
        <v>0</v>
      </c>
      <c r="F748" s="7">
        <v>1</v>
      </c>
      <c r="G748" s="7">
        <v>1</v>
      </c>
      <c r="H748" s="7">
        <v>0</v>
      </c>
      <c r="I748" s="7">
        <v>2</v>
      </c>
      <c r="J748" s="7">
        <v>0</v>
      </c>
      <c r="K748" s="7">
        <v>65</v>
      </c>
      <c r="L748" t="b">
        <f t="shared" si="11"/>
        <v>1</v>
      </c>
    </row>
    <row r="749" spans="1:12" x14ac:dyDescent="0.25">
      <c r="A749" s="7" t="s">
        <v>1743</v>
      </c>
      <c r="B749" s="7">
        <v>0</v>
      </c>
      <c r="C749" s="7">
        <v>231</v>
      </c>
      <c r="D749" s="7">
        <v>1</v>
      </c>
      <c r="E749" s="7">
        <v>0</v>
      </c>
      <c r="F749" s="7">
        <v>0</v>
      </c>
      <c r="G749" s="7">
        <v>0</v>
      </c>
      <c r="H749" s="7">
        <v>0</v>
      </c>
      <c r="I749" s="7">
        <v>21</v>
      </c>
      <c r="J749" s="7">
        <v>0</v>
      </c>
      <c r="K749" s="7">
        <v>253</v>
      </c>
      <c r="L749" t="b">
        <f t="shared" si="11"/>
        <v>1</v>
      </c>
    </row>
    <row r="750" spans="1:12" x14ac:dyDescent="0.25">
      <c r="A750" s="7" t="s">
        <v>1744</v>
      </c>
      <c r="B750" s="7">
        <v>0</v>
      </c>
      <c r="C750" s="7">
        <v>34</v>
      </c>
      <c r="D750" s="7">
        <v>2</v>
      </c>
      <c r="E750" s="7">
        <v>0</v>
      </c>
      <c r="F750" s="7">
        <v>0</v>
      </c>
      <c r="G750" s="7">
        <v>1</v>
      </c>
      <c r="H750" s="7">
        <v>0</v>
      </c>
      <c r="I750" s="7">
        <v>0</v>
      </c>
      <c r="J750" s="7">
        <v>0</v>
      </c>
      <c r="K750" s="7">
        <v>37</v>
      </c>
      <c r="L750" t="b">
        <f t="shared" si="11"/>
        <v>1</v>
      </c>
    </row>
    <row r="751" spans="1:12" x14ac:dyDescent="0.25">
      <c r="A751" s="7" t="s">
        <v>1745</v>
      </c>
      <c r="B751" s="7">
        <v>0</v>
      </c>
      <c r="C751" s="7">
        <v>83</v>
      </c>
      <c r="D751" s="7">
        <v>0</v>
      </c>
      <c r="E751" s="7">
        <v>0</v>
      </c>
      <c r="F751" s="7">
        <v>0</v>
      </c>
      <c r="G751" s="7">
        <v>1</v>
      </c>
      <c r="H751" s="7">
        <v>0</v>
      </c>
      <c r="I751" s="7">
        <v>0</v>
      </c>
      <c r="J751" s="7">
        <v>0</v>
      </c>
      <c r="K751" s="7">
        <v>84</v>
      </c>
      <c r="L751" t="b">
        <f t="shared" si="11"/>
        <v>1</v>
      </c>
    </row>
    <row r="752" spans="1:12" x14ac:dyDescent="0.25">
      <c r="A752" s="7" t="s">
        <v>1746</v>
      </c>
      <c r="B752" s="7">
        <v>0</v>
      </c>
      <c r="C752" s="7">
        <v>52</v>
      </c>
      <c r="D752" s="7">
        <v>0</v>
      </c>
      <c r="E752" s="7">
        <v>0</v>
      </c>
      <c r="F752" s="7">
        <v>0</v>
      </c>
      <c r="G752" s="7">
        <v>1</v>
      </c>
      <c r="H752" s="7">
        <v>0</v>
      </c>
      <c r="I752" s="7">
        <v>9</v>
      </c>
      <c r="J752" s="7">
        <v>0</v>
      </c>
      <c r="K752" s="7">
        <v>62</v>
      </c>
      <c r="L752" t="b">
        <f t="shared" si="11"/>
        <v>1</v>
      </c>
    </row>
    <row r="753" spans="1:12" x14ac:dyDescent="0.25">
      <c r="A753" s="7" t="s">
        <v>1747</v>
      </c>
      <c r="B753" s="7">
        <v>0</v>
      </c>
      <c r="C753" s="7">
        <v>69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69</v>
      </c>
      <c r="L753" t="b">
        <f t="shared" si="11"/>
        <v>1</v>
      </c>
    </row>
    <row r="754" spans="1:12" x14ac:dyDescent="0.25">
      <c r="A754" s="7" t="s">
        <v>1748</v>
      </c>
      <c r="B754" s="7">
        <v>0</v>
      </c>
      <c r="C754" s="7">
        <v>97</v>
      </c>
      <c r="D754" s="7">
        <v>0</v>
      </c>
      <c r="E754" s="7">
        <v>0</v>
      </c>
      <c r="F754" s="7">
        <v>0</v>
      </c>
      <c r="G754" s="7">
        <v>1</v>
      </c>
      <c r="H754" s="7">
        <v>0</v>
      </c>
      <c r="I754" s="7">
        <v>0</v>
      </c>
      <c r="J754" s="7">
        <v>0</v>
      </c>
      <c r="K754" s="7">
        <v>98</v>
      </c>
      <c r="L754" t="b">
        <f t="shared" si="11"/>
        <v>1</v>
      </c>
    </row>
    <row r="755" spans="1:12" x14ac:dyDescent="0.25">
      <c r="A755" s="7" t="s">
        <v>1749</v>
      </c>
      <c r="B755" s="7">
        <v>0</v>
      </c>
      <c r="C755" s="7">
        <v>56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56</v>
      </c>
      <c r="L755" t="b">
        <f t="shared" si="11"/>
        <v>1</v>
      </c>
    </row>
    <row r="756" spans="1:12" x14ac:dyDescent="0.25">
      <c r="A756" s="7" t="s">
        <v>1750</v>
      </c>
      <c r="B756" s="7">
        <v>0</v>
      </c>
      <c r="C756" s="7">
        <v>215</v>
      </c>
      <c r="D756" s="7">
        <v>0</v>
      </c>
      <c r="E756" s="7">
        <v>0</v>
      </c>
      <c r="F756" s="7">
        <v>0</v>
      </c>
      <c r="G756" s="7">
        <v>4</v>
      </c>
      <c r="H756" s="7">
        <v>0</v>
      </c>
      <c r="I756" s="7">
        <v>4</v>
      </c>
      <c r="J756" s="7">
        <v>0</v>
      </c>
      <c r="K756" s="7">
        <v>223</v>
      </c>
      <c r="L756" t="b">
        <f t="shared" si="11"/>
        <v>1</v>
      </c>
    </row>
    <row r="757" spans="1:12" x14ac:dyDescent="0.25">
      <c r="A757" s="7" t="s">
        <v>1751</v>
      </c>
      <c r="B757" s="7">
        <v>0</v>
      </c>
      <c r="C757" s="7">
        <v>3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119</v>
      </c>
      <c r="J757" s="7">
        <v>0</v>
      </c>
      <c r="K757" s="7">
        <v>122</v>
      </c>
      <c r="L757" t="b">
        <f t="shared" si="11"/>
        <v>1</v>
      </c>
    </row>
    <row r="758" spans="1:12" x14ac:dyDescent="0.25">
      <c r="A758" s="7" t="s">
        <v>1752</v>
      </c>
      <c r="B758" s="7">
        <v>0</v>
      </c>
      <c r="C758" s="7">
        <v>142</v>
      </c>
      <c r="D758" s="7">
        <v>0</v>
      </c>
      <c r="E758" s="7">
        <v>0</v>
      </c>
      <c r="F758" s="7">
        <v>0</v>
      </c>
      <c r="G758" s="7">
        <v>1</v>
      </c>
      <c r="H758" s="7">
        <v>0</v>
      </c>
      <c r="I758" s="7">
        <v>0</v>
      </c>
      <c r="J758" s="7">
        <v>0</v>
      </c>
      <c r="K758" s="7">
        <v>143</v>
      </c>
      <c r="L758" t="b">
        <f t="shared" si="11"/>
        <v>1</v>
      </c>
    </row>
    <row r="759" spans="1:12" x14ac:dyDescent="0.25">
      <c r="A759" s="7" t="s">
        <v>1753</v>
      </c>
      <c r="B759" s="7">
        <v>0</v>
      </c>
      <c r="C759" s="7">
        <v>8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282</v>
      </c>
      <c r="J759" s="7">
        <v>0</v>
      </c>
      <c r="K759" s="7">
        <v>290</v>
      </c>
      <c r="L759" t="b">
        <f t="shared" si="11"/>
        <v>1</v>
      </c>
    </row>
    <row r="760" spans="1:12" x14ac:dyDescent="0.25">
      <c r="A760" s="7" t="s">
        <v>1754</v>
      </c>
      <c r="B760" s="7">
        <v>0</v>
      </c>
      <c r="C760" s="7">
        <v>101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101</v>
      </c>
      <c r="L760" t="b">
        <f t="shared" si="11"/>
        <v>1</v>
      </c>
    </row>
    <row r="761" spans="1:12" x14ac:dyDescent="0.25">
      <c r="A761" s="7" t="s">
        <v>1755</v>
      </c>
      <c r="B761" s="7">
        <v>0</v>
      </c>
      <c r="C761" s="7">
        <v>171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171</v>
      </c>
      <c r="L761" t="b">
        <f t="shared" si="11"/>
        <v>1</v>
      </c>
    </row>
    <row r="762" spans="1:12" x14ac:dyDescent="0.25">
      <c r="A762" s="7" t="s">
        <v>1756</v>
      </c>
      <c r="B762" s="7">
        <v>0</v>
      </c>
      <c r="C762" s="7">
        <v>3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  <c r="I762" s="7">
        <v>63</v>
      </c>
      <c r="J762" s="7">
        <v>0</v>
      </c>
      <c r="K762" s="7">
        <v>66</v>
      </c>
      <c r="L762" t="b">
        <f t="shared" si="11"/>
        <v>1</v>
      </c>
    </row>
    <row r="763" spans="1:12" x14ac:dyDescent="0.25">
      <c r="A763" s="7" t="s">
        <v>1757</v>
      </c>
      <c r="B763" s="7">
        <v>0</v>
      </c>
      <c r="C763" s="7">
        <v>16</v>
      </c>
      <c r="D763" s="7">
        <v>0</v>
      </c>
      <c r="E763" s="7">
        <v>0</v>
      </c>
      <c r="F763" s="7">
        <v>0</v>
      </c>
      <c r="G763" s="7">
        <v>1</v>
      </c>
      <c r="H763" s="7">
        <v>0</v>
      </c>
      <c r="I763" s="7">
        <v>31</v>
      </c>
      <c r="J763" s="7">
        <v>0</v>
      </c>
      <c r="K763" s="7">
        <v>48</v>
      </c>
      <c r="L763" t="b">
        <f t="shared" si="11"/>
        <v>1</v>
      </c>
    </row>
    <row r="764" spans="1:12" x14ac:dyDescent="0.25">
      <c r="A764" s="7" t="s">
        <v>1758</v>
      </c>
      <c r="B764" s="7">
        <v>0</v>
      </c>
      <c r="C764" s="7">
        <v>29</v>
      </c>
      <c r="D764" s="7">
        <v>0</v>
      </c>
      <c r="E764" s="7">
        <v>0</v>
      </c>
      <c r="F764" s="7">
        <v>0</v>
      </c>
      <c r="G764" s="7">
        <v>6</v>
      </c>
      <c r="H764" s="7">
        <v>0</v>
      </c>
      <c r="I764" s="7">
        <v>29</v>
      </c>
      <c r="J764" s="7">
        <v>0</v>
      </c>
      <c r="K764" s="7">
        <v>64</v>
      </c>
      <c r="L764" t="b">
        <f t="shared" si="11"/>
        <v>1</v>
      </c>
    </row>
    <row r="765" spans="1:12" x14ac:dyDescent="0.25">
      <c r="A765" s="7" t="s">
        <v>1759</v>
      </c>
      <c r="B765" s="7">
        <v>0</v>
      </c>
      <c r="C765" s="7">
        <v>8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53</v>
      </c>
      <c r="J765" s="7">
        <v>0</v>
      </c>
      <c r="K765" s="7">
        <v>61</v>
      </c>
      <c r="L765" t="b">
        <f t="shared" si="11"/>
        <v>1</v>
      </c>
    </row>
    <row r="766" spans="1:12" x14ac:dyDescent="0.25">
      <c r="A766" s="7" t="s">
        <v>1760</v>
      </c>
      <c r="B766" s="7">
        <v>0</v>
      </c>
      <c r="C766" s="7">
        <v>2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41</v>
      </c>
      <c r="J766" s="7">
        <v>0</v>
      </c>
      <c r="K766" s="7">
        <v>43</v>
      </c>
      <c r="L766" t="b">
        <f t="shared" si="11"/>
        <v>1</v>
      </c>
    </row>
    <row r="767" spans="1:12" x14ac:dyDescent="0.25">
      <c r="A767" s="7" t="s">
        <v>1761</v>
      </c>
      <c r="B767" s="7">
        <v>0</v>
      </c>
      <c r="C767" s="7">
        <v>5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63</v>
      </c>
      <c r="J767" s="7">
        <v>0</v>
      </c>
      <c r="K767" s="7">
        <v>68</v>
      </c>
      <c r="L767" t="b">
        <f t="shared" si="11"/>
        <v>1</v>
      </c>
    </row>
    <row r="768" spans="1:12" x14ac:dyDescent="0.25">
      <c r="A768" s="7" t="s">
        <v>1762</v>
      </c>
      <c r="B768" s="7">
        <v>0</v>
      </c>
      <c r="C768" s="7">
        <v>18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42</v>
      </c>
      <c r="J768" s="7">
        <v>0</v>
      </c>
      <c r="K768" s="7">
        <v>60</v>
      </c>
      <c r="L768" t="b">
        <f t="shared" si="11"/>
        <v>1</v>
      </c>
    </row>
    <row r="769" spans="1:12" x14ac:dyDescent="0.25">
      <c r="A769" s="7" t="s">
        <v>1763</v>
      </c>
      <c r="B769" s="7">
        <v>0</v>
      </c>
      <c r="C769" s="7">
        <v>8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44</v>
      </c>
      <c r="J769" s="7">
        <v>0</v>
      </c>
      <c r="K769" s="7">
        <v>52</v>
      </c>
      <c r="L769" t="b">
        <f t="shared" si="11"/>
        <v>1</v>
      </c>
    </row>
    <row r="770" spans="1:12" x14ac:dyDescent="0.25">
      <c r="A770" s="7" t="s">
        <v>1764</v>
      </c>
      <c r="B770" s="7">
        <v>0</v>
      </c>
      <c r="C770" s="7">
        <v>3</v>
      </c>
      <c r="D770" s="7">
        <v>0</v>
      </c>
      <c r="E770" s="7">
        <v>0</v>
      </c>
      <c r="F770" s="7">
        <v>0</v>
      </c>
      <c r="G770" s="7">
        <v>0</v>
      </c>
      <c r="H770" s="7">
        <v>0</v>
      </c>
      <c r="I770" s="7">
        <v>107</v>
      </c>
      <c r="J770" s="7">
        <v>0</v>
      </c>
      <c r="K770" s="7">
        <v>110</v>
      </c>
      <c r="L770" t="b">
        <f t="shared" si="11"/>
        <v>1</v>
      </c>
    </row>
    <row r="771" spans="1:12" x14ac:dyDescent="0.25">
      <c r="A771" s="7" t="s">
        <v>1765</v>
      </c>
      <c r="B771" s="7">
        <v>0</v>
      </c>
      <c r="C771" s="7">
        <v>39</v>
      </c>
      <c r="D771" s="7">
        <v>15</v>
      </c>
      <c r="E771" s="7">
        <v>0</v>
      </c>
      <c r="F771" s="7">
        <v>3</v>
      </c>
      <c r="G771" s="7">
        <v>8</v>
      </c>
      <c r="H771" s="7">
        <v>0</v>
      </c>
      <c r="I771" s="7">
        <v>17</v>
      </c>
      <c r="J771" s="7">
        <v>0</v>
      </c>
      <c r="K771" s="7">
        <v>82</v>
      </c>
      <c r="L771" t="b">
        <f t="shared" ref="L771:L834" si="12">K771=SUM(B771:J771)</f>
        <v>1</v>
      </c>
    </row>
    <row r="772" spans="1:12" x14ac:dyDescent="0.25">
      <c r="A772" s="7" t="s">
        <v>1766</v>
      </c>
      <c r="B772" s="7">
        <v>0</v>
      </c>
      <c r="C772" s="7">
        <v>0</v>
      </c>
      <c r="D772" s="7">
        <v>18</v>
      </c>
      <c r="E772" s="7">
        <v>0</v>
      </c>
      <c r="F772" s="7">
        <v>0</v>
      </c>
      <c r="G772" s="7">
        <v>1</v>
      </c>
      <c r="H772" s="7">
        <v>0</v>
      </c>
      <c r="I772" s="7">
        <v>3</v>
      </c>
      <c r="J772" s="7">
        <v>16</v>
      </c>
      <c r="K772" s="7">
        <v>38</v>
      </c>
      <c r="L772" t="b">
        <f t="shared" si="12"/>
        <v>1</v>
      </c>
    </row>
    <row r="773" spans="1:12" x14ac:dyDescent="0.25">
      <c r="A773" s="7" t="s">
        <v>1767</v>
      </c>
      <c r="B773" s="7">
        <v>0</v>
      </c>
      <c r="C773" s="7">
        <v>0</v>
      </c>
      <c r="D773" s="7">
        <v>6</v>
      </c>
      <c r="E773" s="7">
        <v>0</v>
      </c>
      <c r="F773" s="7">
        <v>0</v>
      </c>
      <c r="G773" s="7">
        <v>0</v>
      </c>
      <c r="H773" s="7">
        <v>0</v>
      </c>
      <c r="I773" s="7">
        <v>1</v>
      </c>
      <c r="J773" s="7">
        <v>27</v>
      </c>
      <c r="K773" s="7">
        <v>34</v>
      </c>
      <c r="L773" t="b">
        <f t="shared" si="12"/>
        <v>1</v>
      </c>
    </row>
    <row r="774" spans="1:12" x14ac:dyDescent="0.25">
      <c r="A774" s="7" t="s">
        <v>1768</v>
      </c>
      <c r="B774" s="7">
        <v>0</v>
      </c>
      <c r="C774" s="7">
        <v>116</v>
      </c>
      <c r="D774" s="7">
        <v>3</v>
      </c>
      <c r="E774" s="7">
        <v>0</v>
      </c>
      <c r="F774" s="7">
        <v>0</v>
      </c>
      <c r="G774" s="7">
        <v>2</v>
      </c>
      <c r="H774" s="7">
        <v>0</v>
      </c>
      <c r="I774" s="7">
        <v>13</v>
      </c>
      <c r="J774" s="7">
        <v>0</v>
      </c>
      <c r="K774" s="7">
        <v>134</v>
      </c>
      <c r="L774" t="b">
        <f t="shared" si="12"/>
        <v>1</v>
      </c>
    </row>
    <row r="775" spans="1:12" x14ac:dyDescent="0.25">
      <c r="A775" s="7" t="s">
        <v>1769</v>
      </c>
      <c r="B775" s="7">
        <v>0</v>
      </c>
      <c r="C775" s="7">
        <v>61</v>
      </c>
      <c r="D775" s="7">
        <v>2</v>
      </c>
      <c r="E775" s="7">
        <v>0</v>
      </c>
      <c r="F775" s="7">
        <v>0</v>
      </c>
      <c r="G775" s="7">
        <v>17</v>
      </c>
      <c r="H775" s="7">
        <v>0</v>
      </c>
      <c r="I775" s="7">
        <v>8</v>
      </c>
      <c r="J775" s="7">
        <v>0</v>
      </c>
      <c r="K775" s="7">
        <v>88</v>
      </c>
      <c r="L775" t="b">
        <f t="shared" si="12"/>
        <v>1</v>
      </c>
    </row>
    <row r="776" spans="1:12" x14ac:dyDescent="0.25">
      <c r="A776" s="7" t="s">
        <v>1770</v>
      </c>
      <c r="B776" s="7">
        <v>0</v>
      </c>
      <c r="C776" s="7">
        <v>81</v>
      </c>
      <c r="D776" s="7">
        <v>3</v>
      </c>
      <c r="E776" s="7">
        <v>0</v>
      </c>
      <c r="F776" s="7">
        <v>0</v>
      </c>
      <c r="G776" s="7">
        <v>0</v>
      </c>
      <c r="H776" s="7">
        <v>0</v>
      </c>
      <c r="I776" s="7">
        <v>23</v>
      </c>
      <c r="J776" s="7">
        <v>0</v>
      </c>
      <c r="K776" s="7">
        <v>107</v>
      </c>
      <c r="L776" t="b">
        <f t="shared" si="12"/>
        <v>1</v>
      </c>
    </row>
    <row r="777" spans="1:12" x14ac:dyDescent="0.25">
      <c r="A777" s="7" t="s">
        <v>1771</v>
      </c>
      <c r="B777" s="7">
        <v>0</v>
      </c>
      <c r="C777" s="7">
        <v>102</v>
      </c>
      <c r="D777" s="7">
        <v>9</v>
      </c>
      <c r="E777" s="7">
        <v>0</v>
      </c>
      <c r="F777" s="7">
        <v>0</v>
      </c>
      <c r="G777" s="7">
        <v>2</v>
      </c>
      <c r="H777" s="7">
        <v>0</v>
      </c>
      <c r="I777" s="7">
        <v>4</v>
      </c>
      <c r="J777" s="7">
        <v>7</v>
      </c>
      <c r="K777" s="7">
        <v>124</v>
      </c>
      <c r="L777" t="b">
        <f t="shared" si="12"/>
        <v>1</v>
      </c>
    </row>
    <row r="778" spans="1:12" x14ac:dyDescent="0.25">
      <c r="A778" s="7" t="s">
        <v>1772</v>
      </c>
      <c r="B778" s="7">
        <v>0</v>
      </c>
      <c r="C778" s="7">
        <v>48</v>
      </c>
      <c r="D778" s="7">
        <v>5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53</v>
      </c>
      <c r="L778" t="b">
        <f t="shared" si="12"/>
        <v>1</v>
      </c>
    </row>
    <row r="779" spans="1:12" x14ac:dyDescent="0.25">
      <c r="A779" s="7" t="s">
        <v>1773</v>
      </c>
      <c r="B779" s="7">
        <v>0</v>
      </c>
      <c r="C779" s="7">
        <v>52</v>
      </c>
      <c r="D779" s="7">
        <v>1</v>
      </c>
      <c r="E779" s="7">
        <v>0</v>
      </c>
      <c r="F779" s="7">
        <v>0</v>
      </c>
      <c r="G779" s="7">
        <v>0</v>
      </c>
      <c r="H779" s="7">
        <v>0</v>
      </c>
      <c r="I779" s="7">
        <v>3</v>
      </c>
      <c r="J779" s="7">
        <v>0</v>
      </c>
      <c r="K779" s="7">
        <v>56</v>
      </c>
      <c r="L779" t="b">
        <f t="shared" si="12"/>
        <v>1</v>
      </c>
    </row>
    <row r="780" spans="1:12" x14ac:dyDescent="0.25">
      <c r="A780" s="7" t="s">
        <v>1774</v>
      </c>
      <c r="B780" s="7">
        <v>0</v>
      </c>
      <c r="C780" s="7">
        <v>45</v>
      </c>
      <c r="D780" s="7">
        <v>2</v>
      </c>
      <c r="E780" s="7">
        <v>0</v>
      </c>
      <c r="F780" s="7">
        <v>0</v>
      </c>
      <c r="G780" s="7">
        <v>0</v>
      </c>
      <c r="H780" s="7">
        <v>0</v>
      </c>
      <c r="I780" s="7">
        <v>27</v>
      </c>
      <c r="J780" s="7">
        <v>0</v>
      </c>
      <c r="K780" s="7">
        <v>74</v>
      </c>
      <c r="L780" t="b">
        <f t="shared" si="12"/>
        <v>1</v>
      </c>
    </row>
    <row r="781" spans="1:12" x14ac:dyDescent="0.25">
      <c r="A781" s="7" t="s">
        <v>1775</v>
      </c>
      <c r="B781" s="7">
        <v>0</v>
      </c>
      <c r="C781" s="7">
        <v>45</v>
      </c>
      <c r="D781" s="7">
        <v>3</v>
      </c>
      <c r="E781" s="7">
        <v>0</v>
      </c>
      <c r="F781" s="7">
        <v>0</v>
      </c>
      <c r="G781" s="7">
        <v>0</v>
      </c>
      <c r="H781" s="7">
        <v>0</v>
      </c>
      <c r="I781" s="7">
        <v>1</v>
      </c>
      <c r="J781" s="7">
        <v>0</v>
      </c>
      <c r="K781" s="7">
        <v>49</v>
      </c>
      <c r="L781" t="b">
        <f t="shared" si="12"/>
        <v>1</v>
      </c>
    </row>
    <row r="782" spans="1:12" x14ac:dyDescent="0.25">
      <c r="A782" s="7" t="s">
        <v>1776</v>
      </c>
      <c r="B782" s="7">
        <v>0</v>
      </c>
      <c r="C782" s="7">
        <v>48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2</v>
      </c>
      <c r="J782" s="7">
        <v>0</v>
      </c>
      <c r="K782" s="7">
        <v>50</v>
      </c>
      <c r="L782" t="b">
        <f t="shared" si="12"/>
        <v>1</v>
      </c>
    </row>
    <row r="783" spans="1:12" x14ac:dyDescent="0.25">
      <c r="A783" s="7" t="s">
        <v>1777</v>
      </c>
      <c r="B783" s="7">
        <v>0</v>
      </c>
      <c r="C783" s="7">
        <v>37</v>
      </c>
      <c r="D783" s="7">
        <v>1</v>
      </c>
      <c r="E783" s="7">
        <v>0</v>
      </c>
      <c r="F783" s="7">
        <v>0</v>
      </c>
      <c r="G783" s="7">
        <v>1</v>
      </c>
      <c r="H783" s="7">
        <v>0</v>
      </c>
      <c r="I783" s="7">
        <v>1</v>
      </c>
      <c r="J783" s="7">
        <v>1</v>
      </c>
      <c r="K783" s="7">
        <v>41</v>
      </c>
      <c r="L783" t="b">
        <f t="shared" si="12"/>
        <v>1</v>
      </c>
    </row>
    <row r="784" spans="1:12" x14ac:dyDescent="0.25">
      <c r="A784" s="7" t="s">
        <v>1778</v>
      </c>
      <c r="B784" s="7">
        <v>0</v>
      </c>
      <c r="C784" s="7">
        <v>66</v>
      </c>
      <c r="D784" s="7">
        <v>7</v>
      </c>
      <c r="E784" s="7">
        <v>0</v>
      </c>
      <c r="F784" s="7">
        <v>0</v>
      </c>
      <c r="G784" s="7">
        <v>0</v>
      </c>
      <c r="H784" s="7">
        <v>0</v>
      </c>
      <c r="I784" s="7">
        <v>16</v>
      </c>
      <c r="J784" s="7">
        <v>0</v>
      </c>
      <c r="K784" s="7">
        <v>89</v>
      </c>
      <c r="L784" t="b">
        <f t="shared" si="12"/>
        <v>1</v>
      </c>
    </row>
    <row r="785" spans="1:12" x14ac:dyDescent="0.25">
      <c r="A785" s="7" t="s">
        <v>1779</v>
      </c>
      <c r="B785" s="7">
        <v>0</v>
      </c>
      <c r="C785" s="7">
        <v>46</v>
      </c>
      <c r="D785" s="7">
        <v>1</v>
      </c>
      <c r="E785" s="7">
        <v>0</v>
      </c>
      <c r="F785" s="7">
        <v>0</v>
      </c>
      <c r="G785" s="7">
        <v>1</v>
      </c>
      <c r="H785" s="7">
        <v>0</v>
      </c>
      <c r="I785" s="7">
        <v>0</v>
      </c>
      <c r="J785" s="7">
        <v>0</v>
      </c>
      <c r="K785" s="7">
        <v>48</v>
      </c>
      <c r="L785" t="b">
        <f t="shared" si="12"/>
        <v>1</v>
      </c>
    </row>
    <row r="786" spans="1:12" x14ac:dyDescent="0.25">
      <c r="A786" s="7" t="s">
        <v>1780</v>
      </c>
      <c r="B786" s="7">
        <v>0</v>
      </c>
      <c r="C786" s="7">
        <v>30</v>
      </c>
      <c r="D786" s="7">
        <v>2</v>
      </c>
      <c r="E786" s="7">
        <v>0</v>
      </c>
      <c r="F786" s="7">
        <v>1</v>
      </c>
      <c r="G786" s="7">
        <v>0</v>
      </c>
      <c r="H786" s="7">
        <v>0</v>
      </c>
      <c r="I786" s="7">
        <v>39</v>
      </c>
      <c r="J786" s="7">
        <v>0</v>
      </c>
      <c r="K786" s="7">
        <v>72</v>
      </c>
      <c r="L786" t="b">
        <f t="shared" si="12"/>
        <v>1</v>
      </c>
    </row>
    <row r="787" spans="1:12" x14ac:dyDescent="0.25">
      <c r="A787" s="7" t="s">
        <v>1781</v>
      </c>
      <c r="B787" s="7">
        <v>0</v>
      </c>
      <c r="C787" s="7">
        <v>18</v>
      </c>
      <c r="D787" s="7">
        <v>2</v>
      </c>
      <c r="E787" s="7">
        <v>0</v>
      </c>
      <c r="F787" s="7">
        <v>0</v>
      </c>
      <c r="G787" s="7">
        <v>0</v>
      </c>
      <c r="H787" s="7">
        <v>0</v>
      </c>
      <c r="I787" s="7">
        <v>124</v>
      </c>
      <c r="J787" s="7">
        <v>0</v>
      </c>
      <c r="K787" s="7">
        <v>144</v>
      </c>
      <c r="L787" t="b">
        <f t="shared" si="12"/>
        <v>1</v>
      </c>
    </row>
    <row r="788" spans="1:12" x14ac:dyDescent="0.25">
      <c r="A788" s="7" t="s">
        <v>1782</v>
      </c>
      <c r="B788" s="7">
        <v>0</v>
      </c>
      <c r="C788" s="7">
        <v>62</v>
      </c>
      <c r="D788" s="7">
        <v>4</v>
      </c>
      <c r="E788" s="7">
        <v>0</v>
      </c>
      <c r="F788" s="7">
        <v>0</v>
      </c>
      <c r="G788" s="7">
        <v>0</v>
      </c>
      <c r="H788" s="7">
        <v>0</v>
      </c>
      <c r="I788" s="7">
        <v>77</v>
      </c>
      <c r="J788" s="7">
        <v>0</v>
      </c>
      <c r="K788" s="7">
        <v>143</v>
      </c>
      <c r="L788" t="b">
        <f t="shared" si="12"/>
        <v>1</v>
      </c>
    </row>
    <row r="789" spans="1:12" x14ac:dyDescent="0.25">
      <c r="A789" s="7" t="s">
        <v>1783</v>
      </c>
      <c r="B789" s="7">
        <v>0</v>
      </c>
      <c r="C789" s="7">
        <v>73</v>
      </c>
      <c r="D789" s="7">
        <v>6</v>
      </c>
      <c r="E789" s="7">
        <v>0</v>
      </c>
      <c r="F789" s="7">
        <v>0</v>
      </c>
      <c r="G789" s="7">
        <v>1</v>
      </c>
      <c r="H789" s="7">
        <v>0</v>
      </c>
      <c r="I789" s="7">
        <v>79</v>
      </c>
      <c r="J789" s="7">
        <v>0</v>
      </c>
      <c r="K789" s="7">
        <v>159</v>
      </c>
      <c r="L789" t="b">
        <f t="shared" si="12"/>
        <v>1</v>
      </c>
    </row>
    <row r="790" spans="1:12" x14ac:dyDescent="0.25">
      <c r="A790" s="7" t="s">
        <v>1784</v>
      </c>
      <c r="B790" s="7">
        <v>0</v>
      </c>
      <c r="C790" s="7">
        <v>55</v>
      </c>
      <c r="D790" s="7">
        <v>6</v>
      </c>
      <c r="E790" s="7">
        <v>0</v>
      </c>
      <c r="F790" s="7">
        <v>0</v>
      </c>
      <c r="G790" s="7">
        <v>0</v>
      </c>
      <c r="H790" s="7">
        <v>0</v>
      </c>
      <c r="I790" s="7">
        <v>66</v>
      </c>
      <c r="J790" s="7">
        <v>0</v>
      </c>
      <c r="K790" s="7">
        <v>127</v>
      </c>
      <c r="L790" t="b">
        <f t="shared" si="12"/>
        <v>1</v>
      </c>
    </row>
    <row r="791" spans="1:12" x14ac:dyDescent="0.25">
      <c r="A791" s="7" t="s">
        <v>1785</v>
      </c>
      <c r="B791" s="7">
        <v>0</v>
      </c>
      <c r="C791" s="7">
        <v>89</v>
      </c>
      <c r="D791" s="7">
        <v>5</v>
      </c>
      <c r="E791" s="7">
        <v>0</v>
      </c>
      <c r="F791" s="7">
        <v>0</v>
      </c>
      <c r="G791" s="7">
        <v>0</v>
      </c>
      <c r="H791" s="7">
        <v>0</v>
      </c>
      <c r="I791" s="7">
        <v>60</v>
      </c>
      <c r="J791" s="7">
        <v>0</v>
      </c>
      <c r="K791" s="7">
        <v>154</v>
      </c>
      <c r="L791" t="b">
        <f t="shared" si="12"/>
        <v>1</v>
      </c>
    </row>
    <row r="792" spans="1:12" x14ac:dyDescent="0.25">
      <c r="A792" s="7" t="s">
        <v>1786</v>
      </c>
      <c r="B792" s="7">
        <v>0</v>
      </c>
      <c r="C792" s="7">
        <v>33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3</v>
      </c>
      <c r="J792" s="7">
        <v>0</v>
      </c>
      <c r="K792" s="7">
        <v>36</v>
      </c>
      <c r="L792" t="b">
        <f t="shared" si="12"/>
        <v>1</v>
      </c>
    </row>
    <row r="793" spans="1:12" x14ac:dyDescent="0.25">
      <c r="A793" s="7" t="s">
        <v>1787</v>
      </c>
      <c r="B793" s="7">
        <v>0</v>
      </c>
      <c r="C793" s="7">
        <v>45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45</v>
      </c>
      <c r="L793" t="b">
        <f t="shared" si="12"/>
        <v>1</v>
      </c>
    </row>
    <row r="794" spans="1:12" x14ac:dyDescent="0.25">
      <c r="A794" s="7" t="s">
        <v>1788</v>
      </c>
      <c r="B794" s="7">
        <v>0</v>
      </c>
      <c r="C794" s="7">
        <v>41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7">
        <v>43</v>
      </c>
      <c r="L794" t="b">
        <f t="shared" si="12"/>
        <v>1</v>
      </c>
    </row>
    <row r="795" spans="1:12" x14ac:dyDescent="0.25">
      <c r="A795" s="7" t="s">
        <v>1789</v>
      </c>
      <c r="B795" s="7">
        <v>0</v>
      </c>
      <c r="C795" s="7">
        <v>51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2</v>
      </c>
      <c r="J795" s="7">
        <v>0</v>
      </c>
      <c r="K795" s="7">
        <v>53</v>
      </c>
      <c r="L795" t="b">
        <f t="shared" si="12"/>
        <v>1</v>
      </c>
    </row>
    <row r="796" spans="1:12" x14ac:dyDescent="0.25">
      <c r="A796" s="7" t="s">
        <v>1790</v>
      </c>
      <c r="B796" s="7">
        <v>0</v>
      </c>
      <c r="C796" s="7">
        <v>48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2</v>
      </c>
      <c r="J796" s="7">
        <v>3</v>
      </c>
      <c r="K796" s="7">
        <v>53</v>
      </c>
      <c r="L796" t="b">
        <f t="shared" si="12"/>
        <v>1</v>
      </c>
    </row>
    <row r="797" spans="1:12" x14ac:dyDescent="0.25">
      <c r="A797" s="7" t="s">
        <v>1791</v>
      </c>
      <c r="B797" s="7">
        <v>0</v>
      </c>
      <c r="C797" s="7">
        <v>45</v>
      </c>
      <c r="D797" s="7">
        <v>1</v>
      </c>
      <c r="E797" s="7">
        <v>0</v>
      </c>
      <c r="F797" s="7">
        <v>0</v>
      </c>
      <c r="G797" s="7">
        <v>0</v>
      </c>
      <c r="H797" s="7">
        <v>0</v>
      </c>
      <c r="I797" s="7">
        <v>2</v>
      </c>
      <c r="J797" s="7">
        <v>4</v>
      </c>
      <c r="K797" s="7">
        <v>52</v>
      </c>
      <c r="L797" t="b">
        <f t="shared" si="12"/>
        <v>1</v>
      </c>
    </row>
    <row r="798" spans="1:12" x14ac:dyDescent="0.25">
      <c r="A798" s="7" t="s">
        <v>1792</v>
      </c>
      <c r="B798" s="7">
        <v>0</v>
      </c>
      <c r="C798" s="7">
        <v>93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12</v>
      </c>
      <c r="J798" s="7">
        <v>4</v>
      </c>
      <c r="K798" s="7">
        <v>109</v>
      </c>
      <c r="L798" t="b">
        <f t="shared" si="12"/>
        <v>1</v>
      </c>
    </row>
    <row r="799" spans="1:12" x14ac:dyDescent="0.25">
      <c r="A799" s="7" t="s">
        <v>1793</v>
      </c>
      <c r="B799" s="7">
        <v>0</v>
      </c>
      <c r="C799" s="7">
        <v>56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3</v>
      </c>
      <c r="J799" s="7">
        <v>2</v>
      </c>
      <c r="K799" s="7">
        <v>61</v>
      </c>
      <c r="L799" t="b">
        <f t="shared" si="12"/>
        <v>1</v>
      </c>
    </row>
    <row r="800" spans="1:12" x14ac:dyDescent="0.25">
      <c r="A800" s="7" t="s">
        <v>1794</v>
      </c>
      <c r="B800" s="7">
        <v>0</v>
      </c>
      <c r="C800" s="7">
        <v>31</v>
      </c>
      <c r="D800" s="7">
        <v>0</v>
      </c>
      <c r="E800" s="7">
        <v>0</v>
      </c>
      <c r="F800" s="7">
        <v>0</v>
      </c>
      <c r="G800" s="7">
        <v>1</v>
      </c>
      <c r="H800" s="7">
        <v>0</v>
      </c>
      <c r="I800" s="7">
        <v>0</v>
      </c>
      <c r="J800" s="7">
        <v>0</v>
      </c>
      <c r="K800" s="7">
        <v>32</v>
      </c>
      <c r="L800" t="b">
        <f t="shared" si="12"/>
        <v>1</v>
      </c>
    </row>
    <row r="801" spans="1:12" x14ac:dyDescent="0.25">
      <c r="A801" s="7" t="s">
        <v>1795</v>
      </c>
      <c r="B801" s="7">
        <v>0</v>
      </c>
      <c r="C801" s="7">
        <v>38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2</v>
      </c>
      <c r="J801" s="7">
        <v>1</v>
      </c>
      <c r="K801" s="7">
        <v>41</v>
      </c>
      <c r="L801" t="b">
        <f t="shared" si="12"/>
        <v>1</v>
      </c>
    </row>
    <row r="802" spans="1:12" x14ac:dyDescent="0.25">
      <c r="A802" s="7" t="s">
        <v>1796</v>
      </c>
      <c r="B802" s="7">
        <v>0</v>
      </c>
      <c r="C802" s="7">
        <v>57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21</v>
      </c>
      <c r="J802" s="7">
        <v>0</v>
      </c>
      <c r="K802" s="7">
        <v>78</v>
      </c>
      <c r="L802" t="b">
        <f t="shared" si="12"/>
        <v>1</v>
      </c>
    </row>
    <row r="803" spans="1:12" x14ac:dyDescent="0.25">
      <c r="A803" s="7" t="s">
        <v>1797</v>
      </c>
      <c r="B803" s="7">
        <v>0</v>
      </c>
      <c r="C803" s="7">
        <v>69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15</v>
      </c>
      <c r="J803" s="7">
        <v>1</v>
      </c>
      <c r="K803" s="7">
        <v>85</v>
      </c>
      <c r="L803" t="b">
        <f t="shared" si="12"/>
        <v>1</v>
      </c>
    </row>
    <row r="804" spans="1:12" x14ac:dyDescent="0.25">
      <c r="A804" s="7" t="s">
        <v>1798</v>
      </c>
      <c r="B804" s="7">
        <v>0</v>
      </c>
      <c r="C804" s="7">
        <v>46</v>
      </c>
      <c r="D804" s="7">
        <v>0</v>
      </c>
      <c r="E804" s="7">
        <v>0</v>
      </c>
      <c r="F804" s="7">
        <v>0</v>
      </c>
      <c r="G804" s="7">
        <v>1</v>
      </c>
      <c r="H804" s="7">
        <v>0</v>
      </c>
      <c r="I804" s="7">
        <v>0</v>
      </c>
      <c r="J804" s="7">
        <v>0</v>
      </c>
      <c r="K804" s="7">
        <v>47</v>
      </c>
      <c r="L804" t="b">
        <f t="shared" si="12"/>
        <v>1</v>
      </c>
    </row>
    <row r="805" spans="1:12" x14ac:dyDescent="0.25">
      <c r="A805" s="7" t="s">
        <v>1799</v>
      </c>
      <c r="B805" s="7">
        <v>0</v>
      </c>
      <c r="C805" s="7">
        <v>56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1</v>
      </c>
      <c r="J805" s="7">
        <v>0</v>
      </c>
      <c r="K805" s="7">
        <v>57</v>
      </c>
      <c r="L805" t="b">
        <f t="shared" si="12"/>
        <v>1</v>
      </c>
    </row>
    <row r="806" spans="1:12" x14ac:dyDescent="0.25">
      <c r="A806" s="7" t="s">
        <v>1800</v>
      </c>
      <c r="B806" s="7">
        <v>0</v>
      </c>
      <c r="C806" s="7">
        <v>88</v>
      </c>
      <c r="D806" s="7">
        <v>1</v>
      </c>
      <c r="E806" s="7">
        <v>0</v>
      </c>
      <c r="F806" s="7">
        <v>0</v>
      </c>
      <c r="G806" s="7">
        <v>0</v>
      </c>
      <c r="H806" s="7">
        <v>0</v>
      </c>
      <c r="I806" s="7">
        <v>4</v>
      </c>
      <c r="J806" s="7">
        <v>2</v>
      </c>
      <c r="K806" s="7">
        <v>95</v>
      </c>
      <c r="L806" t="b">
        <f t="shared" si="12"/>
        <v>1</v>
      </c>
    </row>
    <row r="807" spans="1:12" x14ac:dyDescent="0.25">
      <c r="A807" s="7" t="s">
        <v>1801</v>
      </c>
      <c r="B807" s="7">
        <v>0</v>
      </c>
      <c r="C807" s="7">
        <v>217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16</v>
      </c>
      <c r="J807" s="7">
        <v>0</v>
      </c>
      <c r="K807" s="7">
        <v>233</v>
      </c>
      <c r="L807" t="b">
        <f t="shared" si="12"/>
        <v>1</v>
      </c>
    </row>
    <row r="808" spans="1:12" x14ac:dyDescent="0.25">
      <c r="A808" s="7" t="s">
        <v>1802</v>
      </c>
      <c r="B808" s="7">
        <v>0</v>
      </c>
      <c r="C808" s="7">
        <v>192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4</v>
      </c>
      <c r="J808" s="7">
        <v>0</v>
      </c>
      <c r="K808" s="7">
        <v>196</v>
      </c>
      <c r="L808" t="b">
        <f t="shared" si="12"/>
        <v>1</v>
      </c>
    </row>
    <row r="809" spans="1:12" x14ac:dyDescent="0.25">
      <c r="A809" s="7" t="s">
        <v>1803</v>
      </c>
      <c r="B809" s="7">
        <v>0</v>
      </c>
      <c r="C809" s="7">
        <v>140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16</v>
      </c>
      <c r="J809" s="7">
        <v>0</v>
      </c>
      <c r="K809" s="7">
        <v>156</v>
      </c>
      <c r="L809" t="b">
        <f t="shared" si="12"/>
        <v>1</v>
      </c>
    </row>
    <row r="810" spans="1:12" x14ac:dyDescent="0.25">
      <c r="A810" s="7" t="s">
        <v>1804</v>
      </c>
      <c r="B810" s="7">
        <v>0</v>
      </c>
      <c r="C810" s="7">
        <v>97</v>
      </c>
      <c r="D810" s="7">
        <v>3</v>
      </c>
      <c r="E810" s="7">
        <v>0</v>
      </c>
      <c r="F810" s="7">
        <v>0</v>
      </c>
      <c r="G810" s="7">
        <v>2</v>
      </c>
      <c r="H810" s="7">
        <v>0</v>
      </c>
      <c r="I810" s="7">
        <v>0</v>
      </c>
      <c r="J810" s="7">
        <v>1</v>
      </c>
      <c r="K810" s="7">
        <v>103</v>
      </c>
      <c r="L810" t="b">
        <f t="shared" si="12"/>
        <v>1</v>
      </c>
    </row>
    <row r="811" spans="1:12" x14ac:dyDescent="0.25">
      <c r="A811" s="7" t="s">
        <v>1805</v>
      </c>
      <c r="B811" s="7">
        <v>0</v>
      </c>
      <c r="C811" s="7">
        <v>160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10</v>
      </c>
      <c r="J811" s="7">
        <v>2</v>
      </c>
      <c r="K811" s="7">
        <v>172</v>
      </c>
      <c r="L811" t="b">
        <f t="shared" si="12"/>
        <v>1</v>
      </c>
    </row>
    <row r="812" spans="1:12" x14ac:dyDescent="0.25">
      <c r="A812" s="7" t="s">
        <v>1806</v>
      </c>
      <c r="B812" s="7">
        <v>0</v>
      </c>
      <c r="C812" s="7">
        <v>89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7</v>
      </c>
      <c r="J812" s="7">
        <v>1</v>
      </c>
      <c r="K812" s="7">
        <v>97</v>
      </c>
      <c r="L812" t="b">
        <f t="shared" si="12"/>
        <v>1</v>
      </c>
    </row>
    <row r="813" spans="1:12" x14ac:dyDescent="0.25">
      <c r="A813" s="7" t="s">
        <v>1807</v>
      </c>
      <c r="B813" s="7">
        <v>0</v>
      </c>
      <c r="C813" s="7">
        <v>90</v>
      </c>
      <c r="D813" s="7">
        <v>0</v>
      </c>
      <c r="E813" s="7">
        <v>0</v>
      </c>
      <c r="F813" s="7">
        <v>0</v>
      </c>
      <c r="G813" s="7">
        <v>1</v>
      </c>
      <c r="H813" s="7">
        <v>0</v>
      </c>
      <c r="I813" s="7">
        <v>14</v>
      </c>
      <c r="J813" s="7">
        <v>8</v>
      </c>
      <c r="K813" s="7">
        <v>113</v>
      </c>
      <c r="L813" t="b">
        <f t="shared" si="12"/>
        <v>1</v>
      </c>
    </row>
    <row r="814" spans="1:12" x14ac:dyDescent="0.25">
      <c r="A814" s="7" t="s">
        <v>1808</v>
      </c>
      <c r="B814" s="7">
        <v>0</v>
      </c>
      <c r="C814" s="7">
        <v>106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106</v>
      </c>
      <c r="L814" t="b">
        <f t="shared" si="12"/>
        <v>1</v>
      </c>
    </row>
    <row r="815" spans="1:12" x14ac:dyDescent="0.25">
      <c r="A815" s="7" t="s">
        <v>1809</v>
      </c>
      <c r="B815" s="7">
        <v>0</v>
      </c>
      <c r="C815" s="7">
        <v>75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75</v>
      </c>
      <c r="L815" t="b">
        <f t="shared" si="12"/>
        <v>1</v>
      </c>
    </row>
    <row r="816" spans="1:12" x14ac:dyDescent="0.25">
      <c r="A816" s="7" t="s">
        <v>1810</v>
      </c>
      <c r="B816" s="7">
        <v>0</v>
      </c>
      <c r="C816" s="7">
        <v>137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137</v>
      </c>
      <c r="L816" t="b">
        <f t="shared" si="12"/>
        <v>1</v>
      </c>
    </row>
    <row r="817" spans="1:12" x14ac:dyDescent="0.25">
      <c r="A817" s="7" t="s">
        <v>1811</v>
      </c>
      <c r="B817" s="7">
        <v>0</v>
      </c>
      <c r="C817" s="7">
        <v>119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26</v>
      </c>
      <c r="J817" s="7">
        <v>9</v>
      </c>
      <c r="K817" s="7">
        <v>154</v>
      </c>
      <c r="L817" t="b">
        <f t="shared" si="12"/>
        <v>1</v>
      </c>
    </row>
    <row r="818" spans="1:12" x14ac:dyDescent="0.25">
      <c r="A818" s="7" t="s">
        <v>1812</v>
      </c>
      <c r="B818" s="7">
        <v>0</v>
      </c>
      <c r="C818" s="7">
        <v>184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184</v>
      </c>
      <c r="L818" t="b">
        <f t="shared" si="12"/>
        <v>1</v>
      </c>
    </row>
    <row r="819" spans="1:12" x14ac:dyDescent="0.25">
      <c r="A819" s="7" t="s">
        <v>1813</v>
      </c>
      <c r="B819" s="7">
        <v>0</v>
      </c>
      <c r="C819" s="7">
        <v>128</v>
      </c>
      <c r="D819" s="7">
        <v>0</v>
      </c>
      <c r="E819" s="7">
        <v>0</v>
      </c>
      <c r="F819" s="7">
        <v>1</v>
      </c>
      <c r="G819" s="7">
        <v>0</v>
      </c>
      <c r="H819" s="7">
        <v>0</v>
      </c>
      <c r="I819" s="7">
        <v>2</v>
      </c>
      <c r="J819" s="7">
        <v>0</v>
      </c>
      <c r="K819" s="7">
        <v>131</v>
      </c>
      <c r="L819" t="b">
        <f t="shared" si="12"/>
        <v>1</v>
      </c>
    </row>
    <row r="820" spans="1:12" x14ac:dyDescent="0.25">
      <c r="A820" s="7" t="s">
        <v>1814</v>
      </c>
      <c r="B820" s="7">
        <v>0</v>
      </c>
      <c r="C820" s="7">
        <v>94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94</v>
      </c>
      <c r="L820" t="b">
        <f t="shared" si="12"/>
        <v>1</v>
      </c>
    </row>
    <row r="821" spans="1:12" x14ac:dyDescent="0.25">
      <c r="A821" s="7" t="s">
        <v>1815</v>
      </c>
      <c r="B821" s="7">
        <v>0</v>
      </c>
      <c r="C821" s="7">
        <v>25</v>
      </c>
      <c r="D821" s="7">
        <v>5</v>
      </c>
      <c r="E821" s="7">
        <v>0</v>
      </c>
      <c r="F821" s="7">
        <v>0</v>
      </c>
      <c r="G821" s="7">
        <v>0</v>
      </c>
      <c r="H821" s="7">
        <v>0</v>
      </c>
      <c r="I821" s="7">
        <v>41</v>
      </c>
      <c r="J821" s="7">
        <v>0</v>
      </c>
      <c r="K821" s="7">
        <v>71</v>
      </c>
      <c r="L821" t="b">
        <f t="shared" si="12"/>
        <v>1</v>
      </c>
    </row>
    <row r="822" spans="1:12" x14ac:dyDescent="0.25">
      <c r="A822" s="7" t="s">
        <v>1816</v>
      </c>
      <c r="B822" s="7">
        <v>0</v>
      </c>
      <c r="C822" s="7">
        <v>25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46</v>
      </c>
      <c r="J822" s="7">
        <v>8</v>
      </c>
      <c r="K822" s="7">
        <v>79</v>
      </c>
      <c r="L822" t="b">
        <f t="shared" si="12"/>
        <v>1</v>
      </c>
    </row>
    <row r="823" spans="1:12" x14ac:dyDescent="0.25">
      <c r="A823" s="7" t="s">
        <v>2057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1</v>
      </c>
      <c r="I823" s="7">
        <v>0</v>
      </c>
      <c r="J823" s="7">
        <v>0</v>
      </c>
      <c r="K823" s="7">
        <v>1</v>
      </c>
      <c r="L823" t="b">
        <f t="shared" si="12"/>
        <v>1</v>
      </c>
    </row>
    <row r="824" spans="1:12" x14ac:dyDescent="0.25">
      <c r="A824" s="7" t="s">
        <v>1817</v>
      </c>
      <c r="B824" s="7">
        <v>0</v>
      </c>
      <c r="C824" s="7">
        <v>65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4</v>
      </c>
      <c r="J824" s="7">
        <v>0</v>
      </c>
      <c r="K824" s="7">
        <v>69</v>
      </c>
      <c r="L824" t="b">
        <f t="shared" si="12"/>
        <v>1</v>
      </c>
    </row>
    <row r="825" spans="1:12" x14ac:dyDescent="0.25">
      <c r="A825" s="7" t="s">
        <v>1818</v>
      </c>
      <c r="B825" s="7">
        <v>0</v>
      </c>
      <c r="C825" s="7">
        <v>39</v>
      </c>
      <c r="D825" s="7">
        <v>1</v>
      </c>
      <c r="E825" s="7">
        <v>0</v>
      </c>
      <c r="F825" s="7">
        <v>0</v>
      </c>
      <c r="G825" s="7">
        <v>0</v>
      </c>
      <c r="H825" s="7">
        <v>0</v>
      </c>
      <c r="I825" s="7">
        <v>22</v>
      </c>
      <c r="J825" s="7">
        <v>6</v>
      </c>
      <c r="K825" s="7">
        <v>68</v>
      </c>
      <c r="L825" t="b">
        <f t="shared" si="12"/>
        <v>1</v>
      </c>
    </row>
    <row r="826" spans="1:12" x14ac:dyDescent="0.25">
      <c r="A826" s="7" t="s">
        <v>1819</v>
      </c>
      <c r="B826" s="7">
        <v>0</v>
      </c>
      <c r="C826" s="7">
        <v>57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57</v>
      </c>
      <c r="L826" t="b">
        <f t="shared" si="12"/>
        <v>1</v>
      </c>
    </row>
    <row r="827" spans="1:12" x14ac:dyDescent="0.25">
      <c r="A827" s="7" t="s">
        <v>1820</v>
      </c>
      <c r="B827" s="7">
        <v>0</v>
      </c>
      <c r="C827" s="7">
        <v>60</v>
      </c>
      <c r="D827" s="7">
        <v>0</v>
      </c>
      <c r="E827" s="7">
        <v>0</v>
      </c>
      <c r="F827" s="7">
        <v>0</v>
      </c>
      <c r="G827" s="7">
        <v>1</v>
      </c>
      <c r="H827" s="7">
        <v>0</v>
      </c>
      <c r="I827" s="7">
        <v>1</v>
      </c>
      <c r="J827" s="7">
        <v>0</v>
      </c>
      <c r="K827" s="7">
        <v>62</v>
      </c>
      <c r="L827" t="b">
        <f t="shared" si="12"/>
        <v>1</v>
      </c>
    </row>
    <row r="828" spans="1:12" x14ac:dyDescent="0.25">
      <c r="A828" s="7" t="s">
        <v>1821</v>
      </c>
      <c r="B828" s="7">
        <v>0</v>
      </c>
      <c r="C828" s="7">
        <v>78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78</v>
      </c>
      <c r="L828" t="b">
        <f t="shared" si="12"/>
        <v>1</v>
      </c>
    </row>
    <row r="829" spans="1:12" x14ac:dyDescent="0.25">
      <c r="A829" s="7" t="s">
        <v>1822</v>
      </c>
      <c r="B829" s="7">
        <v>0</v>
      </c>
      <c r="C829" s="7">
        <v>47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47</v>
      </c>
      <c r="L829" t="b">
        <f t="shared" si="12"/>
        <v>1</v>
      </c>
    </row>
    <row r="830" spans="1:12" x14ac:dyDescent="0.25">
      <c r="A830" s="7" t="s">
        <v>1823</v>
      </c>
      <c r="B830" s="7">
        <v>0</v>
      </c>
      <c r="C830" s="7">
        <v>49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49</v>
      </c>
      <c r="L830" t="b">
        <f t="shared" si="12"/>
        <v>1</v>
      </c>
    </row>
    <row r="831" spans="1:12" x14ac:dyDescent="0.25">
      <c r="A831" s="7" t="s">
        <v>1824</v>
      </c>
      <c r="B831" s="7">
        <v>0</v>
      </c>
      <c r="C831" s="7">
        <v>65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65</v>
      </c>
      <c r="L831" t="b">
        <f t="shared" si="12"/>
        <v>1</v>
      </c>
    </row>
    <row r="832" spans="1:12" x14ac:dyDescent="0.25">
      <c r="A832" s="7" t="s">
        <v>1825</v>
      </c>
      <c r="B832" s="7">
        <v>0</v>
      </c>
      <c r="C832" s="7">
        <v>49</v>
      </c>
      <c r="D832" s="7">
        <v>0</v>
      </c>
      <c r="E832" s="7">
        <v>0</v>
      </c>
      <c r="F832" s="7">
        <v>0</v>
      </c>
      <c r="G832" s="7">
        <v>10</v>
      </c>
      <c r="H832" s="7">
        <v>0</v>
      </c>
      <c r="I832" s="7">
        <v>0</v>
      </c>
      <c r="J832" s="7">
        <v>0</v>
      </c>
      <c r="K832" s="7">
        <v>59</v>
      </c>
      <c r="L832" t="b">
        <f t="shared" si="12"/>
        <v>1</v>
      </c>
    </row>
    <row r="833" spans="1:12" x14ac:dyDescent="0.25">
      <c r="A833" s="7" t="s">
        <v>1826</v>
      </c>
      <c r="B833" s="7">
        <v>0</v>
      </c>
      <c r="C833" s="7">
        <v>63</v>
      </c>
      <c r="D833" s="7">
        <v>0</v>
      </c>
      <c r="E833" s="7">
        <v>0</v>
      </c>
      <c r="F833" s="7">
        <v>0</v>
      </c>
      <c r="G833" s="7">
        <v>11</v>
      </c>
      <c r="H833" s="7">
        <v>0</v>
      </c>
      <c r="I833" s="7">
        <v>0</v>
      </c>
      <c r="J833" s="7">
        <v>0</v>
      </c>
      <c r="K833" s="7">
        <v>74</v>
      </c>
      <c r="L833" t="b">
        <f t="shared" si="12"/>
        <v>1</v>
      </c>
    </row>
    <row r="834" spans="1:12" x14ac:dyDescent="0.25">
      <c r="A834" s="7" t="s">
        <v>1827</v>
      </c>
      <c r="B834" s="7">
        <v>0</v>
      </c>
      <c r="C834" s="7">
        <v>37</v>
      </c>
      <c r="D834" s="7">
        <v>0</v>
      </c>
      <c r="E834" s="7">
        <v>0</v>
      </c>
      <c r="F834" s="7">
        <v>0</v>
      </c>
      <c r="G834" s="7">
        <v>3</v>
      </c>
      <c r="H834" s="7">
        <v>0</v>
      </c>
      <c r="I834" s="7">
        <v>0</v>
      </c>
      <c r="J834" s="7">
        <v>0</v>
      </c>
      <c r="K834" s="7">
        <v>40</v>
      </c>
      <c r="L834" t="b">
        <f t="shared" si="12"/>
        <v>1</v>
      </c>
    </row>
    <row r="835" spans="1:12" x14ac:dyDescent="0.25">
      <c r="A835" s="7" t="s">
        <v>1828</v>
      </c>
      <c r="B835" s="7">
        <v>0</v>
      </c>
      <c r="C835" s="7">
        <v>38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38</v>
      </c>
      <c r="L835" t="b">
        <f t="shared" ref="L835:L898" si="13">K835=SUM(B835:J835)</f>
        <v>1</v>
      </c>
    </row>
    <row r="836" spans="1:12" x14ac:dyDescent="0.25">
      <c r="A836" s="7" t="s">
        <v>1829</v>
      </c>
      <c r="B836" s="7">
        <v>0</v>
      </c>
      <c r="C836" s="7">
        <v>80</v>
      </c>
      <c r="D836" s="7">
        <v>0</v>
      </c>
      <c r="E836" s="7">
        <v>0</v>
      </c>
      <c r="F836" s="7">
        <v>0</v>
      </c>
      <c r="G836" s="7">
        <v>5</v>
      </c>
      <c r="H836" s="7">
        <v>0</v>
      </c>
      <c r="I836" s="7">
        <v>0</v>
      </c>
      <c r="J836" s="7">
        <v>0</v>
      </c>
      <c r="K836" s="7">
        <v>85</v>
      </c>
      <c r="L836" t="b">
        <f t="shared" si="13"/>
        <v>1</v>
      </c>
    </row>
    <row r="837" spans="1:12" x14ac:dyDescent="0.25">
      <c r="A837" s="7" t="s">
        <v>1830</v>
      </c>
      <c r="B837" s="7">
        <v>0</v>
      </c>
      <c r="C837" s="7">
        <v>59</v>
      </c>
      <c r="D837" s="7">
        <v>3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62</v>
      </c>
      <c r="L837" t="b">
        <f t="shared" si="13"/>
        <v>1</v>
      </c>
    </row>
    <row r="838" spans="1:12" x14ac:dyDescent="0.25">
      <c r="A838" s="7" t="s">
        <v>1831</v>
      </c>
      <c r="B838" s="7">
        <v>0</v>
      </c>
      <c r="C838" s="7">
        <v>49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49</v>
      </c>
      <c r="L838" t="b">
        <f t="shared" si="13"/>
        <v>1</v>
      </c>
    </row>
    <row r="839" spans="1:12" x14ac:dyDescent="0.25">
      <c r="A839" s="7" t="s">
        <v>1832</v>
      </c>
      <c r="B839" s="7">
        <v>0</v>
      </c>
      <c r="C839" s="7">
        <v>77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77</v>
      </c>
      <c r="L839" t="b">
        <f t="shared" si="13"/>
        <v>1</v>
      </c>
    </row>
    <row r="840" spans="1:12" x14ac:dyDescent="0.25">
      <c r="A840" s="7" t="s">
        <v>1833</v>
      </c>
      <c r="B840" s="7">
        <v>0</v>
      </c>
      <c r="C840" s="7">
        <v>118</v>
      </c>
      <c r="D840" s="7">
        <v>22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2</v>
      </c>
      <c r="K840" s="7">
        <v>142</v>
      </c>
      <c r="L840" t="b">
        <f t="shared" si="13"/>
        <v>1</v>
      </c>
    </row>
    <row r="841" spans="1:12" x14ac:dyDescent="0.25">
      <c r="A841" s="7" t="s">
        <v>1834</v>
      </c>
      <c r="B841" s="7">
        <v>0</v>
      </c>
      <c r="C841" s="7">
        <v>138</v>
      </c>
      <c r="D841" s="7">
        <v>0</v>
      </c>
      <c r="E841" s="7">
        <v>0</v>
      </c>
      <c r="F841" s="7">
        <v>0</v>
      </c>
      <c r="G841" s="7">
        <v>24</v>
      </c>
      <c r="H841" s="7">
        <v>0</v>
      </c>
      <c r="I841" s="7">
        <v>0</v>
      </c>
      <c r="J841" s="7">
        <v>0</v>
      </c>
      <c r="K841" s="7">
        <v>162</v>
      </c>
      <c r="L841" t="b">
        <f t="shared" si="13"/>
        <v>1</v>
      </c>
    </row>
    <row r="842" spans="1:12" x14ac:dyDescent="0.25">
      <c r="A842" s="7" t="s">
        <v>1835</v>
      </c>
      <c r="B842" s="7">
        <v>0</v>
      </c>
      <c r="C842" s="7">
        <v>72</v>
      </c>
      <c r="D842" s="7">
        <v>1</v>
      </c>
      <c r="E842" s="7">
        <v>0</v>
      </c>
      <c r="F842" s="7">
        <v>0</v>
      </c>
      <c r="G842" s="7">
        <v>1</v>
      </c>
      <c r="H842" s="7">
        <v>0</v>
      </c>
      <c r="I842" s="7">
        <v>0</v>
      </c>
      <c r="J842" s="7">
        <v>0</v>
      </c>
      <c r="K842" s="7">
        <v>74</v>
      </c>
      <c r="L842" t="b">
        <f t="shared" si="13"/>
        <v>1</v>
      </c>
    </row>
    <row r="843" spans="1:12" x14ac:dyDescent="0.25">
      <c r="A843" s="7" t="s">
        <v>1836</v>
      </c>
      <c r="B843" s="7">
        <v>0</v>
      </c>
      <c r="C843" s="7">
        <v>151</v>
      </c>
      <c r="D843" s="7">
        <v>3</v>
      </c>
      <c r="E843" s="7">
        <v>0</v>
      </c>
      <c r="F843" s="7">
        <v>0</v>
      </c>
      <c r="G843" s="7">
        <v>44</v>
      </c>
      <c r="H843" s="7">
        <v>0</v>
      </c>
      <c r="I843" s="7">
        <v>0</v>
      </c>
      <c r="J843" s="7">
        <v>0</v>
      </c>
      <c r="K843" s="7">
        <v>198</v>
      </c>
      <c r="L843" t="b">
        <f t="shared" si="13"/>
        <v>1</v>
      </c>
    </row>
    <row r="844" spans="1:12" x14ac:dyDescent="0.25">
      <c r="A844" s="7" t="s">
        <v>1837</v>
      </c>
      <c r="B844" s="7">
        <v>0</v>
      </c>
      <c r="C844" s="7">
        <v>131</v>
      </c>
      <c r="D844" s="7">
        <v>21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152</v>
      </c>
      <c r="L844" t="b">
        <f t="shared" si="13"/>
        <v>1</v>
      </c>
    </row>
    <row r="845" spans="1:12" x14ac:dyDescent="0.25">
      <c r="A845" s="7" t="s">
        <v>1838</v>
      </c>
      <c r="B845" s="7">
        <v>0</v>
      </c>
      <c r="C845" s="7">
        <v>77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7">
        <v>78</v>
      </c>
      <c r="L845" t="b">
        <f t="shared" si="13"/>
        <v>1</v>
      </c>
    </row>
    <row r="846" spans="1:12" x14ac:dyDescent="0.25">
      <c r="A846" s="7" t="s">
        <v>1839</v>
      </c>
      <c r="B846" s="7">
        <v>0</v>
      </c>
      <c r="C846" s="7">
        <v>101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101</v>
      </c>
      <c r="L846" t="b">
        <f t="shared" si="13"/>
        <v>1</v>
      </c>
    </row>
    <row r="847" spans="1:12" x14ac:dyDescent="0.25">
      <c r="A847" s="7" t="s">
        <v>1840</v>
      </c>
      <c r="B847" s="7">
        <v>0</v>
      </c>
      <c r="C847" s="7">
        <v>54</v>
      </c>
      <c r="D847" s="7">
        <v>0</v>
      </c>
      <c r="E847" s="7">
        <v>0</v>
      </c>
      <c r="F847" s="7">
        <v>0</v>
      </c>
      <c r="G847" s="7">
        <v>11</v>
      </c>
      <c r="H847" s="7">
        <v>0</v>
      </c>
      <c r="I847" s="7">
        <v>0</v>
      </c>
      <c r="J847" s="7">
        <v>0</v>
      </c>
      <c r="K847" s="7">
        <v>65</v>
      </c>
      <c r="L847" t="b">
        <f t="shared" si="13"/>
        <v>1</v>
      </c>
    </row>
    <row r="848" spans="1:12" x14ac:dyDescent="0.25">
      <c r="A848" s="7" t="s">
        <v>1841</v>
      </c>
      <c r="B848" s="7">
        <v>0</v>
      </c>
      <c r="C848" s="7">
        <v>105</v>
      </c>
      <c r="D848" s="7">
        <v>0</v>
      </c>
      <c r="E848" s="7">
        <v>0</v>
      </c>
      <c r="F848" s="7">
        <v>0</v>
      </c>
      <c r="G848" s="7">
        <v>23</v>
      </c>
      <c r="H848" s="7">
        <v>0</v>
      </c>
      <c r="I848" s="7">
        <v>2</v>
      </c>
      <c r="J848" s="7">
        <v>0</v>
      </c>
      <c r="K848" s="7">
        <v>130</v>
      </c>
      <c r="L848" t="b">
        <f t="shared" si="13"/>
        <v>1</v>
      </c>
    </row>
    <row r="849" spans="1:12" x14ac:dyDescent="0.25">
      <c r="A849" s="7" t="s">
        <v>1842</v>
      </c>
      <c r="B849" s="7">
        <v>0</v>
      </c>
      <c r="C849" s="7">
        <v>75</v>
      </c>
      <c r="D849" s="7">
        <v>0</v>
      </c>
      <c r="E849" s="7">
        <v>0</v>
      </c>
      <c r="F849" s="7">
        <v>0</v>
      </c>
      <c r="G849" s="7">
        <v>6</v>
      </c>
      <c r="H849" s="7">
        <v>0</v>
      </c>
      <c r="I849" s="7">
        <v>0</v>
      </c>
      <c r="J849" s="7">
        <v>0</v>
      </c>
      <c r="K849" s="7">
        <v>81</v>
      </c>
      <c r="L849" t="b">
        <f t="shared" si="13"/>
        <v>1</v>
      </c>
    </row>
    <row r="850" spans="1:12" x14ac:dyDescent="0.25">
      <c r="A850" s="7" t="s">
        <v>1843</v>
      </c>
      <c r="B850" s="7">
        <v>0</v>
      </c>
      <c r="C850" s="7">
        <v>144</v>
      </c>
      <c r="D850" s="7">
        <v>0</v>
      </c>
      <c r="E850" s="7">
        <v>0</v>
      </c>
      <c r="F850" s="7">
        <v>0</v>
      </c>
      <c r="G850" s="7">
        <v>2</v>
      </c>
      <c r="H850" s="7">
        <v>0</v>
      </c>
      <c r="I850" s="7">
        <v>0</v>
      </c>
      <c r="J850" s="7">
        <v>0</v>
      </c>
      <c r="K850" s="7">
        <v>146</v>
      </c>
      <c r="L850" t="b">
        <f t="shared" si="13"/>
        <v>1</v>
      </c>
    </row>
    <row r="851" spans="1:12" x14ac:dyDescent="0.25">
      <c r="A851" s="7" t="s">
        <v>1844</v>
      </c>
      <c r="B851" s="7">
        <v>0</v>
      </c>
      <c r="C851" s="7">
        <v>57</v>
      </c>
      <c r="D851" s="7">
        <v>0</v>
      </c>
      <c r="E851" s="7">
        <v>0</v>
      </c>
      <c r="F851" s="7">
        <v>0</v>
      </c>
      <c r="G851" s="7">
        <v>2</v>
      </c>
      <c r="H851" s="7">
        <v>0</v>
      </c>
      <c r="I851" s="7">
        <v>0</v>
      </c>
      <c r="J851" s="7">
        <v>0</v>
      </c>
      <c r="K851" s="7">
        <v>59</v>
      </c>
      <c r="L851" t="b">
        <f t="shared" si="13"/>
        <v>1</v>
      </c>
    </row>
    <row r="852" spans="1:12" x14ac:dyDescent="0.25">
      <c r="A852" s="7" t="s">
        <v>1845</v>
      </c>
      <c r="B852" s="7">
        <v>0</v>
      </c>
      <c r="C852" s="7">
        <v>62</v>
      </c>
      <c r="D852" s="7">
        <v>1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63</v>
      </c>
      <c r="L852" t="b">
        <f t="shared" si="13"/>
        <v>1</v>
      </c>
    </row>
    <row r="853" spans="1:12" x14ac:dyDescent="0.25">
      <c r="A853" s="7" t="s">
        <v>1846</v>
      </c>
      <c r="B853" s="7">
        <v>0</v>
      </c>
      <c r="C853" s="7">
        <v>66</v>
      </c>
      <c r="D853" s="7">
        <v>2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68</v>
      </c>
      <c r="L853" t="b">
        <f t="shared" si="13"/>
        <v>1</v>
      </c>
    </row>
    <row r="854" spans="1:12" x14ac:dyDescent="0.25">
      <c r="A854" s="7" t="s">
        <v>1847</v>
      </c>
      <c r="B854" s="7">
        <v>0</v>
      </c>
      <c r="C854" s="7">
        <v>34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34</v>
      </c>
      <c r="L854" t="b">
        <f t="shared" si="13"/>
        <v>1</v>
      </c>
    </row>
    <row r="855" spans="1:12" x14ac:dyDescent="0.25">
      <c r="A855" s="7" t="s">
        <v>1848</v>
      </c>
      <c r="B855" s="7">
        <v>0</v>
      </c>
      <c r="C855" s="7">
        <v>42</v>
      </c>
      <c r="D855" s="7">
        <v>0</v>
      </c>
      <c r="E855" s="7">
        <v>0</v>
      </c>
      <c r="F855" s="7">
        <v>0</v>
      </c>
      <c r="G855" s="7">
        <v>6</v>
      </c>
      <c r="H855" s="7">
        <v>0</v>
      </c>
      <c r="I855" s="7">
        <v>0</v>
      </c>
      <c r="J855" s="7">
        <v>0</v>
      </c>
      <c r="K855" s="7">
        <v>48</v>
      </c>
      <c r="L855" t="b">
        <f t="shared" si="13"/>
        <v>1</v>
      </c>
    </row>
    <row r="856" spans="1:12" x14ac:dyDescent="0.25">
      <c r="A856" s="7" t="s">
        <v>1849</v>
      </c>
      <c r="B856" s="7">
        <v>0</v>
      </c>
      <c r="C856" s="7">
        <v>46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46</v>
      </c>
      <c r="L856" t="b">
        <f t="shared" si="13"/>
        <v>1</v>
      </c>
    </row>
    <row r="857" spans="1:12" x14ac:dyDescent="0.25">
      <c r="A857" s="7" t="s">
        <v>1850</v>
      </c>
      <c r="B857" s="7">
        <v>0</v>
      </c>
      <c r="C857" s="7">
        <v>48</v>
      </c>
      <c r="D857" s="7">
        <v>7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55</v>
      </c>
      <c r="L857" t="b">
        <f t="shared" si="13"/>
        <v>1</v>
      </c>
    </row>
    <row r="858" spans="1:12" x14ac:dyDescent="0.25">
      <c r="A858" s="7" t="s">
        <v>1851</v>
      </c>
      <c r="B858" s="7">
        <v>0</v>
      </c>
      <c r="C858" s="7">
        <v>139</v>
      </c>
      <c r="D858" s="7">
        <v>9</v>
      </c>
      <c r="E858" s="7">
        <v>0</v>
      </c>
      <c r="F858" s="7">
        <v>0</v>
      </c>
      <c r="G858" s="7">
        <v>0</v>
      </c>
      <c r="H858" s="7">
        <v>0</v>
      </c>
      <c r="I858" s="7">
        <v>2</v>
      </c>
      <c r="J858" s="7">
        <v>0</v>
      </c>
      <c r="K858" s="7">
        <v>150</v>
      </c>
      <c r="L858" t="b">
        <f t="shared" si="13"/>
        <v>1</v>
      </c>
    </row>
    <row r="859" spans="1:12" x14ac:dyDescent="0.25">
      <c r="A859" s="7" t="s">
        <v>1852</v>
      </c>
      <c r="B859" s="7">
        <v>0</v>
      </c>
      <c r="C859" s="7">
        <v>62</v>
      </c>
      <c r="D859" s="7">
        <v>3</v>
      </c>
      <c r="E859" s="7">
        <v>0</v>
      </c>
      <c r="F859" s="7">
        <v>0</v>
      </c>
      <c r="G859" s="7">
        <v>14</v>
      </c>
      <c r="H859" s="7">
        <v>0</v>
      </c>
      <c r="I859" s="7">
        <v>0</v>
      </c>
      <c r="J859" s="7">
        <v>0</v>
      </c>
      <c r="K859" s="7">
        <v>79</v>
      </c>
      <c r="L859" t="b">
        <f t="shared" si="13"/>
        <v>1</v>
      </c>
    </row>
    <row r="860" spans="1:12" x14ac:dyDescent="0.25">
      <c r="A860" s="7" t="s">
        <v>1853</v>
      </c>
      <c r="B860" s="7">
        <v>0</v>
      </c>
      <c r="C860" s="7">
        <v>52</v>
      </c>
      <c r="D860" s="7">
        <v>1</v>
      </c>
      <c r="E860" s="7">
        <v>0</v>
      </c>
      <c r="F860" s="7">
        <v>0</v>
      </c>
      <c r="G860" s="7">
        <v>2</v>
      </c>
      <c r="H860" s="7">
        <v>0</v>
      </c>
      <c r="I860" s="7">
        <v>0</v>
      </c>
      <c r="J860" s="7">
        <v>0</v>
      </c>
      <c r="K860" s="7">
        <v>55</v>
      </c>
      <c r="L860" t="b">
        <f t="shared" si="13"/>
        <v>1</v>
      </c>
    </row>
    <row r="861" spans="1:12" x14ac:dyDescent="0.25">
      <c r="A861" s="7" t="s">
        <v>1854</v>
      </c>
      <c r="B861" s="7">
        <v>0</v>
      </c>
      <c r="C861" s="7">
        <v>59</v>
      </c>
      <c r="D861" s="7">
        <v>2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61</v>
      </c>
      <c r="L861" t="b">
        <f t="shared" si="13"/>
        <v>1</v>
      </c>
    </row>
    <row r="862" spans="1:12" x14ac:dyDescent="0.25">
      <c r="A862" s="7" t="s">
        <v>1855</v>
      </c>
      <c r="B862" s="7">
        <v>0</v>
      </c>
      <c r="C862" s="7">
        <v>41</v>
      </c>
      <c r="D862" s="7">
        <v>0</v>
      </c>
      <c r="E862" s="7">
        <v>0</v>
      </c>
      <c r="F862" s="7">
        <v>0</v>
      </c>
      <c r="G862" s="7">
        <v>17</v>
      </c>
      <c r="H862" s="7">
        <v>0</v>
      </c>
      <c r="I862" s="7">
        <v>0</v>
      </c>
      <c r="J862" s="7">
        <v>0</v>
      </c>
      <c r="K862" s="7">
        <v>58</v>
      </c>
      <c r="L862" t="b">
        <f t="shared" si="13"/>
        <v>1</v>
      </c>
    </row>
    <row r="863" spans="1:12" x14ac:dyDescent="0.25">
      <c r="A863" s="7" t="s">
        <v>1856</v>
      </c>
      <c r="B863" s="7">
        <v>0</v>
      </c>
      <c r="C863" s="7">
        <v>66</v>
      </c>
      <c r="D863" s="7">
        <v>0</v>
      </c>
      <c r="E863" s="7">
        <v>0</v>
      </c>
      <c r="F863" s="7">
        <v>0</v>
      </c>
      <c r="G863" s="7">
        <v>6</v>
      </c>
      <c r="H863" s="7">
        <v>0</v>
      </c>
      <c r="I863" s="7">
        <v>0</v>
      </c>
      <c r="J863" s="7">
        <v>0</v>
      </c>
      <c r="K863" s="7">
        <v>72</v>
      </c>
      <c r="L863" t="b">
        <f t="shared" si="13"/>
        <v>1</v>
      </c>
    </row>
    <row r="864" spans="1:12" x14ac:dyDescent="0.25">
      <c r="A864" s="7" t="s">
        <v>1857</v>
      </c>
      <c r="B864" s="7">
        <v>0</v>
      </c>
      <c r="C864" s="7">
        <v>133</v>
      </c>
      <c r="D864" s="7">
        <v>12</v>
      </c>
      <c r="E864" s="7">
        <v>0</v>
      </c>
      <c r="F864" s="7">
        <v>0</v>
      </c>
      <c r="G864" s="7">
        <v>6</v>
      </c>
      <c r="H864" s="7">
        <v>0</v>
      </c>
      <c r="I864" s="7">
        <v>1</v>
      </c>
      <c r="J864" s="7">
        <v>2</v>
      </c>
      <c r="K864" s="7">
        <v>154</v>
      </c>
      <c r="L864" t="b">
        <f t="shared" si="13"/>
        <v>1</v>
      </c>
    </row>
    <row r="865" spans="1:12" x14ac:dyDescent="0.25">
      <c r="A865" s="7" t="s">
        <v>1858</v>
      </c>
      <c r="B865" s="7">
        <v>0</v>
      </c>
      <c r="C865" s="7">
        <v>50</v>
      </c>
      <c r="D865" s="7">
        <v>3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53</v>
      </c>
      <c r="L865" t="b">
        <f t="shared" si="13"/>
        <v>1</v>
      </c>
    </row>
    <row r="866" spans="1:12" x14ac:dyDescent="0.25">
      <c r="A866" s="7" t="s">
        <v>1859</v>
      </c>
      <c r="B866" s="7">
        <v>0</v>
      </c>
      <c r="C866" s="7">
        <v>49</v>
      </c>
      <c r="D866" s="7">
        <v>20</v>
      </c>
      <c r="E866" s="7">
        <v>0</v>
      </c>
      <c r="F866" s="7">
        <v>0</v>
      </c>
      <c r="G866" s="7">
        <v>0</v>
      </c>
      <c r="H866" s="7">
        <v>0</v>
      </c>
      <c r="I866" s="7">
        <v>1</v>
      </c>
      <c r="J866" s="7">
        <v>0</v>
      </c>
      <c r="K866" s="7">
        <v>70</v>
      </c>
      <c r="L866" t="b">
        <f t="shared" si="13"/>
        <v>1</v>
      </c>
    </row>
    <row r="867" spans="1:12" x14ac:dyDescent="0.25">
      <c r="A867" s="7" t="s">
        <v>1860</v>
      </c>
      <c r="B867" s="7">
        <v>0</v>
      </c>
      <c r="C867" s="7">
        <v>165</v>
      </c>
      <c r="D867" s="7">
        <v>18</v>
      </c>
      <c r="E867" s="7">
        <v>0</v>
      </c>
      <c r="F867" s="7">
        <v>0</v>
      </c>
      <c r="G867" s="7">
        <v>0</v>
      </c>
      <c r="H867" s="7">
        <v>0</v>
      </c>
      <c r="I867" s="7">
        <v>1</v>
      </c>
      <c r="J867" s="7">
        <v>1</v>
      </c>
      <c r="K867" s="7">
        <v>185</v>
      </c>
      <c r="L867" t="b">
        <f t="shared" si="13"/>
        <v>1</v>
      </c>
    </row>
    <row r="868" spans="1:12" x14ac:dyDescent="0.25">
      <c r="A868" s="7" t="s">
        <v>1861</v>
      </c>
      <c r="B868" s="7">
        <v>0</v>
      </c>
      <c r="C868" s="7">
        <v>62</v>
      </c>
      <c r="D868" s="7">
        <v>41</v>
      </c>
      <c r="E868" s="7">
        <v>0</v>
      </c>
      <c r="F868" s="7">
        <v>0</v>
      </c>
      <c r="G868" s="7">
        <v>0</v>
      </c>
      <c r="H868" s="7">
        <v>0</v>
      </c>
      <c r="I868" s="7">
        <v>6</v>
      </c>
      <c r="J868" s="7">
        <v>1</v>
      </c>
      <c r="K868" s="7">
        <v>110</v>
      </c>
      <c r="L868" t="b">
        <f t="shared" si="13"/>
        <v>1</v>
      </c>
    </row>
    <row r="869" spans="1:12" x14ac:dyDescent="0.25">
      <c r="A869" s="7" t="s">
        <v>1862</v>
      </c>
      <c r="B869" s="7">
        <v>0</v>
      </c>
      <c r="C869" s="7">
        <v>0</v>
      </c>
      <c r="D869" s="7">
        <v>8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8</v>
      </c>
      <c r="L869" t="b">
        <f t="shared" si="13"/>
        <v>1</v>
      </c>
    </row>
    <row r="870" spans="1:12" x14ac:dyDescent="0.25">
      <c r="A870" s="7" t="s">
        <v>1863</v>
      </c>
      <c r="B870" s="7">
        <v>0</v>
      </c>
      <c r="C870" s="7">
        <v>25</v>
      </c>
      <c r="D870" s="7">
        <v>0</v>
      </c>
      <c r="E870" s="7">
        <v>0</v>
      </c>
      <c r="F870" s="7">
        <v>0</v>
      </c>
      <c r="G870" s="7">
        <v>7</v>
      </c>
      <c r="H870" s="7">
        <v>0</v>
      </c>
      <c r="I870" s="7">
        <v>0</v>
      </c>
      <c r="J870" s="7">
        <v>0</v>
      </c>
      <c r="K870" s="7">
        <v>32</v>
      </c>
      <c r="L870" t="b">
        <f t="shared" si="13"/>
        <v>1</v>
      </c>
    </row>
    <row r="871" spans="1:12" x14ac:dyDescent="0.25">
      <c r="A871" s="7" t="s">
        <v>1864</v>
      </c>
      <c r="B871" s="7">
        <v>0</v>
      </c>
      <c r="C871" s="7">
        <v>42</v>
      </c>
      <c r="D871" s="7">
        <v>0</v>
      </c>
      <c r="E871" s="7">
        <v>0</v>
      </c>
      <c r="F871" s="7">
        <v>0</v>
      </c>
      <c r="G871" s="7">
        <v>5</v>
      </c>
      <c r="H871" s="7">
        <v>0</v>
      </c>
      <c r="I871" s="7">
        <v>1</v>
      </c>
      <c r="J871" s="7">
        <v>0</v>
      </c>
      <c r="K871" s="7">
        <v>48</v>
      </c>
      <c r="L871" t="b">
        <f t="shared" si="13"/>
        <v>1</v>
      </c>
    </row>
    <row r="872" spans="1:12" x14ac:dyDescent="0.25">
      <c r="A872" s="7" t="s">
        <v>1865</v>
      </c>
      <c r="B872" s="7">
        <v>0</v>
      </c>
      <c r="C872" s="7">
        <v>42</v>
      </c>
      <c r="D872" s="7">
        <v>0</v>
      </c>
      <c r="E872" s="7">
        <v>0</v>
      </c>
      <c r="F872" s="7">
        <v>0</v>
      </c>
      <c r="G872" s="7">
        <v>10</v>
      </c>
      <c r="H872" s="7">
        <v>0</v>
      </c>
      <c r="I872" s="7">
        <v>1</v>
      </c>
      <c r="J872" s="7">
        <v>0</v>
      </c>
      <c r="K872" s="7">
        <v>53</v>
      </c>
      <c r="L872" t="b">
        <f t="shared" si="13"/>
        <v>1</v>
      </c>
    </row>
    <row r="873" spans="1:12" x14ac:dyDescent="0.25">
      <c r="A873" s="7" t="s">
        <v>1866</v>
      </c>
      <c r="B873" s="7">
        <v>0</v>
      </c>
      <c r="C873" s="7">
        <v>78</v>
      </c>
      <c r="D873" s="7">
        <v>1</v>
      </c>
      <c r="E873" s="7">
        <v>0</v>
      </c>
      <c r="F873" s="7">
        <v>0</v>
      </c>
      <c r="G873" s="7">
        <v>7</v>
      </c>
      <c r="H873" s="7">
        <v>0</v>
      </c>
      <c r="I873" s="7">
        <v>0</v>
      </c>
      <c r="J873" s="7">
        <v>0</v>
      </c>
      <c r="K873" s="7">
        <v>86</v>
      </c>
      <c r="L873" t="b">
        <f t="shared" si="13"/>
        <v>1</v>
      </c>
    </row>
    <row r="874" spans="1:12" x14ac:dyDescent="0.25">
      <c r="A874" s="7" t="s">
        <v>1867</v>
      </c>
      <c r="B874" s="7">
        <v>0</v>
      </c>
      <c r="C874" s="7">
        <v>85</v>
      </c>
      <c r="D874" s="7">
        <v>0</v>
      </c>
      <c r="E874" s="7">
        <v>0</v>
      </c>
      <c r="F874" s="7">
        <v>0</v>
      </c>
      <c r="G874" s="7">
        <v>2</v>
      </c>
      <c r="H874" s="7">
        <v>0</v>
      </c>
      <c r="I874" s="7">
        <v>0</v>
      </c>
      <c r="J874" s="7">
        <v>0</v>
      </c>
      <c r="K874" s="7">
        <v>87</v>
      </c>
      <c r="L874" t="b">
        <f t="shared" si="13"/>
        <v>1</v>
      </c>
    </row>
    <row r="875" spans="1:12" x14ac:dyDescent="0.25">
      <c r="A875" s="7" t="s">
        <v>1868</v>
      </c>
      <c r="B875" s="7">
        <v>0</v>
      </c>
      <c r="C875" s="7">
        <v>38</v>
      </c>
      <c r="D875" s="7">
        <v>4</v>
      </c>
      <c r="E875" s="7">
        <v>0</v>
      </c>
      <c r="F875" s="7">
        <v>0</v>
      </c>
      <c r="G875" s="7">
        <v>6</v>
      </c>
      <c r="H875" s="7">
        <v>0</v>
      </c>
      <c r="I875" s="7">
        <v>0</v>
      </c>
      <c r="J875" s="7">
        <v>0</v>
      </c>
      <c r="K875" s="7">
        <v>48</v>
      </c>
      <c r="L875" t="b">
        <f t="shared" si="13"/>
        <v>1</v>
      </c>
    </row>
    <row r="876" spans="1:12" x14ac:dyDescent="0.25">
      <c r="A876" s="7" t="s">
        <v>1869</v>
      </c>
      <c r="B876" s="7">
        <v>0</v>
      </c>
      <c r="C876" s="7">
        <v>49</v>
      </c>
      <c r="D876" s="7">
        <v>0</v>
      </c>
      <c r="E876" s="7">
        <v>0</v>
      </c>
      <c r="F876" s="7">
        <v>0</v>
      </c>
      <c r="G876" s="7">
        <v>1</v>
      </c>
      <c r="H876" s="7">
        <v>0</v>
      </c>
      <c r="I876" s="7">
        <v>0</v>
      </c>
      <c r="J876" s="7">
        <v>0</v>
      </c>
      <c r="K876" s="7">
        <v>50</v>
      </c>
      <c r="L876" t="b">
        <f t="shared" si="13"/>
        <v>1</v>
      </c>
    </row>
    <row r="877" spans="1:12" x14ac:dyDescent="0.25">
      <c r="A877" s="7" t="s">
        <v>1870</v>
      </c>
      <c r="B877" s="7">
        <v>0</v>
      </c>
      <c r="C877" s="7">
        <v>100</v>
      </c>
      <c r="D877" s="7">
        <v>0</v>
      </c>
      <c r="E877" s="7">
        <v>0</v>
      </c>
      <c r="F877" s="7">
        <v>0</v>
      </c>
      <c r="G877" s="7">
        <v>1</v>
      </c>
      <c r="H877" s="7">
        <v>0</v>
      </c>
      <c r="I877" s="7">
        <v>0</v>
      </c>
      <c r="J877" s="7">
        <v>0</v>
      </c>
      <c r="K877" s="7">
        <v>101</v>
      </c>
      <c r="L877" t="b">
        <f t="shared" si="13"/>
        <v>1</v>
      </c>
    </row>
    <row r="878" spans="1:12" x14ac:dyDescent="0.25">
      <c r="A878" s="7" t="s">
        <v>1871</v>
      </c>
      <c r="B878" s="7">
        <v>0</v>
      </c>
      <c r="C878" s="7">
        <v>58</v>
      </c>
      <c r="D878" s="7">
        <v>2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7">
        <v>61</v>
      </c>
      <c r="L878" t="b">
        <f t="shared" si="13"/>
        <v>1</v>
      </c>
    </row>
    <row r="879" spans="1:12" x14ac:dyDescent="0.25">
      <c r="A879" s="7" t="s">
        <v>1872</v>
      </c>
      <c r="B879" s="7">
        <v>0</v>
      </c>
      <c r="C879" s="7">
        <v>38</v>
      </c>
      <c r="D879" s="7">
        <v>1</v>
      </c>
      <c r="E879" s="7">
        <v>0</v>
      </c>
      <c r="F879" s="7">
        <v>0</v>
      </c>
      <c r="G879" s="7">
        <v>0</v>
      </c>
      <c r="H879" s="7">
        <v>0</v>
      </c>
      <c r="I879" s="7">
        <v>4</v>
      </c>
      <c r="J879" s="7">
        <v>0</v>
      </c>
      <c r="K879" s="7">
        <v>43</v>
      </c>
      <c r="L879" t="b">
        <f t="shared" si="13"/>
        <v>1</v>
      </c>
    </row>
    <row r="880" spans="1:12" x14ac:dyDescent="0.25">
      <c r="A880" s="7" t="s">
        <v>1873</v>
      </c>
      <c r="B880" s="7">
        <v>0</v>
      </c>
      <c r="C880" s="7">
        <v>18</v>
      </c>
      <c r="D880" s="7">
        <v>4</v>
      </c>
      <c r="E880" s="7">
        <v>0</v>
      </c>
      <c r="F880" s="7">
        <v>0</v>
      </c>
      <c r="G880" s="7">
        <v>0</v>
      </c>
      <c r="H880" s="7">
        <v>0</v>
      </c>
      <c r="I880" s="7">
        <v>9</v>
      </c>
      <c r="J880" s="7">
        <v>0</v>
      </c>
      <c r="K880" s="7">
        <v>31</v>
      </c>
      <c r="L880" t="b">
        <f t="shared" si="13"/>
        <v>1</v>
      </c>
    </row>
    <row r="881" spans="1:12" x14ac:dyDescent="0.25">
      <c r="A881" s="7" t="s">
        <v>1874</v>
      </c>
      <c r="B881" s="7">
        <v>0</v>
      </c>
      <c r="C881" s="7">
        <v>57</v>
      </c>
      <c r="D881" s="7">
        <v>5</v>
      </c>
      <c r="E881" s="7">
        <v>0</v>
      </c>
      <c r="F881" s="7">
        <v>0</v>
      </c>
      <c r="G881" s="7">
        <v>0</v>
      </c>
      <c r="H881" s="7">
        <v>0</v>
      </c>
      <c r="I881" s="7">
        <v>10</v>
      </c>
      <c r="J881" s="7">
        <v>0</v>
      </c>
      <c r="K881" s="7">
        <v>72</v>
      </c>
      <c r="L881" t="b">
        <f t="shared" si="13"/>
        <v>1</v>
      </c>
    </row>
    <row r="882" spans="1:12" x14ac:dyDescent="0.25">
      <c r="A882" s="7" t="s">
        <v>1875</v>
      </c>
      <c r="B882" s="7">
        <v>0</v>
      </c>
      <c r="C882" s="7">
        <v>102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102</v>
      </c>
      <c r="L882" t="b">
        <f t="shared" si="13"/>
        <v>1</v>
      </c>
    </row>
    <row r="883" spans="1:12" x14ac:dyDescent="0.25">
      <c r="A883" s="7" t="s">
        <v>1876</v>
      </c>
      <c r="B883" s="7">
        <v>0</v>
      </c>
      <c r="C883" s="7">
        <v>68</v>
      </c>
      <c r="D883" s="7">
        <v>0</v>
      </c>
      <c r="E883" s="7">
        <v>0</v>
      </c>
      <c r="F883" s="7">
        <v>0</v>
      </c>
      <c r="G883" s="7">
        <v>1</v>
      </c>
      <c r="H883" s="7">
        <v>0</v>
      </c>
      <c r="I883" s="7">
        <v>1</v>
      </c>
      <c r="J883" s="7">
        <v>0</v>
      </c>
      <c r="K883" s="7">
        <v>70</v>
      </c>
      <c r="L883" t="b">
        <f t="shared" si="13"/>
        <v>1</v>
      </c>
    </row>
    <row r="884" spans="1:12" x14ac:dyDescent="0.25">
      <c r="A884" s="7" t="s">
        <v>1877</v>
      </c>
      <c r="B884" s="7">
        <v>0</v>
      </c>
      <c r="C884" s="7">
        <v>83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83</v>
      </c>
      <c r="L884" t="b">
        <f t="shared" si="13"/>
        <v>1</v>
      </c>
    </row>
    <row r="885" spans="1:12" x14ac:dyDescent="0.25">
      <c r="A885" s="7" t="s">
        <v>1878</v>
      </c>
      <c r="B885" s="7">
        <v>0</v>
      </c>
      <c r="C885" s="7">
        <v>75</v>
      </c>
      <c r="D885" s="7">
        <v>0</v>
      </c>
      <c r="E885" s="7">
        <v>0</v>
      </c>
      <c r="F885" s="7">
        <v>0</v>
      </c>
      <c r="G885" s="7">
        <v>1</v>
      </c>
      <c r="H885" s="7">
        <v>0</v>
      </c>
      <c r="I885" s="7">
        <v>0</v>
      </c>
      <c r="J885" s="7">
        <v>0</v>
      </c>
      <c r="K885" s="7">
        <v>76</v>
      </c>
      <c r="L885" t="b">
        <f t="shared" si="13"/>
        <v>1</v>
      </c>
    </row>
    <row r="886" spans="1:12" x14ac:dyDescent="0.25">
      <c r="A886" s="7" t="s">
        <v>1879</v>
      </c>
      <c r="B886" s="7">
        <v>0</v>
      </c>
      <c r="C886" s="7">
        <v>60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60</v>
      </c>
      <c r="L886" t="b">
        <f t="shared" si="13"/>
        <v>1</v>
      </c>
    </row>
    <row r="887" spans="1:12" x14ac:dyDescent="0.25">
      <c r="A887" s="7" t="s">
        <v>1880</v>
      </c>
      <c r="B887" s="7">
        <v>0</v>
      </c>
      <c r="C887" s="7">
        <v>154</v>
      </c>
      <c r="D887" s="7">
        <v>0</v>
      </c>
      <c r="E887" s="7">
        <v>0</v>
      </c>
      <c r="F887" s="7">
        <v>0</v>
      </c>
      <c r="G887" s="7">
        <v>1</v>
      </c>
      <c r="H887" s="7">
        <v>0</v>
      </c>
      <c r="I887" s="7">
        <v>0</v>
      </c>
      <c r="J887" s="7">
        <v>0</v>
      </c>
      <c r="K887" s="7">
        <v>155</v>
      </c>
      <c r="L887" t="b">
        <f t="shared" si="13"/>
        <v>1</v>
      </c>
    </row>
    <row r="888" spans="1:12" x14ac:dyDescent="0.25">
      <c r="A888" s="7" t="s">
        <v>1881</v>
      </c>
      <c r="B888" s="7">
        <v>0</v>
      </c>
      <c r="C888" s="7">
        <v>225</v>
      </c>
      <c r="D888" s="7">
        <v>0</v>
      </c>
      <c r="E888" s="7">
        <v>0</v>
      </c>
      <c r="F888" s="7">
        <v>0</v>
      </c>
      <c r="G888" s="7">
        <v>2</v>
      </c>
      <c r="H888" s="7">
        <v>0</v>
      </c>
      <c r="I888" s="7">
        <v>3</v>
      </c>
      <c r="J888" s="7">
        <v>0</v>
      </c>
      <c r="K888" s="7">
        <v>230</v>
      </c>
      <c r="L888" t="b">
        <f t="shared" si="13"/>
        <v>1</v>
      </c>
    </row>
    <row r="889" spans="1:12" x14ac:dyDescent="0.25">
      <c r="A889" s="7" t="s">
        <v>1882</v>
      </c>
      <c r="B889" s="7">
        <v>0</v>
      </c>
      <c r="C889" s="7">
        <v>99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6</v>
      </c>
      <c r="J889" s="7">
        <v>0</v>
      </c>
      <c r="K889" s="7">
        <v>105</v>
      </c>
      <c r="L889" t="b">
        <f t="shared" si="13"/>
        <v>1</v>
      </c>
    </row>
    <row r="890" spans="1:12" x14ac:dyDescent="0.25">
      <c r="A890" s="7" t="s">
        <v>1883</v>
      </c>
      <c r="B890" s="7">
        <v>0</v>
      </c>
      <c r="C890" s="7">
        <v>115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44</v>
      </c>
      <c r="J890" s="7">
        <v>2</v>
      </c>
      <c r="K890" s="7">
        <v>161</v>
      </c>
      <c r="L890" t="b">
        <f t="shared" si="13"/>
        <v>1</v>
      </c>
    </row>
    <row r="891" spans="1:12" x14ac:dyDescent="0.25">
      <c r="A891" s="7" t="s">
        <v>1884</v>
      </c>
      <c r="B891" s="7">
        <v>0</v>
      </c>
      <c r="C891" s="7">
        <v>107</v>
      </c>
      <c r="D891" s="7">
        <v>0</v>
      </c>
      <c r="E891" s="7">
        <v>0</v>
      </c>
      <c r="F891" s="7">
        <v>0</v>
      </c>
      <c r="G891" s="7">
        <v>1</v>
      </c>
      <c r="H891" s="7">
        <v>0</v>
      </c>
      <c r="I891" s="7">
        <v>73</v>
      </c>
      <c r="J891" s="7">
        <v>0</v>
      </c>
      <c r="K891" s="7">
        <v>181</v>
      </c>
      <c r="L891" t="b">
        <f t="shared" si="13"/>
        <v>1</v>
      </c>
    </row>
    <row r="892" spans="1:12" x14ac:dyDescent="0.25">
      <c r="A892" s="7" t="s">
        <v>1885</v>
      </c>
      <c r="B892" s="7">
        <v>0</v>
      </c>
      <c r="C892" s="7">
        <v>132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48</v>
      </c>
      <c r="J892" s="7">
        <v>0</v>
      </c>
      <c r="K892" s="7">
        <v>180</v>
      </c>
      <c r="L892" t="b">
        <f t="shared" si="13"/>
        <v>1</v>
      </c>
    </row>
    <row r="893" spans="1:12" x14ac:dyDescent="0.25">
      <c r="A893" s="7" t="s">
        <v>1886</v>
      </c>
      <c r="B893" s="7">
        <v>0</v>
      </c>
      <c r="C893" s="7">
        <v>157</v>
      </c>
      <c r="D893" s="7">
        <v>0</v>
      </c>
      <c r="E893" s="7">
        <v>0</v>
      </c>
      <c r="F893" s="7">
        <v>0</v>
      </c>
      <c r="G893" s="7">
        <v>1</v>
      </c>
      <c r="H893" s="7">
        <v>0</v>
      </c>
      <c r="I893" s="7">
        <v>85</v>
      </c>
      <c r="J893" s="7">
        <v>0</v>
      </c>
      <c r="K893" s="7">
        <v>243</v>
      </c>
      <c r="L893" t="b">
        <f t="shared" si="13"/>
        <v>1</v>
      </c>
    </row>
    <row r="894" spans="1:12" x14ac:dyDescent="0.25">
      <c r="A894" s="7" t="s">
        <v>1887</v>
      </c>
      <c r="B894" s="7">
        <v>0</v>
      </c>
      <c r="C894" s="7">
        <v>99</v>
      </c>
      <c r="D894" s="7">
        <v>1</v>
      </c>
      <c r="E894" s="7">
        <v>0</v>
      </c>
      <c r="F894" s="7">
        <v>0</v>
      </c>
      <c r="G894" s="7">
        <v>4</v>
      </c>
      <c r="H894" s="7">
        <v>0</v>
      </c>
      <c r="I894" s="7">
        <v>25</v>
      </c>
      <c r="J894" s="7">
        <v>0</v>
      </c>
      <c r="K894" s="7">
        <v>129</v>
      </c>
      <c r="L894" t="b">
        <f t="shared" si="13"/>
        <v>1</v>
      </c>
    </row>
    <row r="895" spans="1:12" x14ac:dyDescent="0.25">
      <c r="A895" s="7" t="s">
        <v>1888</v>
      </c>
      <c r="B895" s="7">
        <v>0</v>
      </c>
      <c r="C895" s="7">
        <v>55</v>
      </c>
      <c r="D895" s="7">
        <v>15</v>
      </c>
      <c r="E895" s="7">
        <v>0</v>
      </c>
      <c r="F895" s="7">
        <v>0</v>
      </c>
      <c r="G895" s="7">
        <v>0</v>
      </c>
      <c r="H895" s="7">
        <v>0</v>
      </c>
      <c r="I895" s="7">
        <v>31</v>
      </c>
      <c r="J895" s="7">
        <v>5</v>
      </c>
      <c r="K895" s="7">
        <v>106</v>
      </c>
      <c r="L895" t="b">
        <f t="shared" si="13"/>
        <v>1</v>
      </c>
    </row>
    <row r="896" spans="1:12" x14ac:dyDescent="0.25">
      <c r="A896" s="7" t="s">
        <v>1889</v>
      </c>
      <c r="B896" s="7">
        <v>0</v>
      </c>
      <c r="C896" s="7">
        <v>205</v>
      </c>
      <c r="D896" s="7">
        <v>1</v>
      </c>
      <c r="E896" s="7">
        <v>0</v>
      </c>
      <c r="F896" s="7">
        <v>0</v>
      </c>
      <c r="G896" s="7">
        <v>8</v>
      </c>
      <c r="H896" s="7">
        <v>0</v>
      </c>
      <c r="I896" s="7">
        <v>5</v>
      </c>
      <c r="J896" s="7">
        <v>0</v>
      </c>
      <c r="K896" s="7">
        <v>219</v>
      </c>
      <c r="L896" t="b">
        <f t="shared" si="13"/>
        <v>1</v>
      </c>
    </row>
    <row r="897" spans="1:12" x14ac:dyDescent="0.25">
      <c r="A897" s="7" t="s">
        <v>1890</v>
      </c>
      <c r="B897" s="7">
        <v>0</v>
      </c>
      <c r="C897" s="7">
        <v>166</v>
      </c>
      <c r="D897" s="7">
        <v>20</v>
      </c>
      <c r="E897" s="7">
        <v>0</v>
      </c>
      <c r="F897" s="7">
        <v>1</v>
      </c>
      <c r="G897" s="7">
        <v>0</v>
      </c>
      <c r="H897" s="7">
        <v>0</v>
      </c>
      <c r="I897" s="7">
        <v>20</v>
      </c>
      <c r="J897" s="7">
        <v>11</v>
      </c>
      <c r="K897" s="7">
        <v>218</v>
      </c>
      <c r="L897" t="b">
        <f t="shared" si="13"/>
        <v>1</v>
      </c>
    </row>
    <row r="898" spans="1:12" x14ac:dyDescent="0.25">
      <c r="A898" s="7" t="s">
        <v>1891</v>
      </c>
      <c r="B898" s="7">
        <v>0</v>
      </c>
      <c r="C898" s="7">
        <v>72</v>
      </c>
      <c r="D898" s="7">
        <v>10</v>
      </c>
      <c r="E898" s="7">
        <v>0</v>
      </c>
      <c r="F898" s="7">
        <v>0</v>
      </c>
      <c r="G898" s="7">
        <v>0</v>
      </c>
      <c r="H898" s="7">
        <v>0</v>
      </c>
      <c r="I898" s="7">
        <v>39</v>
      </c>
      <c r="J898" s="7">
        <v>7</v>
      </c>
      <c r="K898" s="7">
        <v>128</v>
      </c>
      <c r="L898" t="b">
        <f t="shared" si="13"/>
        <v>1</v>
      </c>
    </row>
    <row r="899" spans="1:12" x14ac:dyDescent="0.25">
      <c r="A899" s="7" t="s">
        <v>1892</v>
      </c>
      <c r="B899" s="7">
        <v>0</v>
      </c>
      <c r="C899" s="7">
        <v>181</v>
      </c>
      <c r="D899" s="7">
        <v>0</v>
      </c>
      <c r="E899" s="7">
        <v>0</v>
      </c>
      <c r="F899" s="7">
        <v>1</v>
      </c>
      <c r="G899" s="7">
        <v>15</v>
      </c>
      <c r="H899" s="7">
        <v>0</v>
      </c>
      <c r="I899" s="7">
        <v>12</v>
      </c>
      <c r="J899" s="7">
        <v>0</v>
      </c>
      <c r="K899" s="7">
        <v>209</v>
      </c>
      <c r="L899" t="b">
        <f t="shared" ref="L899:L962" si="14">K899=SUM(B899:J899)</f>
        <v>1</v>
      </c>
    </row>
    <row r="900" spans="1:12" x14ac:dyDescent="0.25">
      <c r="A900" s="7" t="s">
        <v>1893</v>
      </c>
      <c r="B900" s="7">
        <v>0</v>
      </c>
      <c r="C900" s="7">
        <v>81</v>
      </c>
      <c r="D900" s="7">
        <v>11</v>
      </c>
      <c r="E900" s="7">
        <v>0</v>
      </c>
      <c r="F900" s="7">
        <v>0</v>
      </c>
      <c r="G900" s="7">
        <v>0</v>
      </c>
      <c r="H900" s="7">
        <v>0</v>
      </c>
      <c r="I900" s="7">
        <v>77</v>
      </c>
      <c r="J900" s="7">
        <v>2</v>
      </c>
      <c r="K900" s="7">
        <v>171</v>
      </c>
      <c r="L900" t="b">
        <f t="shared" si="14"/>
        <v>1</v>
      </c>
    </row>
    <row r="901" spans="1:12" x14ac:dyDescent="0.25">
      <c r="A901" s="7" t="s">
        <v>1894</v>
      </c>
      <c r="B901" s="7">
        <v>0</v>
      </c>
      <c r="C901" s="7">
        <v>109</v>
      </c>
      <c r="D901" s="7">
        <v>4</v>
      </c>
      <c r="E901" s="7">
        <v>0</v>
      </c>
      <c r="F901" s="7">
        <v>0</v>
      </c>
      <c r="G901" s="7">
        <v>0</v>
      </c>
      <c r="H901" s="7">
        <v>0</v>
      </c>
      <c r="I901" s="7">
        <v>3</v>
      </c>
      <c r="J901" s="7">
        <v>0</v>
      </c>
      <c r="K901" s="7">
        <v>116</v>
      </c>
      <c r="L901" t="b">
        <f t="shared" si="14"/>
        <v>1</v>
      </c>
    </row>
    <row r="902" spans="1:12" x14ac:dyDescent="0.25">
      <c r="A902" s="7" t="s">
        <v>1895</v>
      </c>
      <c r="B902" s="7">
        <v>0</v>
      </c>
      <c r="C902" s="7">
        <v>161</v>
      </c>
      <c r="D902" s="7">
        <v>0</v>
      </c>
      <c r="E902" s="7">
        <v>0</v>
      </c>
      <c r="F902" s="7">
        <v>0</v>
      </c>
      <c r="G902" s="7">
        <v>2</v>
      </c>
      <c r="H902" s="7">
        <v>0</v>
      </c>
      <c r="I902" s="7">
        <v>0</v>
      </c>
      <c r="J902" s="7">
        <v>0</v>
      </c>
      <c r="K902" s="7">
        <v>163</v>
      </c>
      <c r="L902" t="b">
        <f t="shared" si="14"/>
        <v>1</v>
      </c>
    </row>
    <row r="903" spans="1:12" x14ac:dyDescent="0.25">
      <c r="A903" s="7" t="s">
        <v>1896</v>
      </c>
      <c r="B903" s="7">
        <v>0</v>
      </c>
      <c r="C903" s="7">
        <v>212</v>
      </c>
      <c r="D903" s="7">
        <v>0</v>
      </c>
      <c r="E903" s="7">
        <v>0</v>
      </c>
      <c r="F903" s="7">
        <v>0</v>
      </c>
      <c r="G903" s="7">
        <v>1</v>
      </c>
      <c r="H903" s="7">
        <v>0</v>
      </c>
      <c r="I903" s="7">
        <v>0</v>
      </c>
      <c r="J903" s="7">
        <v>0</v>
      </c>
      <c r="K903" s="7">
        <v>213</v>
      </c>
      <c r="L903" t="b">
        <f t="shared" si="14"/>
        <v>1</v>
      </c>
    </row>
    <row r="904" spans="1:12" x14ac:dyDescent="0.25">
      <c r="A904" s="7" t="s">
        <v>1897</v>
      </c>
      <c r="B904" s="7">
        <v>0</v>
      </c>
      <c r="C904" s="7">
        <v>101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101</v>
      </c>
      <c r="L904" t="b">
        <f t="shared" si="14"/>
        <v>1</v>
      </c>
    </row>
    <row r="905" spans="1:12" x14ac:dyDescent="0.25">
      <c r="A905" s="7" t="s">
        <v>1898</v>
      </c>
      <c r="B905" s="7">
        <v>0</v>
      </c>
      <c r="C905" s="7">
        <v>140</v>
      </c>
      <c r="D905" s="7">
        <v>0</v>
      </c>
      <c r="E905" s="7">
        <v>0</v>
      </c>
      <c r="F905" s="7">
        <v>0</v>
      </c>
      <c r="G905" s="7">
        <v>1</v>
      </c>
      <c r="H905" s="7">
        <v>0</v>
      </c>
      <c r="I905" s="7">
        <v>0</v>
      </c>
      <c r="J905" s="7">
        <v>1</v>
      </c>
      <c r="K905" s="7">
        <v>142</v>
      </c>
      <c r="L905" t="b">
        <f t="shared" si="14"/>
        <v>1</v>
      </c>
    </row>
    <row r="906" spans="1:12" x14ac:dyDescent="0.25">
      <c r="A906" s="7" t="s">
        <v>1899</v>
      </c>
      <c r="B906" s="7">
        <v>0</v>
      </c>
      <c r="C906" s="7">
        <v>123</v>
      </c>
      <c r="D906" s="7">
        <v>0</v>
      </c>
      <c r="E906" s="7">
        <v>0</v>
      </c>
      <c r="F906" s="7">
        <v>0</v>
      </c>
      <c r="G906" s="7">
        <v>3</v>
      </c>
      <c r="H906" s="7">
        <v>0</v>
      </c>
      <c r="I906" s="7">
        <v>0</v>
      </c>
      <c r="J906" s="7">
        <v>0</v>
      </c>
      <c r="K906" s="7">
        <v>126</v>
      </c>
      <c r="L906" t="b">
        <f t="shared" si="14"/>
        <v>1</v>
      </c>
    </row>
    <row r="907" spans="1:12" x14ac:dyDescent="0.25">
      <c r="A907" s="7" t="s">
        <v>1900</v>
      </c>
      <c r="B907" s="7">
        <v>0</v>
      </c>
      <c r="C907" s="7">
        <v>220</v>
      </c>
      <c r="D907" s="7">
        <v>13</v>
      </c>
      <c r="E907" s="7">
        <v>0</v>
      </c>
      <c r="F907" s="7">
        <v>0</v>
      </c>
      <c r="G907" s="7">
        <v>0</v>
      </c>
      <c r="H907" s="7">
        <v>0</v>
      </c>
      <c r="I907" s="7">
        <v>12</v>
      </c>
      <c r="J907" s="7">
        <v>2</v>
      </c>
      <c r="K907" s="7">
        <v>247</v>
      </c>
      <c r="L907" t="b">
        <f t="shared" si="14"/>
        <v>1</v>
      </c>
    </row>
    <row r="908" spans="1:12" x14ac:dyDescent="0.25">
      <c r="A908" s="7" t="s">
        <v>1901</v>
      </c>
      <c r="B908" s="7">
        <v>0</v>
      </c>
      <c r="C908" s="7">
        <v>172</v>
      </c>
      <c r="D908" s="7">
        <v>4</v>
      </c>
      <c r="E908" s="7">
        <v>0</v>
      </c>
      <c r="F908" s="7">
        <v>0</v>
      </c>
      <c r="G908" s="7">
        <v>0</v>
      </c>
      <c r="H908" s="7">
        <v>0</v>
      </c>
      <c r="I908" s="7">
        <v>8</v>
      </c>
      <c r="J908" s="7">
        <v>0</v>
      </c>
      <c r="K908" s="7">
        <v>184</v>
      </c>
      <c r="L908" t="b">
        <f t="shared" si="14"/>
        <v>1</v>
      </c>
    </row>
    <row r="909" spans="1:12" x14ac:dyDescent="0.25">
      <c r="A909" s="7" t="s">
        <v>1902</v>
      </c>
      <c r="B909" s="7">
        <v>0</v>
      </c>
      <c r="C909" s="7">
        <v>128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128</v>
      </c>
      <c r="L909" t="b">
        <f t="shared" si="14"/>
        <v>1</v>
      </c>
    </row>
    <row r="910" spans="1:12" x14ac:dyDescent="0.25">
      <c r="A910" s="7" t="s">
        <v>1903</v>
      </c>
      <c r="B910" s="7">
        <v>0</v>
      </c>
      <c r="C910" s="7">
        <v>118</v>
      </c>
      <c r="D910" s="7">
        <v>6</v>
      </c>
      <c r="E910" s="7">
        <v>0</v>
      </c>
      <c r="F910" s="7">
        <v>0</v>
      </c>
      <c r="G910" s="7">
        <v>0</v>
      </c>
      <c r="H910" s="7">
        <v>0</v>
      </c>
      <c r="I910" s="7">
        <v>5</v>
      </c>
      <c r="J910" s="7">
        <v>2</v>
      </c>
      <c r="K910" s="7">
        <v>131</v>
      </c>
      <c r="L910" t="b">
        <f t="shared" si="14"/>
        <v>1</v>
      </c>
    </row>
    <row r="911" spans="1:12" x14ac:dyDescent="0.25">
      <c r="A911" s="7" t="s">
        <v>1904</v>
      </c>
      <c r="B911" s="7">
        <v>0</v>
      </c>
      <c r="C911" s="7">
        <v>105</v>
      </c>
      <c r="D911" s="7">
        <v>1</v>
      </c>
      <c r="E911" s="7">
        <v>0</v>
      </c>
      <c r="F911" s="7">
        <v>0</v>
      </c>
      <c r="G911" s="7">
        <v>2</v>
      </c>
      <c r="H911" s="7">
        <v>0</v>
      </c>
      <c r="I911" s="7">
        <v>0</v>
      </c>
      <c r="J911" s="7">
        <v>0</v>
      </c>
      <c r="K911" s="7">
        <v>108</v>
      </c>
      <c r="L911" t="b">
        <f t="shared" si="14"/>
        <v>1</v>
      </c>
    </row>
    <row r="912" spans="1:12" x14ac:dyDescent="0.25">
      <c r="A912" s="7" t="s">
        <v>1905</v>
      </c>
      <c r="B912" s="7">
        <v>0</v>
      </c>
      <c r="C912" s="7">
        <v>182</v>
      </c>
      <c r="D912" s="7">
        <v>3</v>
      </c>
      <c r="E912" s="7">
        <v>0</v>
      </c>
      <c r="F912" s="7">
        <v>0</v>
      </c>
      <c r="G912" s="7">
        <v>2</v>
      </c>
      <c r="H912" s="7">
        <v>0</v>
      </c>
      <c r="I912" s="7">
        <v>0</v>
      </c>
      <c r="J912" s="7">
        <v>0</v>
      </c>
      <c r="K912" s="7">
        <v>187</v>
      </c>
      <c r="L912" t="b">
        <f t="shared" si="14"/>
        <v>1</v>
      </c>
    </row>
    <row r="913" spans="1:12" x14ac:dyDescent="0.25">
      <c r="A913" s="7" t="s">
        <v>1906</v>
      </c>
      <c r="B913" s="7">
        <v>0</v>
      </c>
      <c r="C913" s="7">
        <v>123</v>
      </c>
      <c r="D913" s="7">
        <v>2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125</v>
      </c>
      <c r="L913" t="b">
        <f t="shared" si="14"/>
        <v>1</v>
      </c>
    </row>
    <row r="914" spans="1:12" x14ac:dyDescent="0.25">
      <c r="A914" s="7" t="s">
        <v>1907</v>
      </c>
      <c r="B914" s="7">
        <v>0</v>
      </c>
      <c r="C914" s="7">
        <v>139</v>
      </c>
      <c r="D914" s="7">
        <v>1</v>
      </c>
      <c r="E914" s="7">
        <v>0</v>
      </c>
      <c r="F914" s="7">
        <v>0</v>
      </c>
      <c r="G914" s="7">
        <v>0</v>
      </c>
      <c r="H914" s="7">
        <v>0</v>
      </c>
      <c r="I914" s="7">
        <v>1</v>
      </c>
      <c r="J914" s="7">
        <v>0</v>
      </c>
      <c r="K914" s="7">
        <v>141</v>
      </c>
      <c r="L914" t="b">
        <f t="shared" si="14"/>
        <v>1</v>
      </c>
    </row>
    <row r="915" spans="1:12" x14ac:dyDescent="0.25">
      <c r="A915" s="7" t="s">
        <v>1908</v>
      </c>
      <c r="B915" s="7">
        <v>0</v>
      </c>
      <c r="C915" s="7">
        <v>116</v>
      </c>
      <c r="D915" s="7">
        <v>13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129</v>
      </c>
      <c r="L915" t="b">
        <f t="shared" si="14"/>
        <v>1</v>
      </c>
    </row>
    <row r="916" spans="1:12" x14ac:dyDescent="0.25">
      <c r="A916" s="7" t="s">
        <v>1909</v>
      </c>
      <c r="B916" s="7">
        <v>0</v>
      </c>
      <c r="C916" s="7">
        <v>104</v>
      </c>
      <c r="D916" s="7">
        <v>3</v>
      </c>
      <c r="E916" s="7">
        <v>0</v>
      </c>
      <c r="F916" s="7">
        <v>0</v>
      </c>
      <c r="G916" s="7">
        <v>1</v>
      </c>
      <c r="H916" s="7">
        <v>0</v>
      </c>
      <c r="I916" s="7">
        <v>1</v>
      </c>
      <c r="J916" s="7">
        <v>0</v>
      </c>
      <c r="K916" s="7">
        <v>109</v>
      </c>
      <c r="L916" t="b">
        <f t="shared" si="14"/>
        <v>1</v>
      </c>
    </row>
    <row r="917" spans="1:12" x14ac:dyDescent="0.25">
      <c r="A917" s="7" t="s">
        <v>1910</v>
      </c>
      <c r="B917" s="7">
        <v>0</v>
      </c>
      <c r="C917" s="7">
        <v>52</v>
      </c>
      <c r="D917" s="7">
        <v>15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67</v>
      </c>
      <c r="L917" t="b">
        <f t="shared" si="14"/>
        <v>1</v>
      </c>
    </row>
    <row r="918" spans="1:12" x14ac:dyDescent="0.25">
      <c r="A918" s="7" t="s">
        <v>1911</v>
      </c>
      <c r="B918" s="7">
        <v>0</v>
      </c>
      <c r="C918" s="7">
        <v>102</v>
      </c>
      <c r="D918" s="7">
        <v>3</v>
      </c>
      <c r="E918" s="7">
        <v>0</v>
      </c>
      <c r="F918" s="7">
        <v>0</v>
      </c>
      <c r="G918" s="7">
        <v>0</v>
      </c>
      <c r="H918" s="7">
        <v>0</v>
      </c>
      <c r="I918" s="7">
        <v>2</v>
      </c>
      <c r="J918" s="7">
        <v>1</v>
      </c>
      <c r="K918" s="7">
        <v>108</v>
      </c>
      <c r="L918" t="b">
        <f t="shared" si="14"/>
        <v>1</v>
      </c>
    </row>
    <row r="919" spans="1:12" x14ac:dyDescent="0.25">
      <c r="A919" s="7" t="s">
        <v>1912</v>
      </c>
      <c r="B919" s="7">
        <v>0</v>
      </c>
      <c r="C919" s="7">
        <v>38</v>
      </c>
      <c r="D919" s="7">
        <v>73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111</v>
      </c>
      <c r="L919" t="b">
        <f t="shared" si="14"/>
        <v>1</v>
      </c>
    </row>
    <row r="920" spans="1:12" x14ac:dyDescent="0.25">
      <c r="A920" s="7" t="s">
        <v>1913</v>
      </c>
      <c r="B920" s="7">
        <v>0</v>
      </c>
      <c r="C920" s="7">
        <v>106</v>
      </c>
      <c r="D920" s="7">
        <v>20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1</v>
      </c>
      <c r="K920" s="7">
        <v>127</v>
      </c>
      <c r="L920" t="b">
        <f t="shared" si="14"/>
        <v>1</v>
      </c>
    </row>
    <row r="921" spans="1:12" x14ac:dyDescent="0.25">
      <c r="A921" s="7" t="s">
        <v>1914</v>
      </c>
      <c r="B921" s="7">
        <v>0</v>
      </c>
      <c r="C921" s="7">
        <v>90</v>
      </c>
      <c r="D921" s="7">
        <v>1</v>
      </c>
      <c r="E921" s="7">
        <v>0</v>
      </c>
      <c r="F921" s="7">
        <v>0</v>
      </c>
      <c r="G921" s="7">
        <v>1</v>
      </c>
      <c r="H921" s="7">
        <v>0</v>
      </c>
      <c r="I921" s="7">
        <v>0</v>
      </c>
      <c r="J921" s="7">
        <v>0</v>
      </c>
      <c r="K921" s="7">
        <v>92</v>
      </c>
      <c r="L921" t="b">
        <f t="shared" si="14"/>
        <v>1</v>
      </c>
    </row>
    <row r="922" spans="1:12" x14ac:dyDescent="0.25">
      <c r="A922" s="7" t="s">
        <v>1915</v>
      </c>
      <c r="B922" s="7">
        <v>0</v>
      </c>
      <c r="C922" s="7">
        <v>137</v>
      </c>
      <c r="D922" s="7">
        <v>2</v>
      </c>
      <c r="E922" s="7">
        <v>0</v>
      </c>
      <c r="F922" s="7">
        <v>0</v>
      </c>
      <c r="G922" s="7">
        <v>0</v>
      </c>
      <c r="H922" s="7">
        <v>0</v>
      </c>
      <c r="I922" s="7">
        <v>5</v>
      </c>
      <c r="J922" s="7">
        <v>0</v>
      </c>
      <c r="K922" s="7">
        <v>144</v>
      </c>
      <c r="L922" t="b">
        <f t="shared" si="14"/>
        <v>1</v>
      </c>
    </row>
    <row r="923" spans="1:12" x14ac:dyDescent="0.25">
      <c r="A923" s="7" t="s">
        <v>1916</v>
      </c>
      <c r="B923" s="7">
        <v>0</v>
      </c>
      <c r="C923" s="7">
        <v>99</v>
      </c>
      <c r="D923" s="7">
        <v>0</v>
      </c>
      <c r="E923" s="7">
        <v>0</v>
      </c>
      <c r="F923" s="7">
        <v>0</v>
      </c>
      <c r="G923" s="7">
        <v>1</v>
      </c>
      <c r="H923" s="7">
        <v>0</v>
      </c>
      <c r="I923" s="7">
        <v>0</v>
      </c>
      <c r="J923" s="7">
        <v>1</v>
      </c>
      <c r="K923" s="7">
        <v>101</v>
      </c>
      <c r="L923" t="b">
        <f t="shared" si="14"/>
        <v>1</v>
      </c>
    </row>
    <row r="924" spans="1:12" x14ac:dyDescent="0.25">
      <c r="A924" s="7" t="s">
        <v>1917</v>
      </c>
      <c r="B924" s="7">
        <v>0</v>
      </c>
      <c r="C924" s="7">
        <v>99</v>
      </c>
      <c r="D924" s="7">
        <v>52</v>
      </c>
      <c r="E924" s="7">
        <v>0</v>
      </c>
      <c r="F924" s="7">
        <v>0</v>
      </c>
      <c r="G924" s="7">
        <v>1</v>
      </c>
      <c r="H924" s="7">
        <v>0</v>
      </c>
      <c r="I924" s="7">
        <v>6</v>
      </c>
      <c r="J924" s="7">
        <v>5</v>
      </c>
      <c r="K924" s="7">
        <v>163</v>
      </c>
      <c r="L924" t="b">
        <f t="shared" si="14"/>
        <v>1</v>
      </c>
    </row>
    <row r="925" spans="1:12" x14ac:dyDescent="0.25">
      <c r="A925" s="7" t="s">
        <v>1918</v>
      </c>
      <c r="B925" s="7">
        <v>0</v>
      </c>
      <c r="C925" s="7">
        <v>166</v>
      </c>
      <c r="D925" s="7">
        <v>4</v>
      </c>
      <c r="E925" s="7">
        <v>0</v>
      </c>
      <c r="F925" s="7">
        <v>0</v>
      </c>
      <c r="G925" s="7">
        <v>1</v>
      </c>
      <c r="H925" s="7">
        <v>0</v>
      </c>
      <c r="I925" s="7">
        <v>0</v>
      </c>
      <c r="J925" s="7">
        <v>0</v>
      </c>
      <c r="K925" s="7">
        <v>171</v>
      </c>
      <c r="L925" t="b">
        <f t="shared" si="14"/>
        <v>1</v>
      </c>
    </row>
    <row r="926" spans="1:12" x14ac:dyDescent="0.25">
      <c r="A926" s="7" t="s">
        <v>1919</v>
      </c>
      <c r="B926" s="7">
        <v>0</v>
      </c>
      <c r="C926" s="7">
        <v>93</v>
      </c>
      <c r="D926" s="7">
        <v>0</v>
      </c>
      <c r="E926" s="7">
        <v>0</v>
      </c>
      <c r="F926" s="7">
        <v>0</v>
      </c>
      <c r="G926" s="7">
        <v>1</v>
      </c>
      <c r="H926" s="7">
        <v>0</v>
      </c>
      <c r="I926" s="7">
        <v>2</v>
      </c>
      <c r="J926" s="7">
        <v>0</v>
      </c>
      <c r="K926" s="7">
        <v>96</v>
      </c>
      <c r="L926" t="b">
        <f t="shared" si="14"/>
        <v>1</v>
      </c>
    </row>
    <row r="927" spans="1:12" x14ac:dyDescent="0.25">
      <c r="A927" s="7" t="s">
        <v>1920</v>
      </c>
      <c r="B927" s="7">
        <v>0</v>
      </c>
      <c r="C927" s="7">
        <v>125</v>
      </c>
      <c r="D927" s="7">
        <v>3</v>
      </c>
      <c r="E927" s="7">
        <v>0</v>
      </c>
      <c r="F927" s="7">
        <v>0</v>
      </c>
      <c r="G927" s="7">
        <v>0</v>
      </c>
      <c r="H927" s="7">
        <v>0</v>
      </c>
      <c r="I927" s="7">
        <v>1</v>
      </c>
      <c r="J927" s="7">
        <v>0</v>
      </c>
      <c r="K927" s="7">
        <v>129</v>
      </c>
      <c r="L927" t="b">
        <f t="shared" si="14"/>
        <v>1</v>
      </c>
    </row>
    <row r="928" spans="1:12" x14ac:dyDescent="0.25">
      <c r="A928" s="7" t="s">
        <v>1921</v>
      </c>
      <c r="B928" s="7">
        <v>0</v>
      </c>
      <c r="C928" s="7">
        <v>142</v>
      </c>
      <c r="D928" s="7">
        <v>4</v>
      </c>
      <c r="E928" s="7">
        <v>0</v>
      </c>
      <c r="F928" s="7">
        <v>0</v>
      </c>
      <c r="G928" s="7">
        <v>1</v>
      </c>
      <c r="H928" s="7">
        <v>0</v>
      </c>
      <c r="I928" s="7">
        <v>0</v>
      </c>
      <c r="J928" s="7">
        <v>0</v>
      </c>
      <c r="K928" s="7">
        <v>147</v>
      </c>
      <c r="L928" t="b">
        <f t="shared" si="14"/>
        <v>1</v>
      </c>
    </row>
    <row r="929" spans="1:12" x14ac:dyDescent="0.25">
      <c r="A929" s="7" t="s">
        <v>1922</v>
      </c>
      <c r="B929" s="7">
        <v>0</v>
      </c>
      <c r="C929" s="7">
        <v>80</v>
      </c>
      <c r="D929" s="7">
        <v>5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85</v>
      </c>
      <c r="L929" t="b">
        <f t="shared" si="14"/>
        <v>1</v>
      </c>
    </row>
    <row r="930" spans="1:12" x14ac:dyDescent="0.25">
      <c r="A930" s="7" t="s">
        <v>1923</v>
      </c>
      <c r="B930" s="7">
        <v>0</v>
      </c>
      <c r="C930" s="7">
        <v>110</v>
      </c>
      <c r="D930" s="7">
        <v>2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112</v>
      </c>
      <c r="L930" t="b">
        <f t="shared" si="14"/>
        <v>1</v>
      </c>
    </row>
    <row r="931" spans="1:12" x14ac:dyDescent="0.25">
      <c r="A931" s="7" t="s">
        <v>1924</v>
      </c>
      <c r="B931" s="7">
        <v>0</v>
      </c>
      <c r="C931" s="7">
        <v>86</v>
      </c>
      <c r="D931" s="7">
        <v>1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87</v>
      </c>
      <c r="L931" t="b">
        <f t="shared" si="14"/>
        <v>1</v>
      </c>
    </row>
    <row r="932" spans="1:12" x14ac:dyDescent="0.25">
      <c r="A932" s="7" t="s">
        <v>1925</v>
      </c>
      <c r="B932" s="7">
        <v>0</v>
      </c>
      <c r="C932" s="7">
        <v>41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55</v>
      </c>
      <c r="J932" s="7">
        <v>0</v>
      </c>
      <c r="K932" s="7">
        <v>96</v>
      </c>
      <c r="L932" t="b">
        <f t="shared" si="14"/>
        <v>1</v>
      </c>
    </row>
    <row r="933" spans="1:12" x14ac:dyDescent="0.25">
      <c r="A933" s="7" t="s">
        <v>1926</v>
      </c>
      <c r="B933" s="7">
        <v>0</v>
      </c>
      <c r="C933" s="7">
        <v>147</v>
      </c>
      <c r="D933" s="7">
        <v>1</v>
      </c>
      <c r="E933" s="7">
        <v>0</v>
      </c>
      <c r="F933" s="7">
        <v>0</v>
      </c>
      <c r="G933" s="7">
        <v>35</v>
      </c>
      <c r="H933" s="7">
        <v>0</v>
      </c>
      <c r="I933" s="7">
        <v>9</v>
      </c>
      <c r="J933" s="7">
        <v>0</v>
      </c>
      <c r="K933" s="7">
        <v>192</v>
      </c>
      <c r="L933" t="b">
        <f t="shared" si="14"/>
        <v>1</v>
      </c>
    </row>
    <row r="934" spans="1:12" x14ac:dyDescent="0.25">
      <c r="A934" s="7" t="s">
        <v>1927</v>
      </c>
      <c r="B934" s="7">
        <v>0</v>
      </c>
      <c r="C934" s="7">
        <v>97</v>
      </c>
      <c r="D934" s="7">
        <v>0</v>
      </c>
      <c r="E934" s="7">
        <v>0</v>
      </c>
      <c r="F934" s="7">
        <v>0</v>
      </c>
      <c r="G934" s="7">
        <v>1</v>
      </c>
      <c r="H934" s="7">
        <v>0</v>
      </c>
      <c r="I934" s="7">
        <v>0</v>
      </c>
      <c r="J934" s="7">
        <v>0</v>
      </c>
      <c r="K934" s="7">
        <v>98</v>
      </c>
      <c r="L934" t="b">
        <f t="shared" si="14"/>
        <v>1</v>
      </c>
    </row>
    <row r="935" spans="1:12" x14ac:dyDescent="0.25">
      <c r="A935" s="7" t="s">
        <v>1928</v>
      </c>
      <c r="B935" s="7">
        <v>0</v>
      </c>
      <c r="C935" s="7">
        <v>66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12</v>
      </c>
      <c r="J935" s="7">
        <v>0</v>
      </c>
      <c r="K935" s="7">
        <v>78</v>
      </c>
      <c r="L935" t="b">
        <f t="shared" si="14"/>
        <v>1</v>
      </c>
    </row>
    <row r="936" spans="1:12" x14ac:dyDescent="0.25">
      <c r="A936" s="7" t="s">
        <v>1929</v>
      </c>
      <c r="B936" s="7">
        <v>0</v>
      </c>
      <c r="C936" s="7">
        <v>89</v>
      </c>
      <c r="D936" s="7">
        <v>0</v>
      </c>
      <c r="E936" s="7">
        <v>0</v>
      </c>
      <c r="F936" s="7">
        <v>0</v>
      </c>
      <c r="G936" s="7">
        <v>13</v>
      </c>
      <c r="H936" s="7">
        <v>0</v>
      </c>
      <c r="I936" s="7">
        <v>0</v>
      </c>
      <c r="J936" s="7">
        <v>0</v>
      </c>
      <c r="K936" s="7">
        <v>102</v>
      </c>
      <c r="L936" t="b">
        <f t="shared" si="14"/>
        <v>1</v>
      </c>
    </row>
    <row r="937" spans="1:12" x14ac:dyDescent="0.25">
      <c r="A937" s="7" t="s">
        <v>1930</v>
      </c>
      <c r="B937" s="7">
        <v>0</v>
      </c>
      <c r="C937" s="7">
        <v>114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114</v>
      </c>
      <c r="L937" t="b">
        <f t="shared" si="14"/>
        <v>1</v>
      </c>
    </row>
    <row r="938" spans="1:12" x14ac:dyDescent="0.25">
      <c r="A938" s="7" t="s">
        <v>1931</v>
      </c>
      <c r="B938" s="7">
        <v>0</v>
      </c>
      <c r="C938" s="7">
        <v>96</v>
      </c>
      <c r="D938" s="7">
        <v>0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96</v>
      </c>
      <c r="L938" t="b">
        <f t="shared" si="14"/>
        <v>1</v>
      </c>
    </row>
    <row r="939" spans="1:12" x14ac:dyDescent="0.25">
      <c r="A939" s="7" t="s">
        <v>1932</v>
      </c>
      <c r="B939" s="7">
        <v>0</v>
      </c>
      <c r="C939" s="7">
        <v>34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34</v>
      </c>
      <c r="L939" t="b">
        <f t="shared" si="14"/>
        <v>1</v>
      </c>
    </row>
    <row r="940" spans="1:12" x14ac:dyDescent="0.25">
      <c r="A940" s="7" t="s">
        <v>1933</v>
      </c>
      <c r="B940" s="7">
        <v>0</v>
      </c>
      <c r="C940" s="7">
        <v>51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7">
        <v>52</v>
      </c>
      <c r="L940" t="b">
        <f t="shared" si="14"/>
        <v>1</v>
      </c>
    </row>
    <row r="941" spans="1:12" x14ac:dyDescent="0.25">
      <c r="A941" s="7" t="s">
        <v>1934</v>
      </c>
      <c r="B941" s="7">
        <v>0</v>
      </c>
      <c r="C941" s="7">
        <v>44</v>
      </c>
      <c r="D941" s="7">
        <v>0</v>
      </c>
      <c r="E941" s="7">
        <v>0</v>
      </c>
      <c r="F941" s="7">
        <v>0</v>
      </c>
      <c r="G941" s="7">
        <v>2</v>
      </c>
      <c r="H941" s="7">
        <v>0</v>
      </c>
      <c r="I941" s="7">
        <v>0</v>
      </c>
      <c r="J941" s="7">
        <v>0</v>
      </c>
      <c r="K941" s="7">
        <v>46</v>
      </c>
      <c r="L941" t="b">
        <f t="shared" si="14"/>
        <v>1</v>
      </c>
    </row>
    <row r="942" spans="1:12" x14ac:dyDescent="0.25">
      <c r="A942" s="7" t="s">
        <v>1935</v>
      </c>
      <c r="B942" s="7">
        <v>0</v>
      </c>
      <c r="C942" s="7">
        <v>24</v>
      </c>
      <c r="D942" s="7">
        <v>1</v>
      </c>
      <c r="E942" s="7">
        <v>0</v>
      </c>
      <c r="F942" s="7">
        <v>0</v>
      </c>
      <c r="G942" s="7">
        <v>1</v>
      </c>
      <c r="H942" s="7">
        <v>0</v>
      </c>
      <c r="I942" s="7">
        <v>0</v>
      </c>
      <c r="J942" s="7">
        <v>0</v>
      </c>
      <c r="K942" s="7">
        <v>26</v>
      </c>
      <c r="L942" t="b">
        <f t="shared" si="14"/>
        <v>1</v>
      </c>
    </row>
    <row r="943" spans="1:12" x14ac:dyDescent="0.25">
      <c r="A943" s="7" t="s">
        <v>1936</v>
      </c>
      <c r="B943" s="7">
        <v>0</v>
      </c>
      <c r="C943" s="7">
        <v>56</v>
      </c>
      <c r="D943" s="7">
        <v>0</v>
      </c>
      <c r="E943" s="7">
        <v>0</v>
      </c>
      <c r="F943" s="7">
        <v>0</v>
      </c>
      <c r="G943" s="7">
        <v>1</v>
      </c>
      <c r="H943" s="7">
        <v>0</v>
      </c>
      <c r="I943" s="7">
        <v>0</v>
      </c>
      <c r="J943" s="7">
        <v>0</v>
      </c>
      <c r="K943" s="7">
        <v>57</v>
      </c>
      <c r="L943" t="b">
        <f t="shared" si="14"/>
        <v>1</v>
      </c>
    </row>
    <row r="944" spans="1:12" x14ac:dyDescent="0.25">
      <c r="A944" s="7" t="s">
        <v>1937</v>
      </c>
      <c r="B944" s="7">
        <v>0</v>
      </c>
      <c r="C944" s="7">
        <v>92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1</v>
      </c>
      <c r="J944" s="7">
        <v>0</v>
      </c>
      <c r="K944" s="7">
        <v>93</v>
      </c>
      <c r="L944" t="b">
        <f t="shared" si="14"/>
        <v>1</v>
      </c>
    </row>
    <row r="945" spans="1:12" x14ac:dyDescent="0.25">
      <c r="A945" s="7" t="s">
        <v>1938</v>
      </c>
      <c r="B945" s="7">
        <v>0</v>
      </c>
      <c r="C945" s="7">
        <v>55</v>
      </c>
      <c r="D945" s="7">
        <v>34</v>
      </c>
      <c r="E945" s="7">
        <v>0</v>
      </c>
      <c r="F945" s="7">
        <v>0</v>
      </c>
      <c r="G945" s="7">
        <v>0</v>
      </c>
      <c r="H945" s="7">
        <v>0</v>
      </c>
      <c r="I945" s="7">
        <v>27</v>
      </c>
      <c r="J945" s="7">
        <v>0</v>
      </c>
      <c r="K945" s="7">
        <v>116</v>
      </c>
      <c r="L945" t="b">
        <f t="shared" si="14"/>
        <v>1</v>
      </c>
    </row>
    <row r="946" spans="1:12" x14ac:dyDescent="0.25">
      <c r="A946" s="7" t="s">
        <v>1939</v>
      </c>
      <c r="B946" s="7">
        <v>0</v>
      </c>
      <c r="C946" s="7">
        <v>65</v>
      </c>
      <c r="D946" s="7">
        <v>10</v>
      </c>
      <c r="E946" s="7">
        <v>0</v>
      </c>
      <c r="F946" s="7">
        <v>0</v>
      </c>
      <c r="G946" s="7">
        <v>0</v>
      </c>
      <c r="H946" s="7">
        <v>0</v>
      </c>
      <c r="I946" s="7">
        <v>3</v>
      </c>
      <c r="J946" s="7">
        <v>0</v>
      </c>
      <c r="K946" s="7">
        <v>78</v>
      </c>
      <c r="L946" t="b">
        <f t="shared" si="14"/>
        <v>1</v>
      </c>
    </row>
    <row r="947" spans="1:12" x14ac:dyDescent="0.25">
      <c r="A947" s="7" t="s">
        <v>1940</v>
      </c>
      <c r="B947" s="7">
        <v>0</v>
      </c>
      <c r="C947" s="7">
        <v>116</v>
      </c>
      <c r="D947" s="7">
        <v>1</v>
      </c>
      <c r="E947" s="7">
        <v>0</v>
      </c>
      <c r="F947" s="7">
        <v>0</v>
      </c>
      <c r="G947" s="7">
        <v>1</v>
      </c>
      <c r="H947" s="7">
        <v>0</v>
      </c>
      <c r="I947" s="7">
        <v>16</v>
      </c>
      <c r="J947" s="7">
        <v>2</v>
      </c>
      <c r="K947" s="7">
        <v>136</v>
      </c>
      <c r="L947" t="b">
        <f t="shared" si="14"/>
        <v>1</v>
      </c>
    </row>
    <row r="948" spans="1:12" x14ac:dyDescent="0.25">
      <c r="A948" s="7" t="s">
        <v>1941</v>
      </c>
      <c r="B948" s="7">
        <v>0</v>
      </c>
      <c r="C948" s="7">
        <v>85</v>
      </c>
      <c r="D948" s="7">
        <v>2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7">
        <v>89</v>
      </c>
      <c r="L948" t="b">
        <f t="shared" si="14"/>
        <v>1</v>
      </c>
    </row>
    <row r="949" spans="1:12" x14ac:dyDescent="0.25">
      <c r="A949" s="7" t="s">
        <v>1942</v>
      </c>
      <c r="B949" s="7">
        <v>0</v>
      </c>
      <c r="C949" s="7">
        <v>95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95</v>
      </c>
      <c r="L949" t="b">
        <f t="shared" si="14"/>
        <v>1</v>
      </c>
    </row>
    <row r="950" spans="1:12" x14ac:dyDescent="0.25">
      <c r="A950" s="7" t="s">
        <v>1943</v>
      </c>
      <c r="B950" s="7">
        <v>0</v>
      </c>
      <c r="C950" s="7">
        <v>29</v>
      </c>
      <c r="D950" s="7">
        <v>0</v>
      </c>
      <c r="E950" s="7">
        <v>0</v>
      </c>
      <c r="F950" s="7">
        <v>0</v>
      </c>
      <c r="G950" s="7">
        <v>1</v>
      </c>
      <c r="H950" s="7">
        <v>0</v>
      </c>
      <c r="I950" s="7">
        <v>0</v>
      </c>
      <c r="J950" s="7">
        <v>0</v>
      </c>
      <c r="K950" s="7">
        <v>30</v>
      </c>
      <c r="L950" t="b">
        <f t="shared" si="14"/>
        <v>1</v>
      </c>
    </row>
    <row r="951" spans="1:12" x14ac:dyDescent="0.25">
      <c r="A951" s="7" t="s">
        <v>1944</v>
      </c>
      <c r="B951" s="7">
        <v>0</v>
      </c>
      <c r="C951" s="7">
        <v>17</v>
      </c>
      <c r="D951" s="7">
        <v>1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3</v>
      </c>
      <c r="K951" s="7">
        <v>21</v>
      </c>
      <c r="L951" t="b">
        <f t="shared" si="14"/>
        <v>1</v>
      </c>
    </row>
    <row r="952" spans="1:12" x14ac:dyDescent="0.25">
      <c r="A952" s="7" t="s">
        <v>1945</v>
      </c>
      <c r="B952" s="7">
        <v>0</v>
      </c>
      <c r="C952" s="7">
        <v>53</v>
      </c>
      <c r="D952" s="7">
        <v>21</v>
      </c>
      <c r="E952" s="7">
        <v>0</v>
      </c>
      <c r="F952" s="7">
        <v>0</v>
      </c>
      <c r="G952" s="7">
        <v>0</v>
      </c>
      <c r="H952" s="7">
        <v>0</v>
      </c>
      <c r="I952" s="7">
        <v>9</v>
      </c>
      <c r="J952" s="7">
        <v>2</v>
      </c>
      <c r="K952" s="7">
        <v>85</v>
      </c>
      <c r="L952" t="b">
        <f t="shared" si="14"/>
        <v>1</v>
      </c>
    </row>
    <row r="953" spans="1:12" x14ac:dyDescent="0.25">
      <c r="A953" s="7" t="s">
        <v>1946</v>
      </c>
      <c r="B953" s="7">
        <v>0</v>
      </c>
      <c r="C953" s="7">
        <v>77</v>
      </c>
      <c r="D953" s="7">
        <v>3</v>
      </c>
      <c r="E953" s="7">
        <v>0</v>
      </c>
      <c r="F953" s="7">
        <v>0</v>
      </c>
      <c r="G953" s="7">
        <v>0</v>
      </c>
      <c r="H953" s="7">
        <v>0</v>
      </c>
      <c r="I953" s="7">
        <v>24</v>
      </c>
      <c r="J953" s="7">
        <v>0</v>
      </c>
      <c r="K953" s="7">
        <v>104</v>
      </c>
      <c r="L953" t="b">
        <f t="shared" si="14"/>
        <v>1</v>
      </c>
    </row>
    <row r="954" spans="1:12" x14ac:dyDescent="0.25">
      <c r="A954" s="7" t="s">
        <v>1947</v>
      </c>
      <c r="B954" s="7">
        <v>0</v>
      </c>
      <c r="C954" s="7">
        <v>41</v>
      </c>
      <c r="D954" s="7">
        <v>1</v>
      </c>
      <c r="E954" s="7">
        <v>0</v>
      </c>
      <c r="F954" s="7">
        <v>0</v>
      </c>
      <c r="G954" s="7">
        <v>0</v>
      </c>
      <c r="H954" s="7">
        <v>0</v>
      </c>
      <c r="I954" s="7">
        <v>13</v>
      </c>
      <c r="J954" s="7">
        <v>1</v>
      </c>
      <c r="K954" s="7">
        <v>56</v>
      </c>
      <c r="L954" t="b">
        <f t="shared" si="14"/>
        <v>1</v>
      </c>
    </row>
    <row r="955" spans="1:12" x14ac:dyDescent="0.25">
      <c r="A955" s="7" t="s">
        <v>1948</v>
      </c>
      <c r="B955" s="7">
        <v>0</v>
      </c>
      <c r="C955" s="7">
        <v>45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45</v>
      </c>
      <c r="L955" t="b">
        <f t="shared" si="14"/>
        <v>1</v>
      </c>
    </row>
    <row r="956" spans="1:12" x14ac:dyDescent="0.25">
      <c r="A956" s="7" t="s">
        <v>1949</v>
      </c>
      <c r="B956" s="7">
        <v>0</v>
      </c>
      <c r="C956" s="7">
        <v>59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59</v>
      </c>
      <c r="L956" t="b">
        <f t="shared" si="14"/>
        <v>1</v>
      </c>
    </row>
    <row r="957" spans="1:12" x14ac:dyDescent="0.25">
      <c r="A957" s="7" t="s">
        <v>1950</v>
      </c>
      <c r="B957" s="7">
        <v>0</v>
      </c>
      <c r="C957" s="7">
        <v>72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72</v>
      </c>
      <c r="L957" t="b">
        <f t="shared" si="14"/>
        <v>1</v>
      </c>
    </row>
    <row r="958" spans="1:12" x14ac:dyDescent="0.25">
      <c r="A958" s="7" t="s">
        <v>1951</v>
      </c>
      <c r="B958" s="7">
        <v>0</v>
      </c>
      <c r="C958" s="7">
        <v>62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62</v>
      </c>
      <c r="L958" t="b">
        <f t="shared" si="14"/>
        <v>1</v>
      </c>
    </row>
    <row r="959" spans="1:12" x14ac:dyDescent="0.25">
      <c r="A959" s="7" t="s">
        <v>1952</v>
      </c>
      <c r="B959" s="7">
        <v>0</v>
      </c>
      <c r="C959" s="7">
        <v>52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52</v>
      </c>
      <c r="L959" t="b">
        <f t="shared" si="14"/>
        <v>1</v>
      </c>
    </row>
    <row r="960" spans="1:12" x14ac:dyDescent="0.25">
      <c r="A960" s="7" t="s">
        <v>1953</v>
      </c>
      <c r="B960" s="7">
        <v>0</v>
      </c>
      <c r="C960" s="7">
        <v>78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78</v>
      </c>
      <c r="L960" t="b">
        <f t="shared" si="14"/>
        <v>1</v>
      </c>
    </row>
    <row r="961" spans="1:12" x14ac:dyDescent="0.25">
      <c r="A961" s="7" t="s">
        <v>1954</v>
      </c>
      <c r="B961" s="7">
        <v>0</v>
      </c>
      <c r="C961" s="7">
        <v>108</v>
      </c>
      <c r="D961" s="7">
        <v>0</v>
      </c>
      <c r="E961" s="7">
        <v>0</v>
      </c>
      <c r="F961" s="7">
        <v>0</v>
      </c>
      <c r="G961" s="7">
        <v>1</v>
      </c>
      <c r="H961" s="7">
        <v>0</v>
      </c>
      <c r="I961" s="7">
        <v>0</v>
      </c>
      <c r="J961" s="7">
        <v>0</v>
      </c>
      <c r="K961" s="7">
        <v>109</v>
      </c>
      <c r="L961" t="b">
        <f t="shared" si="14"/>
        <v>1</v>
      </c>
    </row>
    <row r="962" spans="1:12" x14ac:dyDescent="0.25">
      <c r="A962" s="7" t="s">
        <v>1955</v>
      </c>
      <c r="B962" s="7">
        <v>0</v>
      </c>
      <c r="C962" s="7">
        <v>149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149</v>
      </c>
      <c r="L962" t="b">
        <f t="shared" si="14"/>
        <v>1</v>
      </c>
    </row>
    <row r="963" spans="1:12" x14ac:dyDescent="0.25">
      <c r="A963" s="7" t="s">
        <v>1956</v>
      </c>
      <c r="B963" s="7">
        <v>0</v>
      </c>
      <c r="C963" s="7">
        <v>110</v>
      </c>
      <c r="D963" s="7">
        <v>0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110</v>
      </c>
      <c r="L963" t="b">
        <f t="shared" ref="L963:L1026" si="15">K963=SUM(B963:J963)</f>
        <v>1</v>
      </c>
    </row>
    <row r="964" spans="1:12" x14ac:dyDescent="0.25">
      <c r="A964" s="7" t="s">
        <v>1957</v>
      </c>
      <c r="B964" s="7">
        <v>0</v>
      </c>
      <c r="C964" s="7">
        <v>174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174</v>
      </c>
      <c r="L964" t="b">
        <f t="shared" si="15"/>
        <v>1</v>
      </c>
    </row>
    <row r="965" spans="1:12" x14ac:dyDescent="0.25">
      <c r="A965" s="7" t="s">
        <v>1958</v>
      </c>
      <c r="B965" s="7">
        <v>0</v>
      </c>
      <c r="C965" s="7">
        <v>76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76</v>
      </c>
      <c r="L965" t="b">
        <f t="shared" si="15"/>
        <v>1</v>
      </c>
    </row>
    <row r="966" spans="1:12" x14ac:dyDescent="0.25">
      <c r="A966" s="7" t="s">
        <v>1959</v>
      </c>
      <c r="B966" s="7">
        <v>0</v>
      </c>
      <c r="C966" s="7">
        <v>260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260</v>
      </c>
      <c r="L966" t="b">
        <f t="shared" si="15"/>
        <v>1</v>
      </c>
    </row>
    <row r="967" spans="1:12" x14ac:dyDescent="0.25">
      <c r="A967" s="7" t="s">
        <v>1960</v>
      </c>
      <c r="B967" s="7">
        <v>0</v>
      </c>
      <c r="C967" s="7">
        <v>228</v>
      </c>
      <c r="D967" s="7">
        <v>0</v>
      </c>
      <c r="E967" s="7">
        <v>0</v>
      </c>
      <c r="F967" s="7">
        <v>0</v>
      </c>
      <c r="G967" s="7">
        <v>5</v>
      </c>
      <c r="H967" s="7">
        <v>0</v>
      </c>
      <c r="I967" s="7">
        <v>0</v>
      </c>
      <c r="J967" s="7">
        <v>0</v>
      </c>
      <c r="K967" s="7">
        <v>233</v>
      </c>
      <c r="L967" t="b">
        <f t="shared" si="15"/>
        <v>1</v>
      </c>
    </row>
    <row r="968" spans="1:12" x14ac:dyDescent="0.25">
      <c r="A968" s="7" t="s">
        <v>1961</v>
      </c>
      <c r="B968" s="7">
        <v>0</v>
      </c>
      <c r="C968" s="7">
        <v>99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99</v>
      </c>
      <c r="L968" t="b">
        <f t="shared" si="15"/>
        <v>1</v>
      </c>
    </row>
    <row r="969" spans="1:12" x14ac:dyDescent="0.25">
      <c r="A969" s="7" t="s">
        <v>1962</v>
      </c>
      <c r="B969" s="7">
        <v>0</v>
      </c>
      <c r="C969" s="7">
        <v>84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84</v>
      </c>
      <c r="L969" t="b">
        <f t="shared" si="15"/>
        <v>1</v>
      </c>
    </row>
    <row r="970" spans="1:12" x14ac:dyDescent="0.25">
      <c r="A970" s="7" t="s">
        <v>1963</v>
      </c>
      <c r="B970" s="7">
        <v>0</v>
      </c>
      <c r="C970" s="7">
        <v>94</v>
      </c>
      <c r="D970" s="7">
        <v>0</v>
      </c>
      <c r="E970" s="7">
        <v>0</v>
      </c>
      <c r="F970" s="7">
        <v>0</v>
      </c>
      <c r="G970" s="7">
        <v>3</v>
      </c>
      <c r="H970" s="7">
        <v>0</v>
      </c>
      <c r="I970" s="7">
        <v>0</v>
      </c>
      <c r="J970" s="7">
        <v>0</v>
      </c>
      <c r="K970" s="7">
        <v>97</v>
      </c>
      <c r="L970" t="b">
        <f t="shared" si="15"/>
        <v>1</v>
      </c>
    </row>
    <row r="971" spans="1:12" x14ac:dyDescent="0.25">
      <c r="A971" s="7" t="s">
        <v>1964</v>
      </c>
      <c r="B971" s="7">
        <v>0</v>
      </c>
      <c r="C971" s="7">
        <v>138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138</v>
      </c>
      <c r="L971" t="b">
        <f t="shared" si="15"/>
        <v>1</v>
      </c>
    </row>
    <row r="972" spans="1:12" x14ac:dyDescent="0.25">
      <c r="A972" s="7" t="s">
        <v>1965</v>
      </c>
      <c r="B972" s="7">
        <v>0</v>
      </c>
      <c r="C972" s="7">
        <v>140</v>
      </c>
      <c r="D972" s="7">
        <v>0</v>
      </c>
      <c r="E972" s="7">
        <v>0</v>
      </c>
      <c r="F972" s="7">
        <v>0</v>
      </c>
      <c r="G972" s="7">
        <v>3</v>
      </c>
      <c r="H972" s="7">
        <v>0</v>
      </c>
      <c r="I972" s="7">
        <v>0</v>
      </c>
      <c r="J972" s="7">
        <v>0</v>
      </c>
      <c r="K972" s="7">
        <v>143</v>
      </c>
      <c r="L972" t="b">
        <f t="shared" si="15"/>
        <v>1</v>
      </c>
    </row>
    <row r="973" spans="1:12" x14ac:dyDescent="0.25">
      <c r="A973" s="7" t="s">
        <v>1966</v>
      </c>
      <c r="B973" s="7">
        <v>0</v>
      </c>
      <c r="C973" s="7">
        <v>179</v>
      </c>
      <c r="D973" s="7">
        <v>0</v>
      </c>
      <c r="E973" s="7">
        <v>0</v>
      </c>
      <c r="F973" s="7">
        <v>0</v>
      </c>
      <c r="G973" s="7">
        <v>2</v>
      </c>
      <c r="H973" s="7">
        <v>0</v>
      </c>
      <c r="I973" s="7">
        <v>0</v>
      </c>
      <c r="J973" s="7">
        <v>0</v>
      </c>
      <c r="K973" s="7">
        <v>181</v>
      </c>
      <c r="L973" t="b">
        <f t="shared" si="15"/>
        <v>1</v>
      </c>
    </row>
    <row r="974" spans="1:12" x14ac:dyDescent="0.25">
      <c r="A974" s="7" t="s">
        <v>1967</v>
      </c>
      <c r="B974" s="7">
        <v>0</v>
      </c>
      <c r="C974" s="7">
        <v>231</v>
      </c>
      <c r="D974" s="7">
        <v>0</v>
      </c>
      <c r="E974" s="7">
        <v>0</v>
      </c>
      <c r="F974" s="7">
        <v>0</v>
      </c>
      <c r="G974" s="7">
        <v>2</v>
      </c>
      <c r="H974" s="7">
        <v>0</v>
      </c>
      <c r="I974" s="7">
        <v>0</v>
      </c>
      <c r="J974" s="7">
        <v>0</v>
      </c>
      <c r="K974" s="7">
        <v>233</v>
      </c>
      <c r="L974" t="b">
        <f t="shared" si="15"/>
        <v>1</v>
      </c>
    </row>
    <row r="975" spans="1:12" x14ac:dyDescent="0.25">
      <c r="A975" s="7" t="s">
        <v>1968</v>
      </c>
      <c r="B975" s="7">
        <v>0</v>
      </c>
      <c r="C975" s="7">
        <v>192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192</v>
      </c>
      <c r="L975" t="b">
        <f t="shared" si="15"/>
        <v>1</v>
      </c>
    </row>
    <row r="976" spans="1:12" x14ac:dyDescent="0.25">
      <c r="A976" s="7" t="s">
        <v>1969</v>
      </c>
      <c r="B976" s="7">
        <v>0</v>
      </c>
      <c r="C976" s="7">
        <v>106</v>
      </c>
      <c r="D976" s="7">
        <v>0</v>
      </c>
      <c r="E976" s="7">
        <v>0</v>
      </c>
      <c r="F976" s="7">
        <v>0</v>
      </c>
      <c r="G976" s="7">
        <v>3</v>
      </c>
      <c r="H976" s="7">
        <v>0</v>
      </c>
      <c r="I976" s="7">
        <v>0</v>
      </c>
      <c r="J976" s="7">
        <v>0</v>
      </c>
      <c r="K976" s="7">
        <v>109</v>
      </c>
      <c r="L976" t="b">
        <f t="shared" si="15"/>
        <v>1</v>
      </c>
    </row>
    <row r="977" spans="1:12" x14ac:dyDescent="0.25">
      <c r="A977" s="7" t="s">
        <v>1970</v>
      </c>
      <c r="B977" s="7">
        <v>0</v>
      </c>
      <c r="C977" s="7">
        <v>128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128</v>
      </c>
      <c r="L977" t="b">
        <f t="shared" si="15"/>
        <v>1</v>
      </c>
    </row>
    <row r="978" spans="1:12" x14ac:dyDescent="0.25">
      <c r="A978" s="7" t="s">
        <v>1971</v>
      </c>
      <c r="B978" s="7">
        <v>0</v>
      </c>
      <c r="C978" s="7">
        <v>273</v>
      </c>
      <c r="D978" s="7">
        <v>0</v>
      </c>
      <c r="E978" s="7">
        <v>0</v>
      </c>
      <c r="F978" s="7">
        <v>0</v>
      </c>
      <c r="G978" s="7">
        <v>1</v>
      </c>
      <c r="H978" s="7">
        <v>0</v>
      </c>
      <c r="I978" s="7">
        <v>0</v>
      </c>
      <c r="J978" s="7">
        <v>0</v>
      </c>
      <c r="K978" s="7">
        <v>274</v>
      </c>
      <c r="L978" t="b">
        <f t="shared" si="15"/>
        <v>1</v>
      </c>
    </row>
    <row r="979" spans="1:12" x14ac:dyDescent="0.25">
      <c r="A979" s="7" t="s">
        <v>1972</v>
      </c>
      <c r="B979" s="7">
        <v>0</v>
      </c>
      <c r="C979" s="7">
        <v>281</v>
      </c>
      <c r="D979" s="7">
        <v>0</v>
      </c>
      <c r="E979" s="7">
        <v>0</v>
      </c>
      <c r="F979" s="7">
        <v>0</v>
      </c>
      <c r="G979" s="7">
        <v>1</v>
      </c>
      <c r="H979" s="7">
        <v>0</v>
      </c>
      <c r="I979" s="7">
        <v>0</v>
      </c>
      <c r="J979" s="7">
        <v>0</v>
      </c>
      <c r="K979" s="7">
        <v>282</v>
      </c>
      <c r="L979" t="b">
        <f t="shared" si="15"/>
        <v>1</v>
      </c>
    </row>
    <row r="980" spans="1:12" x14ac:dyDescent="0.25">
      <c r="A980" s="7" t="s">
        <v>1973</v>
      </c>
      <c r="B980" s="7">
        <v>0</v>
      </c>
      <c r="C980" s="7">
        <v>57</v>
      </c>
      <c r="D980" s="7">
        <v>0</v>
      </c>
      <c r="E980" s="7">
        <v>0</v>
      </c>
      <c r="F980" s="7">
        <v>0</v>
      </c>
      <c r="G980" s="7">
        <v>1</v>
      </c>
      <c r="H980" s="7">
        <v>0</v>
      </c>
      <c r="I980" s="7">
        <v>0</v>
      </c>
      <c r="J980" s="7">
        <v>0</v>
      </c>
      <c r="K980" s="7">
        <v>58</v>
      </c>
      <c r="L980" t="b">
        <f t="shared" si="15"/>
        <v>1</v>
      </c>
    </row>
    <row r="981" spans="1:12" x14ac:dyDescent="0.25">
      <c r="A981" s="7" t="s">
        <v>1974</v>
      </c>
      <c r="B981" s="7">
        <v>0</v>
      </c>
      <c r="C981" s="7">
        <v>65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65</v>
      </c>
      <c r="L981" t="b">
        <f t="shared" si="15"/>
        <v>1</v>
      </c>
    </row>
    <row r="982" spans="1:12" x14ac:dyDescent="0.25">
      <c r="A982" s="7" t="s">
        <v>1975</v>
      </c>
      <c r="B982" s="7">
        <v>0</v>
      </c>
      <c r="C982" s="7">
        <v>48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48</v>
      </c>
      <c r="L982" t="b">
        <f t="shared" si="15"/>
        <v>1</v>
      </c>
    </row>
    <row r="983" spans="1:12" x14ac:dyDescent="0.25">
      <c r="A983" s="7" t="s">
        <v>1976</v>
      </c>
      <c r="B983" s="7">
        <v>0</v>
      </c>
      <c r="C983" s="7">
        <v>45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45</v>
      </c>
      <c r="L983" t="b">
        <f t="shared" si="15"/>
        <v>1</v>
      </c>
    </row>
    <row r="984" spans="1:12" x14ac:dyDescent="0.25">
      <c r="A984" s="7" t="s">
        <v>1977</v>
      </c>
      <c r="B984" s="7">
        <v>0</v>
      </c>
      <c r="C984" s="7">
        <v>97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97</v>
      </c>
      <c r="L984" t="b">
        <f t="shared" si="15"/>
        <v>1</v>
      </c>
    </row>
    <row r="985" spans="1:12" x14ac:dyDescent="0.25">
      <c r="A985" s="7" t="s">
        <v>1978</v>
      </c>
      <c r="B985" s="7">
        <v>0</v>
      </c>
      <c r="C985" s="7">
        <v>137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137</v>
      </c>
      <c r="L985" t="b">
        <f t="shared" si="15"/>
        <v>1</v>
      </c>
    </row>
    <row r="986" spans="1:12" x14ac:dyDescent="0.25">
      <c r="A986" s="7" t="s">
        <v>1979</v>
      </c>
      <c r="B986" s="7">
        <v>0</v>
      </c>
      <c r="C986" s="7">
        <v>62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62</v>
      </c>
      <c r="L986" t="b">
        <f t="shared" si="15"/>
        <v>1</v>
      </c>
    </row>
    <row r="987" spans="1:12" x14ac:dyDescent="0.25">
      <c r="A987" s="7" t="s">
        <v>1980</v>
      </c>
      <c r="B987" s="7">
        <v>0</v>
      </c>
      <c r="C987" s="7">
        <v>202</v>
      </c>
      <c r="D987" s="7">
        <v>0</v>
      </c>
      <c r="E987" s="7">
        <v>0</v>
      </c>
      <c r="F987" s="7">
        <v>0</v>
      </c>
      <c r="G987" s="7">
        <v>1</v>
      </c>
      <c r="H987" s="7">
        <v>0</v>
      </c>
      <c r="I987" s="7">
        <v>0</v>
      </c>
      <c r="J987" s="7">
        <v>0</v>
      </c>
      <c r="K987" s="7">
        <v>203</v>
      </c>
      <c r="L987" t="b">
        <f t="shared" si="15"/>
        <v>1</v>
      </c>
    </row>
    <row r="988" spans="1:12" x14ac:dyDescent="0.25">
      <c r="A988" s="7" t="s">
        <v>1981</v>
      </c>
      <c r="B988" s="7">
        <v>0</v>
      </c>
      <c r="C988" s="7">
        <v>51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51</v>
      </c>
      <c r="L988" t="b">
        <f t="shared" si="15"/>
        <v>1</v>
      </c>
    </row>
    <row r="989" spans="1:12" x14ac:dyDescent="0.25">
      <c r="A989" s="7" t="s">
        <v>1982</v>
      </c>
      <c r="B989" s="7">
        <v>0</v>
      </c>
      <c r="C989" s="7">
        <v>118</v>
      </c>
      <c r="D989" s="7">
        <v>0</v>
      </c>
      <c r="E989" s="7">
        <v>0</v>
      </c>
      <c r="F989" s="7">
        <v>0</v>
      </c>
      <c r="G989" s="7">
        <v>1</v>
      </c>
      <c r="H989" s="7">
        <v>0</v>
      </c>
      <c r="I989" s="7">
        <v>0</v>
      </c>
      <c r="J989" s="7">
        <v>0</v>
      </c>
      <c r="K989" s="7">
        <v>119</v>
      </c>
      <c r="L989" t="b">
        <f t="shared" si="15"/>
        <v>1</v>
      </c>
    </row>
    <row r="990" spans="1:12" x14ac:dyDescent="0.25">
      <c r="A990" s="7" t="s">
        <v>1983</v>
      </c>
      <c r="B990" s="7">
        <v>0</v>
      </c>
      <c r="C990" s="7">
        <v>34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34</v>
      </c>
      <c r="L990" t="b">
        <f t="shared" si="15"/>
        <v>1</v>
      </c>
    </row>
    <row r="991" spans="1:12" x14ac:dyDescent="0.25">
      <c r="A991" s="7" t="s">
        <v>1984</v>
      </c>
      <c r="B991" s="7">
        <v>0</v>
      </c>
      <c r="C991" s="7">
        <v>44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44</v>
      </c>
      <c r="L991" t="b">
        <f t="shared" si="15"/>
        <v>1</v>
      </c>
    </row>
    <row r="992" spans="1:12" x14ac:dyDescent="0.25">
      <c r="A992" s="7" t="s">
        <v>1985</v>
      </c>
      <c r="B992" s="7">
        <v>0</v>
      </c>
      <c r="C992" s="7">
        <v>65</v>
      </c>
      <c r="D992" s="7">
        <v>0</v>
      </c>
      <c r="E992" s="7">
        <v>0</v>
      </c>
      <c r="F992" s="7">
        <v>0</v>
      </c>
      <c r="G992" s="7">
        <v>2</v>
      </c>
      <c r="H992" s="7">
        <v>0</v>
      </c>
      <c r="I992" s="7">
        <v>0</v>
      </c>
      <c r="J992" s="7">
        <v>0</v>
      </c>
      <c r="K992" s="7">
        <v>67</v>
      </c>
      <c r="L992" t="b">
        <f t="shared" si="15"/>
        <v>1</v>
      </c>
    </row>
    <row r="993" spans="1:12" x14ac:dyDescent="0.25">
      <c r="A993" s="7" t="s">
        <v>1986</v>
      </c>
      <c r="B993" s="7">
        <v>0</v>
      </c>
      <c r="C993" s="7">
        <v>48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48</v>
      </c>
      <c r="L993" t="b">
        <f t="shared" si="15"/>
        <v>1</v>
      </c>
    </row>
    <row r="994" spans="1:12" x14ac:dyDescent="0.25">
      <c r="A994" s="7" t="s">
        <v>1987</v>
      </c>
      <c r="B994" s="7">
        <v>0</v>
      </c>
      <c r="C994" s="7">
        <v>60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60</v>
      </c>
      <c r="L994" t="b">
        <f t="shared" si="15"/>
        <v>1</v>
      </c>
    </row>
    <row r="995" spans="1:12" x14ac:dyDescent="0.25">
      <c r="A995" s="7" t="s">
        <v>1988</v>
      </c>
      <c r="B995" s="7">
        <v>0</v>
      </c>
      <c r="C995" s="7">
        <v>50</v>
      </c>
      <c r="D995" s="7">
        <v>0</v>
      </c>
      <c r="E995" s="7">
        <v>0</v>
      </c>
      <c r="F995" s="7">
        <v>0</v>
      </c>
      <c r="G995" s="7">
        <v>2</v>
      </c>
      <c r="H995" s="7">
        <v>0</v>
      </c>
      <c r="I995" s="7">
        <v>0</v>
      </c>
      <c r="J995" s="7">
        <v>0</v>
      </c>
      <c r="K995" s="7">
        <v>52</v>
      </c>
      <c r="L995" t="b">
        <f t="shared" si="15"/>
        <v>1</v>
      </c>
    </row>
    <row r="996" spans="1:12" x14ac:dyDescent="0.25">
      <c r="A996" s="7" t="s">
        <v>1989</v>
      </c>
      <c r="B996" s="7">
        <v>0</v>
      </c>
      <c r="C996" s="7">
        <v>75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75</v>
      </c>
      <c r="L996" t="b">
        <f t="shared" si="15"/>
        <v>1</v>
      </c>
    </row>
    <row r="997" spans="1:12" x14ac:dyDescent="0.25">
      <c r="A997" s="7" t="s">
        <v>1990</v>
      </c>
      <c r="B997" s="7">
        <v>0</v>
      </c>
      <c r="C997" s="7">
        <v>202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1</v>
      </c>
      <c r="J997" s="7">
        <v>0</v>
      </c>
      <c r="K997" s="7">
        <v>203</v>
      </c>
      <c r="L997" t="b">
        <f t="shared" si="15"/>
        <v>1</v>
      </c>
    </row>
    <row r="998" spans="1:12" x14ac:dyDescent="0.25">
      <c r="A998" s="7" t="s">
        <v>1991</v>
      </c>
      <c r="B998" s="7">
        <v>0</v>
      </c>
      <c r="C998" s="7">
        <v>56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56</v>
      </c>
      <c r="L998" t="b">
        <f t="shared" si="15"/>
        <v>1</v>
      </c>
    </row>
    <row r="999" spans="1:12" x14ac:dyDescent="0.25">
      <c r="A999" s="7" t="s">
        <v>1992</v>
      </c>
      <c r="B999" s="7">
        <v>0</v>
      </c>
      <c r="C999" s="7">
        <v>88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88</v>
      </c>
      <c r="L999" t="b">
        <f t="shared" si="15"/>
        <v>1</v>
      </c>
    </row>
    <row r="1000" spans="1:12" x14ac:dyDescent="0.25">
      <c r="A1000" s="7" t="s">
        <v>1993</v>
      </c>
      <c r="B1000" s="7">
        <v>0</v>
      </c>
      <c r="C1000" s="7">
        <v>73</v>
      </c>
      <c r="D1000" s="7">
        <v>0</v>
      </c>
      <c r="E1000" s="7">
        <v>0</v>
      </c>
      <c r="F1000" s="7">
        <v>0</v>
      </c>
      <c r="G1000" s="7">
        <v>2</v>
      </c>
      <c r="H1000" s="7">
        <v>0</v>
      </c>
      <c r="I1000" s="7">
        <v>0</v>
      </c>
      <c r="J1000" s="7">
        <v>0</v>
      </c>
      <c r="K1000" s="7">
        <v>75</v>
      </c>
      <c r="L1000" t="b">
        <f t="shared" si="15"/>
        <v>1</v>
      </c>
    </row>
    <row r="1001" spans="1:12" x14ac:dyDescent="0.25">
      <c r="A1001" s="7" t="s">
        <v>1994</v>
      </c>
      <c r="B1001" s="7">
        <v>0</v>
      </c>
      <c r="C1001" s="7">
        <v>61</v>
      </c>
      <c r="D1001" s="7">
        <v>0</v>
      </c>
      <c r="E1001" s="7">
        <v>0</v>
      </c>
      <c r="F1001" s="7">
        <v>0</v>
      </c>
      <c r="G1001" s="7">
        <v>5</v>
      </c>
      <c r="H1001" s="7">
        <v>0</v>
      </c>
      <c r="I1001" s="7">
        <v>0</v>
      </c>
      <c r="J1001" s="7">
        <v>0</v>
      </c>
      <c r="K1001" s="7">
        <v>66</v>
      </c>
      <c r="L1001" t="b">
        <f t="shared" si="15"/>
        <v>1</v>
      </c>
    </row>
    <row r="1002" spans="1:12" x14ac:dyDescent="0.25">
      <c r="A1002" s="7" t="s">
        <v>1995</v>
      </c>
      <c r="B1002" s="7">
        <v>0</v>
      </c>
      <c r="C1002" s="7">
        <v>36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36</v>
      </c>
      <c r="L1002" t="b">
        <f t="shared" si="15"/>
        <v>1</v>
      </c>
    </row>
    <row r="1003" spans="1:12" x14ac:dyDescent="0.25">
      <c r="A1003" s="7" t="s">
        <v>1996</v>
      </c>
      <c r="B1003" s="7">
        <v>0</v>
      </c>
      <c r="C1003" s="7">
        <v>183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183</v>
      </c>
      <c r="L1003" t="b">
        <f t="shared" si="15"/>
        <v>1</v>
      </c>
    </row>
    <row r="1004" spans="1:12" x14ac:dyDescent="0.25">
      <c r="A1004" s="7" t="s">
        <v>1997</v>
      </c>
      <c r="B1004" s="7">
        <v>0</v>
      </c>
      <c r="C1004" s="7">
        <v>124</v>
      </c>
      <c r="D1004" s="7">
        <v>0</v>
      </c>
      <c r="E1004" s="7">
        <v>0</v>
      </c>
      <c r="F1004" s="7">
        <v>0</v>
      </c>
      <c r="G1004" s="7">
        <v>2</v>
      </c>
      <c r="H1004" s="7">
        <v>0</v>
      </c>
      <c r="I1004" s="7">
        <v>0</v>
      </c>
      <c r="J1004" s="7">
        <v>0</v>
      </c>
      <c r="K1004" s="7">
        <v>126</v>
      </c>
      <c r="L1004" t="b">
        <f t="shared" si="15"/>
        <v>1</v>
      </c>
    </row>
    <row r="1005" spans="1:12" x14ac:dyDescent="0.25">
      <c r="A1005" s="7" t="s">
        <v>1998</v>
      </c>
      <c r="B1005" s="7">
        <v>0</v>
      </c>
      <c r="C1005" s="7">
        <v>153</v>
      </c>
      <c r="D1005" s="7">
        <v>0</v>
      </c>
      <c r="E1005" s="7">
        <v>0</v>
      </c>
      <c r="F1005" s="7">
        <v>0</v>
      </c>
      <c r="G1005" s="7">
        <v>4</v>
      </c>
      <c r="H1005" s="7">
        <v>0</v>
      </c>
      <c r="I1005" s="7">
        <v>0</v>
      </c>
      <c r="J1005" s="7">
        <v>0</v>
      </c>
      <c r="K1005" s="7">
        <v>157</v>
      </c>
      <c r="L1005" t="b">
        <f t="shared" si="15"/>
        <v>1</v>
      </c>
    </row>
    <row r="1006" spans="1:12" x14ac:dyDescent="0.25">
      <c r="A1006" s="7" t="s">
        <v>1999</v>
      </c>
      <c r="B1006" s="7">
        <v>0</v>
      </c>
      <c r="C1006" s="7">
        <v>153</v>
      </c>
      <c r="D1006" s="7">
        <v>0</v>
      </c>
      <c r="E1006" s="7">
        <v>0</v>
      </c>
      <c r="F1006" s="7">
        <v>0</v>
      </c>
      <c r="G1006" s="7">
        <v>2</v>
      </c>
      <c r="H1006" s="7">
        <v>0</v>
      </c>
      <c r="I1006" s="7">
        <v>0</v>
      </c>
      <c r="J1006" s="7">
        <v>0</v>
      </c>
      <c r="K1006" s="7">
        <v>155</v>
      </c>
      <c r="L1006" t="b">
        <f t="shared" si="15"/>
        <v>1</v>
      </c>
    </row>
    <row r="1007" spans="1:12" x14ac:dyDescent="0.25">
      <c r="A1007" s="7" t="s">
        <v>2000</v>
      </c>
      <c r="B1007" s="7">
        <v>0</v>
      </c>
      <c r="C1007" s="7">
        <v>105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105</v>
      </c>
      <c r="L1007" t="b">
        <f t="shared" si="15"/>
        <v>1</v>
      </c>
    </row>
    <row r="1008" spans="1:12" x14ac:dyDescent="0.25">
      <c r="A1008" s="7" t="s">
        <v>2001</v>
      </c>
      <c r="B1008" s="7">
        <v>0</v>
      </c>
      <c r="C1008" s="7">
        <v>92</v>
      </c>
      <c r="D1008" s="7">
        <v>0</v>
      </c>
      <c r="E1008" s="7">
        <v>0</v>
      </c>
      <c r="F1008" s="7">
        <v>0</v>
      </c>
      <c r="G1008" s="7">
        <v>2</v>
      </c>
      <c r="H1008" s="7">
        <v>0</v>
      </c>
      <c r="I1008" s="7">
        <v>0</v>
      </c>
      <c r="J1008" s="7">
        <v>1</v>
      </c>
      <c r="K1008" s="7">
        <v>95</v>
      </c>
      <c r="L1008" t="b">
        <f t="shared" si="15"/>
        <v>1</v>
      </c>
    </row>
    <row r="1009" spans="1:12" x14ac:dyDescent="0.25">
      <c r="A1009" s="7" t="s">
        <v>2002</v>
      </c>
      <c r="B1009" s="7">
        <v>0</v>
      </c>
      <c r="C1009" s="7">
        <v>83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1</v>
      </c>
      <c r="K1009" s="7">
        <v>84</v>
      </c>
      <c r="L1009" t="b">
        <f t="shared" si="15"/>
        <v>1</v>
      </c>
    </row>
    <row r="1010" spans="1:12" x14ac:dyDescent="0.25">
      <c r="A1010" s="7" t="s">
        <v>2003</v>
      </c>
      <c r="B1010" s="7">
        <v>0</v>
      </c>
      <c r="C1010" s="7">
        <v>80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80</v>
      </c>
      <c r="L1010" t="b">
        <f t="shared" si="15"/>
        <v>1</v>
      </c>
    </row>
    <row r="1011" spans="1:12" x14ac:dyDescent="0.25">
      <c r="A1011" s="7" t="s">
        <v>2004</v>
      </c>
      <c r="B1011" s="7">
        <v>0</v>
      </c>
      <c r="C1011" s="7">
        <v>67</v>
      </c>
      <c r="D1011" s="7">
        <v>0</v>
      </c>
      <c r="E1011" s="7">
        <v>0</v>
      </c>
      <c r="F1011" s="7">
        <v>0</v>
      </c>
      <c r="G1011" s="7">
        <v>1</v>
      </c>
      <c r="H1011" s="7">
        <v>0</v>
      </c>
      <c r="I1011" s="7">
        <v>0</v>
      </c>
      <c r="J1011" s="7">
        <v>0</v>
      </c>
      <c r="K1011" s="7">
        <v>68</v>
      </c>
      <c r="L1011" t="b">
        <f t="shared" si="15"/>
        <v>1</v>
      </c>
    </row>
    <row r="1012" spans="1:12" x14ac:dyDescent="0.25">
      <c r="A1012" s="7" t="s">
        <v>2005</v>
      </c>
      <c r="B1012" s="7">
        <v>0</v>
      </c>
      <c r="C1012" s="7">
        <v>96</v>
      </c>
      <c r="D1012" s="7">
        <v>0</v>
      </c>
      <c r="E1012" s="7">
        <v>0</v>
      </c>
      <c r="F1012" s="7">
        <v>1</v>
      </c>
      <c r="G1012" s="7">
        <v>0</v>
      </c>
      <c r="H1012" s="7">
        <v>0</v>
      </c>
      <c r="I1012" s="7">
        <v>0</v>
      </c>
      <c r="J1012" s="7">
        <v>1</v>
      </c>
      <c r="K1012" s="7">
        <v>98</v>
      </c>
      <c r="L1012" t="b">
        <f t="shared" si="15"/>
        <v>1</v>
      </c>
    </row>
    <row r="1013" spans="1:12" x14ac:dyDescent="0.25">
      <c r="A1013" s="7" t="s">
        <v>2006</v>
      </c>
      <c r="B1013" s="7">
        <v>0</v>
      </c>
      <c r="C1013" s="7">
        <v>87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1</v>
      </c>
      <c r="K1013" s="7">
        <v>88</v>
      </c>
      <c r="L1013" t="b">
        <f t="shared" si="15"/>
        <v>1</v>
      </c>
    </row>
    <row r="1014" spans="1:12" x14ac:dyDescent="0.25">
      <c r="A1014" s="7" t="s">
        <v>2007</v>
      </c>
      <c r="B1014" s="7">
        <v>0</v>
      </c>
      <c r="C1014" s="7">
        <v>78</v>
      </c>
      <c r="D1014" s="7">
        <v>0</v>
      </c>
      <c r="E1014" s="7">
        <v>0</v>
      </c>
      <c r="F1014" s="7">
        <v>0</v>
      </c>
      <c r="G1014" s="7">
        <v>3</v>
      </c>
      <c r="H1014" s="7">
        <v>0</v>
      </c>
      <c r="I1014" s="7">
        <v>0</v>
      </c>
      <c r="J1014" s="7">
        <v>0</v>
      </c>
      <c r="K1014" s="7">
        <v>81</v>
      </c>
      <c r="L1014" t="b">
        <f t="shared" si="15"/>
        <v>1</v>
      </c>
    </row>
    <row r="1015" spans="1:12" x14ac:dyDescent="0.25">
      <c r="A1015" s="7" t="s">
        <v>2008</v>
      </c>
      <c r="B1015" s="7">
        <v>0</v>
      </c>
      <c r="C1015" s="7">
        <v>86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86</v>
      </c>
      <c r="L1015" t="b">
        <f t="shared" si="15"/>
        <v>1</v>
      </c>
    </row>
    <row r="1016" spans="1:12" x14ac:dyDescent="0.25">
      <c r="A1016" s="7" t="s">
        <v>2009</v>
      </c>
      <c r="B1016" s="7">
        <v>0</v>
      </c>
      <c r="C1016" s="7">
        <v>99</v>
      </c>
      <c r="D1016" s="7">
        <v>0</v>
      </c>
      <c r="E1016" s="7">
        <v>0</v>
      </c>
      <c r="F1016" s="7">
        <v>0</v>
      </c>
      <c r="G1016" s="7">
        <v>3</v>
      </c>
      <c r="H1016" s="7">
        <v>0</v>
      </c>
      <c r="I1016" s="7">
        <v>0</v>
      </c>
      <c r="J1016" s="7">
        <v>0</v>
      </c>
      <c r="K1016" s="7">
        <v>102</v>
      </c>
      <c r="L1016" t="b">
        <f t="shared" si="15"/>
        <v>1</v>
      </c>
    </row>
    <row r="1017" spans="1:12" x14ac:dyDescent="0.25">
      <c r="A1017" s="7" t="s">
        <v>2010</v>
      </c>
      <c r="B1017" s="7">
        <v>0</v>
      </c>
      <c r="C1017" s="7">
        <v>46</v>
      </c>
      <c r="D1017" s="7">
        <v>0</v>
      </c>
      <c r="E1017" s="7">
        <v>0</v>
      </c>
      <c r="F1017" s="7">
        <v>0</v>
      </c>
      <c r="G1017" s="7">
        <v>1</v>
      </c>
      <c r="H1017" s="7">
        <v>0</v>
      </c>
      <c r="I1017" s="7">
        <v>0</v>
      </c>
      <c r="J1017" s="7">
        <v>0</v>
      </c>
      <c r="K1017" s="7">
        <v>47</v>
      </c>
      <c r="L1017" t="b">
        <f t="shared" si="15"/>
        <v>1</v>
      </c>
    </row>
    <row r="1018" spans="1:12" x14ac:dyDescent="0.25">
      <c r="A1018" s="7" t="s">
        <v>2011</v>
      </c>
      <c r="B1018" s="7">
        <v>0</v>
      </c>
      <c r="C1018" s="7">
        <v>39</v>
      </c>
      <c r="D1018" s="7">
        <v>0</v>
      </c>
      <c r="E1018" s="7">
        <v>0</v>
      </c>
      <c r="F1018" s="7">
        <v>0</v>
      </c>
      <c r="G1018" s="7">
        <v>1</v>
      </c>
      <c r="H1018" s="7">
        <v>0</v>
      </c>
      <c r="I1018" s="7">
        <v>0</v>
      </c>
      <c r="J1018" s="7">
        <v>0</v>
      </c>
      <c r="K1018" s="7">
        <v>40</v>
      </c>
      <c r="L1018" t="b">
        <f t="shared" si="15"/>
        <v>1</v>
      </c>
    </row>
    <row r="1019" spans="1:12" x14ac:dyDescent="0.25">
      <c r="A1019" s="7" t="s">
        <v>2012</v>
      </c>
      <c r="B1019" s="7">
        <v>0</v>
      </c>
      <c r="C1019" s="7">
        <v>58</v>
      </c>
      <c r="D1019" s="7">
        <v>0</v>
      </c>
      <c r="E1019" s="7">
        <v>0</v>
      </c>
      <c r="F1019" s="7">
        <v>0</v>
      </c>
      <c r="G1019" s="7">
        <v>1</v>
      </c>
      <c r="H1019" s="7">
        <v>0</v>
      </c>
      <c r="I1019" s="7">
        <v>0</v>
      </c>
      <c r="J1019" s="7">
        <v>0</v>
      </c>
      <c r="K1019" s="7">
        <v>59</v>
      </c>
      <c r="L1019" t="b">
        <f t="shared" si="15"/>
        <v>1</v>
      </c>
    </row>
    <row r="1020" spans="1:12" x14ac:dyDescent="0.25">
      <c r="A1020" s="7" t="s">
        <v>2013</v>
      </c>
      <c r="B1020" s="7">
        <v>0</v>
      </c>
      <c r="C1020" s="7">
        <v>53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53</v>
      </c>
      <c r="L1020" t="b">
        <f t="shared" si="15"/>
        <v>1</v>
      </c>
    </row>
    <row r="1021" spans="1:12" x14ac:dyDescent="0.25">
      <c r="A1021" s="7" t="s">
        <v>2014</v>
      </c>
      <c r="B1021" s="7">
        <v>0</v>
      </c>
      <c r="C1021" s="7">
        <v>42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42</v>
      </c>
      <c r="L1021" t="b">
        <f t="shared" si="15"/>
        <v>1</v>
      </c>
    </row>
    <row r="1022" spans="1:12" x14ac:dyDescent="0.25">
      <c r="A1022" s="7" t="s">
        <v>2015</v>
      </c>
      <c r="B1022" s="7">
        <v>0</v>
      </c>
      <c r="C1022" s="7">
        <v>73</v>
      </c>
      <c r="D1022" s="7">
        <v>10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1</v>
      </c>
      <c r="K1022" s="7">
        <v>84</v>
      </c>
      <c r="L1022" t="b">
        <f t="shared" si="15"/>
        <v>1</v>
      </c>
    </row>
    <row r="1023" spans="1:12" x14ac:dyDescent="0.25">
      <c r="A1023" s="7" t="s">
        <v>2016</v>
      </c>
      <c r="B1023" s="7">
        <v>0</v>
      </c>
      <c r="C1023" s="7">
        <v>90</v>
      </c>
      <c r="D1023" s="7">
        <v>1</v>
      </c>
      <c r="E1023" s="7">
        <v>0</v>
      </c>
      <c r="F1023" s="7">
        <v>0</v>
      </c>
      <c r="G1023" s="7">
        <v>1</v>
      </c>
      <c r="H1023" s="7">
        <v>0</v>
      </c>
      <c r="I1023" s="7">
        <v>7</v>
      </c>
      <c r="J1023" s="7">
        <v>0</v>
      </c>
      <c r="K1023" s="7">
        <v>99</v>
      </c>
      <c r="L1023" t="b">
        <f t="shared" si="15"/>
        <v>1</v>
      </c>
    </row>
    <row r="1024" spans="1:12" x14ac:dyDescent="0.25">
      <c r="A1024" s="7" t="s">
        <v>2017</v>
      </c>
      <c r="B1024" s="7">
        <v>0</v>
      </c>
      <c r="C1024" s="7">
        <v>53</v>
      </c>
      <c r="D1024" s="7">
        <v>2</v>
      </c>
      <c r="E1024" s="7">
        <v>0</v>
      </c>
      <c r="F1024" s="7">
        <v>0</v>
      </c>
      <c r="G1024" s="7">
        <v>0</v>
      </c>
      <c r="H1024" s="7">
        <v>0</v>
      </c>
      <c r="I1024" s="7">
        <v>14</v>
      </c>
      <c r="J1024" s="7">
        <v>0</v>
      </c>
      <c r="K1024" s="7">
        <v>69</v>
      </c>
      <c r="L1024" t="b">
        <f t="shared" si="15"/>
        <v>1</v>
      </c>
    </row>
    <row r="1025" spans="1:12" x14ac:dyDescent="0.25">
      <c r="A1025" s="7" t="s">
        <v>2018</v>
      </c>
      <c r="B1025" s="7">
        <v>0</v>
      </c>
      <c r="C1025" s="7">
        <v>54</v>
      </c>
      <c r="D1025" s="7">
        <v>3</v>
      </c>
      <c r="E1025" s="7">
        <v>0</v>
      </c>
      <c r="F1025" s="7">
        <v>0</v>
      </c>
      <c r="G1025" s="7">
        <v>0</v>
      </c>
      <c r="H1025" s="7">
        <v>0</v>
      </c>
      <c r="I1025" s="7">
        <v>8</v>
      </c>
      <c r="J1025" s="7">
        <v>0</v>
      </c>
      <c r="K1025" s="7">
        <v>65</v>
      </c>
      <c r="L1025" t="b">
        <f t="shared" si="15"/>
        <v>1</v>
      </c>
    </row>
    <row r="1026" spans="1:12" x14ac:dyDescent="0.25">
      <c r="A1026" s="7" t="s">
        <v>2019</v>
      </c>
      <c r="B1026" s="7">
        <v>0</v>
      </c>
      <c r="C1026" s="7">
        <v>77</v>
      </c>
      <c r="D1026" s="7">
        <v>3</v>
      </c>
      <c r="E1026" s="7">
        <v>0</v>
      </c>
      <c r="F1026" s="7">
        <v>0</v>
      </c>
      <c r="G1026" s="7">
        <v>1</v>
      </c>
      <c r="H1026" s="7">
        <v>0</v>
      </c>
      <c r="I1026" s="7">
        <v>20</v>
      </c>
      <c r="J1026" s="7">
        <v>0</v>
      </c>
      <c r="K1026" s="7">
        <v>101</v>
      </c>
      <c r="L1026" t="b">
        <f t="shared" si="15"/>
        <v>1</v>
      </c>
    </row>
    <row r="1027" spans="1:12" x14ac:dyDescent="0.25">
      <c r="A1027" s="7" t="s">
        <v>2020</v>
      </c>
      <c r="B1027" s="7">
        <v>0</v>
      </c>
      <c r="C1027" s="7">
        <v>44</v>
      </c>
      <c r="D1027" s="7">
        <v>3</v>
      </c>
      <c r="E1027" s="7">
        <v>0</v>
      </c>
      <c r="F1027" s="7">
        <v>0</v>
      </c>
      <c r="G1027" s="7">
        <v>1</v>
      </c>
      <c r="H1027" s="7">
        <v>0</v>
      </c>
      <c r="I1027" s="7">
        <v>41</v>
      </c>
      <c r="J1027" s="7">
        <v>0</v>
      </c>
      <c r="K1027" s="7">
        <v>89</v>
      </c>
      <c r="L1027" t="b">
        <f t="shared" ref="L1027:L1062" si="16">K1027=SUM(B1027:J1027)</f>
        <v>1</v>
      </c>
    </row>
    <row r="1028" spans="1:12" x14ac:dyDescent="0.25">
      <c r="A1028" s="7" t="s">
        <v>2021</v>
      </c>
      <c r="B1028" s="7">
        <v>0</v>
      </c>
      <c r="C1028" s="7">
        <v>50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50</v>
      </c>
      <c r="L1028" t="b">
        <f t="shared" si="16"/>
        <v>1</v>
      </c>
    </row>
    <row r="1029" spans="1:12" x14ac:dyDescent="0.25">
      <c r="A1029" s="7" t="s">
        <v>2022</v>
      </c>
      <c r="B1029" s="7">
        <v>0</v>
      </c>
      <c r="C1029" s="7">
        <v>48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2</v>
      </c>
      <c r="J1029" s="7">
        <v>1</v>
      </c>
      <c r="K1029" s="7">
        <v>51</v>
      </c>
      <c r="L1029" t="b">
        <f t="shared" si="16"/>
        <v>1</v>
      </c>
    </row>
    <row r="1030" spans="1:12" x14ac:dyDescent="0.25">
      <c r="A1030" s="7" t="s">
        <v>2023</v>
      </c>
      <c r="B1030" s="7">
        <v>0</v>
      </c>
      <c r="C1030" s="7">
        <v>30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13</v>
      </c>
      <c r="J1030" s="7">
        <v>0</v>
      </c>
      <c r="K1030" s="7">
        <v>43</v>
      </c>
      <c r="L1030" t="b">
        <f t="shared" si="16"/>
        <v>1</v>
      </c>
    </row>
    <row r="1031" spans="1:12" x14ac:dyDescent="0.25">
      <c r="A1031" s="7" t="s">
        <v>2024</v>
      </c>
      <c r="B1031" s="7">
        <v>0</v>
      </c>
      <c r="C1031" s="7">
        <v>11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35</v>
      </c>
      <c r="J1031" s="7">
        <v>0</v>
      </c>
      <c r="K1031" s="7">
        <v>46</v>
      </c>
      <c r="L1031" t="b">
        <f t="shared" si="16"/>
        <v>1</v>
      </c>
    </row>
    <row r="1032" spans="1:12" x14ac:dyDescent="0.25">
      <c r="A1032" s="7" t="s">
        <v>2025</v>
      </c>
      <c r="B1032" s="7">
        <v>0</v>
      </c>
      <c r="C1032" s="7">
        <v>104</v>
      </c>
      <c r="D1032" s="7">
        <v>2</v>
      </c>
      <c r="E1032" s="7">
        <v>0</v>
      </c>
      <c r="F1032" s="7">
        <v>0</v>
      </c>
      <c r="G1032" s="7">
        <v>1</v>
      </c>
      <c r="H1032" s="7">
        <v>0</v>
      </c>
      <c r="I1032" s="7">
        <v>1</v>
      </c>
      <c r="J1032" s="7">
        <v>0</v>
      </c>
      <c r="K1032" s="7">
        <v>108</v>
      </c>
      <c r="L1032" t="b">
        <f t="shared" si="16"/>
        <v>1</v>
      </c>
    </row>
    <row r="1033" spans="1:12" x14ac:dyDescent="0.25">
      <c r="A1033" s="7" t="s">
        <v>2026</v>
      </c>
      <c r="B1033" s="7">
        <v>0</v>
      </c>
      <c r="C1033" s="7">
        <v>100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6</v>
      </c>
      <c r="J1033" s="7">
        <v>0</v>
      </c>
      <c r="K1033" s="7">
        <v>106</v>
      </c>
      <c r="L1033" t="b">
        <f t="shared" si="16"/>
        <v>1</v>
      </c>
    </row>
    <row r="1034" spans="1:12" x14ac:dyDescent="0.25">
      <c r="A1034" s="7" t="s">
        <v>2027</v>
      </c>
      <c r="B1034" s="7">
        <v>0</v>
      </c>
      <c r="C1034" s="7">
        <v>53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1</v>
      </c>
      <c r="J1034" s="7">
        <v>0</v>
      </c>
      <c r="K1034" s="7">
        <v>54</v>
      </c>
      <c r="L1034" t="b">
        <f t="shared" si="16"/>
        <v>1</v>
      </c>
    </row>
    <row r="1035" spans="1:12" x14ac:dyDescent="0.25">
      <c r="A1035" s="7" t="s">
        <v>2028</v>
      </c>
      <c r="B1035" s="7">
        <v>0</v>
      </c>
      <c r="C1035" s="7">
        <v>50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12</v>
      </c>
      <c r="J1035" s="7">
        <v>0</v>
      </c>
      <c r="K1035" s="7">
        <v>62</v>
      </c>
      <c r="L1035" t="b">
        <f t="shared" si="16"/>
        <v>1</v>
      </c>
    </row>
    <row r="1036" spans="1:12" x14ac:dyDescent="0.25">
      <c r="A1036" s="7" t="s">
        <v>2029</v>
      </c>
      <c r="B1036" s="7">
        <v>0</v>
      </c>
      <c r="C1036" s="7">
        <v>103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103</v>
      </c>
      <c r="L1036" t="b">
        <f t="shared" si="16"/>
        <v>1</v>
      </c>
    </row>
    <row r="1037" spans="1:12" x14ac:dyDescent="0.25">
      <c r="A1037" s="7" t="s">
        <v>2030</v>
      </c>
      <c r="B1037" s="7">
        <v>0</v>
      </c>
      <c r="C1037" s="7">
        <v>78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35</v>
      </c>
      <c r="J1037" s="7">
        <v>0</v>
      </c>
      <c r="K1037" s="7">
        <v>113</v>
      </c>
      <c r="L1037" t="b">
        <f t="shared" si="16"/>
        <v>1</v>
      </c>
    </row>
    <row r="1038" spans="1:12" x14ac:dyDescent="0.25">
      <c r="A1038" s="7" t="s">
        <v>2031</v>
      </c>
      <c r="B1038" s="7">
        <v>0</v>
      </c>
      <c r="C1038" s="7">
        <v>87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25</v>
      </c>
      <c r="J1038" s="7">
        <v>0</v>
      </c>
      <c r="K1038" s="7">
        <v>112</v>
      </c>
      <c r="L1038" t="b">
        <f t="shared" si="16"/>
        <v>1</v>
      </c>
    </row>
    <row r="1039" spans="1:12" x14ac:dyDescent="0.25">
      <c r="A1039" s="7" t="s">
        <v>2032</v>
      </c>
      <c r="B1039" s="7">
        <v>0</v>
      </c>
      <c r="C1039" s="7">
        <v>81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7</v>
      </c>
      <c r="J1039" s="7">
        <v>0</v>
      </c>
      <c r="K1039" s="7">
        <v>88</v>
      </c>
      <c r="L1039" t="b">
        <f t="shared" si="16"/>
        <v>1</v>
      </c>
    </row>
    <row r="1040" spans="1:12" x14ac:dyDescent="0.25">
      <c r="A1040" s="7" t="s">
        <v>2033</v>
      </c>
      <c r="B1040" s="7">
        <v>0</v>
      </c>
      <c r="C1040" s="7">
        <v>45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3</v>
      </c>
      <c r="J1040" s="7">
        <v>0</v>
      </c>
      <c r="K1040" s="7">
        <v>48</v>
      </c>
      <c r="L1040" t="b">
        <f t="shared" si="16"/>
        <v>1</v>
      </c>
    </row>
    <row r="1041" spans="1:12" x14ac:dyDescent="0.25">
      <c r="A1041" s="7" t="s">
        <v>2034</v>
      </c>
      <c r="B1041" s="7">
        <v>0</v>
      </c>
      <c r="C1041" s="7">
        <v>53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53</v>
      </c>
      <c r="L1041" t="b">
        <f t="shared" si="16"/>
        <v>1</v>
      </c>
    </row>
    <row r="1042" spans="1:12" x14ac:dyDescent="0.25">
      <c r="A1042" s="7" t="s">
        <v>2035</v>
      </c>
      <c r="B1042" s="7">
        <v>0</v>
      </c>
      <c r="C1042" s="7">
        <v>37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8</v>
      </c>
      <c r="J1042" s="7">
        <v>0</v>
      </c>
      <c r="K1042" s="7">
        <v>45</v>
      </c>
      <c r="L1042" t="b">
        <f t="shared" si="16"/>
        <v>1</v>
      </c>
    </row>
    <row r="1043" spans="1:12" x14ac:dyDescent="0.25">
      <c r="A1043" s="7" t="s">
        <v>2036</v>
      </c>
      <c r="B1043" s="7">
        <v>0</v>
      </c>
      <c r="C1043" s="7">
        <v>35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15</v>
      </c>
      <c r="J1043" s="7">
        <v>0</v>
      </c>
      <c r="K1043" s="7">
        <v>50</v>
      </c>
      <c r="L1043" t="b">
        <f t="shared" si="16"/>
        <v>1</v>
      </c>
    </row>
    <row r="1044" spans="1:12" x14ac:dyDescent="0.25">
      <c r="A1044" s="7" t="s">
        <v>2037</v>
      </c>
      <c r="B1044" s="7">
        <v>0</v>
      </c>
      <c r="C1044" s="7">
        <v>36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25</v>
      </c>
      <c r="J1044" s="7">
        <v>0</v>
      </c>
      <c r="K1044" s="7">
        <v>61</v>
      </c>
      <c r="L1044" t="b">
        <f t="shared" si="16"/>
        <v>1</v>
      </c>
    </row>
    <row r="1045" spans="1:12" x14ac:dyDescent="0.25">
      <c r="A1045" s="7" t="s">
        <v>2038</v>
      </c>
      <c r="B1045" s="7">
        <v>0</v>
      </c>
      <c r="C1045" s="7">
        <v>39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10</v>
      </c>
      <c r="J1045" s="7">
        <v>0</v>
      </c>
      <c r="K1045" s="7">
        <v>49</v>
      </c>
      <c r="L1045" t="b">
        <f t="shared" si="16"/>
        <v>1</v>
      </c>
    </row>
    <row r="1046" spans="1:12" x14ac:dyDescent="0.25">
      <c r="A1046" s="7" t="s">
        <v>2039</v>
      </c>
      <c r="B1046" s="7">
        <v>0</v>
      </c>
      <c r="C1046" s="7">
        <v>49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3</v>
      </c>
      <c r="J1046" s="7">
        <v>0</v>
      </c>
      <c r="K1046" s="7">
        <v>52</v>
      </c>
      <c r="L1046" t="b">
        <f t="shared" si="16"/>
        <v>1</v>
      </c>
    </row>
    <row r="1047" spans="1:12" x14ac:dyDescent="0.25">
      <c r="A1047" s="7" t="s">
        <v>2040</v>
      </c>
      <c r="B1047" s="7">
        <v>0</v>
      </c>
      <c r="C1047" s="7">
        <v>91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91</v>
      </c>
      <c r="L1047" t="b">
        <f t="shared" si="16"/>
        <v>1</v>
      </c>
    </row>
    <row r="1048" spans="1:12" x14ac:dyDescent="0.25">
      <c r="A1048" s="7" t="s">
        <v>2041</v>
      </c>
      <c r="B1048" s="7">
        <v>0</v>
      </c>
      <c r="C1048" s="7">
        <v>69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69</v>
      </c>
      <c r="L1048" t="b">
        <f t="shared" si="16"/>
        <v>1</v>
      </c>
    </row>
    <row r="1049" spans="1:12" x14ac:dyDescent="0.25">
      <c r="A1049" s="7" t="s">
        <v>2042</v>
      </c>
      <c r="B1049" s="7">
        <v>0</v>
      </c>
      <c r="C1049" s="7">
        <v>54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8</v>
      </c>
      <c r="J1049" s="7">
        <v>0</v>
      </c>
      <c r="K1049" s="7">
        <v>62</v>
      </c>
      <c r="L1049" t="b">
        <f t="shared" si="16"/>
        <v>1</v>
      </c>
    </row>
    <row r="1050" spans="1:12" x14ac:dyDescent="0.25">
      <c r="A1050" s="7" t="s">
        <v>2043</v>
      </c>
      <c r="B1050" s="7">
        <v>0</v>
      </c>
      <c r="C1050" s="7">
        <v>21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45</v>
      </c>
      <c r="J1050" s="7">
        <v>0</v>
      </c>
      <c r="K1050" s="7">
        <v>66</v>
      </c>
      <c r="L1050" t="b">
        <f t="shared" si="16"/>
        <v>1</v>
      </c>
    </row>
    <row r="1051" spans="1:12" x14ac:dyDescent="0.25">
      <c r="A1051" s="7" t="s">
        <v>2044</v>
      </c>
      <c r="B1051" s="7">
        <v>0</v>
      </c>
      <c r="C1051" s="7">
        <v>24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127</v>
      </c>
      <c r="J1051" s="7">
        <v>2</v>
      </c>
      <c r="K1051" s="7">
        <v>153</v>
      </c>
      <c r="L1051" t="b">
        <f t="shared" si="16"/>
        <v>1</v>
      </c>
    </row>
    <row r="1052" spans="1:12" x14ac:dyDescent="0.25">
      <c r="A1052" s="7" t="s">
        <v>2045</v>
      </c>
      <c r="B1052" s="7">
        <v>0</v>
      </c>
      <c r="C1052" s="7">
        <v>82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28</v>
      </c>
      <c r="J1052" s="7">
        <v>0</v>
      </c>
      <c r="K1052" s="7">
        <v>110</v>
      </c>
      <c r="L1052" t="b">
        <f t="shared" si="16"/>
        <v>1</v>
      </c>
    </row>
    <row r="1053" spans="1:12" x14ac:dyDescent="0.25">
      <c r="A1053" s="7" t="s">
        <v>2046</v>
      </c>
      <c r="B1053" s="7">
        <v>0</v>
      </c>
      <c r="C1053" s="7">
        <v>70</v>
      </c>
      <c r="D1053" s="7">
        <v>1</v>
      </c>
      <c r="E1053" s="7">
        <v>0</v>
      </c>
      <c r="F1053" s="7">
        <v>1</v>
      </c>
      <c r="G1053" s="7">
        <v>0</v>
      </c>
      <c r="H1053" s="7">
        <v>0</v>
      </c>
      <c r="I1053" s="7">
        <v>3</v>
      </c>
      <c r="J1053" s="7">
        <v>0</v>
      </c>
      <c r="K1053" s="7">
        <v>75</v>
      </c>
      <c r="L1053" t="b">
        <f t="shared" si="16"/>
        <v>1</v>
      </c>
    </row>
    <row r="1054" spans="1:12" x14ac:dyDescent="0.25">
      <c r="A1054" s="7" t="s">
        <v>2047</v>
      </c>
      <c r="B1054" s="7">
        <v>0</v>
      </c>
      <c r="C1054" s="7">
        <v>72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6</v>
      </c>
      <c r="J1054" s="7">
        <v>0</v>
      </c>
      <c r="K1054" s="7">
        <v>78</v>
      </c>
      <c r="L1054" t="b">
        <f t="shared" si="16"/>
        <v>1</v>
      </c>
    </row>
    <row r="1055" spans="1:12" x14ac:dyDescent="0.25">
      <c r="A1055" s="7" t="s">
        <v>2048</v>
      </c>
      <c r="B1055" s="7">
        <v>0</v>
      </c>
      <c r="C1055" s="7">
        <v>53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7</v>
      </c>
      <c r="J1055" s="7">
        <v>1</v>
      </c>
      <c r="K1055" s="7">
        <v>61</v>
      </c>
      <c r="L1055" t="b">
        <f t="shared" si="16"/>
        <v>1</v>
      </c>
    </row>
    <row r="1056" spans="1:12" x14ac:dyDescent="0.25">
      <c r="A1056" s="7" t="s">
        <v>2049</v>
      </c>
      <c r="B1056" s="7">
        <v>0</v>
      </c>
      <c r="C1056" s="7">
        <v>128</v>
      </c>
      <c r="D1056" s="7">
        <v>0</v>
      </c>
      <c r="E1056" s="7">
        <v>0</v>
      </c>
      <c r="F1056" s="7">
        <v>0</v>
      </c>
      <c r="G1056" s="7">
        <v>2</v>
      </c>
      <c r="H1056" s="7">
        <v>0</v>
      </c>
      <c r="I1056" s="7">
        <v>2</v>
      </c>
      <c r="J1056" s="7">
        <v>0</v>
      </c>
      <c r="K1056" s="7">
        <v>132</v>
      </c>
      <c r="L1056" t="b">
        <f t="shared" si="16"/>
        <v>1</v>
      </c>
    </row>
    <row r="1057" spans="1:12" x14ac:dyDescent="0.25">
      <c r="A1057" s="7" t="s">
        <v>2050</v>
      </c>
      <c r="B1057" s="7">
        <v>0</v>
      </c>
      <c r="C1057" s="7">
        <v>40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25</v>
      </c>
      <c r="J1057" s="7">
        <v>0</v>
      </c>
      <c r="K1057" s="7">
        <v>65</v>
      </c>
      <c r="L1057" t="b">
        <f t="shared" si="16"/>
        <v>1</v>
      </c>
    </row>
    <row r="1058" spans="1:12" x14ac:dyDescent="0.25">
      <c r="A1058" s="7" t="s">
        <v>2051</v>
      </c>
      <c r="B1058" s="7">
        <v>0</v>
      </c>
      <c r="C1058" s="7">
        <v>88</v>
      </c>
      <c r="D1058" s="7">
        <v>0</v>
      </c>
      <c r="E1058" s="7">
        <v>0</v>
      </c>
      <c r="F1058" s="7">
        <v>0</v>
      </c>
      <c r="G1058" s="7">
        <v>1</v>
      </c>
      <c r="H1058" s="7">
        <v>0</v>
      </c>
      <c r="I1058" s="7">
        <v>1</v>
      </c>
      <c r="J1058" s="7">
        <v>0</v>
      </c>
      <c r="K1058" s="7">
        <v>90</v>
      </c>
      <c r="L1058" t="b">
        <f t="shared" si="16"/>
        <v>1</v>
      </c>
    </row>
    <row r="1059" spans="1:12" x14ac:dyDescent="0.25">
      <c r="A1059" s="7" t="s">
        <v>2052</v>
      </c>
      <c r="B1059" s="7">
        <v>0</v>
      </c>
      <c r="C1059" s="7">
        <v>59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11</v>
      </c>
      <c r="J1059" s="7">
        <v>2</v>
      </c>
      <c r="K1059" s="7">
        <v>72</v>
      </c>
      <c r="L1059" t="b">
        <f t="shared" si="16"/>
        <v>1</v>
      </c>
    </row>
    <row r="1060" spans="1:12" x14ac:dyDescent="0.25">
      <c r="A1060" s="7" t="s">
        <v>2053</v>
      </c>
      <c r="B1060" s="7">
        <v>0</v>
      </c>
      <c r="C1060" s="7">
        <v>41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19</v>
      </c>
      <c r="J1060" s="7">
        <v>0</v>
      </c>
      <c r="K1060" s="7">
        <v>60</v>
      </c>
      <c r="L1060" t="b">
        <f t="shared" si="16"/>
        <v>1</v>
      </c>
    </row>
    <row r="1061" spans="1:12" x14ac:dyDescent="0.25">
      <c r="A1061" s="7" t="s">
        <v>2054</v>
      </c>
      <c r="B1061" s="7">
        <v>0</v>
      </c>
      <c r="C1061" s="7">
        <v>55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7</v>
      </c>
      <c r="J1061" s="7">
        <v>2</v>
      </c>
      <c r="K1061" s="7">
        <v>64</v>
      </c>
      <c r="L1061" t="b">
        <f t="shared" si="16"/>
        <v>1</v>
      </c>
    </row>
    <row r="1062" spans="1:12" x14ac:dyDescent="0.25">
      <c r="A1062" s="7" t="s">
        <v>2055</v>
      </c>
      <c r="B1062" s="7">
        <v>0</v>
      </c>
      <c r="C1062" s="7">
        <v>46</v>
      </c>
      <c r="D1062" s="7">
        <v>0</v>
      </c>
      <c r="E1062" s="7">
        <v>0</v>
      </c>
      <c r="F1062" s="7">
        <v>1</v>
      </c>
      <c r="G1062" s="7">
        <v>0</v>
      </c>
      <c r="H1062" s="7">
        <v>0</v>
      </c>
      <c r="I1062" s="7">
        <v>20</v>
      </c>
      <c r="J1062" s="7">
        <v>0</v>
      </c>
      <c r="K1062" s="7">
        <v>67</v>
      </c>
      <c r="L1062" t="b">
        <f t="shared" si="16"/>
        <v>1</v>
      </c>
    </row>
  </sheetData>
  <autoFilter ref="A1:L1062" xr:uid="{6A9CAE67-B307-46FD-AE88-39C12AB67CD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0945-DDC7-4E5D-939D-2BDB466D840D}">
  <dimension ref="A1:G1059"/>
  <sheetViews>
    <sheetView workbookViewId="0">
      <selection activeCell="G1" sqref="G1"/>
    </sheetView>
  </sheetViews>
  <sheetFormatPr defaultRowHeight="15" x14ac:dyDescent="0.25"/>
  <cols>
    <col min="1" max="1" width="17.28515625" bestFit="1" customWidth="1"/>
    <col min="2" max="2" width="32.42578125" bestFit="1" customWidth="1"/>
    <col min="3" max="3" width="30" bestFit="1" customWidth="1"/>
    <col min="4" max="4" width="11.85546875" bestFit="1" customWidth="1"/>
    <col min="6" max="6" width="17.28515625" bestFit="1" customWidth="1"/>
    <col min="7" max="7" width="24.5703125" bestFit="1" customWidth="1"/>
  </cols>
  <sheetData>
    <row r="1" spans="1:7" x14ac:dyDescent="0.25">
      <c r="A1" s="6" t="s">
        <v>990</v>
      </c>
      <c r="B1" s="6" t="s">
        <v>2058</v>
      </c>
      <c r="C1" s="6" t="s">
        <v>2059</v>
      </c>
      <c r="D1" s="6" t="s">
        <v>2060</v>
      </c>
      <c r="F1" s="6" t="s">
        <v>990</v>
      </c>
      <c r="G1" s="6" t="s">
        <v>2061</v>
      </c>
    </row>
    <row r="2" spans="1:7" x14ac:dyDescent="0.25">
      <c r="A2" t="s">
        <v>2056</v>
      </c>
      <c r="B2">
        <v>0</v>
      </c>
      <c r="C2">
        <v>0</v>
      </c>
      <c r="D2">
        <v>16</v>
      </c>
      <c r="F2" t="s">
        <v>999</v>
      </c>
      <c r="G2">
        <v>4</v>
      </c>
    </row>
    <row r="3" spans="1:7" x14ac:dyDescent="0.25">
      <c r="A3" t="s">
        <v>999</v>
      </c>
      <c r="B3">
        <v>41</v>
      </c>
      <c r="C3">
        <v>4</v>
      </c>
      <c r="D3">
        <v>102</v>
      </c>
      <c r="F3" t="s">
        <v>1003</v>
      </c>
      <c r="G3">
        <v>1</v>
      </c>
    </row>
    <row r="4" spans="1:7" x14ac:dyDescent="0.25">
      <c r="A4" t="s">
        <v>1000</v>
      </c>
      <c r="B4">
        <v>24</v>
      </c>
      <c r="C4">
        <v>1</v>
      </c>
      <c r="D4">
        <v>73</v>
      </c>
      <c r="F4" t="s">
        <v>1004</v>
      </c>
      <c r="G4">
        <v>1</v>
      </c>
    </row>
    <row r="5" spans="1:7" x14ac:dyDescent="0.25">
      <c r="A5" t="s">
        <v>1001</v>
      </c>
      <c r="B5">
        <v>17</v>
      </c>
      <c r="C5">
        <v>0</v>
      </c>
      <c r="D5">
        <v>43</v>
      </c>
      <c r="F5" t="s">
        <v>1006</v>
      </c>
      <c r="G5">
        <v>19</v>
      </c>
    </row>
    <row r="6" spans="1:7" x14ac:dyDescent="0.25">
      <c r="A6" t="s">
        <v>1002</v>
      </c>
      <c r="B6">
        <v>22</v>
      </c>
      <c r="C6">
        <v>7</v>
      </c>
      <c r="D6">
        <v>71</v>
      </c>
      <c r="F6" t="s">
        <v>1007</v>
      </c>
      <c r="G6">
        <v>4</v>
      </c>
    </row>
    <row r="7" spans="1:7" x14ac:dyDescent="0.25">
      <c r="A7" t="s">
        <v>1003</v>
      </c>
      <c r="B7">
        <v>30</v>
      </c>
      <c r="C7">
        <v>1</v>
      </c>
      <c r="D7">
        <v>88</v>
      </c>
      <c r="F7" t="s">
        <v>1008</v>
      </c>
      <c r="G7">
        <v>20</v>
      </c>
    </row>
    <row r="8" spans="1:7" x14ac:dyDescent="0.25">
      <c r="A8" t="s">
        <v>1004</v>
      </c>
      <c r="B8">
        <v>49</v>
      </c>
      <c r="C8">
        <v>1</v>
      </c>
      <c r="D8">
        <v>144</v>
      </c>
      <c r="F8" t="s">
        <v>1009</v>
      </c>
      <c r="G8">
        <v>7</v>
      </c>
    </row>
    <row r="9" spans="1:7" x14ac:dyDescent="0.25">
      <c r="A9" t="s">
        <v>1005</v>
      </c>
      <c r="B9">
        <v>53</v>
      </c>
      <c r="C9">
        <v>5</v>
      </c>
      <c r="D9">
        <v>172</v>
      </c>
      <c r="F9" t="s">
        <v>1010</v>
      </c>
      <c r="G9">
        <v>16</v>
      </c>
    </row>
    <row r="10" spans="1:7" x14ac:dyDescent="0.25">
      <c r="A10" t="s">
        <v>1006</v>
      </c>
      <c r="B10">
        <v>39</v>
      </c>
      <c r="C10">
        <v>7</v>
      </c>
      <c r="D10">
        <v>160</v>
      </c>
      <c r="F10" t="s">
        <v>1011</v>
      </c>
      <c r="G10">
        <v>1</v>
      </c>
    </row>
    <row r="11" spans="1:7" x14ac:dyDescent="0.25">
      <c r="A11" t="s">
        <v>1007</v>
      </c>
      <c r="B11">
        <v>19</v>
      </c>
      <c r="C11">
        <v>3</v>
      </c>
      <c r="D11">
        <v>93</v>
      </c>
      <c r="F11" t="s">
        <v>1012</v>
      </c>
      <c r="G11">
        <v>4</v>
      </c>
    </row>
    <row r="12" spans="1:7" x14ac:dyDescent="0.25">
      <c r="A12" t="s">
        <v>1008</v>
      </c>
      <c r="B12">
        <v>45</v>
      </c>
      <c r="C12">
        <v>5</v>
      </c>
      <c r="D12">
        <v>205</v>
      </c>
      <c r="F12" t="s">
        <v>1013</v>
      </c>
      <c r="G12">
        <v>12</v>
      </c>
    </row>
    <row r="13" spans="1:7" x14ac:dyDescent="0.25">
      <c r="A13" t="s">
        <v>1009</v>
      </c>
      <c r="B13">
        <v>94</v>
      </c>
      <c r="C13">
        <v>4</v>
      </c>
      <c r="D13">
        <v>191</v>
      </c>
      <c r="F13" t="s">
        <v>1014</v>
      </c>
      <c r="G13">
        <v>2</v>
      </c>
    </row>
    <row r="14" spans="1:7" x14ac:dyDescent="0.25">
      <c r="A14" t="s">
        <v>1010</v>
      </c>
      <c r="B14">
        <v>16</v>
      </c>
      <c r="C14">
        <v>0</v>
      </c>
      <c r="D14">
        <v>144</v>
      </c>
      <c r="F14" t="s">
        <v>1015</v>
      </c>
      <c r="G14">
        <v>5</v>
      </c>
    </row>
    <row r="15" spans="1:7" x14ac:dyDescent="0.25">
      <c r="A15" t="s">
        <v>1011</v>
      </c>
      <c r="B15">
        <v>23</v>
      </c>
      <c r="C15">
        <v>0</v>
      </c>
      <c r="D15">
        <v>65</v>
      </c>
      <c r="F15" t="s">
        <v>1016</v>
      </c>
      <c r="G15">
        <v>2</v>
      </c>
    </row>
    <row r="16" spans="1:7" x14ac:dyDescent="0.25">
      <c r="A16" t="s">
        <v>1012</v>
      </c>
      <c r="B16">
        <v>56</v>
      </c>
      <c r="C16">
        <v>7</v>
      </c>
      <c r="D16">
        <v>151</v>
      </c>
      <c r="F16" t="s">
        <v>1017</v>
      </c>
      <c r="G16">
        <v>4</v>
      </c>
    </row>
    <row r="17" spans="1:7" x14ac:dyDescent="0.25">
      <c r="A17" t="s">
        <v>1013</v>
      </c>
      <c r="B17">
        <v>37</v>
      </c>
      <c r="C17">
        <v>2</v>
      </c>
      <c r="D17">
        <v>116</v>
      </c>
      <c r="F17" t="s">
        <v>1018</v>
      </c>
      <c r="G17">
        <v>3</v>
      </c>
    </row>
    <row r="18" spans="1:7" x14ac:dyDescent="0.25">
      <c r="A18" t="s">
        <v>1014</v>
      </c>
      <c r="B18">
        <v>31</v>
      </c>
      <c r="C18">
        <v>1</v>
      </c>
      <c r="D18">
        <v>107</v>
      </c>
      <c r="F18" t="s">
        <v>1021</v>
      </c>
      <c r="G18">
        <v>2</v>
      </c>
    </row>
    <row r="19" spans="1:7" x14ac:dyDescent="0.25">
      <c r="A19" t="s">
        <v>1015</v>
      </c>
      <c r="B19">
        <v>8</v>
      </c>
      <c r="C19">
        <v>2</v>
      </c>
      <c r="D19">
        <v>21</v>
      </c>
      <c r="F19" t="s">
        <v>1022</v>
      </c>
      <c r="G19">
        <v>2</v>
      </c>
    </row>
    <row r="20" spans="1:7" x14ac:dyDescent="0.25">
      <c r="A20" t="s">
        <v>1016</v>
      </c>
      <c r="B20">
        <v>28</v>
      </c>
      <c r="C20">
        <v>1</v>
      </c>
      <c r="D20">
        <v>56</v>
      </c>
      <c r="F20" t="s">
        <v>1023</v>
      </c>
      <c r="G20">
        <v>7</v>
      </c>
    </row>
    <row r="21" spans="1:7" x14ac:dyDescent="0.25">
      <c r="A21" t="s">
        <v>1017</v>
      </c>
      <c r="B21">
        <v>40</v>
      </c>
      <c r="C21">
        <v>0</v>
      </c>
      <c r="D21">
        <v>51</v>
      </c>
      <c r="F21" t="s">
        <v>1024</v>
      </c>
      <c r="G21">
        <v>8</v>
      </c>
    </row>
    <row r="22" spans="1:7" x14ac:dyDescent="0.25">
      <c r="A22" t="s">
        <v>1018</v>
      </c>
      <c r="B22">
        <v>11</v>
      </c>
      <c r="C22">
        <v>1</v>
      </c>
      <c r="D22">
        <v>17</v>
      </c>
      <c r="F22" t="s">
        <v>1025</v>
      </c>
      <c r="G22">
        <v>2</v>
      </c>
    </row>
    <row r="23" spans="1:7" x14ac:dyDescent="0.25">
      <c r="A23" t="s">
        <v>1019</v>
      </c>
      <c r="B23">
        <v>20</v>
      </c>
      <c r="C23">
        <v>0</v>
      </c>
      <c r="D23">
        <v>35</v>
      </c>
      <c r="F23" t="s">
        <v>1026</v>
      </c>
      <c r="G23">
        <v>3</v>
      </c>
    </row>
    <row r="24" spans="1:7" x14ac:dyDescent="0.25">
      <c r="A24" t="s">
        <v>1020</v>
      </c>
      <c r="B24">
        <v>14</v>
      </c>
      <c r="C24">
        <v>0</v>
      </c>
      <c r="D24">
        <v>22</v>
      </c>
      <c r="F24" t="s">
        <v>1029</v>
      </c>
      <c r="G24">
        <v>3</v>
      </c>
    </row>
    <row r="25" spans="1:7" x14ac:dyDescent="0.25">
      <c r="A25" t="s">
        <v>1021</v>
      </c>
      <c r="B25">
        <v>30</v>
      </c>
      <c r="C25">
        <v>0</v>
      </c>
      <c r="D25">
        <v>54</v>
      </c>
      <c r="F25" t="s">
        <v>1030</v>
      </c>
      <c r="G25">
        <v>2</v>
      </c>
    </row>
    <row r="26" spans="1:7" x14ac:dyDescent="0.25">
      <c r="A26" t="s">
        <v>1022</v>
      </c>
      <c r="B26">
        <v>24</v>
      </c>
      <c r="C26">
        <v>0</v>
      </c>
      <c r="D26">
        <v>43</v>
      </c>
      <c r="F26" t="s">
        <v>1031</v>
      </c>
      <c r="G26">
        <v>3</v>
      </c>
    </row>
    <row r="27" spans="1:7" x14ac:dyDescent="0.25">
      <c r="A27" t="s">
        <v>1023</v>
      </c>
      <c r="B27">
        <v>39</v>
      </c>
      <c r="C27">
        <v>0</v>
      </c>
      <c r="D27">
        <v>87</v>
      </c>
      <c r="F27" t="s">
        <v>1032</v>
      </c>
      <c r="G27">
        <v>3</v>
      </c>
    </row>
    <row r="28" spans="1:7" x14ac:dyDescent="0.25">
      <c r="A28" t="s">
        <v>1024</v>
      </c>
      <c r="B28">
        <v>36</v>
      </c>
      <c r="C28">
        <v>1</v>
      </c>
      <c r="D28">
        <v>75</v>
      </c>
      <c r="F28" t="s">
        <v>1033</v>
      </c>
      <c r="G28">
        <v>3</v>
      </c>
    </row>
    <row r="29" spans="1:7" x14ac:dyDescent="0.25">
      <c r="A29" t="s">
        <v>1025</v>
      </c>
      <c r="B29">
        <v>11</v>
      </c>
      <c r="C29">
        <v>0</v>
      </c>
      <c r="D29">
        <v>34</v>
      </c>
      <c r="F29" t="s">
        <v>1034</v>
      </c>
      <c r="G29">
        <v>3</v>
      </c>
    </row>
    <row r="30" spans="1:7" x14ac:dyDescent="0.25">
      <c r="A30" t="s">
        <v>1026</v>
      </c>
      <c r="B30">
        <v>11</v>
      </c>
      <c r="C30">
        <v>0</v>
      </c>
      <c r="D30">
        <v>48</v>
      </c>
      <c r="F30" t="s">
        <v>1035</v>
      </c>
      <c r="G30">
        <v>2</v>
      </c>
    </row>
    <row r="31" spans="1:7" x14ac:dyDescent="0.25">
      <c r="A31" t="s">
        <v>1027</v>
      </c>
      <c r="B31">
        <v>17</v>
      </c>
      <c r="C31">
        <v>3</v>
      </c>
      <c r="D31">
        <v>69</v>
      </c>
      <c r="F31" t="s">
        <v>1036</v>
      </c>
      <c r="G31">
        <v>2</v>
      </c>
    </row>
    <row r="32" spans="1:7" x14ac:dyDescent="0.25">
      <c r="A32" t="s">
        <v>1028</v>
      </c>
      <c r="B32">
        <v>12</v>
      </c>
      <c r="C32">
        <v>0</v>
      </c>
      <c r="D32">
        <v>36</v>
      </c>
      <c r="F32" t="s">
        <v>1037</v>
      </c>
      <c r="G32">
        <v>7</v>
      </c>
    </row>
    <row r="33" spans="1:7" x14ac:dyDescent="0.25">
      <c r="A33" t="s">
        <v>1029</v>
      </c>
      <c r="B33">
        <v>15</v>
      </c>
      <c r="C33">
        <v>0</v>
      </c>
      <c r="D33">
        <v>52</v>
      </c>
      <c r="F33" t="s">
        <v>1038</v>
      </c>
      <c r="G33">
        <v>5</v>
      </c>
    </row>
    <row r="34" spans="1:7" x14ac:dyDescent="0.25">
      <c r="A34" t="s">
        <v>1030</v>
      </c>
      <c r="B34">
        <v>23</v>
      </c>
      <c r="C34">
        <v>3</v>
      </c>
      <c r="D34">
        <v>62</v>
      </c>
      <c r="F34" t="s">
        <v>1039</v>
      </c>
      <c r="G34">
        <v>5</v>
      </c>
    </row>
    <row r="35" spans="1:7" x14ac:dyDescent="0.25">
      <c r="A35" t="s">
        <v>1031</v>
      </c>
      <c r="B35">
        <v>12</v>
      </c>
      <c r="C35">
        <v>1</v>
      </c>
      <c r="D35">
        <v>68</v>
      </c>
      <c r="F35" t="s">
        <v>1040</v>
      </c>
      <c r="G35">
        <v>1</v>
      </c>
    </row>
    <row r="36" spans="1:7" x14ac:dyDescent="0.25">
      <c r="A36" t="s">
        <v>1032</v>
      </c>
      <c r="B36">
        <v>17</v>
      </c>
      <c r="C36">
        <v>1</v>
      </c>
      <c r="D36">
        <v>62</v>
      </c>
      <c r="F36" t="s">
        <v>1041</v>
      </c>
      <c r="G36">
        <v>1</v>
      </c>
    </row>
    <row r="37" spans="1:7" x14ac:dyDescent="0.25">
      <c r="A37" t="s">
        <v>1033</v>
      </c>
      <c r="B37">
        <v>26</v>
      </c>
      <c r="C37">
        <v>0</v>
      </c>
      <c r="D37">
        <v>71</v>
      </c>
      <c r="F37" t="s">
        <v>1042</v>
      </c>
      <c r="G37">
        <v>2</v>
      </c>
    </row>
    <row r="38" spans="1:7" x14ac:dyDescent="0.25">
      <c r="A38" t="s">
        <v>1034</v>
      </c>
      <c r="B38">
        <v>13</v>
      </c>
      <c r="C38">
        <v>2</v>
      </c>
      <c r="D38">
        <v>66</v>
      </c>
      <c r="F38" t="s">
        <v>1044</v>
      </c>
      <c r="G38">
        <v>1</v>
      </c>
    </row>
    <row r="39" spans="1:7" x14ac:dyDescent="0.25">
      <c r="A39" t="s">
        <v>1035</v>
      </c>
      <c r="B39">
        <v>24</v>
      </c>
      <c r="C39">
        <v>2</v>
      </c>
      <c r="D39">
        <v>51</v>
      </c>
      <c r="F39" t="s">
        <v>1045</v>
      </c>
      <c r="G39">
        <v>4</v>
      </c>
    </row>
    <row r="40" spans="1:7" x14ac:dyDescent="0.25">
      <c r="A40" t="s">
        <v>1036</v>
      </c>
      <c r="B40">
        <v>20</v>
      </c>
      <c r="C40">
        <v>0</v>
      </c>
      <c r="D40">
        <v>57</v>
      </c>
      <c r="F40" t="s">
        <v>1046</v>
      </c>
      <c r="G40">
        <v>3</v>
      </c>
    </row>
    <row r="41" spans="1:7" x14ac:dyDescent="0.25">
      <c r="A41" t="s">
        <v>1037</v>
      </c>
      <c r="B41">
        <v>22</v>
      </c>
      <c r="C41">
        <v>1</v>
      </c>
      <c r="D41">
        <v>73</v>
      </c>
      <c r="F41" t="s">
        <v>1047</v>
      </c>
      <c r="G41">
        <v>7</v>
      </c>
    </row>
    <row r="42" spans="1:7" x14ac:dyDescent="0.25">
      <c r="A42" t="s">
        <v>1038</v>
      </c>
      <c r="B42">
        <v>7</v>
      </c>
      <c r="C42">
        <v>1</v>
      </c>
      <c r="D42">
        <v>28</v>
      </c>
      <c r="F42" t="s">
        <v>1048</v>
      </c>
      <c r="G42">
        <v>3</v>
      </c>
    </row>
    <row r="43" spans="1:7" x14ac:dyDescent="0.25">
      <c r="A43" t="s">
        <v>1039</v>
      </c>
      <c r="B43">
        <v>21</v>
      </c>
      <c r="C43">
        <v>4</v>
      </c>
      <c r="D43">
        <v>66</v>
      </c>
      <c r="F43" t="s">
        <v>1049</v>
      </c>
      <c r="G43">
        <v>2</v>
      </c>
    </row>
    <row r="44" spans="1:7" x14ac:dyDescent="0.25">
      <c r="A44" t="s">
        <v>1040</v>
      </c>
      <c r="B44">
        <v>14</v>
      </c>
      <c r="C44">
        <v>2</v>
      </c>
      <c r="D44">
        <v>53</v>
      </c>
      <c r="F44" t="s">
        <v>1050</v>
      </c>
      <c r="G44">
        <v>5</v>
      </c>
    </row>
    <row r="45" spans="1:7" x14ac:dyDescent="0.25">
      <c r="A45" t="s">
        <v>1041</v>
      </c>
      <c r="B45">
        <v>15</v>
      </c>
      <c r="C45">
        <v>0</v>
      </c>
      <c r="D45">
        <v>87</v>
      </c>
      <c r="F45" t="s">
        <v>1051</v>
      </c>
      <c r="G45">
        <v>2</v>
      </c>
    </row>
    <row r="46" spans="1:7" x14ac:dyDescent="0.25">
      <c r="A46" t="s">
        <v>1042</v>
      </c>
      <c r="B46">
        <v>31</v>
      </c>
      <c r="C46">
        <v>2</v>
      </c>
      <c r="D46">
        <v>61</v>
      </c>
      <c r="F46" t="s">
        <v>1052</v>
      </c>
      <c r="G46">
        <v>19</v>
      </c>
    </row>
    <row r="47" spans="1:7" x14ac:dyDescent="0.25">
      <c r="A47" t="s">
        <v>1043</v>
      </c>
      <c r="B47">
        <v>21</v>
      </c>
      <c r="C47">
        <v>0</v>
      </c>
      <c r="D47">
        <v>59</v>
      </c>
      <c r="F47" t="s">
        <v>1053</v>
      </c>
      <c r="G47">
        <v>6</v>
      </c>
    </row>
    <row r="48" spans="1:7" x14ac:dyDescent="0.25">
      <c r="A48" t="s">
        <v>1044</v>
      </c>
      <c r="B48">
        <v>17</v>
      </c>
      <c r="C48">
        <v>1</v>
      </c>
      <c r="D48">
        <v>54</v>
      </c>
      <c r="F48" t="s">
        <v>1054</v>
      </c>
      <c r="G48">
        <v>7</v>
      </c>
    </row>
    <row r="49" spans="1:7" x14ac:dyDescent="0.25">
      <c r="A49" t="s">
        <v>1045</v>
      </c>
      <c r="B49">
        <v>39</v>
      </c>
      <c r="C49">
        <v>1</v>
      </c>
      <c r="D49">
        <v>94</v>
      </c>
      <c r="F49" t="s">
        <v>1055</v>
      </c>
      <c r="G49">
        <v>5</v>
      </c>
    </row>
    <row r="50" spans="1:7" x14ac:dyDescent="0.25">
      <c r="A50" t="s">
        <v>1046</v>
      </c>
      <c r="B50">
        <v>39</v>
      </c>
      <c r="C50">
        <v>1</v>
      </c>
      <c r="D50">
        <v>94</v>
      </c>
      <c r="F50" t="s">
        <v>1056</v>
      </c>
      <c r="G50">
        <v>8</v>
      </c>
    </row>
    <row r="51" spans="1:7" x14ac:dyDescent="0.25">
      <c r="A51" t="s">
        <v>1047</v>
      </c>
      <c r="B51">
        <v>29</v>
      </c>
      <c r="C51">
        <v>0</v>
      </c>
      <c r="D51">
        <v>104</v>
      </c>
      <c r="F51" t="s">
        <v>1058</v>
      </c>
      <c r="G51">
        <v>1</v>
      </c>
    </row>
    <row r="52" spans="1:7" x14ac:dyDescent="0.25">
      <c r="A52" t="s">
        <v>1048</v>
      </c>
      <c r="B52">
        <v>40</v>
      </c>
      <c r="C52">
        <v>0</v>
      </c>
      <c r="D52">
        <v>103</v>
      </c>
      <c r="F52" t="s">
        <v>1059</v>
      </c>
      <c r="G52">
        <v>11</v>
      </c>
    </row>
    <row r="53" spans="1:7" x14ac:dyDescent="0.25">
      <c r="A53" t="s">
        <v>1049</v>
      </c>
      <c r="B53">
        <v>33</v>
      </c>
      <c r="C53">
        <v>0</v>
      </c>
      <c r="D53">
        <v>110</v>
      </c>
      <c r="F53" t="s">
        <v>1060</v>
      </c>
      <c r="G53">
        <v>5</v>
      </c>
    </row>
    <row r="54" spans="1:7" x14ac:dyDescent="0.25">
      <c r="A54" t="s">
        <v>1050</v>
      </c>
      <c r="B54">
        <v>25</v>
      </c>
      <c r="C54">
        <v>0</v>
      </c>
      <c r="D54">
        <v>88</v>
      </c>
      <c r="F54" t="s">
        <v>1063</v>
      </c>
      <c r="G54">
        <v>10</v>
      </c>
    </row>
    <row r="55" spans="1:7" x14ac:dyDescent="0.25">
      <c r="A55" t="s">
        <v>1051</v>
      </c>
      <c r="B55">
        <v>16</v>
      </c>
      <c r="C55">
        <v>0</v>
      </c>
      <c r="D55">
        <v>102</v>
      </c>
      <c r="F55" t="s">
        <v>1064</v>
      </c>
      <c r="G55">
        <v>1</v>
      </c>
    </row>
    <row r="56" spans="1:7" x14ac:dyDescent="0.25">
      <c r="A56" t="s">
        <v>1052</v>
      </c>
      <c r="B56">
        <v>30</v>
      </c>
      <c r="C56">
        <v>1</v>
      </c>
      <c r="D56">
        <v>98</v>
      </c>
      <c r="F56" t="s">
        <v>1067</v>
      </c>
      <c r="G56">
        <v>5</v>
      </c>
    </row>
    <row r="57" spans="1:7" x14ac:dyDescent="0.25">
      <c r="A57" t="s">
        <v>1053</v>
      </c>
      <c r="B57">
        <v>29</v>
      </c>
      <c r="C57">
        <v>1</v>
      </c>
      <c r="D57">
        <v>133</v>
      </c>
      <c r="F57" t="s">
        <v>1068</v>
      </c>
      <c r="G57">
        <v>18</v>
      </c>
    </row>
    <row r="58" spans="1:7" x14ac:dyDescent="0.25">
      <c r="A58" t="s">
        <v>1054</v>
      </c>
      <c r="B58">
        <v>26</v>
      </c>
      <c r="C58">
        <v>0</v>
      </c>
      <c r="D58">
        <v>76</v>
      </c>
      <c r="F58" t="s">
        <v>1069</v>
      </c>
      <c r="G58">
        <v>7</v>
      </c>
    </row>
    <row r="59" spans="1:7" x14ac:dyDescent="0.25">
      <c r="A59" t="s">
        <v>1055</v>
      </c>
      <c r="B59">
        <v>8</v>
      </c>
      <c r="C59">
        <v>0</v>
      </c>
      <c r="D59">
        <v>47</v>
      </c>
      <c r="F59" t="s">
        <v>1070</v>
      </c>
      <c r="G59">
        <v>2</v>
      </c>
    </row>
    <row r="60" spans="1:7" x14ac:dyDescent="0.25">
      <c r="A60" t="s">
        <v>1056</v>
      </c>
      <c r="B60">
        <v>20</v>
      </c>
      <c r="C60">
        <v>0</v>
      </c>
      <c r="D60">
        <v>79</v>
      </c>
      <c r="F60" t="s">
        <v>1071</v>
      </c>
      <c r="G60">
        <v>2</v>
      </c>
    </row>
    <row r="61" spans="1:7" x14ac:dyDescent="0.25">
      <c r="A61" t="s">
        <v>1057</v>
      </c>
      <c r="B61">
        <v>25</v>
      </c>
      <c r="C61">
        <v>0</v>
      </c>
      <c r="D61">
        <v>91</v>
      </c>
      <c r="F61" t="s">
        <v>1072</v>
      </c>
      <c r="G61">
        <v>5</v>
      </c>
    </row>
    <row r="62" spans="1:7" x14ac:dyDescent="0.25">
      <c r="A62" t="s">
        <v>1058</v>
      </c>
      <c r="B62">
        <v>19</v>
      </c>
      <c r="C62">
        <v>7</v>
      </c>
      <c r="D62">
        <v>69</v>
      </c>
      <c r="F62" t="s">
        <v>1073</v>
      </c>
      <c r="G62">
        <v>4</v>
      </c>
    </row>
    <row r="63" spans="1:7" x14ac:dyDescent="0.25">
      <c r="A63" t="s">
        <v>1059</v>
      </c>
      <c r="B63">
        <v>32</v>
      </c>
      <c r="C63">
        <v>2</v>
      </c>
      <c r="D63">
        <v>78</v>
      </c>
      <c r="F63" t="s">
        <v>1074</v>
      </c>
      <c r="G63">
        <v>6</v>
      </c>
    </row>
    <row r="64" spans="1:7" x14ac:dyDescent="0.25">
      <c r="A64" t="s">
        <v>1060</v>
      </c>
      <c r="B64">
        <v>8</v>
      </c>
      <c r="C64">
        <v>4</v>
      </c>
      <c r="D64">
        <v>32</v>
      </c>
      <c r="F64" t="s">
        <v>1075</v>
      </c>
      <c r="G64">
        <v>7</v>
      </c>
    </row>
    <row r="65" spans="1:7" x14ac:dyDescent="0.25">
      <c r="A65" t="s">
        <v>1061</v>
      </c>
      <c r="B65">
        <v>15</v>
      </c>
      <c r="C65">
        <v>7</v>
      </c>
      <c r="D65">
        <v>35</v>
      </c>
      <c r="F65" t="s">
        <v>1076</v>
      </c>
      <c r="G65">
        <v>6</v>
      </c>
    </row>
    <row r="66" spans="1:7" x14ac:dyDescent="0.25">
      <c r="A66" t="s">
        <v>1062</v>
      </c>
      <c r="B66">
        <v>19</v>
      </c>
      <c r="C66">
        <v>0</v>
      </c>
      <c r="D66">
        <v>54</v>
      </c>
      <c r="F66" t="s">
        <v>1077</v>
      </c>
      <c r="G66">
        <v>5</v>
      </c>
    </row>
    <row r="67" spans="1:7" x14ac:dyDescent="0.25">
      <c r="A67" t="s">
        <v>1063</v>
      </c>
      <c r="B67">
        <v>31</v>
      </c>
      <c r="C67">
        <v>8</v>
      </c>
      <c r="D67">
        <v>92</v>
      </c>
      <c r="F67" t="s">
        <v>1078</v>
      </c>
      <c r="G67">
        <v>8</v>
      </c>
    </row>
    <row r="68" spans="1:7" x14ac:dyDescent="0.25">
      <c r="A68" t="s">
        <v>1064</v>
      </c>
      <c r="B68">
        <v>17</v>
      </c>
      <c r="C68">
        <v>4</v>
      </c>
      <c r="D68">
        <v>60</v>
      </c>
      <c r="F68" t="s">
        <v>1079</v>
      </c>
      <c r="G68">
        <v>9</v>
      </c>
    </row>
    <row r="69" spans="1:7" x14ac:dyDescent="0.25">
      <c r="A69" t="s">
        <v>1065</v>
      </c>
      <c r="B69">
        <v>15</v>
      </c>
      <c r="C69">
        <v>2</v>
      </c>
      <c r="D69">
        <v>53</v>
      </c>
      <c r="F69" t="s">
        <v>1080</v>
      </c>
      <c r="G69">
        <v>2</v>
      </c>
    </row>
    <row r="70" spans="1:7" x14ac:dyDescent="0.25">
      <c r="A70" t="s">
        <v>1066</v>
      </c>
      <c r="B70">
        <v>26</v>
      </c>
      <c r="C70">
        <v>4</v>
      </c>
      <c r="D70">
        <v>76</v>
      </c>
      <c r="F70" t="s">
        <v>1081</v>
      </c>
      <c r="G70">
        <v>8</v>
      </c>
    </row>
    <row r="71" spans="1:7" x14ac:dyDescent="0.25">
      <c r="A71" t="s">
        <v>1067</v>
      </c>
      <c r="B71">
        <v>26</v>
      </c>
      <c r="C71">
        <v>7</v>
      </c>
      <c r="D71">
        <v>85</v>
      </c>
      <c r="F71" t="s">
        <v>1082</v>
      </c>
      <c r="G71">
        <v>1</v>
      </c>
    </row>
    <row r="72" spans="1:7" x14ac:dyDescent="0.25">
      <c r="A72" t="s">
        <v>1068</v>
      </c>
      <c r="B72">
        <v>18</v>
      </c>
      <c r="C72">
        <v>0</v>
      </c>
      <c r="D72">
        <v>66</v>
      </c>
      <c r="F72" t="s">
        <v>1083</v>
      </c>
      <c r="G72">
        <v>4</v>
      </c>
    </row>
    <row r="73" spans="1:7" x14ac:dyDescent="0.25">
      <c r="A73" t="s">
        <v>1069</v>
      </c>
      <c r="B73">
        <v>14</v>
      </c>
      <c r="C73">
        <v>4</v>
      </c>
      <c r="D73">
        <v>82</v>
      </c>
      <c r="F73" t="s">
        <v>1084</v>
      </c>
      <c r="G73">
        <v>6</v>
      </c>
    </row>
    <row r="74" spans="1:7" x14ac:dyDescent="0.25">
      <c r="A74" t="s">
        <v>1070</v>
      </c>
      <c r="B74">
        <v>27</v>
      </c>
      <c r="C74">
        <v>0</v>
      </c>
      <c r="D74">
        <v>78</v>
      </c>
      <c r="F74" t="s">
        <v>1085</v>
      </c>
      <c r="G74">
        <v>2</v>
      </c>
    </row>
    <row r="75" spans="1:7" x14ac:dyDescent="0.25">
      <c r="A75" t="s">
        <v>1071</v>
      </c>
      <c r="B75">
        <v>27</v>
      </c>
      <c r="C75">
        <v>1</v>
      </c>
      <c r="D75">
        <v>74</v>
      </c>
      <c r="F75" t="s">
        <v>1087</v>
      </c>
      <c r="G75">
        <v>3</v>
      </c>
    </row>
    <row r="76" spans="1:7" x14ac:dyDescent="0.25">
      <c r="A76" t="s">
        <v>1072</v>
      </c>
      <c r="B76">
        <v>25</v>
      </c>
      <c r="C76">
        <v>2</v>
      </c>
      <c r="D76">
        <v>86</v>
      </c>
      <c r="F76" t="s">
        <v>1088</v>
      </c>
      <c r="G76">
        <v>2</v>
      </c>
    </row>
    <row r="77" spans="1:7" x14ac:dyDescent="0.25">
      <c r="A77" t="s">
        <v>1073</v>
      </c>
      <c r="B77">
        <v>11</v>
      </c>
      <c r="C77">
        <v>0</v>
      </c>
      <c r="D77">
        <v>40</v>
      </c>
      <c r="F77" t="s">
        <v>1089</v>
      </c>
      <c r="G77">
        <v>3</v>
      </c>
    </row>
    <row r="78" spans="1:7" x14ac:dyDescent="0.25">
      <c r="A78" t="s">
        <v>1074</v>
      </c>
      <c r="B78">
        <v>18</v>
      </c>
      <c r="C78">
        <v>5</v>
      </c>
      <c r="D78">
        <v>52</v>
      </c>
      <c r="F78" t="s">
        <v>1090</v>
      </c>
      <c r="G78">
        <v>2</v>
      </c>
    </row>
    <row r="79" spans="1:7" x14ac:dyDescent="0.25">
      <c r="A79" t="s">
        <v>1075</v>
      </c>
      <c r="B79">
        <v>16</v>
      </c>
      <c r="C79">
        <v>1</v>
      </c>
      <c r="D79">
        <v>49</v>
      </c>
      <c r="F79" t="s">
        <v>1092</v>
      </c>
      <c r="G79">
        <v>1</v>
      </c>
    </row>
    <row r="80" spans="1:7" x14ac:dyDescent="0.25">
      <c r="A80" t="s">
        <v>1076</v>
      </c>
      <c r="B80">
        <v>11</v>
      </c>
      <c r="C80">
        <v>2</v>
      </c>
      <c r="D80">
        <v>52</v>
      </c>
      <c r="F80" t="s">
        <v>1093</v>
      </c>
      <c r="G80">
        <v>6</v>
      </c>
    </row>
    <row r="81" spans="1:7" x14ac:dyDescent="0.25">
      <c r="A81" t="s">
        <v>1077</v>
      </c>
      <c r="B81">
        <v>5</v>
      </c>
      <c r="C81">
        <v>1</v>
      </c>
      <c r="D81">
        <v>23</v>
      </c>
      <c r="F81" t="s">
        <v>1094</v>
      </c>
      <c r="G81">
        <v>4</v>
      </c>
    </row>
    <row r="82" spans="1:7" x14ac:dyDescent="0.25">
      <c r="A82" t="s">
        <v>1078</v>
      </c>
      <c r="B82">
        <v>14</v>
      </c>
      <c r="C82">
        <v>1</v>
      </c>
      <c r="D82">
        <v>40</v>
      </c>
      <c r="F82" t="s">
        <v>1095</v>
      </c>
      <c r="G82">
        <v>8</v>
      </c>
    </row>
    <row r="83" spans="1:7" x14ac:dyDescent="0.25">
      <c r="A83" t="s">
        <v>1079</v>
      </c>
      <c r="B83">
        <v>24</v>
      </c>
      <c r="C83">
        <v>0</v>
      </c>
      <c r="D83">
        <v>55</v>
      </c>
      <c r="F83" t="s">
        <v>1096</v>
      </c>
      <c r="G83">
        <v>5</v>
      </c>
    </row>
    <row r="84" spans="1:7" x14ac:dyDescent="0.25">
      <c r="A84" t="s">
        <v>1080</v>
      </c>
      <c r="B84">
        <v>23</v>
      </c>
      <c r="C84">
        <v>0</v>
      </c>
      <c r="D84">
        <v>61</v>
      </c>
      <c r="F84" t="s">
        <v>1097</v>
      </c>
      <c r="G84">
        <v>4</v>
      </c>
    </row>
    <row r="85" spans="1:7" x14ac:dyDescent="0.25">
      <c r="A85" t="s">
        <v>1081</v>
      </c>
      <c r="B85">
        <v>24</v>
      </c>
      <c r="C85">
        <v>0</v>
      </c>
      <c r="D85">
        <v>55</v>
      </c>
      <c r="F85" t="s">
        <v>1098</v>
      </c>
      <c r="G85">
        <v>2</v>
      </c>
    </row>
    <row r="86" spans="1:7" x14ac:dyDescent="0.25">
      <c r="A86" t="s">
        <v>1082</v>
      </c>
      <c r="B86">
        <v>17</v>
      </c>
      <c r="C86">
        <v>2</v>
      </c>
      <c r="D86">
        <v>38</v>
      </c>
      <c r="F86" t="s">
        <v>1099</v>
      </c>
      <c r="G86">
        <v>1</v>
      </c>
    </row>
    <row r="87" spans="1:7" x14ac:dyDescent="0.25">
      <c r="A87" t="s">
        <v>1083</v>
      </c>
      <c r="B87">
        <v>9</v>
      </c>
      <c r="C87">
        <v>2</v>
      </c>
      <c r="D87">
        <v>41</v>
      </c>
      <c r="F87" t="s">
        <v>1100</v>
      </c>
      <c r="G87">
        <v>9</v>
      </c>
    </row>
    <row r="88" spans="1:7" x14ac:dyDescent="0.25">
      <c r="A88" t="s">
        <v>1084</v>
      </c>
      <c r="B88">
        <v>17</v>
      </c>
      <c r="C88">
        <v>0</v>
      </c>
      <c r="D88">
        <v>44</v>
      </c>
      <c r="F88" t="s">
        <v>1101</v>
      </c>
      <c r="G88">
        <v>3</v>
      </c>
    </row>
    <row r="89" spans="1:7" x14ac:dyDescent="0.25">
      <c r="A89" t="s">
        <v>1085</v>
      </c>
      <c r="B89">
        <v>8</v>
      </c>
      <c r="C89">
        <v>2</v>
      </c>
      <c r="D89">
        <v>37</v>
      </c>
      <c r="F89" t="s">
        <v>1102</v>
      </c>
      <c r="G89">
        <v>18</v>
      </c>
    </row>
    <row r="90" spans="1:7" x14ac:dyDescent="0.25">
      <c r="A90" t="s">
        <v>1086</v>
      </c>
      <c r="B90">
        <v>7</v>
      </c>
      <c r="C90">
        <v>1</v>
      </c>
      <c r="D90">
        <v>23</v>
      </c>
      <c r="F90" t="s">
        <v>1103</v>
      </c>
      <c r="G90">
        <v>7</v>
      </c>
    </row>
    <row r="91" spans="1:7" x14ac:dyDescent="0.25">
      <c r="A91" t="s">
        <v>1087</v>
      </c>
      <c r="B91">
        <v>22</v>
      </c>
      <c r="C91">
        <v>1</v>
      </c>
      <c r="D91">
        <v>46</v>
      </c>
      <c r="F91" t="s">
        <v>1104</v>
      </c>
      <c r="G91">
        <v>3</v>
      </c>
    </row>
    <row r="92" spans="1:7" x14ac:dyDescent="0.25">
      <c r="A92" t="s">
        <v>1088</v>
      </c>
      <c r="B92">
        <v>15</v>
      </c>
      <c r="C92">
        <v>0</v>
      </c>
      <c r="D92">
        <v>47</v>
      </c>
      <c r="F92" t="s">
        <v>1105</v>
      </c>
      <c r="G92">
        <v>29</v>
      </c>
    </row>
    <row r="93" spans="1:7" x14ac:dyDescent="0.25">
      <c r="A93" t="s">
        <v>1089</v>
      </c>
      <c r="B93">
        <v>8</v>
      </c>
      <c r="C93">
        <v>2</v>
      </c>
      <c r="D93">
        <v>32</v>
      </c>
      <c r="F93" t="s">
        <v>1106</v>
      </c>
      <c r="G93">
        <v>11</v>
      </c>
    </row>
    <row r="94" spans="1:7" x14ac:dyDescent="0.25">
      <c r="A94" t="s">
        <v>1090</v>
      </c>
      <c r="B94">
        <v>16</v>
      </c>
      <c r="C94">
        <v>0</v>
      </c>
      <c r="D94">
        <v>40</v>
      </c>
      <c r="F94" t="s">
        <v>1107</v>
      </c>
      <c r="G94">
        <v>11</v>
      </c>
    </row>
    <row r="95" spans="1:7" x14ac:dyDescent="0.25">
      <c r="A95" t="s">
        <v>1091</v>
      </c>
      <c r="B95">
        <v>24</v>
      </c>
      <c r="C95">
        <v>3</v>
      </c>
      <c r="D95">
        <v>66</v>
      </c>
      <c r="F95" t="s">
        <v>1108</v>
      </c>
      <c r="G95">
        <v>2</v>
      </c>
    </row>
    <row r="96" spans="1:7" x14ac:dyDescent="0.25">
      <c r="A96" t="s">
        <v>1092</v>
      </c>
      <c r="B96">
        <v>26</v>
      </c>
      <c r="C96">
        <v>1</v>
      </c>
      <c r="D96">
        <v>72</v>
      </c>
      <c r="F96" t="s">
        <v>1109</v>
      </c>
      <c r="G96">
        <v>29</v>
      </c>
    </row>
    <row r="97" spans="1:7" x14ac:dyDescent="0.25">
      <c r="A97" t="s">
        <v>1093</v>
      </c>
      <c r="B97">
        <v>20</v>
      </c>
      <c r="C97">
        <v>1</v>
      </c>
      <c r="D97">
        <v>78</v>
      </c>
      <c r="F97" t="s">
        <v>1110</v>
      </c>
      <c r="G97">
        <v>26</v>
      </c>
    </row>
    <row r="98" spans="1:7" x14ac:dyDescent="0.25">
      <c r="A98" t="s">
        <v>1094</v>
      </c>
      <c r="B98">
        <v>14</v>
      </c>
      <c r="C98">
        <v>1</v>
      </c>
      <c r="D98">
        <v>54</v>
      </c>
      <c r="F98" t="s">
        <v>1111</v>
      </c>
      <c r="G98">
        <v>8</v>
      </c>
    </row>
    <row r="99" spans="1:7" x14ac:dyDescent="0.25">
      <c r="A99" t="s">
        <v>1095</v>
      </c>
      <c r="B99">
        <v>24</v>
      </c>
      <c r="C99">
        <v>2</v>
      </c>
      <c r="D99">
        <v>89</v>
      </c>
      <c r="F99" t="s">
        <v>1112</v>
      </c>
      <c r="G99">
        <v>2</v>
      </c>
    </row>
    <row r="100" spans="1:7" x14ac:dyDescent="0.25">
      <c r="A100" t="s">
        <v>1096</v>
      </c>
      <c r="B100">
        <v>22</v>
      </c>
      <c r="C100">
        <v>3</v>
      </c>
      <c r="D100">
        <v>50</v>
      </c>
      <c r="F100" t="s">
        <v>1113</v>
      </c>
      <c r="G100">
        <v>9</v>
      </c>
    </row>
    <row r="101" spans="1:7" x14ac:dyDescent="0.25">
      <c r="A101" t="s">
        <v>1097</v>
      </c>
      <c r="B101">
        <v>18</v>
      </c>
      <c r="C101">
        <v>0</v>
      </c>
      <c r="D101">
        <v>48</v>
      </c>
      <c r="F101" t="s">
        <v>1114</v>
      </c>
      <c r="G101">
        <v>1</v>
      </c>
    </row>
    <row r="102" spans="1:7" x14ac:dyDescent="0.25">
      <c r="A102" t="s">
        <v>1098</v>
      </c>
      <c r="B102">
        <v>41</v>
      </c>
      <c r="C102">
        <v>0</v>
      </c>
      <c r="D102">
        <v>82</v>
      </c>
      <c r="F102" t="s">
        <v>1115</v>
      </c>
      <c r="G102">
        <v>15</v>
      </c>
    </row>
    <row r="103" spans="1:7" x14ac:dyDescent="0.25">
      <c r="A103" t="s">
        <v>1099</v>
      </c>
      <c r="B103">
        <v>8</v>
      </c>
      <c r="C103">
        <v>0</v>
      </c>
      <c r="D103">
        <v>38</v>
      </c>
      <c r="F103" t="s">
        <v>1116</v>
      </c>
      <c r="G103">
        <v>36</v>
      </c>
    </row>
    <row r="104" spans="1:7" x14ac:dyDescent="0.25">
      <c r="A104" t="s">
        <v>1100</v>
      </c>
      <c r="B104">
        <v>18</v>
      </c>
      <c r="C104">
        <v>2</v>
      </c>
      <c r="D104">
        <v>71</v>
      </c>
      <c r="F104" t="s">
        <v>1117</v>
      </c>
      <c r="G104">
        <v>8</v>
      </c>
    </row>
    <row r="105" spans="1:7" x14ac:dyDescent="0.25">
      <c r="A105" t="s">
        <v>1101</v>
      </c>
      <c r="B105">
        <v>13</v>
      </c>
      <c r="C105">
        <v>7</v>
      </c>
      <c r="D105">
        <v>50</v>
      </c>
      <c r="F105" t="s">
        <v>1118</v>
      </c>
      <c r="G105">
        <v>12</v>
      </c>
    </row>
    <row r="106" spans="1:7" x14ac:dyDescent="0.25">
      <c r="A106" t="s">
        <v>1102</v>
      </c>
      <c r="B106">
        <v>21</v>
      </c>
      <c r="C106">
        <v>3</v>
      </c>
      <c r="D106">
        <v>77</v>
      </c>
      <c r="F106" t="s">
        <v>1119</v>
      </c>
      <c r="G106">
        <v>1</v>
      </c>
    </row>
    <row r="107" spans="1:7" x14ac:dyDescent="0.25">
      <c r="A107" t="s">
        <v>1103</v>
      </c>
      <c r="B107">
        <v>7</v>
      </c>
      <c r="C107">
        <v>1</v>
      </c>
      <c r="D107">
        <v>40</v>
      </c>
      <c r="F107" t="s">
        <v>1120</v>
      </c>
      <c r="G107">
        <v>21</v>
      </c>
    </row>
    <row r="108" spans="1:7" x14ac:dyDescent="0.25">
      <c r="A108" t="s">
        <v>1104</v>
      </c>
      <c r="B108">
        <v>11</v>
      </c>
      <c r="C108">
        <v>1</v>
      </c>
      <c r="D108">
        <v>47</v>
      </c>
      <c r="F108" t="s">
        <v>1121</v>
      </c>
      <c r="G108">
        <v>12</v>
      </c>
    </row>
    <row r="109" spans="1:7" x14ac:dyDescent="0.25">
      <c r="A109" t="s">
        <v>1105</v>
      </c>
      <c r="B109">
        <v>14</v>
      </c>
      <c r="C109">
        <v>3</v>
      </c>
      <c r="D109">
        <v>90</v>
      </c>
      <c r="F109" t="s">
        <v>1122</v>
      </c>
      <c r="G109">
        <v>7</v>
      </c>
    </row>
    <row r="110" spans="1:7" x14ac:dyDescent="0.25">
      <c r="A110" t="s">
        <v>1106</v>
      </c>
      <c r="B110">
        <v>33</v>
      </c>
      <c r="C110">
        <v>0</v>
      </c>
      <c r="D110">
        <v>81</v>
      </c>
      <c r="F110" t="s">
        <v>1123</v>
      </c>
      <c r="G110">
        <v>4</v>
      </c>
    </row>
    <row r="111" spans="1:7" x14ac:dyDescent="0.25">
      <c r="A111" t="s">
        <v>1107</v>
      </c>
      <c r="B111">
        <v>16</v>
      </c>
      <c r="C111">
        <v>5</v>
      </c>
      <c r="D111">
        <v>55</v>
      </c>
      <c r="F111" t="s">
        <v>1124</v>
      </c>
      <c r="G111">
        <v>6</v>
      </c>
    </row>
    <row r="112" spans="1:7" x14ac:dyDescent="0.25">
      <c r="A112" t="s">
        <v>1108</v>
      </c>
      <c r="B112">
        <v>6</v>
      </c>
      <c r="C112">
        <v>1</v>
      </c>
      <c r="D112">
        <v>30</v>
      </c>
      <c r="F112" t="s">
        <v>1125</v>
      </c>
      <c r="G112">
        <v>3</v>
      </c>
    </row>
    <row r="113" spans="1:7" x14ac:dyDescent="0.25">
      <c r="A113" t="s">
        <v>1109</v>
      </c>
      <c r="B113">
        <v>16</v>
      </c>
      <c r="C113">
        <v>3</v>
      </c>
      <c r="D113">
        <v>65</v>
      </c>
      <c r="F113" t="s">
        <v>1126</v>
      </c>
      <c r="G113">
        <v>19</v>
      </c>
    </row>
    <row r="114" spans="1:7" x14ac:dyDescent="0.25">
      <c r="A114" t="s">
        <v>1110</v>
      </c>
      <c r="B114">
        <v>23</v>
      </c>
      <c r="C114">
        <v>0</v>
      </c>
      <c r="D114">
        <v>78</v>
      </c>
      <c r="F114" t="s">
        <v>1127</v>
      </c>
      <c r="G114">
        <v>5</v>
      </c>
    </row>
    <row r="115" spans="1:7" x14ac:dyDescent="0.25">
      <c r="A115" t="s">
        <v>1111</v>
      </c>
      <c r="B115">
        <v>11</v>
      </c>
      <c r="C115">
        <v>0</v>
      </c>
      <c r="D115">
        <v>30</v>
      </c>
      <c r="F115" t="s">
        <v>1128</v>
      </c>
      <c r="G115">
        <v>7</v>
      </c>
    </row>
    <row r="116" spans="1:7" x14ac:dyDescent="0.25">
      <c r="A116" t="s">
        <v>1112</v>
      </c>
      <c r="B116">
        <v>18</v>
      </c>
      <c r="C116">
        <v>0</v>
      </c>
      <c r="D116">
        <v>53</v>
      </c>
      <c r="F116" t="s">
        <v>1129</v>
      </c>
      <c r="G116">
        <v>58</v>
      </c>
    </row>
    <row r="117" spans="1:7" x14ac:dyDescent="0.25">
      <c r="A117" t="s">
        <v>1113</v>
      </c>
      <c r="B117">
        <v>26</v>
      </c>
      <c r="C117">
        <v>0</v>
      </c>
      <c r="D117">
        <v>72</v>
      </c>
      <c r="F117" t="s">
        <v>1130</v>
      </c>
      <c r="G117">
        <v>10</v>
      </c>
    </row>
    <row r="118" spans="1:7" x14ac:dyDescent="0.25">
      <c r="A118" t="s">
        <v>1114</v>
      </c>
      <c r="B118">
        <v>8</v>
      </c>
      <c r="C118">
        <v>3</v>
      </c>
      <c r="D118">
        <v>29</v>
      </c>
      <c r="F118" t="s">
        <v>1131</v>
      </c>
      <c r="G118">
        <v>5</v>
      </c>
    </row>
    <row r="119" spans="1:7" x14ac:dyDescent="0.25">
      <c r="A119" t="s">
        <v>1115</v>
      </c>
      <c r="B119">
        <v>18</v>
      </c>
      <c r="C119">
        <v>0</v>
      </c>
      <c r="D119">
        <v>64</v>
      </c>
      <c r="F119" t="s">
        <v>1133</v>
      </c>
      <c r="G119">
        <v>23</v>
      </c>
    </row>
    <row r="120" spans="1:7" x14ac:dyDescent="0.25">
      <c r="A120" t="s">
        <v>1116</v>
      </c>
      <c r="B120">
        <v>19</v>
      </c>
      <c r="C120">
        <v>0</v>
      </c>
      <c r="D120">
        <v>89</v>
      </c>
      <c r="F120" t="s">
        <v>1134</v>
      </c>
      <c r="G120">
        <v>8</v>
      </c>
    </row>
    <row r="121" spans="1:7" x14ac:dyDescent="0.25">
      <c r="A121" t="s">
        <v>1117</v>
      </c>
      <c r="B121">
        <v>18</v>
      </c>
      <c r="C121">
        <v>1</v>
      </c>
      <c r="D121">
        <v>77</v>
      </c>
      <c r="F121" t="s">
        <v>1135</v>
      </c>
      <c r="G121">
        <v>5</v>
      </c>
    </row>
    <row r="122" spans="1:7" x14ac:dyDescent="0.25">
      <c r="A122" t="s">
        <v>1118</v>
      </c>
      <c r="B122">
        <v>35</v>
      </c>
      <c r="C122">
        <v>0</v>
      </c>
      <c r="D122">
        <v>115</v>
      </c>
      <c r="F122" t="s">
        <v>1136</v>
      </c>
      <c r="G122">
        <v>27</v>
      </c>
    </row>
    <row r="123" spans="1:7" x14ac:dyDescent="0.25">
      <c r="A123" t="s">
        <v>1119</v>
      </c>
      <c r="B123">
        <v>11</v>
      </c>
      <c r="C123">
        <v>1</v>
      </c>
      <c r="D123">
        <v>59</v>
      </c>
      <c r="F123" t="s">
        <v>1137</v>
      </c>
      <c r="G123">
        <v>9</v>
      </c>
    </row>
    <row r="124" spans="1:7" x14ac:dyDescent="0.25">
      <c r="A124" t="s">
        <v>1120</v>
      </c>
      <c r="B124">
        <v>32</v>
      </c>
      <c r="C124">
        <v>4</v>
      </c>
      <c r="D124">
        <v>92</v>
      </c>
      <c r="F124" t="s">
        <v>1138</v>
      </c>
      <c r="G124">
        <v>5</v>
      </c>
    </row>
    <row r="125" spans="1:7" x14ac:dyDescent="0.25">
      <c r="A125" t="s">
        <v>1121</v>
      </c>
      <c r="B125">
        <v>20</v>
      </c>
      <c r="C125">
        <v>0</v>
      </c>
      <c r="D125">
        <v>82</v>
      </c>
      <c r="F125" t="s">
        <v>1139</v>
      </c>
      <c r="G125">
        <v>8</v>
      </c>
    </row>
    <row r="126" spans="1:7" x14ac:dyDescent="0.25">
      <c r="A126" t="s">
        <v>1122</v>
      </c>
      <c r="B126">
        <v>21</v>
      </c>
      <c r="C126">
        <v>0</v>
      </c>
      <c r="D126">
        <v>64</v>
      </c>
      <c r="F126" t="s">
        <v>1140</v>
      </c>
      <c r="G126">
        <v>9</v>
      </c>
    </row>
    <row r="127" spans="1:7" x14ac:dyDescent="0.25">
      <c r="A127" t="s">
        <v>1123</v>
      </c>
      <c r="B127">
        <v>18</v>
      </c>
      <c r="C127">
        <v>0</v>
      </c>
      <c r="D127">
        <v>80</v>
      </c>
      <c r="F127" t="s">
        <v>1141</v>
      </c>
      <c r="G127">
        <v>24</v>
      </c>
    </row>
    <row r="128" spans="1:7" x14ac:dyDescent="0.25">
      <c r="A128" t="s">
        <v>1124</v>
      </c>
      <c r="B128">
        <v>9</v>
      </c>
      <c r="C128">
        <v>1</v>
      </c>
      <c r="D128">
        <v>45</v>
      </c>
      <c r="F128" t="s">
        <v>1142</v>
      </c>
      <c r="G128">
        <v>54</v>
      </c>
    </row>
    <row r="129" spans="1:7" x14ac:dyDescent="0.25">
      <c r="A129" t="s">
        <v>1125</v>
      </c>
      <c r="B129">
        <v>17</v>
      </c>
      <c r="C129">
        <v>0</v>
      </c>
      <c r="D129">
        <v>55</v>
      </c>
      <c r="F129" t="s">
        <v>1143</v>
      </c>
      <c r="G129">
        <v>4</v>
      </c>
    </row>
    <row r="130" spans="1:7" x14ac:dyDescent="0.25">
      <c r="A130" t="s">
        <v>1126</v>
      </c>
      <c r="B130">
        <v>23</v>
      </c>
      <c r="C130">
        <v>3</v>
      </c>
      <c r="D130">
        <v>88</v>
      </c>
      <c r="F130" t="s">
        <v>1144</v>
      </c>
      <c r="G130">
        <v>15</v>
      </c>
    </row>
    <row r="131" spans="1:7" x14ac:dyDescent="0.25">
      <c r="A131" t="s">
        <v>1127</v>
      </c>
      <c r="B131">
        <v>16</v>
      </c>
      <c r="C131">
        <v>7</v>
      </c>
      <c r="D131">
        <v>93</v>
      </c>
      <c r="F131" t="s">
        <v>1145</v>
      </c>
      <c r="G131">
        <v>27</v>
      </c>
    </row>
    <row r="132" spans="1:7" x14ac:dyDescent="0.25">
      <c r="A132" t="s">
        <v>1128</v>
      </c>
      <c r="B132">
        <v>11</v>
      </c>
      <c r="C132">
        <v>1</v>
      </c>
      <c r="D132">
        <v>68</v>
      </c>
      <c r="F132" t="s">
        <v>1146</v>
      </c>
      <c r="G132">
        <v>3</v>
      </c>
    </row>
    <row r="133" spans="1:7" x14ac:dyDescent="0.25">
      <c r="A133" t="s">
        <v>1129</v>
      </c>
      <c r="B133">
        <v>23</v>
      </c>
      <c r="C133">
        <v>0</v>
      </c>
      <c r="D133">
        <v>145</v>
      </c>
      <c r="F133" t="s">
        <v>1147</v>
      </c>
      <c r="G133">
        <v>3</v>
      </c>
    </row>
    <row r="134" spans="1:7" x14ac:dyDescent="0.25">
      <c r="A134" t="s">
        <v>1130</v>
      </c>
      <c r="B134">
        <v>8</v>
      </c>
      <c r="C134">
        <v>1</v>
      </c>
      <c r="D134">
        <v>59</v>
      </c>
      <c r="F134" t="s">
        <v>1148</v>
      </c>
      <c r="G134">
        <v>4</v>
      </c>
    </row>
    <row r="135" spans="1:7" x14ac:dyDescent="0.25">
      <c r="A135" t="s">
        <v>1131</v>
      </c>
      <c r="B135">
        <v>13</v>
      </c>
      <c r="C135">
        <v>1</v>
      </c>
      <c r="D135">
        <v>43</v>
      </c>
      <c r="F135" t="s">
        <v>1149</v>
      </c>
      <c r="G135">
        <v>9</v>
      </c>
    </row>
    <row r="136" spans="1:7" x14ac:dyDescent="0.25">
      <c r="A136" t="s">
        <v>1132</v>
      </c>
      <c r="B136">
        <v>22</v>
      </c>
      <c r="C136">
        <v>4</v>
      </c>
      <c r="D136">
        <v>52</v>
      </c>
      <c r="F136" t="s">
        <v>1150</v>
      </c>
      <c r="G136">
        <v>1</v>
      </c>
    </row>
    <row r="137" spans="1:7" x14ac:dyDescent="0.25">
      <c r="A137" t="s">
        <v>1133</v>
      </c>
      <c r="B137">
        <v>30</v>
      </c>
      <c r="C137">
        <v>0</v>
      </c>
      <c r="D137">
        <v>118</v>
      </c>
      <c r="F137" t="s">
        <v>1151</v>
      </c>
      <c r="G137">
        <v>11</v>
      </c>
    </row>
    <row r="138" spans="1:7" x14ac:dyDescent="0.25">
      <c r="A138" t="s">
        <v>1134</v>
      </c>
      <c r="B138">
        <v>39</v>
      </c>
      <c r="C138">
        <v>1</v>
      </c>
      <c r="D138">
        <v>146</v>
      </c>
      <c r="F138" t="s">
        <v>1152</v>
      </c>
      <c r="G138">
        <v>12</v>
      </c>
    </row>
    <row r="139" spans="1:7" x14ac:dyDescent="0.25">
      <c r="A139" t="s">
        <v>1135</v>
      </c>
      <c r="B139">
        <v>19</v>
      </c>
      <c r="C139">
        <v>1</v>
      </c>
      <c r="D139">
        <v>69</v>
      </c>
      <c r="F139" t="s">
        <v>1153</v>
      </c>
      <c r="G139">
        <v>28</v>
      </c>
    </row>
    <row r="140" spans="1:7" x14ac:dyDescent="0.25">
      <c r="A140" t="s">
        <v>1136</v>
      </c>
      <c r="B140">
        <v>38</v>
      </c>
      <c r="C140">
        <v>1</v>
      </c>
      <c r="D140">
        <v>218</v>
      </c>
      <c r="F140" t="s">
        <v>1154</v>
      </c>
      <c r="G140">
        <v>19</v>
      </c>
    </row>
    <row r="141" spans="1:7" x14ac:dyDescent="0.25">
      <c r="A141" t="s">
        <v>1137</v>
      </c>
      <c r="B141">
        <v>42</v>
      </c>
      <c r="C141">
        <v>0</v>
      </c>
      <c r="D141">
        <v>121</v>
      </c>
      <c r="F141" t="s">
        <v>1155</v>
      </c>
      <c r="G141">
        <v>2</v>
      </c>
    </row>
    <row r="142" spans="1:7" x14ac:dyDescent="0.25">
      <c r="A142" t="s">
        <v>1138</v>
      </c>
      <c r="B142">
        <v>29</v>
      </c>
      <c r="C142">
        <v>2</v>
      </c>
      <c r="D142">
        <v>75</v>
      </c>
      <c r="F142" t="s">
        <v>1156</v>
      </c>
      <c r="G142">
        <v>2</v>
      </c>
    </row>
    <row r="143" spans="1:7" x14ac:dyDescent="0.25">
      <c r="A143" t="s">
        <v>1139</v>
      </c>
      <c r="B143">
        <v>42</v>
      </c>
      <c r="C143">
        <v>0</v>
      </c>
      <c r="D143">
        <v>155</v>
      </c>
      <c r="F143" t="s">
        <v>1157</v>
      </c>
      <c r="G143">
        <v>11</v>
      </c>
    </row>
    <row r="144" spans="1:7" x14ac:dyDescent="0.25">
      <c r="A144" t="s">
        <v>1140</v>
      </c>
      <c r="B144">
        <v>32</v>
      </c>
      <c r="C144">
        <v>1</v>
      </c>
      <c r="D144">
        <v>125</v>
      </c>
      <c r="F144" t="s">
        <v>1158</v>
      </c>
      <c r="G144">
        <v>8</v>
      </c>
    </row>
    <row r="145" spans="1:7" x14ac:dyDescent="0.25">
      <c r="A145" t="s">
        <v>1141</v>
      </c>
      <c r="B145">
        <v>45</v>
      </c>
      <c r="C145">
        <v>1</v>
      </c>
      <c r="D145">
        <v>193</v>
      </c>
      <c r="F145" t="s">
        <v>1159</v>
      </c>
      <c r="G145">
        <v>14</v>
      </c>
    </row>
    <row r="146" spans="1:7" x14ac:dyDescent="0.25">
      <c r="A146" t="s">
        <v>1142</v>
      </c>
      <c r="B146">
        <v>3</v>
      </c>
      <c r="C146">
        <v>0</v>
      </c>
      <c r="D146">
        <v>91</v>
      </c>
      <c r="F146" t="s">
        <v>1160</v>
      </c>
      <c r="G146">
        <v>6</v>
      </c>
    </row>
    <row r="147" spans="1:7" x14ac:dyDescent="0.25">
      <c r="A147" t="s">
        <v>1143</v>
      </c>
      <c r="B147">
        <v>78</v>
      </c>
      <c r="C147">
        <v>0</v>
      </c>
      <c r="D147">
        <v>141</v>
      </c>
      <c r="F147" t="s">
        <v>1161</v>
      </c>
      <c r="G147">
        <v>5</v>
      </c>
    </row>
    <row r="148" spans="1:7" x14ac:dyDescent="0.25">
      <c r="A148" t="s">
        <v>1144</v>
      </c>
      <c r="B148">
        <v>26</v>
      </c>
      <c r="C148">
        <v>1</v>
      </c>
      <c r="D148">
        <v>125</v>
      </c>
      <c r="F148" t="s">
        <v>1162</v>
      </c>
      <c r="G148">
        <v>2</v>
      </c>
    </row>
    <row r="149" spans="1:7" x14ac:dyDescent="0.25">
      <c r="A149" t="s">
        <v>1145</v>
      </c>
      <c r="B149">
        <v>55</v>
      </c>
      <c r="C149">
        <v>8</v>
      </c>
      <c r="D149">
        <v>201</v>
      </c>
      <c r="F149" t="s">
        <v>1163</v>
      </c>
      <c r="G149">
        <v>10</v>
      </c>
    </row>
    <row r="150" spans="1:7" x14ac:dyDescent="0.25">
      <c r="A150" t="s">
        <v>1146</v>
      </c>
      <c r="B150">
        <v>64</v>
      </c>
      <c r="C150">
        <v>1</v>
      </c>
      <c r="D150">
        <v>94</v>
      </c>
      <c r="F150" t="s">
        <v>1164</v>
      </c>
      <c r="G150">
        <v>4</v>
      </c>
    </row>
    <row r="151" spans="1:7" x14ac:dyDescent="0.25">
      <c r="A151" t="s">
        <v>1147</v>
      </c>
      <c r="B151">
        <v>52</v>
      </c>
      <c r="C151">
        <v>2</v>
      </c>
      <c r="D151">
        <v>106</v>
      </c>
      <c r="F151" t="s">
        <v>1165</v>
      </c>
      <c r="G151">
        <v>3</v>
      </c>
    </row>
    <row r="152" spans="1:7" x14ac:dyDescent="0.25">
      <c r="A152" t="s">
        <v>1148</v>
      </c>
      <c r="B152">
        <v>18</v>
      </c>
      <c r="C152">
        <v>0</v>
      </c>
      <c r="D152">
        <v>62</v>
      </c>
      <c r="F152" t="s">
        <v>1166</v>
      </c>
      <c r="G152">
        <v>12</v>
      </c>
    </row>
    <row r="153" spans="1:7" x14ac:dyDescent="0.25">
      <c r="A153" t="s">
        <v>1149</v>
      </c>
      <c r="B153">
        <v>24</v>
      </c>
      <c r="C153">
        <v>0</v>
      </c>
      <c r="D153">
        <v>100</v>
      </c>
      <c r="F153" t="s">
        <v>1167</v>
      </c>
      <c r="G153">
        <v>9</v>
      </c>
    </row>
    <row r="154" spans="1:7" x14ac:dyDescent="0.25">
      <c r="A154" t="s">
        <v>1150</v>
      </c>
      <c r="B154">
        <v>31</v>
      </c>
      <c r="C154">
        <v>0</v>
      </c>
      <c r="D154">
        <v>69</v>
      </c>
      <c r="F154" t="s">
        <v>1168</v>
      </c>
      <c r="G154">
        <v>3</v>
      </c>
    </row>
    <row r="155" spans="1:7" x14ac:dyDescent="0.25">
      <c r="A155" t="s">
        <v>1151</v>
      </c>
      <c r="B155">
        <v>32</v>
      </c>
      <c r="C155">
        <v>1</v>
      </c>
      <c r="D155">
        <v>150</v>
      </c>
      <c r="F155" t="s">
        <v>1169</v>
      </c>
      <c r="G155">
        <v>9</v>
      </c>
    </row>
    <row r="156" spans="1:7" x14ac:dyDescent="0.25">
      <c r="A156" t="s">
        <v>1152</v>
      </c>
      <c r="B156">
        <v>92</v>
      </c>
      <c r="C156">
        <v>3</v>
      </c>
      <c r="D156">
        <v>229</v>
      </c>
      <c r="F156" t="s">
        <v>1170</v>
      </c>
      <c r="G156">
        <v>25</v>
      </c>
    </row>
    <row r="157" spans="1:7" x14ac:dyDescent="0.25">
      <c r="A157" t="s">
        <v>1153</v>
      </c>
      <c r="B157">
        <v>89</v>
      </c>
      <c r="C157">
        <v>2</v>
      </c>
      <c r="D157">
        <v>252</v>
      </c>
      <c r="F157" t="s">
        <v>1171</v>
      </c>
      <c r="G157">
        <v>27</v>
      </c>
    </row>
    <row r="158" spans="1:7" x14ac:dyDescent="0.25">
      <c r="A158" t="s">
        <v>1154</v>
      </c>
      <c r="B158">
        <v>51</v>
      </c>
      <c r="C158">
        <v>3</v>
      </c>
      <c r="D158">
        <v>235</v>
      </c>
      <c r="F158" t="s">
        <v>1172</v>
      </c>
      <c r="G158">
        <v>31</v>
      </c>
    </row>
    <row r="159" spans="1:7" x14ac:dyDescent="0.25">
      <c r="A159" t="s">
        <v>1155</v>
      </c>
      <c r="B159">
        <v>11</v>
      </c>
      <c r="C159">
        <v>1</v>
      </c>
      <c r="D159">
        <v>35</v>
      </c>
      <c r="F159" t="s">
        <v>1173</v>
      </c>
      <c r="G159">
        <v>20</v>
      </c>
    </row>
    <row r="160" spans="1:7" x14ac:dyDescent="0.25">
      <c r="A160" t="s">
        <v>1156</v>
      </c>
      <c r="B160">
        <v>24</v>
      </c>
      <c r="C160">
        <v>0</v>
      </c>
      <c r="D160">
        <v>55</v>
      </c>
      <c r="F160" t="s">
        <v>1174</v>
      </c>
      <c r="G160">
        <v>34</v>
      </c>
    </row>
    <row r="161" spans="1:7" x14ac:dyDescent="0.25">
      <c r="A161" t="s">
        <v>1157</v>
      </c>
      <c r="B161">
        <v>13</v>
      </c>
      <c r="C161">
        <v>0</v>
      </c>
      <c r="D161">
        <v>66</v>
      </c>
      <c r="F161" t="s">
        <v>1175</v>
      </c>
      <c r="G161">
        <v>11</v>
      </c>
    </row>
    <row r="162" spans="1:7" x14ac:dyDescent="0.25">
      <c r="A162" t="s">
        <v>1158</v>
      </c>
      <c r="B162">
        <v>17</v>
      </c>
      <c r="C162">
        <v>6</v>
      </c>
      <c r="D162">
        <v>69</v>
      </c>
      <c r="F162" t="s">
        <v>1176</v>
      </c>
      <c r="G162">
        <v>15</v>
      </c>
    </row>
    <row r="163" spans="1:7" x14ac:dyDescent="0.25">
      <c r="A163" t="s">
        <v>1159</v>
      </c>
      <c r="B163">
        <v>28</v>
      </c>
      <c r="C163">
        <v>5</v>
      </c>
      <c r="D163">
        <v>104</v>
      </c>
      <c r="F163" t="s">
        <v>1177</v>
      </c>
      <c r="G163">
        <v>7</v>
      </c>
    </row>
    <row r="164" spans="1:7" x14ac:dyDescent="0.25">
      <c r="A164" t="s">
        <v>1160</v>
      </c>
      <c r="B164">
        <v>18</v>
      </c>
      <c r="C164">
        <v>5</v>
      </c>
      <c r="D164">
        <v>92</v>
      </c>
      <c r="F164" t="s">
        <v>1178</v>
      </c>
      <c r="G164">
        <v>6</v>
      </c>
    </row>
    <row r="165" spans="1:7" x14ac:dyDescent="0.25">
      <c r="A165" t="s">
        <v>1161</v>
      </c>
      <c r="B165">
        <v>24</v>
      </c>
      <c r="C165">
        <v>2</v>
      </c>
      <c r="D165">
        <v>82</v>
      </c>
      <c r="F165" t="s">
        <v>1179</v>
      </c>
      <c r="G165">
        <v>43</v>
      </c>
    </row>
    <row r="166" spans="1:7" x14ac:dyDescent="0.25">
      <c r="A166" t="s">
        <v>1162</v>
      </c>
      <c r="B166">
        <v>24</v>
      </c>
      <c r="C166">
        <v>1</v>
      </c>
      <c r="D166">
        <v>70</v>
      </c>
      <c r="F166" t="s">
        <v>1180</v>
      </c>
      <c r="G166">
        <v>10</v>
      </c>
    </row>
    <row r="167" spans="1:7" x14ac:dyDescent="0.25">
      <c r="A167" t="s">
        <v>1163</v>
      </c>
      <c r="B167">
        <v>12</v>
      </c>
      <c r="C167">
        <v>1</v>
      </c>
      <c r="D167">
        <v>64</v>
      </c>
      <c r="F167" t="s">
        <v>1181</v>
      </c>
      <c r="G167">
        <v>2</v>
      </c>
    </row>
    <row r="168" spans="1:7" x14ac:dyDescent="0.25">
      <c r="A168" t="s">
        <v>1164</v>
      </c>
      <c r="B168">
        <v>33</v>
      </c>
      <c r="C168">
        <v>2</v>
      </c>
      <c r="D168">
        <v>58</v>
      </c>
      <c r="F168" t="s">
        <v>1182</v>
      </c>
      <c r="G168">
        <v>4</v>
      </c>
    </row>
    <row r="169" spans="1:7" x14ac:dyDescent="0.25">
      <c r="A169" t="s">
        <v>1165</v>
      </c>
      <c r="B169">
        <v>9</v>
      </c>
      <c r="C169">
        <v>2</v>
      </c>
      <c r="D169">
        <v>41</v>
      </c>
      <c r="F169" t="s">
        <v>1183</v>
      </c>
      <c r="G169">
        <v>13</v>
      </c>
    </row>
    <row r="170" spans="1:7" x14ac:dyDescent="0.25">
      <c r="A170" t="s">
        <v>1166</v>
      </c>
      <c r="B170">
        <v>15</v>
      </c>
      <c r="C170">
        <v>2</v>
      </c>
      <c r="D170">
        <v>85</v>
      </c>
      <c r="F170" t="s">
        <v>1184</v>
      </c>
      <c r="G170">
        <v>19</v>
      </c>
    </row>
    <row r="171" spans="1:7" x14ac:dyDescent="0.25">
      <c r="A171" t="s">
        <v>1167</v>
      </c>
      <c r="B171">
        <v>18</v>
      </c>
      <c r="C171">
        <v>4</v>
      </c>
      <c r="D171">
        <v>108</v>
      </c>
      <c r="F171" t="s">
        <v>1185</v>
      </c>
      <c r="G171">
        <v>51</v>
      </c>
    </row>
    <row r="172" spans="1:7" x14ac:dyDescent="0.25">
      <c r="A172" t="s">
        <v>1168</v>
      </c>
      <c r="B172">
        <v>22</v>
      </c>
      <c r="C172">
        <v>4</v>
      </c>
      <c r="D172">
        <v>53</v>
      </c>
      <c r="F172" t="s">
        <v>1186</v>
      </c>
      <c r="G172">
        <v>15</v>
      </c>
    </row>
    <row r="173" spans="1:7" x14ac:dyDescent="0.25">
      <c r="A173" t="s">
        <v>1169</v>
      </c>
      <c r="B173">
        <v>13</v>
      </c>
      <c r="C173">
        <v>1</v>
      </c>
      <c r="D173">
        <v>51</v>
      </c>
      <c r="F173" t="s">
        <v>1187</v>
      </c>
      <c r="G173">
        <v>13</v>
      </c>
    </row>
    <row r="174" spans="1:7" x14ac:dyDescent="0.25">
      <c r="A174" t="s">
        <v>1170</v>
      </c>
      <c r="B174">
        <v>24</v>
      </c>
      <c r="C174">
        <v>2</v>
      </c>
      <c r="D174">
        <v>77</v>
      </c>
      <c r="F174" t="s">
        <v>1188</v>
      </c>
      <c r="G174">
        <v>24</v>
      </c>
    </row>
    <row r="175" spans="1:7" x14ac:dyDescent="0.25">
      <c r="A175" t="s">
        <v>1171</v>
      </c>
      <c r="B175">
        <v>29</v>
      </c>
      <c r="C175">
        <v>1</v>
      </c>
      <c r="D175">
        <v>119</v>
      </c>
      <c r="F175" t="s">
        <v>1189</v>
      </c>
      <c r="G175">
        <v>9</v>
      </c>
    </row>
    <row r="176" spans="1:7" x14ac:dyDescent="0.25">
      <c r="A176" t="s">
        <v>1172</v>
      </c>
      <c r="B176">
        <v>45</v>
      </c>
      <c r="C176">
        <v>3</v>
      </c>
      <c r="D176">
        <v>150</v>
      </c>
      <c r="F176" t="s">
        <v>1190</v>
      </c>
      <c r="G176">
        <v>34</v>
      </c>
    </row>
    <row r="177" spans="1:7" x14ac:dyDescent="0.25">
      <c r="A177" t="s">
        <v>1173</v>
      </c>
      <c r="B177">
        <v>19</v>
      </c>
      <c r="C177">
        <v>3</v>
      </c>
      <c r="D177">
        <v>104</v>
      </c>
      <c r="F177" t="s">
        <v>1191</v>
      </c>
      <c r="G177">
        <v>18</v>
      </c>
    </row>
    <row r="178" spans="1:7" x14ac:dyDescent="0.25">
      <c r="A178" t="s">
        <v>1174</v>
      </c>
      <c r="B178">
        <v>34</v>
      </c>
      <c r="C178">
        <v>1</v>
      </c>
      <c r="D178">
        <v>103</v>
      </c>
      <c r="F178" t="s">
        <v>1192</v>
      </c>
      <c r="G178">
        <v>29</v>
      </c>
    </row>
    <row r="179" spans="1:7" x14ac:dyDescent="0.25">
      <c r="A179" t="s">
        <v>1175</v>
      </c>
      <c r="B179">
        <v>26</v>
      </c>
      <c r="C179">
        <v>5</v>
      </c>
      <c r="D179">
        <v>72</v>
      </c>
      <c r="F179" t="s">
        <v>1193</v>
      </c>
      <c r="G179">
        <v>17</v>
      </c>
    </row>
    <row r="180" spans="1:7" x14ac:dyDescent="0.25">
      <c r="A180" t="s">
        <v>1176</v>
      </c>
      <c r="B180">
        <v>16</v>
      </c>
      <c r="C180">
        <v>3</v>
      </c>
      <c r="D180">
        <v>71</v>
      </c>
      <c r="F180" t="s">
        <v>1194</v>
      </c>
      <c r="G180">
        <v>34</v>
      </c>
    </row>
    <row r="181" spans="1:7" x14ac:dyDescent="0.25">
      <c r="A181" t="s">
        <v>1177</v>
      </c>
      <c r="B181">
        <v>87</v>
      </c>
      <c r="C181">
        <v>2</v>
      </c>
      <c r="D181">
        <v>239</v>
      </c>
      <c r="F181" t="s">
        <v>1195</v>
      </c>
      <c r="G181">
        <v>27</v>
      </c>
    </row>
    <row r="182" spans="1:7" x14ac:dyDescent="0.25">
      <c r="A182" t="s">
        <v>1178</v>
      </c>
      <c r="B182">
        <v>14</v>
      </c>
      <c r="C182">
        <v>2</v>
      </c>
      <c r="D182">
        <v>107</v>
      </c>
      <c r="F182" t="s">
        <v>1196</v>
      </c>
      <c r="G182">
        <v>22</v>
      </c>
    </row>
    <row r="183" spans="1:7" x14ac:dyDescent="0.25">
      <c r="A183" t="s">
        <v>1179</v>
      </c>
      <c r="B183">
        <v>30</v>
      </c>
      <c r="C183">
        <v>3</v>
      </c>
      <c r="D183">
        <v>178</v>
      </c>
      <c r="F183" t="s">
        <v>1197</v>
      </c>
      <c r="G183">
        <v>6</v>
      </c>
    </row>
    <row r="184" spans="1:7" x14ac:dyDescent="0.25">
      <c r="A184" t="s">
        <v>1180</v>
      </c>
      <c r="B184">
        <v>15</v>
      </c>
      <c r="C184">
        <v>1</v>
      </c>
      <c r="D184">
        <v>64</v>
      </c>
      <c r="F184" t="s">
        <v>1198</v>
      </c>
      <c r="G184">
        <v>12</v>
      </c>
    </row>
    <row r="185" spans="1:7" x14ac:dyDescent="0.25">
      <c r="A185" t="s">
        <v>1181</v>
      </c>
      <c r="B185">
        <v>20</v>
      </c>
      <c r="C185">
        <v>0</v>
      </c>
      <c r="D185">
        <v>53</v>
      </c>
      <c r="F185" t="s">
        <v>1199</v>
      </c>
      <c r="G185">
        <v>39</v>
      </c>
    </row>
    <row r="186" spans="1:7" x14ac:dyDescent="0.25">
      <c r="A186" t="s">
        <v>1182</v>
      </c>
      <c r="B186">
        <v>13</v>
      </c>
      <c r="C186">
        <v>0</v>
      </c>
      <c r="D186">
        <v>61</v>
      </c>
      <c r="F186" t="s">
        <v>1200</v>
      </c>
      <c r="G186">
        <v>10</v>
      </c>
    </row>
    <row r="187" spans="1:7" x14ac:dyDescent="0.25">
      <c r="A187" t="s">
        <v>1183</v>
      </c>
      <c r="B187">
        <v>10</v>
      </c>
      <c r="C187">
        <v>0</v>
      </c>
      <c r="D187">
        <v>71</v>
      </c>
      <c r="F187" t="s">
        <v>1201</v>
      </c>
      <c r="G187">
        <v>89</v>
      </c>
    </row>
    <row r="188" spans="1:7" x14ac:dyDescent="0.25">
      <c r="A188" t="s">
        <v>1184</v>
      </c>
      <c r="B188">
        <v>32</v>
      </c>
      <c r="C188">
        <v>1</v>
      </c>
      <c r="D188">
        <v>129</v>
      </c>
      <c r="F188" t="s">
        <v>1202</v>
      </c>
      <c r="G188">
        <v>20</v>
      </c>
    </row>
    <row r="189" spans="1:7" x14ac:dyDescent="0.25">
      <c r="A189" t="s">
        <v>1185</v>
      </c>
      <c r="B189">
        <v>25</v>
      </c>
      <c r="C189">
        <v>7</v>
      </c>
      <c r="D189">
        <v>105</v>
      </c>
      <c r="F189" t="s">
        <v>1203</v>
      </c>
      <c r="G189">
        <v>9</v>
      </c>
    </row>
    <row r="190" spans="1:7" x14ac:dyDescent="0.25">
      <c r="A190" t="s">
        <v>1186</v>
      </c>
      <c r="B190">
        <v>14</v>
      </c>
      <c r="C190">
        <v>5</v>
      </c>
      <c r="D190">
        <v>56</v>
      </c>
      <c r="F190" t="s">
        <v>1204</v>
      </c>
      <c r="G190">
        <v>15</v>
      </c>
    </row>
    <row r="191" spans="1:7" x14ac:dyDescent="0.25">
      <c r="A191" t="s">
        <v>1187</v>
      </c>
      <c r="B191">
        <v>16</v>
      </c>
      <c r="C191">
        <v>0</v>
      </c>
      <c r="D191">
        <v>69</v>
      </c>
      <c r="F191" t="s">
        <v>1205</v>
      </c>
      <c r="G191">
        <v>8</v>
      </c>
    </row>
    <row r="192" spans="1:7" x14ac:dyDescent="0.25">
      <c r="A192" t="s">
        <v>1188</v>
      </c>
      <c r="B192">
        <v>17</v>
      </c>
      <c r="C192">
        <v>1</v>
      </c>
      <c r="D192">
        <v>101</v>
      </c>
      <c r="F192" t="s">
        <v>1206</v>
      </c>
      <c r="G192">
        <v>8</v>
      </c>
    </row>
    <row r="193" spans="1:7" x14ac:dyDescent="0.25">
      <c r="A193" t="s">
        <v>1189</v>
      </c>
      <c r="B193">
        <v>18</v>
      </c>
      <c r="C193">
        <v>1</v>
      </c>
      <c r="D193">
        <v>65</v>
      </c>
      <c r="F193" t="s">
        <v>1207</v>
      </c>
      <c r="G193">
        <v>18</v>
      </c>
    </row>
    <row r="194" spans="1:7" x14ac:dyDescent="0.25">
      <c r="A194" t="s">
        <v>1190</v>
      </c>
      <c r="B194">
        <v>7</v>
      </c>
      <c r="C194">
        <v>5</v>
      </c>
      <c r="D194">
        <v>82</v>
      </c>
      <c r="F194" t="s">
        <v>1208</v>
      </c>
      <c r="G194">
        <v>37</v>
      </c>
    </row>
    <row r="195" spans="1:7" x14ac:dyDescent="0.25">
      <c r="A195" t="s">
        <v>1191</v>
      </c>
      <c r="B195">
        <v>13</v>
      </c>
      <c r="C195">
        <v>2</v>
      </c>
      <c r="D195">
        <v>104</v>
      </c>
      <c r="F195" t="s">
        <v>1209</v>
      </c>
      <c r="G195">
        <v>8</v>
      </c>
    </row>
    <row r="196" spans="1:7" x14ac:dyDescent="0.25">
      <c r="A196" t="s">
        <v>1192</v>
      </c>
      <c r="B196">
        <v>43</v>
      </c>
      <c r="C196">
        <v>1</v>
      </c>
      <c r="D196">
        <v>172</v>
      </c>
      <c r="F196" t="s">
        <v>1210</v>
      </c>
      <c r="G196">
        <v>22</v>
      </c>
    </row>
    <row r="197" spans="1:7" x14ac:dyDescent="0.25">
      <c r="A197" t="s">
        <v>1193</v>
      </c>
      <c r="B197">
        <v>38</v>
      </c>
      <c r="C197">
        <v>0</v>
      </c>
      <c r="D197">
        <v>139</v>
      </c>
      <c r="F197" t="s">
        <v>1211</v>
      </c>
      <c r="G197">
        <v>64</v>
      </c>
    </row>
    <row r="198" spans="1:7" x14ac:dyDescent="0.25">
      <c r="A198" t="s">
        <v>1194</v>
      </c>
      <c r="B198">
        <v>20</v>
      </c>
      <c r="C198">
        <v>3</v>
      </c>
      <c r="D198">
        <v>96</v>
      </c>
      <c r="F198" t="s">
        <v>1212</v>
      </c>
      <c r="G198">
        <v>4</v>
      </c>
    </row>
    <row r="199" spans="1:7" x14ac:dyDescent="0.25">
      <c r="A199" t="s">
        <v>1195</v>
      </c>
      <c r="B199">
        <v>33</v>
      </c>
      <c r="C199">
        <v>2</v>
      </c>
      <c r="D199">
        <v>105</v>
      </c>
      <c r="F199" t="s">
        <v>1213</v>
      </c>
      <c r="G199">
        <v>5</v>
      </c>
    </row>
    <row r="200" spans="1:7" x14ac:dyDescent="0.25">
      <c r="A200" t="s">
        <v>1196</v>
      </c>
      <c r="B200">
        <v>17</v>
      </c>
      <c r="C200">
        <v>3</v>
      </c>
      <c r="D200">
        <v>87</v>
      </c>
      <c r="F200" t="s">
        <v>1214</v>
      </c>
      <c r="G200">
        <v>7</v>
      </c>
    </row>
    <row r="201" spans="1:7" x14ac:dyDescent="0.25">
      <c r="A201" t="s">
        <v>1197</v>
      </c>
      <c r="B201">
        <v>8</v>
      </c>
      <c r="C201">
        <v>0</v>
      </c>
      <c r="D201">
        <v>41</v>
      </c>
      <c r="F201" t="s">
        <v>1215</v>
      </c>
      <c r="G201">
        <v>21</v>
      </c>
    </row>
    <row r="202" spans="1:7" x14ac:dyDescent="0.25">
      <c r="A202" t="s">
        <v>1198</v>
      </c>
      <c r="B202">
        <v>24</v>
      </c>
      <c r="C202">
        <v>0</v>
      </c>
      <c r="D202">
        <v>106</v>
      </c>
      <c r="F202" t="s">
        <v>1216</v>
      </c>
      <c r="G202">
        <v>48</v>
      </c>
    </row>
    <row r="203" spans="1:7" x14ac:dyDescent="0.25">
      <c r="A203" t="s">
        <v>1199</v>
      </c>
      <c r="B203">
        <v>18</v>
      </c>
      <c r="C203">
        <v>1</v>
      </c>
      <c r="D203">
        <v>111</v>
      </c>
      <c r="F203" t="s">
        <v>1217</v>
      </c>
      <c r="G203">
        <v>19</v>
      </c>
    </row>
    <row r="204" spans="1:7" x14ac:dyDescent="0.25">
      <c r="A204" t="s">
        <v>1200</v>
      </c>
      <c r="B204">
        <v>20</v>
      </c>
      <c r="C204">
        <v>1</v>
      </c>
      <c r="D204">
        <v>81</v>
      </c>
      <c r="F204" t="s">
        <v>1218</v>
      </c>
      <c r="G204">
        <v>8</v>
      </c>
    </row>
    <row r="205" spans="1:7" x14ac:dyDescent="0.25">
      <c r="A205" t="s">
        <v>1201</v>
      </c>
      <c r="B205">
        <v>18</v>
      </c>
      <c r="C205">
        <v>1</v>
      </c>
      <c r="D205">
        <v>165</v>
      </c>
      <c r="F205" t="s">
        <v>1219</v>
      </c>
      <c r="G205">
        <v>48</v>
      </c>
    </row>
    <row r="206" spans="1:7" x14ac:dyDescent="0.25">
      <c r="A206" t="s">
        <v>1202</v>
      </c>
      <c r="B206">
        <v>41</v>
      </c>
      <c r="C206">
        <v>3</v>
      </c>
      <c r="D206">
        <v>144</v>
      </c>
      <c r="F206" t="s">
        <v>1220</v>
      </c>
      <c r="G206">
        <v>7</v>
      </c>
    </row>
    <row r="207" spans="1:7" x14ac:dyDescent="0.25">
      <c r="A207" t="s">
        <v>1203</v>
      </c>
      <c r="B207">
        <v>21</v>
      </c>
      <c r="C207">
        <v>0</v>
      </c>
      <c r="D207">
        <v>94</v>
      </c>
      <c r="F207" t="s">
        <v>1221</v>
      </c>
      <c r="G207">
        <v>18</v>
      </c>
    </row>
    <row r="208" spans="1:7" x14ac:dyDescent="0.25">
      <c r="A208" t="s">
        <v>1204</v>
      </c>
      <c r="B208">
        <v>21</v>
      </c>
      <c r="C208">
        <v>0</v>
      </c>
      <c r="D208">
        <v>109</v>
      </c>
      <c r="F208" t="s">
        <v>1222</v>
      </c>
      <c r="G208">
        <v>30</v>
      </c>
    </row>
    <row r="209" spans="1:7" x14ac:dyDescent="0.25">
      <c r="A209" t="s">
        <v>1205</v>
      </c>
      <c r="B209">
        <v>19</v>
      </c>
      <c r="C209">
        <v>2</v>
      </c>
      <c r="D209">
        <v>73</v>
      </c>
      <c r="F209" t="s">
        <v>1223</v>
      </c>
      <c r="G209">
        <v>15</v>
      </c>
    </row>
    <row r="210" spans="1:7" x14ac:dyDescent="0.25">
      <c r="A210" t="s">
        <v>1206</v>
      </c>
      <c r="B210">
        <v>25</v>
      </c>
      <c r="C210">
        <v>2</v>
      </c>
      <c r="D210">
        <v>66</v>
      </c>
      <c r="F210" t="s">
        <v>1224</v>
      </c>
      <c r="G210">
        <v>22</v>
      </c>
    </row>
    <row r="211" spans="1:7" x14ac:dyDescent="0.25">
      <c r="A211" t="s">
        <v>1207</v>
      </c>
      <c r="B211">
        <v>14</v>
      </c>
      <c r="C211">
        <v>0</v>
      </c>
      <c r="D211">
        <v>90</v>
      </c>
      <c r="F211" t="s">
        <v>1225</v>
      </c>
      <c r="G211">
        <v>17</v>
      </c>
    </row>
    <row r="212" spans="1:7" x14ac:dyDescent="0.25">
      <c r="A212" t="s">
        <v>1208</v>
      </c>
      <c r="B212">
        <v>44</v>
      </c>
      <c r="C212">
        <v>0</v>
      </c>
      <c r="D212">
        <v>203</v>
      </c>
      <c r="F212" t="s">
        <v>1226</v>
      </c>
      <c r="G212">
        <v>46</v>
      </c>
    </row>
    <row r="213" spans="1:7" x14ac:dyDescent="0.25">
      <c r="A213" t="s">
        <v>1209</v>
      </c>
      <c r="B213">
        <v>28</v>
      </c>
      <c r="C213">
        <v>2</v>
      </c>
      <c r="D213">
        <v>88</v>
      </c>
      <c r="F213" t="s">
        <v>1227</v>
      </c>
      <c r="G213">
        <v>34</v>
      </c>
    </row>
    <row r="214" spans="1:7" x14ac:dyDescent="0.25">
      <c r="A214" t="s">
        <v>1210</v>
      </c>
      <c r="B214">
        <v>15</v>
      </c>
      <c r="C214">
        <v>4</v>
      </c>
      <c r="D214">
        <v>130</v>
      </c>
      <c r="F214" t="s">
        <v>1228</v>
      </c>
      <c r="G214">
        <v>14</v>
      </c>
    </row>
    <row r="215" spans="1:7" x14ac:dyDescent="0.25">
      <c r="A215" t="s">
        <v>1211</v>
      </c>
      <c r="B215">
        <v>60</v>
      </c>
      <c r="C215">
        <v>8</v>
      </c>
      <c r="D215">
        <v>242</v>
      </c>
      <c r="F215" t="s">
        <v>1229</v>
      </c>
      <c r="G215">
        <v>72</v>
      </c>
    </row>
    <row r="216" spans="1:7" x14ac:dyDescent="0.25">
      <c r="A216" t="s">
        <v>1212</v>
      </c>
      <c r="B216">
        <v>25</v>
      </c>
      <c r="C216">
        <v>9</v>
      </c>
      <c r="D216">
        <v>115</v>
      </c>
      <c r="F216" t="s">
        <v>1230</v>
      </c>
      <c r="G216">
        <v>42</v>
      </c>
    </row>
    <row r="217" spans="1:7" x14ac:dyDescent="0.25">
      <c r="A217" t="s">
        <v>1213</v>
      </c>
      <c r="B217">
        <v>20</v>
      </c>
      <c r="C217">
        <v>2</v>
      </c>
      <c r="D217">
        <v>100</v>
      </c>
      <c r="F217" t="s">
        <v>1231</v>
      </c>
      <c r="G217">
        <v>52</v>
      </c>
    </row>
    <row r="218" spans="1:7" x14ac:dyDescent="0.25">
      <c r="A218" t="s">
        <v>1214</v>
      </c>
      <c r="B218">
        <v>37</v>
      </c>
      <c r="C218">
        <v>0</v>
      </c>
      <c r="D218">
        <v>115</v>
      </c>
      <c r="F218" t="s">
        <v>1232</v>
      </c>
      <c r="G218">
        <v>58</v>
      </c>
    </row>
    <row r="219" spans="1:7" x14ac:dyDescent="0.25">
      <c r="A219" t="s">
        <v>1215</v>
      </c>
      <c r="B219">
        <v>20</v>
      </c>
      <c r="C219">
        <v>3</v>
      </c>
      <c r="D219">
        <v>107</v>
      </c>
      <c r="F219" t="s">
        <v>1233</v>
      </c>
      <c r="G219">
        <v>49</v>
      </c>
    </row>
    <row r="220" spans="1:7" x14ac:dyDescent="0.25">
      <c r="A220" t="s">
        <v>1216</v>
      </c>
      <c r="B220">
        <v>53</v>
      </c>
      <c r="C220">
        <v>1</v>
      </c>
      <c r="D220">
        <v>212</v>
      </c>
      <c r="F220" t="s">
        <v>1234</v>
      </c>
      <c r="G220">
        <v>56</v>
      </c>
    </row>
    <row r="221" spans="1:7" x14ac:dyDescent="0.25">
      <c r="A221" t="s">
        <v>1217</v>
      </c>
      <c r="B221">
        <v>37</v>
      </c>
      <c r="C221">
        <v>1</v>
      </c>
      <c r="D221">
        <v>109</v>
      </c>
      <c r="F221" t="s">
        <v>1235</v>
      </c>
      <c r="G221">
        <v>23</v>
      </c>
    </row>
    <row r="222" spans="1:7" x14ac:dyDescent="0.25">
      <c r="A222" t="s">
        <v>1218</v>
      </c>
      <c r="B222">
        <v>15</v>
      </c>
      <c r="C222">
        <v>2</v>
      </c>
      <c r="D222">
        <v>55</v>
      </c>
      <c r="F222" t="s">
        <v>1236</v>
      </c>
      <c r="G222">
        <v>4</v>
      </c>
    </row>
    <row r="223" spans="1:7" x14ac:dyDescent="0.25">
      <c r="A223" t="s">
        <v>1219</v>
      </c>
      <c r="B223">
        <v>41</v>
      </c>
      <c r="C223">
        <v>3</v>
      </c>
      <c r="D223">
        <v>216</v>
      </c>
      <c r="F223" t="s">
        <v>1237</v>
      </c>
      <c r="G223">
        <v>24</v>
      </c>
    </row>
    <row r="224" spans="1:7" x14ac:dyDescent="0.25">
      <c r="A224" t="s">
        <v>1220</v>
      </c>
      <c r="B224">
        <v>15</v>
      </c>
      <c r="C224">
        <v>3</v>
      </c>
      <c r="D224">
        <v>67</v>
      </c>
      <c r="F224" t="s">
        <v>1238</v>
      </c>
      <c r="G224">
        <v>6</v>
      </c>
    </row>
    <row r="225" spans="1:7" x14ac:dyDescent="0.25">
      <c r="A225" t="s">
        <v>1221</v>
      </c>
      <c r="B225">
        <v>16</v>
      </c>
      <c r="C225">
        <v>2</v>
      </c>
      <c r="D225">
        <v>86</v>
      </c>
      <c r="F225" t="s">
        <v>1239</v>
      </c>
      <c r="G225">
        <v>7</v>
      </c>
    </row>
    <row r="226" spans="1:7" x14ac:dyDescent="0.25">
      <c r="A226" t="s">
        <v>1222</v>
      </c>
      <c r="B226">
        <v>21</v>
      </c>
      <c r="C226">
        <v>7</v>
      </c>
      <c r="D226">
        <v>133</v>
      </c>
      <c r="F226" t="s">
        <v>1240</v>
      </c>
      <c r="G226">
        <v>5</v>
      </c>
    </row>
    <row r="227" spans="1:7" x14ac:dyDescent="0.25">
      <c r="A227" t="s">
        <v>1223</v>
      </c>
      <c r="B227">
        <v>19</v>
      </c>
      <c r="C227">
        <v>0</v>
      </c>
      <c r="D227">
        <v>90</v>
      </c>
      <c r="F227" t="s">
        <v>1241</v>
      </c>
      <c r="G227">
        <v>21</v>
      </c>
    </row>
    <row r="228" spans="1:7" x14ac:dyDescent="0.25">
      <c r="A228" t="s">
        <v>1224</v>
      </c>
      <c r="B228">
        <v>31</v>
      </c>
      <c r="C228">
        <v>4</v>
      </c>
      <c r="D228">
        <v>126</v>
      </c>
      <c r="F228" t="s">
        <v>1242</v>
      </c>
      <c r="G228">
        <v>22</v>
      </c>
    </row>
    <row r="229" spans="1:7" x14ac:dyDescent="0.25">
      <c r="A229" t="s">
        <v>1225</v>
      </c>
      <c r="B229">
        <v>32</v>
      </c>
      <c r="C229">
        <v>4</v>
      </c>
      <c r="D229">
        <v>120</v>
      </c>
      <c r="F229" t="s">
        <v>1243</v>
      </c>
      <c r="G229">
        <v>8</v>
      </c>
    </row>
    <row r="230" spans="1:7" x14ac:dyDescent="0.25">
      <c r="A230" t="s">
        <v>1226</v>
      </c>
      <c r="B230">
        <v>19</v>
      </c>
      <c r="C230">
        <v>0</v>
      </c>
      <c r="D230">
        <v>142</v>
      </c>
      <c r="F230" t="s">
        <v>1244</v>
      </c>
      <c r="G230">
        <v>10</v>
      </c>
    </row>
    <row r="231" spans="1:7" x14ac:dyDescent="0.25">
      <c r="A231" t="s">
        <v>1227</v>
      </c>
      <c r="B231">
        <v>39</v>
      </c>
      <c r="C231">
        <v>0</v>
      </c>
      <c r="D231">
        <v>176</v>
      </c>
      <c r="F231" t="s">
        <v>1245</v>
      </c>
      <c r="G231">
        <v>24</v>
      </c>
    </row>
    <row r="232" spans="1:7" x14ac:dyDescent="0.25">
      <c r="A232" t="s">
        <v>1228</v>
      </c>
      <c r="B232">
        <v>62</v>
      </c>
      <c r="C232">
        <v>5</v>
      </c>
      <c r="D232">
        <v>146</v>
      </c>
      <c r="F232" t="s">
        <v>1246</v>
      </c>
      <c r="G232">
        <v>37</v>
      </c>
    </row>
    <row r="233" spans="1:7" x14ac:dyDescent="0.25">
      <c r="A233" t="s">
        <v>1229</v>
      </c>
      <c r="B233">
        <v>21</v>
      </c>
      <c r="C233">
        <v>0</v>
      </c>
      <c r="D233">
        <v>205</v>
      </c>
      <c r="F233" t="s">
        <v>1247</v>
      </c>
      <c r="G233">
        <v>16</v>
      </c>
    </row>
    <row r="234" spans="1:7" x14ac:dyDescent="0.25">
      <c r="A234" t="s">
        <v>1230</v>
      </c>
      <c r="B234">
        <v>68</v>
      </c>
      <c r="C234">
        <v>1</v>
      </c>
      <c r="D234">
        <v>221</v>
      </c>
      <c r="F234" t="s">
        <v>1248</v>
      </c>
      <c r="G234">
        <v>89</v>
      </c>
    </row>
    <row r="235" spans="1:7" x14ac:dyDescent="0.25">
      <c r="A235" t="s">
        <v>1231</v>
      </c>
      <c r="B235">
        <v>53</v>
      </c>
      <c r="C235">
        <v>2</v>
      </c>
      <c r="D235">
        <v>186</v>
      </c>
      <c r="F235" t="s">
        <v>1249</v>
      </c>
      <c r="G235">
        <v>27</v>
      </c>
    </row>
    <row r="236" spans="1:7" x14ac:dyDescent="0.25">
      <c r="A236" t="s">
        <v>1232</v>
      </c>
      <c r="B236">
        <v>27</v>
      </c>
      <c r="C236">
        <v>5</v>
      </c>
      <c r="D236">
        <v>200</v>
      </c>
      <c r="F236" t="s">
        <v>1250</v>
      </c>
      <c r="G236">
        <v>21</v>
      </c>
    </row>
    <row r="237" spans="1:7" x14ac:dyDescent="0.25">
      <c r="A237" t="s">
        <v>1233</v>
      </c>
      <c r="B237">
        <v>74</v>
      </c>
      <c r="C237">
        <v>1</v>
      </c>
      <c r="D237">
        <v>251</v>
      </c>
      <c r="F237" t="s">
        <v>1251</v>
      </c>
      <c r="G237">
        <v>36</v>
      </c>
    </row>
    <row r="238" spans="1:7" x14ac:dyDescent="0.25">
      <c r="A238" t="s">
        <v>1234</v>
      </c>
      <c r="B238">
        <v>47</v>
      </c>
      <c r="C238">
        <v>2</v>
      </c>
      <c r="D238">
        <v>195</v>
      </c>
      <c r="F238" t="s">
        <v>1252</v>
      </c>
      <c r="G238">
        <v>25</v>
      </c>
    </row>
    <row r="239" spans="1:7" x14ac:dyDescent="0.25">
      <c r="A239" t="s">
        <v>1235</v>
      </c>
      <c r="B239">
        <v>45</v>
      </c>
      <c r="C239">
        <v>0</v>
      </c>
      <c r="D239">
        <v>143</v>
      </c>
      <c r="F239" t="s">
        <v>1253</v>
      </c>
      <c r="G239">
        <v>19</v>
      </c>
    </row>
    <row r="240" spans="1:7" x14ac:dyDescent="0.25">
      <c r="A240" t="s">
        <v>1236</v>
      </c>
      <c r="B240">
        <v>71</v>
      </c>
      <c r="C240">
        <v>4</v>
      </c>
      <c r="D240">
        <v>158</v>
      </c>
      <c r="F240" t="s">
        <v>1254</v>
      </c>
      <c r="G240">
        <v>21</v>
      </c>
    </row>
    <row r="241" spans="1:7" x14ac:dyDescent="0.25">
      <c r="A241" t="s">
        <v>1237</v>
      </c>
      <c r="B241">
        <v>75</v>
      </c>
      <c r="C241">
        <v>2</v>
      </c>
      <c r="D241">
        <v>142</v>
      </c>
      <c r="F241" t="s">
        <v>1255</v>
      </c>
      <c r="G241">
        <v>43</v>
      </c>
    </row>
    <row r="242" spans="1:7" x14ac:dyDescent="0.25">
      <c r="A242" t="s">
        <v>1238</v>
      </c>
      <c r="B242">
        <v>11</v>
      </c>
      <c r="C242">
        <v>1</v>
      </c>
      <c r="D242">
        <v>75</v>
      </c>
      <c r="F242" t="s">
        <v>1256</v>
      </c>
      <c r="G242">
        <v>3</v>
      </c>
    </row>
    <row r="243" spans="1:7" x14ac:dyDescent="0.25">
      <c r="A243" t="s">
        <v>1239</v>
      </c>
      <c r="B243">
        <v>103</v>
      </c>
      <c r="C243">
        <v>7</v>
      </c>
      <c r="D243">
        <v>277</v>
      </c>
      <c r="F243" t="s">
        <v>1257</v>
      </c>
      <c r="G243">
        <v>38</v>
      </c>
    </row>
    <row r="244" spans="1:7" x14ac:dyDescent="0.25">
      <c r="A244" t="s">
        <v>1240</v>
      </c>
      <c r="B244">
        <v>40</v>
      </c>
      <c r="C244">
        <v>8</v>
      </c>
      <c r="D244">
        <v>122</v>
      </c>
      <c r="F244" t="s">
        <v>1258</v>
      </c>
      <c r="G244">
        <v>61</v>
      </c>
    </row>
    <row r="245" spans="1:7" x14ac:dyDescent="0.25">
      <c r="A245" t="s">
        <v>1241</v>
      </c>
      <c r="B245">
        <v>35</v>
      </c>
      <c r="C245">
        <v>0</v>
      </c>
      <c r="D245">
        <v>77</v>
      </c>
      <c r="F245" t="s">
        <v>1259</v>
      </c>
      <c r="G245">
        <v>50</v>
      </c>
    </row>
    <row r="246" spans="1:7" x14ac:dyDescent="0.25">
      <c r="A246" t="s">
        <v>1242</v>
      </c>
      <c r="B246">
        <v>33</v>
      </c>
      <c r="C246">
        <v>1</v>
      </c>
      <c r="D246">
        <v>120</v>
      </c>
      <c r="F246" t="s">
        <v>1260</v>
      </c>
      <c r="G246">
        <v>30</v>
      </c>
    </row>
    <row r="247" spans="1:7" x14ac:dyDescent="0.25">
      <c r="A247" t="s">
        <v>1243</v>
      </c>
      <c r="B247">
        <v>26</v>
      </c>
      <c r="C247">
        <v>3</v>
      </c>
      <c r="D247">
        <v>109</v>
      </c>
      <c r="F247" t="s">
        <v>1261</v>
      </c>
      <c r="G247">
        <v>21</v>
      </c>
    </row>
    <row r="248" spans="1:7" x14ac:dyDescent="0.25">
      <c r="A248" t="s">
        <v>1244</v>
      </c>
      <c r="B248">
        <v>42</v>
      </c>
      <c r="C248">
        <v>0</v>
      </c>
      <c r="D248">
        <v>121</v>
      </c>
      <c r="F248" t="s">
        <v>1262</v>
      </c>
      <c r="G248">
        <v>16</v>
      </c>
    </row>
    <row r="249" spans="1:7" x14ac:dyDescent="0.25">
      <c r="A249" t="s">
        <v>1245</v>
      </c>
      <c r="B249">
        <v>34</v>
      </c>
      <c r="C249">
        <v>0</v>
      </c>
      <c r="D249">
        <v>95</v>
      </c>
      <c r="F249" t="s">
        <v>1263</v>
      </c>
      <c r="G249">
        <v>12</v>
      </c>
    </row>
    <row r="250" spans="1:7" x14ac:dyDescent="0.25">
      <c r="A250" t="s">
        <v>1246</v>
      </c>
      <c r="B250">
        <v>147</v>
      </c>
      <c r="C250">
        <v>7</v>
      </c>
      <c r="D250">
        <v>296</v>
      </c>
      <c r="F250" t="s">
        <v>1264</v>
      </c>
      <c r="G250">
        <v>14</v>
      </c>
    </row>
    <row r="251" spans="1:7" x14ac:dyDescent="0.25">
      <c r="A251" t="s">
        <v>1247</v>
      </c>
      <c r="B251">
        <v>28</v>
      </c>
      <c r="C251">
        <v>0</v>
      </c>
      <c r="D251">
        <v>103</v>
      </c>
      <c r="F251" t="s">
        <v>1265</v>
      </c>
      <c r="G251">
        <v>18</v>
      </c>
    </row>
    <row r="252" spans="1:7" x14ac:dyDescent="0.25">
      <c r="A252" t="s">
        <v>1248</v>
      </c>
      <c r="B252">
        <v>27</v>
      </c>
      <c r="C252">
        <v>1</v>
      </c>
      <c r="D252">
        <v>228</v>
      </c>
      <c r="F252" t="s">
        <v>1266</v>
      </c>
      <c r="G252">
        <v>34</v>
      </c>
    </row>
    <row r="253" spans="1:7" x14ac:dyDescent="0.25">
      <c r="A253" t="s">
        <v>1249</v>
      </c>
      <c r="B253">
        <v>44</v>
      </c>
      <c r="C253">
        <v>1</v>
      </c>
      <c r="D253">
        <v>142</v>
      </c>
      <c r="F253" t="s">
        <v>1267</v>
      </c>
      <c r="G253">
        <v>17</v>
      </c>
    </row>
    <row r="254" spans="1:7" x14ac:dyDescent="0.25">
      <c r="A254" t="s">
        <v>1250</v>
      </c>
      <c r="B254">
        <v>41</v>
      </c>
      <c r="C254">
        <v>2</v>
      </c>
      <c r="D254">
        <v>149</v>
      </c>
      <c r="F254" t="s">
        <v>1268</v>
      </c>
      <c r="G254">
        <v>47</v>
      </c>
    </row>
    <row r="255" spans="1:7" x14ac:dyDescent="0.25">
      <c r="A255" t="s">
        <v>1251</v>
      </c>
      <c r="B255">
        <v>44</v>
      </c>
      <c r="C255">
        <v>0</v>
      </c>
      <c r="D255">
        <v>165</v>
      </c>
      <c r="F255" t="s">
        <v>1269</v>
      </c>
      <c r="G255">
        <v>14</v>
      </c>
    </row>
    <row r="256" spans="1:7" x14ac:dyDescent="0.25">
      <c r="A256" t="s">
        <v>1252</v>
      </c>
      <c r="B256">
        <v>28</v>
      </c>
      <c r="C256">
        <v>1</v>
      </c>
      <c r="D256">
        <v>102</v>
      </c>
      <c r="F256" t="s">
        <v>1270</v>
      </c>
      <c r="G256">
        <v>40</v>
      </c>
    </row>
    <row r="257" spans="1:7" x14ac:dyDescent="0.25">
      <c r="A257" t="s">
        <v>1253</v>
      </c>
      <c r="B257">
        <v>66</v>
      </c>
      <c r="C257">
        <v>1</v>
      </c>
      <c r="D257">
        <v>140</v>
      </c>
      <c r="F257" t="s">
        <v>1271</v>
      </c>
      <c r="G257">
        <v>29</v>
      </c>
    </row>
    <row r="258" spans="1:7" x14ac:dyDescent="0.25">
      <c r="A258" t="s">
        <v>1254</v>
      </c>
      <c r="B258">
        <v>91</v>
      </c>
      <c r="C258">
        <v>7</v>
      </c>
      <c r="D258">
        <v>194</v>
      </c>
      <c r="F258" t="s">
        <v>1272</v>
      </c>
      <c r="G258">
        <v>28</v>
      </c>
    </row>
    <row r="259" spans="1:7" x14ac:dyDescent="0.25">
      <c r="A259" t="s">
        <v>1255</v>
      </c>
      <c r="B259">
        <v>9</v>
      </c>
      <c r="C259">
        <v>0</v>
      </c>
      <c r="D259">
        <v>105</v>
      </c>
      <c r="F259" t="s">
        <v>1273</v>
      </c>
      <c r="G259">
        <v>37</v>
      </c>
    </row>
    <row r="260" spans="1:7" x14ac:dyDescent="0.25">
      <c r="A260" t="s">
        <v>1256</v>
      </c>
      <c r="B260">
        <v>5</v>
      </c>
      <c r="C260">
        <v>0</v>
      </c>
      <c r="D260">
        <v>50</v>
      </c>
      <c r="F260" t="s">
        <v>1274</v>
      </c>
      <c r="G260">
        <v>33</v>
      </c>
    </row>
    <row r="261" spans="1:7" x14ac:dyDescent="0.25">
      <c r="A261" t="s">
        <v>1257</v>
      </c>
      <c r="B261">
        <v>59</v>
      </c>
      <c r="C261">
        <v>1</v>
      </c>
      <c r="D261">
        <v>203</v>
      </c>
      <c r="F261" t="s">
        <v>1275</v>
      </c>
      <c r="G261">
        <v>19</v>
      </c>
    </row>
    <row r="262" spans="1:7" x14ac:dyDescent="0.25">
      <c r="A262" t="s">
        <v>1258</v>
      </c>
      <c r="B262">
        <v>68</v>
      </c>
      <c r="C262">
        <v>4</v>
      </c>
      <c r="D262">
        <v>213</v>
      </c>
      <c r="F262" t="s">
        <v>1276</v>
      </c>
      <c r="G262">
        <v>10</v>
      </c>
    </row>
    <row r="263" spans="1:7" x14ac:dyDescent="0.25">
      <c r="A263" t="s">
        <v>1259</v>
      </c>
      <c r="B263">
        <v>18</v>
      </c>
      <c r="C263">
        <v>2</v>
      </c>
      <c r="D263">
        <v>243</v>
      </c>
      <c r="F263" t="s">
        <v>1277</v>
      </c>
      <c r="G263">
        <v>14</v>
      </c>
    </row>
    <row r="264" spans="1:7" x14ac:dyDescent="0.25">
      <c r="A264" t="s">
        <v>1260</v>
      </c>
      <c r="B264">
        <v>11</v>
      </c>
      <c r="C264">
        <v>1</v>
      </c>
      <c r="D264">
        <v>103</v>
      </c>
      <c r="F264" t="s">
        <v>1278</v>
      </c>
      <c r="G264">
        <v>23</v>
      </c>
    </row>
    <row r="265" spans="1:7" x14ac:dyDescent="0.25">
      <c r="A265" t="s">
        <v>1261</v>
      </c>
      <c r="B265">
        <v>24</v>
      </c>
      <c r="C265">
        <v>5</v>
      </c>
      <c r="D265">
        <v>148</v>
      </c>
      <c r="F265" t="s">
        <v>1279</v>
      </c>
      <c r="G265">
        <v>42</v>
      </c>
    </row>
    <row r="266" spans="1:7" x14ac:dyDescent="0.25">
      <c r="A266" t="s">
        <v>1262</v>
      </c>
      <c r="B266">
        <v>45</v>
      </c>
      <c r="C266">
        <v>2</v>
      </c>
      <c r="D266">
        <v>135</v>
      </c>
      <c r="F266" t="s">
        <v>1280</v>
      </c>
      <c r="G266">
        <v>9</v>
      </c>
    </row>
    <row r="267" spans="1:7" x14ac:dyDescent="0.25">
      <c r="A267" t="s">
        <v>1263</v>
      </c>
      <c r="B267">
        <v>22</v>
      </c>
      <c r="C267">
        <v>0</v>
      </c>
      <c r="D267">
        <v>124</v>
      </c>
      <c r="F267" t="s">
        <v>1281</v>
      </c>
      <c r="G267">
        <v>7</v>
      </c>
    </row>
    <row r="268" spans="1:7" x14ac:dyDescent="0.25">
      <c r="A268" t="s">
        <v>1264</v>
      </c>
      <c r="B268">
        <v>38</v>
      </c>
      <c r="C268">
        <v>0</v>
      </c>
      <c r="D268">
        <v>113</v>
      </c>
      <c r="F268" t="s">
        <v>1282</v>
      </c>
      <c r="G268">
        <v>27</v>
      </c>
    </row>
    <row r="269" spans="1:7" x14ac:dyDescent="0.25">
      <c r="A269" t="s">
        <v>1265</v>
      </c>
      <c r="B269">
        <v>31</v>
      </c>
      <c r="C269">
        <v>2</v>
      </c>
      <c r="D269">
        <v>142</v>
      </c>
      <c r="F269" t="s">
        <v>1283</v>
      </c>
      <c r="G269">
        <v>14</v>
      </c>
    </row>
    <row r="270" spans="1:7" x14ac:dyDescent="0.25">
      <c r="A270" t="s">
        <v>1266</v>
      </c>
      <c r="B270">
        <v>46</v>
      </c>
      <c r="C270">
        <v>0</v>
      </c>
      <c r="D270">
        <v>202</v>
      </c>
      <c r="F270" t="s">
        <v>1284</v>
      </c>
      <c r="G270">
        <v>7</v>
      </c>
    </row>
    <row r="271" spans="1:7" x14ac:dyDescent="0.25">
      <c r="A271" t="s">
        <v>1267</v>
      </c>
      <c r="B271">
        <v>49</v>
      </c>
      <c r="C271">
        <v>5</v>
      </c>
      <c r="D271">
        <v>146</v>
      </c>
      <c r="F271" t="s">
        <v>1285</v>
      </c>
      <c r="G271">
        <v>21</v>
      </c>
    </row>
    <row r="272" spans="1:7" x14ac:dyDescent="0.25">
      <c r="A272" t="s">
        <v>1268</v>
      </c>
      <c r="B272">
        <v>37</v>
      </c>
      <c r="C272">
        <v>11</v>
      </c>
      <c r="D272">
        <v>223</v>
      </c>
      <c r="F272" t="s">
        <v>1286</v>
      </c>
      <c r="G272">
        <v>25</v>
      </c>
    </row>
    <row r="273" spans="1:7" x14ac:dyDescent="0.25">
      <c r="A273" t="s">
        <v>1269</v>
      </c>
      <c r="B273">
        <v>26</v>
      </c>
      <c r="C273">
        <v>3</v>
      </c>
      <c r="D273">
        <v>87</v>
      </c>
      <c r="F273" t="s">
        <v>1287</v>
      </c>
      <c r="G273">
        <v>36</v>
      </c>
    </row>
    <row r="274" spans="1:7" x14ac:dyDescent="0.25">
      <c r="A274" t="s">
        <v>1270</v>
      </c>
      <c r="B274">
        <v>62</v>
      </c>
      <c r="C274">
        <v>5</v>
      </c>
      <c r="D274">
        <v>181</v>
      </c>
      <c r="F274" t="s">
        <v>1288</v>
      </c>
      <c r="G274">
        <v>8</v>
      </c>
    </row>
    <row r="275" spans="1:7" x14ac:dyDescent="0.25">
      <c r="A275" t="s">
        <v>1271</v>
      </c>
      <c r="B275">
        <v>13</v>
      </c>
      <c r="C275">
        <v>0</v>
      </c>
      <c r="D275">
        <v>71</v>
      </c>
      <c r="F275" t="s">
        <v>1289</v>
      </c>
      <c r="G275">
        <v>22</v>
      </c>
    </row>
    <row r="276" spans="1:7" x14ac:dyDescent="0.25">
      <c r="A276" t="s">
        <v>1272</v>
      </c>
      <c r="B276">
        <v>26</v>
      </c>
      <c r="C276">
        <v>2</v>
      </c>
      <c r="D276">
        <v>138</v>
      </c>
      <c r="F276" t="s">
        <v>1290</v>
      </c>
      <c r="G276">
        <v>21</v>
      </c>
    </row>
    <row r="277" spans="1:7" x14ac:dyDescent="0.25">
      <c r="A277" t="s">
        <v>1273</v>
      </c>
      <c r="B277">
        <v>51</v>
      </c>
      <c r="C277">
        <v>7</v>
      </c>
      <c r="D277">
        <v>264</v>
      </c>
      <c r="F277" t="s">
        <v>1291</v>
      </c>
      <c r="G277">
        <v>76</v>
      </c>
    </row>
    <row r="278" spans="1:7" x14ac:dyDescent="0.25">
      <c r="A278" t="s">
        <v>1274</v>
      </c>
      <c r="B278">
        <v>55</v>
      </c>
      <c r="C278">
        <v>5</v>
      </c>
      <c r="D278">
        <v>170</v>
      </c>
      <c r="F278" t="s">
        <v>1292</v>
      </c>
      <c r="G278">
        <v>15</v>
      </c>
    </row>
    <row r="279" spans="1:7" x14ac:dyDescent="0.25">
      <c r="A279" t="s">
        <v>1275</v>
      </c>
      <c r="B279">
        <v>49</v>
      </c>
      <c r="C279">
        <v>2</v>
      </c>
      <c r="D279">
        <v>104</v>
      </c>
      <c r="F279" t="s">
        <v>1293</v>
      </c>
      <c r="G279">
        <v>24</v>
      </c>
    </row>
    <row r="280" spans="1:7" x14ac:dyDescent="0.25">
      <c r="A280" t="s">
        <v>1276</v>
      </c>
      <c r="B280">
        <v>30</v>
      </c>
      <c r="C280">
        <v>1</v>
      </c>
      <c r="D280">
        <v>72</v>
      </c>
      <c r="F280" t="s">
        <v>1294</v>
      </c>
      <c r="G280">
        <v>12</v>
      </c>
    </row>
    <row r="281" spans="1:7" x14ac:dyDescent="0.25">
      <c r="A281" t="s">
        <v>1277</v>
      </c>
      <c r="B281">
        <v>36</v>
      </c>
      <c r="C281">
        <v>3</v>
      </c>
      <c r="D281">
        <v>97</v>
      </c>
      <c r="F281" t="s">
        <v>1295</v>
      </c>
      <c r="G281">
        <v>5</v>
      </c>
    </row>
    <row r="282" spans="1:7" x14ac:dyDescent="0.25">
      <c r="A282" t="s">
        <v>1278</v>
      </c>
      <c r="B282">
        <v>41</v>
      </c>
      <c r="C282">
        <v>4</v>
      </c>
      <c r="D282">
        <v>108</v>
      </c>
      <c r="F282" t="s">
        <v>1296</v>
      </c>
      <c r="G282">
        <v>8</v>
      </c>
    </row>
    <row r="283" spans="1:7" x14ac:dyDescent="0.25">
      <c r="A283" t="s">
        <v>1279</v>
      </c>
      <c r="B283">
        <v>41</v>
      </c>
      <c r="C283">
        <v>1</v>
      </c>
      <c r="D283">
        <v>131</v>
      </c>
      <c r="F283" t="s">
        <v>1297</v>
      </c>
      <c r="G283">
        <v>10</v>
      </c>
    </row>
    <row r="284" spans="1:7" x14ac:dyDescent="0.25">
      <c r="A284" t="s">
        <v>1280</v>
      </c>
      <c r="B284">
        <v>20</v>
      </c>
      <c r="C284">
        <v>4</v>
      </c>
      <c r="D284">
        <v>139</v>
      </c>
      <c r="F284" t="s">
        <v>1298</v>
      </c>
      <c r="G284">
        <v>14</v>
      </c>
    </row>
    <row r="285" spans="1:7" x14ac:dyDescent="0.25">
      <c r="A285" t="s">
        <v>1281</v>
      </c>
      <c r="B285">
        <v>19</v>
      </c>
      <c r="C285">
        <v>1</v>
      </c>
      <c r="D285">
        <v>83</v>
      </c>
      <c r="F285" t="s">
        <v>1299</v>
      </c>
      <c r="G285">
        <v>12</v>
      </c>
    </row>
    <row r="286" spans="1:7" x14ac:dyDescent="0.25">
      <c r="A286" t="s">
        <v>1282</v>
      </c>
      <c r="B286">
        <v>37</v>
      </c>
      <c r="C286">
        <v>4</v>
      </c>
      <c r="D286">
        <v>166</v>
      </c>
      <c r="F286" t="s">
        <v>1300</v>
      </c>
      <c r="G286">
        <v>12</v>
      </c>
    </row>
    <row r="287" spans="1:7" x14ac:dyDescent="0.25">
      <c r="A287" t="s">
        <v>1283</v>
      </c>
      <c r="B287">
        <v>54</v>
      </c>
      <c r="C287">
        <v>5</v>
      </c>
      <c r="D287">
        <v>108</v>
      </c>
      <c r="F287" t="s">
        <v>1301</v>
      </c>
      <c r="G287">
        <v>5</v>
      </c>
    </row>
    <row r="288" spans="1:7" x14ac:dyDescent="0.25">
      <c r="A288" t="s">
        <v>1284</v>
      </c>
      <c r="B288">
        <v>17</v>
      </c>
      <c r="C288">
        <v>1</v>
      </c>
      <c r="D288">
        <v>42</v>
      </c>
      <c r="F288" t="s">
        <v>1302</v>
      </c>
      <c r="G288">
        <v>9</v>
      </c>
    </row>
    <row r="289" spans="1:7" x14ac:dyDescent="0.25">
      <c r="A289" t="s">
        <v>1285</v>
      </c>
      <c r="B289">
        <v>61</v>
      </c>
      <c r="C289">
        <v>0</v>
      </c>
      <c r="D289">
        <v>195</v>
      </c>
      <c r="F289" t="s">
        <v>1303</v>
      </c>
      <c r="G289">
        <v>14</v>
      </c>
    </row>
    <row r="290" spans="1:7" x14ac:dyDescent="0.25">
      <c r="A290" t="s">
        <v>1286</v>
      </c>
      <c r="B290">
        <v>54</v>
      </c>
      <c r="C290">
        <v>2</v>
      </c>
      <c r="D290">
        <v>131</v>
      </c>
      <c r="F290" t="s">
        <v>1304</v>
      </c>
      <c r="G290">
        <v>9</v>
      </c>
    </row>
    <row r="291" spans="1:7" x14ac:dyDescent="0.25">
      <c r="A291" t="s">
        <v>1287</v>
      </c>
      <c r="B291">
        <v>12</v>
      </c>
      <c r="C291">
        <v>0</v>
      </c>
      <c r="D291">
        <v>88</v>
      </c>
      <c r="F291" t="s">
        <v>1305</v>
      </c>
      <c r="G291">
        <v>9</v>
      </c>
    </row>
    <row r="292" spans="1:7" x14ac:dyDescent="0.25">
      <c r="A292" t="s">
        <v>1288</v>
      </c>
      <c r="B292">
        <v>72</v>
      </c>
      <c r="C292">
        <v>1</v>
      </c>
      <c r="D292">
        <v>153</v>
      </c>
      <c r="F292" t="s">
        <v>1306</v>
      </c>
      <c r="G292">
        <v>6</v>
      </c>
    </row>
    <row r="293" spans="1:7" x14ac:dyDescent="0.25">
      <c r="A293" t="s">
        <v>1289</v>
      </c>
      <c r="B293">
        <v>36</v>
      </c>
      <c r="C293">
        <v>2</v>
      </c>
      <c r="D293">
        <v>123</v>
      </c>
      <c r="F293" t="s">
        <v>1307</v>
      </c>
      <c r="G293">
        <v>14</v>
      </c>
    </row>
    <row r="294" spans="1:7" x14ac:dyDescent="0.25">
      <c r="A294" t="s">
        <v>1290</v>
      </c>
      <c r="B294">
        <v>30</v>
      </c>
      <c r="C294">
        <v>2</v>
      </c>
      <c r="D294">
        <v>102</v>
      </c>
      <c r="F294" t="s">
        <v>1308</v>
      </c>
      <c r="G294">
        <v>12</v>
      </c>
    </row>
    <row r="295" spans="1:7" x14ac:dyDescent="0.25">
      <c r="A295" t="s">
        <v>1291</v>
      </c>
      <c r="B295">
        <v>36</v>
      </c>
      <c r="C295">
        <v>4</v>
      </c>
      <c r="D295">
        <v>284</v>
      </c>
      <c r="F295" t="s">
        <v>1309</v>
      </c>
      <c r="G295">
        <v>24</v>
      </c>
    </row>
    <row r="296" spans="1:7" x14ac:dyDescent="0.25">
      <c r="A296" t="s">
        <v>1292</v>
      </c>
      <c r="B296">
        <v>22</v>
      </c>
      <c r="C296">
        <v>2</v>
      </c>
      <c r="D296">
        <v>112</v>
      </c>
      <c r="F296" t="s">
        <v>1310</v>
      </c>
      <c r="G296">
        <v>339</v>
      </c>
    </row>
    <row r="297" spans="1:7" x14ac:dyDescent="0.25">
      <c r="A297" t="s">
        <v>1293</v>
      </c>
      <c r="B297">
        <v>34</v>
      </c>
      <c r="C297">
        <v>0</v>
      </c>
      <c r="D297">
        <v>133</v>
      </c>
      <c r="F297" t="s">
        <v>1312</v>
      </c>
      <c r="G297">
        <v>1</v>
      </c>
    </row>
    <row r="298" spans="1:7" x14ac:dyDescent="0.25">
      <c r="A298" t="s">
        <v>1294</v>
      </c>
      <c r="B298">
        <v>32</v>
      </c>
      <c r="C298">
        <v>1</v>
      </c>
      <c r="D298">
        <v>96</v>
      </c>
      <c r="F298" t="s">
        <v>1313</v>
      </c>
      <c r="G298">
        <v>27</v>
      </c>
    </row>
    <row r="299" spans="1:7" x14ac:dyDescent="0.25">
      <c r="A299" t="s">
        <v>1295</v>
      </c>
      <c r="B299">
        <v>14</v>
      </c>
      <c r="C299">
        <v>1</v>
      </c>
      <c r="D299">
        <v>36</v>
      </c>
      <c r="F299" t="s">
        <v>1314</v>
      </c>
      <c r="G299">
        <v>38</v>
      </c>
    </row>
    <row r="300" spans="1:7" x14ac:dyDescent="0.25">
      <c r="A300" t="s">
        <v>1296</v>
      </c>
      <c r="B300">
        <v>16</v>
      </c>
      <c r="C300">
        <v>1</v>
      </c>
      <c r="D300">
        <v>49</v>
      </c>
      <c r="F300" t="s">
        <v>1315</v>
      </c>
      <c r="G300">
        <v>10</v>
      </c>
    </row>
    <row r="301" spans="1:7" x14ac:dyDescent="0.25">
      <c r="A301" t="s">
        <v>1297</v>
      </c>
      <c r="B301">
        <v>22</v>
      </c>
      <c r="C301">
        <v>2</v>
      </c>
      <c r="D301">
        <v>69</v>
      </c>
      <c r="F301" t="s">
        <v>1316</v>
      </c>
      <c r="G301">
        <v>24</v>
      </c>
    </row>
    <row r="302" spans="1:7" x14ac:dyDescent="0.25">
      <c r="A302" t="s">
        <v>1298</v>
      </c>
      <c r="B302">
        <v>27</v>
      </c>
      <c r="C302">
        <v>1</v>
      </c>
      <c r="D302">
        <v>96</v>
      </c>
      <c r="F302" t="s">
        <v>1317</v>
      </c>
      <c r="G302">
        <v>9</v>
      </c>
    </row>
    <row r="303" spans="1:7" x14ac:dyDescent="0.25">
      <c r="A303" t="s">
        <v>1299</v>
      </c>
      <c r="B303">
        <v>14</v>
      </c>
      <c r="C303">
        <v>2</v>
      </c>
      <c r="D303">
        <v>85</v>
      </c>
      <c r="F303" t="s">
        <v>1318</v>
      </c>
      <c r="G303">
        <v>13</v>
      </c>
    </row>
    <row r="304" spans="1:7" x14ac:dyDescent="0.25">
      <c r="A304" t="s">
        <v>1300</v>
      </c>
      <c r="B304">
        <v>20</v>
      </c>
      <c r="C304">
        <v>2</v>
      </c>
      <c r="D304">
        <v>57</v>
      </c>
      <c r="F304" t="s">
        <v>1319</v>
      </c>
      <c r="G304">
        <v>51</v>
      </c>
    </row>
    <row r="305" spans="1:7" x14ac:dyDescent="0.25">
      <c r="A305" t="s">
        <v>1301</v>
      </c>
      <c r="B305">
        <v>10</v>
      </c>
      <c r="C305">
        <v>0</v>
      </c>
      <c r="D305">
        <v>24</v>
      </c>
      <c r="F305" t="s">
        <v>1320</v>
      </c>
      <c r="G305">
        <v>17</v>
      </c>
    </row>
    <row r="306" spans="1:7" x14ac:dyDescent="0.25">
      <c r="A306" t="s">
        <v>1302</v>
      </c>
      <c r="B306">
        <v>17</v>
      </c>
      <c r="C306">
        <v>1</v>
      </c>
      <c r="D306">
        <v>55</v>
      </c>
      <c r="F306" t="s">
        <v>1321</v>
      </c>
      <c r="G306">
        <v>27</v>
      </c>
    </row>
    <row r="307" spans="1:7" x14ac:dyDescent="0.25">
      <c r="A307" t="s">
        <v>1303</v>
      </c>
      <c r="B307">
        <v>8</v>
      </c>
      <c r="C307">
        <v>0</v>
      </c>
      <c r="D307">
        <v>56</v>
      </c>
      <c r="F307" t="s">
        <v>1322</v>
      </c>
      <c r="G307">
        <v>18</v>
      </c>
    </row>
    <row r="308" spans="1:7" x14ac:dyDescent="0.25">
      <c r="A308" t="s">
        <v>1304</v>
      </c>
      <c r="B308">
        <v>13</v>
      </c>
      <c r="C308">
        <v>1</v>
      </c>
      <c r="D308">
        <v>47</v>
      </c>
      <c r="F308" t="s">
        <v>1323</v>
      </c>
      <c r="G308">
        <v>64</v>
      </c>
    </row>
    <row r="309" spans="1:7" x14ac:dyDescent="0.25">
      <c r="A309" t="s">
        <v>1305</v>
      </c>
      <c r="B309">
        <v>12</v>
      </c>
      <c r="C309">
        <v>0</v>
      </c>
      <c r="D309">
        <v>38</v>
      </c>
      <c r="F309" t="s">
        <v>1324</v>
      </c>
      <c r="G309">
        <v>26</v>
      </c>
    </row>
    <row r="310" spans="1:7" x14ac:dyDescent="0.25">
      <c r="A310" t="s">
        <v>1306</v>
      </c>
      <c r="B310">
        <v>21</v>
      </c>
      <c r="C310">
        <v>0</v>
      </c>
      <c r="D310">
        <v>48</v>
      </c>
      <c r="F310" t="s">
        <v>1325</v>
      </c>
      <c r="G310">
        <v>53</v>
      </c>
    </row>
    <row r="311" spans="1:7" x14ac:dyDescent="0.25">
      <c r="A311" t="s">
        <v>1307</v>
      </c>
      <c r="B311">
        <v>21</v>
      </c>
      <c r="C311">
        <v>0</v>
      </c>
      <c r="D311">
        <v>64</v>
      </c>
      <c r="F311" t="s">
        <v>1326</v>
      </c>
      <c r="G311">
        <v>1</v>
      </c>
    </row>
    <row r="312" spans="1:7" x14ac:dyDescent="0.25">
      <c r="A312" t="s">
        <v>1308</v>
      </c>
      <c r="B312">
        <v>25</v>
      </c>
      <c r="C312">
        <v>0</v>
      </c>
      <c r="D312">
        <v>67</v>
      </c>
      <c r="F312" t="s">
        <v>1327</v>
      </c>
      <c r="G312">
        <v>5</v>
      </c>
    </row>
    <row r="313" spans="1:7" x14ac:dyDescent="0.25">
      <c r="A313" t="s">
        <v>1309</v>
      </c>
      <c r="B313">
        <v>29</v>
      </c>
      <c r="C313">
        <v>2</v>
      </c>
      <c r="D313">
        <v>118</v>
      </c>
      <c r="F313" t="s">
        <v>1328</v>
      </c>
      <c r="G313">
        <v>9</v>
      </c>
    </row>
    <row r="314" spans="1:7" x14ac:dyDescent="0.25">
      <c r="A314" t="s">
        <v>1310</v>
      </c>
      <c r="B314">
        <v>29</v>
      </c>
      <c r="C314">
        <v>8</v>
      </c>
      <c r="D314">
        <v>552</v>
      </c>
      <c r="F314" t="s">
        <v>1329</v>
      </c>
      <c r="G314">
        <v>4</v>
      </c>
    </row>
    <row r="315" spans="1:7" x14ac:dyDescent="0.25">
      <c r="A315" t="s">
        <v>1311</v>
      </c>
      <c r="B315">
        <v>0</v>
      </c>
      <c r="C315">
        <v>2</v>
      </c>
      <c r="D315">
        <v>2</v>
      </c>
      <c r="F315" t="s">
        <v>1330</v>
      </c>
      <c r="G315">
        <v>4</v>
      </c>
    </row>
    <row r="316" spans="1:7" x14ac:dyDescent="0.25">
      <c r="A316" t="s">
        <v>1312</v>
      </c>
      <c r="B316">
        <v>0</v>
      </c>
      <c r="C316">
        <v>1</v>
      </c>
      <c r="D316">
        <v>1</v>
      </c>
      <c r="F316" t="s">
        <v>1331</v>
      </c>
      <c r="G316">
        <v>12</v>
      </c>
    </row>
    <row r="317" spans="1:7" x14ac:dyDescent="0.25">
      <c r="A317" t="s">
        <v>1313</v>
      </c>
      <c r="B317">
        <v>27</v>
      </c>
      <c r="C317">
        <v>0</v>
      </c>
      <c r="D317">
        <v>111</v>
      </c>
      <c r="F317" t="s">
        <v>1332</v>
      </c>
      <c r="G317">
        <v>7</v>
      </c>
    </row>
    <row r="318" spans="1:7" x14ac:dyDescent="0.25">
      <c r="A318" t="s">
        <v>1314</v>
      </c>
      <c r="B318">
        <v>35</v>
      </c>
      <c r="C318">
        <v>2</v>
      </c>
      <c r="D318">
        <v>146</v>
      </c>
      <c r="F318" t="s">
        <v>1333</v>
      </c>
      <c r="G318">
        <v>9</v>
      </c>
    </row>
    <row r="319" spans="1:7" x14ac:dyDescent="0.25">
      <c r="A319" t="s">
        <v>1315</v>
      </c>
      <c r="B319">
        <v>15</v>
      </c>
      <c r="C319">
        <v>1</v>
      </c>
      <c r="D319">
        <v>83</v>
      </c>
      <c r="F319" t="s">
        <v>1334</v>
      </c>
      <c r="G319">
        <v>11</v>
      </c>
    </row>
    <row r="320" spans="1:7" x14ac:dyDescent="0.25">
      <c r="A320" t="s">
        <v>1316</v>
      </c>
      <c r="B320">
        <v>30</v>
      </c>
      <c r="C320">
        <v>0</v>
      </c>
      <c r="D320">
        <v>107</v>
      </c>
      <c r="F320" t="s">
        <v>1335</v>
      </c>
      <c r="G320">
        <v>18</v>
      </c>
    </row>
    <row r="321" spans="1:7" x14ac:dyDescent="0.25">
      <c r="A321" t="s">
        <v>1317</v>
      </c>
      <c r="B321">
        <v>14</v>
      </c>
      <c r="C321">
        <v>1</v>
      </c>
      <c r="D321">
        <v>66</v>
      </c>
      <c r="F321" t="s">
        <v>1336</v>
      </c>
      <c r="G321">
        <v>2</v>
      </c>
    </row>
    <row r="322" spans="1:7" x14ac:dyDescent="0.25">
      <c r="A322" t="s">
        <v>1318</v>
      </c>
      <c r="B322">
        <v>14</v>
      </c>
      <c r="C322">
        <v>1</v>
      </c>
      <c r="D322">
        <v>51</v>
      </c>
      <c r="F322" t="s">
        <v>1337</v>
      </c>
      <c r="G322">
        <v>5</v>
      </c>
    </row>
    <row r="323" spans="1:7" x14ac:dyDescent="0.25">
      <c r="A323" t="s">
        <v>1319</v>
      </c>
      <c r="B323">
        <v>44</v>
      </c>
      <c r="C323">
        <v>0</v>
      </c>
      <c r="D323">
        <v>184</v>
      </c>
      <c r="F323" t="s">
        <v>1338</v>
      </c>
      <c r="G323">
        <v>5</v>
      </c>
    </row>
    <row r="324" spans="1:7" x14ac:dyDescent="0.25">
      <c r="A324" t="s">
        <v>1320</v>
      </c>
      <c r="B324">
        <v>21</v>
      </c>
      <c r="C324">
        <v>1</v>
      </c>
      <c r="D324">
        <v>79</v>
      </c>
      <c r="F324" t="s">
        <v>1339</v>
      </c>
      <c r="G324">
        <v>2</v>
      </c>
    </row>
    <row r="325" spans="1:7" x14ac:dyDescent="0.25">
      <c r="A325" t="s">
        <v>1321</v>
      </c>
      <c r="B325">
        <v>31</v>
      </c>
      <c r="C325">
        <v>1</v>
      </c>
      <c r="D325">
        <v>98</v>
      </c>
      <c r="F325" t="s">
        <v>1340</v>
      </c>
      <c r="G325">
        <v>3</v>
      </c>
    </row>
    <row r="326" spans="1:7" x14ac:dyDescent="0.25">
      <c r="A326" t="s">
        <v>1322</v>
      </c>
      <c r="B326">
        <v>51</v>
      </c>
      <c r="C326">
        <v>0</v>
      </c>
      <c r="D326">
        <v>150</v>
      </c>
      <c r="F326" t="s">
        <v>1342</v>
      </c>
      <c r="G326">
        <v>4</v>
      </c>
    </row>
    <row r="327" spans="1:7" x14ac:dyDescent="0.25">
      <c r="A327" t="s">
        <v>1323</v>
      </c>
      <c r="B327">
        <v>78</v>
      </c>
      <c r="C327">
        <v>1</v>
      </c>
      <c r="D327">
        <v>309</v>
      </c>
      <c r="F327" t="s">
        <v>1343</v>
      </c>
      <c r="G327">
        <v>30</v>
      </c>
    </row>
    <row r="328" spans="1:7" x14ac:dyDescent="0.25">
      <c r="A328" t="s">
        <v>1324</v>
      </c>
      <c r="B328">
        <v>45</v>
      </c>
      <c r="C328">
        <v>0</v>
      </c>
      <c r="D328">
        <v>150</v>
      </c>
      <c r="F328" t="s">
        <v>1344</v>
      </c>
      <c r="G328">
        <v>34</v>
      </c>
    </row>
    <row r="329" spans="1:7" x14ac:dyDescent="0.25">
      <c r="A329" t="s">
        <v>1325</v>
      </c>
      <c r="B329">
        <v>24</v>
      </c>
      <c r="C329">
        <v>0</v>
      </c>
      <c r="D329">
        <v>143</v>
      </c>
      <c r="F329" t="s">
        <v>1345</v>
      </c>
      <c r="G329">
        <v>48</v>
      </c>
    </row>
    <row r="330" spans="1:7" x14ac:dyDescent="0.25">
      <c r="A330" t="s">
        <v>1326</v>
      </c>
      <c r="B330">
        <v>0</v>
      </c>
      <c r="C330">
        <v>1</v>
      </c>
      <c r="D330">
        <v>3</v>
      </c>
      <c r="F330" t="s">
        <v>1346</v>
      </c>
      <c r="G330">
        <v>26</v>
      </c>
    </row>
    <row r="331" spans="1:7" x14ac:dyDescent="0.25">
      <c r="A331" t="s">
        <v>1327</v>
      </c>
      <c r="B331">
        <v>18</v>
      </c>
      <c r="C331">
        <v>0</v>
      </c>
      <c r="D331">
        <v>61</v>
      </c>
      <c r="F331" t="s">
        <v>1347</v>
      </c>
      <c r="G331">
        <v>17</v>
      </c>
    </row>
    <row r="332" spans="1:7" x14ac:dyDescent="0.25">
      <c r="A332" t="s">
        <v>1328</v>
      </c>
      <c r="B332">
        <v>11</v>
      </c>
      <c r="C332">
        <v>0</v>
      </c>
      <c r="D332">
        <v>60</v>
      </c>
      <c r="F332" t="s">
        <v>1348</v>
      </c>
      <c r="G332">
        <v>26</v>
      </c>
    </row>
    <row r="333" spans="1:7" x14ac:dyDescent="0.25">
      <c r="A333" t="s">
        <v>1329</v>
      </c>
      <c r="B333">
        <v>11</v>
      </c>
      <c r="C333">
        <v>0</v>
      </c>
      <c r="D333">
        <v>54</v>
      </c>
      <c r="F333" t="s">
        <v>1349</v>
      </c>
      <c r="G333">
        <v>39</v>
      </c>
    </row>
    <row r="334" spans="1:7" x14ac:dyDescent="0.25">
      <c r="A334" t="s">
        <v>1330</v>
      </c>
      <c r="B334">
        <v>10</v>
      </c>
      <c r="C334">
        <v>0</v>
      </c>
      <c r="D334">
        <v>30</v>
      </c>
      <c r="F334" t="s">
        <v>1351</v>
      </c>
      <c r="G334">
        <v>53</v>
      </c>
    </row>
    <row r="335" spans="1:7" x14ac:dyDescent="0.25">
      <c r="A335" t="s">
        <v>1331</v>
      </c>
      <c r="B335">
        <v>17</v>
      </c>
      <c r="C335">
        <v>1</v>
      </c>
      <c r="D335">
        <v>83</v>
      </c>
      <c r="F335" t="s">
        <v>1352</v>
      </c>
      <c r="G335">
        <v>8</v>
      </c>
    </row>
    <row r="336" spans="1:7" x14ac:dyDescent="0.25">
      <c r="A336" t="s">
        <v>1332</v>
      </c>
      <c r="B336">
        <v>10</v>
      </c>
      <c r="C336">
        <v>0</v>
      </c>
      <c r="D336">
        <v>36</v>
      </c>
      <c r="F336" t="s">
        <v>1353</v>
      </c>
      <c r="G336">
        <v>16</v>
      </c>
    </row>
    <row r="337" spans="1:7" x14ac:dyDescent="0.25">
      <c r="A337" t="s">
        <v>1333</v>
      </c>
      <c r="B337">
        <v>18</v>
      </c>
      <c r="C337">
        <v>0</v>
      </c>
      <c r="D337">
        <v>84</v>
      </c>
      <c r="F337" t="s">
        <v>1354</v>
      </c>
      <c r="G337">
        <v>45</v>
      </c>
    </row>
    <row r="338" spans="1:7" x14ac:dyDescent="0.25">
      <c r="A338" t="s">
        <v>1334</v>
      </c>
      <c r="B338">
        <v>21</v>
      </c>
      <c r="C338">
        <v>1</v>
      </c>
      <c r="D338">
        <v>74</v>
      </c>
      <c r="F338" t="s">
        <v>1355</v>
      </c>
      <c r="G338">
        <v>20</v>
      </c>
    </row>
    <row r="339" spans="1:7" x14ac:dyDescent="0.25">
      <c r="A339" t="s">
        <v>1335</v>
      </c>
      <c r="B339">
        <v>9</v>
      </c>
      <c r="C339">
        <v>1</v>
      </c>
      <c r="D339">
        <v>79</v>
      </c>
      <c r="F339" t="s">
        <v>1356</v>
      </c>
      <c r="G339">
        <v>20</v>
      </c>
    </row>
    <row r="340" spans="1:7" x14ac:dyDescent="0.25">
      <c r="A340" t="s">
        <v>1336</v>
      </c>
      <c r="B340">
        <v>10</v>
      </c>
      <c r="C340">
        <v>0</v>
      </c>
      <c r="D340">
        <v>23</v>
      </c>
      <c r="F340" t="s">
        <v>1357</v>
      </c>
      <c r="G340">
        <v>16</v>
      </c>
    </row>
    <row r="341" spans="1:7" x14ac:dyDescent="0.25">
      <c r="A341" t="s">
        <v>1337</v>
      </c>
      <c r="B341">
        <v>4</v>
      </c>
      <c r="C341">
        <v>0</v>
      </c>
      <c r="D341">
        <v>42</v>
      </c>
      <c r="F341" t="s">
        <v>1358</v>
      </c>
      <c r="G341">
        <v>14</v>
      </c>
    </row>
    <row r="342" spans="1:7" x14ac:dyDescent="0.25">
      <c r="A342" t="s">
        <v>1338</v>
      </c>
      <c r="B342">
        <v>12</v>
      </c>
      <c r="C342">
        <v>1</v>
      </c>
      <c r="D342">
        <v>60</v>
      </c>
      <c r="F342" t="s">
        <v>1359</v>
      </c>
      <c r="G342">
        <v>30</v>
      </c>
    </row>
    <row r="343" spans="1:7" x14ac:dyDescent="0.25">
      <c r="A343" t="s">
        <v>1339</v>
      </c>
      <c r="B343">
        <v>15</v>
      </c>
      <c r="C343">
        <v>1</v>
      </c>
      <c r="D343">
        <v>31</v>
      </c>
      <c r="F343" t="s">
        <v>1360</v>
      </c>
      <c r="G343">
        <v>49</v>
      </c>
    </row>
    <row r="344" spans="1:7" x14ac:dyDescent="0.25">
      <c r="A344" t="s">
        <v>1340</v>
      </c>
      <c r="B344">
        <v>20</v>
      </c>
      <c r="C344">
        <v>0</v>
      </c>
      <c r="D344">
        <v>37</v>
      </c>
      <c r="F344" t="s">
        <v>1361</v>
      </c>
      <c r="G344">
        <v>9</v>
      </c>
    </row>
    <row r="345" spans="1:7" x14ac:dyDescent="0.25">
      <c r="A345" t="s">
        <v>1342</v>
      </c>
      <c r="B345">
        <v>1</v>
      </c>
      <c r="C345">
        <v>0</v>
      </c>
      <c r="D345">
        <v>6</v>
      </c>
      <c r="F345" t="s">
        <v>1362</v>
      </c>
      <c r="G345">
        <v>4</v>
      </c>
    </row>
    <row r="346" spans="1:7" x14ac:dyDescent="0.25">
      <c r="A346" t="s">
        <v>1343</v>
      </c>
      <c r="B346">
        <v>27</v>
      </c>
      <c r="C346">
        <v>16</v>
      </c>
      <c r="D346">
        <v>161</v>
      </c>
      <c r="F346" t="s">
        <v>1363</v>
      </c>
      <c r="G346">
        <v>10</v>
      </c>
    </row>
    <row r="347" spans="1:7" x14ac:dyDescent="0.25">
      <c r="A347" t="s">
        <v>1344</v>
      </c>
      <c r="B347">
        <v>57</v>
      </c>
      <c r="C347">
        <v>0</v>
      </c>
      <c r="D347">
        <v>166</v>
      </c>
      <c r="F347" t="s">
        <v>1364</v>
      </c>
      <c r="G347">
        <v>9</v>
      </c>
    </row>
    <row r="348" spans="1:7" x14ac:dyDescent="0.25">
      <c r="A348" t="s">
        <v>1345</v>
      </c>
      <c r="B348">
        <v>48</v>
      </c>
      <c r="C348">
        <v>3</v>
      </c>
      <c r="D348">
        <v>230</v>
      </c>
      <c r="F348" t="s">
        <v>1365</v>
      </c>
      <c r="G348">
        <v>14</v>
      </c>
    </row>
    <row r="349" spans="1:7" x14ac:dyDescent="0.25">
      <c r="A349" t="s">
        <v>1346</v>
      </c>
      <c r="B349">
        <v>27</v>
      </c>
      <c r="C349">
        <v>7</v>
      </c>
      <c r="D349">
        <v>116</v>
      </c>
      <c r="F349" t="s">
        <v>1366</v>
      </c>
      <c r="G349">
        <v>13</v>
      </c>
    </row>
    <row r="350" spans="1:7" x14ac:dyDescent="0.25">
      <c r="A350" t="s">
        <v>1347</v>
      </c>
      <c r="B350">
        <v>29</v>
      </c>
      <c r="C350">
        <v>1</v>
      </c>
      <c r="D350">
        <v>105</v>
      </c>
      <c r="F350" t="s">
        <v>1367</v>
      </c>
      <c r="G350">
        <v>13</v>
      </c>
    </row>
    <row r="351" spans="1:7" x14ac:dyDescent="0.25">
      <c r="A351" t="s">
        <v>1348</v>
      </c>
      <c r="B351">
        <v>76</v>
      </c>
      <c r="C351">
        <v>3</v>
      </c>
      <c r="D351">
        <v>196</v>
      </c>
      <c r="F351" t="s">
        <v>1368</v>
      </c>
      <c r="G351">
        <v>16</v>
      </c>
    </row>
    <row r="352" spans="1:7" x14ac:dyDescent="0.25">
      <c r="A352" t="s">
        <v>1349</v>
      </c>
      <c r="B352">
        <v>38</v>
      </c>
      <c r="C352">
        <v>3</v>
      </c>
      <c r="D352">
        <v>184</v>
      </c>
      <c r="F352" t="s">
        <v>1369</v>
      </c>
      <c r="G352">
        <v>41</v>
      </c>
    </row>
    <row r="353" spans="1:7" x14ac:dyDescent="0.25">
      <c r="A353" t="s">
        <v>1350</v>
      </c>
      <c r="B353">
        <v>25</v>
      </c>
      <c r="C353">
        <v>8</v>
      </c>
      <c r="D353">
        <v>68</v>
      </c>
      <c r="F353" t="s">
        <v>1370</v>
      </c>
      <c r="G353">
        <v>3</v>
      </c>
    </row>
    <row r="354" spans="1:7" x14ac:dyDescent="0.25">
      <c r="A354" t="s">
        <v>1351</v>
      </c>
      <c r="B354">
        <v>21</v>
      </c>
      <c r="C354">
        <v>4</v>
      </c>
      <c r="D354">
        <v>155</v>
      </c>
      <c r="F354" t="s">
        <v>1371</v>
      </c>
      <c r="G354">
        <v>6</v>
      </c>
    </row>
    <row r="355" spans="1:7" x14ac:dyDescent="0.25">
      <c r="A355" t="s">
        <v>1352</v>
      </c>
      <c r="B355">
        <v>17</v>
      </c>
      <c r="C355">
        <v>3</v>
      </c>
      <c r="D355">
        <v>69</v>
      </c>
      <c r="F355" t="s">
        <v>1372</v>
      </c>
      <c r="G355">
        <v>23</v>
      </c>
    </row>
    <row r="356" spans="1:7" x14ac:dyDescent="0.25">
      <c r="A356" t="s">
        <v>1353</v>
      </c>
      <c r="B356">
        <v>35</v>
      </c>
      <c r="C356">
        <v>8</v>
      </c>
      <c r="D356">
        <v>216</v>
      </c>
      <c r="F356" t="s">
        <v>1373</v>
      </c>
      <c r="G356">
        <v>9</v>
      </c>
    </row>
    <row r="357" spans="1:7" x14ac:dyDescent="0.25">
      <c r="A357" t="s">
        <v>1354</v>
      </c>
      <c r="B357">
        <v>43</v>
      </c>
      <c r="C357">
        <v>5</v>
      </c>
      <c r="D357">
        <v>238</v>
      </c>
      <c r="F357" t="s">
        <v>1374</v>
      </c>
      <c r="G357">
        <v>10</v>
      </c>
    </row>
    <row r="358" spans="1:7" x14ac:dyDescent="0.25">
      <c r="A358" t="s">
        <v>1355</v>
      </c>
      <c r="B358">
        <v>40</v>
      </c>
      <c r="C358">
        <v>5</v>
      </c>
      <c r="D358">
        <v>195</v>
      </c>
      <c r="F358" t="s">
        <v>1375</v>
      </c>
      <c r="G358">
        <v>8</v>
      </c>
    </row>
    <row r="359" spans="1:7" x14ac:dyDescent="0.25">
      <c r="A359" t="s">
        <v>1356</v>
      </c>
      <c r="B359">
        <v>37</v>
      </c>
      <c r="C359">
        <v>4</v>
      </c>
      <c r="D359">
        <v>117</v>
      </c>
      <c r="F359" t="s">
        <v>1376</v>
      </c>
      <c r="G359">
        <v>1</v>
      </c>
    </row>
    <row r="360" spans="1:7" x14ac:dyDescent="0.25">
      <c r="A360" t="s">
        <v>1357</v>
      </c>
      <c r="B360">
        <v>25</v>
      </c>
      <c r="C360">
        <v>1</v>
      </c>
      <c r="D360">
        <v>96</v>
      </c>
      <c r="F360" t="s">
        <v>1377</v>
      </c>
      <c r="G360">
        <v>24</v>
      </c>
    </row>
    <row r="361" spans="1:7" x14ac:dyDescent="0.25">
      <c r="A361" t="s">
        <v>1358</v>
      </c>
      <c r="B361">
        <v>22</v>
      </c>
      <c r="C361">
        <v>1</v>
      </c>
      <c r="D361">
        <v>118</v>
      </c>
      <c r="F361" t="s">
        <v>1378</v>
      </c>
      <c r="G361">
        <v>15</v>
      </c>
    </row>
    <row r="362" spans="1:7" x14ac:dyDescent="0.25">
      <c r="A362" t="s">
        <v>1359</v>
      </c>
      <c r="B362">
        <v>42</v>
      </c>
      <c r="C362">
        <v>6</v>
      </c>
      <c r="D362">
        <v>121</v>
      </c>
      <c r="F362" t="s">
        <v>1379</v>
      </c>
      <c r="G362">
        <v>14</v>
      </c>
    </row>
    <row r="363" spans="1:7" x14ac:dyDescent="0.25">
      <c r="A363" t="s">
        <v>1360</v>
      </c>
      <c r="B363">
        <v>4</v>
      </c>
      <c r="C363">
        <v>3</v>
      </c>
      <c r="D363">
        <v>118</v>
      </c>
      <c r="F363" t="s">
        <v>1380</v>
      </c>
      <c r="G363">
        <v>4</v>
      </c>
    </row>
    <row r="364" spans="1:7" x14ac:dyDescent="0.25">
      <c r="A364" t="s">
        <v>1361</v>
      </c>
      <c r="B364">
        <v>25</v>
      </c>
      <c r="C364">
        <v>0</v>
      </c>
      <c r="D364">
        <v>99</v>
      </c>
      <c r="F364" t="s">
        <v>1381</v>
      </c>
      <c r="G364">
        <v>16</v>
      </c>
    </row>
    <row r="365" spans="1:7" x14ac:dyDescent="0.25">
      <c r="A365" t="s">
        <v>1362</v>
      </c>
      <c r="B365">
        <v>67</v>
      </c>
      <c r="C365">
        <v>3</v>
      </c>
      <c r="D365">
        <v>125</v>
      </c>
      <c r="F365" t="s">
        <v>1382</v>
      </c>
      <c r="G365">
        <v>20</v>
      </c>
    </row>
    <row r="366" spans="1:7" x14ac:dyDescent="0.25">
      <c r="A366" t="s">
        <v>1363</v>
      </c>
      <c r="B366">
        <v>88</v>
      </c>
      <c r="C366">
        <v>10</v>
      </c>
      <c r="D366">
        <v>182</v>
      </c>
      <c r="F366" t="s">
        <v>1383</v>
      </c>
      <c r="G366">
        <v>6</v>
      </c>
    </row>
    <row r="367" spans="1:7" x14ac:dyDescent="0.25">
      <c r="A367" t="s">
        <v>1364</v>
      </c>
      <c r="B367">
        <v>51</v>
      </c>
      <c r="C367">
        <v>6</v>
      </c>
      <c r="D367">
        <v>242</v>
      </c>
      <c r="F367" t="s">
        <v>1384</v>
      </c>
      <c r="G367">
        <v>5</v>
      </c>
    </row>
    <row r="368" spans="1:7" x14ac:dyDescent="0.25">
      <c r="A368" t="s">
        <v>1365</v>
      </c>
      <c r="B368">
        <v>62</v>
      </c>
      <c r="C368">
        <v>9</v>
      </c>
      <c r="D368">
        <v>164</v>
      </c>
      <c r="F368" t="s">
        <v>1385</v>
      </c>
      <c r="G368">
        <v>13</v>
      </c>
    </row>
    <row r="369" spans="1:7" x14ac:dyDescent="0.25">
      <c r="A369" t="s">
        <v>1366</v>
      </c>
      <c r="B369">
        <v>40</v>
      </c>
      <c r="C369">
        <v>10</v>
      </c>
      <c r="D369">
        <v>195</v>
      </c>
      <c r="F369" t="s">
        <v>1386</v>
      </c>
      <c r="G369">
        <v>9</v>
      </c>
    </row>
    <row r="370" spans="1:7" x14ac:dyDescent="0.25">
      <c r="A370" t="s">
        <v>1367</v>
      </c>
      <c r="B370">
        <v>33</v>
      </c>
      <c r="C370">
        <v>66</v>
      </c>
      <c r="D370">
        <v>213</v>
      </c>
      <c r="F370" t="s">
        <v>1387</v>
      </c>
      <c r="G370">
        <v>3</v>
      </c>
    </row>
    <row r="371" spans="1:7" x14ac:dyDescent="0.25">
      <c r="A371" t="s">
        <v>1368</v>
      </c>
      <c r="B371">
        <v>4</v>
      </c>
      <c r="C371">
        <v>69</v>
      </c>
      <c r="D371">
        <v>335</v>
      </c>
      <c r="F371" t="s">
        <v>1388</v>
      </c>
      <c r="G371">
        <v>7</v>
      </c>
    </row>
    <row r="372" spans="1:7" x14ac:dyDescent="0.25">
      <c r="A372" t="s">
        <v>1369</v>
      </c>
      <c r="B372">
        <v>45</v>
      </c>
      <c r="C372">
        <v>86</v>
      </c>
      <c r="D372">
        <v>335</v>
      </c>
      <c r="F372" t="s">
        <v>1389</v>
      </c>
      <c r="G372">
        <v>10</v>
      </c>
    </row>
    <row r="373" spans="1:7" x14ac:dyDescent="0.25">
      <c r="A373" t="s">
        <v>1370</v>
      </c>
      <c r="B373">
        <v>45</v>
      </c>
      <c r="C373">
        <v>2</v>
      </c>
      <c r="D373">
        <v>124</v>
      </c>
      <c r="F373" t="s">
        <v>1390</v>
      </c>
      <c r="G373">
        <v>31</v>
      </c>
    </row>
    <row r="374" spans="1:7" x14ac:dyDescent="0.25">
      <c r="A374" t="s">
        <v>1371</v>
      </c>
      <c r="B374">
        <v>37</v>
      </c>
      <c r="C374">
        <v>6</v>
      </c>
      <c r="D374">
        <v>141</v>
      </c>
      <c r="F374" t="s">
        <v>1391</v>
      </c>
      <c r="G374">
        <v>7</v>
      </c>
    </row>
    <row r="375" spans="1:7" x14ac:dyDescent="0.25">
      <c r="A375" t="s">
        <v>1372</v>
      </c>
      <c r="B375">
        <v>26</v>
      </c>
      <c r="C375">
        <v>47</v>
      </c>
      <c r="D375">
        <v>203</v>
      </c>
      <c r="F375" t="s">
        <v>1392</v>
      </c>
      <c r="G375">
        <v>7</v>
      </c>
    </row>
    <row r="376" spans="1:7" x14ac:dyDescent="0.25">
      <c r="A376" t="s">
        <v>1373</v>
      </c>
      <c r="B376">
        <v>5</v>
      </c>
      <c r="C376">
        <v>48</v>
      </c>
      <c r="D376">
        <v>167</v>
      </c>
      <c r="F376" t="s">
        <v>1393</v>
      </c>
      <c r="G376">
        <v>10</v>
      </c>
    </row>
    <row r="377" spans="1:7" x14ac:dyDescent="0.25">
      <c r="A377" t="s">
        <v>1374</v>
      </c>
      <c r="B377">
        <v>8</v>
      </c>
      <c r="C377">
        <v>16</v>
      </c>
      <c r="D377">
        <v>76</v>
      </c>
      <c r="F377" t="s">
        <v>1394</v>
      </c>
      <c r="G377">
        <v>9</v>
      </c>
    </row>
    <row r="378" spans="1:7" x14ac:dyDescent="0.25">
      <c r="A378" t="s">
        <v>1375</v>
      </c>
      <c r="B378">
        <v>70</v>
      </c>
      <c r="C378">
        <v>4</v>
      </c>
      <c r="D378">
        <v>147</v>
      </c>
      <c r="F378" t="s">
        <v>1395</v>
      </c>
      <c r="G378">
        <v>2</v>
      </c>
    </row>
    <row r="379" spans="1:7" x14ac:dyDescent="0.25">
      <c r="A379" t="s">
        <v>1376</v>
      </c>
      <c r="B379">
        <v>14</v>
      </c>
      <c r="C379">
        <v>0</v>
      </c>
      <c r="D379">
        <v>69</v>
      </c>
      <c r="F379" t="s">
        <v>1398</v>
      </c>
      <c r="G379">
        <v>13</v>
      </c>
    </row>
    <row r="380" spans="1:7" x14ac:dyDescent="0.25">
      <c r="A380" t="s">
        <v>1377</v>
      </c>
      <c r="B380">
        <v>70</v>
      </c>
      <c r="C380">
        <v>13</v>
      </c>
      <c r="D380">
        <v>185</v>
      </c>
      <c r="F380" t="s">
        <v>1399</v>
      </c>
      <c r="G380">
        <v>8</v>
      </c>
    </row>
    <row r="381" spans="1:7" x14ac:dyDescent="0.25">
      <c r="A381" t="s">
        <v>1378</v>
      </c>
      <c r="B381">
        <v>34</v>
      </c>
      <c r="C381">
        <v>1</v>
      </c>
      <c r="D381">
        <v>110</v>
      </c>
      <c r="F381" t="s">
        <v>1400</v>
      </c>
      <c r="G381">
        <v>11</v>
      </c>
    </row>
    <row r="382" spans="1:7" x14ac:dyDescent="0.25">
      <c r="A382" t="s">
        <v>1379</v>
      </c>
      <c r="B382">
        <v>72</v>
      </c>
      <c r="C382">
        <v>3</v>
      </c>
      <c r="D382">
        <v>147</v>
      </c>
      <c r="F382" t="s">
        <v>1401</v>
      </c>
      <c r="G382">
        <v>6</v>
      </c>
    </row>
    <row r="383" spans="1:7" x14ac:dyDescent="0.25">
      <c r="A383" t="s">
        <v>1380</v>
      </c>
      <c r="B383">
        <v>33</v>
      </c>
      <c r="C383">
        <v>2</v>
      </c>
      <c r="D383">
        <v>117</v>
      </c>
      <c r="F383" t="s">
        <v>1402</v>
      </c>
      <c r="G383">
        <v>6</v>
      </c>
    </row>
    <row r="384" spans="1:7" x14ac:dyDescent="0.25">
      <c r="A384" t="s">
        <v>1381</v>
      </c>
      <c r="B384">
        <v>30</v>
      </c>
      <c r="C384">
        <v>6</v>
      </c>
      <c r="D384">
        <v>138</v>
      </c>
      <c r="F384" t="s">
        <v>1403</v>
      </c>
      <c r="G384">
        <v>16</v>
      </c>
    </row>
    <row r="385" spans="1:7" x14ac:dyDescent="0.25">
      <c r="A385" t="s">
        <v>1382</v>
      </c>
      <c r="B385">
        <v>42</v>
      </c>
      <c r="C385">
        <v>4</v>
      </c>
      <c r="D385">
        <v>133</v>
      </c>
      <c r="F385" t="s">
        <v>1404</v>
      </c>
      <c r="G385">
        <v>11</v>
      </c>
    </row>
    <row r="386" spans="1:7" x14ac:dyDescent="0.25">
      <c r="A386" t="s">
        <v>1383</v>
      </c>
      <c r="B386">
        <v>41</v>
      </c>
      <c r="C386">
        <v>2</v>
      </c>
      <c r="D386">
        <v>101</v>
      </c>
      <c r="F386" t="s">
        <v>1405</v>
      </c>
      <c r="G386">
        <v>13</v>
      </c>
    </row>
    <row r="387" spans="1:7" x14ac:dyDescent="0.25">
      <c r="A387" t="s">
        <v>1384</v>
      </c>
      <c r="B387">
        <v>51</v>
      </c>
      <c r="C387">
        <v>0</v>
      </c>
      <c r="D387">
        <v>118</v>
      </c>
      <c r="F387" t="s">
        <v>1406</v>
      </c>
      <c r="G387">
        <v>30</v>
      </c>
    </row>
    <row r="388" spans="1:7" x14ac:dyDescent="0.25">
      <c r="A388" t="s">
        <v>1385</v>
      </c>
      <c r="B388">
        <v>60</v>
      </c>
      <c r="C388">
        <v>4</v>
      </c>
      <c r="D388">
        <v>147</v>
      </c>
      <c r="F388" t="s">
        <v>1407</v>
      </c>
      <c r="G388">
        <v>5</v>
      </c>
    </row>
    <row r="389" spans="1:7" x14ac:dyDescent="0.25">
      <c r="A389" t="s">
        <v>1386</v>
      </c>
      <c r="B389">
        <v>43</v>
      </c>
      <c r="C389">
        <v>9</v>
      </c>
      <c r="D389">
        <v>134</v>
      </c>
      <c r="F389" t="s">
        <v>1408</v>
      </c>
      <c r="G389">
        <v>11</v>
      </c>
    </row>
    <row r="390" spans="1:7" x14ac:dyDescent="0.25">
      <c r="A390" t="s">
        <v>1387</v>
      </c>
      <c r="B390">
        <v>28</v>
      </c>
      <c r="C390">
        <v>1</v>
      </c>
      <c r="D390">
        <v>86</v>
      </c>
      <c r="F390" t="s">
        <v>1409</v>
      </c>
      <c r="G390">
        <v>6</v>
      </c>
    </row>
    <row r="391" spans="1:7" x14ac:dyDescent="0.25">
      <c r="A391" t="s">
        <v>1388</v>
      </c>
      <c r="B391">
        <v>32</v>
      </c>
      <c r="C391">
        <v>5</v>
      </c>
      <c r="D391">
        <v>66</v>
      </c>
      <c r="F391" t="s">
        <v>1411</v>
      </c>
      <c r="G391">
        <v>28</v>
      </c>
    </row>
    <row r="392" spans="1:7" x14ac:dyDescent="0.25">
      <c r="A392" t="s">
        <v>1389</v>
      </c>
      <c r="B392">
        <v>79</v>
      </c>
      <c r="C392">
        <v>7</v>
      </c>
      <c r="D392">
        <v>173</v>
      </c>
      <c r="F392" t="s">
        <v>1412</v>
      </c>
      <c r="G392">
        <v>53</v>
      </c>
    </row>
    <row r="393" spans="1:7" x14ac:dyDescent="0.25">
      <c r="A393" t="s">
        <v>1390</v>
      </c>
      <c r="B393">
        <v>26</v>
      </c>
      <c r="C393">
        <v>4</v>
      </c>
      <c r="D393">
        <v>154</v>
      </c>
      <c r="F393" t="s">
        <v>1413</v>
      </c>
      <c r="G393">
        <v>22</v>
      </c>
    </row>
    <row r="394" spans="1:7" x14ac:dyDescent="0.25">
      <c r="A394" t="s">
        <v>1391</v>
      </c>
      <c r="B394">
        <v>48</v>
      </c>
      <c r="C394">
        <v>8</v>
      </c>
      <c r="D394">
        <v>110</v>
      </c>
      <c r="F394" t="s">
        <v>1414</v>
      </c>
      <c r="G394">
        <v>3</v>
      </c>
    </row>
    <row r="395" spans="1:7" x14ac:dyDescent="0.25">
      <c r="A395" t="s">
        <v>1392</v>
      </c>
      <c r="B395">
        <v>48</v>
      </c>
      <c r="C395">
        <v>5</v>
      </c>
      <c r="D395">
        <v>107</v>
      </c>
      <c r="F395" t="s">
        <v>1415</v>
      </c>
      <c r="G395">
        <v>7</v>
      </c>
    </row>
    <row r="396" spans="1:7" x14ac:dyDescent="0.25">
      <c r="A396" t="s">
        <v>1393</v>
      </c>
      <c r="B396">
        <v>71</v>
      </c>
      <c r="C396">
        <v>9</v>
      </c>
      <c r="D396">
        <v>121</v>
      </c>
      <c r="F396" t="s">
        <v>1416</v>
      </c>
      <c r="G396">
        <v>30</v>
      </c>
    </row>
    <row r="397" spans="1:7" x14ac:dyDescent="0.25">
      <c r="A397" t="s">
        <v>1394</v>
      </c>
      <c r="B397">
        <v>47</v>
      </c>
      <c r="C397">
        <v>2</v>
      </c>
      <c r="D397">
        <v>129</v>
      </c>
      <c r="F397" t="s">
        <v>1417</v>
      </c>
      <c r="G397">
        <v>14</v>
      </c>
    </row>
    <row r="398" spans="1:7" x14ac:dyDescent="0.25">
      <c r="A398" t="s">
        <v>1395</v>
      </c>
      <c r="B398">
        <v>44</v>
      </c>
      <c r="C398">
        <v>1</v>
      </c>
      <c r="D398">
        <v>85</v>
      </c>
      <c r="F398" t="s">
        <v>1418</v>
      </c>
      <c r="G398">
        <v>16</v>
      </c>
    </row>
    <row r="399" spans="1:7" x14ac:dyDescent="0.25">
      <c r="A399" t="s">
        <v>1396</v>
      </c>
      <c r="B399">
        <v>26</v>
      </c>
      <c r="C399">
        <v>1</v>
      </c>
      <c r="D399">
        <v>57</v>
      </c>
      <c r="F399" t="s">
        <v>1419</v>
      </c>
      <c r="G399">
        <v>9</v>
      </c>
    </row>
    <row r="400" spans="1:7" x14ac:dyDescent="0.25">
      <c r="A400" t="s">
        <v>1397</v>
      </c>
      <c r="B400">
        <v>16</v>
      </c>
      <c r="C400">
        <v>0</v>
      </c>
      <c r="D400">
        <v>66</v>
      </c>
      <c r="F400" t="s">
        <v>1420</v>
      </c>
      <c r="G400">
        <v>12</v>
      </c>
    </row>
    <row r="401" spans="1:7" x14ac:dyDescent="0.25">
      <c r="A401" t="s">
        <v>1398</v>
      </c>
      <c r="B401">
        <v>18</v>
      </c>
      <c r="C401">
        <v>0</v>
      </c>
      <c r="D401">
        <v>78</v>
      </c>
      <c r="F401" t="s">
        <v>1421</v>
      </c>
      <c r="G401">
        <v>2</v>
      </c>
    </row>
    <row r="402" spans="1:7" x14ac:dyDescent="0.25">
      <c r="A402" t="s">
        <v>1399</v>
      </c>
      <c r="B402">
        <v>37</v>
      </c>
      <c r="C402">
        <v>1</v>
      </c>
      <c r="D402">
        <v>141</v>
      </c>
      <c r="F402" t="s">
        <v>1422</v>
      </c>
      <c r="G402">
        <v>10</v>
      </c>
    </row>
    <row r="403" spans="1:7" x14ac:dyDescent="0.25">
      <c r="A403" t="s">
        <v>1400</v>
      </c>
      <c r="B403">
        <v>24</v>
      </c>
      <c r="C403">
        <v>0</v>
      </c>
      <c r="D403">
        <v>74</v>
      </c>
      <c r="F403" t="s">
        <v>1423</v>
      </c>
      <c r="G403">
        <v>31</v>
      </c>
    </row>
    <row r="404" spans="1:7" x14ac:dyDescent="0.25">
      <c r="A404" t="s">
        <v>1401</v>
      </c>
      <c r="B404">
        <v>38</v>
      </c>
      <c r="C404">
        <v>2</v>
      </c>
      <c r="D404">
        <v>91</v>
      </c>
      <c r="F404" t="s">
        <v>1424</v>
      </c>
      <c r="G404">
        <v>9</v>
      </c>
    </row>
    <row r="405" spans="1:7" x14ac:dyDescent="0.25">
      <c r="A405" t="s">
        <v>1402</v>
      </c>
      <c r="B405">
        <v>33</v>
      </c>
      <c r="C405">
        <v>2</v>
      </c>
      <c r="D405">
        <v>73</v>
      </c>
      <c r="F405" t="s">
        <v>1425</v>
      </c>
      <c r="G405">
        <v>1</v>
      </c>
    </row>
    <row r="406" spans="1:7" x14ac:dyDescent="0.25">
      <c r="A406" t="s">
        <v>1403</v>
      </c>
      <c r="B406">
        <v>46</v>
      </c>
      <c r="C406">
        <v>2</v>
      </c>
      <c r="D406">
        <v>182</v>
      </c>
      <c r="F406" t="s">
        <v>1426</v>
      </c>
      <c r="G406">
        <v>26</v>
      </c>
    </row>
    <row r="407" spans="1:7" x14ac:dyDescent="0.25">
      <c r="A407" t="s">
        <v>1404</v>
      </c>
      <c r="B407">
        <v>34</v>
      </c>
      <c r="C407">
        <v>0</v>
      </c>
      <c r="D407">
        <v>84</v>
      </c>
      <c r="F407" t="s">
        <v>1427</v>
      </c>
      <c r="G407">
        <v>40</v>
      </c>
    </row>
    <row r="408" spans="1:7" x14ac:dyDescent="0.25">
      <c r="A408" t="s">
        <v>1405</v>
      </c>
      <c r="B408">
        <v>32</v>
      </c>
      <c r="C408">
        <v>8</v>
      </c>
      <c r="D408">
        <v>83</v>
      </c>
      <c r="F408" t="s">
        <v>1428</v>
      </c>
      <c r="G408">
        <v>12</v>
      </c>
    </row>
    <row r="409" spans="1:7" x14ac:dyDescent="0.25">
      <c r="A409" t="s">
        <v>1406</v>
      </c>
      <c r="B409">
        <v>33</v>
      </c>
      <c r="C409">
        <v>0</v>
      </c>
      <c r="D409">
        <v>129</v>
      </c>
      <c r="F409" t="s">
        <v>1429</v>
      </c>
      <c r="G409">
        <v>52</v>
      </c>
    </row>
    <row r="410" spans="1:7" x14ac:dyDescent="0.25">
      <c r="A410" t="s">
        <v>1407</v>
      </c>
      <c r="B410">
        <v>29</v>
      </c>
      <c r="C410">
        <v>20</v>
      </c>
      <c r="D410">
        <v>108</v>
      </c>
      <c r="F410" t="s">
        <v>1430</v>
      </c>
      <c r="G410">
        <v>11</v>
      </c>
    </row>
    <row r="411" spans="1:7" x14ac:dyDescent="0.25">
      <c r="A411" t="s">
        <v>1408</v>
      </c>
      <c r="B411">
        <v>63</v>
      </c>
      <c r="C411">
        <v>0</v>
      </c>
      <c r="D411">
        <v>120</v>
      </c>
      <c r="F411" t="s">
        <v>1432</v>
      </c>
      <c r="G411">
        <v>10</v>
      </c>
    </row>
    <row r="412" spans="1:7" x14ac:dyDescent="0.25">
      <c r="A412" t="s">
        <v>1409</v>
      </c>
      <c r="B412">
        <v>33</v>
      </c>
      <c r="C412">
        <v>2</v>
      </c>
      <c r="D412">
        <v>79</v>
      </c>
      <c r="F412" t="s">
        <v>1433</v>
      </c>
      <c r="G412">
        <v>16</v>
      </c>
    </row>
    <row r="413" spans="1:7" x14ac:dyDescent="0.25">
      <c r="A413" t="s">
        <v>1410</v>
      </c>
      <c r="B413">
        <v>54</v>
      </c>
      <c r="C413">
        <v>1</v>
      </c>
      <c r="D413">
        <v>110</v>
      </c>
      <c r="F413" t="s">
        <v>1435</v>
      </c>
      <c r="G413">
        <v>16</v>
      </c>
    </row>
    <row r="414" spans="1:7" x14ac:dyDescent="0.25">
      <c r="A414" t="s">
        <v>1411</v>
      </c>
      <c r="B414">
        <v>39</v>
      </c>
      <c r="C414">
        <v>5</v>
      </c>
      <c r="D414">
        <v>174</v>
      </c>
      <c r="F414" t="s">
        <v>1436</v>
      </c>
      <c r="G414">
        <v>23</v>
      </c>
    </row>
    <row r="415" spans="1:7" x14ac:dyDescent="0.25">
      <c r="A415" t="s">
        <v>1412</v>
      </c>
      <c r="B415">
        <v>46</v>
      </c>
      <c r="C415">
        <v>0</v>
      </c>
      <c r="D415">
        <v>234</v>
      </c>
      <c r="F415" t="s">
        <v>1437</v>
      </c>
      <c r="G415">
        <v>28</v>
      </c>
    </row>
    <row r="416" spans="1:7" x14ac:dyDescent="0.25">
      <c r="A416" t="s">
        <v>1413</v>
      </c>
      <c r="B416">
        <v>62</v>
      </c>
      <c r="C416">
        <v>1</v>
      </c>
      <c r="D416">
        <v>166</v>
      </c>
      <c r="F416" t="s">
        <v>1438</v>
      </c>
      <c r="G416">
        <v>9</v>
      </c>
    </row>
    <row r="417" spans="1:7" x14ac:dyDescent="0.25">
      <c r="A417" t="s">
        <v>1414</v>
      </c>
      <c r="B417">
        <v>35</v>
      </c>
      <c r="C417">
        <v>1</v>
      </c>
      <c r="D417">
        <v>117</v>
      </c>
      <c r="F417" t="s">
        <v>1439</v>
      </c>
      <c r="G417">
        <v>15</v>
      </c>
    </row>
    <row r="418" spans="1:7" x14ac:dyDescent="0.25">
      <c r="A418" t="s">
        <v>1415</v>
      </c>
      <c r="B418">
        <v>30</v>
      </c>
      <c r="C418">
        <v>3</v>
      </c>
      <c r="D418">
        <v>79</v>
      </c>
      <c r="F418" t="s">
        <v>1440</v>
      </c>
      <c r="G418">
        <v>7</v>
      </c>
    </row>
    <row r="419" spans="1:7" x14ac:dyDescent="0.25">
      <c r="A419" t="s">
        <v>1416</v>
      </c>
      <c r="B419">
        <v>89</v>
      </c>
      <c r="C419">
        <v>26</v>
      </c>
      <c r="D419">
        <v>185</v>
      </c>
      <c r="F419" t="s">
        <v>1441</v>
      </c>
      <c r="G419">
        <v>12</v>
      </c>
    </row>
    <row r="420" spans="1:7" x14ac:dyDescent="0.25">
      <c r="A420" t="s">
        <v>1417</v>
      </c>
      <c r="B420">
        <v>57</v>
      </c>
      <c r="C420">
        <v>2</v>
      </c>
      <c r="D420">
        <v>120</v>
      </c>
      <c r="F420" t="s">
        <v>1442</v>
      </c>
      <c r="G420">
        <v>5</v>
      </c>
    </row>
    <row r="421" spans="1:7" x14ac:dyDescent="0.25">
      <c r="A421" t="s">
        <v>1418</v>
      </c>
      <c r="B421">
        <v>7</v>
      </c>
      <c r="C421">
        <v>2</v>
      </c>
      <c r="D421">
        <v>67</v>
      </c>
      <c r="F421" t="s">
        <v>1443</v>
      </c>
      <c r="G421">
        <v>6</v>
      </c>
    </row>
    <row r="422" spans="1:7" x14ac:dyDescent="0.25">
      <c r="A422" t="s">
        <v>1419</v>
      </c>
      <c r="B422">
        <v>39</v>
      </c>
      <c r="C422">
        <v>10</v>
      </c>
      <c r="D422">
        <v>99</v>
      </c>
      <c r="F422" t="s">
        <v>1444</v>
      </c>
      <c r="G422">
        <v>3</v>
      </c>
    </row>
    <row r="423" spans="1:7" x14ac:dyDescent="0.25">
      <c r="A423" t="s">
        <v>1420</v>
      </c>
      <c r="B423">
        <v>64</v>
      </c>
      <c r="C423">
        <v>6</v>
      </c>
      <c r="D423">
        <v>181</v>
      </c>
      <c r="F423" t="s">
        <v>1445</v>
      </c>
      <c r="G423">
        <v>8</v>
      </c>
    </row>
    <row r="424" spans="1:7" x14ac:dyDescent="0.25">
      <c r="A424" t="s">
        <v>1421</v>
      </c>
      <c r="B424">
        <v>177</v>
      </c>
      <c r="C424">
        <v>13</v>
      </c>
      <c r="D424">
        <v>241</v>
      </c>
      <c r="F424" t="s">
        <v>1446</v>
      </c>
      <c r="G424">
        <v>8</v>
      </c>
    </row>
    <row r="425" spans="1:7" x14ac:dyDescent="0.25">
      <c r="A425" t="s">
        <v>1422</v>
      </c>
      <c r="B425">
        <v>14</v>
      </c>
      <c r="C425">
        <v>0</v>
      </c>
      <c r="D425">
        <v>141</v>
      </c>
      <c r="F425" t="s">
        <v>1447</v>
      </c>
      <c r="G425">
        <v>4</v>
      </c>
    </row>
    <row r="426" spans="1:7" x14ac:dyDescent="0.25">
      <c r="A426" t="s">
        <v>1423</v>
      </c>
      <c r="B426">
        <v>9</v>
      </c>
      <c r="C426">
        <v>1</v>
      </c>
      <c r="D426">
        <v>157</v>
      </c>
      <c r="F426" t="s">
        <v>1448</v>
      </c>
      <c r="G426">
        <v>5</v>
      </c>
    </row>
    <row r="427" spans="1:7" x14ac:dyDescent="0.25">
      <c r="A427" t="s">
        <v>1424</v>
      </c>
      <c r="B427">
        <v>22</v>
      </c>
      <c r="C427">
        <v>8</v>
      </c>
      <c r="D427">
        <v>97</v>
      </c>
      <c r="F427" t="s">
        <v>1449</v>
      </c>
      <c r="G427">
        <v>13</v>
      </c>
    </row>
    <row r="428" spans="1:7" x14ac:dyDescent="0.25">
      <c r="A428" t="s">
        <v>1425</v>
      </c>
      <c r="B428">
        <v>39</v>
      </c>
      <c r="C428">
        <v>10</v>
      </c>
      <c r="D428">
        <v>88</v>
      </c>
      <c r="F428" t="s">
        <v>1450</v>
      </c>
      <c r="G428">
        <v>11</v>
      </c>
    </row>
    <row r="429" spans="1:7" x14ac:dyDescent="0.25">
      <c r="A429" t="s">
        <v>1426</v>
      </c>
      <c r="B429">
        <v>46</v>
      </c>
      <c r="C429">
        <v>6</v>
      </c>
      <c r="D429">
        <v>157</v>
      </c>
      <c r="F429" t="s">
        <v>1451</v>
      </c>
      <c r="G429">
        <v>21</v>
      </c>
    </row>
    <row r="430" spans="1:7" x14ac:dyDescent="0.25">
      <c r="A430" t="s">
        <v>1427</v>
      </c>
      <c r="B430">
        <v>64</v>
      </c>
      <c r="C430">
        <v>27</v>
      </c>
      <c r="D430">
        <v>255</v>
      </c>
      <c r="F430" t="s">
        <v>1452</v>
      </c>
      <c r="G430">
        <v>28</v>
      </c>
    </row>
    <row r="431" spans="1:7" x14ac:dyDescent="0.25">
      <c r="A431" t="s">
        <v>1428</v>
      </c>
      <c r="B431">
        <v>182</v>
      </c>
      <c r="C431">
        <v>5</v>
      </c>
      <c r="D431">
        <v>330</v>
      </c>
      <c r="F431" t="s">
        <v>1453</v>
      </c>
      <c r="G431">
        <v>9</v>
      </c>
    </row>
    <row r="432" spans="1:7" x14ac:dyDescent="0.25">
      <c r="A432" t="s">
        <v>1429</v>
      </c>
      <c r="B432">
        <v>47</v>
      </c>
      <c r="C432">
        <v>3</v>
      </c>
      <c r="D432">
        <v>182</v>
      </c>
      <c r="F432" t="s">
        <v>1454</v>
      </c>
      <c r="G432">
        <v>15</v>
      </c>
    </row>
    <row r="433" spans="1:7" x14ac:dyDescent="0.25">
      <c r="A433" t="s">
        <v>1430</v>
      </c>
      <c r="B433">
        <v>70</v>
      </c>
      <c r="C433">
        <v>4</v>
      </c>
      <c r="D433">
        <v>164</v>
      </c>
      <c r="F433" t="s">
        <v>1455</v>
      </c>
      <c r="G433">
        <v>7</v>
      </c>
    </row>
    <row r="434" spans="1:7" x14ac:dyDescent="0.25">
      <c r="A434" t="s">
        <v>1431</v>
      </c>
      <c r="B434">
        <v>44</v>
      </c>
      <c r="C434">
        <v>6</v>
      </c>
      <c r="D434">
        <v>109</v>
      </c>
      <c r="F434" t="s">
        <v>1456</v>
      </c>
      <c r="G434">
        <v>41</v>
      </c>
    </row>
    <row r="435" spans="1:7" x14ac:dyDescent="0.25">
      <c r="A435" t="s">
        <v>1432</v>
      </c>
      <c r="B435">
        <v>45</v>
      </c>
      <c r="C435">
        <v>3</v>
      </c>
      <c r="D435">
        <v>180</v>
      </c>
      <c r="F435" t="s">
        <v>1457</v>
      </c>
      <c r="G435">
        <v>43</v>
      </c>
    </row>
    <row r="436" spans="1:7" x14ac:dyDescent="0.25">
      <c r="A436" t="s">
        <v>1433</v>
      </c>
      <c r="B436">
        <v>110</v>
      </c>
      <c r="C436">
        <v>1</v>
      </c>
      <c r="D436">
        <v>221</v>
      </c>
      <c r="F436" t="s">
        <v>1458</v>
      </c>
      <c r="G436">
        <v>11</v>
      </c>
    </row>
    <row r="437" spans="1:7" x14ac:dyDescent="0.25">
      <c r="A437" t="s">
        <v>1434</v>
      </c>
      <c r="B437">
        <v>52</v>
      </c>
      <c r="C437">
        <v>0</v>
      </c>
      <c r="D437">
        <v>104</v>
      </c>
      <c r="F437" t="s">
        <v>1459</v>
      </c>
      <c r="G437">
        <v>14</v>
      </c>
    </row>
    <row r="438" spans="1:7" x14ac:dyDescent="0.25">
      <c r="A438" t="s">
        <v>1435</v>
      </c>
      <c r="B438">
        <v>37</v>
      </c>
      <c r="C438">
        <v>3</v>
      </c>
      <c r="D438">
        <v>122</v>
      </c>
      <c r="F438" t="s">
        <v>1460</v>
      </c>
      <c r="G438">
        <v>6</v>
      </c>
    </row>
    <row r="439" spans="1:7" x14ac:dyDescent="0.25">
      <c r="A439" t="s">
        <v>1436</v>
      </c>
      <c r="B439">
        <v>57</v>
      </c>
      <c r="C439">
        <v>11</v>
      </c>
      <c r="D439">
        <v>186</v>
      </c>
      <c r="F439" t="s">
        <v>1461</v>
      </c>
      <c r="G439">
        <v>21</v>
      </c>
    </row>
    <row r="440" spans="1:7" x14ac:dyDescent="0.25">
      <c r="A440" t="s">
        <v>1437</v>
      </c>
      <c r="B440">
        <v>92</v>
      </c>
      <c r="C440">
        <v>2</v>
      </c>
      <c r="D440">
        <v>225</v>
      </c>
      <c r="F440" t="s">
        <v>1462</v>
      </c>
      <c r="G440">
        <v>6</v>
      </c>
    </row>
    <row r="441" spans="1:7" x14ac:dyDescent="0.25">
      <c r="A441" t="s">
        <v>1438</v>
      </c>
      <c r="B441">
        <v>43</v>
      </c>
      <c r="C441">
        <v>4</v>
      </c>
      <c r="D441">
        <v>145</v>
      </c>
      <c r="F441" t="s">
        <v>1463</v>
      </c>
      <c r="G441">
        <v>8</v>
      </c>
    </row>
    <row r="442" spans="1:7" x14ac:dyDescent="0.25">
      <c r="A442" t="s">
        <v>1439</v>
      </c>
      <c r="B442">
        <v>1</v>
      </c>
      <c r="C442">
        <v>0</v>
      </c>
      <c r="D442">
        <v>34</v>
      </c>
      <c r="F442" t="s">
        <v>1464</v>
      </c>
      <c r="G442">
        <v>11</v>
      </c>
    </row>
    <row r="443" spans="1:7" x14ac:dyDescent="0.25">
      <c r="A443" t="s">
        <v>1440</v>
      </c>
      <c r="B443">
        <v>17</v>
      </c>
      <c r="C443">
        <v>1</v>
      </c>
      <c r="D443">
        <v>92</v>
      </c>
      <c r="F443" t="s">
        <v>1465</v>
      </c>
      <c r="G443">
        <v>4</v>
      </c>
    </row>
    <row r="444" spans="1:7" x14ac:dyDescent="0.25">
      <c r="A444" t="s">
        <v>1441</v>
      </c>
      <c r="B444">
        <v>55</v>
      </c>
      <c r="C444">
        <v>3</v>
      </c>
      <c r="D444">
        <v>172</v>
      </c>
      <c r="F444" t="s">
        <v>1466</v>
      </c>
      <c r="G444">
        <v>9</v>
      </c>
    </row>
    <row r="445" spans="1:7" x14ac:dyDescent="0.25">
      <c r="A445" t="s">
        <v>1442</v>
      </c>
      <c r="B445">
        <v>38</v>
      </c>
      <c r="C445">
        <v>2</v>
      </c>
      <c r="D445">
        <v>131</v>
      </c>
      <c r="F445" t="s">
        <v>1467</v>
      </c>
      <c r="G445">
        <v>8</v>
      </c>
    </row>
    <row r="446" spans="1:7" x14ac:dyDescent="0.25">
      <c r="A446" t="s">
        <v>2068</v>
      </c>
      <c r="B446">
        <v>0</v>
      </c>
      <c r="C446">
        <v>0</v>
      </c>
      <c r="D446">
        <v>1</v>
      </c>
      <c r="F446" t="s">
        <v>1468</v>
      </c>
      <c r="G446">
        <v>2</v>
      </c>
    </row>
    <row r="447" spans="1:7" x14ac:dyDescent="0.25">
      <c r="A447" t="s">
        <v>1443</v>
      </c>
      <c r="B447">
        <v>33</v>
      </c>
      <c r="C447">
        <v>21</v>
      </c>
      <c r="D447">
        <v>109</v>
      </c>
      <c r="F447" t="s">
        <v>1469</v>
      </c>
      <c r="G447">
        <v>5</v>
      </c>
    </row>
    <row r="448" spans="1:7" x14ac:dyDescent="0.25">
      <c r="A448" t="s">
        <v>1444</v>
      </c>
      <c r="B448">
        <v>18</v>
      </c>
      <c r="C448">
        <v>1</v>
      </c>
      <c r="D448">
        <v>54</v>
      </c>
      <c r="F448" t="s">
        <v>1470</v>
      </c>
      <c r="G448">
        <v>4</v>
      </c>
    </row>
    <row r="449" spans="1:7" x14ac:dyDescent="0.25">
      <c r="A449" t="s">
        <v>1445</v>
      </c>
      <c r="B449">
        <v>10</v>
      </c>
      <c r="C449">
        <v>3</v>
      </c>
      <c r="D449">
        <v>43</v>
      </c>
      <c r="F449" t="s">
        <v>1471</v>
      </c>
      <c r="G449">
        <v>4</v>
      </c>
    </row>
    <row r="450" spans="1:7" x14ac:dyDescent="0.25">
      <c r="A450" t="s">
        <v>1446</v>
      </c>
      <c r="B450">
        <v>14</v>
      </c>
      <c r="C450">
        <v>8</v>
      </c>
      <c r="D450">
        <v>63</v>
      </c>
      <c r="F450" t="s">
        <v>1472</v>
      </c>
      <c r="G450">
        <v>24</v>
      </c>
    </row>
    <row r="451" spans="1:7" x14ac:dyDescent="0.25">
      <c r="A451" t="s">
        <v>1447</v>
      </c>
      <c r="B451">
        <v>18</v>
      </c>
      <c r="C451">
        <v>1</v>
      </c>
      <c r="D451">
        <v>57</v>
      </c>
      <c r="F451" t="s">
        <v>1473</v>
      </c>
      <c r="G451">
        <v>27</v>
      </c>
    </row>
    <row r="452" spans="1:7" x14ac:dyDescent="0.25">
      <c r="A452" t="s">
        <v>1448</v>
      </c>
      <c r="B452">
        <v>21</v>
      </c>
      <c r="C452">
        <v>0</v>
      </c>
      <c r="D452">
        <v>60</v>
      </c>
      <c r="F452" t="s">
        <v>1474</v>
      </c>
      <c r="G452">
        <v>34</v>
      </c>
    </row>
    <row r="453" spans="1:7" x14ac:dyDescent="0.25">
      <c r="A453" t="s">
        <v>1449</v>
      </c>
      <c r="B453">
        <v>11</v>
      </c>
      <c r="C453">
        <v>0</v>
      </c>
      <c r="D453">
        <v>42</v>
      </c>
      <c r="F453" t="s">
        <v>1475</v>
      </c>
      <c r="G453">
        <v>21</v>
      </c>
    </row>
    <row r="454" spans="1:7" x14ac:dyDescent="0.25">
      <c r="A454" t="s">
        <v>1450</v>
      </c>
      <c r="B454">
        <v>19</v>
      </c>
      <c r="C454">
        <v>0</v>
      </c>
      <c r="D454">
        <v>54</v>
      </c>
      <c r="F454" t="s">
        <v>1476</v>
      </c>
      <c r="G454">
        <v>9</v>
      </c>
    </row>
    <row r="455" spans="1:7" x14ac:dyDescent="0.25">
      <c r="A455" t="s">
        <v>1451</v>
      </c>
      <c r="B455">
        <v>60</v>
      </c>
      <c r="C455">
        <v>5</v>
      </c>
      <c r="D455">
        <v>190</v>
      </c>
      <c r="F455" t="s">
        <v>1477</v>
      </c>
      <c r="G455">
        <v>56</v>
      </c>
    </row>
    <row r="456" spans="1:7" x14ac:dyDescent="0.25">
      <c r="A456" t="s">
        <v>1452</v>
      </c>
      <c r="B456">
        <v>37</v>
      </c>
      <c r="C456">
        <v>4</v>
      </c>
      <c r="D456">
        <v>131</v>
      </c>
      <c r="F456" t="s">
        <v>1478</v>
      </c>
      <c r="G456">
        <v>22</v>
      </c>
    </row>
    <row r="457" spans="1:7" x14ac:dyDescent="0.25">
      <c r="A457" t="s">
        <v>1453</v>
      </c>
      <c r="B457">
        <v>24</v>
      </c>
      <c r="C457">
        <v>7</v>
      </c>
      <c r="D457">
        <v>88</v>
      </c>
      <c r="F457" t="s">
        <v>1479</v>
      </c>
      <c r="G457">
        <v>22</v>
      </c>
    </row>
    <row r="458" spans="1:7" x14ac:dyDescent="0.25">
      <c r="A458" t="s">
        <v>1454</v>
      </c>
      <c r="B458">
        <v>24</v>
      </c>
      <c r="C458">
        <v>0</v>
      </c>
      <c r="D458">
        <v>79</v>
      </c>
      <c r="F458" t="s">
        <v>1480</v>
      </c>
      <c r="G458">
        <v>6</v>
      </c>
    </row>
    <row r="459" spans="1:7" x14ac:dyDescent="0.25">
      <c r="A459" t="s">
        <v>1455</v>
      </c>
      <c r="B459">
        <v>17</v>
      </c>
      <c r="C459">
        <v>0</v>
      </c>
      <c r="D459">
        <v>57</v>
      </c>
      <c r="F459" t="s">
        <v>1481</v>
      </c>
      <c r="G459">
        <v>21</v>
      </c>
    </row>
    <row r="460" spans="1:7" x14ac:dyDescent="0.25">
      <c r="A460" t="s">
        <v>1456</v>
      </c>
      <c r="B460">
        <v>47</v>
      </c>
      <c r="C460">
        <v>8</v>
      </c>
      <c r="D460">
        <v>212</v>
      </c>
      <c r="F460" t="s">
        <v>1482</v>
      </c>
      <c r="G460">
        <v>15</v>
      </c>
    </row>
    <row r="461" spans="1:7" x14ac:dyDescent="0.25">
      <c r="A461" t="s">
        <v>1457</v>
      </c>
      <c r="B461">
        <v>36</v>
      </c>
      <c r="C461">
        <v>14</v>
      </c>
      <c r="D461">
        <v>166</v>
      </c>
      <c r="F461" t="s">
        <v>1483</v>
      </c>
      <c r="G461">
        <v>2</v>
      </c>
    </row>
    <row r="462" spans="1:7" x14ac:dyDescent="0.25">
      <c r="A462" t="s">
        <v>1458</v>
      </c>
      <c r="B462">
        <v>23</v>
      </c>
      <c r="C462">
        <v>0</v>
      </c>
      <c r="D462">
        <v>65</v>
      </c>
      <c r="F462" t="s">
        <v>1484</v>
      </c>
      <c r="G462">
        <v>12</v>
      </c>
    </row>
    <row r="463" spans="1:7" x14ac:dyDescent="0.25">
      <c r="A463" t="s">
        <v>1459</v>
      </c>
      <c r="B463">
        <v>36</v>
      </c>
      <c r="C463">
        <v>1</v>
      </c>
      <c r="D463">
        <v>103</v>
      </c>
      <c r="F463" t="s">
        <v>1485</v>
      </c>
      <c r="G463">
        <v>11</v>
      </c>
    </row>
    <row r="464" spans="1:7" x14ac:dyDescent="0.25">
      <c r="A464" t="s">
        <v>1460</v>
      </c>
      <c r="B464">
        <v>39</v>
      </c>
      <c r="C464">
        <v>1</v>
      </c>
      <c r="D464">
        <v>79</v>
      </c>
      <c r="F464" t="s">
        <v>1486</v>
      </c>
      <c r="G464">
        <v>20</v>
      </c>
    </row>
    <row r="465" spans="1:7" x14ac:dyDescent="0.25">
      <c r="A465" t="s">
        <v>1461</v>
      </c>
      <c r="B465">
        <v>28</v>
      </c>
      <c r="C465">
        <v>9</v>
      </c>
      <c r="D465">
        <v>149</v>
      </c>
      <c r="F465" t="s">
        <v>1487</v>
      </c>
      <c r="G465">
        <v>9</v>
      </c>
    </row>
    <row r="466" spans="1:7" x14ac:dyDescent="0.25">
      <c r="A466" t="s">
        <v>1462</v>
      </c>
      <c r="B466">
        <v>8</v>
      </c>
      <c r="C466">
        <v>0</v>
      </c>
      <c r="D466">
        <v>35</v>
      </c>
      <c r="F466" t="s">
        <v>1488</v>
      </c>
      <c r="G466">
        <v>21</v>
      </c>
    </row>
    <row r="467" spans="1:7" x14ac:dyDescent="0.25">
      <c r="A467" t="s">
        <v>1463</v>
      </c>
      <c r="B467">
        <v>5</v>
      </c>
      <c r="C467">
        <v>1</v>
      </c>
      <c r="D467">
        <v>41</v>
      </c>
      <c r="F467" t="s">
        <v>1489</v>
      </c>
      <c r="G467">
        <v>31</v>
      </c>
    </row>
    <row r="468" spans="1:7" x14ac:dyDescent="0.25">
      <c r="A468" t="s">
        <v>1464</v>
      </c>
      <c r="B468">
        <v>16</v>
      </c>
      <c r="C468">
        <v>0</v>
      </c>
      <c r="D468">
        <v>54</v>
      </c>
      <c r="F468" t="s">
        <v>1490</v>
      </c>
      <c r="G468">
        <v>7</v>
      </c>
    </row>
    <row r="469" spans="1:7" x14ac:dyDescent="0.25">
      <c r="A469" t="s">
        <v>1465</v>
      </c>
      <c r="B469">
        <v>13</v>
      </c>
      <c r="C469">
        <v>0</v>
      </c>
      <c r="D469">
        <v>58</v>
      </c>
      <c r="F469" t="s">
        <v>1491</v>
      </c>
      <c r="G469">
        <v>21</v>
      </c>
    </row>
    <row r="470" spans="1:7" x14ac:dyDescent="0.25">
      <c r="A470" t="s">
        <v>1466</v>
      </c>
      <c r="B470">
        <v>13</v>
      </c>
      <c r="C470">
        <v>2</v>
      </c>
      <c r="D470">
        <v>60</v>
      </c>
      <c r="F470" t="s">
        <v>1492</v>
      </c>
      <c r="G470">
        <v>5</v>
      </c>
    </row>
    <row r="471" spans="1:7" x14ac:dyDescent="0.25">
      <c r="A471" t="s">
        <v>1467</v>
      </c>
      <c r="B471">
        <v>27</v>
      </c>
      <c r="C471">
        <v>27</v>
      </c>
      <c r="D471">
        <v>121</v>
      </c>
      <c r="F471" t="s">
        <v>1493</v>
      </c>
      <c r="G471">
        <v>5</v>
      </c>
    </row>
    <row r="472" spans="1:7" x14ac:dyDescent="0.25">
      <c r="A472" t="s">
        <v>1468</v>
      </c>
      <c r="B472">
        <v>16</v>
      </c>
      <c r="C472">
        <v>1</v>
      </c>
      <c r="D472">
        <v>63</v>
      </c>
      <c r="F472" t="s">
        <v>1494</v>
      </c>
      <c r="G472">
        <v>8</v>
      </c>
    </row>
    <row r="473" spans="1:7" x14ac:dyDescent="0.25">
      <c r="A473" t="s">
        <v>1469</v>
      </c>
      <c r="B473">
        <v>18</v>
      </c>
      <c r="C473">
        <v>5</v>
      </c>
      <c r="D473">
        <v>69</v>
      </c>
      <c r="F473" t="s">
        <v>1495</v>
      </c>
      <c r="G473">
        <v>4</v>
      </c>
    </row>
    <row r="474" spans="1:7" x14ac:dyDescent="0.25">
      <c r="A474" t="s">
        <v>1470</v>
      </c>
      <c r="B474">
        <v>12</v>
      </c>
      <c r="C474">
        <v>18</v>
      </c>
      <c r="D474">
        <v>98</v>
      </c>
      <c r="F474" t="s">
        <v>1496</v>
      </c>
      <c r="G474">
        <v>23</v>
      </c>
    </row>
    <row r="475" spans="1:7" x14ac:dyDescent="0.25">
      <c r="A475" t="s">
        <v>1471</v>
      </c>
      <c r="B475">
        <v>26</v>
      </c>
      <c r="C475">
        <v>3</v>
      </c>
      <c r="D475">
        <v>75</v>
      </c>
      <c r="F475" t="s">
        <v>1497</v>
      </c>
      <c r="G475">
        <v>27</v>
      </c>
    </row>
    <row r="476" spans="1:7" x14ac:dyDescent="0.25">
      <c r="A476" t="s">
        <v>1472</v>
      </c>
      <c r="B476">
        <v>41</v>
      </c>
      <c r="C476">
        <v>8</v>
      </c>
      <c r="D476">
        <v>116</v>
      </c>
      <c r="F476" t="s">
        <v>1498</v>
      </c>
      <c r="G476">
        <v>6</v>
      </c>
    </row>
    <row r="477" spans="1:7" x14ac:dyDescent="0.25">
      <c r="A477" t="s">
        <v>1473</v>
      </c>
      <c r="B477">
        <v>73</v>
      </c>
      <c r="C477">
        <v>1</v>
      </c>
      <c r="D477">
        <v>182</v>
      </c>
      <c r="F477" t="s">
        <v>1499</v>
      </c>
      <c r="G477">
        <v>16</v>
      </c>
    </row>
    <row r="478" spans="1:7" x14ac:dyDescent="0.25">
      <c r="A478" t="s">
        <v>1474</v>
      </c>
      <c r="B478">
        <v>61</v>
      </c>
      <c r="C478">
        <v>3</v>
      </c>
      <c r="D478">
        <v>162</v>
      </c>
      <c r="F478" t="s">
        <v>1500</v>
      </c>
      <c r="G478">
        <v>16</v>
      </c>
    </row>
    <row r="479" spans="1:7" x14ac:dyDescent="0.25">
      <c r="A479" t="s">
        <v>1475</v>
      </c>
      <c r="B479">
        <v>23</v>
      </c>
      <c r="C479">
        <v>1</v>
      </c>
      <c r="D479">
        <v>121</v>
      </c>
      <c r="F479" t="s">
        <v>1501</v>
      </c>
      <c r="G479">
        <v>12</v>
      </c>
    </row>
    <row r="480" spans="1:7" x14ac:dyDescent="0.25">
      <c r="A480" t="s">
        <v>1476</v>
      </c>
      <c r="B480">
        <v>90</v>
      </c>
      <c r="C480">
        <v>12</v>
      </c>
      <c r="D480">
        <v>158</v>
      </c>
      <c r="F480" t="s">
        <v>1502</v>
      </c>
      <c r="G480">
        <v>11</v>
      </c>
    </row>
    <row r="481" spans="1:7" x14ac:dyDescent="0.25">
      <c r="A481" t="s">
        <v>1477</v>
      </c>
      <c r="B481">
        <v>21</v>
      </c>
      <c r="C481">
        <v>8</v>
      </c>
      <c r="D481">
        <v>195</v>
      </c>
      <c r="F481" t="s">
        <v>1503</v>
      </c>
      <c r="G481">
        <v>10</v>
      </c>
    </row>
    <row r="482" spans="1:7" x14ac:dyDescent="0.25">
      <c r="A482" t="s">
        <v>1478</v>
      </c>
      <c r="B482">
        <v>23</v>
      </c>
      <c r="C482">
        <v>7</v>
      </c>
      <c r="D482">
        <v>130</v>
      </c>
      <c r="F482" t="s">
        <v>1504</v>
      </c>
      <c r="G482">
        <v>11</v>
      </c>
    </row>
    <row r="483" spans="1:7" x14ac:dyDescent="0.25">
      <c r="A483" t="s">
        <v>1479</v>
      </c>
      <c r="B483">
        <v>21</v>
      </c>
      <c r="C483">
        <v>5</v>
      </c>
      <c r="D483">
        <v>115</v>
      </c>
      <c r="F483" t="s">
        <v>1505</v>
      </c>
      <c r="G483">
        <v>27</v>
      </c>
    </row>
    <row r="484" spans="1:7" x14ac:dyDescent="0.25">
      <c r="A484" t="s">
        <v>1480</v>
      </c>
      <c r="B484">
        <v>10</v>
      </c>
      <c r="C484">
        <v>6</v>
      </c>
      <c r="D484">
        <v>50</v>
      </c>
      <c r="F484" t="s">
        <v>1506</v>
      </c>
      <c r="G484">
        <v>20</v>
      </c>
    </row>
    <row r="485" spans="1:7" x14ac:dyDescent="0.25">
      <c r="A485" t="s">
        <v>1481</v>
      </c>
      <c r="B485">
        <v>31</v>
      </c>
      <c r="C485">
        <v>3</v>
      </c>
      <c r="D485">
        <v>98</v>
      </c>
      <c r="F485" t="s">
        <v>1507</v>
      </c>
      <c r="G485">
        <v>8</v>
      </c>
    </row>
    <row r="486" spans="1:7" x14ac:dyDescent="0.25">
      <c r="A486" t="s">
        <v>1482</v>
      </c>
      <c r="B486">
        <v>32</v>
      </c>
      <c r="C486">
        <v>2</v>
      </c>
      <c r="D486">
        <v>122</v>
      </c>
      <c r="F486" t="s">
        <v>1508</v>
      </c>
      <c r="G486">
        <v>24</v>
      </c>
    </row>
    <row r="487" spans="1:7" x14ac:dyDescent="0.25">
      <c r="A487" t="s">
        <v>1483</v>
      </c>
      <c r="B487">
        <v>36</v>
      </c>
      <c r="C487">
        <v>1</v>
      </c>
      <c r="D487">
        <v>107</v>
      </c>
      <c r="F487" t="s">
        <v>1509</v>
      </c>
      <c r="G487">
        <v>19</v>
      </c>
    </row>
    <row r="488" spans="1:7" x14ac:dyDescent="0.25">
      <c r="A488" t="s">
        <v>1484</v>
      </c>
      <c r="B488">
        <v>44</v>
      </c>
      <c r="C488">
        <v>1</v>
      </c>
      <c r="D488">
        <v>101</v>
      </c>
      <c r="F488" t="s">
        <v>1510</v>
      </c>
      <c r="G488">
        <v>3</v>
      </c>
    </row>
    <row r="489" spans="1:7" x14ac:dyDescent="0.25">
      <c r="A489" t="s">
        <v>1485</v>
      </c>
      <c r="B489">
        <v>27</v>
      </c>
      <c r="C489">
        <v>7</v>
      </c>
      <c r="D489">
        <v>124</v>
      </c>
      <c r="F489" t="s">
        <v>1511</v>
      </c>
      <c r="G489">
        <v>5</v>
      </c>
    </row>
    <row r="490" spans="1:7" x14ac:dyDescent="0.25">
      <c r="A490" t="s">
        <v>1486</v>
      </c>
      <c r="B490">
        <v>70</v>
      </c>
      <c r="C490">
        <v>11</v>
      </c>
      <c r="D490">
        <v>189</v>
      </c>
      <c r="F490" t="s">
        <v>1512</v>
      </c>
      <c r="G490">
        <v>5</v>
      </c>
    </row>
    <row r="491" spans="1:7" x14ac:dyDescent="0.25">
      <c r="A491" t="s">
        <v>1487</v>
      </c>
      <c r="B491">
        <v>51</v>
      </c>
      <c r="C491">
        <v>0</v>
      </c>
      <c r="D491">
        <v>163</v>
      </c>
      <c r="F491" t="s">
        <v>1513</v>
      </c>
      <c r="G491">
        <v>6</v>
      </c>
    </row>
    <row r="492" spans="1:7" x14ac:dyDescent="0.25">
      <c r="A492" t="s">
        <v>1488</v>
      </c>
      <c r="B492">
        <v>55</v>
      </c>
      <c r="C492">
        <v>20</v>
      </c>
      <c r="D492">
        <v>184</v>
      </c>
      <c r="F492" t="s">
        <v>1514</v>
      </c>
      <c r="G492">
        <v>4</v>
      </c>
    </row>
    <row r="493" spans="1:7" x14ac:dyDescent="0.25">
      <c r="A493" t="s">
        <v>1489</v>
      </c>
      <c r="B493">
        <v>47</v>
      </c>
      <c r="C493">
        <v>14</v>
      </c>
      <c r="D493">
        <v>212</v>
      </c>
      <c r="F493" t="s">
        <v>1515</v>
      </c>
      <c r="G493">
        <v>8</v>
      </c>
    </row>
    <row r="494" spans="1:7" x14ac:dyDescent="0.25">
      <c r="A494" t="s">
        <v>1490</v>
      </c>
      <c r="B494">
        <v>45</v>
      </c>
      <c r="C494">
        <v>2</v>
      </c>
      <c r="D494">
        <v>135</v>
      </c>
      <c r="F494" t="s">
        <v>1516</v>
      </c>
      <c r="G494">
        <v>10</v>
      </c>
    </row>
    <row r="495" spans="1:7" x14ac:dyDescent="0.25">
      <c r="A495" t="s">
        <v>1491</v>
      </c>
      <c r="B495">
        <v>31</v>
      </c>
      <c r="C495">
        <v>3</v>
      </c>
      <c r="D495">
        <v>145</v>
      </c>
      <c r="F495" t="s">
        <v>1517</v>
      </c>
      <c r="G495">
        <v>2</v>
      </c>
    </row>
    <row r="496" spans="1:7" x14ac:dyDescent="0.25">
      <c r="A496" t="s">
        <v>1492</v>
      </c>
      <c r="B496">
        <v>41</v>
      </c>
      <c r="C496">
        <v>2</v>
      </c>
      <c r="D496">
        <v>124</v>
      </c>
      <c r="F496" t="s">
        <v>1518</v>
      </c>
      <c r="G496">
        <v>12</v>
      </c>
    </row>
    <row r="497" spans="1:7" x14ac:dyDescent="0.25">
      <c r="A497" t="s">
        <v>1493</v>
      </c>
      <c r="B497">
        <v>29</v>
      </c>
      <c r="C497">
        <v>1</v>
      </c>
      <c r="D497">
        <v>99</v>
      </c>
      <c r="F497" t="s">
        <v>1519</v>
      </c>
      <c r="G497">
        <v>1</v>
      </c>
    </row>
    <row r="498" spans="1:7" x14ac:dyDescent="0.25">
      <c r="A498" t="s">
        <v>1494</v>
      </c>
      <c r="B498">
        <v>51</v>
      </c>
      <c r="C498">
        <v>2</v>
      </c>
      <c r="D498">
        <v>289</v>
      </c>
      <c r="F498" t="s">
        <v>1520</v>
      </c>
      <c r="G498">
        <v>14</v>
      </c>
    </row>
    <row r="499" spans="1:7" x14ac:dyDescent="0.25">
      <c r="A499" t="s">
        <v>1495</v>
      </c>
      <c r="B499">
        <v>44</v>
      </c>
      <c r="C499">
        <v>18</v>
      </c>
      <c r="D499">
        <v>226</v>
      </c>
      <c r="F499" t="s">
        <v>1521</v>
      </c>
      <c r="G499">
        <v>2</v>
      </c>
    </row>
    <row r="500" spans="1:7" x14ac:dyDescent="0.25">
      <c r="A500" t="s">
        <v>1496</v>
      </c>
      <c r="B500">
        <v>58</v>
      </c>
      <c r="C500">
        <v>3</v>
      </c>
      <c r="D500">
        <v>173</v>
      </c>
      <c r="F500" t="s">
        <v>1522</v>
      </c>
      <c r="G500">
        <v>1</v>
      </c>
    </row>
    <row r="501" spans="1:7" x14ac:dyDescent="0.25">
      <c r="A501" t="s">
        <v>1497</v>
      </c>
      <c r="B501">
        <v>29</v>
      </c>
      <c r="C501">
        <v>0</v>
      </c>
      <c r="D501">
        <v>131</v>
      </c>
      <c r="F501" t="s">
        <v>1523</v>
      </c>
      <c r="G501">
        <v>5</v>
      </c>
    </row>
    <row r="502" spans="1:7" x14ac:dyDescent="0.25">
      <c r="A502" t="s">
        <v>1498</v>
      </c>
      <c r="B502">
        <v>32</v>
      </c>
      <c r="C502">
        <v>1</v>
      </c>
      <c r="D502">
        <v>104</v>
      </c>
      <c r="F502" t="s">
        <v>1524</v>
      </c>
      <c r="G502">
        <v>6</v>
      </c>
    </row>
    <row r="503" spans="1:7" x14ac:dyDescent="0.25">
      <c r="A503" t="s">
        <v>1499</v>
      </c>
      <c r="B503">
        <v>76</v>
      </c>
      <c r="C503">
        <v>6</v>
      </c>
      <c r="D503">
        <v>212</v>
      </c>
      <c r="F503" t="s">
        <v>1525</v>
      </c>
      <c r="G503">
        <v>3</v>
      </c>
    </row>
    <row r="504" spans="1:7" x14ac:dyDescent="0.25">
      <c r="A504" t="s">
        <v>1500</v>
      </c>
      <c r="B504">
        <v>37</v>
      </c>
      <c r="C504">
        <v>2</v>
      </c>
      <c r="D504">
        <v>124</v>
      </c>
      <c r="F504" t="s">
        <v>1526</v>
      </c>
      <c r="G504">
        <v>6</v>
      </c>
    </row>
    <row r="505" spans="1:7" x14ac:dyDescent="0.25">
      <c r="A505" t="s">
        <v>1501</v>
      </c>
      <c r="B505">
        <v>58</v>
      </c>
      <c r="C505">
        <v>3</v>
      </c>
      <c r="D505">
        <v>182</v>
      </c>
      <c r="F505" t="s">
        <v>1527</v>
      </c>
      <c r="G505">
        <v>3</v>
      </c>
    </row>
    <row r="506" spans="1:7" x14ac:dyDescent="0.25">
      <c r="A506" t="s">
        <v>1502</v>
      </c>
      <c r="B506">
        <v>56</v>
      </c>
      <c r="C506">
        <v>3</v>
      </c>
      <c r="D506">
        <v>123</v>
      </c>
      <c r="F506" t="s">
        <v>1528</v>
      </c>
      <c r="G506">
        <v>6</v>
      </c>
    </row>
    <row r="507" spans="1:7" x14ac:dyDescent="0.25">
      <c r="A507" t="s">
        <v>1503</v>
      </c>
      <c r="B507">
        <v>33</v>
      </c>
      <c r="C507">
        <v>1</v>
      </c>
      <c r="D507">
        <v>100</v>
      </c>
      <c r="F507" t="s">
        <v>1529</v>
      </c>
      <c r="G507">
        <v>2</v>
      </c>
    </row>
    <row r="508" spans="1:7" x14ac:dyDescent="0.25">
      <c r="A508" t="s">
        <v>1504</v>
      </c>
      <c r="B508">
        <v>37</v>
      </c>
      <c r="C508">
        <v>1</v>
      </c>
      <c r="D508">
        <v>107</v>
      </c>
      <c r="F508" t="s">
        <v>1530</v>
      </c>
      <c r="G508">
        <v>10</v>
      </c>
    </row>
    <row r="509" spans="1:7" x14ac:dyDescent="0.25">
      <c r="A509" t="s">
        <v>1505</v>
      </c>
      <c r="B509">
        <v>44</v>
      </c>
      <c r="C509">
        <v>0</v>
      </c>
      <c r="D509">
        <v>160</v>
      </c>
      <c r="F509" t="s">
        <v>1531</v>
      </c>
      <c r="G509">
        <v>4</v>
      </c>
    </row>
    <row r="510" spans="1:7" x14ac:dyDescent="0.25">
      <c r="A510" t="s">
        <v>1506</v>
      </c>
      <c r="B510">
        <v>33</v>
      </c>
      <c r="C510">
        <v>2</v>
      </c>
      <c r="D510">
        <v>142</v>
      </c>
      <c r="F510" t="s">
        <v>1532</v>
      </c>
      <c r="G510">
        <v>8</v>
      </c>
    </row>
    <row r="511" spans="1:7" x14ac:dyDescent="0.25">
      <c r="A511" t="s">
        <v>1507</v>
      </c>
      <c r="B511">
        <v>39</v>
      </c>
      <c r="C511">
        <v>3</v>
      </c>
      <c r="D511">
        <v>90</v>
      </c>
      <c r="F511" t="s">
        <v>1533</v>
      </c>
      <c r="G511">
        <v>8</v>
      </c>
    </row>
    <row r="512" spans="1:7" x14ac:dyDescent="0.25">
      <c r="A512" t="s">
        <v>1508</v>
      </c>
      <c r="B512">
        <v>23</v>
      </c>
      <c r="C512">
        <v>2</v>
      </c>
      <c r="D512">
        <v>131</v>
      </c>
      <c r="F512" t="s">
        <v>1534</v>
      </c>
      <c r="G512">
        <v>3</v>
      </c>
    </row>
    <row r="513" spans="1:7" x14ac:dyDescent="0.25">
      <c r="A513" t="s">
        <v>1509</v>
      </c>
      <c r="B513">
        <v>20</v>
      </c>
      <c r="C513">
        <v>0</v>
      </c>
      <c r="D513">
        <v>117</v>
      </c>
      <c r="F513" t="s">
        <v>1535</v>
      </c>
      <c r="G513">
        <v>1</v>
      </c>
    </row>
    <row r="514" spans="1:7" x14ac:dyDescent="0.25">
      <c r="A514" t="s">
        <v>1510</v>
      </c>
      <c r="B514">
        <v>7</v>
      </c>
      <c r="C514">
        <v>0</v>
      </c>
      <c r="D514">
        <v>32</v>
      </c>
      <c r="F514" t="s">
        <v>1536</v>
      </c>
      <c r="G514">
        <v>10</v>
      </c>
    </row>
    <row r="515" spans="1:7" x14ac:dyDescent="0.25">
      <c r="A515" t="s">
        <v>1511</v>
      </c>
      <c r="B515">
        <v>8</v>
      </c>
      <c r="C515">
        <v>0</v>
      </c>
      <c r="D515">
        <v>44</v>
      </c>
      <c r="F515" t="s">
        <v>1537</v>
      </c>
      <c r="G515">
        <v>11</v>
      </c>
    </row>
    <row r="516" spans="1:7" x14ac:dyDescent="0.25">
      <c r="A516" t="s">
        <v>1512</v>
      </c>
      <c r="B516">
        <v>13</v>
      </c>
      <c r="C516">
        <v>0</v>
      </c>
      <c r="D516">
        <v>73</v>
      </c>
      <c r="F516" t="s">
        <v>1538</v>
      </c>
      <c r="G516">
        <v>5</v>
      </c>
    </row>
    <row r="517" spans="1:7" x14ac:dyDescent="0.25">
      <c r="A517" t="s">
        <v>1513</v>
      </c>
      <c r="B517">
        <v>11</v>
      </c>
      <c r="C517">
        <v>0</v>
      </c>
      <c r="D517">
        <v>43</v>
      </c>
      <c r="F517" t="s">
        <v>1539</v>
      </c>
      <c r="G517">
        <v>8</v>
      </c>
    </row>
    <row r="518" spans="1:7" x14ac:dyDescent="0.25">
      <c r="A518" t="s">
        <v>1514</v>
      </c>
      <c r="B518">
        <v>13</v>
      </c>
      <c r="C518">
        <v>0</v>
      </c>
      <c r="D518">
        <v>67</v>
      </c>
      <c r="F518" t="s">
        <v>1540</v>
      </c>
      <c r="G518">
        <v>2</v>
      </c>
    </row>
    <row r="519" spans="1:7" x14ac:dyDescent="0.25">
      <c r="A519" t="s">
        <v>1515</v>
      </c>
      <c r="B519">
        <v>22</v>
      </c>
      <c r="C519">
        <v>1</v>
      </c>
      <c r="D519">
        <v>90</v>
      </c>
      <c r="F519" t="s">
        <v>1541</v>
      </c>
      <c r="G519">
        <v>4</v>
      </c>
    </row>
    <row r="520" spans="1:7" x14ac:dyDescent="0.25">
      <c r="A520" t="s">
        <v>1516</v>
      </c>
      <c r="B520">
        <v>30</v>
      </c>
      <c r="C520">
        <v>0</v>
      </c>
      <c r="D520">
        <v>89</v>
      </c>
      <c r="F520" t="s">
        <v>1542</v>
      </c>
      <c r="G520">
        <v>9</v>
      </c>
    </row>
    <row r="521" spans="1:7" x14ac:dyDescent="0.25">
      <c r="A521" t="s">
        <v>1517</v>
      </c>
      <c r="B521">
        <v>7</v>
      </c>
      <c r="C521">
        <v>0</v>
      </c>
      <c r="D521">
        <v>39</v>
      </c>
      <c r="F521" t="s">
        <v>1543</v>
      </c>
      <c r="G521">
        <v>12</v>
      </c>
    </row>
    <row r="522" spans="1:7" x14ac:dyDescent="0.25">
      <c r="A522" t="s">
        <v>1518</v>
      </c>
      <c r="B522">
        <v>32</v>
      </c>
      <c r="C522">
        <v>1</v>
      </c>
      <c r="D522">
        <v>106</v>
      </c>
      <c r="F522" t="s">
        <v>1544</v>
      </c>
      <c r="G522">
        <v>13</v>
      </c>
    </row>
    <row r="523" spans="1:7" x14ac:dyDescent="0.25">
      <c r="A523" t="s">
        <v>1519</v>
      </c>
      <c r="B523">
        <v>9</v>
      </c>
      <c r="C523">
        <v>1</v>
      </c>
      <c r="D523">
        <v>71</v>
      </c>
      <c r="F523" t="s">
        <v>1545</v>
      </c>
      <c r="G523">
        <v>17</v>
      </c>
    </row>
    <row r="524" spans="1:7" x14ac:dyDescent="0.25">
      <c r="A524" t="s">
        <v>1520</v>
      </c>
      <c r="B524">
        <v>28</v>
      </c>
      <c r="C524">
        <v>2</v>
      </c>
      <c r="D524">
        <v>128</v>
      </c>
      <c r="F524" t="s">
        <v>1546</v>
      </c>
      <c r="G524">
        <v>6</v>
      </c>
    </row>
    <row r="525" spans="1:7" x14ac:dyDescent="0.25">
      <c r="A525" t="s">
        <v>1521</v>
      </c>
      <c r="B525">
        <v>28</v>
      </c>
      <c r="C525">
        <v>2</v>
      </c>
      <c r="D525">
        <v>114</v>
      </c>
      <c r="F525" t="s">
        <v>1547</v>
      </c>
      <c r="G525">
        <v>2</v>
      </c>
    </row>
    <row r="526" spans="1:7" x14ac:dyDescent="0.25">
      <c r="A526" t="s">
        <v>1522</v>
      </c>
      <c r="B526">
        <v>12</v>
      </c>
      <c r="C526">
        <v>1</v>
      </c>
      <c r="D526">
        <v>81</v>
      </c>
      <c r="F526" t="s">
        <v>1548</v>
      </c>
      <c r="G526">
        <v>1</v>
      </c>
    </row>
    <row r="527" spans="1:7" x14ac:dyDescent="0.25">
      <c r="A527" t="s">
        <v>1523</v>
      </c>
      <c r="B527">
        <v>25</v>
      </c>
      <c r="C527">
        <v>0</v>
      </c>
      <c r="D527">
        <v>126</v>
      </c>
      <c r="F527" t="s">
        <v>1549</v>
      </c>
      <c r="G527">
        <v>16</v>
      </c>
    </row>
    <row r="528" spans="1:7" x14ac:dyDescent="0.25">
      <c r="A528" t="s">
        <v>1524</v>
      </c>
      <c r="B528">
        <v>21</v>
      </c>
      <c r="C528">
        <v>2</v>
      </c>
      <c r="D528">
        <v>108</v>
      </c>
      <c r="F528" t="s">
        <v>1550</v>
      </c>
      <c r="G528">
        <v>3</v>
      </c>
    </row>
    <row r="529" spans="1:7" x14ac:dyDescent="0.25">
      <c r="A529" t="s">
        <v>1525</v>
      </c>
      <c r="B529">
        <v>24</v>
      </c>
      <c r="C529">
        <v>2</v>
      </c>
      <c r="D529">
        <v>91</v>
      </c>
      <c r="F529" t="s">
        <v>1551</v>
      </c>
      <c r="G529">
        <v>1</v>
      </c>
    </row>
    <row r="530" spans="1:7" x14ac:dyDescent="0.25">
      <c r="A530" t="s">
        <v>1526</v>
      </c>
      <c r="B530">
        <v>15</v>
      </c>
      <c r="C530">
        <v>0</v>
      </c>
      <c r="D530">
        <v>60</v>
      </c>
      <c r="F530" t="s">
        <v>1552</v>
      </c>
      <c r="G530">
        <v>10</v>
      </c>
    </row>
    <row r="531" spans="1:7" x14ac:dyDescent="0.25">
      <c r="A531" t="s">
        <v>1527</v>
      </c>
      <c r="B531">
        <v>23</v>
      </c>
      <c r="C531">
        <v>0</v>
      </c>
      <c r="D531">
        <v>124</v>
      </c>
      <c r="F531" t="s">
        <v>1553</v>
      </c>
      <c r="G531">
        <v>15</v>
      </c>
    </row>
    <row r="532" spans="1:7" x14ac:dyDescent="0.25">
      <c r="A532" t="s">
        <v>1528</v>
      </c>
      <c r="B532">
        <v>15</v>
      </c>
      <c r="C532">
        <v>2</v>
      </c>
      <c r="D532">
        <v>78</v>
      </c>
      <c r="F532" t="s">
        <v>1554</v>
      </c>
      <c r="G532">
        <v>1</v>
      </c>
    </row>
    <row r="533" spans="1:7" x14ac:dyDescent="0.25">
      <c r="A533" t="s">
        <v>1529</v>
      </c>
      <c r="B533">
        <v>12</v>
      </c>
      <c r="C533">
        <v>2</v>
      </c>
      <c r="D533">
        <v>64</v>
      </c>
      <c r="F533" t="s">
        <v>1555</v>
      </c>
      <c r="G533">
        <v>12</v>
      </c>
    </row>
    <row r="534" spans="1:7" x14ac:dyDescent="0.25">
      <c r="A534" t="s">
        <v>1530</v>
      </c>
      <c r="B534">
        <v>25</v>
      </c>
      <c r="C534">
        <v>1</v>
      </c>
      <c r="D534">
        <v>120</v>
      </c>
      <c r="F534" t="s">
        <v>1556</v>
      </c>
      <c r="G534">
        <v>7</v>
      </c>
    </row>
    <row r="535" spans="1:7" x14ac:dyDescent="0.25">
      <c r="A535" t="s">
        <v>1531</v>
      </c>
      <c r="B535">
        <v>21</v>
      </c>
      <c r="C535">
        <v>0</v>
      </c>
      <c r="D535">
        <v>79</v>
      </c>
      <c r="F535" t="s">
        <v>1557</v>
      </c>
      <c r="G535">
        <v>4</v>
      </c>
    </row>
    <row r="536" spans="1:7" x14ac:dyDescent="0.25">
      <c r="A536" t="s">
        <v>1532</v>
      </c>
      <c r="B536">
        <v>14</v>
      </c>
      <c r="C536">
        <v>0</v>
      </c>
      <c r="D536">
        <v>76</v>
      </c>
      <c r="F536" t="s">
        <v>1558</v>
      </c>
      <c r="G536">
        <v>1</v>
      </c>
    </row>
    <row r="537" spans="1:7" x14ac:dyDescent="0.25">
      <c r="A537" t="s">
        <v>1533</v>
      </c>
      <c r="B537">
        <v>21</v>
      </c>
      <c r="C537">
        <v>0</v>
      </c>
      <c r="D537">
        <v>100</v>
      </c>
      <c r="F537" t="s">
        <v>1559</v>
      </c>
      <c r="G537">
        <v>1</v>
      </c>
    </row>
    <row r="538" spans="1:7" x14ac:dyDescent="0.25">
      <c r="A538" t="s">
        <v>1534</v>
      </c>
      <c r="B538">
        <v>12</v>
      </c>
      <c r="C538">
        <v>0</v>
      </c>
      <c r="D538">
        <v>63</v>
      </c>
      <c r="F538" t="s">
        <v>1560</v>
      </c>
      <c r="G538">
        <v>6</v>
      </c>
    </row>
    <row r="539" spans="1:7" x14ac:dyDescent="0.25">
      <c r="A539" t="s">
        <v>1535</v>
      </c>
      <c r="B539">
        <v>10</v>
      </c>
      <c r="C539">
        <v>0</v>
      </c>
      <c r="D539">
        <v>82</v>
      </c>
      <c r="F539" t="s">
        <v>1561</v>
      </c>
      <c r="G539">
        <v>6</v>
      </c>
    </row>
    <row r="540" spans="1:7" x14ac:dyDescent="0.25">
      <c r="A540" t="s">
        <v>1536</v>
      </c>
      <c r="B540">
        <v>24</v>
      </c>
      <c r="C540">
        <v>1</v>
      </c>
      <c r="D540">
        <v>111</v>
      </c>
      <c r="F540" t="s">
        <v>1562</v>
      </c>
      <c r="G540">
        <v>6</v>
      </c>
    </row>
    <row r="541" spans="1:7" x14ac:dyDescent="0.25">
      <c r="A541" t="s">
        <v>1537</v>
      </c>
      <c r="B541">
        <v>10</v>
      </c>
      <c r="C541">
        <v>0</v>
      </c>
      <c r="D541">
        <v>93</v>
      </c>
      <c r="F541" t="s">
        <v>1563</v>
      </c>
      <c r="G541">
        <v>5</v>
      </c>
    </row>
    <row r="542" spans="1:7" x14ac:dyDescent="0.25">
      <c r="A542" t="s">
        <v>1538</v>
      </c>
      <c r="B542">
        <v>12</v>
      </c>
      <c r="C542">
        <v>3</v>
      </c>
      <c r="D542">
        <v>100</v>
      </c>
      <c r="F542" t="s">
        <v>1564</v>
      </c>
      <c r="G542">
        <v>1</v>
      </c>
    </row>
    <row r="543" spans="1:7" x14ac:dyDescent="0.25">
      <c r="A543" t="s">
        <v>1539</v>
      </c>
      <c r="B543">
        <v>15</v>
      </c>
      <c r="C543">
        <v>2</v>
      </c>
      <c r="D543">
        <v>89</v>
      </c>
      <c r="F543" t="s">
        <v>1565</v>
      </c>
      <c r="G543">
        <v>2</v>
      </c>
    </row>
    <row r="544" spans="1:7" x14ac:dyDescent="0.25">
      <c r="A544" t="s">
        <v>1540</v>
      </c>
      <c r="B544">
        <v>7</v>
      </c>
      <c r="C544">
        <v>4</v>
      </c>
      <c r="D544">
        <v>61</v>
      </c>
      <c r="F544" t="s">
        <v>1566</v>
      </c>
      <c r="G544">
        <v>1</v>
      </c>
    </row>
    <row r="545" spans="1:7" x14ac:dyDescent="0.25">
      <c r="A545" t="s">
        <v>1541</v>
      </c>
      <c r="B545">
        <v>9</v>
      </c>
      <c r="C545">
        <v>0</v>
      </c>
      <c r="D545">
        <v>23</v>
      </c>
      <c r="F545" t="s">
        <v>1567</v>
      </c>
      <c r="G545">
        <v>25</v>
      </c>
    </row>
    <row r="546" spans="1:7" x14ac:dyDescent="0.25">
      <c r="A546" t="s">
        <v>1542</v>
      </c>
      <c r="B546">
        <v>34</v>
      </c>
      <c r="C546">
        <v>1</v>
      </c>
      <c r="D546">
        <v>122</v>
      </c>
      <c r="F546" t="s">
        <v>1568</v>
      </c>
      <c r="G546">
        <v>6</v>
      </c>
    </row>
    <row r="547" spans="1:7" x14ac:dyDescent="0.25">
      <c r="A547" t="s">
        <v>1543</v>
      </c>
      <c r="B547">
        <v>29</v>
      </c>
      <c r="C547">
        <v>2</v>
      </c>
      <c r="D547">
        <v>97</v>
      </c>
      <c r="F547" t="s">
        <v>1569</v>
      </c>
      <c r="G547">
        <v>2</v>
      </c>
    </row>
    <row r="548" spans="1:7" x14ac:dyDescent="0.25">
      <c r="A548" t="s">
        <v>1544</v>
      </c>
      <c r="B548">
        <v>24</v>
      </c>
      <c r="C548">
        <v>0</v>
      </c>
      <c r="D548">
        <v>100</v>
      </c>
      <c r="F548" t="s">
        <v>1570</v>
      </c>
      <c r="G548">
        <v>1</v>
      </c>
    </row>
    <row r="549" spans="1:7" x14ac:dyDescent="0.25">
      <c r="A549" t="s">
        <v>1545</v>
      </c>
      <c r="B549">
        <v>31</v>
      </c>
      <c r="C549">
        <v>2</v>
      </c>
      <c r="D549">
        <v>100</v>
      </c>
      <c r="F549" t="s">
        <v>1571</v>
      </c>
      <c r="G549">
        <v>9</v>
      </c>
    </row>
    <row r="550" spans="1:7" x14ac:dyDescent="0.25">
      <c r="A550" t="s">
        <v>1546</v>
      </c>
      <c r="B550">
        <v>14</v>
      </c>
      <c r="C550">
        <v>0</v>
      </c>
      <c r="D550">
        <v>56</v>
      </c>
      <c r="F550" t="s">
        <v>1572</v>
      </c>
      <c r="G550">
        <v>5</v>
      </c>
    </row>
    <row r="551" spans="1:7" x14ac:dyDescent="0.25">
      <c r="A551" t="s">
        <v>1547</v>
      </c>
      <c r="B551">
        <v>16</v>
      </c>
      <c r="C551">
        <v>2</v>
      </c>
      <c r="D551">
        <v>47</v>
      </c>
      <c r="F551" t="s">
        <v>1573</v>
      </c>
      <c r="G551">
        <v>4</v>
      </c>
    </row>
    <row r="552" spans="1:7" x14ac:dyDescent="0.25">
      <c r="A552" t="s">
        <v>1548</v>
      </c>
      <c r="B552">
        <v>3</v>
      </c>
      <c r="C552">
        <v>2</v>
      </c>
      <c r="D552">
        <v>43</v>
      </c>
      <c r="F552" t="s">
        <v>1574</v>
      </c>
      <c r="G552">
        <v>5</v>
      </c>
    </row>
    <row r="553" spans="1:7" x14ac:dyDescent="0.25">
      <c r="A553" t="s">
        <v>1549</v>
      </c>
      <c r="B553">
        <v>13</v>
      </c>
      <c r="C553">
        <v>0</v>
      </c>
      <c r="D553">
        <v>69</v>
      </c>
      <c r="F553" t="s">
        <v>1575</v>
      </c>
      <c r="G553">
        <v>3</v>
      </c>
    </row>
    <row r="554" spans="1:7" x14ac:dyDescent="0.25">
      <c r="A554" t="s">
        <v>1550</v>
      </c>
      <c r="B554">
        <v>14</v>
      </c>
      <c r="C554">
        <v>3</v>
      </c>
      <c r="D554">
        <v>69</v>
      </c>
      <c r="F554" t="s">
        <v>1576</v>
      </c>
      <c r="G554">
        <v>3</v>
      </c>
    </row>
    <row r="555" spans="1:7" x14ac:dyDescent="0.25">
      <c r="A555" t="s">
        <v>1551</v>
      </c>
      <c r="B555">
        <v>13</v>
      </c>
      <c r="C555">
        <v>2</v>
      </c>
      <c r="D555">
        <v>71</v>
      </c>
      <c r="F555" t="s">
        <v>1577</v>
      </c>
      <c r="G555">
        <v>1</v>
      </c>
    </row>
    <row r="556" spans="1:7" x14ac:dyDescent="0.25">
      <c r="A556" t="s">
        <v>1552</v>
      </c>
      <c r="B556">
        <v>16</v>
      </c>
      <c r="C556">
        <v>0</v>
      </c>
      <c r="D556">
        <v>61</v>
      </c>
      <c r="F556" t="s">
        <v>1578</v>
      </c>
      <c r="G556">
        <v>1</v>
      </c>
    </row>
    <row r="557" spans="1:7" x14ac:dyDescent="0.25">
      <c r="A557" t="s">
        <v>1553</v>
      </c>
      <c r="B557">
        <v>15</v>
      </c>
      <c r="C557">
        <v>6</v>
      </c>
      <c r="D557">
        <v>147</v>
      </c>
      <c r="F557" t="s">
        <v>1580</v>
      </c>
      <c r="G557">
        <v>1</v>
      </c>
    </row>
    <row r="558" spans="1:7" x14ac:dyDescent="0.25">
      <c r="A558" t="s">
        <v>1554</v>
      </c>
      <c r="B558">
        <v>5</v>
      </c>
      <c r="C558">
        <v>3</v>
      </c>
      <c r="D558">
        <v>45</v>
      </c>
      <c r="F558" t="s">
        <v>1581</v>
      </c>
      <c r="G558">
        <v>7</v>
      </c>
    </row>
    <row r="559" spans="1:7" x14ac:dyDescent="0.25">
      <c r="A559" t="s">
        <v>1555</v>
      </c>
      <c r="B559">
        <v>14</v>
      </c>
      <c r="C559">
        <v>1</v>
      </c>
      <c r="D559">
        <v>92</v>
      </c>
      <c r="F559" t="s">
        <v>1582</v>
      </c>
      <c r="G559">
        <v>1</v>
      </c>
    </row>
    <row r="560" spans="1:7" x14ac:dyDescent="0.25">
      <c r="A560" t="s">
        <v>1556</v>
      </c>
      <c r="B560">
        <v>17</v>
      </c>
      <c r="C560">
        <v>2</v>
      </c>
      <c r="D560">
        <v>90</v>
      </c>
      <c r="F560" t="s">
        <v>1583</v>
      </c>
      <c r="G560">
        <v>7</v>
      </c>
    </row>
    <row r="561" spans="1:7" x14ac:dyDescent="0.25">
      <c r="A561" t="s">
        <v>1557</v>
      </c>
      <c r="B561">
        <v>15</v>
      </c>
      <c r="C561">
        <v>0</v>
      </c>
      <c r="D561">
        <v>76</v>
      </c>
      <c r="F561" t="s">
        <v>1584</v>
      </c>
      <c r="G561">
        <v>2</v>
      </c>
    </row>
    <row r="562" spans="1:7" x14ac:dyDescent="0.25">
      <c r="A562" t="s">
        <v>1558</v>
      </c>
      <c r="B562">
        <v>9</v>
      </c>
      <c r="C562">
        <v>1</v>
      </c>
      <c r="D562">
        <v>45</v>
      </c>
      <c r="F562" t="s">
        <v>1585</v>
      </c>
      <c r="G562">
        <v>8</v>
      </c>
    </row>
    <row r="563" spans="1:7" x14ac:dyDescent="0.25">
      <c r="A563" t="s">
        <v>1559</v>
      </c>
      <c r="B563">
        <v>17</v>
      </c>
      <c r="C563">
        <v>0</v>
      </c>
      <c r="D563">
        <v>64</v>
      </c>
      <c r="F563" t="s">
        <v>1586</v>
      </c>
      <c r="G563">
        <v>5</v>
      </c>
    </row>
    <row r="564" spans="1:7" x14ac:dyDescent="0.25">
      <c r="A564" t="s">
        <v>1560</v>
      </c>
      <c r="B564">
        <v>17</v>
      </c>
      <c r="C564">
        <v>2</v>
      </c>
      <c r="D564">
        <v>84</v>
      </c>
      <c r="F564" t="s">
        <v>1587</v>
      </c>
      <c r="G564">
        <v>8</v>
      </c>
    </row>
    <row r="565" spans="1:7" x14ac:dyDescent="0.25">
      <c r="A565" t="s">
        <v>1561</v>
      </c>
      <c r="B565">
        <v>19</v>
      </c>
      <c r="C565">
        <v>0</v>
      </c>
      <c r="D565">
        <v>61</v>
      </c>
      <c r="F565" t="s">
        <v>1588</v>
      </c>
      <c r="G565">
        <v>6</v>
      </c>
    </row>
    <row r="566" spans="1:7" x14ac:dyDescent="0.25">
      <c r="A566" t="s">
        <v>1562</v>
      </c>
      <c r="B566">
        <v>10</v>
      </c>
      <c r="C566">
        <v>1</v>
      </c>
      <c r="D566">
        <v>65</v>
      </c>
      <c r="F566" t="s">
        <v>1589</v>
      </c>
      <c r="G566">
        <v>10</v>
      </c>
    </row>
    <row r="567" spans="1:7" x14ac:dyDescent="0.25">
      <c r="A567" t="s">
        <v>1563</v>
      </c>
      <c r="B567">
        <v>17</v>
      </c>
      <c r="C567">
        <v>4</v>
      </c>
      <c r="D567">
        <v>87</v>
      </c>
      <c r="F567" t="s">
        <v>1591</v>
      </c>
      <c r="G567">
        <v>10</v>
      </c>
    </row>
    <row r="568" spans="1:7" x14ac:dyDescent="0.25">
      <c r="A568" t="s">
        <v>1564</v>
      </c>
      <c r="B568">
        <v>13</v>
      </c>
      <c r="C568">
        <v>1</v>
      </c>
      <c r="D568">
        <v>53</v>
      </c>
      <c r="F568" t="s">
        <v>1592</v>
      </c>
      <c r="G568">
        <v>4</v>
      </c>
    </row>
    <row r="569" spans="1:7" x14ac:dyDescent="0.25">
      <c r="A569" t="s">
        <v>1565</v>
      </c>
      <c r="B569">
        <v>11</v>
      </c>
      <c r="C569">
        <v>0</v>
      </c>
      <c r="D569">
        <v>44</v>
      </c>
      <c r="F569" t="s">
        <v>1593</v>
      </c>
      <c r="G569">
        <v>6</v>
      </c>
    </row>
    <row r="570" spans="1:7" x14ac:dyDescent="0.25">
      <c r="A570" t="s">
        <v>1566</v>
      </c>
      <c r="B570">
        <v>8</v>
      </c>
      <c r="C570">
        <v>1</v>
      </c>
      <c r="D570">
        <v>43</v>
      </c>
      <c r="F570" t="s">
        <v>1594</v>
      </c>
      <c r="G570">
        <v>3</v>
      </c>
    </row>
    <row r="571" spans="1:7" x14ac:dyDescent="0.25">
      <c r="A571" t="s">
        <v>1567</v>
      </c>
      <c r="B571">
        <v>12</v>
      </c>
      <c r="C571">
        <v>3</v>
      </c>
      <c r="D571">
        <v>93</v>
      </c>
      <c r="F571" t="s">
        <v>1595</v>
      </c>
      <c r="G571">
        <v>3</v>
      </c>
    </row>
    <row r="572" spans="1:7" x14ac:dyDescent="0.25">
      <c r="A572" t="s">
        <v>1568</v>
      </c>
      <c r="B572">
        <v>9</v>
      </c>
      <c r="C572">
        <v>1</v>
      </c>
      <c r="D572">
        <v>59</v>
      </c>
      <c r="F572" t="s">
        <v>1596</v>
      </c>
      <c r="G572">
        <v>2</v>
      </c>
    </row>
    <row r="573" spans="1:7" x14ac:dyDescent="0.25">
      <c r="A573" t="s">
        <v>1569</v>
      </c>
      <c r="B573">
        <v>10</v>
      </c>
      <c r="C573">
        <v>3</v>
      </c>
      <c r="D573">
        <v>41</v>
      </c>
      <c r="F573" t="s">
        <v>1597</v>
      </c>
      <c r="G573">
        <v>3</v>
      </c>
    </row>
    <row r="574" spans="1:7" x14ac:dyDescent="0.25">
      <c r="A574" t="s">
        <v>1570</v>
      </c>
      <c r="B574">
        <v>10</v>
      </c>
      <c r="C574">
        <v>3</v>
      </c>
      <c r="D574">
        <v>86</v>
      </c>
      <c r="F574" t="s">
        <v>1598</v>
      </c>
      <c r="G574">
        <v>2</v>
      </c>
    </row>
    <row r="575" spans="1:7" x14ac:dyDescent="0.25">
      <c r="A575" t="s">
        <v>1571</v>
      </c>
      <c r="B575">
        <v>10</v>
      </c>
      <c r="C575">
        <v>1</v>
      </c>
      <c r="D575">
        <v>110</v>
      </c>
      <c r="F575" t="s">
        <v>1599</v>
      </c>
      <c r="G575">
        <v>2</v>
      </c>
    </row>
    <row r="576" spans="1:7" x14ac:dyDescent="0.25">
      <c r="A576" t="s">
        <v>1572</v>
      </c>
      <c r="B576">
        <v>15</v>
      </c>
      <c r="C576">
        <v>0</v>
      </c>
      <c r="D576">
        <v>106</v>
      </c>
      <c r="F576" t="s">
        <v>1600</v>
      </c>
      <c r="G576">
        <v>2</v>
      </c>
    </row>
    <row r="577" spans="1:7" x14ac:dyDescent="0.25">
      <c r="A577" t="s">
        <v>1573</v>
      </c>
      <c r="B577">
        <v>18</v>
      </c>
      <c r="C577">
        <v>4</v>
      </c>
      <c r="D577">
        <v>113</v>
      </c>
      <c r="F577" t="s">
        <v>1601</v>
      </c>
      <c r="G577">
        <v>2</v>
      </c>
    </row>
    <row r="578" spans="1:7" x14ac:dyDescent="0.25">
      <c r="A578" t="s">
        <v>1574</v>
      </c>
      <c r="B578">
        <v>12</v>
      </c>
      <c r="C578">
        <v>2</v>
      </c>
      <c r="D578">
        <v>100</v>
      </c>
      <c r="F578" t="s">
        <v>1602</v>
      </c>
      <c r="G578">
        <v>2</v>
      </c>
    </row>
    <row r="579" spans="1:7" x14ac:dyDescent="0.25">
      <c r="A579" t="s">
        <v>1575</v>
      </c>
      <c r="B579">
        <v>12</v>
      </c>
      <c r="C579">
        <v>4</v>
      </c>
      <c r="D579">
        <v>76</v>
      </c>
      <c r="F579" t="s">
        <v>1604</v>
      </c>
      <c r="G579">
        <v>4</v>
      </c>
    </row>
    <row r="580" spans="1:7" x14ac:dyDescent="0.25">
      <c r="A580" t="s">
        <v>1576</v>
      </c>
      <c r="B580">
        <v>10</v>
      </c>
      <c r="C580">
        <v>5</v>
      </c>
      <c r="D580">
        <v>73</v>
      </c>
      <c r="F580" t="s">
        <v>1605</v>
      </c>
      <c r="G580">
        <v>7</v>
      </c>
    </row>
    <row r="581" spans="1:7" x14ac:dyDescent="0.25">
      <c r="A581" t="s">
        <v>1577</v>
      </c>
      <c r="B581">
        <v>11</v>
      </c>
      <c r="C581">
        <v>1</v>
      </c>
      <c r="D581">
        <v>76</v>
      </c>
      <c r="F581" t="s">
        <v>1606</v>
      </c>
      <c r="G581">
        <v>1</v>
      </c>
    </row>
    <row r="582" spans="1:7" x14ac:dyDescent="0.25">
      <c r="A582" t="s">
        <v>1578</v>
      </c>
      <c r="B582">
        <v>9</v>
      </c>
      <c r="C582">
        <v>0</v>
      </c>
      <c r="D582">
        <v>75</v>
      </c>
      <c r="F582" t="s">
        <v>1607</v>
      </c>
      <c r="G582">
        <v>12</v>
      </c>
    </row>
    <row r="583" spans="1:7" x14ac:dyDescent="0.25">
      <c r="A583" t="s">
        <v>1579</v>
      </c>
      <c r="B583">
        <v>8</v>
      </c>
      <c r="C583">
        <v>0</v>
      </c>
      <c r="D583">
        <v>55</v>
      </c>
      <c r="F583" t="s">
        <v>1608</v>
      </c>
      <c r="G583">
        <v>3</v>
      </c>
    </row>
    <row r="584" spans="1:7" x14ac:dyDescent="0.25">
      <c r="A584" t="s">
        <v>1580</v>
      </c>
      <c r="B584">
        <v>8</v>
      </c>
      <c r="C584">
        <v>4</v>
      </c>
      <c r="D584">
        <v>62</v>
      </c>
      <c r="F584" t="s">
        <v>1609</v>
      </c>
      <c r="G584">
        <v>8</v>
      </c>
    </row>
    <row r="585" spans="1:7" x14ac:dyDescent="0.25">
      <c r="A585" t="s">
        <v>1581</v>
      </c>
      <c r="B585">
        <v>9</v>
      </c>
      <c r="C585">
        <v>0</v>
      </c>
      <c r="D585">
        <v>57</v>
      </c>
      <c r="F585" t="s">
        <v>1610</v>
      </c>
      <c r="G585">
        <v>9</v>
      </c>
    </row>
    <row r="586" spans="1:7" x14ac:dyDescent="0.25">
      <c r="A586" t="s">
        <v>1582</v>
      </c>
      <c r="B586">
        <v>21</v>
      </c>
      <c r="C586">
        <v>0</v>
      </c>
      <c r="D586">
        <v>92</v>
      </c>
      <c r="F586" t="s">
        <v>1611</v>
      </c>
      <c r="G586">
        <v>6</v>
      </c>
    </row>
    <row r="587" spans="1:7" x14ac:dyDescent="0.25">
      <c r="A587" t="s">
        <v>1583</v>
      </c>
      <c r="B587">
        <v>17</v>
      </c>
      <c r="C587">
        <v>0</v>
      </c>
      <c r="D587">
        <v>68</v>
      </c>
      <c r="F587" t="s">
        <v>1612</v>
      </c>
      <c r="G587">
        <v>1</v>
      </c>
    </row>
    <row r="588" spans="1:7" x14ac:dyDescent="0.25">
      <c r="A588" t="s">
        <v>1584</v>
      </c>
      <c r="B588">
        <v>12</v>
      </c>
      <c r="C588">
        <v>0</v>
      </c>
      <c r="D588">
        <v>42</v>
      </c>
      <c r="F588" t="s">
        <v>1613</v>
      </c>
      <c r="G588">
        <v>7</v>
      </c>
    </row>
    <row r="589" spans="1:7" x14ac:dyDescent="0.25">
      <c r="A589" t="s">
        <v>1585</v>
      </c>
      <c r="B589">
        <v>9</v>
      </c>
      <c r="C589">
        <v>1</v>
      </c>
      <c r="D589">
        <v>63</v>
      </c>
      <c r="F589" t="s">
        <v>1614</v>
      </c>
      <c r="G589">
        <v>3</v>
      </c>
    </row>
    <row r="590" spans="1:7" x14ac:dyDescent="0.25">
      <c r="A590" t="s">
        <v>1586</v>
      </c>
      <c r="B590">
        <v>6</v>
      </c>
      <c r="C590">
        <v>2</v>
      </c>
      <c r="D590">
        <v>55</v>
      </c>
      <c r="F590" t="s">
        <v>1615</v>
      </c>
      <c r="G590">
        <v>2</v>
      </c>
    </row>
    <row r="591" spans="1:7" x14ac:dyDescent="0.25">
      <c r="A591" t="s">
        <v>1587</v>
      </c>
      <c r="B591">
        <v>6</v>
      </c>
      <c r="C591">
        <v>2</v>
      </c>
      <c r="D591">
        <v>54</v>
      </c>
      <c r="F591" t="s">
        <v>1616</v>
      </c>
      <c r="G591">
        <v>5</v>
      </c>
    </row>
    <row r="592" spans="1:7" x14ac:dyDescent="0.25">
      <c r="A592" t="s">
        <v>1588</v>
      </c>
      <c r="B592">
        <v>9</v>
      </c>
      <c r="C592">
        <v>0</v>
      </c>
      <c r="D592">
        <v>58</v>
      </c>
      <c r="F592" t="s">
        <v>1617</v>
      </c>
      <c r="G592">
        <v>8</v>
      </c>
    </row>
    <row r="593" spans="1:7" x14ac:dyDescent="0.25">
      <c r="A593" t="s">
        <v>1589</v>
      </c>
      <c r="B593">
        <v>7</v>
      </c>
      <c r="C593">
        <v>0</v>
      </c>
      <c r="D593">
        <v>47</v>
      </c>
      <c r="F593" t="s">
        <v>1618</v>
      </c>
      <c r="G593">
        <v>2</v>
      </c>
    </row>
    <row r="594" spans="1:7" x14ac:dyDescent="0.25">
      <c r="A594" t="s">
        <v>1590</v>
      </c>
      <c r="B594">
        <v>17</v>
      </c>
      <c r="C594">
        <v>0</v>
      </c>
      <c r="D594">
        <v>56</v>
      </c>
      <c r="F594" t="s">
        <v>1619</v>
      </c>
      <c r="G594">
        <v>3</v>
      </c>
    </row>
    <row r="595" spans="1:7" x14ac:dyDescent="0.25">
      <c r="A595" t="s">
        <v>1591</v>
      </c>
      <c r="B595">
        <v>14</v>
      </c>
      <c r="C595">
        <v>2</v>
      </c>
      <c r="D595">
        <v>113</v>
      </c>
      <c r="F595" t="s">
        <v>1621</v>
      </c>
      <c r="G595">
        <v>7</v>
      </c>
    </row>
    <row r="596" spans="1:7" x14ac:dyDescent="0.25">
      <c r="A596" t="s">
        <v>1592</v>
      </c>
      <c r="B596">
        <v>6</v>
      </c>
      <c r="C596">
        <v>0</v>
      </c>
      <c r="D596">
        <v>60</v>
      </c>
      <c r="F596" t="s">
        <v>1622</v>
      </c>
      <c r="G596">
        <v>2</v>
      </c>
    </row>
    <row r="597" spans="1:7" x14ac:dyDescent="0.25">
      <c r="A597" t="s">
        <v>1593</v>
      </c>
      <c r="B597">
        <v>7</v>
      </c>
      <c r="C597">
        <v>0</v>
      </c>
      <c r="D597">
        <v>73</v>
      </c>
      <c r="F597" t="s">
        <v>1631</v>
      </c>
      <c r="G597">
        <v>18</v>
      </c>
    </row>
    <row r="598" spans="1:7" x14ac:dyDescent="0.25">
      <c r="A598" t="s">
        <v>1594</v>
      </c>
      <c r="B598">
        <v>6</v>
      </c>
      <c r="C598">
        <v>0</v>
      </c>
      <c r="D598">
        <v>50</v>
      </c>
      <c r="F598" t="s">
        <v>1632</v>
      </c>
      <c r="G598">
        <v>13</v>
      </c>
    </row>
    <row r="599" spans="1:7" x14ac:dyDescent="0.25">
      <c r="A599" t="s">
        <v>1595</v>
      </c>
      <c r="B599">
        <v>15</v>
      </c>
      <c r="C599">
        <v>1</v>
      </c>
      <c r="D599">
        <v>47</v>
      </c>
      <c r="F599" t="s">
        <v>1633</v>
      </c>
      <c r="G599">
        <v>1</v>
      </c>
    </row>
    <row r="600" spans="1:7" x14ac:dyDescent="0.25">
      <c r="A600" t="s">
        <v>1596</v>
      </c>
      <c r="B600">
        <v>6</v>
      </c>
      <c r="C600">
        <v>0</v>
      </c>
      <c r="D600">
        <v>41</v>
      </c>
      <c r="F600" t="s">
        <v>1634</v>
      </c>
      <c r="G600">
        <v>6</v>
      </c>
    </row>
    <row r="601" spans="1:7" x14ac:dyDescent="0.25">
      <c r="A601" t="s">
        <v>1597</v>
      </c>
      <c r="B601">
        <v>9</v>
      </c>
      <c r="C601">
        <v>1</v>
      </c>
      <c r="D601">
        <v>50</v>
      </c>
      <c r="F601" t="s">
        <v>1635</v>
      </c>
      <c r="G601">
        <v>6</v>
      </c>
    </row>
    <row r="602" spans="1:7" x14ac:dyDescent="0.25">
      <c r="A602" t="s">
        <v>1598</v>
      </c>
      <c r="B602">
        <v>4</v>
      </c>
      <c r="C602">
        <v>1</v>
      </c>
      <c r="D602">
        <v>29</v>
      </c>
      <c r="F602" t="s">
        <v>1636</v>
      </c>
      <c r="G602">
        <v>4</v>
      </c>
    </row>
    <row r="603" spans="1:7" x14ac:dyDescent="0.25">
      <c r="A603" t="s">
        <v>1599</v>
      </c>
      <c r="B603">
        <v>7</v>
      </c>
      <c r="C603">
        <v>0</v>
      </c>
      <c r="D603">
        <v>32</v>
      </c>
      <c r="F603" t="s">
        <v>1637</v>
      </c>
      <c r="G603">
        <v>4</v>
      </c>
    </row>
    <row r="604" spans="1:7" x14ac:dyDescent="0.25">
      <c r="A604" t="s">
        <v>1600</v>
      </c>
      <c r="B604">
        <v>9</v>
      </c>
      <c r="C604">
        <v>0</v>
      </c>
      <c r="D604">
        <v>46</v>
      </c>
      <c r="F604" t="s">
        <v>1638</v>
      </c>
      <c r="G604">
        <v>8</v>
      </c>
    </row>
    <row r="605" spans="1:7" x14ac:dyDescent="0.25">
      <c r="A605" t="s">
        <v>1601</v>
      </c>
      <c r="B605">
        <v>7</v>
      </c>
      <c r="C605">
        <v>0</v>
      </c>
      <c r="D605">
        <v>62</v>
      </c>
      <c r="F605" t="s">
        <v>1639</v>
      </c>
      <c r="G605">
        <v>4</v>
      </c>
    </row>
    <row r="606" spans="1:7" x14ac:dyDescent="0.25">
      <c r="A606" t="s">
        <v>1602</v>
      </c>
      <c r="B606">
        <v>11</v>
      </c>
      <c r="C606">
        <v>4</v>
      </c>
      <c r="D606">
        <v>57</v>
      </c>
      <c r="F606" t="s">
        <v>1640</v>
      </c>
      <c r="G606">
        <v>21</v>
      </c>
    </row>
    <row r="607" spans="1:7" x14ac:dyDescent="0.25">
      <c r="A607" t="s">
        <v>1603</v>
      </c>
      <c r="B607">
        <v>8</v>
      </c>
      <c r="C607">
        <v>0</v>
      </c>
      <c r="D607">
        <v>42</v>
      </c>
      <c r="F607" t="s">
        <v>1641</v>
      </c>
      <c r="G607">
        <v>18</v>
      </c>
    </row>
    <row r="608" spans="1:7" x14ac:dyDescent="0.25">
      <c r="A608" t="s">
        <v>1604</v>
      </c>
      <c r="B608">
        <v>10</v>
      </c>
      <c r="C608">
        <v>3</v>
      </c>
      <c r="D608">
        <v>60</v>
      </c>
      <c r="F608" t="s">
        <v>1642</v>
      </c>
      <c r="G608">
        <v>13</v>
      </c>
    </row>
    <row r="609" spans="1:7" x14ac:dyDescent="0.25">
      <c r="A609" t="s">
        <v>1605</v>
      </c>
      <c r="B609">
        <v>6</v>
      </c>
      <c r="C609">
        <v>8</v>
      </c>
      <c r="D609">
        <v>71</v>
      </c>
      <c r="F609" t="s">
        <v>1643</v>
      </c>
      <c r="G609">
        <v>4</v>
      </c>
    </row>
    <row r="610" spans="1:7" x14ac:dyDescent="0.25">
      <c r="A610" t="s">
        <v>1606</v>
      </c>
      <c r="B610">
        <v>2</v>
      </c>
      <c r="C610">
        <v>4</v>
      </c>
      <c r="D610">
        <v>41</v>
      </c>
      <c r="F610" t="s">
        <v>1644</v>
      </c>
      <c r="G610">
        <v>4</v>
      </c>
    </row>
    <row r="611" spans="1:7" x14ac:dyDescent="0.25">
      <c r="A611" t="s">
        <v>1607</v>
      </c>
      <c r="B611">
        <v>10</v>
      </c>
      <c r="C611">
        <v>4</v>
      </c>
      <c r="D611">
        <v>65</v>
      </c>
      <c r="F611" t="s">
        <v>1645</v>
      </c>
      <c r="G611">
        <v>3</v>
      </c>
    </row>
    <row r="612" spans="1:7" x14ac:dyDescent="0.25">
      <c r="A612" t="s">
        <v>1608</v>
      </c>
      <c r="B612">
        <v>9</v>
      </c>
      <c r="C612">
        <v>3</v>
      </c>
      <c r="D612">
        <v>49</v>
      </c>
      <c r="F612" t="s">
        <v>1646</v>
      </c>
      <c r="G612">
        <v>11</v>
      </c>
    </row>
    <row r="613" spans="1:7" x14ac:dyDescent="0.25">
      <c r="A613" t="s">
        <v>1609</v>
      </c>
      <c r="B613">
        <v>11</v>
      </c>
      <c r="C613">
        <v>5</v>
      </c>
      <c r="D613">
        <v>57</v>
      </c>
      <c r="F613" t="s">
        <v>1647</v>
      </c>
      <c r="G613">
        <v>7</v>
      </c>
    </row>
    <row r="614" spans="1:7" x14ac:dyDescent="0.25">
      <c r="A614" t="s">
        <v>1610</v>
      </c>
      <c r="B614">
        <v>12</v>
      </c>
      <c r="C614">
        <v>0</v>
      </c>
      <c r="D614">
        <v>75</v>
      </c>
      <c r="F614" t="s">
        <v>1648</v>
      </c>
      <c r="G614">
        <v>3</v>
      </c>
    </row>
    <row r="615" spans="1:7" x14ac:dyDescent="0.25">
      <c r="A615" t="s">
        <v>1611</v>
      </c>
      <c r="B615">
        <v>12</v>
      </c>
      <c r="C615">
        <v>0</v>
      </c>
      <c r="D615">
        <v>67</v>
      </c>
      <c r="F615" t="s">
        <v>1649</v>
      </c>
      <c r="G615">
        <v>1</v>
      </c>
    </row>
    <row r="616" spans="1:7" x14ac:dyDescent="0.25">
      <c r="A616" t="s">
        <v>1612</v>
      </c>
      <c r="B616">
        <v>10</v>
      </c>
      <c r="C616">
        <v>0</v>
      </c>
      <c r="D616">
        <v>78</v>
      </c>
      <c r="F616" t="s">
        <v>1650</v>
      </c>
      <c r="G616">
        <v>2</v>
      </c>
    </row>
    <row r="617" spans="1:7" x14ac:dyDescent="0.25">
      <c r="A617" t="s">
        <v>1613</v>
      </c>
      <c r="B617">
        <v>11</v>
      </c>
      <c r="C617">
        <v>1</v>
      </c>
      <c r="D617">
        <v>80</v>
      </c>
      <c r="F617" t="s">
        <v>1651</v>
      </c>
      <c r="G617">
        <v>11</v>
      </c>
    </row>
    <row r="618" spans="1:7" x14ac:dyDescent="0.25">
      <c r="A618" t="s">
        <v>1614</v>
      </c>
      <c r="B618">
        <v>13</v>
      </c>
      <c r="C618">
        <v>0</v>
      </c>
      <c r="D618">
        <v>74</v>
      </c>
      <c r="F618" t="s">
        <v>1652</v>
      </c>
      <c r="G618">
        <v>9</v>
      </c>
    </row>
    <row r="619" spans="1:7" x14ac:dyDescent="0.25">
      <c r="A619" t="s">
        <v>1615</v>
      </c>
      <c r="B619">
        <v>6</v>
      </c>
      <c r="C619">
        <v>0</v>
      </c>
      <c r="D619">
        <v>52</v>
      </c>
      <c r="F619" t="s">
        <v>1653</v>
      </c>
      <c r="G619">
        <v>45</v>
      </c>
    </row>
    <row r="620" spans="1:7" x14ac:dyDescent="0.25">
      <c r="A620" t="s">
        <v>1616</v>
      </c>
      <c r="B620">
        <v>9</v>
      </c>
      <c r="C620">
        <v>0</v>
      </c>
      <c r="D620">
        <v>63</v>
      </c>
      <c r="F620" t="s">
        <v>1654</v>
      </c>
      <c r="G620">
        <v>6</v>
      </c>
    </row>
    <row r="621" spans="1:7" x14ac:dyDescent="0.25">
      <c r="A621" t="s">
        <v>1617</v>
      </c>
      <c r="B621">
        <v>21</v>
      </c>
      <c r="C621">
        <v>0</v>
      </c>
      <c r="D621">
        <v>99</v>
      </c>
      <c r="F621" t="s">
        <v>1655</v>
      </c>
      <c r="G621">
        <v>2</v>
      </c>
    </row>
    <row r="622" spans="1:7" x14ac:dyDescent="0.25">
      <c r="A622" t="s">
        <v>1618</v>
      </c>
      <c r="B622">
        <v>4</v>
      </c>
      <c r="C622">
        <v>0</v>
      </c>
      <c r="D622">
        <v>48</v>
      </c>
      <c r="F622" t="s">
        <v>1656</v>
      </c>
      <c r="G622">
        <v>5</v>
      </c>
    </row>
    <row r="623" spans="1:7" x14ac:dyDescent="0.25">
      <c r="A623" t="s">
        <v>1619</v>
      </c>
      <c r="B623">
        <v>16</v>
      </c>
      <c r="C623">
        <v>0</v>
      </c>
      <c r="D623">
        <v>126</v>
      </c>
      <c r="F623" t="s">
        <v>1657</v>
      </c>
      <c r="G623">
        <v>6</v>
      </c>
    </row>
    <row r="624" spans="1:7" x14ac:dyDescent="0.25">
      <c r="A624" t="s">
        <v>1620</v>
      </c>
      <c r="B624">
        <v>10</v>
      </c>
      <c r="C624">
        <v>0</v>
      </c>
      <c r="D624">
        <v>83</v>
      </c>
      <c r="F624" t="s">
        <v>1658</v>
      </c>
      <c r="G624">
        <v>4</v>
      </c>
    </row>
    <row r="625" spans="1:7" x14ac:dyDescent="0.25">
      <c r="A625" t="s">
        <v>1621</v>
      </c>
      <c r="B625">
        <v>10</v>
      </c>
      <c r="C625">
        <v>0</v>
      </c>
      <c r="D625">
        <v>50</v>
      </c>
      <c r="F625" t="s">
        <v>1659</v>
      </c>
      <c r="G625">
        <v>9</v>
      </c>
    </row>
    <row r="626" spans="1:7" x14ac:dyDescent="0.25">
      <c r="A626" t="s">
        <v>1622</v>
      </c>
      <c r="B626">
        <v>9</v>
      </c>
      <c r="C626">
        <v>1</v>
      </c>
      <c r="D626">
        <v>63</v>
      </c>
      <c r="F626" t="s">
        <v>1660</v>
      </c>
      <c r="G626">
        <v>1</v>
      </c>
    </row>
    <row r="627" spans="1:7" x14ac:dyDescent="0.25">
      <c r="A627" t="s">
        <v>1623</v>
      </c>
      <c r="B627">
        <v>16</v>
      </c>
      <c r="C627">
        <v>1</v>
      </c>
      <c r="D627">
        <v>72</v>
      </c>
      <c r="F627" t="s">
        <v>1661</v>
      </c>
      <c r="G627">
        <v>2</v>
      </c>
    </row>
    <row r="628" spans="1:7" x14ac:dyDescent="0.25">
      <c r="A628" t="s">
        <v>1624</v>
      </c>
      <c r="B628">
        <v>19</v>
      </c>
      <c r="C628">
        <v>0</v>
      </c>
      <c r="D628">
        <v>46</v>
      </c>
      <c r="F628" t="s">
        <v>1662</v>
      </c>
      <c r="G628">
        <v>4</v>
      </c>
    </row>
    <row r="629" spans="1:7" x14ac:dyDescent="0.25">
      <c r="A629" t="s">
        <v>1625</v>
      </c>
      <c r="B629">
        <v>12</v>
      </c>
      <c r="C629">
        <v>1</v>
      </c>
      <c r="D629">
        <v>34</v>
      </c>
      <c r="F629" t="s">
        <v>1663</v>
      </c>
      <c r="G629">
        <v>2</v>
      </c>
    </row>
    <row r="630" spans="1:7" x14ac:dyDescent="0.25">
      <c r="A630" t="s">
        <v>1626</v>
      </c>
      <c r="B630">
        <v>10</v>
      </c>
      <c r="C630">
        <v>1</v>
      </c>
      <c r="D630">
        <v>47</v>
      </c>
      <c r="F630" t="s">
        <v>1664</v>
      </c>
      <c r="G630">
        <v>4</v>
      </c>
    </row>
    <row r="631" spans="1:7" x14ac:dyDescent="0.25">
      <c r="A631" t="s">
        <v>1627</v>
      </c>
      <c r="B631">
        <v>7</v>
      </c>
      <c r="C631">
        <v>3</v>
      </c>
      <c r="D631">
        <v>40</v>
      </c>
      <c r="F631" t="s">
        <v>1665</v>
      </c>
      <c r="G631">
        <v>8</v>
      </c>
    </row>
    <row r="632" spans="1:7" x14ac:dyDescent="0.25">
      <c r="A632" t="s">
        <v>1628</v>
      </c>
      <c r="B632">
        <v>10</v>
      </c>
      <c r="C632">
        <v>3</v>
      </c>
      <c r="D632">
        <v>49</v>
      </c>
      <c r="F632" t="s">
        <v>1666</v>
      </c>
      <c r="G632">
        <v>16</v>
      </c>
    </row>
    <row r="633" spans="1:7" x14ac:dyDescent="0.25">
      <c r="A633" t="s">
        <v>1629</v>
      </c>
      <c r="B633">
        <v>9</v>
      </c>
      <c r="C633">
        <v>1</v>
      </c>
      <c r="D633">
        <v>41</v>
      </c>
      <c r="F633" t="s">
        <v>1667</v>
      </c>
      <c r="G633">
        <v>4</v>
      </c>
    </row>
    <row r="634" spans="1:7" x14ac:dyDescent="0.25">
      <c r="A634" t="s">
        <v>1630</v>
      </c>
      <c r="B634">
        <v>10</v>
      </c>
      <c r="C634">
        <v>1</v>
      </c>
      <c r="D634">
        <v>60</v>
      </c>
      <c r="F634" t="s">
        <v>1668</v>
      </c>
      <c r="G634">
        <v>9</v>
      </c>
    </row>
    <row r="635" spans="1:7" x14ac:dyDescent="0.25">
      <c r="A635" t="s">
        <v>1631</v>
      </c>
      <c r="B635">
        <v>28</v>
      </c>
      <c r="C635">
        <v>1</v>
      </c>
      <c r="D635">
        <v>165</v>
      </c>
      <c r="F635" t="s">
        <v>1669</v>
      </c>
      <c r="G635">
        <v>3</v>
      </c>
    </row>
    <row r="636" spans="1:7" x14ac:dyDescent="0.25">
      <c r="A636" t="s">
        <v>1632</v>
      </c>
      <c r="B636">
        <v>40</v>
      </c>
      <c r="C636">
        <v>1</v>
      </c>
      <c r="D636">
        <v>96</v>
      </c>
      <c r="F636" t="s">
        <v>1670</v>
      </c>
      <c r="G636">
        <v>2</v>
      </c>
    </row>
    <row r="637" spans="1:7" x14ac:dyDescent="0.25">
      <c r="A637" t="s">
        <v>1633</v>
      </c>
      <c r="B637">
        <v>26</v>
      </c>
      <c r="C637">
        <v>1</v>
      </c>
      <c r="D637">
        <v>71</v>
      </c>
      <c r="F637" t="s">
        <v>1671</v>
      </c>
      <c r="G637">
        <v>1</v>
      </c>
    </row>
    <row r="638" spans="1:7" x14ac:dyDescent="0.25">
      <c r="A638" t="s">
        <v>1634</v>
      </c>
      <c r="B638">
        <v>31</v>
      </c>
      <c r="C638">
        <v>0</v>
      </c>
      <c r="D638">
        <v>65</v>
      </c>
      <c r="F638" t="s">
        <v>1672</v>
      </c>
      <c r="G638">
        <v>4</v>
      </c>
    </row>
    <row r="639" spans="1:7" x14ac:dyDescent="0.25">
      <c r="A639" t="s">
        <v>1635</v>
      </c>
      <c r="B639">
        <v>23</v>
      </c>
      <c r="C639">
        <v>2</v>
      </c>
      <c r="D639">
        <v>55</v>
      </c>
      <c r="F639" t="s">
        <v>1673</v>
      </c>
      <c r="G639">
        <v>6</v>
      </c>
    </row>
    <row r="640" spans="1:7" x14ac:dyDescent="0.25">
      <c r="A640" t="s">
        <v>1636</v>
      </c>
      <c r="B640">
        <v>50</v>
      </c>
      <c r="C640">
        <v>2</v>
      </c>
      <c r="D640">
        <v>111</v>
      </c>
      <c r="F640" t="s">
        <v>1674</v>
      </c>
      <c r="G640">
        <v>5</v>
      </c>
    </row>
    <row r="641" spans="1:7" x14ac:dyDescent="0.25">
      <c r="A641" t="s">
        <v>1637</v>
      </c>
      <c r="B641">
        <v>35</v>
      </c>
      <c r="C641">
        <v>2</v>
      </c>
      <c r="D641">
        <v>78</v>
      </c>
      <c r="F641" t="s">
        <v>1675</v>
      </c>
      <c r="G641">
        <v>2</v>
      </c>
    </row>
    <row r="642" spans="1:7" x14ac:dyDescent="0.25">
      <c r="A642" t="s">
        <v>1638</v>
      </c>
      <c r="B642">
        <v>35</v>
      </c>
      <c r="C642">
        <v>1</v>
      </c>
      <c r="D642">
        <v>87</v>
      </c>
      <c r="F642" t="s">
        <v>1676</v>
      </c>
      <c r="G642">
        <v>1</v>
      </c>
    </row>
    <row r="643" spans="1:7" x14ac:dyDescent="0.25">
      <c r="A643" t="s">
        <v>1639</v>
      </c>
      <c r="B643">
        <v>39</v>
      </c>
      <c r="C643">
        <v>3</v>
      </c>
      <c r="D643">
        <v>93</v>
      </c>
      <c r="F643" t="s">
        <v>1677</v>
      </c>
      <c r="G643">
        <v>3</v>
      </c>
    </row>
    <row r="644" spans="1:7" x14ac:dyDescent="0.25">
      <c r="A644" t="s">
        <v>1640</v>
      </c>
      <c r="B644">
        <v>50</v>
      </c>
      <c r="C644">
        <v>0</v>
      </c>
      <c r="D644">
        <v>102</v>
      </c>
      <c r="F644" t="s">
        <v>1678</v>
      </c>
      <c r="G644">
        <v>2</v>
      </c>
    </row>
    <row r="645" spans="1:7" x14ac:dyDescent="0.25">
      <c r="A645" t="s">
        <v>1641</v>
      </c>
      <c r="B645">
        <v>56</v>
      </c>
      <c r="C645">
        <v>2</v>
      </c>
      <c r="D645">
        <v>124</v>
      </c>
      <c r="F645" t="s">
        <v>1680</v>
      </c>
      <c r="G645">
        <v>22</v>
      </c>
    </row>
    <row r="646" spans="1:7" x14ac:dyDescent="0.25">
      <c r="A646" t="s">
        <v>1642</v>
      </c>
      <c r="B646">
        <v>53</v>
      </c>
      <c r="C646">
        <v>2</v>
      </c>
      <c r="D646">
        <v>133</v>
      </c>
      <c r="F646" t="s">
        <v>1681</v>
      </c>
      <c r="G646">
        <v>11</v>
      </c>
    </row>
    <row r="647" spans="1:7" x14ac:dyDescent="0.25">
      <c r="A647" t="s">
        <v>1643</v>
      </c>
      <c r="B647">
        <v>26</v>
      </c>
      <c r="C647">
        <v>0</v>
      </c>
      <c r="D647">
        <v>81</v>
      </c>
      <c r="F647" t="s">
        <v>1682</v>
      </c>
      <c r="G647">
        <v>2</v>
      </c>
    </row>
    <row r="648" spans="1:7" x14ac:dyDescent="0.25">
      <c r="A648" t="s">
        <v>1644</v>
      </c>
      <c r="B648">
        <v>21</v>
      </c>
      <c r="C648">
        <v>5</v>
      </c>
      <c r="D648">
        <v>58</v>
      </c>
      <c r="F648" t="s">
        <v>1683</v>
      </c>
      <c r="G648">
        <v>7</v>
      </c>
    </row>
    <row r="649" spans="1:7" x14ac:dyDescent="0.25">
      <c r="A649" t="s">
        <v>1645</v>
      </c>
      <c r="B649">
        <v>17</v>
      </c>
      <c r="C649">
        <v>2</v>
      </c>
      <c r="D649">
        <v>51</v>
      </c>
      <c r="F649" t="s">
        <v>1684</v>
      </c>
      <c r="G649">
        <v>6</v>
      </c>
    </row>
    <row r="650" spans="1:7" x14ac:dyDescent="0.25">
      <c r="A650" t="s">
        <v>1646</v>
      </c>
      <c r="B650">
        <v>26</v>
      </c>
      <c r="C650">
        <v>1</v>
      </c>
      <c r="D650">
        <v>69</v>
      </c>
      <c r="F650" t="s">
        <v>1687</v>
      </c>
      <c r="G650">
        <v>2</v>
      </c>
    </row>
    <row r="651" spans="1:7" x14ac:dyDescent="0.25">
      <c r="A651" t="s">
        <v>1647</v>
      </c>
      <c r="B651">
        <v>18</v>
      </c>
      <c r="C651">
        <v>1</v>
      </c>
      <c r="D651">
        <v>60</v>
      </c>
      <c r="F651" t="s">
        <v>1689</v>
      </c>
      <c r="G651">
        <v>3</v>
      </c>
    </row>
    <row r="652" spans="1:7" x14ac:dyDescent="0.25">
      <c r="A652" t="s">
        <v>1648</v>
      </c>
      <c r="B652">
        <v>19</v>
      </c>
      <c r="C652">
        <v>1</v>
      </c>
      <c r="D652">
        <v>52</v>
      </c>
      <c r="F652" t="s">
        <v>1690</v>
      </c>
      <c r="G652">
        <v>38</v>
      </c>
    </row>
    <row r="653" spans="1:7" x14ac:dyDescent="0.25">
      <c r="A653" t="s">
        <v>1649</v>
      </c>
      <c r="B653">
        <v>13</v>
      </c>
      <c r="C653">
        <v>2</v>
      </c>
      <c r="D653">
        <v>46</v>
      </c>
      <c r="F653" t="s">
        <v>1692</v>
      </c>
      <c r="G653">
        <v>21</v>
      </c>
    </row>
    <row r="654" spans="1:7" x14ac:dyDescent="0.25">
      <c r="A654" t="s">
        <v>1650</v>
      </c>
      <c r="B654">
        <v>19</v>
      </c>
      <c r="C654">
        <v>0</v>
      </c>
      <c r="D654">
        <v>61</v>
      </c>
      <c r="F654" t="s">
        <v>1693</v>
      </c>
      <c r="G654">
        <v>11</v>
      </c>
    </row>
    <row r="655" spans="1:7" x14ac:dyDescent="0.25">
      <c r="A655" t="s">
        <v>1651</v>
      </c>
      <c r="B655">
        <v>46</v>
      </c>
      <c r="C655">
        <v>0</v>
      </c>
      <c r="D655">
        <v>152</v>
      </c>
      <c r="F655" t="s">
        <v>1694</v>
      </c>
      <c r="G655">
        <v>16</v>
      </c>
    </row>
    <row r="656" spans="1:7" x14ac:dyDescent="0.25">
      <c r="A656" t="s">
        <v>1652</v>
      </c>
      <c r="B656">
        <v>39</v>
      </c>
      <c r="C656">
        <v>0</v>
      </c>
      <c r="D656">
        <v>57</v>
      </c>
      <c r="F656" t="s">
        <v>1695</v>
      </c>
      <c r="G656">
        <v>12</v>
      </c>
    </row>
    <row r="657" spans="1:7" x14ac:dyDescent="0.25">
      <c r="A657" t="s">
        <v>1653</v>
      </c>
      <c r="B657">
        <v>47</v>
      </c>
      <c r="C657">
        <v>3</v>
      </c>
      <c r="D657">
        <v>208</v>
      </c>
      <c r="F657" t="s">
        <v>1696</v>
      </c>
      <c r="G657">
        <v>5</v>
      </c>
    </row>
    <row r="658" spans="1:7" x14ac:dyDescent="0.25">
      <c r="A658" t="s">
        <v>1654</v>
      </c>
      <c r="B658">
        <v>33</v>
      </c>
      <c r="C658">
        <v>0</v>
      </c>
      <c r="D658">
        <v>85</v>
      </c>
      <c r="F658" t="s">
        <v>1697</v>
      </c>
      <c r="G658">
        <v>8</v>
      </c>
    </row>
    <row r="659" spans="1:7" x14ac:dyDescent="0.25">
      <c r="A659" t="s">
        <v>1655</v>
      </c>
      <c r="B659">
        <v>14</v>
      </c>
      <c r="C659">
        <v>1</v>
      </c>
      <c r="D659">
        <v>42</v>
      </c>
      <c r="F659" t="s">
        <v>1698</v>
      </c>
      <c r="G659">
        <v>3</v>
      </c>
    </row>
    <row r="660" spans="1:7" x14ac:dyDescent="0.25">
      <c r="A660" t="s">
        <v>1656</v>
      </c>
      <c r="B660">
        <v>19</v>
      </c>
      <c r="C660">
        <v>0</v>
      </c>
      <c r="D660">
        <v>75</v>
      </c>
      <c r="F660" t="s">
        <v>1700</v>
      </c>
      <c r="G660">
        <v>3</v>
      </c>
    </row>
    <row r="661" spans="1:7" x14ac:dyDescent="0.25">
      <c r="A661" t="s">
        <v>1657</v>
      </c>
      <c r="B661">
        <v>17</v>
      </c>
      <c r="C661">
        <v>5</v>
      </c>
      <c r="D661">
        <v>91</v>
      </c>
      <c r="F661" t="s">
        <v>1701</v>
      </c>
      <c r="G661">
        <v>4</v>
      </c>
    </row>
    <row r="662" spans="1:7" x14ac:dyDescent="0.25">
      <c r="A662" t="s">
        <v>1658</v>
      </c>
      <c r="B662">
        <v>44</v>
      </c>
      <c r="C662">
        <v>0</v>
      </c>
      <c r="D662">
        <v>90</v>
      </c>
      <c r="F662" t="s">
        <v>1702</v>
      </c>
      <c r="G662">
        <v>8</v>
      </c>
    </row>
    <row r="663" spans="1:7" x14ac:dyDescent="0.25">
      <c r="A663" t="s">
        <v>1659</v>
      </c>
      <c r="B663">
        <v>42</v>
      </c>
      <c r="C663">
        <v>2</v>
      </c>
      <c r="D663">
        <v>155</v>
      </c>
      <c r="F663" t="s">
        <v>1704</v>
      </c>
      <c r="G663">
        <v>3</v>
      </c>
    </row>
    <row r="664" spans="1:7" x14ac:dyDescent="0.25">
      <c r="A664" t="s">
        <v>1660</v>
      </c>
      <c r="B664">
        <v>12</v>
      </c>
      <c r="C664">
        <v>0</v>
      </c>
      <c r="D664">
        <v>58</v>
      </c>
      <c r="F664" t="s">
        <v>1705</v>
      </c>
      <c r="G664">
        <v>1</v>
      </c>
    </row>
    <row r="665" spans="1:7" x14ac:dyDescent="0.25">
      <c r="A665" t="s">
        <v>1661</v>
      </c>
      <c r="B665">
        <v>10</v>
      </c>
      <c r="C665">
        <v>0</v>
      </c>
      <c r="D665">
        <v>55</v>
      </c>
      <c r="F665" t="s">
        <v>1706</v>
      </c>
      <c r="G665">
        <v>4</v>
      </c>
    </row>
    <row r="666" spans="1:7" x14ac:dyDescent="0.25">
      <c r="A666" t="s">
        <v>1662</v>
      </c>
      <c r="B666">
        <v>8</v>
      </c>
      <c r="C666">
        <v>0</v>
      </c>
      <c r="D666">
        <v>45</v>
      </c>
      <c r="F666" t="s">
        <v>1708</v>
      </c>
      <c r="G666">
        <v>1</v>
      </c>
    </row>
    <row r="667" spans="1:7" x14ac:dyDescent="0.25">
      <c r="A667" t="s">
        <v>1663</v>
      </c>
      <c r="B667">
        <v>11</v>
      </c>
      <c r="C667">
        <v>0</v>
      </c>
      <c r="D667">
        <v>46</v>
      </c>
      <c r="F667" t="s">
        <v>1709</v>
      </c>
      <c r="G667">
        <v>3</v>
      </c>
    </row>
    <row r="668" spans="1:7" x14ac:dyDescent="0.25">
      <c r="A668" t="s">
        <v>1664</v>
      </c>
      <c r="B668">
        <v>15</v>
      </c>
      <c r="C668">
        <v>0</v>
      </c>
      <c r="D668">
        <v>83</v>
      </c>
      <c r="F668" t="s">
        <v>1710</v>
      </c>
      <c r="G668">
        <v>2</v>
      </c>
    </row>
    <row r="669" spans="1:7" x14ac:dyDescent="0.25">
      <c r="A669" t="s">
        <v>1665</v>
      </c>
      <c r="B669">
        <v>23</v>
      </c>
      <c r="C669">
        <v>0</v>
      </c>
      <c r="D669">
        <v>65</v>
      </c>
      <c r="F669" t="s">
        <v>1713</v>
      </c>
      <c r="G669">
        <v>12</v>
      </c>
    </row>
    <row r="670" spans="1:7" x14ac:dyDescent="0.25">
      <c r="A670" t="s">
        <v>1666</v>
      </c>
      <c r="B670">
        <v>23</v>
      </c>
      <c r="C670">
        <v>0</v>
      </c>
      <c r="D670">
        <v>97</v>
      </c>
      <c r="F670" t="s">
        <v>1714</v>
      </c>
      <c r="G670">
        <v>4</v>
      </c>
    </row>
    <row r="671" spans="1:7" x14ac:dyDescent="0.25">
      <c r="A671" t="s">
        <v>1667</v>
      </c>
      <c r="B671">
        <v>21</v>
      </c>
      <c r="C671">
        <v>0</v>
      </c>
      <c r="D671">
        <v>95</v>
      </c>
      <c r="F671" t="s">
        <v>1715</v>
      </c>
      <c r="G671">
        <v>7</v>
      </c>
    </row>
    <row r="672" spans="1:7" x14ac:dyDescent="0.25">
      <c r="A672" t="s">
        <v>1668</v>
      </c>
      <c r="B672">
        <v>30</v>
      </c>
      <c r="C672">
        <v>0</v>
      </c>
      <c r="D672">
        <v>103</v>
      </c>
      <c r="F672" t="s">
        <v>1716</v>
      </c>
      <c r="G672">
        <v>1</v>
      </c>
    </row>
    <row r="673" spans="1:7" x14ac:dyDescent="0.25">
      <c r="A673" t="s">
        <v>1669</v>
      </c>
      <c r="B673">
        <v>8</v>
      </c>
      <c r="C673">
        <v>1</v>
      </c>
      <c r="D673">
        <v>83</v>
      </c>
      <c r="F673" t="s">
        <v>1717</v>
      </c>
      <c r="G673">
        <v>5</v>
      </c>
    </row>
    <row r="674" spans="1:7" x14ac:dyDescent="0.25">
      <c r="A674" t="s">
        <v>1670</v>
      </c>
      <c r="B674">
        <v>7</v>
      </c>
      <c r="C674">
        <v>3</v>
      </c>
      <c r="D674">
        <v>67</v>
      </c>
      <c r="F674" t="s">
        <v>1718</v>
      </c>
      <c r="G674">
        <v>13</v>
      </c>
    </row>
    <row r="675" spans="1:7" x14ac:dyDescent="0.25">
      <c r="A675" t="s">
        <v>1671</v>
      </c>
      <c r="B675">
        <v>12</v>
      </c>
      <c r="C675">
        <v>2</v>
      </c>
      <c r="D675">
        <v>40</v>
      </c>
      <c r="F675" t="s">
        <v>1719</v>
      </c>
      <c r="G675">
        <v>1</v>
      </c>
    </row>
    <row r="676" spans="1:7" x14ac:dyDescent="0.25">
      <c r="A676" t="s">
        <v>1672</v>
      </c>
      <c r="B676">
        <v>24</v>
      </c>
      <c r="C676">
        <v>1</v>
      </c>
      <c r="D676">
        <v>70</v>
      </c>
      <c r="F676" t="s">
        <v>1720</v>
      </c>
      <c r="G676">
        <v>14</v>
      </c>
    </row>
    <row r="677" spans="1:7" x14ac:dyDescent="0.25">
      <c r="A677" t="s">
        <v>1673</v>
      </c>
      <c r="B677">
        <v>14</v>
      </c>
      <c r="C677">
        <v>1</v>
      </c>
      <c r="D677">
        <v>76</v>
      </c>
      <c r="F677" t="s">
        <v>1721</v>
      </c>
      <c r="G677">
        <v>5</v>
      </c>
    </row>
    <row r="678" spans="1:7" x14ac:dyDescent="0.25">
      <c r="A678" t="s">
        <v>1674</v>
      </c>
      <c r="B678">
        <v>13</v>
      </c>
      <c r="C678">
        <v>1</v>
      </c>
      <c r="D678">
        <v>57</v>
      </c>
      <c r="F678" t="s">
        <v>1722</v>
      </c>
      <c r="G678">
        <v>5</v>
      </c>
    </row>
    <row r="679" spans="1:7" x14ac:dyDescent="0.25">
      <c r="A679" t="s">
        <v>1675</v>
      </c>
      <c r="B679">
        <v>9</v>
      </c>
      <c r="C679">
        <v>0</v>
      </c>
      <c r="D679">
        <v>51</v>
      </c>
      <c r="F679" t="s">
        <v>1723</v>
      </c>
      <c r="G679">
        <v>5</v>
      </c>
    </row>
    <row r="680" spans="1:7" x14ac:dyDescent="0.25">
      <c r="A680" t="s">
        <v>1676</v>
      </c>
      <c r="B680">
        <v>7</v>
      </c>
      <c r="C680">
        <v>0</v>
      </c>
      <c r="D680">
        <v>44</v>
      </c>
      <c r="F680" t="s">
        <v>1724</v>
      </c>
      <c r="G680">
        <v>8</v>
      </c>
    </row>
    <row r="681" spans="1:7" x14ac:dyDescent="0.25">
      <c r="A681" t="s">
        <v>1677</v>
      </c>
      <c r="B681">
        <v>16</v>
      </c>
      <c r="C681">
        <v>2</v>
      </c>
      <c r="D681">
        <v>54</v>
      </c>
      <c r="F681" t="s">
        <v>1725</v>
      </c>
      <c r="G681">
        <v>4</v>
      </c>
    </row>
    <row r="682" spans="1:7" x14ac:dyDescent="0.25">
      <c r="A682" t="s">
        <v>1678</v>
      </c>
      <c r="B682">
        <v>11</v>
      </c>
      <c r="C682">
        <v>5</v>
      </c>
      <c r="D682">
        <v>152</v>
      </c>
      <c r="F682" t="s">
        <v>1726</v>
      </c>
      <c r="G682">
        <v>7</v>
      </c>
    </row>
    <row r="683" spans="1:7" x14ac:dyDescent="0.25">
      <c r="A683" t="s">
        <v>1679</v>
      </c>
      <c r="B683">
        <v>0</v>
      </c>
      <c r="C683">
        <v>0</v>
      </c>
      <c r="D683">
        <v>2</v>
      </c>
      <c r="F683" t="s">
        <v>1727</v>
      </c>
      <c r="G683">
        <v>11</v>
      </c>
    </row>
    <row r="684" spans="1:7" x14ac:dyDescent="0.25">
      <c r="A684" t="s">
        <v>1680</v>
      </c>
      <c r="B684">
        <v>17</v>
      </c>
      <c r="C684">
        <v>0</v>
      </c>
      <c r="D684">
        <v>136</v>
      </c>
      <c r="F684" t="s">
        <v>1728</v>
      </c>
      <c r="G684">
        <v>34</v>
      </c>
    </row>
    <row r="685" spans="1:7" x14ac:dyDescent="0.25">
      <c r="A685" t="s">
        <v>1681</v>
      </c>
      <c r="B685">
        <v>13</v>
      </c>
      <c r="C685">
        <v>1</v>
      </c>
      <c r="D685">
        <v>30</v>
      </c>
      <c r="F685" t="s">
        <v>1729</v>
      </c>
      <c r="G685">
        <v>17</v>
      </c>
    </row>
    <row r="686" spans="1:7" x14ac:dyDescent="0.25">
      <c r="A686" t="s">
        <v>1682</v>
      </c>
      <c r="B686">
        <v>6</v>
      </c>
      <c r="C686">
        <v>0</v>
      </c>
      <c r="D686">
        <v>58</v>
      </c>
      <c r="F686" t="s">
        <v>1730</v>
      </c>
      <c r="G686">
        <v>17</v>
      </c>
    </row>
    <row r="687" spans="1:7" x14ac:dyDescent="0.25">
      <c r="A687" t="s">
        <v>1683</v>
      </c>
      <c r="B687">
        <v>13</v>
      </c>
      <c r="C687">
        <v>1</v>
      </c>
      <c r="D687">
        <v>47</v>
      </c>
      <c r="F687" t="s">
        <v>1731</v>
      </c>
      <c r="G687">
        <v>13</v>
      </c>
    </row>
    <row r="688" spans="1:7" x14ac:dyDescent="0.25">
      <c r="A688" t="s">
        <v>1684</v>
      </c>
      <c r="B688">
        <v>16</v>
      </c>
      <c r="C688">
        <v>3</v>
      </c>
      <c r="D688">
        <v>50</v>
      </c>
      <c r="F688" t="s">
        <v>1732</v>
      </c>
      <c r="G688">
        <v>19</v>
      </c>
    </row>
    <row r="689" spans="1:7" x14ac:dyDescent="0.25">
      <c r="A689" t="s">
        <v>1685</v>
      </c>
      <c r="B689">
        <v>13</v>
      </c>
      <c r="C689">
        <v>0</v>
      </c>
      <c r="D689">
        <v>34</v>
      </c>
      <c r="F689" t="s">
        <v>1733</v>
      </c>
      <c r="G689">
        <v>9</v>
      </c>
    </row>
    <row r="690" spans="1:7" x14ac:dyDescent="0.25">
      <c r="A690" t="s">
        <v>1686</v>
      </c>
      <c r="B690">
        <v>13</v>
      </c>
      <c r="C690">
        <v>2</v>
      </c>
      <c r="D690">
        <v>23</v>
      </c>
      <c r="F690" t="s">
        <v>1734</v>
      </c>
      <c r="G690">
        <v>7</v>
      </c>
    </row>
    <row r="691" spans="1:7" x14ac:dyDescent="0.25">
      <c r="A691" t="s">
        <v>1687</v>
      </c>
      <c r="B691">
        <v>10</v>
      </c>
      <c r="C691">
        <v>0</v>
      </c>
      <c r="D691">
        <v>52</v>
      </c>
      <c r="F691" t="s">
        <v>1735</v>
      </c>
      <c r="G691">
        <v>32</v>
      </c>
    </row>
    <row r="692" spans="1:7" x14ac:dyDescent="0.25">
      <c r="A692" t="s">
        <v>1688</v>
      </c>
      <c r="B692">
        <v>0</v>
      </c>
      <c r="C692">
        <v>1</v>
      </c>
      <c r="D692">
        <v>1</v>
      </c>
      <c r="F692" t="s">
        <v>1736</v>
      </c>
      <c r="G692">
        <v>9</v>
      </c>
    </row>
    <row r="693" spans="1:7" x14ac:dyDescent="0.25">
      <c r="A693" t="s">
        <v>1689</v>
      </c>
      <c r="B693">
        <v>26</v>
      </c>
      <c r="C693">
        <v>2</v>
      </c>
      <c r="D693">
        <v>96</v>
      </c>
      <c r="F693" t="s">
        <v>1737</v>
      </c>
      <c r="G693">
        <v>5</v>
      </c>
    </row>
    <row r="694" spans="1:7" x14ac:dyDescent="0.25">
      <c r="A694" t="s">
        <v>1690</v>
      </c>
      <c r="B694">
        <v>44</v>
      </c>
      <c r="C694">
        <v>1</v>
      </c>
      <c r="D694">
        <v>139</v>
      </c>
      <c r="F694" t="s">
        <v>1738</v>
      </c>
      <c r="G694">
        <v>9</v>
      </c>
    </row>
    <row r="695" spans="1:7" x14ac:dyDescent="0.25">
      <c r="A695" t="s">
        <v>1691</v>
      </c>
      <c r="B695">
        <v>32</v>
      </c>
      <c r="C695">
        <v>2</v>
      </c>
      <c r="D695">
        <v>91</v>
      </c>
      <c r="F695" t="s">
        <v>1739</v>
      </c>
      <c r="G695">
        <v>15</v>
      </c>
    </row>
    <row r="696" spans="1:7" x14ac:dyDescent="0.25">
      <c r="A696" t="s">
        <v>1692</v>
      </c>
      <c r="B696">
        <v>12</v>
      </c>
      <c r="C696">
        <v>2</v>
      </c>
      <c r="D696">
        <v>70</v>
      </c>
      <c r="F696" t="s">
        <v>1740</v>
      </c>
      <c r="G696">
        <v>7</v>
      </c>
    </row>
    <row r="697" spans="1:7" x14ac:dyDescent="0.25">
      <c r="A697" t="s">
        <v>1693</v>
      </c>
      <c r="B697">
        <v>45</v>
      </c>
      <c r="C697">
        <v>26</v>
      </c>
      <c r="D697">
        <v>105</v>
      </c>
      <c r="F697" t="s">
        <v>1741</v>
      </c>
      <c r="G697">
        <v>2</v>
      </c>
    </row>
    <row r="698" spans="1:7" x14ac:dyDescent="0.25">
      <c r="A698" t="s">
        <v>1694</v>
      </c>
      <c r="B698">
        <v>44</v>
      </c>
      <c r="C698">
        <v>0</v>
      </c>
      <c r="D698">
        <v>117</v>
      </c>
      <c r="F698" t="s">
        <v>1742</v>
      </c>
      <c r="G698">
        <v>6</v>
      </c>
    </row>
    <row r="699" spans="1:7" x14ac:dyDescent="0.25">
      <c r="A699" t="s">
        <v>1695</v>
      </c>
      <c r="B699">
        <v>61</v>
      </c>
      <c r="C699">
        <v>0</v>
      </c>
      <c r="D699">
        <v>116</v>
      </c>
      <c r="F699" t="s">
        <v>1743</v>
      </c>
      <c r="G699">
        <v>10</v>
      </c>
    </row>
    <row r="700" spans="1:7" x14ac:dyDescent="0.25">
      <c r="A700" t="s">
        <v>1696</v>
      </c>
      <c r="B700">
        <v>48</v>
      </c>
      <c r="C700">
        <v>1</v>
      </c>
      <c r="D700">
        <v>110</v>
      </c>
      <c r="F700" t="s">
        <v>1744</v>
      </c>
      <c r="G700">
        <v>6</v>
      </c>
    </row>
    <row r="701" spans="1:7" x14ac:dyDescent="0.25">
      <c r="A701" t="s">
        <v>1697</v>
      </c>
      <c r="B701">
        <v>49</v>
      </c>
      <c r="C701">
        <v>0</v>
      </c>
      <c r="D701">
        <v>104</v>
      </c>
      <c r="F701" t="s">
        <v>1745</v>
      </c>
      <c r="G701">
        <v>8</v>
      </c>
    </row>
    <row r="702" spans="1:7" x14ac:dyDescent="0.25">
      <c r="A702" t="s">
        <v>1698</v>
      </c>
      <c r="B702">
        <v>45</v>
      </c>
      <c r="C702">
        <v>1</v>
      </c>
      <c r="D702">
        <v>100</v>
      </c>
      <c r="F702" t="s">
        <v>1746</v>
      </c>
      <c r="G702">
        <v>6</v>
      </c>
    </row>
    <row r="703" spans="1:7" x14ac:dyDescent="0.25">
      <c r="A703" t="s">
        <v>1699</v>
      </c>
      <c r="B703">
        <v>45</v>
      </c>
      <c r="C703">
        <v>0</v>
      </c>
      <c r="D703">
        <v>86</v>
      </c>
      <c r="F703" t="s">
        <v>1747</v>
      </c>
      <c r="G703">
        <v>4</v>
      </c>
    </row>
    <row r="704" spans="1:7" x14ac:dyDescent="0.25">
      <c r="A704" t="s">
        <v>1700</v>
      </c>
      <c r="B704">
        <v>23</v>
      </c>
      <c r="C704">
        <v>1</v>
      </c>
      <c r="D704">
        <v>73</v>
      </c>
      <c r="F704" t="s">
        <v>1750</v>
      </c>
      <c r="G704">
        <v>9</v>
      </c>
    </row>
    <row r="705" spans="1:7" x14ac:dyDescent="0.25">
      <c r="A705" t="s">
        <v>1701</v>
      </c>
      <c r="B705">
        <v>59</v>
      </c>
      <c r="C705">
        <v>3</v>
      </c>
      <c r="D705">
        <v>125</v>
      </c>
      <c r="F705" t="s">
        <v>1752</v>
      </c>
      <c r="G705">
        <v>18</v>
      </c>
    </row>
    <row r="706" spans="1:7" x14ac:dyDescent="0.25">
      <c r="A706" t="s">
        <v>1702</v>
      </c>
      <c r="B706">
        <v>27</v>
      </c>
      <c r="C706">
        <v>0</v>
      </c>
      <c r="D706">
        <v>64</v>
      </c>
      <c r="F706" t="s">
        <v>1754</v>
      </c>
      <c r="G706">
        <v>23</v>
      </c>
    </row>
    <row r="707" spans="1:7" x14ac:dyDescent="0.25">
      <c r="A707" t="s">
        <v>1703</v>
      </c>
      <c r="B707">
        <v>41</v>
      </c>
      <c r="C707">
        <v>7</v>
      </c>
      <c r="D707">
        <v>58</v>
      </c>
      <c r="F707" t="s">
        <v>1755</v>
      </c>
      <c r="G707">
        <v>8</v>
      </c>
    </row>
    <row r="708" spans="1:7" x14ac:dyDescent="0.25">
      <c r="A708" t="s">
        <v>1704</v>
      </c>
      <c r="B708">
        <v>29</v>
      </c>
      <c r="C708">
        <v>0</v>
      </c>
      <c r="D708">
        <v>81</v>
      </c>
      <c r="F708" t="s">
        <v>1757</v>
      </c>
      <c r="G708">
        <v>5</v>
      </c>
    </row>
    <row r="709" spans="1:7" x14ac:dyDescent="0.25">
      <c r="A709" t="s">
        <v>1705</v>
      </c>
      <c r="B709">
        <v>38</v>
      </c>
      <c r="C709">
        <v>0</v>
      </c>
      <c r="D709">
        <v>69</v>
      </c>
      <c r="F709" t="s">
        <v>1758</v>
      </c>
      <c r="G709">
        <v>6</v>
      </c>
    </row>
    <row r="710" spans="1:7" x14ac:dyDescent="0.25">
      <c r="A710" t="s">
        <v>1706</v>
      </c>
      <c r="B710">
        <v>29</v>
      </c>
      <c r="C710">
        <v>1</v>
      </c>
      <c r="D710">
        <v>80</v>
      </c>
      <c r="F710" t="s">
        <v>1760</v>
      </c>
      <c r="G710">
        <v>2</v>
      </c>
    </row>
    <row r="711" spans="1:7" x14ac:dyDescent="0.25">
      <c r="A711" t="s">
        <v>1707</v>
      </c>
      <c r="B711">
        <v>10</v>
      </c>
      <c r="C711">
        <v>1</v>
      </c>
      <c r="D711">
        <v>49</v>
      </c>
      <c r="F711" t="s">
        <v>1762</v>
      </c>
      <c r="G711">
        <v>4</v>
      </c>
    </row>
    <row r="712" spans="1:7" x14ac:dyDescent="0.25">
      <c r="A712" t="s">
        <v>1708</v>
      </c>
      <c r="B712">
        <v>58</v>
      </c>
      <c r="C712">
        <v>22</v>
      </c>
      <c r="D712">
        <v>178</v>
      </c>
      <c r="F712" t="s">
        <v>1764</v>
      </c>
      <c r="G712">
        <v>15</v>
      </c>
    </row>
    <row r="713" spans="1:7" x14ac:dyDescent="0.25">
      <c r="A713" t="s">
        <v>1709</v>
      </c>
      <c r="B713">
        <v>25</v>
      </c>
      <c r="C713">
        <v>4</v>
      </c>
      <c r="D713">
        <v>85</v>
      </c>
      <c r="F713" t="s">
        <v>1765</v>
      </c>
      <c r="G713">
        <v>11</v>
      </c>
    </row>
    <row r="714" spans="1:7" x14ac:dyDescent="0.25">
      <c r="A714" t="s">
        <v>1710</v>
      </c>
      <c r="B714">
        <v>18</v>
      </c>
      <c r="C714">
        <v>1</v>
      </c>
      <c r="D714">
        <v>53</v>
      </c>
      <c r="F714" t="s">
        <v>1766</v>
      </c>
      <c r="G714">
        <v>2</v>
      </c>
    </row>
    <row r="715" spans="1:7" x14ac:dyDescent="0.25">
      <c r="A715" t="s">
        <v>1711</v>
      </c>
      <c r="B715">
        <v>27</v>
      </c>
      <c r="C715">
        <v>0</v>
      </c>
      <c r="D715">
        <v>46</v>
      </c>
      <c r="F715" t="s">
        <v>1768</v>
      </c>
      <c r="G715">
        <v>5</v>
      </c>
    </row>
    <row r="716" spans="1:7" x14ac:dyDescent="0.25">
      <c r="A716" t="s">
        <v>1712</v>
      </c>
      <c r="B716">
        <v>16</v>
      </c>
      <c r="C716">
        <v>0</v>
      </c>
      <c r="D716">
        <v>32</v>
      </c>
      <c r="F716" t="s">
        <v>1769</v>
      </c>
      <c r="G716">
        <v>2</v>
      </c>
    </row>
    <row r="717" spans="1:7" x14ac:dyDescent="0.25">
      <c r="A717" t="s">
        <v>1713</v>
      </c>
      <c r="B717">
        <v>24</v>
      </c>
      <c r="C717">
        <v>1</v>
      </c>
      <c r="D717">
        <v>110</v>
      </c>
      <c r="F717" t="s">
        <v>1770</v>
      </c>
      <c r="G717">
        <v>8</v>
      </c>
    </row>
    <row r="718" spans="1:7" x14ac:dyDescent="0.25">
      <c r="A718" t="s">
        <v>1714</v>
      </c>
      <c r="B718">
        <v>10</v>
      </c>
      <c r="C718">
        <v>0</v>
      </c>
      <c r="D718">
        <v>44</v>
      </c>
      <c r="F718" t="s">
        <v>1771</v>
      </c>
      <c r="G718">
        <v>7</v>
      </c>
    </row>
    <row r="719" spans="1:7" x14ac:dyDescent="0.25">
      <c r="A719" t="s">
        <v>1715</v>
      </c>
      <c r="B719">
        <v>5</v>
      </c>
      <c r="C719">
        <v>0</v>
      </c>
      <c r="D719">
        <v>41</v>
      </c>
      <c r="F719" t="s">
        <v>1772</v>
      </c>
      <c r="G719">
        <v>2</v>
      </c>
    </row>
    <row r="720" spans="1:7" x14ac:dyDescent="0.25">
      <c r="A720" t="s">
        <v>1716</v>
      </c>
      <c r="B720">
        <v>4</v>
      </c>
      <c r="C720">
        <v>3</v>
      </c>
      <c r="D720">
        <v>14</v>
      </c>
      <c r="F720" t="s">
        <v>1775</v>
      </c>
      <c r="G720">
        <v>3</v>
      </c>
    </row>
    <row r="721" spans="1:7" x14ac:dyDescent="0.25">
      <c r="A721" t="s">
        <v>1717</v>
      </c>
      <c r="B721">
        <v>36</v>
      </c>
      <c r="C721">
        <v>8</v>
      </c>
      <c r="D721">
        <v>94</v>
      </c>
      <c r="F721" t="s">
        <v>1776</v>
      </c>
      <c r="G721">
        <v>5</v>
      </c>
    </row>
    <row r="722" spans="1:7" x14ac:dyDescent="0.25">
      <c r="A722" t="s">
        <v>1718</v>
      </c>
      <c r="B722">
        <v>28</v>
      </c>
      <c r="C722">
        <v>2</v>
      </c>
      <c r="D722">
        <v>78</v>
      </c>
      <c r="F722" t="s">
        <v>1778</v>
      </c>
      <c r="G722">
        <v>7</v>
      </c>
    </row>
    <row r="723" spans="1:7" x14ac:dyDescent="0.25">
      <c r="A723" t="s">
        <v>1719</v>
      </c>
      <c r="B723">
        <v>38</v>
      </c>
      <c r="C723">
        <v>0</v>
      </c>
      <c r="D723">
        <v>69</v>
      </c>
      <c r="F723" t="s">
        <v>1780</v>
      </c>
      <c r="G723">
        <v>1</v>
      </c>
    </row>
    <row r="724" spans="1:7" x14ac:dyDescent="0.25">
      <c r="A724" t="s">
        <v>1720</v>
      </c>
      <c r="B724">
        <v>49</v>
      </c>
      <c r="C724">
        <v>2</v>
      </c>
      <c r="D724">
        <v>138</v>
      </c>
      <c r="F724" t="s">
        <v>1781</v>
      </c>
      <c r="G724">
        <v>13</v>
      </c>
    </row>
    <row r="725" spans="1:7" x14ac:dyDescent="0.25">
      <c r="A725" t="s">
        <v>1721</v>
      </c>
      <c r="B725">
        <v>33</v>
      </c>
      <c r="C725">
        <v>0</v>
      </c>
      <c r="D725">
        <v>85</v>
      </c>
      <c r="F725" t="s">
        <v>1782</v>
      </c>
      <c r="G725">
        <v>11</v>
      </c>
    </row>
    <row r="726" spans="1:7" x14ac:dyDescent="0.25">
      <c r="A726" t="s">
        <v>1722</v>
      </c>
      <c r="B726">
        <v>43</v>
      </c>
      <c r="C726">
        <v>0</v>
      </c>
      <c r="D726">
        <v>147</v>
      </c>
      <c r="F726" t="s">
        <v>1783</v>
      </c>
      <c r="G726">
        <v>10</v>
      </c>
    </row>
    <row r="727" spans="1:7" x14ac:dyDescent="0.25">
      <c r="A727" t="s">
        <v>1723</v>
      </c>
      <c r="B727">
        <v>40</v>
      </c>
      <c r="C727">
        <v>2</v>
      </c>
      <c r="D727">
        <v>111</v>
      </c>
      <c r="F727" t="s">
        <v>1785</v>
      </c>
      <c r="G727">
        <v>13</v>
      </c>
    </row>
    <row r="728" spans="1:7" x14ac:dyDescent="0.25">
      <c r="A728" t="s">
        <v>1724</v>
      </c>
      <c r="B728">
        <v>33</v>
      </c>
      <c r="C728">
        <v>2</v>
      </c>
      <c r="D728">
        <v>87</v>
      </c>
      <c r="F728" t="s">
        <v>1786</v>
      </c>
      <c r="G728">
        <v>8</v>
      </c>
    </row>
    <row r="729" spans="1:7" x14ac:dyDescent="0.25">
      <c r="A729" t="s">
        <v>1725</v>
      </c>
      <c r="B729">
        <v>19</v>
      </c>
      <c r="C729">
        <v>0</v>
      </c>
      <c r="D729">
        <v>60</v>
      </c>
      <c r="F729" t="s">
        <v>1787</v>
      </c>
      <c r="G729">
        <v>2</v>
      </c>
    </row>
    <row r="730" spans="1:7" x14ac:dyDescent="0.25">
      <c r="A730" t="s">
        <v>1726</v>
      </c>
      <c r="B730">
        <v>27</v>
      </c>
      <c r="C730">
        <v>1</v>
      </c>
      <c r="D730">
        <v>99</v>
      </c>
      <c r="F730" t="s">
        <v>1788</v>
      </c>
      <c r="G730">
        <v>6</v>
      </c>
    </row>
    <row r="731" spans="1:7" x14ac:dyDescent="0.25">
      <c r="A731" t="s">
        <v>1727</v>
      </c>
      <c r="B731">
        <v>23</v>
      </c>
      <c r="C731">
        <v>0</v>
      </c>
      <c r="D731">
        <v>68</v>
      </c>
      <c r="F731" t="s">
        <v>1789</v>
      </c>
      <c r="G731">
        <v>7</v>
      </c>
    </row>
    <row r="732" spans="1:7" x14ac:dyDescent="0.25">
      <c r="A732" t="s">
        <v>1728</v>
      </c>
      <c r="B732">
        <v>53</v>
      </c>
      <c r="C732">
        <v>1</v>
      </c>
      <c r="D732">
        <v>144</v>
      </c>
      <c r="F732" t="s">
        <v>1790</v>
      </c>
      <c r="G732">
        <v>7</v>
      </c>
    </row>
    <row r="733" spans="1:7" x14ac:dyDescent="0.25">
      <c r="A733" t="s">
        <v>1729</v>
      </c>
      <c r="B733">
        <v>38</v>
      </c>
      <c r="C733">
        <v>2</v>
      </c>
      <c r="D733">
        <v>116</v>
      </c>
      <c r="F733" t="s">
        <v>1791</v>
      </c>
      <c r="G733">
        <v>4</v>
      </c>
    </row>
    <row r="734" spans="1:7" x14ac:dyDescent="0.25">
      <c r="A734" t="s">
        <v>1730</v>
      </c>
      <c r="B734">
        <v>37</v>
      </c>
      <c r="C734">
        <v>2</v>
      </c>
      <c r="D734">
        <v>112</v>
      </c>
      <c r="F734" t="s">
        <v>1792</v>
      </c>
      <c r="G734">
        <v>19</v>
      </c>
    </row>
    <row r="735" spans="1:7" x14ac:dyDescent="0.25">
      <c r="A735" t="s">
        <v>1731</v>
      </c>
      <c r="B735">
        <v>32</v>
      </c>
      <c r="C735">
        <v>1</v>
      </c>
      <c r="D735">
        <v>88</v>
      </c>
      <c r="F735" t="s">
        <v>1793</v>
      </c>
      <c r="G735">
        <v>8</v>
      </c>
    </row>
    <row r="736" spans="1:7" x14ac:dyDescent="0.25">
      <c r="A736" t="s">
        <v>1732</v>
      </c>
      <c r="B736">
        <v>44</v>
      </c>
      <c r="C736">
        <v>1</v>
      </c>
      <c r="D736">
        <v>144</v>
      </c>
      <c r="F736" t="s">
        <v>1794</v>
      </c>
      <c r="G736">
        <v>3</v>
      </c>
    </row>
    <row r="737" spans="1:7" x14ac:dyDescent="0.25">
      <c r="A737" t="s">
        <v>1733</v>
      </c>
      <c r="B737">
        <v>48</v>
      </c>
      <c r="C737">
        <v>0</v>
      </c>
      <c r="D737">
        <v>156</v>
      </c>
      <c r="F737" t="s">
        <v>1795</v>
      </c>
      <c r="G737">
        <v>2</v>
      </c>
    </row>
    <row r="738" spans="1:7" x14ac:dyDescent="0.25">
      <c r="A738" t="s">
        <v>1734</v>
      </c>
      <c r="B738">
        <v>62</v>
      </c>
      <c r="C738">
        <v>2</v>
      </c>
      <c r="D738">
        <v>257</v>
      </c>
      <c r="F738" t="s">
        <v>1796</v>
      </c>
      <c r="G738">
        <v>17</v>
      </c>
    </row>
    <row r="739" spans="1:7" x14ac:dyDescent="0.25">
      <c r="A739" t="s">
        <v>1735</v>
      </c>
      <c r="B739">
        <v>30</v>
      </c>
      <c r="C739">
        <v>1</v>
      </c>
      <c r="D739">
        <v>250</v>
      </c>
      <c r="F739" t="s">
        <v>1797</v>
      </c>
      <c r="G739">
        <v>18</v>
      </c>
    </row>
    <row r="740" spans="1:7" x14ac:dyDescent="0.25">
      <c r="A740" t="s">
        <v>1736</v>
      </c>
      <c r="B740">
        <v>29</v>
      </c>
      <c r="C740">
        <v>4</v>
      </c>
      <c r="D740">
        <v>89</v>
      </c>
      <c r="F740" t="s">
        <v>1798</v>
      </c>
      <c r="G740">
        <v>6</v>
      </c>
    </row>
    <row r="741" spans="1:7" x14ac:dyDescent="0.25">
      <c r="A741" t="s">
        <v>1737</v>
      </c>
      <c r="B741">
        <v>31</v>
      </c>
      <c r="C741">
        <v>3</v>
      </c>
      <c r="D741">
        <v>84</v>
      </c>
      <c r="F741" t="s">
        <v>1799</v>
      </c>
      <c r="G741">
        <v>7</v>
      </c>
    </row>
    <row r="742" spans="1:7" x14ac:dyDescent="0.25">
      <c r="A742" t="s">
        <v>1738</v>
      </c>
      <c r="B742">
        <v>37</v>
      </c>
      <c r="C742">
        <v>1</v>
      </c>
      <c r="D742">
        <v>126</v>
      </c>
      <c r="F742" t="s">
        <v>1800</v>
      </c>
      <c r="G742">
        <v>3</v>
      </c>
    </row>
    <row r="743" spans="1:7" x14ac:dyDescent="0.25">
      <c r="A743" t="s">
        <v>1739</v>
      </c>
      <c r="B743">
        <v>28</v>
      </c>
      <c r="C743">
        <v>5</v>
      </c>
      <c r="D743">
        <v>95</v>
      </c>
      <c r="F743" t="s">
        <v>1801</v>
      </c>
      <c r="G743">
        <v>14</v>
      </c>
    </row>
    <row r="744" spans="1:7" x14ac:dyDescent="0.25">
      <c r="A744" t="s">
        <v>1740</v>
      </c>
      <c r="B744">
        <v>26</v>
      </c>
      <c r="C744">
        <v>5</v>
      </c>
      <c r="D744">
        <v>73</v>
      </c>
      <c r="F744" t="s">
        <v>1802</v>
      </c>
      <c r="G744">
        <v>10</v>
      </c>
    </row>
    <row r="745" spans="1:7" x14ac:dyDescent="0.25">
      <c r="A745" t="s">
        <v>1741</v>
      </c>
      <c r="B745">
        <v>10</v>
      </c>
      <c r="C745">
        <v>1</v>
      </c>
      <c r="D745">
        <v>53</v>
      </c>
      <c r="F745" t="s">
        <v>1803</v>
      </c>
      <c r="G745">
        <v>10</v>
      </c>
    </row>
    <row r="746" spans="1:7" x14ac:dyDescent="0.25">
      <c r="A746" t="s">
        <v>1742</v>
      </c>
      <c r="B746">
        <v>22</v>
      </c>
      <c r="C746">
        <v>0</v>
      </c>
      <c r="D746">
        <v>65</v>
      </c>
      <c r="F746" t="s">
        <v>1804</v>
      </c>
      <c r="G746">
        <v>2</v>
      </c>
    </row>
    <row r="747" spans="1:7" x14ac:dyDescent="0.25">
      <c r="A747" t="s">
        <v>1743</v>
      </c>
      <c r="B747">
        <v>37</v>
      </c>
      <c r="C747">
        <v>50</v>
      </c>
      <c r="D747">
        <v>252</v>
      </c>
      <c r="F747" t="s">
        <v>1805</v>
      </c>
      <c r="G747">
        <v>31</v>
      </c>
    </row>
    <row r="748" spans="1:7" x14ac:dyDescent="0.25">
      <c r="A748" t="s">
        <v>1744</v>
      </c>
      <c r="B748">
        <v>9</v>
      </c>
      <c r="C748">
        <v>0</v>
      </c>
      <c r="D748">
        <v>35</v>
      </c>
      <c r="F748" t="s">
        <v>1806</v>
      </c>
      <c r="G748">
        <v>41</v>
      </c>
    </row>
    <row r="749" spans="1:7" x14ac:dyDescent="0.25">
      <c r="A749" t="s">
        <v>1745</v>
      </c>
      <c r="B749">
        <v>15</v>
      </c>
      <c r="C749">
        <v>1</v>
      </c>
      <c r="D749">
        <v>84</v>
      </c>
      <c r="F749" t="s">
        <v>1807</v>
      </c>
      <c r="G749">
        <v>30</v>
      </c>
    </row>
    <row r="750" spans="1:7" x14ac:dyDescent="0.25">
      <c r="A750" t="s">
        <v>1746</v>
      </c>
      <c r="B750">
        <v>15</v>
      </c>
      <c r="C750">
        <v>4</v>
      </c>
      <c r="D750">
        <v>62</v>
      </c>
      <c r="F750" t="s">
        <v>1808</v>
      </c>
      <c r="G750">
        <v>12</v>
      </c>
    </row>
    <row r="751" spans="1:7" x14ac:dyDescent="0.25">
      <c r="A751" t="s">
        <v>1747</v>
      </c>
      <c r="B751">
        <v>23</v>
      </c>
      <c r="C751">
        <v>1</v>
      </c>
      <c r="D751">
        <v>69</v>
      </c>
      <c r="F751" t="s">
        <v>1809</v>
      </c>
      <c r="G751">
        <v>6</v>
      </c>
    </row>
    <row r="752" spans="1:7" x14ac:dyDescent="0.25">
      <c r="A752" t="s">
        <v>1748</v>
      </c>
      <c r="B752">
        <v>26</v>
      </c>
      <c r="C752">
        <v>0</v>
      </c>
      <c r="D752">
        <v>98</v>
      </c>
      <c r="F752" t="s">
        <v>1810</v>
      </c>
      <c r="G752">
        <v>3</v>
      </c>
    </row>
    <row r="753" spans="1:7" x14ac:dyDescent="0.25">
      <c r="A753" t="s">
        <v>1749</v>
      </c>
      <c r="B753">
        <v>14</v>
      </c>
      <c r="C753">
        <v>1</v>
      </c>
      <c r="D753">
        <v>56</v>
      </c>
      <c r="F753" t="s">
        <v>1811</v>
      </c>
      <c r="G753">
        <v>33</v>
      </c>
    </row>
    <row r="754" spans="1:7" x14ac:dyDescent="0.25">
      <c r="A754" t="s">
        <v>1750</v>
      </c>
      <c r="B754">
        <v>43</v>
      </c>
      <c r="C754">
        <v>0</v>
      </c>
      <c r="D754">
        <v>223</v>
      </c>
      <c r="F754" t="s">
        <v>1812</v>
      </c>
      <c r="G754">
        <v>17</v>
      </c>
    </row>
    <row r="755" spans="1:7" x14ac:dyDescent="0.25">
      <c r="A755" t="s">
        <v>1751</v>
      </c>
      <c r="B755">
        <v>37</v>
      </c>
      <c r="C755">
        <v>2</v>
      </c>
      <c r="D755">
        <v>122</v>
      </c>
      <c r="F755" t="s">
        <v>1813</v>
      </c>
      <c r="G755">
        <v>8</v>
      </c>
    </row>
    <row r="756" spans="1:7" x14ac:dyDescent="0.25">
      <c r="A756" t="s">
        <v>1752</v>
      </c>
      <c r="B756">
        <v>16</v>
      </c>
      <c r="C756">
        <v>29</v>
      </c>
      <c r="D756">
        <v>141</v>
      </c>
      <c r="F756" t="s">
        <v>1814</v>
      </c>
      <c r="G756">
        <v>10</v>
      </c>
    </row>
    <row r="757" spans="1:7" x14ac:dyDescent="0.25">
      <c r="A757" t="s">
        <v>1753</v>
      </c>
      <c r="B757">
        <v>2</v>
      </c>
      <c r="C757">
        <v>86</v>
      </c>
      <c r="D757">
        <v>290</v>
      </c>
      <c r="F757" t="s">
        <v>1815</v>
      </c>
      <c r="G757">
        <v>12</v>
      </c>
    </row>
    <row r="758" spans="1:7" x14ac:dyDescent="0.25">
      <c r="A758" t="s">
        <v>1754</v>
      </c>
      <c r="B758">
        <v>6</v>
      </c>
      <c r="C758">
        <v>17</v>
      </c>
      <c r="D758">
        <v>101</v>
      </c>
      <c r="F758" t="s">
        <v>1816</v>
      </c>
      <c r="G758">
        <v>11</v>
      </c>
    </row>
    <row r="759" spans="1:7" x14ac:dyDescent="0.25">
      <c r="A759" t="s">
        <v>1755</v>
      </c>
      <c r="B759">
        <v>28</v>
      </c>
      <c r="C759">
        <v>39</v>
      </c>
      <c r="D759">
        <v>171</v>
      </c>
      <c r="F759" t="s">
        <v>1817</v>
      </c>
      <c r="G759">
        <v>3</v>
      </c>
    </row>
    <row r="760" spans="1:7" x14ac:dyDescent="0.25">
      <c r="A760" t="s">
        <v>1756</v>
      </c>
      <c r="B760">
        <v>7</v>
      </c>
      <c r="C760">
        <v>1</v>
      </c>
      <c r="D760">
        <v>65</v>
      </c>
      <c r="F760" t="s">
        <v>1818</v>
      </c>
      <c r="G760">
        <v>5</v>
      </c>
    </row>
    <row r="761" spans="1:7" x14ac:dyDescent="0.25">
      <c r="A761" t="s">
        <v>1757</v>
      </c>
      <c r="B761">
        <v>7</v>
      </c>
      <c r="C761">
        <v>1</v>
      </c>
      <c r="D761">
        <v>46</v>
      </c>
      <c r="F761" t="s">
        <v>1819</v>
      </c>
      <c r="G761">
        <v>7</v>
      </c>
    </row>
    <row r="762" spans="1:7" x14ac:dyDescent="0.25">
      <c r="A762" t="s">
        <v>1758</v>
      </c>
      <c r="B762">
        <v>8</v>
      </c>
      <c r="C762">
        <v>0</v>
      </c>
      <c r="D762">
        <v>60</v>
      </c>
      <c r="F762" t="s">
        <v>1820</v>
      </c>
      <c r="G762">
        <v>7</v>
      </c>
    </row>
    <row r="763" spans="1:7" x14ac:dyDescent="0.25">
      <c r="A763" t="s">
        <v>1759</v>
      </c>
      <c r="B763">
        <v>18</v>
      </c>
      <c r="C763">
        <v>1</v>
      </c>
      <c r="D763">
        <v>55</v>
      </c>
      <c r="F763" t="s">
        <v>1821</v>
      </c>
      <c r="G763">
        <v>6</v>
      </c>
    </row>
    <row r="764" spans="1:7" x14ac:dyDescent="0.25">
      <c r="A764" t="s">
        <v>1760</v>
      </c>
      <c r="B764">
        <v>3</v>
      </c>
      <c r="C764">
        <v>0</v>
      </c>
      <c r="D764">
        <v>41</v>
      </c>
      <c r="F764" t="s">
        <v>1822</v>
      </c>
      <c r="G764">
        <v>3</v>
      </c>
    </row>
    <row r="765" spans="1:7" x14ac:dyDescent="0.25">
      <c r="A765" t="s">
        <v>1761</v>
      </c>
      <c r="B765">
        <v>14</v>
      </c>
      <c r="C765">
        <v>1</v>
      </c>
      <c r="D765">
        <v>66</v>
      </c>
      <c r="F765" t="s">
        <v>1823</v>
      </c>
      <c r="G765">
        <v>6</v>
      </c>
    </row>
    <row r="766" spans="1:7" x14ac:dyDescent="0.25">
      <c r="A766" t="s">
        <v>1762</v>
      </c>
      <c r="B766">
        <v>18</v>
      </c>
      <c r="C766">
        <v>0</v>
      </c>
      <c r="D766">
        <v>56</v>
      </c>
      <c r="F766" t="s">
        <v>1824</v>
      </c>
      <c r="G766">
        <v>4</v>
      </c>
    </row>
    <row r="767" spans="1:7" x14ac:dyDescent="0.25">
      <c r="A767" t="s">
        <v>1763</v>
      </c>
      <c r="B767">
        <v>7</v>
      </c>
      <c r="C767">
        <v>2</v>
      </c>
      <c r="D767">
        <v>51</v>
      </c>
      <c r="F767" t="s">
        <v>1825</v>
      </c>
      <c r="G767">
        <v>3</v>
      </c>
    </row>
    <row r="768" spans="1:7" x14ac:dyDescent="0.25">
      <c r="A768" t="s">
        <v>1764</v>
      </c>
      <c r="B768">
        <v>10</v>
      </c>
      <c r="C768">
        <v>1</v>
      </c>
      <c r="D768">
        <v>107</v>
      </c>
      <c r="F768" t="s">
        <v>1826</v>
      </c>
      <c r="G768">
        <v>4</v>
      </c>
    </row>
    <row r="769" spans="1:7" x14ac:dyDescent="0.25">
      <c r="A769" t="s">
        <v>1765</v>
      </c>
      <c r="B769">
        <v>9</v>
      </c>
      <c r="C769">
        <v>0</v>
      </c>
      <c r="D769">
        <v>63</v>
      </c>
      <c r="F769" t="s">
        <v>1827</v>
      </c>
      <c r="G769">
        <v>5</v>
      </c>
    </row>
    <row r="770" spans="1:7" x14ac:dyDescent="0.25">
      <c r="A770" t="s">
        <v>1766</v>
      </c>
      <c r="B770">
        <v>14</v>
      </c>
      <c r="C770">
        <v>3</v>
      </c>
      <c r="D770">
        <v>24</v>
      </c>
      <c r="F770" t="s">
        <v>1828</v>
      </c>
      <c r="G770">
        <v>2</v>
      </c>
    </row>
    <row r="771" spans="1:7" x14ac:dyDescent="0.25">
      <c r="A771" t="s">
        <v>1767</v>
      </c>
      <c r="B771">
        <v>18</v>
      </c>
      <c r="C771">
        <v>10</v>
      </c>
      <c r="D771">
        <v>31</v>
      </c>
      <c r="F771" t="s">
        <v>1829</v>
      </c>
      <c r="G771">
        <v>8</v>
      </c>
    </row>
    <row r="772" spans="1:7" x14ac:dyDescent="0.25">
      <c r="A772" t="s">
        <v>1768</v>
      </c>
      <c r="B772">
        <v>36</v>
      </c>
      <c r="C772">
        <v>4</v>
      </c>
      <c r="D772">
        <v>131</v>
      </c>
      <c r="F772" t="s">
        <v>1830</v>
      </c>
      <c r="G772">
        <v>5</v>
      </c>
    </row>
    <row r="773" spans="1:7" x14ac:dyDescent="0.25">
      <c r="A773" t="s">
        <v>1769</v>
      </c>
      <c r="B773">
        <v>21</v>
      </c>
      <c r="C773">
        <v>5</v>
      </c>
      <c r="D773">
        <v>86</v>
      </c>
      <c r="F773" t="s">
        <v>1831</v>
      </c>
      <c r="G773">
        <v>5</v>
      </c>
    </row>
    <row r="774" spans="1:7" x14ac:dyDescent="0.25">
      <c r="A774" t="s">
        <v>1770</v>
      </c>
      <c r="B774">
        <v>28</v>
      </c>
      <c r="C774">
        <v>1</v>
      </c>
      <c r="D774">
        <v>102</v>
      </c>
      <c r="F774" t="s">
        <v>1832</v>
      </c>
      <c r="G774">
        <v>3</v>
      </c>
    </row>
    <row r="775" spans="1:7" x14ac:dyDescent="0.25">
      <c r="A775" t="s">
        <v>1771</v>
      </c>
      <c r="B775">
        <v>23</v>
      </c>
      <c r="C775">
        <v>0</v>
      </c>
      <c r="D775">
        <v>114</v>
      </c>
      <c r="F775" t="s">
        <v>1833</v>
      </c>
      <c r="G775">
        <v>4</v>
      </c>
    </row>
    <row r="776" spans="1:7" x14ac:dyDescent="0.25">
      <c r="A776" t="s">
        <v>1772</v>
      </c>
      <c r="B776">
        <v>14</v>
      </c>
      <c r="C776">
        <v>1</v>
      </c>
      <c r="D776">
        <v>48</v>
      </c>
      <c r="F776" t="s">
        <v>1834</v>
      </c>
      <c r="G776">
        <v>15</v>
      </c>
    </row>
    <row r="777" spans="1:7" x14ac:dyDescent="0.25">
      <c r="A777" t="s">
        <v>1773</v>
      </c>
      <c r="B777">
        <v>19</v>
      </c>
      <c r="C777">
        <v>2</v>
      </c>
      <c r="D777">
        <v>54</v>
      </c>
      <c r="F777" t="s">
        <v>1835</v>
      </c>
      <c r="G777">
        <v>5</v>
      </c>
    </row>
    <row r="778" spans="1:7" x14ac:dyDescent="0.25">
      <c r="A778" t="s">
        <v>1774</v>
      </c>
      <c r="B778">
        <v>28</v>
      </c>
      <c r="C778">
        <v>0</v>
      </c>
      <c r="D778">
        <v>56</v>
      </c>
      <c r="F778" t="s">
        <v>1836</v>
      </c>
      <c r="G778">
        <v>6</v>
      </c>
    </row>
    <row r="779" spans="1:7" x14ac:dyDescent="0.25">
      <c r="A779" t="s">
        <v>1775</v>
      </c>
      <c r="B779">
        <v>22</v>
      </c>
      <c r="C779">
        <v>0</v>
      </c>
      <c r="D779">
        <v>45</v>
      </c>
      <c r="F779" t="s">
        <v>1837</v>
      </c>
      <c r="G779">
        <v>5</v>
      </c>
    </row>
    <row r="780" spans="1:7" x14ac:dyDescent="0.25">
      <c r="A780" t="s">
        <v>1776</v>
      </c>
      <c r="B780">
        <v>17</v>
      </c>
      <c r="C780">
        <v>0</v>
      </c>
      <c r="D780">
        <v>50</v>
      </c>
      <c r="F780" t="s">
        <v>1838</v>
      </c>
      <c r="G780">
        <v>8</v>
      </c>
    </row>
    <row r="781" spans="1:7" x14ac:dyDescent="0.25">
      <c r="A781" t="s">
        <v>1777</v>
      </c>
      <c r="B781">
        <v>15</v>
      </c>
      <c r="C781">
        <v>2</v>
      </c>
      <c r="D781">
        <v>38</v>
      </c>
      <c r="F781" t="s">
        <v>1839</v>
      </c>
      <c r="G781">
        <v>15</v>
      </c>
    </row>
    <row r="782" spans="1:7" x14ac:dyDescent="0.25">
      <c r="A782" t="s">
        <v>1778</v>
      </c>
      <c r="B782">
        <v>14</v>
      </c>
      <c r="C782">
        <v>0</v>
      </c>
      <c r="D782">
        <v>82</v>
      </c>
      <c r="F782" t="s">
        <v>1840</v>
      </c>
      <c r="G782">
        <v>5</v>
      </c>
    </row>
    <row r="783" spans="1:7" x14ac:dyDescent="0.25">
      <c r="A783" t="s">
        <v>1779</v>
      </c>
      <c r="B783">
        <v>9</v>
      </c>
      <c r="C783">
        <v>0</v>
      </c>
      <c r="D783">
        <v>47</v>
      </c>
      <c r="F783" t="s">
        <v>1841</v>
      </c>
      <c r="G783">
        <v>16</v>
      </c>
    </row>
    <row r="784" spans="1:7" x14ac:dyDescent="0.25">
      <c r="A784" t="s">
        <v>1780</v>
      </c>
      <c r="B784">
        <v>20</v>
      </c>
      <c r="C784">
        <v>0</v>
      </c>
      <c r="D784">
        <v>67</v>
      </c>
      <c r="F784" t="s">
        <v>1842</v>
      </c>
      <c r="G784">
        <v>3</v>
      </c>
    </row>
    <row r="785" spans="1:7" x14ac:dyDescent="0.25">
      <c r="A785" t="s">
        <v>1781</v>
      </c>
      <c r="B785">
        <v>25</v>
      </c>
      <c r="C785">
        <v>0</v>
      </c>
      <c r="D785">
        <v>134</v>
      </c>
      <c r="F785" t="s">
        <v>1843</v>
      </c>
      <c r="G785">
        <v>19</v>
      </c>
    </row>
    <row r="786" spans="1:7" x14ac:dyDescent="0.25">
      <c r="A786" t="s">
        <v>1782</v>
      </c>
      <c r="B786">
        <v>38</v>
      </c>
      <c r="C786">
        <v>1</v>
      </c>
      <c r="D786">
        <v>121</v>
      </c>
      <c r="F786" t="s">
        <v>1844</v>
      </c>
      <c r="G786">
        <v>7</v>
      </c>
    </row>
    <row r="787" spans="1:7" x14ac:dyDescent="0.25">
      <c r="A787" t="s">
        <v>1783</v>
      </c>
      <c r="B787">
        <v>44</v>
      </c>
      <c r="C787">
        <v>0</v>
      </c>
      <c r="D787">
        <v>136</v>
      </c>
      <c r="F787" t="s">
        <v>1845</v>
      </c>
      <c r="G787">
        <v>4</v>
      </c>
    </row>
    <row r="788" spans="1:7" x14ac:dyDescent="0.25">
      <c r="A788" t="s">
        <v>1784</v>
      </c>
      <c r="B788">
        <v>68</v>
      </c>
      <c r="C788">
        <v>1</v>
      </c>
      <c r="D788">
        <v>98</v>
      </c>
      <c r="F788" t="s">
        <v>1846</v>
      </c>
      <c r="G788">
        <v>5</v>
      </c>
    </row>
    <row r="789" spans="1:7" x14ac:dyDescent="0.25">
      <c r="A789" t="s">
        <v>1785</v>
      </c>
      <c r="B789">
        <v>27</v>
      </c>
      <c r="C789">
        <v>0</v>
      </c>
      <c r="D789">
        <v>144</v>
      </c>
      <c r="F789" t="s">
        <v>1847</v>
      </c>
      <c r="G789">
        <v>4</v>
      </c>
    </row>
    <row r="790" spans="1:7" x14ac:dyDescent="0.25">
      <c r="A790" t="s">
        <v>1786</v>
      </c>
      <c r="B790">
        <v>10</v>
      </c>
      <c r="C790">
        <v>1</v>
      </c>
      <c r="D790">
        <v>36</v>
      </c>
      <c r="F790" t="s">
        <v>1848</v>
      </c>
      <c r="G790">
        <v>3</v>
      </c>
    </row>
    <row r="791" spans="1:7" x14ac:dyDescent="0.25">
      <c r="A791" t="s">
        <v>1787</v>
      </c>
      <c r="B791">
        <v>9</v>
      </c>
      <c r="C791">
        <v>1</v>
      </c>
      <c r="D791">
        <v>45</v>
      </c>
      <c r="F791" t="s">
        <v>1849</v>
      </c>
      <c r="G791">
        <v>5</v>
      </c>
    </row>
    <row r="792" spans="1:7" x14ac:dyDescent="0.25">
      <c r="A792" t="s">
        <v>1788</v>
      </c>
      <c r="B792">
        <v>14</v>
      </c>
      <c r="C792">
        <v>0</v>
      </c>
      <c r="D792">
        <v>43</v>
      </c>
      <c r="F792" t="s">
        <v>1850</v>
      </c>
      <c r="G792">
        <v>6</v>
      </c>
    </row>
    <row r="793" spans="1:7" x14ac:dyDescent="0.25">
      <c r="A793" t="s">
        <v>1789</v>
      </c>
      <c r="B793">
        <v>14</v>
      </c>
      <c r="C793">
        <v>1</v>
      </c>
      <c r="D793">
        <v>53</v>
      </c>
      <c r="F793" t="s">
        <v>1851</v>
      </c>
      <c r="G793">
        <v>13</v>
      </c>
    </row>
    <row r="794" spans="1:7" x14ac:dyDescent="0.25">
      <c r="A794" t="s">
        <v>1790</v>
      </c>
      <c r="B794">
        <v>14</v>
      </c>
      <c r="C794">
        <v>3</v>
      </c>
      <c r="D794">
        <v>53</v>
      </c>
      <c r="F794" t="s">
        <v>1852</v>
      </c>
      <c r="G794">
        <v>7</v>
      </c>
    </row>
    <row r="795" spans="1:7" x14ac:dyDescent="0.25">
      <c r="A795" t="s">
        <v>1791</v>
      </c>
      <c r="B795">
        <v>21</v>
      </c>
      <c r="C795">
        <v>0</v>
      </c>
      <c r="D795">
        <v>52</v>
      </c>
      <c r="F795" t="s">
        <v>1853</v>
      </c>
      <c r="G795">
        <v>4</v>
      </c>
    </row>
    <row r="796" spans="1:7" x14ac:dyDescent="0.25">
      <c r="A796" t="s">
        <v>1792</v>
      </c>
      <c r="B796">
        <v>21</v>
      </c>
      <c r="C796">
        <v>2</v>
      </c>
      <c r="D796">
        <v>109</v>
      </c>
      <c r="F796" t="s">
        <v>1854</v>
      </c>
      <c r="G796">
        <v>8</v>
      </c>
    </row>
    <row r="797" spans="1:7" x14ac:dyDescent="0.25">
      <c r="A797" t="s">
        <v>1793</v>
      </c>
      <c r="B797">
        <v>12</v>
      </c>
      <c r="C797">
        <v>1</v>
      </c>
      <c r="D797">
        <v>61</v>
      </c>
      <c r="F797" t="s">
        <v>1855</v>
      </c>
      <c r="G797">
        <v>5</v>
      </c>
    </row>
    <row r="798" spans="1:7" x14ac:dyDescent="0.25">
      <c r="A798" t="s">
        <v>1794</v>
      </c>
      <c r="B798">
        <v>6</v>
      </c>
      <c r="C798">
        <v>1</v>
      </c>
      <c r="D798">
        <v>33</v>
      </c>
      <c r="F798" t="s">
        <v>1856</v>
      </c>
      <c r="G798">
        <v>5</v>
      </c>
    </row>
    <row r="799" spans="1:7" x14ac:dyDescent="0.25">
      <c r="A799" t="s">
        <v>1795</v>
      </c>
      <c r="B799">
        <v>15</v>
      </c>
      <c r="C799">
        <v>1</v>
      </c>
      <c r="D799">
        <v>41</v>
      </c>
      <c r="F799" t="s">
        <v>1857</v>
      </c>
      <c r="G799">
        <v>19</v>
      </c>
    </row>
    <row r="800" spans="1:7" x14ac:dyDescent="0.25">
      <c r="A800" t="s">
        <v>1796</v>
      </c>
      <c r="B800">
        <v>18</v>
      </c>
      <c r="C800">
        <v>2</v>
      </c>
      <c r="D800">
        <v>76</v>
      </c>
      <c r="F800" t="s">
        <v>1858</v>
      </c>
      <c r="G800">
        <v>8</v>
      </c>
    </row>
    <row r="801" spans="1:7" x14ac:dyDescent="0.25">
      <c r="A801" t="s">
        <v>1797</v>
      </c>
      <c r="B801">
        <v>22</v>
      </c>
      <c r="C801">
        <v>7</v>
      </c>
      <c r="D801">
        <v>81</v>
      </c>
      <c r="F801" t="s">
        <v>1859</v>
      </c>
      <c r="G801">
        <v>1</v>
      </c>
    </row>
    <row r="802" spans="1:7" x14ac:dyDescent="0.25">
      <c r="A802" t="s">
        <v>1798</v>
      </c>
      <c r="B802">
        <v>10</v>
      </c>
      <c r="C802">
        <v>2</v>
      </c>
      <c r="D802">
        <v>47</v>
      </c>
      <c r="F802" t="s">
        <v>1860</v>
      </c>
      <c r="G802">
        <v>15</v>
      </c>
    </row>
    <row r="803" spans="1:7" x14ac:dyDescent="0.25">
      <c r="A803" t="s">
        <v>1799</v>
      </c>
      <c r="B803">
        <v>7</v>
      </c>
      <c r="C803">
        <v>0</v>
      </c>
      <c r="D803">
        <v>56</v>
      </c>
      <c r="F803" t="s">
        <v>1861</v>
      </c>
      <c r="G803">
        <v>2</v>
      </c>
    </row>
    <row r="804" spans="1:7" x14ac:dyDescent="0.25">
      <c r="A804" t="s">
        <v>1800</v>
      </c>
      <c r="B804">
        <v>23</v>
      </c>
      <c r="C804">
        <v>3</v>
      </c>
      <c r="D804">
        <v>95</v>
      </c>
      <c r="F804" t="s">
        <v>1863</v>
      </c>
      <c r="G804">
        <v>2</v>
      </c>
    </row>
    <row r="805" spans="1:7" x14ac:dyDescent="0.25">
      <c r="A805" t="s">
        <v>1801</v>
      </c>
      <c r="B805">
        <v>124</v>
      </c>
      <c r="C805">
        <v>5</v>
      </c>
      <c r="D805">
        <v>235</v>
      </c>
      <c r="F805" t="s">
        <v>1864</v>
      </c>
      <c r="G805">
        <v>1</v>
      </c>
    </row>
    <row r="806" spans="1:7" x14ac:dyDescent="0.25">
      <c r="A806" t="s">
        <v>1802</v>
      </c>
      <c r="B806">
        <v>134</v>
      </c>
      <c r="C806">
        <v>2</v>
      </c>
      <c r="D806">
        <v>196</v>
      </c>
      <c r="F806" t="s">
        <v>1865</v>
      </c>
      <c r="G806">
        <v>3</v>
      </c>
    </row>
    <row r="807" spans="1:7" x14ac:dyDescent="0.25">
      <c r="A807" t="s">
        <v>1803</v>
      </c>
      <c r="B807">
        <v>64</v>
      </c>
      <c r="C807">
        <v>9</v>
      </c>
      <c r="D807">
        <v>156</v>
      </c>
      <c r="F807" t="s">
        <v>1866</v>
      </c>
      <c r="G807">
        <v>4</v>
      </c>
    </row>
    <row r="808" spans="1:7" x14ac:dyDescent="0.25">
      <c r="A808" t="s">
        <v>1804</v>
      </c>
      <c r="B808">
        <v>47</v>
      </c>
      <c r="C808">
        <v>0</v>
      </c>
      <c r="D808">
        <v>103</v>
      </c>
      <c r="F808" t="s">
        <v>1867</v>
      </c>
      <c r="G808">
        <v>4</v>
      </c>
    </row>
    <row r="809" spans="1:7" x14ac:dyDescent="0.25">
      <c r="A809" t="s">
        <v>1805</v>
      </c>
      <c r="B809">
        <v>67</v>
      </c>
      <c r="C809">
        <v>2</v>
      </c>
      <c r="D809">
        <v>173</v>
      </c>
      <c r="F809" t="s">
        <v>1868</v>
      </c>
      <c r="G809">
        <v>1</v>
      </c>
    </row>
    <row r="810" spans="1:7" x14ac:dyDescent="0.25">
      <c r="A810" t="s">
        <v>1806</v>
      </c>
      <c r="B810">
        <v>13</v>
      </c>
      <c r="C810">
        <v>1</v>
      </c>
      <c r="D810">
        <v>97</v>
      </c>
      <c r="F810" t="s">
        <v>1870</v>
      </c>
      <c r="G810">
        <v>4</v>
      </c>
    </row>
    <row r="811" spans="1:7" x14ac:dyDescent="0.25">
      <c r="A811" t="s">
        <v>1807</v>
      </c>
      <c r="B811">
        <v>30</v>
      </c>
      <c r="C811">
        <v>0</v>
      </c>
      <c r="D811">
        <v>113</v>
      </c>
      <c r="F811" t="s">
        <v>1872</v>
      </c>
      <c r="G811">
        <v>1</v>
      </c>
    </row>
    <row r="812" spans="1:7" x14ac:dyDescent="0.25">
      <c r="A812" t="s">
        <v>1808</v>
      </c>
      <c r="B812">
        <v>25</v>
      </c>
      <c r="C812">
        <v>2</v>
      </c>
      <c r="D812">
        <v>106</v>
      </c>
      <c r="F812" t="s">
        <v>1875</v>
      </c>
      <c r="G812">
        <v>10</v>
      </c>
    </row>
    <row r="813" spans="1:7" x14ac:dyDescent="0.25">
      <c r="A813" t="s">
        <v>1809</v>
      </c>
      <c r="B813">
        <v>18</v>
      </c>
      <c r="C813">
        <v>1</v>
      </c>
      <c r="D813">
        <v>75</v>
      </c>
      <c r="F813" t="s">
        <v>1876</v>
      </c>
      <c r="G813">
        <v>3</v>
      </c>
    </row>
    <row r="814" spans="1:7" x14ac:dyDescent="0.25">
      <c r="A814" t="s">
        <v>1810</v>
      </c>
      <c r="B814">
        <v>32</v>
      </c>
      <c r="C814">
        <v>1</v>
      </c>
      <c r="D814">
        <v>137</v>
      </c>
      <c r="F814" t="s">
        <v>1877</v>
      </c>
      <c r="G814">
        <v>7</v>
      </c>
    </row>
    <row r="815" spans="1:7" x14ac:dyDescent="0.25">
      <c r="A815" t="s">
        <v>1811</v>
      </c>
      <c r="B815">
        <v>37</v>
      </c>
      <c r="C815">
        <v>0</v>
      </c>
      <c r="D815">
        <v>155</v>
      </c>
      <c r="F815" t="s">
        <v>1878</v>
      </c>
      <c r="G815">
        <v>5</v>
      </c>
    </row>
    <row r="816" spans="1:7" x14ac:dyDescent="0.25">
      <c r="A816" t="s">
        <v>1812</v>
      </c>
      <c r="B816">
        <v>38</v>
      </c>
      <c r="C816">
        <v>0</v>
      </c>
      <c r="D816">
        <v>181</v>
      </c>
      <c r="F816" t="s">
        <v>1879</v>
      </c>
      <c r="G816">
        <v>3</v>
      </c>
    </row>
    <row r="817" spans="1:7" x14ac:dyDescent="0.25">
      <c r="A817" t="s">
        <v>1813</v>
      </c>
      <c r="B817">
        <v>12</v>
      </c>
      <c r="C817">
        <v>2</v>
      </c>
      <c r="D817">
        <v>131</v>
      </c>
      <c r="F817" t="s">
        <v>1880</v>
      </c>
      <c r="G817">
        <v>23</v>
      </c>
    </row>
    <row r="818" spans="1:7" x14ac:dyDescent="0.25">
      <c r="A818" t="s">
        <v>1814</v>
      </c>
      <c r="B818">
        <v>40</v>
      </c>
      <c r="C818">
        <v>2</v>
      </c>
      <c r="D818">
        <v>94</v>
      </c>
      <c r="F818" t="s">
        <v>1881</v>
      </c>
      <c r="G818">
        <v>11</v>
      </c>
    </row>
    <row r="819" spans="1:7" x14ac:dyDescent="0.25">
      <c r="A819" t="s">
        <v>1815</v>
      </c>
      <c r="B819">
        <v>12</v>
      </c>
      <c r="C819">
        <v>0</v>
      </c>
      <c r="D819">
        <v>66</v>
      </c>
      <c r="F819" t="s">
        <v>1882</v>
      </c>
      <c r="G819">
        <v>18</v>
      </c>
    </row>
    <row r="820" spans="1:7" x14ac:dyDescent="0.25">
      <c r="A820" t="s">
        <v>1816</v>
      </c>
      <c r="B820">
        <v>21</v>
      </c>
      <c r="C820">
        <v>0</v>
      </c>
      <c r="D820">
        <v>79</v>
      </c>
      <c r="F820" t="s">
        <v>1883</v>
      </c>
      <c r="G820">
        <v>10</v>
      </c>
    </row>
    <row r="821" spans="1:7" x14ac:dyDescent="0.25">
      <c r="A821" t="s">
        <v>2057</v>
      </c>
      <c r="B821">
        <v>0</v>
      </c>
      <c r="C821">
        <v>0</v>
      </c>
      <c r="D821">
        <v>2</v>
      </c>
      <c r="F821" t="s">
        <v>1884</v>
      </c>
      <c r="G821">
        <v>6</v>
      </c>
    </row>
    <row r="822" spans="1:7" x14ac:dyDescent="0.25">
      <c r="A822" t="s">
        <v>1817</v>
      </c>
      <c r="B822">
        <v>23</v>
      </c>
      <c r="C822">
        <v>3</v>
      </c>
      <c r="D822">
        <v>66</v>
      </c>
      <c r="F822" t="s">
        <v>1885</v>
      </c>
      <c r="G822">
        <v>26</v>
      </c>
    </row>
    <row r="823" spans="1:7" x14ac:dyDescent="0.25">
      <c r="A823" t="s">
        <v>1818</v>
      </c>
      <c r="B823">
        <v>27</v>
      </c>
      <c r="C823">
        <v>3</v>
      </c>
      <c r="D823">
        <v>67</v>
      </c>
      <c r="F823" t="s">
        <v>1886</v>
      </c>
      <c r="G823">
        <v>19</v>
      </c>
    </row>
    <row r="824" spans="1:7" x14ac:dyDescent="0.25">
      <c r="A824" t="s">
        <v>1819</v>
      </c>
      <c r="B824">
        <v>11</v>
      </c>
      <c r="C824">
        <v>4</v>
      </c>
      <c r="D824">
        <v>57</v>
      </c>
      <c r="F824" t="s">
        <v>1887</v>
      </c>
      <c r="G824">
        <v>12</v>
      </c>
    </row>
    <row r="825" spans="1:7" x14ac:dyDescent="0.25">
      <c r="A825" t="s">
        <v>1820</v>
      </c>
      <c r="B825">
        <v>21</v>
      </c>
      <c r="C825">
        <v>2</v>
      </c>
      <c r="D825">
        <v>50</v>
      </c>
      <c r="F825" t="s">
        <v>1888</v>
      </c>
      <c r="G825">
        <v>13</v>
      </c>
    </row>
    <row r="826" spans="1:7" x14ac:dyDescent="0.25">
      <c r="A826" t="s">
        <v>1821</v>
      </c>
      <c r="B826">
        <v>44</v>
      </c>
      <c r="C826">
        <v>1</v>
      </c>
      <c r="D826">
        <v>77</v>
      </c>
      <c r="F826" t="s">
        <v>1889</v>
      </c>
      <c r="G826">
        <v>33</v>
      </c>
    </row>
    <row r="827" spans="1:7" x14ac:dyDescent="0.25">
      <c r="A827" t="s">
        <v>1822</v>
      </c>
      <c r="B827">
        <v>32</v>
      </c>
      <c r="C827">
        <v>0</v>
      </c>
      <c r="D827">
        <v>47</v>
      </c>
      <c r="F827" t="s">
        <v>1890</v>
      </c>
      <c r="G827">
        <v>19</v>
      </c>
    </row>
    <row r="828" spans="1:7" x14ac:dyDescent="0.25">
      <c r="A828" t="s">
        <v>1823</v>
      </c>
      <c r="B828">
        <v>30</v>
      </c>
      <c r="C828">
        <v>0</v>
      </c>
      <c r="D828">
        <v>49</v>
      </c>
      <c r="F828" t="s">
        <v>1891</v>
      </c>
      <c r="G828">
        <v>8</v>
      </c>
    </row>
    <row r="829" spans="1:7" x14ac:dyDescent="0.25">
      <c r="A829" t="s">
        <v>1824</v>
      </c>
      <c r="B829">
        <v>42</v>
      </c>
      <c r="C829">
        <v>0</v>
      </c>
      <c r="D829">
        <v>65</v>
      </c>
      <c r="F829" t="s">
        <v>1892</v>
      </c>
      <c r="G829">
        <v>9</v>
      </c>
    </row>
    <row r="830" spans="1:7" x14ac:dyDescent="0.25">
      <c r="A830" t="s">
        <v>1825</v>
      </c>
      <c r="B830">
        <v>6</v>
      </c>
      <c r="C830">
        <v>2</v>
      </c>
      <c r="D830">
        <v>59</v>
      </c>
      <c r="F830" t="s">
        <v>1893</v>
      </c>
      <c r="G830">
        <v>14</v>
      </c>
    </row>
    <row r="831" spans="1:7" x14ac:dyDescent="0.25">
      <c r="A831" t="s">
        <v>1826</v>
      </c>
      <c r="B831">
        <v>15</v>
      </c>
      <c r="C831">
        <v>3</v>
      </c>
      <c r="D831">
        <v>74</v>
      </c>
      <c r="F831" t="s">
        <v>1894</v>
      </c>
      <c r="G831">
        <v>3</v>
      </c>
    </row>
    <row r="832" spans="1:7" x14ac:dyDescent="0.25">
      <c r="A832" t="s">
        <v>1827</v>
      </c>
      <c r="B832">
        <v>4</v>
      </c>
      <c r="C832">
        <v>0</v>
      </c>
      <c r="D832">
        <v>40</v>
      </c>
      <c r="F832" t="s">
        <v>1895</v>
      </c>
      <c r="G832">
        <v>12</v>
      </c>
    </row>
    <row r="833" spans="1:7" x14ac:dyDescent="0.25">
      <c r="A833" t="s">
        <v>1828</v>
      </c>
      <c r="B833">
        <v>4</v>
      </c>
      <c r="C833">
        <v>0</v>
      </c>
      <c r="D833">
        <v>38</v>
      </c>
      <c r="F833" t="s">
        <v>1896</v>
      </c>
      <c r="G833">
        <v>30</v>
      </c>
    </row>
    <row r="834" spans="1:7" x14ac:dyDescent="0.25">
      <c r="A834" t="s">
        <v>1829</v>
      </c>
      <c r="B834">
        <v>6</v>
      </c>
      <c r="C834">
        <v>0</v>
      </c>
      <c r="D834">
        <v>85</v>
      </c>
      <c r="F834" t="s">
        <v>1897</v>
      </c>
      <c r="G834">
        <v>8</v>
      </c>
    </row>
    <row r="835" spans="1:7" x14ac:dyDescent="0.25">
      <c r="A835" t="s">
        <v>1830</v>
      </c>
      <c r="B835">
        <v>19</v>
      </c>
      <c r="C835">
        <v>0</v>
      </c>
      <c r="D835">
        <v>58</v>
      </c>
      <c r="F835" t="s">
        <v>1898</v>
      </c>
      <c r="G835">
        <v>8</v>
      </c>
    </row>
    <row r="836" spans="1:7" x14ac:dyDescent="0.25">
      <c r="A836" t="s">
        <v>1831</v>
      </c>
      <c r="B836">
        <v>14</v>
      </c>
      <c r="C836">
        <v>2</v>
      </c>
      <c r="D836">
        <v>49</v>
      </c>
      <c r="F836" t="s">
        <v>1899</v>
      </c>
      <c r="G836">
        <v>10</v>
      </c>
    </row>
    <row r="837" spans="1:7" x14ac:dyDescent="0.25">
      <c r="A837" t="s">
        <v>1832</v>
      </c>
      <c r="B837">
        <v>24</v>
      </c>
      <c r="C837">
        <v>0</v>
      </c>
      <c r="D837">
        <v>77</v>
      </c>
      <c r="F837" t="s">
        <v>1900</v>
      </c>
      <c r="G837">
        <v>42</v>
      </c>
    </row>
    <row r="838" spans="1:7" x14ac:dyDescent="0.25">
      <c r="A838" t="s">
        <v>1833</v>
      </c>
      <c r="B838">
        <v>43</v>
      </c>
      <c r="C838">
        <v>3</v>
      </c>
      <c r="D838">
        <v>118</v>
      </c>
      <c r="F838" t="s">
        <v>1901</v>
      </c>
      <c r="G838">
        <v>4</v>
      </c>
    </row>
    <row r="839" spans="1:7" x14ac:dyDescent="0.25">
      <c r="A839" t="s">
        <v>1834</v>
      </c>
      <c r="B839">
        <v>41</v>
      </c>
      <c r="C839">
        <v>1</v>
      </c>
      <c r="D839">
        <v>162</v>
      </c>
      <c r="F839" t="s">
        <v>1902</v>
      </c>
      <c r="G839">
        <v>7</v>
      </c>
    </row>
    <row r="840" spans="1:7" x14ac:dyDescent="0.25">
      <c r="A840" t="s">
        <v>1835</v>
      </c>
      <c r="B840">
        <v>24</v>
      </c>
      <c r="C840">
        <v>1</v>
      </c>
      <c r="D840">
        <v>73</v>
      </c>
      <c r="F840" t="s">
        <v>1903</v>
      </c>
      <c r="G840">
        <v>16</v>
      </c>
    </row>
    <row r="841" spans="1:7" x14ac:dyDescent="0.25">
      <c r="A841" t="s">
        <v>1836</v>
      </c>
      <c r="B841">
        <v>62</v>
      </c>
      <c r="C841">
        <v>1</v>
      </c>
      <c r="D841">
        <v>196</v>
      </c>
      <c r="F841" t="s">
        <v>1904</v>
      </c>
      <c r="G841">
        <v>7</v>
      </c>
    </row>
    <row r="842" spans="1:7" x14ac:dyDescent="0.25">
      <c r="A842" t="s">
        <v>1837</v>
      </c>
      <c r="B842">
        <v>52</v>
      </c>
      <c r="C842">
        <v>0</v>
      </c>
      <c r="D842">
        <v>128</v>
      </c>
      <c r="F842" t="s">
        <v>1905</v>
      </c>
      <c r="G842">
        <v>16</v>
      </c>
    </row>
    <row r="843" spans="1:7" x14ac:dyDescent="0.25">
      <c r="A843" t="s">
        <v>1838</v>
      </c>
      <c r="B843">
        <v>15</v>
      </c>
      <c r="C843">
        <v>1</v>
      </c>
      <c r="D843">
        <v>77</v>
      </c>
      <c r="F843" t="s">
        <v>1906</v>
      </c>
      <c r="G843">
        <v>7</v>
      </c>
    </row>
    <row r="844" spans="1:7" x14ac:dyDescent="0.25">
      <c r="A844" t="s">
        <v>1839</v>
      </c>
      <c r="B844">
        <v>35</v>
      </c>
      <c r="C844">
        <v>3</v>
      </c>
      <c r="D844">
        <v>101</v>
      </c>
      <c r="F844" t="s">
        <v>1907</v>
      </c>
      <c r="G844">
        <v>9</v>
      </c>
    </row>
    <row r="845" spans="1:7" x14ac:dyDescent="0.25">
      <c r="A845" t="s">
        <v>1840</v>
      </c>
      <c r="B845">
        <v>16</v>
      </c>
      <c r="C845">
        <v>0</v>
      </c>
      <c r="D845">
        <v>65</v>
      </c>
      <c r="F845" t="s">
        <v>1908</v>
      </c>
      <c r="G845">
        <v>11</v>
      </c>
    </row>
    <row r="846" spans="1:7" x14ac:dyDescent="0.25">
      <c r="A846" t="s">
        <v>1841</v>
      </c>
      <c r="B846">
        <v>25</v>
      </c>
      <c r="C846">
        <v>1</v>
      </c>
      <c r="D846">
        <v>128</v>
      </c>
      <c r="F846" t="s">
        <v>1909</v>
      </c>
      <c r="G846">
        <v>3</v>
      </c>
    </row>
    <row r="847" spans="1:7" x14ac:dyDescent="0.25">
      <c r="A847" t="s">
        <v>1842</v>
      </c>
      <c r="B847">
        <v>24</v>
      </c>
      <c r="C847">
        <v>2</v>
      </c>
      <c r="D847">
        <v>82</v>
      </c>
      <c r="F847" t="s">
        <v>1910</v>
      </c>
      <c r="G847">
        <v>7</v>
      </c>
    </row>
    <row r="848" spans="1:7" x14ac:dyDescent="0.25">
      <c r="A848" t="s">
        <v>1843</v>
      </c>
      <c r="B848">
        <v>40</v>
      </c>
      <c r="C848">
        <v>1</v>
      </c>
      <c r="D848">
        <v>146</v>
      </c>
      <c r="F848" t="s">
        <v>1911</v>
      </c>
      <c r="G848">
        <v>3</v>
      </c>
    </row>
    <row r="849" spans="1:7" x14ac:dyDescent="0.25">
      <c r="A849" t="s">
        <v>1844</v>
      </c>
      <c r="B849">
        <v>20</v>
      </c>
      <c r="C849">
        <v>3</v>
      </c>
      <c r="D849">
        <v>59</v>
      </c>
      <c r="F849" t="s">
        <v>1912</v>
      </c>
      <c r="G849">
        <v>2</v>
      </c>
    </row>
    <row r="850" spans="1:7" x14ac:dyDescent="0.25">
      <c r="A850" t="s">
        <v>1845</v>
      </c>
      <c r="B850">
        <v>20</v>
      </c>
      <c r="C850">
        <v>0</v>
      </c>
      <c r="D850">
        <v>62</v>
      </c>
      <c r="F850" t="s">
        <v>1914</v>
      </c>
      <c r="G850">
        <v>1</v>
      </c>
    </row>
    <row r="851" spans="1:7" x14ac:dyDescent="0.25">
      <c r="A851" t="s">
        <v>1846</v>
      </c>
      <c r="B851">
        <v>14</v>
      </c>
      <c r="C851">
        <v>0</v>
      </c>
      <c r="D851">
        <v>66</v>
      </c>
      <c r="F851" t="s">
        <v>1915</v>
      </c>
      <c r="G851">
        <v>4</v>
      </c>
    </row>
    <row r="852" spans="1:7" x14ac:dyDescent="0.25">
      <c r="A852" t="s">
        <v>1847</v>
      </c>
      <c r="B852">
        <v>11</v>
      </c>
      <c r="C852">
        <v>1</v>
      </c>
      <c r="D852">
        <v>34</v>
      </c>
      <c r="F852" t="s">
        <v>1916</v>
      </c>
      <c r="G852">
        <v>4</v>
      </c>
    </row>
    <row r="853" spans="1:7" x14ac:dyDescent="0.25">
      <c r="A853" t="s">
        <v>1848</v>
      </c>
      <c r="B853">
        <v>11</v>
      </c>
      <c r="C853">
        <v>0</v>
      </c>
      <c r="D853">
        <v>48</v>
      </c>
      <c r="F853" t="s">
        <v>1917</v>
      </c>
      <c r="G853">
        <v>1</v>
      </c>
    </row>
    <row r="854" spans="1:7" x14ac:dyDescent="0.25">
      <c r="A854" t="s">
        <v>1849</v>
      </c>
      <c r="B854">
        <v>9</v>
      </c>
      <c r="C854">
        <v>0</v>
      </c>
      <c r="D854">
        <v>46</v>
      </c>
      <c r="F854" t="s">
        <v>1918</v>
      </c>
      <c r="G854">
        <v>2</v>
      </c>
    </row>
    <row r="855" spans="1:7" x14ac:dyDescent="0.25">
      <c r="A855" t="s">
        <v>1850</v>
      </c>
      <c r="B855">
        <v>12</v>
      </c>
      <c r="C855">
        <v>0</v>
      </c>
      <c r="D855">
        <v>48</v>
      </c>
      <c r="F855" t="s">
        <v>1919</v>
      </c>
      <c r="G855">
        <v>4</v>
      </c>
    </row>
    <row r="856" spans="1:7" x14ac:dyDescent="0.25">
      <c r="A856" t="s">
        <v>1851</v>
      </c>
      <c r="B856">
        <v>32</v>
      </c>
      <c r="C856">
        <v>1</v>
      </c>
      <c r="D856">
        <v>138</v>
      </c>
      <c r="F856" t="s">
        <v>1920</v>
      </c>
      <c r="G856">
        <v>4</v>
      </c>
    </row>
    <row r="857" spans="1:7" x14ac:dyDescent="0.25">
      <c r="A857" t="s">
        <v>1852</v>
      </c>
      <c r="B857">
        <v>23</v>
      </c>
      <c r="C857">
        <v>1</v>
      </c>
      <c r="D857">
        <v>76</v>
      </c>
      <c r="F857" t="s">
        <v>1921</v>
      </c>
      <c r="G857">
        <v>6</v>
      </c>
    </row>
    <row r="858" spans="1:7" x14ac:dyDescent="0.25">
      <c r="A858" t="s">
        <v>1853</v>
      </c>
      <c r="B858">
        <v>11</v>
      </c>
      <c r="C858">
        <v>1</v>
      </c>
      <c r="D858">
        <v>54</v>
      </c>
      <c r="F858" t="s">
        <v>1922</v>
      </c>
      <c r="G858">
        <v>5</v>
      </c>
    </row>
    <row r="859" spans="1:7" x14ac:dyDescent="0.25">
      <c r="A859" t="s">
        <v>1854</v>
      </c>
      <c r="B859">
        <v>18</v>
      </c>
      <c r="C859">
        <v>0</v>
      </c>
      <c r="D859">
        <v>59</v>
      </c>
      <c r="F859" t="s">
        <v>1923</v>
      </c>
      <c r="G859">
        <v>3</v>
      </c>
    </row>
    <row r="860" spans="1:7" x14ac:dyDescent="0.25">
      <c r="A860" t="s">
        <v>1855</v>
      </c>
      <c r="B860">
        <v>13</v>
      </c>
      <c r="C860">
        <v>1</v>
      </c>
      <c r="D860">
        <v>58</v>
      </c>
      <c r="F860" t="s">
        <v>1924</v>
      </c>
      <c r="G860">
        <v>5</v>
      </c>
    </row>
    <row r="861" spans="1:7" x14ac:dyDescent="0.25">
      <c r="A861" t="s">
        <v>1856</v>
      </c>
      <c r="B861">
        <v>24</v>
      </c>
      <c r="C861">
        <v>0</v>
      </c>
      <c r="D861">
        <v>72</v>
      </c>
      <c r="F861" t="s">
        <v>1925</v>
      </c>
      <c r="G861">
        <v>5</v>
      </c>
    </row>
    <row r="862" spans="1:7" x14ac:dyDescent="0.25">
      <c r="A862" t="s">
        <v>1857</v>
      </c>
      <c r="B862">
        <v>35</v>
      </c>
      <c r="C862">
        <v>0</v>
      </c>
      <c r="D862">
        <v>138</v>
      </c>
      <c r="F862" t="s">
        <v>1926</v>
      </c>
      <c r="G862">
        <v>12</v>
      </c>
    </row>
    <row r="863" spans="1:7" x14ac:dyDescent="0.25">
      <c r="A863" t="s">
        <v>1858</v>
      </c>
      <c r="B863">
        <v>14</v>
      </c>
      <c r="C863">
        <v>4</v>
      </c>
      <c r="D863">
        <v>51</v>
      </c>
      <c r="F863" t="s">
        <v>1927</v>
      </c>
      <c r="G863">
        <v>38</v>
      </c>
    </row>
    <row r="864" spans="1:7" x14ac:dyDescent="0.25">
      <c r="A864" t="s">
        <v>1859</v>
      </c>
      <c r="B864">
        <v>28</v>
      </c>
      <c r="C864">
        <v>1</v>
      </c>
      <c r="D864">
        <v>52</v>
      </c>
      <c r="F864" t="s">
        <v>1928</v>
      </c>
      <c r="G864">
        <v>9</v>
      </c>
    </row>
    <row r="865" spans="1:7" x14ac:dyDescent="0.25">
      <c r="A865" t="s">
        <v>1860</v>
      </c>
      <c r="B865">
        <v>46</v>
      </c>
      <c r="C865">
        <v>1</v>
      </c>
      <c r="D865">
        <v>166</v>
      </c>
      <c r="F865" t="s">
        <v>1929</v>
      </c>
      <c r="G865">
        <v>5</v>
      </c>
    </row>
    <row r="866" spans="1:7" x14ac:dyDescent="0.25">
      <c r="A866" t="s">
        <v>1861</v>
      </c>
      <c r="B866">
        <v>34</v>
      </c>
      <c r="C866">
        <v>1</v>
      </c>
      <c r="D866">
        <v>61</v>
      </c>
      <c r="F866" t="s">
        <v>1930</v>
      </c>
      <c r="G866">
        <v>8</v>
      </c>
    </row>
    <row r="867" spans="1:7" x14ac:dyDescent="0.25">
      <c r="A867" t="s">
        <v>1863</v>
      </c>
      <c r="B867">
        <v>12</v>
      </c>
      <c r="C867">
        <v>1</v>
      </c>
      <c r="D867">
        <v>32</v>
      </c>
      <c r="F867" t="s">
        <v>1931</v>
      </c>
      <c r="G867">
        <v>11</v>
      </c>
    </row>
    <row r="868" spans="1:7" x14ac:dyDescent="0.25">
      <c r="A868" t="s">
        <v>1864</v>
      </c>
      <c r="B868">
        <v>20</v>
      </c>
      <c r="C868">
        <v>0</v>
      </c>
      <c r="D868">
        <v>48</v>
      </c>
      <c r="F868" t="s">
        <v>1933</v>
      </c>
      <c r="G868">
        <v>4</v>
      </c>
    </row>
    <row r="869" spans="1:7" x14ac:dyDescent="0.25">
      <c r="A869" t="s">
        <v>1865</v>
      </c>
      <c r="B869">
        <v>14</v>
      </c>
      <c r="C869">
        <v>0</v>
      </c>
      <c r="D869">
        <v>52</v>
      </c>
      <c r="F869" t="s">
        <v>1934</v>
      </c>
      <c r="G869">
        <v>1</v>
      </c>
    </row>
    <row r="870" spans="1:7" x14ac:dyDescent="0.25">
      <c r="A870" t="s">
        <v>1866</v>
      </c>
      <c r="B870">
        <v>29</v>
      </c>
      <c r="C870">
        <v>1</v>
      </c>
      <c r="D870">
        <v>85</v>
      </c>
      <c r="F870" t="s">
        <v>1936</v>
      </c>
      <c r="G870">
        <v>1</v>
      </c>
    </row>
    <row r="871" spans="1:7" x14ac:dyDescent="0.25">
      <c r="A871" t="s">
        <v>1867</v>
      </c>
      <c r="B871">
        <v>19</v>
      </c>
      <c r="C871">
        <v>1</v>
      </c>
      <c r="D871">
        <v>87</v>
      </c>
      <c r="F871" t="s">
        <v>1937</v>
      </c>
      <c r="G871">
        <v>6</v>
      </c>
    </row>
    <row r="872" spans="1:7" x14ac:dyDescent="0.25">
      <c r="A872" t="s">
        <v>1868</v>
      </c>
      <c r="B872">
        <v>15</v>
      </c>
      <c r="C872">
        <v>0</v>
      </c>
      <c r="D872">
        <v>44</v>
      </c>
      <c r="F872" t="s">
        <v>1938</v>
      </c>
      <c r="G872">
        <v>5</v>
      </c>
    </row>
    <row r="873" spans="1:7" x14ac:dyDescent="0.25">
      <c r="A873" t="s">
        <v>1869</v>
      </c>
      <c r="B873">
        <v>14</v>
      </c>
      <c r="C873">
        <v>0</v>
      </c>
      <c r="D873">
        <v>50</v>
      </c>
      <c r="F873" t="s">
        <v>1939</v>
      </c>
      <c r="G873">
        <v>6</v>
      </c>
    </row>
    <row r="874" spans="1:7" x14ac:dyDescent="0.25">
      <c r="A874" t="s">
        <v>1870</v>
      </c>
      <c r="B874">
        <v>28</v>
      </c>
      <c r="C874">
        <v>2</v>
      </c>
      <c r="D874">
        <v>101</v>
      </c>
      <c r="F874" t="s">
        <v>1940</v>
      </c>
      <c r="G874">
        <v>15</v>
      </c>
    </row>
    <row r="875" spans="1:7" x14ac:dyDescent="0.25">
      <c r="A875" t="s">
        <v>1871</v>
      </c>
      <c r="B875">
        <v>22</v>
      </c>
      <c r="C875">
        <v>0</v>
      </c>
      <c r="D875">
        <v>59</v>
      </c>
      <c r="F875" t="s">
        <v>1941</v>
      </c>
      <c r="G875">
        <v>2</v>
      </c>
    </row>
    <row r="876" spans="1:7" x14ac:dyDescent="0.25">
      <c r="A876" t="s">
        <v>1872</v>
      </c>
      <c r="B876">
        <v>14</v>
      </c>
      <c r="C876">
        <v>1</v>
      </c>
      <c r="D876">
        <v>38</v>
      </c>
      <c r="F876" t="s">
        <v>1942</v>
      </c>
      <c r="G876">
        <v>10</v>
      </c>
    </row>
    <row r="877" spans="1:7" x14ac:dyDescent="0.25">
      <c r="A877" t="s">
        <v>1873</v>
      </c>
      <c r="B877">
        <v>7</v>
      </c>
      <c r="C877">
        <v>0</v>
      </c>
      <c r="D877">
        <v>18</v>
      </c>
      <c r="F877" t="s">
        <v>1943</v>
      </c>
      <c r="G877">
        <v>1</v>
      </c>
    </row>
    <row r="878" spans="1:7" x14ac:dyDescent="0.25">
      <c r="A878" t="s">
        <v>1874</v>
      </c>
      <c r="B878">
        <v>25</v>
      </c>
      <c r="C878">
        <v>0</v>
      </c>
      <c r="D878">
        <v>57</v>
      </c>
      <c r="F878" t="s">
        <v>1944</v>
      </c>
      <c r="G878">
        <v>2</v>
      </c>
    </row>
    <row r="879" spans="1:7" x14ac:dyDescent="0.25">
      <c r="A879" t="s">
        <v>1875</v>
      </c>
      <c r="B879">
        <v>24</v>
      </c>
      <c r="C879">
        <v>2</v>
      </c>
      <c r="D879">
        <v>102</v>
      </c>
      <c r="F879" t="s">
        <v>1945</v>
      </c>
      <c r="G879">
        <v>5</v>
      </c>
    </row>
    <row r="880" spans="1:7" x14ac:dyDescent="0.25">
      <c r="A880" t="s">
        <v>1876</v>
      </c>
      <c r="B880">
        <v>16</v>
      </c>
      <c r="C880">
        <v>2</v>
      </c>
      <c r="D880">
        <v>70</v>
      </c>
      <c r="F880" t="s">
        <v>1946</v>
      </c>
      <c r="G880">
        <v>6</v>
      </c>
    </row>
    <row r="881" spans="1:7" x14ac:dyDescent="0.25">
      <c r="A881" t="s">
        <v>1877</v>
      </c>
      <c r="B881">
        <v>14</v>
      </c>
      <c r="C881">
        <v>3</v>
      </c>
      <c r="D881">
        <v>83</v>
      </c>
      <c r="F881" t="s">
        <v>1947</v>
      </c>
      <c r="G881">
        <v>8</v>
      </c>
    </row>
    <row r="882" spans="1:7" x14ac:dyDescent="0.25">
      <c r="A882" t="s">
        <v>1878</v>
      </c>
      <c r="B882">
        <v>16</v>
      </c>
      <c r="C882">
        <v>1</v>
      </c>
      <c r="D882">
        <v>76</v>
      </c>
      <c r="F882" t="s">
        <v>1948</v>
      </c>
      <c r="G882">
        <v>3</v>
      </c>
    </row>
    <row r="883" spans="1:7" x14ac:dyDescent="0.25">
      <c r="A883" t="s">
        <v>1879</v>
      </c>
      <c r="B883">
        <v>13</v>
      </c>
      <c r="C883">
        <v>0</v>
      </c>
      <c r="D883">
        <v>60</v>
      </c>
      <c r="F883" t="s">
        <v>1949</v>
      </c>
      <c r="G883">
        <v>1</v>
      </c>
    </row>
    <row r="884" spans="1:7" x14ac:dyDescent="0.25">
      <c r="A884" t="s">
        <v>1880</v>
      </c>
      <c r="B884">
        <v>31</v>
      </c>
      <c r="C884">
        <v>0</v>
      </c>
      <c r="D884">
        <v>155</v>
      </c>
      <c r="F884" t="s">
        <v>1951</v>
      </c>
      <c r="G884">
        <v>3</v>
      </c>
    </row>
    <row r="885" spans="1:7" x14ac:dyDescent="0.25">
      <c r="A885" t="s">
        <v>1881</v>
      </c>
      <c r="B885">
        <v>60</v>
      </c>
      <c r="C885">
        <v>1</v>
      </c>
      <c r="D885">
        <v>228</v>
      </c>
      <c r="F885" t="s">
        <v>1952</v>
      </c>
      <c r="G885">
        <v>8</v>
      </c>
    </row>
    <row r="886" spans="1:7" x14ac:dyDescent="0.25">
      <c r="A886" t="s">
        <v>1882</v>
      </c>
      <c r="B886">
        <v>7</v>
      </c>
      <c r="C886">
        <v>0</v>
      </c>
      <c r="D886">
        <v>97</v>
      </c>
      <c r="F886" t="s">
        <v>1953</v>
      </c>
      <c r="G886">
        <v>1</v>
      </c>
    </row>
    <row r="887" spans="1:7" x14ac:dyDescent="0.25">
      <c r="A887" t="s">
        <v>1883</v>
      </c>
      <c r="B887">
        <v>39</v>
      </c>
      <c r="C887">
        <v>5</v>
      </c>
      <c r="D887">
        <v>143</v>
      </c>
      <c r="F887" t="s">
        <v>1955</v>
      </c>
      <c r="G887">
        <v>15</v>
      </c>
    </row>
    <row r="888" spans="1:7" x14ac:dyDescent="0.25">
      <c r="A888" t="s">
        <v>1884</v>
      </c>
      <c r="B888">
        <v>38</v>
      </c>
      <c r="C888">
        <v>16</v>
      </c>
      <c r="D888">
        <v>178</v>
      </c>
      <c r="F888" t="s">
        <v>1956</v>
      </c>
      <c r="G888">
        <v>32</v>
      </c>
    </row>
    <row r="889" spans="1:7" x14ac:dyDescent="0.25">
      <c r="A889" t="s">
        <v>1885</v>
      </c>
      <c r="B889">
        <v>39</v>
      </c>
      <c r="C889">
        <v>5</v>
      </c>
      <c r="D889">
        <v>180</v>
      </c>
      <c r="F889" t="s">
        <v>1957</v>
      </c>
      <c r="G889">
        <v>12</v>
      </c>
    </row>
    <row r="890" spans="1:7" x14ac:dyDescent="0.25">
      <c r="A890" t="s">
        <v>1886</v>
      </c>
      <c r="B890">
        <v>67</v>
      </c>
      <c r="C890">
        <v>3</v>
      </c>
      <c r="D890">
        <v>243</v>
      </c>
      <c r="F890" t="s">
        <v>1958</v>
      </c>
      <c r="G890">
        <v>4</v>
      </c>
    </row>
    <row r="891" spans="1:7" x14ac:dyDescent="0.25">
      <c r="A891" t="s">
        <v>1887</v>
      </c>
      <c r="B891">
        <v>45</v>
      </c>
      <c r="C891">
        <v>3</v>
      </c>
      <c r="D891">
        <v>130</v>
      </c>
      <c r="F891" t="s">
        <v>1959</v>
      </c>
      <c r="G891">
        <v>12</v>
      </c>
    </row>
    <row r="892" spans="1:7" x14ac:dyDescent="0.25">
      <c r="A892" t="s">
        <v>1888</v>
      </c>
      <c r="B892">
        <v>19</v>
      </c>
      <c r="C892">
        <v>23</v>
      </c>
      <c r="D892">
        <v>91</v>
      </c>
      <c r="F892" t="s">
        <v>1960</v>
      </c>
      <c r="G892">
        <v>29</v>
      </c>
    </row>
    <row r="893" spans="1:7" x14ac:dyDescent="0.25">
      <c r="A893" t="s">
        <v>1889</v>
      </c>
      <c r="B893">
        <v>47</v>
      </c>
      <c r="C893">
        <v>16</v>
      </c>
      <c r="D893">
        <v>218</v>
      </c>
      <c r="F893" t="s">
        <v>1961</v>
      </c>
      <c r="G893">
        <v>19</v>
      </c>
    </row>
    <row r="894" spans="1:7" x14ac:dyDescent="0.25">
      <c r="A894" t="s">
        <v>1890</v>
      </c>
      <c r="B894">
        <v>81</v>
      </c>
      <c r="C894">
        <v>9</v>
      </c>
      <c r="D894">
        <v>199</v>
      </c>
      <c r="F894" t="s">
        <v>1962</v>
      </c>
      <c r="G894">
        <v>6</v>
      </c>
    </row>
    <row r="895" spans="1:7" x14ac:dyDescent="0.25">
      <c r="A895" t="s">
        <v>1891</v>
      </c>
      <c r="B895">
        <v>72</v>
      </c>
      <c r="C895">
        <v>1</v>
      </c>
      <c r="D895">
        <v>113</v>
      </c>
      <c r="F895" t="s">
        <v>1963</v>
      </c>
      <c r="G895">
        <v>23</v>
      </c>
    </row>
    <row r="896" spans="1:7" x14ac:dyDescent="0.25">
      <c r="A896" t="s">
        <v>1892</v>
      </c>
      <c r="B896">
        <v>71</v>
      </c>
      <c r="C896">
        <v>6</v>
      </c>
      <c r="D896">
        <v>209</v>
      </c>
      <c r="F896" t="s">
        <v>1964</v>
      </c>
      <c r="G896">
        <v>30</v>
      </c>
    </row>
    <row r="897" spans="1:7" x14ac:dyDescent="0.25">
      <c r="A897" t="s">
        <v>1893</v>
      </c>
      <c r="B897">
        <v>75</v>
      </c>
      <c r="C897">
        <v>1</v>
      </c>
      <c r="D897">
        <v>161</v>
      </c>
      <c r="F897" t="s">
        <v>1965</v>
      </c>
      <c r="G897">
        <v>14</v>
      </c>
    </row>
    <row r="898" spans="1:7" x14ac:dyDescent="0.25">
      <c r="A898" t="s">
        <v>1894</v>
      </c>
      <c r="B898">
        <v>56</v>
      </c>
      <c r="C898">
        <v>0</v>
      </c>
      <c r="D898">
        <v>112</v>
      </c>
      <c r="F898" t="s">
        <v>1966</v>
      </c>
      <c r="G898">
        <v>39</v>
      </c>
    </row>
    <row r="899" spans="1:7" x14ac:dyDescent="0.25">
      <c r="A899" t="s">
        <v>1895</v>
      </c>
      <c r="B899">
        <v>70</v>
      </c>
      <c r="C899">
        <v>1</v>
      </c>
      <c r="D899">
        <v>163</v>
      </c>
      <c r="F899" t="s">
        <v>1967</v>
      </c>
      <c r="G899">
        <v>56</v>
      </c>
    </row>
    <row r="900" spans="1:7" x14ac:dyDescent="0.25">
      <c r="A900" t="s">
        <v>1896</v>
      </c>
      <c r="B900">
        <v>64</v>
      </c>
      <c r="C900">
        <v>1</v>
      </c>
      <c r="D900">
        <v>213</v>
      </c>
      <c r="F900" t="s">
        <v>1968</v>
      </c>
      <c r="G900">
        <v>35</v>
      </c>
    </row>
    <row r="901" spans="1:7" x14ac:dyDescent="0.25">
      <c r="A901" t="s">
        <v>1897</v>
      </c>
      <c r="B901">
        <v>25</v>
      </c>
      <c r="C901">
        <v>2</v>
      </c>
      <c r="D901">
        <v>101</v>
      </c>
      <c r="F901" t="s">
        <v>1969</v>
      </c>
      <c r="G901">
        <v>31</v>
      </c>
    </row>
    <row r="902" spans="1:7" x14ac:dyDescent="0.25">
      <c r="A902" t="s">
        <v>1898</v>
      </c>
      <c r="B902">
        <v>39</v>
      </c>
      <c r="C902">
        <v>2</v>
      </c>
      <c r="D902">
        <v>142</v>
      </c>
      <c r="F902" t="s">
        <v>1970</v>
      </c>
      <c r="G902">
        <v>25</v>
      </c>
    </row>
    <row r="903" spans="1:7" x14ac:dyDescent="0.25">
      <c r="A903" t="s">
        <v>1899</v>
      </c>
      <c r="B903">
        <v>37</v>
      </c>
      <c r="C903">
        <v>0</v>
      </c>
      <c r="D903">
        <v>126</v>
      </c>
      <c r="F903" t="s">
        <v>1971</v>
      </c>
      <c r="G903">
        <v>41</v>
      </c>
    </row>
    <row r="904" spans="1:7" x14ac:dyDescent="0.25">
      <c r="A904" t="s">
        <v>1900</v>
      </c>
      <c r="B904">
        <v>60</v>
      </c>
      <c r="C904">
        <v>40</v>
      </c>
      <c r="D904">
        <v>222</v>
      </c>
      <c r="F904" t="s">
        <v>1972</v>
      </c>
      <c r="G904">
        <v>217</v>
      </c>
    </row>
    <row r="905" spans="1:7" x14ac:dyDescent="0.25">
      <c r="A905" t="s">
        <v>1901</v>
      </c>
      <c r="B905">
        <v>49</v>
      </c>
      <c r="C905">
        <v>13</v>
      </c>
      <c r="D905">
        <v>172</v>
      </c>
      <c r="F905" t="s">
        <v>1973</v>
      </c>
      <c r="G905">
        <v>2</v>
      </c>
    </row>
    <row r="906" spans="1:7" x14ac:dyDescent="0.25">
      <c r="A906" t="s">
        <v>1902</v>
      </c>
      <c r="B906">
        <v>55</v>
      </c>
      <c r="C906">
        <v>5</v>
      </c>
      <c r="D906">
        <v>128</v>
      </c>
      <c r="F906" t="s">
        <v>1976</v>
      </c>
      <c r="G906">
        <v>2</v>
      </c>
    </row>
    <row r="907" spans="1:7" x14ac:dyDescent="0.25">
      <c r="A907" t="s">
        <v>1903</v>
      </c>
      <c r="B907">
        <v>21</v>
      </c>
      <c r="C907">
        <v>9</v>
      </c>
      <c r="D907">
        <v>120</v>
      </c>
      <c r="F907" t="s">
        <v>1977</v>
      </c>
      <c r="G907">
        <v>2</v>
      </c>
    </row>
    <row r="908" spans="1:7" x14ac:dyDescent="0.25">
      <c r="A908" t="s">
        <v>1904</v>
      </c>
      <c r="B908">
        <v>44</v>
      </c>
      <c r="C908">
        <v>0</v>
      </c>
      <c r="D908">
        <v>107</v>
      </c>
      <c r="F908" t="s">
        <v>1979</v>
      </c>
      <c r="G908">
        <v>5</v>
      </c>
    </row>
    <row r="909" spans="1:7" x14ac:dyDescent="0.25">
      <c r="A909" t="s">
        <v>1905</v>
      </c>
      <c r="B909">
        <v>70</v>
      </c>
      <c r="C909">
        <v>1</v>
      </c>
      <c r="D909">
        <v>186</v>
      </c>
      <c r="F909" t="s">
        <v>1980</v>
      </c>
      <c r="G909">
        <v>71</v>
      </c>
    </row>
    <row r="910" spans="1:7" x14ac:dyDescent="0.25">
      <c r="A910" t="s">
        <v>1906</v>
      </c>
      <c r="B910">
        <v>36</v>
      </c>
      <c r="C910">
        <v>1</v>
      </c>
      <c r="D910">
        <v>123</v>
      </c>
      <c r="F910" t="s">
        <v>1981</v>
      </c>
      <c r="G910">
        <v>3</v>
      </c>
    </row>
    <row r="911" spans="1:7" x14ac:dyDescent="0.25">
      <c r="A911" t="s">
        <v>1907</v>
      </c>
      <c r="B911">
        <v>44</v>
      </c>
      <c r="C911">
        <v>1</v>
      </c>
      <c r="D911">
        <v>140</v>
      </c>
      <c r="F911" t="s">
        <v>1982</v>
      </c>
      <c r="G911">
        <v>41</v>
      </c>
    </row>
    <row r="912" spans="1:7" x14ac:dyDescent="0.25">
      <c r="A912" t="s">
        <v>1908</v>
      </c>
      <c r="B912">
        <v>38</v>
      </c>
      <c r="C912">
        <v>2</v>
      </c>
      <c r="D912">
        <v>116</v>
      </c>
      <c r="F912" t="s">
        <v>1983</v>
      </c>
      <c r="G912">
        <v>3</v>
      </c>
    </row>
    <row r="913" spans="1:7" x14ac:dyDescent="0.25">
      <c r="A913" t="s">
        <v>1909</v>
      </c>
      <c r="B913">
        <v>36</v>
      </c>
      <c r="C913">
        <v>1</v>
      </c>
      <c r="D913">
        <v>101</v>
      </c>
      <c r="F913" t="s">
        <v>1984</v>
      </c>
      <c r="G913">
        <v>1</v>
      </c>
    </row>
    <row r="914" spans="1:7" x14ac:dyDescent="0.25">
      <c r="A914" t="s">
        <v>1910</v>
      </c>
      <c r="B914">
        <v>21</v>
      </c>
      <c r="C914">
        <v>1</v>
      </c>
      <c r="D914">
        <v>52</v>
      </c>
      <c r="F914" t="s">
        <v>1985</v>
      </c>
      <c r="G914">
        <v>8</v>
      </c>
    </row>
    <row r="915" spans="1:7" x14ac:dyDescent="0.25">
      <c r="A915" t="s">
        <v>1911</v>
      </c>
      <c r="B915">
        <v>33</v>
      </c>
      <c r="C915">
        <v>3</v>
      </c>
      <c r="D915">
        <v>103</v>
      </c>
      <c r="F915" t="s">
        <v>1986</v>
      </c>
      <c r="G915">
        <v>8</v>
      </c>
    </row>
    <row r="916" spans="1:7" x14ac:dyDescent="0.25">
      <c r="A916" t="s">
        <v>1912</v>
      </c>
      <c r="B916">
        <v>9</v>
      </c>
      <c r="C916">
        <v>0</v>
      </c>
      <c r="D916">
        <v>39</v>
      </c>
      <c r="F916" t="s">
        <v>1987</v>
      </c>
      <c r="G916">
        <v>7</v>
      </c>
    </row>
    <row r="917" spans="1:7" x14ac:dyDescent="0.25">
      <c r="A917" t="s">
        <v>1913</v>
      </c>
      <c r="B917">
        <v>52</v>
      </c>
      <c r="C917">
        <v>2</v>
      </c>
      <c r="D917">
        <v>105</v>
      </c>
      <c r="F917" t="s">
        <v>1988</v>
      </c>
      <c r="G917">
        <v>5</v>
      </c>
    </row>
    <row r="918" spans="1:7" x14ac:dyDescent="0.25">
      <c r="A918" t="s">
        <v>1914</v>
      </c>
      <c r="B918">
        <v>32</v>
      </c>
      <c r="C918">
        <v>0</v>
      </c>
      <c r="D918">
        <v>91</v>
      </c>
      <c r="F918" t="s">
        <v>1989</v>
      </c>
      <c r="G918">
        <v>6</v>
      </c>
    </row>
    <row r="919" spans="1:7" x14ac:dyDescent="0.25">
      <c r="A919" t="s">
        <v>1915</v>
      </c>
      <c r="B919">
        <v>48</v>
      </c>
      <c r="C919">
        <v>4</v>
      </c>
      <c r="D919">
        <v>124</v>
      </c>
      <c r="F919" t="s">
        <v>1990</v>
      </c>
      <c r="G919">
        <v>47</v>
      </c>
    </row>
    <row r="920" spans="1:7" x14ac:dyDescent="0.25">
      <c r="A920" t="s">
        <v>1916</v>
      </c>
      <c r="B920">
        <v>33</v>
      </c>
      <c r="C920">
        <v>0</v>
      </c>
      <c r="D920">
        <v>89</v>
      </c>
      <c r="F920" t="s">
        <v>1992</v>
      </c>
      <c r="G920">
        <v>13</v>
      </c>
    </row>
    <row r="921" spans="1:7" x14ac:dyDescent="0.25">
      <c r="A921" t="s">
        <v>1917</v>
      </c>
      <c r="B921">
        <v>18</v>
      </c>
      <c r="C921">
        <v>2</v>
      </c>
      <c r="D921">
        <v>98</v>
      </c>
      <c r="F921" t="s">
        <v>1993</v>
      </c>
      <c r="G921">
        <v>6</v>
      </c>
    </row>
    <row r="922" spans="1:7" x14ac:dyDescent="0.25">
      <c r="A922" t="s">
        <v>1918</v>
      </c>
      <c r="B922">
        <v>48</v>
      </c>
      <c r="C922">
        <v>6</v>
      </c>
      <c r="D922">
        <v>167</v>
      </c>
      <c r="F922" t="s">
        <v>1994</v>
      </c>
      <c r="G922">
        <v>5</v>
      </c>
    </row>
    <row r="923" spans="1:7" x14ac:dyDescent="0.25">
      <c r="A923" t="s">
        <v>1919</v>
      </c>
      <c r="B923">
        <v>32</v>
      </c>
      <c r="C923">
        <v>1</v>
      </c>
      <c r="D923">
        <v>94</v>
      </c>
      <c r="F923" t="s">
        <v>1995</v>
      </c>
      <c r="G923">
        <v>2</v>
      </c>
    </row>
    <row r="924" spans="1:7" x14ac:dyDescent="0.25">
      <c r="A924" t="s">
        <v>1920</v>
      </c>
      <c r="B924">
        <v>40</v>
      </c>
      <c r="C924">
        <v>5</v>
      </c>
      <c r="D924">
        <v>123</v>
      </c>
      <c r="F924" t="s">
        <v>1996</v>
      </c>
      <c r="G924">
        <v>43</v>
      </c>
    </row>
    <row r="925" spans="1:7" x14ac:dyDescent="0.25">
      <c r="A925" t="s">
        <v>1921</v>
      </c>
      <c r="B925">
        <v>41</v>
      </c>
      <c r="C925">
        <v>2</v>
      </c>
      <c r="D925">
        <v>143</v>
      </c>
      <c r="F925" t="s">
        <v>1997</v>
      </c>
      <c r="G925">
        <v>10</v>
      </c>
    </row>
    <row r="926" spans="1:7" x14ac:dyDescent="0.25">
      <c r="A926" t="s">
        <v>1922</v>
      </c>
      <c r="B926">
        <v>18</v>
      </c>
      <c r="C926">
        <v>0</v>
      </c>
      <c r="D926">
        <v>78</v>
      </c>
      <c r="F926" t="s">
        <v>1998</v>
      </c>
      <c r="G926">
        <v>21</v>
      </c>
    </row>
    <row r="927" spans="1:7" x14ac:dyDescent="0.25">
      <c r="A927" t="s">
        <v>1923</v>
      </c>
      <c r="B927">
        <v>24</v>
      </c>
      <c r="C927">
        <v>2</v>
      </c>
      <c r="D927">
        <v>110</v>
      </c>
      <c r="F927" t="s">
        <v>1999</v>
      </c>
      <c r="G927">
        <v>21</v>
      </c>
    </row>
    <row r="928" spans="1:7" x14ac:dyDescent="0.25">
      <c r="A928" t="s">
        <v>1924</v>
      </c>
      <c r="B928">
        <v>29</v>
      </c>
      <c r="C928">
        <v>0</v>
      </c>
      <c r="D928">
        <v>86</v>
      </c>
      <c r="F928" t="s">
        <v>2000</v>
      </c>
      <c r="G928">
        <v>13</v>
      </c>
    </row>
    <row r="929" spans="1:7" x14ac:dyDescent="0.25">
      <c r="A929" t="s">
        <v>1925</v>
      </c>
      <c r="B929">
        <v>28</v>
      </c>
      <c r="C929">
        <v>0</v>
      </c>
      <c r="D929">
        <v>96</v>
      </c>
      <c r="F929" t="s">
        <v>2001</v>
      </c>
      <c r="G929">
        <v>8</v>
      </c>
    </row>
    <row r="930" spans="1:7" x14ac:dyDescent="0.25">
      <c r="A930" t="s">
        <v>1926</v>
      </c>
      <c r="B930">
        <v>104</v>
      </c>
      <c r="C930">
        <v>2</v>
      </c>
      <c r="D930">
        <v>189</v>
      </c>
      <c r="F930" t="s">
        <v>2002</v>
      </c>
      <c r="G930">
        <v>12</v>
      </c>
    </row>
    <row r="931" spans="1:7" x14ac:dyDescent="0.25">
      <c r="A931" t="s">
        <v>1927</v>
      </c>
      <c r="B931">
        <v>24</v>
      </c>
      <c r="C931">
        <v>0</v>
      </c>
      <c r="D931">
        <v>98</v>
      </c>
      <c r="F931" t="s">
        <v>2003</v>
      </c>
      <c r="G931">
        <v>10</v>
      </c>
    </row>
    <row r="932" spans="1:7" x14ac:dyDescent="0.25">
      <c r="A932" t="s">
        <v>1928</v>
      </c>
      <c r="B932">
        <v>25</v>
      </c>
      <c r="C932">
        <v>2</v>
      </c>
      <c r="D932">
        <v>78</v>
      </c>
      <c r="F932" t="s">
        <v>2004</v>
      </c>
      <c r="G932">
        <v>10</v>
      </c>
    </row>
    <row r="933" spans="1:7" x14ac:dyDescent="0.25">
      <c r="A933" t="s">
        <v>1929</v>
      </c>
      <c r="B933">
        <v>27</v>
      </c>
      <c r="C933">
        <v>5</v>
      </c>
      <c r="D933">
        <v>102</v>
      </c>
      <c r="F933" t="s">
        <v>2005</v>
      </c>
      <c r="G933">
        <v>10</v>
      </c>
    </row>
    <row r="934" spans="1:7" x14ac:dyDescent="0.25">
      <c r="A934" t="s">
        <v>1930</v>
      </c>
      <c r="B934">
        <v>47</v>
      </c>
      <c r="C934">
        <v>2</v>
      </c>
      <c r="D934">
        <v>114</v>
      </c>
      <c r="F934" t="s">
        <v>2006</v>
      </c>
      <c r="G934">
        <v>20</v>
      </c>
    </row>
    <row r="935" spans="1:7" x14ac:dyDescent="0.25">
      <c r="A935" t="s">
        <v>1931</v>
      </c>
      <c r="B935">
        <v>45</v>
      </c>
      <c r="C935">
        <v>3</v>
      </c>
      <c r="D935">
        <v>96</v>
      </c>
      <c r="F935" t="s">
        <v>2007</v>
      </c>
      <c r="G935">
        <v>4</v>
      </c>
    </row>
    <row r="936" spans="1:7" x14ac:dyDescent="0.25">
      <c r="A936" t="s">
        <v>1932</v>
      </c>
      <c r="B936">
        <v>13</v>
      </c>
      <c r="C936">
        <v>1</v>
      </c>
      <c r="D936">
        <v>34</v>
      </c>
      <c r="F936" t="s">
        <v>2008</v>
      </c>
      <c r="G936">
        <v>4</v>
      </c>
    </row>
    <row r="937" spans="1:7" x14ac:dyDescent="0.25">
      <c r="A937" t="s">
        <v>1933</v>
      </c>
      <c r="B937">
        <v>19</v>
      </c>
      <c r="C937">
        <v>0</v>
      </c>
      <c r="D937">
        <v>51</v>
      </c>
      <c r="F937" t="s">
        <v>2009</v>
      </c>
      <c r="G937">
        <v>9</v>
      </c>
    </row>
    <row r="938" spans="1:7" x14ac:dyDescent="0.25">
      <c r="A938" t="s">
        <v>1934</v>
      </c>
      <c r="B938">
        <v>19</v>
      </c>
      <c r="C938">
        <v>1</v>
      </c>
      <c r="D938">
        <v>46</v>
      </c>
      <c r="F938" t="s">
        <v>2010</v>
      </c>
      <c r="G938">
        <v>6</v>
      </c>
    </row>
    <row r="939" spans="1:7" x14ac:dyDescent="0.25">
      <c r="A939" t="s">
        <v>1935</v>
      </c>
      <c r="B939">
        <v>11</v>
      </c>
      <c r="C939">
        <v>0</v>
      </c>
      <c r="D939">
        <v>26</v>
      </c>
      <c r="F939" t="s">
        <v>2011</v>
      </c>
      <c r="G939">
        <v>2</v>
      </c>
    </row>
    <row r="940" spans="1:7" x14ac:dyDescent="0.25">
      <c r="A940" t="s">
        <v>1936</v>
      </c>
      <c r="B940">
        <v>22</v>
      </c>
      <c r="C940">
        <v>0</v>
      </c>
      <c r="D940">
        <v>57</v>
      </c>
      <c r="F940" t="s">
        <v>2012</v>
      </c>
      <c r="G940">
        <v>4</v>
      </c>
    </row>
    <row r="941" spans="1:7" x14ac:dyDescent="0.25">
      <c r="A941" t="s">
        <v>1937</v>
      </c>
      <c r="B941">
        <v>36</v>
      </c>
      <c r="C941">
        <v>1</v>
      </c>
      <c r="D941">
        <v>92</v>
      </c>
      <c r="F941" t="s">
        <v>2013</v>
      </c>
      <c r="G941">
        <v>9</v>
      </c>
    </row>
    <row r="942" spans="1:7" x14ac:dyDescent="0.25">
      <c r="A942" t="s">
        <v>1938</v>
      </c>
      <c r="B942">
        <v>25</v>
      </c>
      <c r="C942">
        <v>1</v>
      </c>
      <c r="D942">
        <v>53</v>
      </c>
      <c r="F942" t="s">
        <v>2014</v>
      </c>
      <c r="G942">
        <v>6</v>
      </c>
    </row>
    <row r="943" spans="1:7" x14ac:dyDescent="0.25">
      <c r="A943" t="s">
        <v>1939</v>
      </c>
      <c r="B943">
        <v>24</v>
      </c>
      <c r="C943">
        <v>0</v>
      </c>
      <c r="D943">
        <v>66</v>
      </c>
      <c r="F943" t="s">
        <v>2015</v>
      </c>
      <c r="G943">
        <v>6</v>
      </c>
    </row>
    <row r="944" spans="1:7" x14ac:dyDescent="0.25">
      <c r="A944" t="s">
        <v>1940</v>
      </c>
      <c r="B944">
        <v>35</v>
      </c>
      <c r="C944">
        <v>1</v>
      </c>
      <c r="D944">
        <v>118</v>
      </c>
      <c r="F944" t="s">
        <v>2016</v>
      </c>
      <c r="G944">
        <v>8</v>
      </c>
    </row>
    <row r="945" spans="1:7" x14ac:dyDescent="0.25">
      <c r="A945" t="s">
        <v>1941</v>
      </c>
      <c r="B945">
        <v>21</v>
      </c>
      <c r="C945">
        <v>0</v>
      </c>
      <c r="D945">
        <v>83</v>
      </c>
      <c r="F945" t="s">
        <v>2017</v>
      </c>
      <c r="G945">
        <v>2</v>
      </c>
    </row>
    <row r="946" spans="1:7" x14ac:dyDescent="0.25">
      <c r="A946" t="s">
        <v>1942</v>
      </c>
      <c r="B946">
        <v>30</v>
      </c>
      <c r="C946">
        <v>0</v>
      </c>
      <c r="D946">
        <v>92</v>
      </c>
      <c r="F946" t="s">
        <v>2018</v>
      </c>
      <c r="G946">
        <v>2</v>
      </c>
    </row>
    <row r="947" spans="1:7" x14ac:dyDescent="0.25">
      <c r="A947" t="s">
        <v>1943</v>
      </c>
      <c r="B947">
        <v>18</v>
      </c>
      <c r="C947">
        <v>0</v>
      </c>
      <c r="D947">
        <v>30</v>
      </c>
      <c r="F947" t="s">
        <v>2019</v>
      </c>
      <c r="G947">
        <v>7</v>
      </c>
    </row>
    <row r="948" spans="1:7" x14ac:dyDescent="0.25">
      <c r="A948" t="s">
        <v>1944</v>
      </c>
      <c r="B948">
        <v>4</v>
      </c>
      <c r="C948">
        <v>0</v>
      </c>
      <c r="D948">
        <v>20</v>
      </c>
      <c r="F948" t="s">
        <v>2020</v>
      </c>
      <c r="G948">
        <v>10</v>
      </c>
    </row>
    <row r="949" spans="1:7" x14ac:dyDescent="0.25">
      <c r="A949" t="s">
        <v>1945</v>
      </c>
      <c r="B949">
        <v>22</v>
      </c>
      <c r="C949">
        <v>2</v>
      </c>
      <c r="D949">
        <v>55</v>
      </c>
      <c r="F949" t="s">
        <v>2021</v>
      </c>
      <c r="G949">
        <v>4</v>
      </c>
    </row>
    <row r="950" spans="1:7" x14ac:dyDescent="0.25">
      <c r="A950" t="s">
        <v>1946</v>
      </c>
      <c r="B950">
        <v>20</v>
      </c>
      <c r="C950">
        <v>0</v>
      </c>
      <c r="D950">
        <v>93</v>
      </c>
      <c r="F950" t="s">
        <v>2022</v>
      </c>
      <c r="G950">
        <v>7</v>
      </c>
    </row>
    <row r="951" spans="1:7" x14ac:dyDescent="0.25">
      <c r="A951" t="s">
        <v>1947</v>
      </c>
      <c r="B951">
        <v>10</v>
      </c>
      <c r="C951">
        <v>0</v>
      </c>
      <c r="D951">
        <v>52</v>
      </c>
      <c r="F951" t="s">
        <v>2023</v>
      </c>
      <c r="G951">
        <v>4</v>
      </c>
    </row>
    <row r="952" spans="1:7" x14ac:dyDescent="0.25">
      <c r="A952" t="s">
        <v>1948</v>
      </c>
      <c r="B952">
        <v>17</v>
      </c>
      <c r="C952">
        <v>1</v>
      </c>
      <c r="D952">
        <v>45</v>
      </c>
      <c r="F952" t="s">
        <v>2024</v>
      </c>
      <c r="G952">
        <v>10</v>
      </c>
    </row>
    <row r="953" spans="1:7" x14ac:dyDescent="0.25">
      <c r="A953" t="s">
        <v>1949</v>
      </c>
      <c r="B953">
        <v>12</v>
      </c>
      <c r="C953">
        <v>0</v>
      </c>
      <c r="D953">
        <v>59</v>
      </c>
      <c r="F953" t="s">
        <v>2025</v>
      </c>
      <c r="G953">
        <v>31</v>
      </c>
    </row>
    <row r="954" spans="1:7" x14ac:dyDescent="0.25">
      <c r="A954" t="s">
        <v>1950</v>
      </c>
      <c r="B954">
        <v>27</v>
      </c>
      <c r="C954">
        <v>0</v>
      </c>
      <c r="D954">
        <v>72</v>
      </c>
      <c r="F954" t="s">
        <v>2026</v>
      </c>
      <c r="G954">
        <v>42</v>
      </c>
    </row>
    <row r="955" spans="1:7" x14ac:dyDescent="0.25">
      <c r="A955" t="s">
        <v>1951</v>
      </c>
      <c r="B955">
        <v>17</v>
      </c>
      <c r="C955">
        <v>1</v>
      </c>
      <c r="D955">
        <v>62</v>
      </c>
      <c r="F955" t="s">
        <v>2027</v>
      </c>
      <c r="G955">
        <v>17</v>
      </c>
    </row>
    <row r="956" spans="1:7" x14ac:dyDescent="0.25">
      <c r="A956" t="s">
        <v>1952</v>
      </c>
      <c r="B956">
        <v>21</v>
      </c>
      <c r="C956">
        <v>0</v>
      </c>
      <c r="D956">
        <v>52</v>
      </c>
      <c r="F956" t="s">
        <v>2028</v>
      </c>
      <c r="G956">
        <v>18</v>
      </c>
    </row>
    <row r="957" spans="1:7" x14ac:dyDescent="0.25">
      <c r="A957" t="s">
        <v>1953</v>
      </c>
      <c r="B957">
        <v>19</v>
      </c>
      <c r="C957">
        <v>2</v>
      </c>
      <c r="D957">
        <v>78</v>
      </c>
      <c r="F957" t="s">
        <v>2029</v>
      </c>
      <c r="G957">
        <v>18</v>
      </c>
    </row>
    <row r="958" spans="1:7" x14ac:dyDescent="0.25">
      <c r="A958" t="s">
        <v>1954</v>
      </c>
      <c r="B958">
        <v>88</v>
      </c>
      <c r="C958">
        <v>2</v>
      </c>
      <c r="D958">
        <v>99</v>
      </c>
      <c r="F958" t="s">
        <v>2030</v>
      </c>
      <c r="G958">
        <v>16</v>
      </c>
    </row>
    <row r="959" spans="1:7" x14ac:dyDescent="0.25">
      <c r="A959" t="s">
        <v>1955</v>
      </c>
      <c r="B959">
        <v>48</v>
      </c>
      <c r="C959">
        <v>2</v>
      </c>
      <c r="D959">
        <v>149</v>
      </c>
      <c r="F959" t="s">
        <v>2031</v>
      </c>
      <c r="G959">
        <v>13</v>
      </c>
    </row>
    <row r="960" spans="1:7" x14ac:dyDescent="0.25">
      <c r="A960" t="s">
        <v>1956</v>
      </c>
      <c r="B960">
        <v>26</v>
      </c>
      <c r="C960">
        <v>6</v>
      </c>
      <c r="D960">
        <v>110</v>
      </c>
      <c r="F960" t="s">
        <v>2032</v>
      </c>
      <c r="G960">
        <v>6</v>
      </c>
    </row>
    <row r="961" spans="1:7" x14ac:dyDescent="0.25">
      <c r="A961" t="s">
        <v>1957</v>
      </c>
      <c r="B961">
        <v>69</v>
      </c>
      <c r="C961">
        <v>1</v>
      </c>
      <c r="D961">
        <v>174</v>
      </c>
      <c r="F961" t="s">
        <v>2033</v>
      </c>
      <c r="G961">
        <v>5</v>
      </c>
    </row>
    <row r="962" spans="1:7" x14ac:dyDescent="0.25">
      <c r="A962" t="s">
        <v>1958</v>
      </c>
      <c r="B962">
        <v>54</v>
      </c>
      <c r="C962">
        <v>2</v>
      </c>
      <c r="D962">
        <v>76</v>
      </c>
      <c r="F962" t="s">
        <v>2034</v>
      </c>
      <c r="G962">
        <v>11</v>
      </c>
    </row>
    <row r="963" spans="1:7" x14ac:dyDescent="0.25">
      <c r="A963" t="s">
        <v>1959</v>
      </c>
      <c r="B963">
        <v>95</v>
      </c>
      <c r="C963">
        <v>1</v>
      </c>
      <c r="D963">
        <v>184</v>
      </c>
      <c r="F963" t="s">
        <v>2035</v>
      </c>
      <c r="G963">
        <v>3</v>
      </c>
    </row>
    <row r="964" spans="1:7" x14ac:dyDescent="0.25">
      <c r="A964" t="s">
        <v>1960</v>
      </c>
      <c r="B964">
        <v>92</v>
      </c>
      <c r="C964">
        <v>3</v>
      </c>
      <c r="D964">
        <v>198</v>
      </c>
      <c r="F964" t="s">
        <v>2036</v>
      </c>
      <c r="G964">
        <v>5</v>
      </c>
    </row>
    <row r="965" spans="1:7" x14ac:dyDescent="0.25">
      <c r="A965" t="s">
        <v>1961</v>
      </c>
      <c r="B965">
        <v>39</v>
      </c>
      <c r="C965">
        <v>3</v>
      </c>
      <c r="D965">
        <v>99</v>
      </c>
      <c r="F965" t="s">
        <v>2037</v>
      </c>
      <c r="G965">
        <v>7</v>
      </c>
    </row>
    <row r="966" spans="1:7" x14ac:dyDescent="0.25">
      <c r="A966" t="s">
        <v>1962</v>
      </c>
      <c r="B966">
        <v>37</v>
      </c>
      <c r="C966">
        <v>2</v>
      </c>
      <c r="D966">
        <v>84</v>
      </c>
      <c r="F966" t="s">
        <v>2038</v>
      </c>
      <c r="G966">
        <v>5</v>
      </c>
    </row>
    <row r="967" spans="1:7" x14ac:dyDescent="0.25">
      <c r="A967" t="s">
        <v>1963</v>
      </c>
      <c r="B967">
        <v>18</v>
      </c>
      <c r="C967">
        <v>1</v>
      </c>
      <c r="D967">
        <v>97</v>
      </c>
      <c r="F967" t="s">
        <v>2039</v>
      </c>
      <c r="G967">
        <v>5</v>
      </c>
    </row>
    <row r="968" spans="1:7" x14ac:dyDescent="0.25">
      <c r="A968" t="s">
        <v>1964</v>
      </c>
      <c r="B968">
        <v>40</v>
      </c>
      <c r="C968">
        <v>1</v>
      </c>
      <c r="D968">
        <v>138</v>
      </c>
      <c r="F968" t="s">
        <v>2040</v>
      </c>
      <c r="G968">
        <v>9</v>
      </c>
    </row>
    <row r="969" spans="1:7" x14ac:dyDescent="0.25">
      <c r="A969" t="s">
        <v>1965</v>
      </c>
      <c r="B969">
        <v>48</v>
      </c>
      <c r="C969">
        <v>1</v>
      </c>
      <c r="D969">
        <v>143</v>
      </c>
      <c r="F969" t="s">
        <v>2041</v>
      </c>
      <c r="G969">
        <v>8</v>
      </c>
    </row>
    <row r="970" spans="1:7" x14ac:dyDescent="0.25">
      <c r="A970" t="s">
        <v>1966</v>
      </c>
      <c r="B970">
        <v>43</v>
      </c>
      <c r="C970">
        <v>1</v>
      </c>
      <c r="D970">
        <v>181</v>
      </c>
      <c r="F970" t="s">
        <v>2042</v>
      </c>
      <c r="G970">
        <v>6</v>
      </c>
    </row>
    <row r="971" spans="1:7" x14ac:dyDescent="0.25">
      <c r="A971" t="s">
        <v>1967</v>
      </c>
      <c r="B971">
        <v>56</v>
      </c>
      <c r="C971">
        <v>0</v>
      </c>
      <c r="D971">
        <v>233</v>
      </c>
      <c r="F971" t="s">
        <v>2043</v>
      </c>
      <c r="G971">
        <v>2</v>
      </c>
    </row>
    <row r="972" spans="1:7" x14ac:dyDescent="0.25">
      <c r="A972" t="s">
        <v>1968</v>
      </c>
      <c r="B972">
        <v>84</v>
      </c>
      <c r="C972">
        <v>0</v>
      </c>
      <c r="D972">
        <v>192</v>
      </c>
      <c r="F972" t="s">
        <v>2044</v>
      </c>
      <c r="G972">
        <v>13</v>
      </c>
    </row>
    <row r="973" spans="1:7" x14ac:dyDescent="0.25">
      <c r="A973" t="s">
        <v>1969</v>
      </c>
      <c r="B973">
        <v>13</v>
      </c>
      <c r="C973">
        <v>0</v>
      </c>
      <c r="D973">
        <v>109</v>
      </c>
      <c r="F973" t="s">
        <v>2045</v>
      </c>
      <c r="G973">
        <v>1</v>
      </c>
    </row>
    <row r="974" spans="1:7" x14ac:dyDescent="0.25">
      <c r="A974" t="s">
        <v>1970</v>
      </c>
      <c r="B974">
        <v>50</v>
      </c>
      <c r="C974">
        <v>2</v>
      </c>
      <c r="D974">
        <v>128</v>
      </c>
      <c r="F974" t="s">
        <v>2046</v>
      </c>
      <c r="G974">
        <v>1</v>
      </c>
    </row>
    <row r="975" spans="1:7" x14ac:dyDescent="0.25">
      <c r="A975" t="s">
        <v>1971</v>
      </c>
      <c r="B975">
        <v>79</v>
      </c>
      <c r="C975">
        <v>3</v>
      </c>
      <c r="D975">
        <v>274</v>
      </c>
      <c r="F975" t="s">
        <v>2047</v>
      </c>
      <c r="G975">
        <v>1</v>
      </c>
    </row>
    <row r="976" spans="1:7" x14ac:dyDescent="0.25">
      <c r="A976" t="s">
        <v>1972</v>
      </c>
      <c r="B976">
        <v>13</v>
      </c>
      <c r="C976">
        <v>2</v>
      </c>
      <c r="D976">
        <v>282</v>
      </c>
      <c r="F976" t="s">
        <v>2049</v>
      </c>
      <c r="G976">
        <v>11</v>
      </c>
    </row>
    <row r="977" spans="1:7" x14ac:dyDescent="0.25">
      <c r="A977" t="s">
        <v>1973</v>
      </c>
      <c r="B977">
        <v>16</v>
      </c>
      <c r="C977">
        <v>4</v>
      </c>
      <c r="D977">
        <v>58</v>
      </c>
      <c r="F977" t="s">
        <v>2051</v>
      </c>
      <c r="G977">
        <v>7</v>
      </c>
    </row>
    <row r="978" spans="1:7" x14ac:dyDescent="0.25">
      <c r="A978" t="s">
        <v>1974</v>
      </c>
      <c r="B978">
        <v>22</v>
      </c>
      <c r="C978">
        <v>2</v>
      </c>
      <c r="D978">
        <v>65</v>
      </c>
      <c r="F978" t="s">
        <v>2052</v>
      </c>
      <c r="G978">
        <v>4</v>
      </c>
    </row>
    <row r="979" spans="1:7" x14ac:dyDescent="0.25">
      <c r="A979" t="s">
        <v>1975</v>
      </c>
      <c r="B979">
        <v>13</v>
      </c>
      <c r="C979">
        <v>0</v>
      </c>
      <c r="D979">
        <v>48</v>
      </c>
      <c r="F979" t="s">
        <v>2053</v>
      </c>
      <c r="G979">
        <v>1</v>
      </c>
    </row>
    <row r="980" spans="1:7" x14ac:dyDescent="0.25">
      <c r="A980" t="s">
        <v>1976</v>
      </c>
      <c r="B980">
        <v>14</v>
      </c>
      <c r="C980">
        <v>0</v>
      </c>
      <c r="D980">
        <v>45</v>
      </c>
      <c r="F980" t="s">
        <v>2054</v>
      </c>
      <c r="G980">
        <v>6</v>
      </c>
    </row>
    <row r="981" spans="1:7" x14ac:dyDescent="0.25">
      <c r="A981" t="s">
        <v>1977</v>
      </c>
      <c r="B981">
        <v>38</v>
      </c>
      <c r="C981">
        <v>0</v>
      </c>
      <c r="D981">
        <v>97</v>
      </c>
      <c r="F981" t="s">
        <v>2055</v>
      </c>
      <c r="G981">
        <v>5</v>
      </c>
    </row>
    <row r="982" spans="1:7" x14ac:dyDescent="0.25">
      <c r="A982" t="s">
        <v>1978</v>
      </c>
      <c r="B982">
        <v>43</v>
      </c>
      <c r="C982">
        <v>10</v>
      </c>
      <c r="D982">
        <v>137</v>
      </c>
    </row>
    <row r="983" spans="1:7" x14ac:dyDescent="0.25">
      <c r="A983" t="s">
        <v>1979</v>
      </c>
      <c r="B983">
        <v>14</v>
      </c>
      <c r="C983">
        <v>2</v>
      </c>
      <c r="D983">
        <v>62</v>
      </c>
    </row>
    <row r="984" spans="1:7" x14ac:dyDescent="0.25">
      <c r="A984" t="s">
        <v>1980</v>
      </c>
      <c r="B984">
        <v>31</v>
      </c>
      <c r="C984">
        <v>0</v>
      </c>
      <c r="D984">
        <v>203</v>
      </c>
    </row>
    <row r="985" spans="1:7" x14ac:dyDescent="0.25">
      <c r="A985" t="s">
        <v>1981</v>
      </c>
      <c r="B985">
        <v>10</v>
      </c>
      <c r="C985">
        <v>1</v>
      </c>
      <c r="D985">
        <v>49</v>
      </c>
    </row>
    <row r="986" spans="1:7" x14ac:dyDescent="0.25">
      <c r="A986" t="s">
        <v>1982</v>
      </c>
      <c r="B986">
        <v>22</v>
      </c>
      <c r="C986">
        <v>3</v>
      </c>
      <c r="D986">
        <v>119</v>
      </c>
    </row>
    <row r="987" spans="1:7" x14ac:dyDescent="0.25">
      <c r="A987" t="s">
        <v>1983</v>
      </c>
      <c r="B987">
        <v>5</v>
      </c>
      <c r="C987">
        <v>0</v>
      </c>
      <c r="D987">
        <v>30</v>
      </c>
    </row>
    <row r="988" spans="1:7" x14ac:dyDescent="0.25">
      <c r="A988" t="s">
        <v>1984</v>
      </c>
      <c r="B988">
        <v>17</v>
      </c>
      <c r="C988">
        <v>0</v>
      </c>
      <c r="D988">
        <v>44</v>
      </c>
    </row>
    <row r="989" spans="1:7" x14ac:dyDescent="0.25">
      <c r="A989" t="s">
        <v>1985</v>
      </c>
      <c r="B989">
        <v>13</v>
      </c>
      <c r="C989">
        <v>0</v>
      </c>
      <c r="D989">
        <v>65</v>
      </c>
    </row>
    <row r="990" spans="1:7" x14ac:dyDescent="0.25">
      <c r="A990" t="s">
        <v>1986</v>
      </c>
      <c r="B990">
        <v>7</v>
      </c>
      <c r="C990">
        <v>0</v>
      </c>
      <c r="D990">
        <v>48</v>
      </c>
    </row>
    <row r="991" spans="1:7" x14ac:dyDescent="0.25">
      <c r="A991" t="s">
        <v>1987</v>
      </c>
      <c r="B991">
        <v>11</v>
      </c>
      <c r="C991">
        <v>2</v>
      </c>
      <c r="D991">
        <v>60</v>
      </c>
    </row>
    <row r="992" spans="1:7" x14ac:dyDescent="0.25">
      <c r="A992" t="s">
        <v>1988</v>
      </c>
      <c r="B992">
        <v>11</v>
      </c>
      <c r="C992">
        <v>0</v>
      </c>
      <c r="D992">
        <v>49</v>
      </c>
    </row>
    <row r="993" spans="1:4" x14ac:dyDescent="0.25">
      <c r="A993" t="s">
        <v>1989</v>
      </c>
      <c r="B993">
        <v>20</v>
      </c>
      <c r="C993">
        <v>0</v>
      </c>
      <c r="D993">
        <v>59</v>
      </c>
    </row>
    <row r="994" spans="1:4" x14ac:dyDescent="0.25">
      <c r="A994" t="s">
        <v>1990</v>
      </c>
      <c r="B994">
        <v>32</v>
      </c>
      <c r="C994">
        <v>4</v>
      </c>
      <c r="D994">
        <v>162</v>
      </c>
    </row>
    <row r="995" spans="1:4" x14ac:dyDescent="0.25">
      <c r="A995" t="s">
        <v>1991</v>
      </c>
      <c r="B995">
        <v>14</v>
      </c>
      <c r="C995">
        <v>0</v>
      </c>
      <c r="D995">
        <v>56</v>
      </c>
    </row>
    <row r="996" spans="1:4" x14ac:dyDescent="0.25">
      <c r="A996" t="s">
        <v>1992</v>
      </c>
      <c r="B996">
        <v>43</v>
      </c>
      <c r="C996">
        <v>0</v>
      </c>
      <c r="D996">
        <v>88</v>
      </c>
    </row>
    <row r="997" spans="1:4" x14ac:dyDescent="0.25">
      <c r="A997" t="s">
        <v>1993</v>
      </c>
      <c r="B997">
        <v>15</v>
      </c>
      <c r="C997">
        <v>1</v>
      </c>
      <c r="D997">
        <v>75</v>
      </c>
    </row>
    <row r="998" spans="1:4" x14ac:dyDescent="0.25">
      <c r="A998" t="s">
        <v>1994</v>
      </c>
      <c r="B998">
        <v>16</v>
      </c>
      <c r="C998">
        <v>1</v>
      </c>
      <c r="D998">
        <v>66</v>
      </c>
    </row>
    <row r="999" spans="1:4" x14ac:dyDescent="0.25">
      <c r="A999" t="s">
        <v>1995</v>
      </c>
      <c r="B999">
        <v>9</v>
      </c>
      <c r="C999">
        <v>0</v>
      </c>
      <c r="D999">
        <v>36</v>
      </c>
    </row>
    <row r="1000" spans="1:4" x14ac:dyDescent="0.25">
      <c r="A1000" t="s">
        <v>1996</v>
      </c>
      <c r="B1000">
        <v>36</v>
      </c>
      <c r="C1000">
        <v>4</v>
      </c>
      <c r="D1000">
        <v>183</v>
      </c>
    </row>
    <row r="1001" spans="1:4" x14ac:dyDescent="0.25">
      <c r="A1001" t="s">
        <v>1997</v>
      </c>
      <c r="B1001">
        <v>32</v>
      </c>
      <c r="C1001">
        <v>1</v>
      </c>
      <c r="D1001">
        <v>126</v>
      </c>
    </row>
    <row r="1002" spans="1:4" x14ac:dyDescent="0.25">
      <c r="A1002" t="s">
        <v>1998</v>
      </c>
      <c r="B1002">
        <v>33</v>
      </c>
      <c r="C1002">
        <v>2</v>
      </c>
      <c r="D1002">
        <v>119</v>
      </c>
    </row>
    <row r="1003" spans="1:4" x14ac:dyDescent="0.25">
      <c r="A1003" t="s">
        <v>1999</v>
      </c>
      <c r="B1003">
        <v>54</v>
      </c>
      <c r="C1003">
        <v>7</v>
      </c>
      <c r="D1003">
        <v>155</v>
      </c>
    </row>
    <row r="1004" spans="1:4" x14ac:dyDescent="0.25">
      <c r="A1004" t="s">
        <v>2000</v>
      </c>
      <c r="B1004">
        <v>14</v>
      </c>
      <c r="C1004">
        <v>0</v>
      </c>
      <c r="D1004">
        <v>75</v>
      </c>
    </row>
    <row r="1005" spans="1:4" x14ac:dyDescent="0.25">
      <c r="A1005" t="s">
        <v>2001</v>
      </c>
      <c r="B1005">
        <v>23</v>
      </c>
      <c r="C1005">
        <v>1</v>
      </c>
      <c r="D1005">
        <v>95</v>
      </c>
    </row>
    <row r="1006" spans="1:4" x14ac:dyDescent="0.25">
      <c r="A1006" t="s">
        <v>2002</v>
      </c>
      <c r="B1006">
        <v>15</v>
      </c>
      <c r="C1006">
        <v>1</v>
      </c>
      <c r="D1006">
        <v>84</v>
      </c>
    </row>
    <row r="1007" spans="1:4" x14ac:dyDescent="0.25">
      <c r="A1007" t="s">
        <v>2003</v>
      </c>
      <c r="B1007">
        <v>9</v>
      </c>
      <c r="C1007">
        <v>0</v>
      </c>
      <c r="D1007">
        <v>80</v>
      </c>
    </row>
    <row r="1008" spans="1:4" x14ac:dyDescent="0.25">
      <c r="A1008" t="s">
        <v>2004</v>
      </c>
      <c r="B1008">
        <v>10</v>
      </c>
      <c r="C1008">
        <v>1</v>
      </c>
      <c r="D1008">
        <v>68</v>
      </c>
    </row>
    <row r="1009" spans="1:4" x14ac:dyDescent="0.25">
      <c r="A1009" t="s">
        <v>2005</v>
      </c>
      <c r="B1009">
        <v>11</v>
      </c>
      <c r="C1009">
        <v>1</v>
      </c>
      <c r="D1009">
        <v>95</v>
      </c>
    </row>
    <row r="1010" spans="1:4" x14ac:dyDescent="0.25">
      <c r="A1010" t="s">
        <v>2006</v>
      </c>
      <c r="B1010">
        <v>7</v>
      </c>
      <c r="C1010">
        <v>0</v>
      </c>
      <c r="D1010">
        <v>88</v>
      </c>
    </row>
    <row r="1011" spans="1:4" x14ac:dyDescent="0.25">
      <c r="A1011" t="s">
        <v>2007</v>
      </c>
      <c r="B1011">
        <v>27</v>
      </c>
      <c r="C1011">
        <v>1</v>
      </c>
      <c r="D1011">
        <v>81</v>
      </c>
    </row>
    <row r="1012" spans="1:4" x14ac:dyDescent="0.25">
      <c r="A1012" t="s">
        <v>2008</v>
      </c>
      <c r="B1012">
        <v>28</v>
      </c>
      <c r="C1012">
        <v>4</v>
      </c>
      <c r="D1012">
        <v>86</v>
      </c>
    </row>
    <row r="1013" spans="1:4" x14ac:dyDescent="0.25">
      <c r="A1013" t="s">
        <v>2009</v>
      </c>
      <c r="B1013">
        <v>20</v>
      </c>
      <c r="C1013">
        <v>2</v>
      </c>
      <c r="D1013">
        <v>100</v>
      </c>
    </row>
    <row r="1014" spans="1:4" x14ac:dyDescent="0.25">
      <c r="A1014" t="s">
        <v>2010</v>
      </c>
      <c r="B1014">
        <v>12</v>
      </c>
      <c r="C1014">
        <v>1</v>
      </c>
      <c r="D1014">
        <v>47</v>
      </c>
    </row>
    <row r="1015" spans="1:4" x14ac:dyDescent="0.25">
      <c r="A1015" t="s">
        <v>2011</v>
      </c>
      <c r="B1015">
        <v>9</v>
      </c>
      <c r="C1015">
        <v>1</v>
      </c>
      <c r="D1015">
        <v>40</v>
      </c>
    </row>
    <row r="1016" spans="1:4" x14ac:dyDescent="0.25">
      <c r="A1016" t="s">
        <v>2012</v>
      </c>
      <c r="B1016">
        <v>19</v>
      </c>
      <c r="C1016">
        <v>1</v>
      </c>
      <c r="D1016">
        <v>59</v>
      </c>
    </row>
    <row r="1017" spans="1:4" x14ac:dyDescent="0.25">
      <c r="A1017" t="s">
        <v>2013</v>
      </c>
      <c r="B1017">
        <v>19</v>
      </c>
      <c r="C1017">
        <v>2</v>
      </c>
      <c r="D1017">
        <v>53</v>
      </c>
    </row>
    <row r="1018" spans="1:4" x14ac:dyDescent="0.25">
      <c r="A1018" t="s">
        <v>2014</v>
      </c>
      <c r="B1018">
        <v>17</v>
      </c>
      <c r="C1018">
        <v>1</v>
      </c>
      <c r="D1018">
        <v>42</v>
      </c>
    </row>
    <row r="1019" spans="1:4" x14ac:dyDescent="0.25">
      <c r="A1019" t="s">
        <v>2015</v>
      </c>
      <c r="B1019">
        <v>9</v>
      </c>
      <c r="C1019">
        <v>6</v>
      </c>
      <c r="D1019">
        <v>68</v>
      </c>
    </row>
    <row r="1020" spans="1:4" x14ac:dyDescent="0.25">
      <c r="A1020" t="s">
        <v>2016</v>
      </c>
      <c r="B1020">
        <v>14</v>
      </c>
      <c r="C1020">
        <v>3</v>
      </c>
      <c r="D1020">
        <v>93</v>
      </c>
    </row>
    <row r="1021" spans="1:4" x14ac:dyDescent="0.25">
      <c r="A1021" t="s">
        <v>2017</v>
      </c>
      <c r="B1021">
        <v>19</v>
      </c>
      <c r="C1021">
        <v>1</v>
      </c>
      <c r="D1021">
        <v>65</v>
      </c>
    </row>
    <row r="1022" spans="1:4" x14ac:dyDescent="0.25">
      <c r="A1022" t="s">
        <v>2018</v>
      </c>
      <c r="B1022">
        <v>13</v>
      </c>
      <c r="C1022">
        <v>1</v>
      </c>
      <c r="D1022">
        <v>62</v>
      </c>
    </row>
    <row r="1023" spans="1:4" x14ac:dyDescent="0.25">
      <c r="A1023" t="s">
        <v>2019</v>
      </c>
      <c r="B1023">
        <v>19</v>
      </c>
      <c r="C1023">
        <v>3</v>
      </c>
      <c r="D1023">
        <v>98</v>
      </c>
    </row>
    <row r="1024" spans="1:4" x14ac:dyDescent="0.25">
      <c r="A1024" t="s">
        <v>2020</v>
      </c>
      <c r="B1024">
        <v>17</v>
      </c>
      <c r="C1024">
        <v>5</v>
      </c>
      <c r="D1024">
        <v>84</v>
      </c>
    </row>
    <row r="1025" spans="1:4" x14ac:dyDescent="0.25">
      <c r="A1025" t="s">
        <v>2021</v>
      </c>
      <c r="B1025">
        <v>8</v>
      </c>
      <c r="C1025">
        <v>0</v>
      </c>
      <c r="D1025">
        <v>50</v>
      </c>
    </row>
    <row r="1026" spans="1:4" x14ac:dyDescent="0.25">
      <c r="A1026" t="s">
        <v>2022</v>
      </c>
      <c r="B1026">
        <v>7</v>
      </c>
      <c r="C1026">
        <v>0</v>
      </c>
      <c r="D1026">
        <v>51</v>
      </c>
    </row>
    <row r="1027" spans="1:4" x14ac:dyDescent="0.25">
      <c r="A1027" t="s">
        <v>2023</v>
      </c>
      <c r="B1027">
        <v>7</v>
      </c>
      <c r="C1027">
        <v>0</v>
      </c>
      <c r="D1027">
        <v>41</v>
      </c>
    </row>
    <row r="1028" spans="1:4" x14ac:dyDescent="0.25">
      <c r="A1028" t="s">
        <v>2024</v>
      </c>
      <c r="B1028">
        <v>9</v>
      </c>
      <c r="C1028">
        <v>0</v>
      </c>
      <c r="D1028">
        <v>46</v>
      </c>
    </row>
    <row r="1029" spans="1:4" x14ac:dyDescent="0.25">
      <c r="A1029" t="s">
        <v>2025</v>
      </c>
      <c r="B1029">
        <v>21</v>
      </c>
      <c r="C1029">
        <v>0</v>
      </c>
      <c r="D1029">
        <v>106</v>
      </c>
    </row>
    <row r="1030" spans="1:4" x14ac:dyDescent="0.25">
      <c r="A1030" t="s">
        <v>2026</v>
      </c>
      <c r="B1030">
        <v>17</v>
      </c>
      <c r="C1030">
        <v>0</v>
      </c>
      <c r="D1030">
        <v>106</v>
      </c>
    </row>
    <row r="1031" spans="1:4" x14ac:dyDescent="0.25">
      <c r="A1031" t="s">
        <v>2027</v>
      </c>
      <c r="B1031">
        <v>16</v>
      </c>
      <c r="C1031">
        <v>1</v>
      </c>
      <c r="D1031">
        <v>54</v>
      </c>
    </row>
    <row r="1032" spans="1:4" x14ac:dyDescent="0.25">
      <c r="A1032" t="s">
        <v>2028</v>
      </c>
      <c r="B1032">
        <v>14</v>
      </c>
      <c r="C1032">
        <v>2</v>
      </c>
      <c r="D1032">
        <v>62</v>
      </c>
    </row>
    <row r="1033" spans="1:4" x14ac:dyDescent="0.25">
      <c r="A1033" t="s">
        <v>2029</v>
      </c>
      <c r="B1033">
        <v>15</v>
      </c>
      <c r="C1033">
        <v>0</v>
      </c>
      <c r="D1033">
        <v>103</v>
      </c>
    </row>
    <row r="1034" spans="1:4" x14ac:dyDescent="0.25">
      <c r="A1034" t="s">
        <v>2030</v>
      </c>
      <c r="B1034">
        <v>19</v>
      </c>
      <c r="C1034">
        <v>0</v>
      </c>
      <c r="D1034">
        <v>113</v>
      </c>
    </row>
    <row r="1035" spans="1:4" x14ac:dyDescent="0.25">
      <c r="A1035" t="s">
        <v>2031</v>
      </c>
      <c r="B1035">
        <v>25</v>
      </c>
      <c r="C1035">
        <v>1</v>
      </c>
      <c r="D1035">
        <v>112</v>
      </c>
    </row>
    <row r="1036" spans="1:4" x14ac:dyDescent="0.25">
      <c r="A1036" t="s">
        <v>2032</v>
      </c>
      <c r="B1036">
        <v>35</v>
      </c>
      <c r="C1036">
        <v>0</v>
      </c>
      <c r="D1036">
        <v>88</v>
      </c>
    </row>
    <row r="1037" spans="1:4" x14ac:dyDescent="0.25">
      <c r="A1037" t="s">
        <v>2033</v>
      </c>
      <c r="B1037">
        <v>18</v>
      </c>
      <c r="C1037">
        <v>0</v>
      </c>
      <c r="D1037">
        <v>48</v>
      </c>
    </row>
    <row r="1038" spans="1:4" x14ac:dyDescent="0.25">
      <c r="A1038" t="s">
        <v>2034</v>
      </c>
      <c r="B1038">
        <v>9</v>
      </c>
      <c r="C1038">
        <v>0</v>
      </c>
      <c r="D1038">
        <v>53</v>
      </c>
    </row>
    <row r="1039" spans="1:4" x14ac:dyDescent="0.25">
      <c r="A1039" t="s">
        <v>2035</v>
      </c>
      <c r="B1039">
        <v>20</v>
      </c>
      <c r="C1039">
        <v>0</v>
      </c>
      <c r="D1039">
        <v>44</v>
      </c>
    </row>
    <row r="1040" spans="1:4" x14ac:dyDescent="0.25">
      <c r="A1040" t="s">
        <v>2036</v>
      </c>
      <c r="B1040">
        <v>16</v>
      </c>
      <c r="C1040">
        <v>0</v>
      </c>
      <c r="D1040">
        <v>49</v>
      </c>
    </row>
    <row r="1041" spans="1:4" x14ac:dyDescent="0.25">
      <c r="A1041" t="s">
        <v>2037</v>
      </c>
      <c r="B1041">
        <v>14</v>
      </c>
      <c r="C1041">
        <v>0</v>
      </c>
      <c r="D1041">
        <v>61</v>
      </c>
    </row>
    <row r="1042" spans="1:4" x14ac:dyDescent="0.25">
      <c r="A1042" t="s">
        <v>2038</v>
      </c>
      <c r="B1042">
        <v>13</v>
      </c>
      <c r="C1042">
        <v>0</v>
      </c>
      <c r="D1042">
        <v>49</v>
      </c>
    </row>
    <row r="1043" spans="1:4" x14ac:dyDescent="0.25">
      <c r="A1043" t="s">
        <v>2039</v>
      </c>
      <c r="B1043">
        <v>7</v>
      </c>
      <c r="C1043">
        <v>2</v>
      </c>
      <c r="D1043">
        <v>52</v>
      </c>
    </row>
    <row r="1044" spans="1:4" x14ac:dyDescent="0.25">
      <c r="A1044" t="s">
        <v>2040</v>
      </c>
      <c r="B1044">
        <v>16</v>
      </c>
      <c r="C1044">
        <v>3</v>
      </c>
      <c r="D1044">
        <v>90</v>
      </c>
    </row>
    <row r="1045" spans="1:4" x14ac:dyDescent="0.25">
      <c r="A1045" t="s">
        <v>2041</v>
      </c>
      <c r="B1045">
        <v>17</v>
      </c>
      <c r="C1045">
        <v>2</v>
      </c>
      <c r="D1045">
        <v>69</v>
      </c>
    </row>
    <row r="1046" spans="1:4" x14ac:dyDescent="0.25">
      <c r="A1046" t="s">
        <v>2042</v>
      </c>
      <c r="B1046">
        <v>13</v>
      </c>
      <c r="C1046">
        <v>3</v>
      </c>
      <c r="D1046">
        <v>62</v>
      </c>
    </row>
    <row r="1047" spans="1:4" x14ac:dyDescent="0.25">
      <c r="A1047" t="s">
        <v>2043</v>
      </c>
      <c r="B1047">
        <v>14</v>
      </c>
      <c r="C1047">
        <v>3</v>
      </c>
      <c r="D1047">
        <v>65</v>
      </c>
    </row>
    <row r="1048" spans="1:4" x14ac:dyDescent="0.25">
      <c r="A1048" t="s">
        <v>2044</v>
      </c>
      <c r="B1048">
        <v>22</v>
      </c>
      <c r="C1048">
        <v>6</v>
      </c>
      <c r="D1048">
        <v>148</v>
      </c>
    </row>
    <row r="1049" spans="1:4" x14ac:dyDescent="0.25">
      <c r="A1049" t="s">
        <v>2045</v>
      </c>
      <c r="B1049">
        <v>43</v>
      </c>
      <c r="C1049">
        <v>2</v>
      </c>
      <c r="D1049">
        <v>104</v>
      </c>
    </row>
    <row r="1050" spans="1:4" x14ac:dyDescent="0.25">
      <c r="A1050" t="s">
        <v>2046</v>
      </c>
      <c r="B1050">
        <v>29</v>
      </c>
      <c r="C1050">
        <v>3</v>
      </c>
      <c r="D1050">
        <v>72</v>
      </c>
    </row>
    <row r="1051" spans="1:4" x14ac:dyDescent="0.25">
      <c r="A1051" t="s">
        <v>2047</v>
      </c>
      <c r="B1051">
        <v>25</v>
      </c>
      <c r="C1051">
        <v>1</v>
      </c>
      <c r="D1051">
        <v>74</v>
      </c>
    </row>
    <row r="1052" spans="1:4" x14ac:dyDescent="0.25">
      <c r="A1052" t="s">
        <v>2048</v>
      </c>
      <c r="B1052">
        <v>8</v>
      </c>
      <c r="C1052">
        <v>7</v>
      </c>
      <c r="D1052">
        <v>60</v>
      </c>
    </row>
    <row r="1053" spans="1:4" x14ac:dyDescent="0.25">
      <c r="A1053" t="s">
        <v>2049</v>
      </c>
      <c r="B1053">
        <v>14</v>
      </c>
      <c r="C1053">
        <v>20</v>
      </c>
      <c r="D1053">
        <v>132</v>
      </c>
    </row>
    <row r="1054" spans="1:4" x14ac:dyDescent="0.25">
      <c r="A1054" t="s">
        <v>2050</v>
      </c>
      <c r="B1054">
        <v>11</v>
      </c>
      <c r="C1054">
        <v>1</v>
      </c>
      <c r="D1054">
        <v>56</v>
      </c>
    </row>
    <row r="1055" spans="1:4" x14ac:dyDescent="0.25">
      <c r="A1055" t="s">
        <v>2051</v>
      </c>
      <c r="B1055">
        <v>8</v>
      </c>
      <c r="C1055">
        <v>7</v>
      </c>
      <c r="D1055">
        <v>90</v>
      </c>
    </row>
    <row r="1056" spans="1:4" x14ac:dyDescent="0.25">
      <c r="A1056" t="s">
        <v>2052</v>
      </c>
      <c r="B1056">
        <v>7</v>
      </c>
      <c r="C1056">
        <v>4</v>
      </c>
      <c r="D1056">
        <v>69</v>
      </c>
    </row>
    <row r="1057" spans="1:4" x14ac:dyDescent="0.25">
      <c r="A1057" t="s">
        <v>2053</v>
      </c>
      <c r="B1057">
        <v>9</v>
      </c>
      <c r="C1057">
        <v>2</v>
      </c>
      <c r="D1057">
        <v>54</v>
      </c>
    </row>
    <row r="1058" spans="1:4" x14ac:dyDescent="0.25">
      <c r="A1058" t="s">
        <v>2054</v>
      </c>
      <c r="B1058">
        <v>10</v>
      </c>
      <c r="C1058">
        <v>2</v>
      </c>
      <c r="D1058">
        <v>60</v>
      </c>
    </row>
    <row r="1059" spans="1:4" x14ac:dyDescent="0.25">
      <c r="A1059" t="s">
        <v>2055</v>
      </c>
      <c r="B1059">
        <v>7</v>
      </c>
      <c r="C1059">
        <v>4</v>
      </c>
      <c r="D1059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7E4C-460D-4090-9C85-91AE8DB97385}">
  <dimension ref="A1:I158"/>
  <sheetViews>
    <sheetView workbookViewId="0">
      <selection activeCell="E2" sqref="E2:F158"/>
    </sheetView>
  </sheetViews>
  <sheetFormatPr defaultRowHeight="15" x14ac:dyDescent="0.25"/>
  <cols>
    <col min="1" max="1" width="34.5703125" bestFit="1" customWidth="1"/>
    <col min="2" max="3" width="34.5703125" customWidth="1"/>
    <col min="5" max="5" width="11.42578125" bestFit="1" customWidth="1"/>
  </cols>
  <sheetData>
    <row r="1" spans="1:9" x14ac:dyDescent="0.25">
      <c r="A1" t="s">
        <v>374</v>
      </c>
      <c r="B1" t="s">
        <v>245</v>
      </c>
      <c r="C1" t="s">
        <v>246</v>
      </c>
      <c r="D1" t="s">
        <v>375</v>
      </c>
      <c r="E1" t="s">
        <v>384</v>
      </c>
      <c r="F1" t="s">
        <v>376</v>
      </c>
      <c r="G1" t="s">
        <v>377</v>
      </c>
      <c r="H1" t="s">
        <v>373</v>
      </c>
      <c r="I1" s="2" t="s">
        <v>385</v>
      </c>
    </row>
    <row r="2" spans="1:9" x14ac:dyDescent="0.25">
      <c r="A2" t="s">
        <v>247</v>
      </c>
      <c r="B2" t="str">
        <f>VLOOKUP(A2,PPL!B:C,2,0)</f>
        <v>Erfina K. Lamaju</v>
      </c>
      <c r="C2" t="str">
        <f>VLOOKUP(A2,PPL!B:D,3,0)</f>
        <v>Meidy</v>
      </c>
      <c r="D2" t="s">
        <v>244</v>
      </c>
      <c r="E2">
        <v>685</v>
      </c>
      <c r="F2">
        <v>684</v>
      </c>
      <c r="G2">
        <f>VLOOKUP(A2,PPL!B:N,13,0)</f>
        <v>686</v>
      </c>
      <c r="H2">
        <f>G2-F2</f>
        <v>2</v>
      </c>
      <c r="I2" t="b">
        <f>E2=G2</f>
        <v>0</v>
      </c>
    </row>
    <row r="3" spans="1:9" x14ac:dyDescent="0.25">
      <c r="A3" t="s">
        <v>248</v>
      </c>
      <c r="B3" t="str">
        <f>VLOOKUP(A3,PPL!B:C,2,0)</f>
        <v>Marsila Mayanti Matiune</v>
      </c>
      <c r="C3" t="str">
        <f>VLOOKUP(A3,PPL!B:D,3,0)</f>
        <v>Lasimran</v>
      </c>
      <c r="D3" t="s">
        <v>244</v>
      </c>
      <c r="E3">
        <v>643</v>
      </c>
      <c r="F3">
        <v>643</v>
      </c>
      <c r="G3">
        <f>VLOOKUP(A3,PPL!B:N,13,0)</f>
        <v>643</v>
      </c>
      <c r="H3">
        <f t="shared" ref="H3:H61" si="0">G3-F3</f>
        <v>0</v>
      </c>
      <c r="I3" t="b">
        <f t="shared" ref="I3:I62" si="1">E3=G3</f>
        <v>1</v>
      </c>
    </row>
    <row r="4" spans="1:9" x14ac:dyDescent="0.25">
      <c r="A4" t="s">
        <v>249</v>
      </c>
      <c r="B4" t="str">
        <f>VLOOKUP(A4,PPL!B:C,2,0)</f>
        <v>Erfina K. Lamaju</v>
      </c>
      <c r="C4" t="str">
        <f>VLOOKUP(A4,PPL!B:D,3,0)</f>
        <v>Meidy</v>
      </c>
      <c r="D4" t="s">
        <v>244</v>
      </c>
      <c r="E4">
        <v>733</v>
      </c>
      <c r="F4">
        <v>733</v>
      </c>
      <c r="G4">
        <f>VLOOKUP(A4,PPL!B:N,13,0)</f>
        <v>733</v>
      </c>
      <c r="H4">
        <f t="shared" si="0"/>
        <v>0</v>
      </c>
      <c r="I4" t="b">
        <f t="shared" si="1"/>
        <v>1</v>
      </c>
    </row>
    <row r="5" spans="1:9" x14ac:dyDescent="0.25">
      <c r="A5" t="s">
        <v>250</v>
      </c>
      <c r="B5" t="str">
        <f>VLOOKUP(A5,PPL!B:C,2,0)</f>
        <v>Erfina K. Lamaju</v>
      </c>
      <c r="C5" t="str">
        <f>VLOOKUP(A5,PPL!B:D,3,0)</f>
        <v>Meidy</v>
      </c>
      <c r="D5" t="s">
        <v>244</v>
      </c>
      <c r="E5">
        <v>706</v>
      </c>
      <c r="F5">
        <v>706</v>
      </c>
      <c r="G5">
        <f>VLOOKUP(A5,PPL!B:N,13,0)</f>
        <v>706</v>
      </c>
      <c r="H5">
        <f t="shared" si="0"/>
        <v>0</v>
      </c>
      <c r="I5" t="b">
        <f t="shared" si="1"/>
        <v>1</v>
      </c>
    </row>
    <row r="6" spans="1:9" x14ac:dyDescent="0.25">
      <c r="A6" t="s">
        <v>251</v>
      </c>
      <c r="B6" t="str">
        <f>VLOOKUP(A6,PPL!B:C,2,0)</f>
        <v>Erfina K. Lamaju</v>
      </c>
      <c r="C6" t="str">
        <f>VLOOKUP(A6,PPL!B:D,3,0)</f>
        <v>Meidy</v>
      </c>
      <c r="D6" t="s">
        <v>244</v>
      </c>
      <c r="E6">
        <v>813</v>
      </c>
      <c r="F6">
        <v>813</v>
      </c>
      <c r="G6">
        <f>VLOOKUP(A6,PPL!B:N,13,0)</f>
        <v>817</v>
      </c>
      <c r="H6">
        <f t="shared" si="0"/>
        <v>4</v>
      </c>
      <c r="I6" t="b">
        <f t="shared" si="1"/>
        <v>0</v>
      </c>
    </row>
    <row r="7" spans="1:9" x14ac:dyDescent="0.25">
      <c r="A7" t="s">
        <v>252</v>
      </c>
      <c r="B7" t="str">
        <f>VLOOKUP(A7,PPL!B:C,2,0)</f>
        <v>Erfina K. Lamaju</v>
      </c>
      <c r="C7" t="str">
        <f>VLOOKUP(A7,PPL!B:D,3,0)</f>
        <v>Meidy</v>
      </c>
      <c r="D7" t="s">
        <v>244</v>
      </c>
      <c r="E7">
        <v>656</v>
      </c>
      <c r="F7">
        <v>656</v>
      </c>
      <c r="G7">
        <f>VLOOKUP(A7,PPL!B:N,13,0)</f>
        <v>656</v>
      </c>
      <c r="H7">
        <f t="shared" si="0"/>
        <v>0</v>
      </c>
      <c r="I7" t="b">
        <f t="shared" si="1"/>
        <v>1</v>
      </c>
    </row>
    <row r="8" spans="1:9" x14ac:dyDescent="0.25">
      <c r="A8" t="s">
        <v>253</v>
      </c>
      <c r="B8" t="str">
        <f>VLOOKUP(A8,PPL!B:C,2,0)</f>
        <v>Marsila Mayanti Matiune</v>
      </c>
      <c r="C8" t="str">
        <f>VLOOKUP(A8,PPL!B:D,3,0)</f>
        <v>Lasimran</v>
      </c>
      <c r="D8" t="s">
        <v>244</v>
      </c>
      <c r="E8">
        <v>733</v>
      </c>
      <c r="F8">
        <v>733</v>
      </c>
      <c r="G8">
        <f>VLOOKUP(A8,PPL!B:N,13,0)</f>
        <v>733</v>
      </c>
      <c r="H8">
        <f t="shared" si="0"/>
        <v>0</v>
      </c>
      <c r="I8" t="b">
        <f t="shared" si="1"/>
        <v>1</v>
      </c>
    </row>
    <row r="9" spans="1:9" x14ac:dyDescent="0.25">
      <c r="A9" t="s">
        <v>254</v>
      </c>
      <c r="B9" t="str">
        <f>VLOOKUP(A9,PPL!B:C,2,0)</f>
        <v>Erfina K. Lamaju</v>
      </c>
      <c r="C9" t="str">
        <f>VLOOKUP(A9,PPL!B:D,3,0)</f>
        <v>Meidy</v>
      </c>
      <c r="D9" t="s">
        <v>244</v>
      </c>
      <c r="E9">
        <v>782</v>
      </c>
      <c r="F9">
        <v>782</v>
      </c>
      <c r="G9">
        <f>VLOOKUP(A9,PPL!B:N,13,0)</f>
        <v>781</v>
      </c>
      <c r="H9">
        <f t="shared" si="0"/>
        <v>-1</v>
      </c>
      <c r="I9" t="b">
        <f t="shared" si="1"/>
        <v>0</v>
      </c>
    </row>
    <row r="10" spans="1:9" x14ac:dyDescent="0.25">
      <c r="A10" t="s">
        <v>255</v>
      </c>
      <c r="B10" t="str">
        <f>VLOOKUP(A10,PPL!B:C,2,0)</f>
        <v>Marsila Mayanti Matiune</v>
      </c>
      <c r="C10" t="str">
        <f>VLOOKUP(A10,PPL!B:D,3,0)</f>
        <v>Lasimran</v>
      </c>
      <c r="D10" t="s">
        <v>244</v>
      </c>
      <c r="E10">
        <v>734</v>
      </c>
      <c r="F10">
        <v>734</v>
      </c>
      <c r="G10">
        <f>VLOOKUP(A10,PPL!B:N,13,0)</f>
        <v>734</v>
      </c>
      <c r="H10">
        <f t="shared" si="0"/>
        <v>0</v>
      </c>
      <c r="I10" t="b">
        <f t="shared" si="1"/>
        <v>1</v>
      </c>
    </row>
    <row r="11" spans="1:9" x14ac:dyDescent="0.25">
      <c r="A11" t="s">
        <v>256</v>
      </c>
      <c r="B11" t="str">
        <f>VLOOKUP(A11,PPL!B:C,2,0)</f>
        <v>Marsila Mayanti Matiune</v>
      </c>
      <c r="C11" t="str">
        <f>VLOOKUP(A11,PPL!B:D,3,0)</f>
        <v>Lasimran</v>
      </c>
      <c r="D11" t="s">
        <v>244</v>
      </c>
      <c r="E11">
        <v>818</v>
      </c>
      <c r="F11">
        <v>818</v>
      </c>
      <c r="G11">
        <f>VLOOKUP(A11,PPL!B:N,13,0)</f>
        <v>818</v>
      </c>
      <c r="H11">
        <f t="shared" si="0"/>
        <v>0</v>
      </c>
      <c r="I11" t="b">
        <f t="shared" si="1"/>
        <v>1</v>
      </c>
    </row>
    <row r="12" spans="1:9" x14ac:dyDescent="0.25">
      <c r="A12" t="s">
        <v>257</v>
      </c>
      <c r="B12" t="str">
        <f>VLOOKUP(A12,PPL!B:C,2,0)</f>
        <v>Marsila Mayanti Matiune</v>
      </c>
      <c r="C12" t="str">
        <f>VLOOKUP(A12,PPL!B:D,3,0)</f>
        <v>Lasimran</v>
      </c>
      <c r="D12" t="s">
        <v>244</v>
      </c>
      <c r="E12">
        <v>761</v>
      </c>
      <c r="F12">
        <v>761</v>
      </c>
      <c r="G12">
        <f>VLOOKUP(A12,PPL!B:N,13,0)</f>
        <v>761</v>
      </c>
      <c r="H12">
        <f t="shared" si="0"/>
        <v>0</v>
      </c>
      <c r="I12" t="b">
        <f t="shared" si="1"/>
        <v>1</v>
      </c>
    </row>
    <row r="13" spans="1:9" x14ac:dyDescent="0.25">
      <c r="A13" t="s">
        <v>258</v>
      </c>
      <c r="B13" t="str">
        <f>VLOOKUP(A13,PPL!B:C,2,0)</f>
        <v>Husnul Khotimah Hasri</v>
      </c>
      <c r="C13" t="str">
        <f>VLOOKUP(A13,PPL!B:D,3,0)</f>
        <v>Oliv</v>
      </c>
      <c r="D13" t="s">
        <v>244</v>
      </c>
      <c r="E13">
        <v>850</v>
      </c>
      <c r="F13">
        <v>850</v>
      </c>
      <c r="G13">
        <f>VLOOKUP(A13,PPL!B:N,13,0)</f>
        <v>850</v>
      </c>
      <c r="H13">
        <f t="shared" si="0"/>
        <v>0</v>
      </c>
      <c r="I13" t="b">
        <f t="shared" si="1"/>
        <v>1</v>
      </c>
    </row>
    <row r="14" spans="1:9" x14ac:dyDescent="0.25">
      <c r="A14" t="s">
        <v>259</v>
      </c>
      <c r="B14" t="str">
        <f>VLOOKUP(A14,PPL!B:C,2,0)</f>
        <v>Husnul Khotimah Hasri</v>
      </c>
      <c r="C14" t="str">
        <f>VLOOKUP(A14,PPL!B:D,3,0)</f>
        <v>Oliv</v>
      </c>
      <c r="D14" t="s">
        <v>244</v>
      </c>
      <c r="E14">
        <v>890</v>
      </c>
      <c r="F14">
        <v>890</v>
      </c>
      <c r="G14">
        <f>VLOOKUP(A14,PPL!B:N,13,0)</f>
        <v>890</v>
      </c>
      <c r="H14">
        <f t="shared" si="0"/>
        <v>0</v>
      </c>
      <c r="I14" t="b">
        <f t="shared" si="1"/>
        <v>1</v>
      </c>
    </row>
    <row r="15" spans="1:9" x14ac:dyDescent="0.25">
      <c r="A15" t="s">
        <v>260</v>
      </c>
      <c r="B15" t="str">
        <f>VLOOKUP(A15,PPL!B:C,2,0)</f>
        <v>Husnul Khotimah Hasri</v>
      </c>
      <c r="C15" t="str">
        <f>VLOOKUP(A15,PPL!B:D,3,0)</f>
        <v>Oliv</v>
      </c>
      <c r="D15" t="s">
        <v>244</v>
      </c>
      <c r="E15">
        <v>990</v>
      </c>
      <c r="F15">
        <v>990</v>
      </c>
      <c r="G15">
        <f>VLOOKUP(A15,PPL!B:N,13,0)</f>
        <v>990</v>
      </c>
      <c r="H15">
        <f t="shared" si="0"/>
        <v>0</v>
      </c>
      <c r="I15" t="b">
        <f t="shared" si="1"/>
        <v>1</v>
      </c>
    </row>
    <row r="16" spans="1:9" x14ac:dyDescent="0.25">
      <c r="A16" t="s">
        <v>261</v>
      </c>
      <c r="B16" t="str">
        <f>VLOOKUP(A16,PPL!B:C,2,0)</f>
        <v>Erfina K. Lamaju</v>
      </c>
      <c r="C16" t="str">
        <f>VLOOKUP(A16,PPL!B:D,3,0)</f>
        <v>Meidy</v>
      </c>
      <c r="D16" t="s">
        <v>244</v>
      </c>
      <c r="E16">
        <v>893</v>
      </c>
      <c r="F16">
        <v>893</v>
      </c>
      <c r="G16">
        <f>VLOOKUP(A16,PPL!B:N,13,0)</f>
        <v>893</v>
      </c>
      <c r="H16">
        <f t="shared" si="0"/>
        <v>0</v>
      </c>
      <c r="I16" t="b">
        <f t="shared" si="1"/>
        <v>1</v>
      </c>
    </row>
    <row r="17" spans="1:9" x14ac:dyDescent="0.25">
      <c r="A17" t="s">
        <v>262</v>
      </c>
      <c r="B17" t="str">
        <f>VLOOKUP(A17,PPL!B:C,2,0)</f>
        <v>Husnul Khotimah Hasri</v>
      </c>
      <c r="C17" t="str">
        <f>VLOOKUP(A17,PPL!B:D,3,0)</f>
        <v>Oliv</v>
      </c>
      <c r="D17" t="s">
        <v>244</v>
      </c>
      <c r="E17">
        <v>892</v>
      </c>
      <c r="F17">
        <v>892</v>
      </c>
      <c r="G17">
        <f>VLOOKUP(A17,PPL!B:N,13,0)</f>
        <v>892</v>
      </c>
      <c r="H17">
        <f t="shared" si="0"/>
        <v>0</v>
      </c>
      <c r="I17" t="b">
        <f t="shared" si="1"/>
        <v>1</v>
      </c>
    </row>
    <row r="18" spans="1:9" x14ac:dyDescent="0.25">
      <c r="A18" t="s">
        <v>263</v>
      </c>
      <c r="B18" t="str">
        <f>VLOOKUP(A18,PPL!B:C,2,0)</f>
        <v>Husnul Khotimah Hasri</v>
      </c>
      <c r="C18" t="str">
        <f>VLOOKUP(A18,PPL!B:D,3,0)</f>
        <v>Oliv</v>
      </c>
      <c r="D18" t="s">
        <v>244</v>
      </c>
      <c r="E18">
        <v>1089</v>
      </c>
      <c r="F18">
        <v>1089</v>
      </c>
      <c r="G18">
        <f>VLOOKUP(A18,PPL!B:N,13,0)</f>
        <v>1089</v>
      </c>
      <c r="H18">
        <f t="shared" si="0"/>
        <v>0</v>
      </c>
      <c r="I18" t="b">
        <f t="shared" si="1"/>
        <v>1</v>
      </c>
    </row>
    <row r="19" spans="1:9" x14ac:dyDescent="0.25">
      <c r="A19" t="s">
        <v>264</v>
      </c>
      <c r="B19" t="str">
        <f>VLOOKUP(A19,PPL!B:C,2,0)</f>
        <v>Husnul Khotimah Hasri</v>
      </c>
      <c r="C19" t="str">
        <f>VLOOKUP(A19,PPL!B:D,3,0)</f>
        <v>Oliv</v>
      </c>
      <c r="D19" t="s">
        <v>244</v>
      </c>
      <c r="E19">
        <v>758</v>
      </c>
      <c r="F19">
        <v>758</v>
      </c>
      <c r="G19">
        <f>VLOOKUP(A19,PPL!B:N,13,0)</f>
        <v>758</v>
      </c>
      <c r="H19">
        <f t="shared" si="0"/>
        <v>0</v>
      </c>
      <c r="I19" t="b">
        <f t="shared" si="1"/>
        <v>1</v>
      </c>
    </row>
    <row r="20" spans="1:9" x14ac:dyDescent="0.25">
      <c r="A20" t="s">
        <v>265</v>
      </c>
      <c r="B20" t="str">
        <f>VLOOKUP(A20,PPL!B:C,2,0)</f>
        <v>Marsila Mayanti Matiune</v>
      </c>
      <c r="C20" t="str">
        <f>VLOOKUP(A20,PPL!B:D,3,0)</f>
        <v>Lasimran</v>
      </c>
      <c r="D20" t="s">
        <v>244</v>
      </c>
      <c r="E20">
        <v>839</v>
      </c>
      <c r="F20">
        <v>839</v>
      </c>
      <c r="G20">
        <f>VLOOKUP(A20,PPL!B:N,13,0)</f>
        <v>839</v>
      </c>
      <c r="H20">
        <f t="shared" si="0"/>
        <v>0</v>
      </c>
      <c r="I20" t="b">
        <f t="shared" si="1"/>
        <v>1</v>
      </c>
    </row>
    <row r="21" spans="1:9" x14ac:dyDescent="0.25">
      <c r="A21" t="s">
        <v>266</v>
      </c>
      <c r="B21" t="str">
        <f>VLOOKUP(A21,PPL!B:C,2,0)</f>
        <v>Husnul Khotimah Hasri</v>
      </c>
      <c r="C21" t="str">
        <f>VLOOKUP(A21,PPL!B:D,3,0)</f>
        <v>Oliv</v>
      </c>
      <c r="D21" t="s">
        <v>244</v>
      </c>
      <c r="E21">
        <v>850</v>
      </c>
      <c r="F21">
        <v>850</v>
      </c>
      <c r="G21">
        <f>VLOOKUP(A21,PPL!B:N,13,0)</f>
        <v>850</v>
      </c>
      <c r="H21">
        <f t="shared" si="0"/>
        <v>0</v>
      </c>
      <c r="I21" t="b">
        <f t="shared" si="1"/>
        <v>1</v>
      </c>
    </row>
    <row r="22" spans="1:9" x14ac:dyDescent="0.25">
      <c r="A22" t="s">
        <v>267</v>
      </c>
      <c r="B22" t="str">
        <f>VLOOKUP(A22,PPL!B:C,2,0)</f>
        <v>Retnowati Sumelung</v>
      </c>
      <c r="C22" t="str">
        <f>VLOOKUP(A22,PPL!B:D,3,0)</f>
        <v>Vera</v>
      </c>
      <c r="D22" t="s">
        <v>244</v>
      </c>
      <c r="E22">
        <v>797</v>
      </c>
      <c r="F22">
        <v>817</v>
      </c>
      <c r="G22">
        <f>VLOOKUP(A22,PPL!B:N,13,0)</f>
        <v>838</v>
      </c>
      <c r="H22">
        <f t="shared" si="0"/>
        <v>21</v>
      </c>
      <c r="I22" t="b">
        <f t="shared" si="1"/>
        <v>0</v>
      </c>
    </row>
    <row r="23" spans="1:9" x14ac:dyDescent="0.25">
      <c r="A23" t="s">
        <v>268</v>
      </c>
      <c r="B23" t="str">
        <f>VLOOKUP(A23,PPL!B:C,2,0)</f>
        <v>Mariska Langi</v>
      </c>
      <c r="C23" t="str">
        <f>VLOOKUP(A23,PPL!B:D,3,0)</f>
        <v>NurAlamsyah</v>
      </c>
      <c r="D23" t="s">
        <v>244</v>
      </c>
      <c r="E23">
        <v>1001</v>
      </c>
      <c r="F23">
        <v>1028</v>
      </c>
      <c r="G23">
        <f>VLOOKUP(A23,PPL!B:N,13,0)</f>
        <v>1028</v>
      </c>
      <c r="H23">
        <f t="shared" si="0"/>
        <v>0</v>
      </c>
      <c r="I23" t="b">
        <f t="shared" si="1"/>
        <v>0</v>
      </c>
    </row>
    <row r="24" spans="1:9" x14ac:dyDescent="0.25">
      <c r="A24" t="s">
        <v>269</v>
      </c>
      <c r="B24" t="str">
        <f>VLOOKUP(A24,PPL!B:C,2,0)</f>
        <v>Mariska Langi</v>
      </c>
      <c r="C24" t="str">
        <f>VLOOKUP(A24,PPL!B:D,3,0)</f>
        <v>NurAlamsyah</v>
      </c>
      <c r="D24" t="s">
        <v>244</v>
      </c>
      <c r="E24">
        <v>840</v>
      </c>
      <c r="F24">
        <v>849</v>
      </c>
      <c r="G24">
        <f>VLOOKUP(A24,PPL!B:N,13,0)</f>
        <v>860</v>
      </c>
      <c r="H24">
        <f t="shared" si="0"/>
        <v>11</v>
      </c>
      <c r="I24" t="b">
        <f t="shared" si="1"/>
        <v>0</v>
      </c>
    </row>
    <row r="25" spans="1:9" x14ac:dyDescent="0.25">
      <c r="A25" t="s">
        <v>270</v>
      </c>
      <c r="B25" t="str">
        <f>VLOOKUP(A25,PPL!B:C,2,0)</f>
        <v>Mariska Langi</v>
      </c>
      <c r="C25" t="str">
        <f>VLOOKUP(A25,PPL!B:D,3,0)</f>
        <v>NurAlamsyah</v>
      </c>
      <c r="D25" t="s">
        <v>244</v>
      </c>
      <c r="E25">
        <v>946</v>
      </c>
      <c r="F25">
        <v>949</v>
      </c>
      <c r="G25">
        <f>VLOOKUP(A25,PPL!B:N,13,0)</f>
        <v>949</v>
      </c>
      <c r="H25">
        <f t="shared" si="0"/>
        <v>0</v>
      </c>
      <c r="I25" t="b">
        <f t="shared" si="1"/>
        <v>0</v>
      </c>
    </row>
    <row r="26" spans="1:9" x14ac:dyDescent="0.25">
      <c r="A26" t="s">
        <v>271</v>
      </c>
      <c r="B26" t="str">
        <f>VLOOKUP(A26,PPL!B:C,2,0)</f>
        <v>Lina Aprilia</v>
      </c>
      <c r="C26" t="str">
        <f>VLOOKUP(A26,PPL!B:D,3,0)</f>
        <v>Firly</v>
      </c>
      <c r="D26" t="s">
        <v>244</v>
      </c>
      <c r="E26">
        <v>989</v>
      </c>
      <c r="F26">
        <v>990</v>
      </c>
      <c r="G26">
        <f>VLOOKUP(A26,PPL!B:N,13,0)</f>
        <v>991</v>
      </c>
      <c r="H26">
        <f t="shared" si="0"/>
        <v>1</v>
      </c>
      <c r="I26" t="b">
        <f t="shared" si="1"/>
        <v>0</v>
      </c>
    </row>
    <row r="27" spans="1:9" x14ac:dyDescent="0.25">
      <c r="A27" t="s">
        <v>272</v>
      </c>
      <c r="B27" t="str">
        <f>VLOOKUP(A27,PPL!B:C,2,0)</f>
        <v>Lina Aprilia</v>
      </c>
      <c r="C27" t="str">
        <f>VLOOKUP(A27,PPL!B:D,3,0)</f>
        <v>Firly</v>
      </c>
      <c r="D27" t="s">
        <v>244</v>
      </c>
      <c r="E27">
        <v>737</v>
      </c>
      <c r="F27">
        <v>755</v>
      </c>
      <c r="G27">
        <f>VLOOKUP(A27,PPL!B:N,13,0)</f>
        <v>780</v>
      </c>
      <c r="H27">
        <f t="shared" si="0"/>
        <v>25</v>
      </c>
      <c r="I27" t="b">
        <f t="shared" si="1"/>
        <v>0</v>
      </c>
    </row>
    <row r="28" spans="1:9" x14ac:dyDescent="0.25">
      <c r="A28" t="s">
        <v>273</v>
      </c>
      <c r="B28" t="str">
        <f>VLOOKUP(A28,PPL!B:C,2,0)</f>
        <v>Retnowati Sumelung</v>
      </c>
      <c r="C28" t="str">
        <f>VLOOKUP(A28,PPL!B:D,3,0)</f>
        <v>Vera</v>
      </c>
      <c r="D28" t="s">
        <v>244</v>
      </c>
      <c r="E28">
        <v>899</v>
      </c>
      <c r="F28">
        <v>943</v>
      </c>
      <c r="G28">
        <f>VLOOKUP(A28,PPL!B:N,13,0)</f>
        <v>981</v>
      </c>
      <c r="H28">
        <f t="shared" si="0"/>
        <v>38</v>
      </c>
      <c r="I28" t="b">
        <f t="shared" si="1"/>
        <v>0</v>
      </c>
    </row>
    <row r="29" spans="1:9" x14ac:dyDescent="0.25">
      <c r="A29" t="s">
        <v>274</v>
      </c>
      <c r="B29" t="str">
        <f>VLOOKUP(A29,PPL!B:C,2,0)</f>
        <v>Mariska Langi</v>
      </c>
      <c r="C29" t="str">
        <f>VLOOKUP(A29,PPL!B:D,3,0)</f>
        <v>NurAlamsyah</v>
      </c>
      <c r="D29" t="s">
        <v>244</v>
      </c>
      <c r="E29">
        <v>698</v>
      </c>
      <c r="F29">
        <v>698</v>
      </c>
      <c r="G29">
        <f>VLOOKUP(A29,PPL!B:N,13,0)</f>
        <v>700</v>
      </c>
      <c r="H29">
        <f t="shared" si="0"/>
        <v>2</v>
      </c>
      <c r="I29" t="b">
        <f t="shared" si="1"/>
        <v>0</v>
      </c>
    </row>
    <row r="30" spans="1:9" x14ac:dyDescent="0.25">
      <c r="A30" t="s">
        <v>275</v>
      </c>
      <c r="B30" t="str">
        <f>VLOOKUP(A30,PPL!B:C,2,0)</f>
        <v>Lina Aprilia</v>
      </c>
      <c r="C30" t="str">
        <f>VLOOKUP(A30,PPL!B:D,3,0)</f>
        <v>Firly</v>
      </c>
      <c r="D30" t="s">
        <v>244</v>
      </c>
      <c r="E30">
        <v>785</v>
      </c>
      <c r="F30">
        <v>802</v>
      </c>
      <c r="G30">
        <f>VLOOKUP(A30,PPL!B:N,13,0)</f>
        <v>852</v>
      </c>
      <c r="H30">
        <f t="shared" si="0"/>
        <v>50</v>
      </c>
      <c r="I30" t="b">
        <f t="shared" si="1"/>
        <v>0</v>
      </c>
    </row>
    <row r="31" spans="1:9" x14ac:dyDescent="0.25">
      <c r="A31" t="s">
        <v>276</v>
      </c>
      <c r="B31" t="str">
        <f>VLOOKUP(A31,PPL!B:C,2,0)</f>
        <v>Lina Aprilia</v>
      </c>
      <c r="C31" t="str">
        <f>VLOOKUP(A31,PPL!B:D,3,0)</f>
        <v>Firly</v>
      </c>
      <c r="D31" t="s">
        <v>244</v>
      </c>
      <c r="E31">
        <v>847</v>
      </c>
      <c r="F31">
        <v>847</v>
      </c>
      <c r="G31">
        <f>VLOOKUP(A31,PPL!B:N,13,0)</f>
        <v>859</v>
      </c>
      <c r="H31">
        <f t="shared" si="0"/>
        <v>12</v>
      </c>
      <c r="I31" t="b">
        <f t="shared" si="1"/>
        <v>0</v>
      </c>
    </row>
    <row r="32" spans="1:9" x14ac:dyDescent="0.25">
      <c r="A32" t="s">
        <v>277</v>
      </c>
      <c r="B32" t="str">
        <f>VLOOKUP(A32,PPL!B:C,2,0)</f>
        <v>Lina Aprilia</v>
      </c>
      <c r="C32" t="str">
        <f>VLOOKUP(A32,PPL!B:D,3,0)</f>
        <v>Firly</v>
      </c>
      <c r="D32" t="s">
        <v>244</v>
      </c>
      <c r="E32">
        <v>943</v>
      </c>
      <c r="F32">
        <v>943</v>
      </c>
      <c r="G32">
        <f>VLOOKUP(A32,PPL!B:N,13,0)</f>
        <v>943</v>
      </c>
      <c r="H32">
        <f t="shared" si="0"/>
        <v>0</v>
      </c>
      <c r="I32" t="b">
        <f t="shared" si="1"/>
        <v>1</v>
      </c>
    </row>
    <row r="33" spans="1:9" x14ac:dyDescent="0.25">
      <c r="A33" t="s">
        <v>278</v>
      </c>
      <c r="B33" t="str">
        <f>VLOOKUP(A33,PPL!B:C,2,0)</f>
        <v>Lina Aprilia</v>
      </c>
      <c r="C33" t="str">
        <f>VLOOKUP(A33,PPL!B:D,3,0)</f>
        <v>Firly</v>
      </c>
      <c r="D33" t="s">
        <v>244</v>
      </c>
      <c r="E33">
        <v>864</v>
      </c>
      <c r="F33">
        <v>864</v>
      </c>
      <c r="G33">
        <f>VLOOKUP(A33,PPL!B:N,13,0)</f>
        <v>862</v>
      </c>
      <c r="H33">
        <f t="shared" si="0"/>
        <v>-2</v>
      </c>
      <c r="I33" t="b">
        <f t="shared" si="1"/>
        <v>0</v>
      </c>
    </row>
    <row r="34" spans="1:9" x14ac:dyDescent="0.25">
      <c r="A34" t="s">
        <v>279</v>
      </c>
      <c r="B34" t="str">
        <f>VLOOKUP(A34,PPL!B:C,2,0)</f>
        <v>Retnowati Sumelung</v>
      </c>
      <c r="C34" t="str">
        <f>VLOOKUP(A34,PPL!B:D,3,0)</f>
        <v>Vera</v>
      </c>
      <c r="D34" t="s">
        <v>244</v>
      </c>
      <c r="E34">
        <v>685</v>
      </c>
      <c r="F34">
        <v>747</v>
      </c>
      <c r="G34">
        <f>VLOOKUP(A34,PPL!B:N,13,0)</f>
        <v>763</v>
      </c>
      <c r="H34">
        <f t="shared" si="0"/>
        <v>16</v>
      </c>
      <c r="I34" t="b">
        <f t="shared" si="1"/>
        <v>0</v>
      </c>
    </row>
    <row r="35" spans="1:9" x14ac:dyDescent="0.25">
      <c r="A35" t="s">
        <v>280</v>
      </c>
      <c r="B35" t="str">
        <f>VLOOKUP(A35,PPL!B:C,2,0)</f>
        <v>Retnowati Sumelung</v>
      </c>
      <c r="C35" t="str">
        <f>VLOOKUP(A35,PPL!B:D,3,0)</f>
        <v>Vera</v>
      </c>
      <c r="D35" t="s">
        <v>244</v>
      </c>
      <c r="E35">
        <v>637</v>
      </c>
      <c r="F35">
        <v>660</v>
      </c>
      <c r="G35">
        <f>VLOOKUP(A35,PPL!B:N,13,0)</f>
        <v>682</v>
      </c>
      <c r="H35">
        <f t="shared" si="0"/>
        <v>22</v>
      </c>
      <c r="I35" t="b">
        <f t="shared" si="1"/>
        <v>0</v>
      </c>
    </row>
    <row r="36" spans="1:9" x14ac:dyDescent="0.25">
      <c r="A36" t="s">
        <v>281</v>
      </c>
      <c r="B36" t="str">
        <f>VLOOKUP(A36,PPL!B:C,2,0)</f>
        <v>Retnowati Sumelung</v>
      </c>
      <c r="C36" t="str">
        <f>VLOOKUP(A36,PPL!B:D,3,0)</f>
        <v>Vera</v>
      </c>
      <c r="D36" t="s">
        <v>244</v>
      </c>
      <c r="E36">
        <v>986</v>
      </c>
      <c r="F36">
        <v>991</v>
      </c>
      <c r="G36">
        <f>VLOOKUP(A36,PPL!B:N,13,0)</f>
        <v>992</v>
      </c>
      <c r="H36">
        <f t="shared" si="0"/>
        <v>1</v>
      </c>
      <c r="I36" t="b">
        <f t="shared" si="1"/>
        <v>0</v>
      </c>
    </row>
    <row r="37" spans="1:9" x14ac:dyDescent="0.25">
      <c r="A37" t="s">
        <v>282</v>
      </c>
      <c r="B37" t="str">
        <f>VLOOKUP(A37,PPL!B:C,2,0)</f>
        <v>Retnowati Sumelung</v>
      </c>
      <c r="C37" t="str">
        <f>VLOOKUP(A37,PPL!B:D,3,0)</f>
        <v>Vera</v>
      </c>
      <c r="D37" t="s">
        <v>244</v>
      </c>
      <c r="E37">
        <v>826</v>
      </c>
      <c r="F37">
        <v>840</v>
      </c>
      <c r="G37">
        <f>VLOOKUP(A37,PPL!B:N,13,0)</f>
        <v>872</v>
      </c>
      <c r="H37">
        <f t="shared" si="0"/>
        <v>32</v>
      </c>
      <c r="I37" t="b">
        <f t="shared" si="1"/>
        <v>0</v>
      </c>
    </row>
    <row r="38" spans="1:9" x14ac:dyDescent="0.25">
      <c r="A38" t="s">
        <v>283</v>
      </c>
      <c r="B38" t="str">
        <f>VLOOKUP(A38,PPL!B:C,2,0)</f>
        <v>Mariska Langi</v>
      </c>
      <c r="C38" t="str">
        <f>VLOOKUP(A38,PPL!B:D,3,0)</f>
        <v>NurAlamsyah</v>
      </c>
      <c r="D38" t="s">
        <v>244</v>
      </c>
      <c r="E38">
        <v>1126</v>
      </c>
      <c r="F38">
        <v>1186</v>
      </c>
      <c r="G38">
        <f>VLOOKUP(A38,PPL!B:N,13,0)</f>
        <v>1266</v>
      </c>
      <c r="H38">
        <f t="shared" si="0"/>
        <v>80</v>
      </c>
      <c r="I38" t="b">
        <f t="shared" si="1"/>
        <v>0</v>
      </c>
    </row>
    <row r="39" spans="1:9" x14ac:dyDescent="0.25">
      <c r="A39" t="s">
        <v>284</v>
      </c>
      <c r="B39" t="str">
        <f>VLOOKUP(A39,PPL!B:C,2,0)</f>
        <v>Mariska Langi</v>
      </c>
      <c r="C39" t="str">
        <f>VLOOKUP(A39,PPL!B:D,3,0)</f>
        <v>NurAlamsyah</v>
      </c>
      <c r="D39" t="s">
        <v>244</v>
      </c>
      <c r="E39">
        <v>876</v>
      </c>
      <c r="F39">
        <v>876</v>
      </c>
      <c r="G39">
        <f>VLOOKUP(A39,PPL!B:N,13,0)</f>
        <v>876</v>
      </c>
      <c r="H39">
        <f t="shared" si="0"/>
        <v>0</v>
      </c>
      <c r="I39" t="b">
        <f t="shared" si="1"/>
        <v>1</v>
      </c>
    </row>
    <row r="40" spans="1:9" x14ac:dyDescent="0.25">
      <c r="A40" t="s">
        <v>285</v>
      </c>
      <c r="B40" t="str">
        <f>VLOOKUP(A40,PPL!B:C,2,0)</f>
        <v>Lina Aprilia</v>
      </c>
      <c r="C40" t="str">
        <f>VLOOKUP(A40,PPL!B:D,3,0)</f>
        <v>Firly</v>
      </c>
      <c r="D40" t="s">
        <v>244</v>
      </c>
      <c r="E40">
        <v>860</v>
      </c>
      <c r="F40">
        <v>858</v>
      </c>
      <c r="G40">
        <f>VLOOKUP(A40,PPL!B:N,13,0)</f>
        <v>865</v>
      </c>
      <c r="H40">
        <f t="shared" si="0"/>
        <v>7</v>
      </c>
      <c r="I40" t="b">
        <f t="shared" si="1"/>
        <v>0</v>
      </c>
    </row>
    <row r="41" spans="1:9" x14ac:dyDescent="0.25">
      <c r="A41" t="s">
        <v>286</v>
      </c>
      <c r="B41" t="str">
        <f>VLOOKUP(A41,PPL!B:C,2,0)</f>
        <v>Retnowati Sumelung</v>
      </c>
      <c r="C41" t="str">
        <f>VLOOKUP(A41,PPL!B:D,3,0)</f>
        <v>Vera</v>
      </c>
      <c r="D41" t="s">
        <v>244</v>
      </c>
      <c r="E41">
        <v>968</v>
      </c>
      <c r="F41">
        <v>1012</v>
      </c>
      <c r="G41">
        <f>VLOOKUP(A41,PPL!B:N,13,0)</f>
        <v>1016</v>
      </c>
      <c r="H41">
        <f t="shared" si="0"/>
        <v>4</v>
      </c>
      <c r="I41" t="b">
        <f t="shared" si="1"/>
        <v>0</v>
      </c>
    </row>
    <row r="42" spans="1:9" x14ac:dyDescent="0.25">
      <c r="A42" t="s">
        <v>287</v>
      </c>
      <c r="B42" t="str">
        <f>VLOOKUP(A42,PPL!B:C,2,0)</f>
        <v>Syerel Sinta Tulus</v>
      </c>
      <c r="C42" t="str">
        <f>VLOOKUP(A42,PPL!B:D,3,0)</f>
        <v>Handoko</v>
      </c>
      <c r="D42" t="s">
        <v>244</v>
      </c>
      <c r="E42">
        <v>715</v>
      </c>
      <c r="F42">
        <v>721</v>
      </c>
      <c r="G42">
        <f>VLOOKUP(A42,PPL!B:N,13,0)</f>
        <v>805</v>
      </c>
      <c r="H42">
        <f t="shared" si="0"/>
        <v>84</v>
      </c>
      <c r="I42" t="b">
        <f t="shared" si="1"/>
        <v>0</v>
      </c>
    </row>
    <row r="43" spans="1:9" x14ac:dyDescent="0.25">
      <c r="A43" t="s">
        <v>288</v>
      </c>
      <c r="B43" t="str">
        <f>VLOOKUP(A43,PPL!B:C,2,0)</f>
        <v>Emy Oktaviani Syah</v>
      </c>
      <c r="C43" t="str">
        <f>VLOOKUP(A43,PPL!B:D,3,0)</f>
        <v>Rudy</v>
      </c>
      <c r="D43" t="s">
        <v>244</v>
      </c>
      <c r="E43">
        <v>853</v>
      </c>
      <c r="F43">
        <v>853</v>
      </c>
      <c r="G43">
        <f>VLOOKUP(A43,PPL!B:N,13,0)</f>
        <v>870</v>
      </c>
      <c r="H43">
        <f t="shared" si="0"/>
        <v>17</v>
      </c>
      <c r="I43" t="b">
        <f t="shared" si="1"/>
        <v>0</v>
      </c>
    </row>
    <row r="44" spans="1:9" x14ac:dyDescent="0.25">
      <c r="A44" t="s">
        <v>289</v>
      </c>
      <c r="B44" t="str">
        <f>VLOOKUP(A44,PPL!B:C,2,0)</f>
        <v>Syifa Fauziah Suleman</v>
      </c>
      <c r="C44" t="str">
        <f>VLOOKUP(A44,PPL!B:D,3,0)</f>
        <v>Iska</v>
      </c>
      <c r="D44" t="s">
        <v>244</v>
      </c>
      <c r="E44">
        <v>611</v>
      </c>
      <c r="F44">
        <v>615</v>
      </c>
      <c r="G44">
        <f>VLOOKUP(A44,PPL!B:N,13,0)</f>
        <v>621</v>
      </c>
      <c r="H44">
        <f t="shared" si="0"/>
        <v>6</v>
      </c>
      <c r="I44" t="b">
        <f t="shared" si="1"/>
        <v>0</v>
      </c>
    </row>
    <row r="45" spans="1:9" x14ac:dyDescent="0.25">
      <c r="A45" t="s">
        <v>290</v>
      </c>
      <c r="B45" t="str">
        <f>VLOOKUP(A45,PPL!B:C,2,0)</f>
        <v>Emy Oktaviani Syah</v>
      </c>
      <c r="C45" t="str">
        <f>VLOOKUP(A45,PPL!B:D,3,0)</f>
        <v>Rudy</v>
      </c>
      <c r="D45" t="s">
        <v>244</v>
      </c>
      <c r="E45">
        <v>670</v>
      </c>
      <c r="F45">
        <v>670</v>
      </c>
      <c r="G45">
        <f>VLOOKUP(A45,PPL!B:N,13,0)</f>
        <v>670</v>
      </c>
      <c r="H45">
        <f t="shared" si="0"/>
        <v>0</v>
      </c>
      <c r="I45" t="b">
        <f t="shared" si="1"/>
        <v>1</v>
      </c>
    </row>
    <row r="46" spans="1:9" x14ac:dyDescent="0.25">
      <c r="A46" t="s">
        <v>291</v>
      </c>
      <c r="B46" t="str">
        <f>VLOOKUP(A46,PPL!B:C,2,0)</f>
        <v>Syerel Sinta Tulus</v>
      </c>
      <c r="C46" t="str">
        <f>VLOOKUP(A46,PPL!B:D,3,0)</f>
        <v>Handoko</v>
      </c>
      <c r="D46" t="s">
        <v>244</v>
      </c>
      <c r="E46">
        <v>673</v>
      </c>
      <c r="F46">
        <v>674</v>
      </c>
      <c r="G46">
        <f>VLOOKUP(A46,PPL!B:N,13,0)</f>
        <v>683</v>
      </c>
      <c r="H46">
        <f t="shared" si="0"/>
        <v>9</v>
      </c>
      <c r="I46" t="b">
        <f t="shared" si="1"/>
        <v>0</v>
      </c>
    </row>
    <row r="47" spans="1:9" x14ac:dyDescent="0.25">
      <c r="A47" t="s">
        <v>292</v>
      </c>
      <c r="B47" t="str">
        <f>VLOOKUP(A47,PPL!B:C,2,0)</f>
        <v>Syerel Sinta Tulus</v>
      </c>
      <c r="C47" t="str">
        <f>VLOOKUP(A47,PPL!B:D,3,0)</f>
        <v>Handoko</v>
      </c>
      <c r="D47" t="s">
        <v>244</v>
      </c>
      <c r="E47">
        <v>726</v>
      </c>
      <c r="F47">
        <v>732</v>
      </c>
      <c r="G47">
        <f>VLOOKUP(A47,PPL!B:N,13,0)</f>
        <v>740</v>
      </c>
      <c r="H47">
        <f t="shared" si="0"/>
        <v>8</v>
      </c>
      <c r="I47" t="b">
        <f t="shared" si="1"/>
        <v>0</v>
      </c>
    </row>
    <row r="48" spans="1:9" x14ac:dyDescent="0.25">
      <c r="A48" t="s">
        <v>293</v>
      </c>
      <c r="B48" t="str">
        <f>VLOOKUP(A48,PPL!B:C,2,0)</f>
        <v>Syerel Sinta Tulus</v>
      </c>
      <c r="C48" t="str">
        <f>VLOOKUP(A48,PPL!B:D,3,0)</f>
        <v>Handoko</v>
      </c>
      <c r="D48" t="s">
        <v>244</v>
      </c>
      <c r="E48">
        <v>709</v>
      </c>
      <c r="F48">
        <v>709</v>
      </c>
      <c r="G48">
        <f>VLOOKUP(A48,PPL!B:N,13,0)</f>
        <v>711</v>
      </c>
      <c r="H48">
        <f t="shared" si="0"/>
        <v>2</v>
      </c>
      <c r="I48" t="b">
        <f t="shared" si="1"/>
        <v>0</v>
      </c>
    </row>
    <row r="49" spans="1:9" x14ac:dyDescent="0.25">
      <c r="A49" t="s">
        <v>294</v>
      </c>
      <c r="B49" t="str">
        <f>VLOOKUP(A49,PPL!B:C,2,0)</f>
        <v>Syerel Sinta Tulus</v>
      </c>
      <c r="C49" t="str">
        <f>VLOOKUP(A49,PPL!B:D,3,0)</f>
        <v>Handoko</v>
      </c>
      <c r="D49" t="s">
        <v>244</v>
      </c>
      <c r="E49">
        <v>755</v>
      </c>
      <c r="F49">
        <v>787</v>
      </c>
      <c r="G49">
        <f>VLOOKUP(A49,PPL!B:N,13,0)</f>
        <v>818</v>
      </c>
      <c r="H49">
        <f t="shared" si="0"/>
        <v>31</v>
      </c>
      <c r="I49" t="b">
        <f t="shared" si="1"/>
        <v>0</v>
      </c>
    </row>
    <row r="50" spans="1:9" x14ac:dyDescent="0.25">
      <c r="A50" t="s">
        <v>295</v>
      </c>
      <c r="B50" t="str">
        <f>VLOOKUP(A50,PPL!B:C,2,0)</f>
        <v>Syifa Fauziah Suleman</v>
      </c>
      <c r="C50" t="str">
        <f>VLOOKUP(A50,PPL!B:D,3,0)</f>
        <v>Iska</v>
      </c>
      <c r="D50" t="s">
        <v>244</v>
      </c>
      <c r="E50">
        <v>795</v>
      </c>
      <c r="F50">
        <v>804</v>
      </c>
      <c r="G50">
        <f>VLOOKUP(A50,PPL!B:N,13,0)</f>
        <v>817</v>
      </c>
      <c r="H50">
        <f t="shared" si="0"/>
        <v>13</v>
      </c>
      <c r="I50" t="b">
        <f t="shared" si="1"/>
        <v>0</v>
      </c>
    </row>
    <row r="51" spans="1:9" x14ac:dyDescent="0.25">
      <c r="A51" t="s">
        <v>296</v>
      </c>
      <c r="B51" t="str">
        <f>VLOOKUP(A51,PPL!B:C,2,0)</f>
        <v>Syifa Fauziah Suleman</v>
      </c>
      <c r="C51" t="str">
        <f>VLOOKUP(A51,PPL!B:D,3,0)</f>
        <v>Iska</v>
      </c>
      <c r="D51" t="s">
        <v>244</v>
      </c>
      <c r="E51">
        <v>664</v>
      </c>
      <c r="F51">
        <v>668</v>
      </c>
      <c r="G51">
        <f>VLOOKUP(A51,PPL!B:N,13,0)</f>
        <v>674</v>
      </c>
      <c r="H51">
        <f t="shared" si="0"/>
        <v>6</v>
      </c>
      <c r="I51" t="b">
        <f t="shared" si="1"/>
        <v>0</v>
      </c>
    </row>
    <row r="52" spans="1:9" x14ac:dyDescent="0.25">
      <c r="A52" t="s">
        <v>297</v>
      </c>
      <c r="B52" t="str">
        <f>VLOOKUP(A52,PPL!B:C,2,0)</f>
        <v>Syifa Fauziah Suleman</v>
      </c>
      <c r="C52" t="str">
        <f>VLOOKUP(A52,PPL!B:D,3,0)</f>
        <v>Iska</v>
      </c>
      <c r="D52" t="s">
        <v>244</v>
      </c>
      <c r="E52">
        <v>889</v>
      </c>
      <c r="F52">
        <v>889</v>
      </c>
      <c r="G52">
        <f>VLOOKUP(A52,PPL!B:N,13,0)</f>
        <v>976</v>
      </c>
      <c r="H52">
        <f t="shared" si="0"/>
        <v>87</v>
      </c>
      <c r="I52" t="b">
        <f t="shared" si="1"/>
        <v>0</v>
      </c>
    </row>
    <row r="53" spans="1:9" x14ac:dyDescent="0.25">
      <c r="A53" t="s">
        <v>298</v>
      </c>
      <c r="B53" t="str">
        <f>VLOOKUP(A53,PPL!B:C,2,0)</f>
        <v>Syifa Fauziah Suleman</v>
      </c>
      <c r="C53" t="str">
        <f>VLOOKUP(A53,PPL!B:D,3,0)</f>
        <v>Iska</v>
      </c>
      <c r="D53" t="s">
        <v>244</v>
      </c>
      <c r="E53">
        <v>666</v>
      </c>
      <c r="F53">
        <v>666</v>
      </c>
      <c r="G53">
        <f>VLOOKUP(A53,PPL!B:N,13,0)</f>
        <v>666</v>
      </c>
      <c r="H53">
        <f t="shared" si="0"/>
        <v>0</v>
      </c>
      <c r="I53" t="b">
        <f t="shared" si="1"/>
        <v>1</v>
      </c>
    </row>
    <row r="54" spans="1:9" x14ac:dyDescent="0.25">
      <c r="A54" t="s">
        <v>299</v>
      </c>
      <c r="B54" t="str">
        <f>VLOOKUP(A54,PPL!B:C,2,0)</f>
        <v>Syifa Fauziah Suleman</v>
      </c>
      <c r="C54" t="str">
        <f>VLOOKUP(A54,PPL!B:D,3,0)</f>
        <v>Iska</v>
      </c>
      <c r="D54" t="s">
        <v>244</v>
      </c>
      <c r="E54">
        <v>727</v>
      </c>
      <c r="F54">
        <v>728</v>
      </c>
      <c r="G54">
        <f>VLOOKUP(A54,PPL!B:N,13,0)</f>
        <v>728</v>
      </c>
      <c r="H54">
        <f t="shared" si="0"/>
        <v>0</v>
      </c>
      <c r="I54" t="b">
        <f t="shared" si="1"/>
        <v>0</v>
      </c>
    </row>
    <row r="55" spans="1:9" x14ac:dyDescent="0.25">
      <c r="A55" t="s">
        <v>300</v>
      </c>
      <c r="B55" t="str">
        <f>VLOOKUP(A55,PPL!B:C,2,0)</f>
        <v>Syerel Sinta Tulus</v>
      </c>
      <c r="C55" t="str">
        <f>VLOOKUP(A55,PPL!B:D,3,0)</f>
        <v>Handoko</v>
      </c>
      <c r="D55" t="s">
        <v>244</v>
      </c>
      <c r="E55">
        <v>706</v>
      </c>
      <c r="F55">
        <v>705</v>
      </c>
      <c r="G55">
        <f>VLOOKUP(A55,PPL!B:N,13,0)</f>
        <v>714</v>
      </c>
      <c r="H55">
        <f t="shared" si="0"/>
        <v>9</v>
      </c>
      <c r="I55" t="b">
        <f t="shared" si="1"/>
        <v>0</v>
      </c>
    </row>
    <row r="56" spans="1:9" x14ac:dyDescent="0.25">
      <c r="A56" t="s">
        <v>301</v>
      </c>
      <c r="B56" t="str">
        <f>VLOOKUP(A56,PPL!B:C,2,0)</f>
        <v>Syifa Fauziah Suleman</v>
      </c>
      <c r="C56" t="str">
        <f>VLOOKUP(A56,PPL!B:D,3,0)</f>
        <v>Iska</v>
      </c>
      <c r="D56" t="s">
        <v>244</v>
      </c>
      <c r="E56">
        <v>727</v>
      </c>
      <c r="F56">
        <v>727</v>
      </c>
      <c r="G56">
        <f>VLOOKUP(A56,PPL!B:N,13,0)</f>
        <v>754</v>
      </c>
      <c r="H56">
        <f t="shared" si="0"/>
        <v>27</v>
      </c>
      <c r="I56" t="b">
        <f t="shared" si="1"/>
        <v>0</v>
      </c>
    </row>
    <row r="57" spans="1:9" x14ac:dyDescent="0.25">
      <c r="A57" t="s">
        <v>302</v>
      </c>
      <c r="B57" t="str">
        <f>VLOOKUP(A57,PPL!B:C,2,0)</f>
        <v>Deasy Natalia Hengkeng</v>
      </c>
      <c r="C57" t="str">
        <f>VLOOKUP(A57,PPL!B:D,3,0)</f>
        <v>Alfian</v>
      </c>
      <c r="D57" t="s">
        <v>244</v>
      </c>
      <c r="E57">
        <v>795</v>
      </c>
      <c r="F57">
        <v>797</v>
      </c>
      <c r="G57">
        <f>VLOOKUP(A57,PPL!B:N,13,0)</f>
        <v>798</v>
      </c>
      <c r="H57">
        <f t="shared" si="0"/>
        <v>1</v>
      </c>
      <c r="I57" t="b">
        <f t="shared" si="1"/>
        <v>0</v>
      </c>
    </row>
    <row r="58" spans="1:9" x14ac:dyDescent="0.25">
      <c r="A58" t="s">
        <v>303</v>
      </c>
      <c r="B58" t="str">
        <f>VLOOKUP(A58,PPL!B:C,2,0)</f>
        <v>Emy Oktaviani Syah</v>
      </c>
      <c r="C58" t="str">
        <f>VLOOKUP(A58,PPL!B:D,3,0)</f>
        <v>Rudy</v>
      </c>
      <c r="D58" t="s">
        <v>244</v>
      </c>
      <c r="E58">
        <v>832</v>
      </c>
      <c r="F58">
        <v>846</v>
      </c>
      <c r="G58">
        <f>VLOOKUP(A58,PPL!B:N,13,0)</f>
        <v>848</v>
      </c>
      <c r="H58">
        <f t="shared" si="0"/>
        <v>2</v>
      </c>
      <c r="I58" t="b">
        <f t="shared" si="1"/>
        <v>0</v>
      </c>
    </row>
    <row r="59" spans="1:9" x14ac:dyDescent="0.25">
      <c r="A59" t="s">
        <v>304</v>
      </c>
      <c r="B59" t="str">
        <f>VLOOKUP(A59,PPL!B:C,2,0)</f>
        <v>Emy Oktaviani Syah</v>
      </c>
      <c r="C59" t="str">
        <f>VLOOKUP(A59,PPL!B:D,3,0)</f>
        <v>Rudy</v>
      </c>
      <c r="D59" t="s">
        <v>244</v>
      </c>
      <c r="E59">
        <v>856</v>
      </c>
      <c r="F59">
        <v>856</v>
      </c>
      <c r="G59">
        <f>VLOOKUP(A59,PPL!B:N,13,0)</f>
        <v>856</v>
      </c>
      <c r="H59">
        <f t="shared" si="0"/>
        <v>0</v>
      </c>
      <c r="I59" t="b">
        <f t="shared" si="1"/>
        <v>1</v>
      </c>
    </row>
    <row r="60" spans="1:9" x14ac:dyDescent="0.25">
      <c r="A60" t="s">
        <v>305</v>
      </c>
      <c r="B60" t="str">
        <f>VLOOKUP(A60,PPL!B:C,2,0)</f>
        <v>Emy Oktaviani Syah</v>
      </c>
      <c r="C60" t="str">
        <f>VLOOKUP(A60,PPL!B:D,3,0)</f>
        <v>Rudy</v>
      </c>
      <c r="D60" t="s">
        <v>244</v>
      </c>
      <c r="E60">
        <v>901</v>
      </c>
      <c r="F60">
        <v>901</v>
      </c>
      <c r="G60">
        <f>VLOOKUP(A60,PPL!B:N,13,0)</f>
        <v>905</v>
      </c>
      <c r="H60">
        <f t="shared" si="0"/>
        <v>4</v>
      </c>
      <c r="I60" t="b">
        <f t="shared" si="1"/>
        <v>0</v>
      </c>
    </row>
    <row r="61" spans="1:9" x14ac:dyDescent="0.25">
      <c r="A61" t="s">
        <v>306</v>
      </c>
      <c r="B61" t="str">
        <f>VLOOKUP(A61,PPL!B:C,2,0)</f>
        <v>Syerel Sinta Tulus</v>
      </c>
      <c r="C61" t="str">
        <f>VLOOKUP(A61,PPL!B:D,3,0)</f>
        <v>Handoko</v>
      </c>
      <c r="D61" t="s">
        <v>244</v>
      </c>
      <c r="E61">
        <v>806</v>
      </c>
      <c r="F61">
        <v>810</v>
      </c>
      <c r="G61">
        <f>VLOOKUP(A61,PPL!B:N,13,0)</f>
        <v>837</v>
      </c>
      <c r="H61">
        <f t="shared" si="0"/>
        <v>27</v>
      </c>
      <c r="I61" t="b">
        <f t="shared" si="1"/>
        <v>0</v>
      </c>
    </row>
    <row r="62" spans="1:9" x14ac:dyDescent="0.25">
      <c r="A62" t="s">
        <v>307</v>
      </c>
      <c r="B62" t="str">
        <f>VLOOKUP(A62,PPL!B:C,2,0)</f>
        <v>Emy Oktaviani Syah</v>
      </c>
      <c r="C62" t="str">
        <f>VLOOKUP(A62,PPL!B:D,3,0)</f>
        <v>Rudy</v>
      </c>
      <c r="D62" t="s">
        <v>244</v>
      </c>
      <c r="E62">
        <v>935</v>
      </c>
      <c r="F62">
        <v>955</v>
      </c>
      <c r="G62">
        <f>VLOOKUP(A62,PPL!B:N,13,0)</f>
        <v>956</v>
      </c>
      <c r="H62">
        <f t="shared" ref="H62:H123" si="2">G62-F62</f>
        <v>1</v>
      </c>
      <c r="I62" t="b">
        <f t="shared" si="1"/>
        <v>0</v>
      </c>
    </row>
    <row r="63" spans="1:9" x14ac:dyDescent="0.25">
      <c r="A63" t="s">
        <v>308</v>
      </c>
      <c r="B63" t="str">
        <f>VLOOKUP(A63,PPL!B:C,2,0)</f>
        <v>Emy Oktaviani Syah</v>
      </c>
      <c r="C63" t="str">
        <f>VLOOKUP(A63,PPL!B:D,3,0)</f>
        <v>Rudy</v>
      </c>
      <c r="D63" t="s">
        <v>244</v>
      </c>
      <c r="E63">
        <v>919</v>
      </c>
      <c r="F63">
        <v>919</v>
      </c>
      <c r="G63">
        <f>VLOOKUP(A63,PPL!B:N,13,0)</f>
        <v>919</v>
      </c>
      <c r="H63">
        <f t="shared" si="2"/>
        <v>0</v>
      </c>
      <c r="I63" t="b">
        <f t="shared" ref="I63:I124" si="3">E63=G63</f>
        <v>1</v>
      </c>
    </row>
    <row r="64" spans="1:9" x14ac:dyDescent="0.25">
      <c r="A64" t="s">
        <v>309</v>
      </c>
      <c r="B64" t="str">
        <f>VLOOKUP(A64,PPL!B:C,2,0)</f>
        <v>Emy Oktaviani Syah</v>
      </c>
      <c r="C64" t="str">
        <f>VLOOKUP(A64,PPL!B:D,3,0)</f>
        <v>Rudy</v>
      </c>
      <c r="D64" t="s">
        <v>244</v>
      </c>
      <c r="E64">
        <v>719</v>
      </c>
      <c r="F64">
        <v>720</v>
      </c>
      <c r="G64">
        <f>VLOOKUP(A64,PPL!B:N,13,0)</f>
        <v>720</v>
      </c>
      <c r="H64">
        <f t="shared" si="2"/>
        <v>0</v>
      </c>
      <c r="I64" t="b">
        <f t="shared" si="3"/>
        <v>0</v>
      </c>
    </row>
    <row r="65" spans="1:9" x14ac:dyDescent="0.25">
      <c r="A65" t="s">
        <v>310</v>
      </c>
      <c r="B65" t="str">
        <f>VLOOKUP(A65,PPL!B:C,2,0)</f>
        <v>Syerel Sinta Tulus</v>
      </c>
      <c r="C65" t="str">
        <f>VLOOKUP(A65,PPL!B:D,3,0)</f>
        <v>Handoko</v>
      </c>
      <c r="D65" t="s">
        <v>244</v>
      </c>
      <c r="E65">
        <v>699</v>
      </c>
      <c r="F65">
        <v>700</v>
      </c>
      <c r="G65">
        <f>VLOOKUP(A65,PPL!B:N,13,0)</f>
        <v>720</v>
      </c>
      <c r="H65">
        <f t="shared" si="2"/>
        <v>20</v>
      </c>
      <c r="I65" t="b">
        <f t="shared" si="3"/>
        <v>0</v>
      </c>
    </row>
    <row r="66" spans="1:9" x14ac:dyDescent="0.25">
      <c r="A66" t="s">
        <v>311</v>
      </c>
      <c r="B66" t="str">
        <f>VLOOKUP(A66,PPL!B:C,2,0)</f>
        <v>Ramli Minggu</v>
      </c>
      <c r="C66" t="str">
        <f>VLOOKUP(A66,PPL!B:D,3,0)</f>
        <v>Puput</v>
      </c>
      <c r="D66" t="s">
        <v>244</v>
      </c>
      <c r="E66">
        <v>544</v>
      </c>
      <c r="F66">
        <v>544</v>
      </c>
      <c r="G66">
        <f>VLOOKUP(A66,PPL!B:N,13,0)</f>
        <v>544</v>
      </c>
      <c r="H66">
        <f t="shared" si="2"/>
        <v>0</v>
      </c>
      <c r="I66" t="b">
        <f t="shared" si="3"/>
        <v>1</v>
      </c>
    </row>
    <row r="67" spans="1:9" x14ac:dyDescent="0.25">
      <c r="A67" t="s">
        <v>312</v>
      </c>
      <c r="B67" t="str">
        <f>VLOOKUP(A67,PPL!B:C,2,0)</f>
        <v>Ramli Minggu</v>
      </c>
      <c r="C67" t="str">
        <f>VLOOKUP(A67,PPL!B:D,3,0)</f>
        <v>Puput</v>
      </c>
      <c r="D67" t="s">
        <v>244</v>
      </c>
      <c r="E67">
        <v>590</v>
      </c>
      <c r="F67">
        <v>591</v>
      </c>
      <c r="G67">
        <f>VLOOKUP(A67,PPL!B:N,13,0)</f>
        <v>591</v>
      </c>
      <c r="H67">
        <f t="shared" si="2"/>
        <v>0</v>
      </c>
      <c r="I67" t="b">
        <f t="shared" si="3"/>
        <v>0</v>
      </c>
    </row>
    <row r="68" spans="1:9" x14ac:dyDescent="0.25">
      <c r="A68" t="s">
        <v>313</v>
      </c>
      <c r="B68" t="str">
        <f>VLOOKUP(A68,PPL!B:C,2,0)</f>
        <v>Ramli Minggu</v>
      </c>
      <c r="C68" t="str">
        <f>VLOOKUP(A68,PPL!B:D,3,0)</f>
        <v>Puput</v>
      </c>
      <c r="D68" t="s">
        <v>244</v>
      </c>
      <c r="E68">
        <v>569</v>
      </c>
      <c r="F68">
        <v>570</v>
      </c>
      <c r="G68">
        <f>VLOOKUP(A68,PPL!B:N,13,0)</f>
        <v>570</v>
      </c>
      <c r="H68">
        <f t="shared" si="2"/>
        <v>0</v>
      </c>
      <c r="I68" t="b">
        <f t="shared" si="3"/>
        <v>0</v>
      </c>
    </row>
    <row r="69" spans="1:9" x14ac:dyDescent="0.25">
      <c r="A69" t="s">
        <v>314</v>
      </c>
      <c r="B69" t="str">
        <f>VLOOKUP(A69,PPL!B:C,2,0)</f>
        <v>Ramli Minggu</v>
      </c>
      <c r="C69" t="str">
        <f>VLOOKUP(A69,PPL!B:D,3,0)</f>
        <v>Puput</v>
      </c>
      <c r="D69" t="s">
        <v>244</v>
      </c>
      <c r="E69">
        <v>499</v>
      </c>
      <c r="F69">
        <v>499</v>
      </c>
      <c r="G69">
        <f>VLOOKUP(A69,PPL!B:N,13,0)</f>
        <v>499</v>
      </c>
      <c r="H69">
        <f t="shared" si="2"/>
        <v>0</v>
      </c>
      <c r="I69" t="b">
        <f t="shared" si="3"/>
        <v>1</v>
      </c>
    </row>
    <row r="70" spans="1:9" x14ac:dyDescent="0.25">
      <c r="A70" t="s">
        <v>315</v>
      </c>
      <c r="B70" t="str">
        <f>VLOOKUP(A70,PPL!B:C,2,0)</f>
        <v>Ramli Minggu</v>
      </c>
      <c r="C70" t="str">
        <f>VLOOKUP(A70,PPL!B:D,3,0)</f>
        <v>Puput</v>
      </c>
      <c r="D70" t="s">
        <v>244</v>
      </c>
      <c r="E70">
        <v>624</v>
      </c>
      <c r="F70">
        <v>624</v>
      </c>
      <c r="G70">
        <f>VLOOKUP(A70,PPL!B:N,13,0)</f>
        <v>624</v>
      </c>
      <c r="H70">
        <f t="shared" si="2"/>
        <v>0</v>
      </c>
      <c r="I70" t="b">
        <f t="shared" si="3"/>
        <v>1</v>
      </c>
    </row>
    <row r="71" spans="1:9" x14ac:dyDescent="0.25">
      <c r="A71" t="s">
        <v>316</v>
      </c>
      <c r="B71" t="str">
        <f>VLOOKUP(A71,PPL!B:C,2,0)</f>
        <v>Ramli Minggu</v>
      </c>
      <c r="C71" t="str">
        <f>VLOOKUP(A71,PPL!B:D,3,0)</f>
        <v>Puput</v>
      </c>
      <c r="D71" t="s">
        <v>244</v>
      </c>
      <c r="E71">
        <v>570</v>
      </c>
      <c r="F71">
        <v>570</v>
      </c>
      <c r="G71">
        <f>VLOOKUP(A71,PPL!B:N,13,0)</f>
        <v>570</v>
      </c>
      <c r="H71">
        <f t="shared" si="2"/>
        <v>0</v>
      </c>
      <c r="I71" t="b">
        <f t="shared" si="3"/>
        <v>1</v>
      </c>
    </row>
    <row r="72" spans="1:9" x14ac:dyDescent="0.25">
      <c r="A72" t="s">
        <v>391</v>
      </c>
      <c r="B72" t="str">
        <f>VLOOKUP(A72,PPL!B:C,2,0)</f>
        <v>Ramli Minggu</v>
      </c>
      <c r="C72" t="str">
        <f>VLOOKUP(A72,PPL!B:D,3,0)</f>
        <v>Puput</v>
      </c>
      <c r="D72" t="s">
        <v>244</v>
      </c>
      <c r="E72">
        <v>605</v>
      </c>
      <c r="F72">
        <v>608</v>
      </c>
      <c r="G72">
        <f>VLOOKUP(A72,PPL!B:N,13,0)</f>
        <v>609</v>
      </c>
      <c r="H72">
        <f t="shared" si="2"/>
        <v>1</v>
      </c>
      <c r="I72" t="b">
        <f t="shared" si="3"/>
        <v>0</v>
      </c>
    </row>
    <row r="73" spans="1:9" x14ac:dyDescent="0.25">
      <c r="A73" t="s">
        <v>317</v>
      </c>
      <c r="B73" t="str">
        <f>VLOOKUP(A73,PPL!B:C,2,0)</f>
        <v>Welmintje Lawendatu</v>
      </c>
      <c r="C73" t="str">
        <f>VLOOKUP(A73,PPL!B:D,3,0)</f>
        <v>Ijan</v>
      </c>
      <c r="D73" t="s">
        <v>244</v>
      </c>
      <c r="E73">
        <v>515</v>
      </c>
      <c r="F73">
        <v>515</v>
      </c>
      <c r="G73">
        <f>VLOOKUP(A73,PPL!B:N,13,0)</f>
        <v>517</v>
      </c>
      <c r="H73">
        <f t="shared" si="2"/>
        <v>2</v>
      </c>
      <c r="I73" t="b">
        <f t="shared" si="3"/>
        <v>0</v>
      </c>
    </row>
    <row r="74" spans="1:9" x14ac:dyDescent="0.25">
      <c r="A74" t="s">
        <v>2065</v>
      </c>
      <c r="B74" t="str">
        <f>VLOOKUP(A74,PPL!B:C,2,0)</f>
        <v>Welmintje Lawendatu</v>
      </c>
      <c r="C74" t="str">
        <f>VLOOKUP(A74,PPL!B:D,3,0)</f>
        <v>Ijan</v>
      </c>
      <c r="D74" t="s">
        <v>244</v>
      </c>
      <c r="E74">
        <v>474</v>
      </c>
      <c r="F74">
        <v>474</v>
      </c>
      <c r="G74">
        <f>VLOOKUP(A74,PPL!B:N,13,0)</f>
        <v>475</v>
      </c>
      <c r="H74">
        <f t="shared" si="2"/>
        <v>1</v>
      </c>
      <c r="I74" t="b">
        <f t="shared" si="3"/>
        <v>0</v>
      </c>
    </row>
    <row r="75" spans="1:9" x14ac:dyDescent="0.25">
      <c r="A75" t="s">
        <v>2064</v>
      </c>
      <c r="B75" t="str">
        <f>VLOOKUP(A75,PPL!B:C,2,0)</f>
        <v>Welmintje Lawendatu</v>
      </c>
      <c r="C75" t="str">
        <f>VLOOKUP(A75,PPL!B:D,3,0)</f>
        <v>Ijan</v>
      </c>
      <c r="D75" t="s">
        <v>244</v>
      </c>
      <c r="E75">
        <v>545</v>
      </c>
      <c r="F75">
        <v>545</v>
      </c>
      <c r="G75">
        <f>VLOOKUP(A75,PPL!B:N,13,0)</f>
        <v>545</v>
      </c>
      <c r="H75">
        <f t="shared" si="2"/>
        <v>0</v>
      </c>
      <c r="I75" t="b">
        <f t="shared" si="3"/>
        <v>1</v>
      </c>
    </row>
    <row r="76" spans="1:9" x14ac:dyDescent="0.25">
      <c r="A76" t="s">
        <v>318</v>
      </c>
      <c r="B76" t="str">
        <f>VLOOKUP(A76,PPL!B:C,2,0)</f>
        <v>Welmintje Lawendatu</v>
      </c>
      <c r="C76" t="str">
        <f>VLOOKUP(A76,PPL!B:D,3,0)</f>
        <v>Ijan</v>
      </c>
      <c r="D76" t="s">
        <v>244</v>
      </c>
      <c r="E76">
        <v>523</v>
      </c>
      <c r="F76">
        <v>523</v>
      </c>
      <c r="G76">
        <f>VLOOKUP(A76,PPL!B:N,13,0)</f>
        <v>524</v>
      </c>
      <c r="H76">
        <f t="shared" si="2"/>
        <v>1</v>
      </c>
      <c r="I76" t="b">
        <f t="shared" si="3"/>
        <v>0</v>
      </c>
    </row>
    <row r="77" spans="1:9" x14ac:dyDescent="0.25">
      <c r="A77" t="s">
        <v>319</v>
      </c>
      <c r="B77" t="str">
        <f>VLOOKUP(A77,PPL!B:C,2,0)</f>
        <v>Welmintje Lawendatu</v>
      </c>
      <c r="C77" t="str">
        <f>VLOOKUP(A77,PPL!B:D,3,0)</f>
        <v>Ijan</v>
      </c>
      <c r="D77" t="s">
        <v>244</v>
      </c>
      <c r="E77">
        <v>445</v>
      </c>
      <c r="F77">
        <v>445</v>
      </c>
      <c r="G77">
        <f>VLOOKUP(A77,PPL!B:N,13,0)</f>
        <v>443</v>
      </c>
      <c r="H77">
        <f t="shared" si="2"/>
        <v>-2</v>
      </c>
      <c r="I77" t="b">
        <f t="shared" si="3"/>
        <v>0</v>
      </c>
    </row>
    <row r="78" spans="1:9" x14ac:dyDescent="0.25">
      <c r="A78" t="s">
        <v>320</v>
      </c>
      <c r="B78" t="str">
        <f>VLOOKUP(A78,PPL!B:C,2,0)</f>
        <v>Welmintje Lawendatu</v>
      </c>
      <c r="C78" t="str">
        <f>VLOOKUP(A78,PPL!B:D,3,0)</f>
        <v>Ijan</v>
      </c>
      <c r="D78" t="s">
        <v>244</v>
      </c>
      <c r="E78">
        <v>456</v>
      </c>
      <c r="F78">
        <v>456</v>
      </c>
      <c r="G78">
        <f>VLOOKUP(A78,PPL!B:N,13,0)</f>
        <v>477</v>
      </c>
      <c r="H78">
        <f t="shared" si="2"/>
        <v>21</v>
      </c>
      <c r="I78" t="b">
        <f t="shared" si="3"/>
        <v>0</v>
      </c>
    </row>
    <row r="79" spans="1:9" x14ac:dyDescent="0.25">
      <c r="A79" t="s">
        <v>321</v>
      </c>
      <c r="B79" t="str">
        <f>VLOOKUP(A79,PPL!B:C,2,0)</f>
        <v>Welmintje Lawendatu</v>
      </c>
      <c r="C79" t="str">
        <f>VLOOKUP(A79,PPL!B:D,3,0)</f>
        <v>Ijan</v>
      </c>
      <c r="D79" t="s">
        <v>244</v>
      </c>
      <c r="E79">
        <v>489</v>
      </c>
      <c r="F79">
        <v>489</v>
      </c>
      <c r="G79">
        <f>VLOOKUP(A79,PPL!B:N,13,0)</f>
        <v>489</v>
      </c>
      <c r="H79">
        <f t="shared" si="2"/>
        <v>0</v>
      </c>
      <c r="I79" t="b">
        <f t="shared" si="3"/>
        <v>1</v>
      </c>
    </row>
    <row r="80" spans="1:9" x14ac:dyDescent="0.25">
      <c r="A80" t="s">
        <v>322</v>
      </c>
      <c r="B80" t="str">
        <f>VLOOKUP(A80,PPL!B:C,2,0)</f>
        <v>Welmintje Lawendatu</v>
      </c>
      <c r="C80" t="str">
        <f>VLOOKUP(A80,PPL!B:D,3,0)</f>
        <v>Ijan</v>
      </c>
      <c r="D80" t="s">
        <v>244</v>
      </c>
      <c r="E80">
        <v>469</v>
      </c>
      <c r="F80">
        <v>469</v>
      </c>
      <c r="G80">
        <f>VLOOKUP(A80,PPL!B:N,13,0)</f>
        <v>472</v>
      </c>
      <c r="H80">
        <f t="shared" si="2"/>
        <v>3</v>
      </c>
      <c r="I80" t="b">
        <f t="shared" si="3"/>
        <v>0</v>
      </c>
    </row>
    <row r="81" spans="1:9" x14ac:dyDescent="0.25">
      <c r="A81" t="s">
        <v>323</v>
      </c>
      <c r="B81" t="str">
        <f>VLOOKUP(A81,PPL!B:C,2,0)</f>
        <v>Yuche Lahay</v>
      </c>
      <c r="C81" t="str">
        <f>VLOOKUP(A81,PPL!B:D,3,0)</f>
        <v>Uneth</v>
      </c>
      <c r="D81" t="s">
        <v>244</v>
      </c>
      <c r="E81">
        <v>821</v>
      </c>
      <c r="F81">
        <v>823</v>
      </c>
      <c r="G81">
        <f>VLOOKUP(A81,PPL!B:N,13,0)</f>
        <v>831</v>
      </c>
      <c r="H81">
        <f t="shared" si="2"/>
        <v>8</v>
      </c>
      <c r="I81" t="b">
        <f t="shared" si="3"/>
        <v>0</v>
      </c>
    </row>
    <row r="82" spans="1:9" x14ac:dyDescent="0.25">
      <c r="A82" t="s">
        <v>324</v>
      </c>
      <c r="B82" t="str">
        <f>VLOOKUP(A82,PPL!B:C,2,0)</f>
        <v>Nur Ain Entengo</v>
      </c>
      <c r="C82" t="str">
        <f>VLOOKUP(A82,PPL!B:D,3,0)</f>
        <v>Aji</v>
      </c>
      <c r="D82" t="s">
        <v>244</v>
      </c>
      <c r="E82">
        <v>776</v>
      </c>
      <c r="F82">
        <v>810</v>
      </c>
      <c r="G82">
        <f>VLOOKUP(A82,PPL!B:N,13,0)</f>
        <v>810</v>
      </c>
      <c r="H82">
        <f t="shared" si="2"/>
        <v>0</v>
      </c>
      <c r="I82" t="b">
        <f t="shared" si="3"/>
        <v>0</v>
      </c>
    </row>
    <row r="83" spans="1:9" x14ac:dyDescent="0.25">
      <c r="A83" t="s">
        <v>325</v>
      </c>
      <c r="B83" t="str">
        <f>VLOOKUP(A83,PPL!B:C,2,0)</f>
        <v>Erlinda Kirojan</v>
      </c>
      <c r="C83" t="str">
        <f>VLOOKUP(A83,PPL!B:D,3,0)</f>
        <v>Alan</v>
      </c>
      <c r="D83" t="s">
        <v>244</v>
      </c>
      <c r="E83">
        <v>743</v>
      </c>
      <c r="F83">
        <v>743</v>
      </c>
      <c r="G83">
        <f>VLOOKUP(A83,PPL!B:N,13,0)</f>
        <v>753</v>
      </c>
      <c r="H83">
        <f t="shared" si="2"/>
        <v>10</v>
      </c>
      <c r="I83" t="b">
        <f t="shared" si="3"/>
        <v>0</v>
      </c>
    </row>
    <row r="84" spans="1:9" x14ac:dyDescent="0.25">
      <c r="A84" t="s">
        <v>326</v>
      </c>
      <c r="B84" t="str">
        <f>VLOOKUP(A84,PPL!B:C,2,0)</f>
        <v>Yuche Lahay</v>
      </c>
      <c r="C84" t="str">
        <f>VLOOKUP(A84,PPL!B:D,3,0)</f>
        <v>Uneth</v>
      </c>
      <c r="D84" t="s">
        <v>244</v>
      </c>
      <c r="E84">
        <v>704</v>
      </c>
      <c r="F84">
        <v>721</v>
      </c>
      <c r="G84">
        <f>VLOOKUP(A84,PPL!B:N,13,0)</f>
        <v>730</v>
      </c>
      <c r="H84">
        <f t="shared" si="2"/>
        <v>9</v>
      </c>
      <c r="I84" t="b">
        <f t="shared" si="3"/>
        <v>0</v>
      </c>
    </row>
    <row r="85" spans="1:9" x14ac:dyDescent="0.25">
      <c r="A85" t="s">
        <v>327</v>
      </c>
      <c r="B85" t="str">
        <f>VLOOKUP(A85,PPL!B:C,2,0)</f>
        <v>Nur Ain Entengo</v>
      </c>
      <c r="C85" t="str">
        <f>VLOOKUP(A85,PPL!B:D,3,0)</f>
        <v>Aji</v>
      </c>
      <c r="D85" t="s">
        <v>244</v>
      </c>
      <c r="E85">
        <v>646</v>
      </c>
      <c r="F85">
        <v>675</v>
      </c>
      <c r="G85">
        <f>VLOOKUP(A85,PPL!B:N,13,0)</f>
        <v>677</v>
      </c>
      <c r="H85">
        <f t="shared" si="2"/>
        <v>2</v>
      </c>
      <c r="I85" t="b">
        <f t="shared" si="3"/>
        <v>0</v>
      </c>
    </row>
    <row r="86" spans="1:9" x14ac:dyDescent="0.25">
      <c r="A86" t="s">
        <v>328</v>
      </c>
      <c r="B86" t="str">
        <f>VLOOKUP(A86,PPL!B:C,2,0)</f>
        <v>Yuche Lahay</v>
      </c>
      <c r="C86" t="str">
        <f>VLOOKUP(A86,PPL!B:D,3,0)</f>
        <v>Uneth</v>
      </c>
      <c r="D86" t="s">
        <v>244</v>
      </c>
      <c r="E86">
        <v>695</v>
      </c>
      <c r="F86">
        <v>695</v>
      </c>
      <c r="G86">
        <f>VLOOKUP(A86,PPL!B:N,13,0)</f>
        <v>695</v>
      </c>
      <c r="H86">
        <f t="shared" si="2"/>
        <v>0</v>
      </c>
      <c r="I86" t="b">
        <f t="shared" si="3"/>
        <v>1</v>
      </c>
    </row>
    <row r="87" spans="1:9" x14ac:dyDescent="0.25">
      <c r="A87" t="s">
        <v>329</v>
      </c>
      <c r="B87" t="str">
        <f>VLOOKUP(A87,PPL!B:C,2,0)</f>
        <v>Erlinda Kirojan</v>
      </c>
      <c r="C87" t="str">
        <f>VLOOKUP(A87,PPL!B:D,3,0)</f>
        <v>Alan</v>
      </c>
      <c r="D87" t="s">
        <v>244</v>
      </c>
      <c r="E87">
        <v>618</v>
      </c>
      <c r="F87">
        <v>628</v>
      </c>
      <c r="G87">
        <f>VLOOKUP(A87,PPL!B:N,13,0)</f>
        <v>636</v>
      </c>
      <c r="H87">
        <f t="shared" si="2"/>
        <v>8</v>
      </c>
      <c r="I87" t="b">
        <f t="shared" si="3"/>
        <v>0</v>
      </c>
    </row>
    <row r="88" spans="1:9" x14ac:dyDescent="0.25">
      <c r="A88" t="s">
        <v>330</v>
      </c>
      <c r="B88" t="str">
        <f>VLOOKUP(A88,PPL!B:C,2,0)</f>
        <v>Erlinda Kirojan</v>
      </c>
      <c r="C88" t="str">
        <f>VLOOKUP(A88,PPL!B:D,3,0)</f>
        <v>Alan</v>
      </c>
      <c r="D88" t="s">
        <v>244</v>
      </c>
      <c r="E88">
        <v>727</v>
      </c>
      <c r="F88">
        <v>732</v>
      </c>
      <c r="G88">
        <f>VLOOKUP(A88,PPL!B:N,13,0)</f>
        <v>759</v>
      </c>
      <c r="H88">
        <f t="shared" si="2"/>
        <v>27</v>
      </c>
      <c r="I88" t="b">
        <f t="shared" si="3"/>
        <v>0</v>
      </c>
    </row>
    <row r="89" spans="1:9" x14ac:dyDescent="0.25">
      <c r="A89" t="s">
        <v>331</v>
      </c>
      <c r="B89" t="str">
        <f>VLOOKUP(A89,PPL!B:C,2,0)</f>
        <v>Nur Ain Entengo</v>
      </c>
      <c r="C89" t="str">
        <f>VLOOKUP(A89,PPL!B:D,3,0)</f>
        <v>Aji</v>
      </c>
      <c r="D89" t="s">
        <v>244</v>
      </c>
      <c r="E89">
        <v>695</v>
      </c>
      <c r="F89">
        <v>706</v>
      </c>
      <c r="G89">
        <f>VLOOKUP(A89,PPL!B:N,13,0)</f>
        <v>708</v>
      </c>
      <c r="H89">
        <f t="shared" si="2"/>
        <v>2</v>
      </c>
      <c r="I89" t="b">
        <f t="shared" si="3"/>
        <v>0</v>
      </c>
    </row>
    <row r="90" spans="1:9" x14ac:dyDescent="0.25">
      <c r="A90" t="s">
        <v>332</v>
      </c>
      <c r="B90" t="str">
        <f>VLOOKUP(A90,PPL!B:C,2,0)</f>
        <v>Nur Ain Entengo</v>
      </c>
      <c r="C90" t="str">
        <f>VLOOKUP(A90,PPL!B:D,3,0)</f>
        <v>Aji</v>
      </c>
      <c r="D90" t="s">
        <v>244</v>
      </c>
      <c r="E90">
        <v>655</v>
      </c>
      <c r="F90">
        <v>669</v>
      </c>
      <c r="G90">
        <f>VLOOKUP(A90,PPL!B:N,13,0)</f>
        <v>675</v>
      </c>
      <c r="H90">
        <f t="shared" si="2"/>
        <v>6</v>
      </c>
      <c r="I90" t="b">
        <f t="shared" si="3"/>
        <v>0</v>
      </c>
    </row>
    <row r="91" spans="1:9" x14ac:dyDescent="0.25">
      <c r="A91" t="s">
        <v>333</v>
      </c>
      <c r="B91" t="str">
        <f>VLOOKUP(A91,PPL!B:C,2,0)</f>
        <v>Erlinda Kirojan</v>
      </c>
      <c r="C91" t="str">
        <f>VLOOKUP(A91,PPL!B:D,3,0)</f>
        <v>Alan</v>
      </c>
      <c r="D91" t="s">
        <v>244</v>
      </c>
      <c r="E91">
        <v>519</v>
      </c>
      <c r="F91">
        <v>535</v>
      </c>
      <c r="G91">
        <f>VLOOKUP(A91,PPL!B:N,13,0)</f>
        <v>558</v>
      </c>
      <c r="H91">
        <f t="shared" si="2"/>
        <v>23</v>
      </c>
      <c r="I91" t="b">
        <f t="shared" si="3"/>
        <v>0</v>
      </c>
    </row>
    <row r="92" spans="1:9" x14ac:dyDescent="0.25">
      <c r="A92" t="s">
        <v>334</v>
      </c>
      <c r="B92" t="str">
        <f>VLOOKUP(A92,PPL!B:C,2,0)</f>
        <v>Erlinda Kirojan</v>
      </c>
      <c r="C92" t="str">
        <f>VLOOKUP(A92,PPL!B:D,3,0)</f>
        <v>Alan</v>
      </c>
      <c r="D92" t="s">
        <v>244</v>
      </c>
      <c r="E92">
        <v>706</v>
      </c>
      <c r="F92">
        <v>706</v>
      </c>
      <c r="G92">
        <f>VLOOKUP(A92,PPL!B:N,13,0)</f>
        <v>706</v>
      </c>
      <c r="H92">
        <f t="shared" si="2"/>
        <v>0</v>
      </c>
      <c r="I92" t="b">
        <f t="shared" si="3"/>
        <v>1</v>
      </c>
    </row>
    <row r="93" spans="1:9" x14ac:dyDescent="0.25">
      <c r="A93" t="s">
        <v>335</v>
      </c>
      <c r="B93" t="str">
        <f>VLOOKUP(A93,PPL!B:C,2,0)</f>
        <v>Erlinda Kirojan</v>
      </c>
      <c r="C93" t="str">
        <f>VLOOKUP(A93,PPL!B:D,3,0)</f>
        <v>Alan</v>
      </c>
      <c r="D93" t="s">
        <v>244</v>
      </c>
      <c r="E93">
        <v>764</v>
      </c>
      <c r="F93">
        <v>764</v>
      </c>
      <c r="G93">
        <f>VLOOKUP(A93,PPL!B:N,13,0)</f>
        <v>764</v>
      </c>
      <c r="H93">
        <f t="shared" si="2"/>
        <v>0</v>
      </c>
      <c r="I93" t="b">
        <f t="shared" si="3"/>
        <v>1</v>
      </c>
    </row>
    <row r="94" spans="1:9" x14ac:dyDescent="0.25">
      <c r="A94" t="s">
        <v>336</v>
      </c>
      <c r="B94" t="str">
        <f>VLOOKUP(A94,PPL!B:C,2,0)</f>
        <v>Yuche Lahay</v>
      </c>
      <c r="C94" t="str">
        <f>VLOOKUP(A94,PPL!B:D,3,0)</f>
        <v>Uneth</v>
      </c>
      <c r="D94" t="s">
        <v>244</v>
      </c>
      <c r="E94">
        <v>834</v>
      </c>
      <c r="F94">
        <v>834</v>
      </c>
      <c r="G94">
        <f>VLOOKUP(A94,PPL!B:N,13,0)</f>
        <v>834</v>
      </c>
      <c r="H94">
        <f t="shared" si="2"/>
        <v>0</v>
      </c>
      <c r="I94" t="b">
        <f t="shared" si="3"/>
        <v>1</v>
      </c>
    </row>
    <row r="95" spans="1:9" x14ac:dyDescent="0.25">
      <c r="A95" t="s">
        <v>337</v>
      </c>
      <c r="B95" t="str">
        <f>VLOOKUP(A95,PPL!B:C,2,0)</f>
        <v>Yuche Lahay</v>
      </c>
      <c r="C95" t="str">
        <f>VLOOKUP(A95,PPL!B:D,3,0)</f>
        <v>Uneth</v>
      </c>
      <c r="D95" t="s">
        <v>244</v>
      </c>
      <c r="E95">
        <v>838</v>
      </c>
      <c r="F95">
        <v>842</v>
      </c>
      <c r="G95">
        <f>VLOOKUP(A95,PPL!B:N,13,0)</f>
        <v>843</v>
      </c>
      <c r="H95">
        <f t="shared" si="2"/>
        <v>1</v>
      </c>
      <c r="I95" t="b">
        <f t="shared" si="3"/>
        <v>0</v>
      </c>
    </row>
    <row r="96" spans="1:9" x14ac:dyDescent="0.25">
      <c r="A96" t="s">
        <v>338</v>
      </c>
      <c r="B96" t="str">
        <f>VLOOKUP(A96,PPL!B:C,2,0)</f>
        <v>Erlinda Kirojan</v>
      </c>
      <c r="C96" t="str">
        <f>VLOOKUP(A96,PPL!B:D,3,0)</f>
        <v>Alan</v>
      </c>
      <c r="D96" t="s">
        <v>244</v>
      </c>
      <c r="E96">
        <v>580</v>
      </c>
      <c r="F96">
        <v>582</v>
      </c>
      <c r="G96">
        <f>VLOOKUP(A96,PPL!B:N,13,0)</f>
        <v>582</v>
      </c>
      <c r="H96">
        <f t="shared" si="2"/>
        <v>0</v>
      </c>
      <c r="I96" t="b">
        <f t="shared" si="3"/>
        <v>0</v>
      </c>
    </row>
    <row r="97" spans="1:9" x14ac:dyDescent="0.25">
      <c r="A97" t="s">
        <v>339</v>
      </c>
      <c r="B97" t="str">
        <f>VLOOKUP(A97,PPL!B:C,2,0)</f>
        <v>Nur Ain Entengo</v>
      </c>
      <c r="C97" t="str">
        <f>VLOOKUP(A97,PPL!B:D,3,0)</f>
        <v>Aji</v>
      </c>
      <c r="D97" t="s">
        <v>244</v>
      </c>
      <c r="E97">
        <v>691</v>
      </c>
      <c r="F97">
        <v>691</v>
      </c>
      <c r="G97">
        <f>VLOOKUP(A97,PPL!B:N,13,0)</f>
        <v>691</v>
      </c>
      <c r="H97">
        <f t="shared" si="2"/>
        <v>0</v>
      </c>
      <c r="I97" t="b">
        <f t="shared" si="3"/>
        <v>1</v>
      </c>
    </row>
    <row r="98" spans="1:9" x14ac:dyDescent="0.25">
      <c r="A98" t="s">
        <v>340</v>
      </c>
      <c r="B98" t="str">
        <f>VLOOKUP(A98,PPL!B:C,2,0)</f>
        <v>Nur Ain Entengo</v>
      </c>
      <c r="C98" t="str">
        <f>VLOOKUP(A98,PPL!B:D,3,0)</f>
        <v>Aji</v>
      </c>
      <c r="D98" t="s">
        <v>244</v>
      </c>
      <c r="E98">
        <v>777</v>
      </c>
      <c r="F98">
        <v>827</v>
      </c>
      <c r="G98">
        <f>VLOOKUP(A98,PPL!B:N,13,0)</f>
        <v>856</v>
      </c>
      <c r="H98">
        <f t="shared" si="2"/>
        <v>29</v>
      </c>
      <c r="I98" t="b">
        <f t="shared" si="3"/>
        <v>0</v>
      </c>
    </row>
    <row r="99" spans="1:9" x14ac:dyDescent="0.25">
      <c r="A99" t="s">
        <v>341</v>
      </c>
      <c r="B99" t="str">
        <f>VLOOKUP(A99,PPL!B:C,2,0)</f>
        <v>Jayanty Indrianna Gaghansa</v>
      </c>
      <c r="C99" t="str">
        <f>VLOOKUP(A99,PPL!B:D,3,0)</f>
        <v>Gabe</v>
      </c>
      <c r="D99" t="s">
        <v>244</v>
      </c>
      <c r="E99">
        <v>784</v>
      </c>
      <c r="F99">
        <v>788</v>
      </c>
      <c r="G99">
        <f>VLOOKUP(A99,PPL!B:N,13,0)</f>
        <v>791</v>
      </c>
      <c r="H99">
        <f t="shared" si="2"/>
        <v>3</v>
      </c>
      <c r="I99" t="b">
        <f t="shared" si="3"/>
        <v>0</v>
      </c>
    </row>
    <row r="100" spans="1:9" x14ac:dyDescent="0.25">
      <c r="A100" t="s">
        <v>342</v>
      </c>
      <c r="B100" t="str">
        <f>VLOOKUP(A100,PPL!B:C,2,0)</f>
        <v>Jayanty Indrianna Gaghansa</v>
      </c>
      <c r="C100" t="str">
        <f>VLOOKUP(A100,PPL!B:D,3,0)</f>
        <v>Gabe</v>
      </c>
      <c r="D100" t="s">
        <v>244</v>
      </c>
      <c r="E100">
        <v>937</v>
      </c>
      <c r="F100">
        <v>937</v>
      </c>
      <c r="G100">
        <f>VLOOKUP(A100,PPL!B:N,13,0)</f>
        <v>937</v>
      </c>
      <c r="H100">
        <f t="shared" si="2"/>
        <v>0</v>
      </c>
      <c r="I100" t="b">
        <f t="shared" si="3"/>
        <v>1</v>
      </c>
    </row>
    <row r="101" spans="1:9" x14ac:dyDescent="0.25">
      <c r="A101" t="s">
        <v>343</v>
      </c>
      <c r="B101" t="str">
        <f>VLOOKUP(A101,PPL!B:C,2,0)</f>
        <v>Jayanty Indrianna Gaghansa</v>
      </c>
      <c r="C101" t="str">
        <f>VLOOKUP(A101,PPL!B:D,3,0)</f>
        <v>Gabe</v>
      </c>
      <c r="D101" t="s">
        <v>244</v>
      </c>
      <c r="E101">
        <v>851</v>
      </c>
      <c r="F101">
        <v>848</v>
      </c>
      <c r="G101">
        <f>VLOOKUP(A101,PPL!B:N,13,0)</f>
        <v>848</v>
      </c>
      <c r="H101">
        <f t="shared" si="2"/>
        <v>0</v>
      </c>
      <c r="I101" t="b">
        <f t="shared" si="3"/>
        <v>0</v>
      </c>
    </row>
    <row r="102" spans="1:9" x14ac:dyDescent="0.25">
      <c r="A102" t="s">
        <v>344</v>
      </c>
      <c r="B102" t="str">
        <f>VLOOKUP(A102,PPL!B:C,2,0)</f>
        <v>Jayanty Indrianna Gaghansa</v>
      </c>
      <c r="C102" t="str">
        <f>VLOOKUP(A102,PPL!B:D,3,0)</f>
        <v>Gabe</v>
      </c>
      <c r="D102" t="s">
        <v>244</v>
      </c>
      <c r="E102">
        <v>759</v>
      </c>
      <c r="F102">
        <v>778</v>
      </c>
      <c r="G102">
        <f>VLOOKUP(A102,PPL!B:N,13,0)</f>
        <v>778</v>
      </c>
      <c r="H102">
        <f t="shared" si="2"/>
        <v>0</v>
      </c>
      <c r="I102" t="b">
        <f t="shared" si="3"/>
        <v>0</v>
      </c>
    </row>
    <row r="103" spans="1:9" x14ac:dyDescent="0.25">
      <c r="A103" t="s">
        <v>345</v>
      </c>
      <c r="B103" t="str">
        <f>VLOOKUP(A103,PPL!B:C,2,0)</f>
        <v>Grace Marchel Theresia Senduk</v>
      </c>
      <c r="C103" t="str">
        <f>VLOOKUP(A103,PPL!B:D,3,0)</f>
        <v>Neivrid</v>
      </c>
      <c r="D103" t="s">
        <v>244</v>
      </c>
      <c r="E103">
        <v>783</v>
      </c>
      <c r="F103">
        <v>783</v>
      </c>
      <c r="G103">
        <f>VLOOKUP(A103,PPL!B:N,13,0)</f>
        <v>787</v>
      </c>
      <c r="H103">
        <f t="shared" si="2"/>
        <v>4</v>
      </c>
      <c r="I103" t="b">
        <f t="shared" si="3"/>
        <v>0</v>
      </c>
    </row>
    <row r="104" spans="1:9" x14ac:dyDescent="0.25">
      <c r="A104" t="s">
        <v>346</v>
      </c>
      <c r="B104" t="str">
        <f>VLOOKUP(A104,PPL!B:C,2,0)</f>
        <v>Yolani Karolinda Djadi</v>
      </c>
      <c r="C104" t="str">
        <f>VLOOKUP(A104,PPL!B:D,3,0)</f>
        <v>Prih</v>
      </c>
      <c r="D104" t="s">
        <v>244</v>
      </c>
      <c r="E104">
        <v>767</v>
      </c>
      <c r="F104">
        <v>780</v>
      </c>
      <c r="G104">
        <f>VLOOKUP(A104,PPL!B:N,13,0)</f>
        <v>780</v>
      </c>
      <c r="H104">
        <f t="shared" si="2"/>
        <v>0</v>
      </c>
      <c r="I104" t="b">
        <f t="shared" si="3"/>
        <v>0</v>
      </c>
    </row>
    <row r="105" spans="1:9" x14ac:dyDescent="0.25">
      <c r="A105" t="s">
        <v>347</v>
      </c>
      <c r="B105" t="str">
        <f>VLOOKUP(A105,PPL!B:C,2,0)</f>
        <v>Yolani Karolinda Djadi</v>
      </c>
      <c r="C105" t="str">
        <f>VLOOKUP(A105,PPL!B:D,3,0)</f>
        <v>Prih</v>
      </c>
      <c r="D105" t="s">
        <v>244</v>
      </c>
      <c r="E105">
        <v>573</v>
      </c>
      <c r="F105">
        <v>578</v>
      </c>
      <c r="G105">
        <f>VLOOKUP(A105,PPL!B:N,13,0)</f>
        <v>578</v>
      </c>
      <c r="H105">
        <f t="shared" si="2"/>
        <v>0</v>
      </c>
      <c r="I105" t="b">
        <f t="shared" si="3"/>
        <v>0</v>
      </c>
    </row>
    <row r="106" spans="1:9" x14ac:dyDescent="0.25">
      <c r="A106" t="s">
        <v>348</v>
      </c>
      <c r="B106" t="str">
        <f>VLOOKUP(A106,PPL!B:C,2,0)</f>
        <v>Yolani Karolinda Djadi</v>
      </c>
      <c r="C106" t="str">
        <f>VLOOKUP(A106,PPL!B:D,3,0)</f>
        <v>Prih</v>
      </c>
      <c r="D106" t="s">
        <v>244</v>
      </c>
      <c r="E106">
        <v>760</v>
      </c>
      <c r="F106">
        <v>760</v>
      </c>
      <c r="G106">
        <f>VLOOKUP(A106,PPL!B:N,13,0)</f>
        <v>763</v>
      </c>
      <c r="H106">
        <f t="shared" si="2"/>
        <v>3</v>
      </c>
      <c r="I106" t="b">
        <f t="shared" si="3"/>
        <v>0</v>
      </c>
    </row>
    <row r="107" spans="1:9" x14ac:dyDescent="0.25">
      <c r="A107" t="s">
        <v>349</v>
      </c>
      <c r="B107" t="str">
        <f>VLOOKUP(A107,PPL!B:C,2,0)</f>
        <v>Yolani Karolinda Djadi</v>
      </c>
      <c r="C107" t="str">
        <f>VLOOKUP(A107,PPL!B:D,3,0)</f>
        <v>Prih</v>
      </c>
      <c r="D107" t="s">
        <v>244</v>
      </c>
      <c r="E107">
        <v>690</v>
      </c>
      <c r="F107">
        <v>691</v>
      </c>
      <c r="G107">
        <f>VLOOKUP(A107,PPL!B:N,13,0)</f>
        <v>693</v>
      </c>
      <c r="H107">
        <f t="shared" si="2"/>
        <v>2</v>
      </c>
      <c r="I107" t="b">
        <f t="shared" si="3"/>
        <v>0</v>
      </c>
    </row>
    <row r="108" spans="1:9" x14ac:dyDescent="0.25">
      <c r="A108" t="s">
        <v>350</v>
      </c>
      <c r="B108" t="str">
        <f>VLOOKUP(A108,PPL!B:C,2,0)</f>
        <v>Yolani Karolinda Djadi</v>
      </c>
      <c r="C108" t="str">
        <f>VLOOKUP(A108,PPL!B:D,3,0)</f>
        <v>Prih</v>
      </c>
      <c r="D108" t="s">
        <v>244</v>
      </c>
      <c r="E108">
        <v>597</v>
      </c>
      <c r="F108">
        <v>602</v>
      </c>
      <c r="G108">
        <f>VLOOKUP(A108,PPL!B:N,13,0)</f>
        <v>608</v>
      </c>
      <c r="H108">
        <f t="shared" si="2"/>
        <v>6</v>
      </c>
      <c r="I108" t="b">
        <f t="shared" si="3"/>
        <v>0</v>
      </c>
    </row>
    <row r="109" spans="1:9" x14ac:dyDescent="0.25">
      <c r="A109" t="s">
        <v>974</v>
      </c>
      <c r="B109" t="str">
        <f>VLOOKUP(A109,PPL!B:C,2,0)</f>
        <v>Yolani Karolinda Djadi</v>
      </c>
      <c r="C109" t="str">
        <f>VLOOKUP(A109,PPL!B:D,3,0)</f>
        <v>Prih</v>
      </c>
      <c r="D109" t="s">
        <v>244</v>
      </c>
      <c r="E109">
        <v>629</v>
      </c>
      <c r="F109">
        <v>629</v>
      </c>
      <c r="G109">
        <f>VLOOKUP(A109,PPL!B:N,13,0)</f>
        <v>654</v>
      </c>
      <c r="H109">
        <f t="shared" si="2"/>
        <v>25</v>
      </c>
      <c r="I109" t="b">
        <f t="shared" si="3"/>
        <v>0</v>
      </c>
    </row>
    <row r="110" spans="1:9" x14ac:dyDescent="0.25">
      <c r="A110" t="s">
        <v>351</v>
      </c>
      <c r="B110" t="str">
        <f>VLOOKUP(A110,PPL!B:C,2,0)</f>
        <v>Jayanty Indrianna Gaghansa</v>
      </c>
      <c r="C110" t="str">
        <f>VLOOKUP(A110,PPL!B:D,3,0)</f>
        <v>Gabe</v>
      </c>
      <c r="D110" t="s">
        <v>244</v>
      </c>
      <c r="E110">
        <v>646</v>
      </c>
      <c r="F110">
        <v>658</v>
      </c>
      <c r="G110">
        <f>VLOOKUP(A110,PPL!B:N,13,0)</f>
        <v>677</v>
      </c>
      <c r="H110">
        <f t="shared" si="2"/>
        <v>19</v>
      </c>
      <c r="I110" t="b">
        <f t="shared" si="3"/>
        <v>0</v>
      </c>
    </row>
    <row r="111" spans="1:9" x14ac:dyDescent="0.25">
      <c r="A111" t="s">
        <v>352</v>
      </c>
      <c r="B111" t="str">
        <f>VLOOKUP(A111,PPL!B:C,2,0)</f>
        <v>Jayanty Indrianna Gaghansa</v>
      </c>
      <c r="C111" t="str">
        <f>VLOOKUP(A111,PPL!B:D,3,0)</f>
        <v>Gabe</v>
      </c>
      <c r="D111" t="s">
        <v>244</v>
      </c>
      <c r="E111">
        <v>677</v>
      </c>
      <c r="F111">
        <v>671</v>
      </c>
      <c r="G111">
        <f>VLOOKUP(A111,PPL!B:N,13,0)</f>
        <v>676</v>
      </c>
      <c r="H111">
        <f t="shared" si="2"/>
        <v>5</v>
      </c>
      <c r="I111" t="b">
        <f t="shared" si="3"/>
        <v>0</v>
      </c>
    </row>
    <row r="112" spans="1:9" x14ac:dyDescent="0.25">
      <c r="A112" t="s">
        <v>353</v>
      </c>
      <c r="B112" t="str">
        <f>VLOOKUP(A112,PPL!B:C,2,0)</f>
        <v>Jayanty Indrianna Gaghansa</v>
      </c>
      <c r="C112" t="str">
        <f>VLOOKUP(A112,PPL!B:D,3,0)</f>
        <v>Gabe</v>
      </c>
      <c r="D112" t="s">
        <v>244</v>
      </c>
      <c r="E112">
        <v>672</v>
      </c>
      <c r="F112">
        <v>672</v>
      </c>
      <c r="G112">
        <f>VLOOKUP(A112,PPL!B:N,13,0)</f>
        <v>679</v>
      </c>
      <c r="H112">
        <f t="shared" si="2"/>
        <v>7</v>
      </c>
      <c r="I112" t="b">
        <f t="shared" si="3"/>
        <v>0</v>
      </c>
    </row>
    <row r="113" spans="1:9" x14ac:dyDescent="0.25">
      <c r="A113" t="s">
        <v>354</v>
      </c>
      <c r="B113" t="str">
        <f>VLOOKUP(A113,PPL!B:C,2,0)</f>
        <v>Yolani Karolinda Djadi</v>
      </c>
      <c r="C113" t="str">
        <f>VLOOKUP(A113,PPL!B:D,3,0)</f>
        <v>Prih</v>
      </c>
      <c r="D113" t="s">
        <v>244</v>
      </c>
      <c r="E113">
        <v>849</v>
      </c>
      <c r="F113">
        <v>849</v>
      </c>
      <c r="G113">
        <f>VLOOKUP(A113,PPL!B:N,13,0)</f>
        <v>851</v>
      </c>
      <c r="H113">
        <f t="shared" si="2"/>
        <v>2</v>
      </c>
      <c r="I113" t="b">
        <f t="shared" si="3"/>
        <v>0</v>
      </c>
    </row>
    <row r="114" spans="1:9" x14ac:dyDescent="0.25">
      <c r="A114" t="s">
        <v>355</v>
      </c>
      <c r="B114" t="str">
        <f>VLOOKUP(A114,PPL!B:C,2,0)</f>
        <v>Grace Marchel Theresia Senduk</v>
      </c>
      <c r="C114" t="str">
        <f>VLOOKUP(A114,PPL!B:D,3,0)</f>
        <v>Neivrid</v>
      </c>
      <c r="D114" t="s">
        <v>244</v>
      </c>
      <c r="E114">
        <v>745</v>
      </c>
      <c r="F114">
        <v>745</v>
      </c>
      <c r="G114">
        <f>VLOOKUP(A114,PPL!B:N,13,0)</f>
        <v>745</v>
      </c>
      <c r="H114">
        <f t="shared" si="2"/>
        <v>0</v>
      </c>
      <c r="I114" t="b">
        <f t="shared" si="3"/>
        <v>1</v>
      </c>
    </row>
    <row r="115" spans="1:9" x14ac:dyDescent="0.25">
      <c r="A115" t="s">
        <v>356</v>
      </c>
      <c r="B115" t="str">
        <f>VLOOKUP(A115,PPL!B:C,2,0)</f>
        <v>Grace Marchel Theresia Senduk</v>
      </c>
      <c r="C115" t="str">
        <f>VLOOKUP(A115,PPL!B:D,3,0)</f>
        <v>Neivrid</v>
      </c>
      <c r="D115" t="s">
        <v>244</v>
      </c>
      <c r="E115">
        <v>880</v>
      </c>
      <c r="F115">
        <v>880</v>
      </c>
      <c r="G115">
        <f>VLOOKUP(A115,PPL!B:N,13,0)</f>
        <v>906</v>
      </c>
      <c r="H115">
        <f t="shared" si="2"/>
        <v>26</v>
      </c>
      <c r="I115" t="b">
        <f t="shared" si="3"/>
        <v>0</v>
      </c>
    </row>
    <row r="116" spans="1:9" x14ac:dyDescent="0.25">
      <c r="A116" t="s">
        <v>357</v>
      </c>
      <c r="B116" t="str">
        <f>VLOOKUP(A116,PPL!B:C,2,0)</f>
        <v>Grace Marchel Theresia Senduk</v>
      </c>
      <c r="C116" t="str">
        <f>VLOOKUP(A116,PPL!B:D,3,0)</f>
        <v>Neivrid</v>
      </c>
      <c r="D116" t="s">
        <v>244</v>
      </c>
      <c r="E116">
        <v>617</v>
      </c>
      <c r="F116">
        <v>617</v>
      </c>
      <c r="G116">
        <f>VLOOKUP(A116,PPL!B:N,13,0)</f>
        <v>620</v>
      </c>
      <c r="H116">
        <f t="shared" si="2"/>
        <v>3</v>
      </c>
      <c r="I116" t="b">
        <f t="shared" si="3"/>
        <v>0</v>
      </c>
    </row>
    <row r="117" spans="1:9" x14ac:dyDescent="0.25">
      <c r="A117" t="s">
        <v>358</v>
      </c>
      <c r="B117" t="str">
        <f>VLOOKUP(A117,PPL!B:C,2,0)</f>
        <v>Grace Marchel Theresia Senduk</v>
      </c>
      <c r="C117" t="str">
        <f>VLOOKUP(A117,PPL!B:D,3,0)</f>
        <v>Neivrid</v>
      </c>
      <c r="D117" t="s">
        <v>244</v>
      </c>
      <c r="E117">
        <v>614</v>
      </c>
      <c r="F117">
        <v>639</v>
      </c>
      <c r="G117">
        <f>VLOOKUP(A117,PPL!B:N,13,0)</f>
        <v>661</v>
      </c>
      <c r="H117">
        <f t="shared" si="2"/>
        <v>22</v>
      </c>
      <c r="I117" t="b">
        <f t="shared" si="3"/>
        <v>0</v>
      </c>
    </row>
    <row r="118" spans="1:9" x14ac:dyDescent="0.25">
      <c r="A118" t="s">
        <v>359</v>
      </c>
      <c r="B118" t="str">
        <f>VLOOKUP(A118,PPL!B:C,2,0)</f>
        <v>Grace Marchel Theresia Senduk</v>
      </c>
      <c r="C118" t="str">
        <f>VLOOKUP(A118,PPL!B:D,3,0)</f>
        <v>Neivrid</v>
      </c>
      <c r="D118" t="s">
        <v>244</v>
      </c>
      <c r="E118">
        <v>710</v>
      </c>
      <c r="F118">
        <v>717</v>
      </c>
      <c r="G118">
        <f>VLOOKUP(A118,PPL!B:N,13,0)</f>
        <v>717</v>
      </c>
      <c r="H118">
        <f t="shared" si="2"/>
        <v>0</v>
      </c>
      <c r="I118" t="b">
        <f t="shared" si="3"/>
        <v>0</v>
      </c>
    </row>
    <row r="119" spans="1:9" x14ac:dyDescent="0.25">
      <c r="A119" t="s">
        <v>360</v>
      </c>
      <c r="B119" t="str">
        <f>VLOOKUP(A119,PPL!B:C,2,0)</f>
        <v>Grace Marchel Theresia Senduk</v>
      </c>
      <c r="C119" t="str">
        <f>VLOOKUP(A119,PPL!B:D,3,0)</f>
        <v>Neivrid</v>
      </c>
      <c r="D119" t="s">
        <v>244</v>
      </c>
      <c r="E119">
        <v>650</v>
      </c>
      <c r="F119">
        <v>658</v>
      </c>
      <c r="G119">
        <f>VLOOKUP(A119,PPL!B:N,13,0)</f>
        <v>704</v>
      </c>
      <c r="H119">
        <f t="shared" si="2"/>
        <v>46</v>
      </c>
      <c r="I119" t="b">
        <f t="shared" si="3"/>
        <v>0</v>
      </c>
    </row>
    <row r="120" spans="1:9" x14ac:dyDescent="0.25">
      <c r="A120" t="s">
        <v>361</v>
      </c>
      <c r="B120" t="str">
        <f>VLOOKUP(A120,PPL!B:C,2,0)</f>
        <v>Lidia Bawonte</v>
      </c>
      <c r="C120" t="str">
        <f>VLOOKUP(A120,PPL!B:D,3,0)</f>
        <v>Saul</v>
      </c>
      <c r="D120" t="s">
        <v>244</v>
      </c>
      <c r="E120">
        <v>655</v>
      </c>
      <c r="F120">
        <v>668</v>
      </c>
      <c r="G120">
        <f>VLOOKUP(A120,PPL!B:N,13,0)</f>
        <v>705</v>
      </c>
      <c r="H120">
        <f t="shared" si="2"/>
        <v>37</v>
      </c>
      <c r="I120" t="b">
        <f t="shared" si="3"/>
        <v>0</v>
      </c>
    </row>
    <row r="121" spans="1:9" x14ac:dyDescent="0.25">
      <c r="A121" t="s">
        <v>362</v>
      </c>
      <c r="B121" t="str">
        <f>VLOOKUP(A121,PPL!B:C,2,0)</f>
        <v>Deasy Natalia Hengkeng</v>
      </c>
      <c r="C121" t="str">
        <f>VLOOKUP(A121,PPL!B:D,3,0)</f>
        <v>Alfian</v>
      </c>
      <c r="D121" t="s">
        <v>244</v>
      </c>
      <c r="E121">
        <v>682</v>
      </c>
      <c r="F121">
        <v>684</v>
      </c>
      <c r="G121">
        <f>VLOOKUP(A121,PPL!B:N,13,0)</f>
        <v>684</v>
      </c>
      <c r="H121">
        <f t="shared" si="2"/>
        <v>0</v>
      </c>
      <c r="I121" t="b">
        <f t="shared" si="3"/>
        <v>0</v>
      </c>
    </row>
    <row r="122" spans="1:9" x14ac:dyDescent="0.25">
      <c r="A122" t="s">
        <v>363</v>
      </c>
      <c r="B122" t="str">
        <f>VLOOKUP(A122,PPL!B:C,2,0)</f>
        <v>Deasy Natalia Hengkeng</v>
      </c>
      <c r="C122" t="str">
        <f>VLOOKUP(A122,PPL!B:D,3,0)</f>
        <v>Alfian</v>
      </c>
      <c r="D122" t="s">
        <v>244</v>
      </c>
      <c r="E122">
        <v>675</v>
      </c>
      <c r="F122">
        <v>675</v>
      </c>
      <c r="G122">
        <f>VLOOKUP(A122,PPL!B:N,13,0)</f>
        <v>864</v>
      </c>
      <c r="H122">
        <f t="shared" si="2"/>
        <v>189</v>
      </c>
      <c r="I122" t="b">
        <f t="shared" si="3"/>
        <v>0</v>
      </c>
    </row>
    <row r="123" spans="1:9" x14ac:dyDescent="0.25">
      <c r="A123" t="s">
        <v>364</v>
      </c>
      <c r="B123" t="str">
        <f>VLOOKUP(A123,PPL!B:C,2,0)</f>
        <v>Deasy Natalia Hengkeng</v>
      </c>
      <c r="C123" t="str">
        <f>VLOOKUP(A123,PPL!B:D,3,0)</f>
        <v>Alfian</v>
      </c>
      <c r="D123" t="s">
        <v>244</v>
      </c>
      <c r="E123">
        <v>662</v>
      </c>
      <c r="F123">
        <v>662</v>
      </c>
      <c r="G123">
        <f>VLOOKUP(A123,PPL!B:N,13,0)</f>
        <v>662</v>
      </c>
      <c r="H123">
        <f t="shared" si="2"/>
        <v>0</v>
      </c>
      <c r="I123" t="b">
        <f t="shared" si="3"/>
        <v>1</v>
      </c>
    </row>
    <row r="124" spans="1:9" x14ac:dyDescent="0.25">
      <c r="A124" t="s">
        <v>365</v>
      </c>
      <c r="B124" t="str">
        <f>VLOOKUP(A124,PPL!B:C,2,0)</f>
        <v>Deasy Natalia Hengkeng</v>
      </c>
      <c r="C124" t="str">
        <f>VLOOKUP(A124,PPL!B:D,3,0)</f>
        <v>Alfian</v>
      </c>
      <c r="D124" t="s">
        <v>244</v>
      </c>
      <c r="E124">
        <v>805</v>
      </c>
      <c r="F124">
        <v>805</v>
      </c>
      <c r="G124">
        <f>VLOOKUP(A124,PPL!B:N,13,0)</f>
        <v>805</v>
      </c>
      <c r="H124">
        <f t="shared" ref="H124:H151" si="4">G124-F124</f>
        <v>0</v>
      </c>
      <c r="I124" t="b">
        <f t="shared" si="3"/>
        <v>1</v>
      </c>
    </row>
    <row r="125" spans="1:9" x14ac:dyDescent="0.25">
      <c r="A125" t="s">
        <v>366</v>
      </c>
      <c r="B125" t="str">
        <f>VLOOKUP(A125,PPL!B:C,2,0)</f>
        <v>Deasy Natalia Hengkeng</v>
      </c>
      <c r="C125" t="str">
        <f>VLOOKUP(A125,PPL!B:D,3,0)</f>
        <v>Alfian</v>
      </c>
      <c r="D125" t="s">
        <v>244</v>
      </c>
      <c r="E125">
        <v>644</v>
      </c>
      <c r="F125">
        <v>644</v>
      </c>
      <c r="G125">
        <f>VLOOKUP(A125,PPL!B:N,13,0)</f>
        <v>644</v>
      </c>
      <c r="H125">
        <f t="shared" si="4"/>
        <v>0</v>
      </c>
      <c r="I125" t="b">
        <f t="shared" ref="I125:I151" si="5">E125=G125</f>
        <v>1</v>
      </c>
    </row>
    <row r="126" spans="1:9" x14ac:dyDescent="0.25">
      <c r="A126" t="s">
        <v>367</v>
      </c>
      <c r="B126" t="str">
        <f>VLOOKUP(A126,PPL!B:C,2,0)</f>
        <v>Lidia Bawonte</v>
      </c>
      <c r="C126" t="str">
        <f>VLOOKUP(A126,PPL!B:D,3,0)</f>
        <v>Saul</v>
      </c>
      <c r="D126" t="s">
        <v>244</v>
      </c>
      <c r="E126">
        <v>904</v>
      </c>
      <c r="F126">
        <v>971</v>
      </c>
      <c r="G126">
        <f>VLOOKUP(A126,PPL!B:N,13,0)</f>
        <v>974</v>
      </c>
      <c r="H126">
        <f t="shared" si="4"/>
        <v>3</v>
      </c>
      <c r="I126" t="b">
        <f t="shared" si="5"/>
        <v>0</v>
      </c>
    </row>
    <row r="127" spans="1:9" x14ac:dyDescent="0.25">
      <c r="A127" t="s">
        <v>368</v>
      </c>
      <c r="B127" t="str">
        <f>VLOOKUP(A127,PPL!B:C,2,0)</f>
        <v>Deasy Natalia Hengkeng</v>
      </c>
      <c r="C127" t="str">
        <f>VLOOKUP(A127,PPL!B:D,3,0)</f>
        <v>Alfian</v>
      </c>
      <c r="D127" t="s">
        <v>244</v>
      </c>
      <c r="E127">
        <v>749</v>
      </c>
      <c r="F127">
        <v>749</v>
      </c>
      <c r="G127">
        <f>VLOOKUP(A127,PPL!B:N,13,0)</f>
        <v>749</v>
      </c>
      <c r="H127">
        <f t="shared" si="4"/>
        <v>0</v>
      </c>
      <c r="I127" t="b">
        <f t="shared" si="5"/>
        <v>1</v>
      </c>
    </row>
    <row r="128" spans="1:9" x14ac:dyDescent="0.25">
      <c r="A128" t="s">
        <v>369</v>
      </c>
      <c r="B128" t="str">
        <f>VLOOKUP(A128,PPL!B:C,2,0)</f>
        <v>Lidia Bawonte</v>
      </c>
      <c r="C128" t="str">
        <f>VLOOKUP(A128,PPL!B:D,3,0)</f>
        <v>Saul</v>
      </c>
      <c r="D128" t="s">
        <v>244</v>
      </c>
      <c r="E128">
        <v>651</v>
      </c>
      <c r="F128">
        <v>657</v>
      </c>
      <c r="G128">
        <f>VLOOKUP(A128,PPL!B:N,13,0)</f>
        <v>657</v>
      </c>
      <c r="H128">
        <f t="shared" si="4"/>
        <v>0</v>
      </c>
      <c r="I128" t="b">
        <f t="shared" si="5"/>
        <v>0</v>
      </c>
    </row>
    <row r="129" spans="1:9" x14ac:dyDescent="0.25">
      <c r="A129" t="s">
        <v>370</v>
      </c>
      <c r="B129" t="str">
        <f>VLOOKUP(A129,PPL!B:C,2,0)</f>
        <v>Lidia Bawonte</v>
      </c>
      <c r="C129" t="str">
        <f>VLOOKUP(A129,PPL!B:D,3,0)</f>
        <v>Saul</v>
      </c>
      <c r="D129" t="s">
        <v>244</v>
      </c>
      <c r="E129">
        <v>891</v>
      </c>
      <c r="F129">
        <v>891</v>
      </c>
      <c r="G129">
        <f>VLOOKUP(A129,PPL!B:N,13,0)</f>
        <v>891</v>
      </c>
      <c r="H129">
        <f t="shared" si="4"/>
        <v>0</v>
      </c>
      <c r="I129" t="b">
        <f t="shared" si="5"/>
        <v>1</v>
      </c>
    </row>
    <row r="130" spans="1:9" x14ac:dyDescent="0.25">
      <c r="A130" t="s">
        <v>371</v>
      </c>
      <c r="B130" t="str">
        <f>VLOOKUP(A130,PPL!B:C,2,0)</f>
        <v>Lidia Bawonte</v>
      </c>
      <c r="C130" t="str">
        <f>VLOOKUP(A130,PPL!B:D,3,0)</f>
        <v>Saul</v>
      </c>
      <c r="D130" t="s">
        <v>244</v>
      </c>
      <c r="E130">
        <v>728</v>
      </c>
      <c r="F130">
        <v>740</v>
      </c>
      <c r="G130">
        <f>VLOOKUP(A130,PPL!B:N,13,0)</f>
        <v>742</v>
      </c>
      <c r="H130">
        <f t="shared" si="4"/>
        <v>2</v>
      </c>
      <c r="I130" t="b">
        <f t="shared" si="5"/>
        <v>0</v>
      </c>
    </row>
    <row r="131" spans="1:9" x14ac:dyDescent="0.25">
      <c r="A131" t="s">
        <v>372</v>
      </c>
      <c r="B131" t="str">
        <f>VLOOKUP(A131,PPL!B:C,2,0)</f>
        <v>Lidia Bawonte</v>
      </c>
      <c r="C131" t="str">
        <f>VLOOKUP(A131,PPL!B:D,3,0)</f>
        <v>Saul</v>
      </c>
      <c r="D131" t="s">
        <v>244</v>
      </c>
      <c r="E131">
        <v>797</v>
      </c>
      <c r="F131">
        <v>811</v>
      </c>
      <c r="G131">
        <f>VLOOKUP(A131,PPL!B:N,13,0)</f>
        <v>829</v>
      </c>
      <c r="H131">
        <f t="shared" si="4"/>
        <v>18</v>
      </c>
      <c r="I131" t="b">
        <f t="shared" si="5"/>
        <v>0</v>
      </c>
    </row>
    <row r="132" spans="1:9" x14ac:dyDescent="0.25">
      <c r="A132" t="s">
        <v>380</v>
      </c>
      <c r="B132" t="str">
        <f>VLOOKUP(A132,PPL!B:C,2,0)</f>
        <v>Deasy Natalia Hengkeng</v>
      </c>
      <c r="C132" t="str">
        <f>VLOOKUP(A132,PPL!B:D,3,0)</f>
        <v>Alfian</v>
      </c>
      <c r="D132" t="s">
        <v>244</v>
      </c>
      <c r="E132">
        <v>1082</v>
      </c>
      <c r="F132">
        <v>1082</v>
      </c>
      <c r="G132">
        <f>VLOOKUP(A132,PPL!B:N,13,0)</f>
        <v>1082</v>
      </c>
      <c r="H132">
        <f t="shared" si="4"/>
        <v>0</v>
      </c>
      <c r="I132" t="b">
        <f t="shared" si="5"/>
        <v>1</v>
      </c>
    </row>
    <row r="133" spans="1:9" x14ac:dyDescent="0.25">
      <c r="A133" t="s">
        <v>162</v>
      </c>
      <c r="B133" t="s">
        <v>378</v>
      </c>
      <c r="C133" t="str">
        <f>VLOOKUP(A133,PML!A:B,2,0)</f>
        <v>Meidy</v>
      </c>
      <c r="D133" t="s">
        <v>245</v>
      </c>
      <c r="E133">
        <v>3454</v>
      </c>
      <c r="F133">
        <v>3763</v>
      </c>
      <c r="G133">
        <f>VLOOKUP(A133,PML!A:K,11,0)</f>
        <v>3944</v>
      </c>
      <c r="H133">
        <f t="shared" si="4"/>
        <v>181</v>
      </c>
      <c r="I133" t="b">
        <f t="shared" si="5"/>
        <v>0</v>
      </c>
    </row>
    <row r="134" spans="1:9" x14ac:dyDescent="0.25">
      <c r="A134" t="s">
        <v>163</v>
      </c>
      <c r="B134" t="s">
        <v>378</v>
      </c>
      <c r="C134" t="str">
        <f>VLOOKUP(A134,PML!A:B,2,0)</f>
        <v>Lasimran</v>
      </c>
      <c r="D134" t="s">
        <v>245</v>
      </c>
      <c r="E134">
        <v>3601</v>
      </c>
      <c r="F134">
        <v>3921</v>
      </c>
      <c r="G134">
        <f>VLOOKUP(A134,PML!A:K,11,0)</f>
        <v>4131</v>
      </c>
      <c r="H134">
        <f t="shared" si="4"/>
        <v>210</v>
      </c>
      <c r="I134" t="b">
        <f t="shared" si="5"/>
        <v>0</v>
      </c>
    </row>
    <row r="135" spans="1:9" x14ac:dyDescent="0.25">
      <c r="A135" t="s">
        <v>164</v>
      </c>
      <c r="B135" t="s">
        <v>378</v>
      </c>
      <c r="C135" t="str">
        <f>VLOOKUP(A135,PML!A:B,2,0)</f>
        <v>Oliv</v>
      </c>
      <c r="D135" t="s">
        <v>245</v>
      </c>
      <c r="E135">
        <v>5646</v>
      </c>
      <c r="F135">
        <v>5651</v>
      </c>
      <c r="G135">
        <f>VLOOKUP(A135,PML!A:K,11,0)</f>
        <v>5691</v>
      </c>
      <c r="H135">
        <f t="shared" si="4"/>
        <v>40</v>
      </c>
      <c r="I135" t="b">
        <f t="shared" si="5"/>
        <v>0</v>
      </c>
    </row>
    <row r="136" spans="1:9" x14ac:dyDescent="0.25">
      <c r="A136" t="s">
        <v>165</v>
      </c>
      <c r="B136" t="s">
        <v>378</v>
      </c>
      <c r="C136" t="str">
      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>
        <v>5673</v>
      </c>
      <c r="H136">
        <f t="shared" si="4"/>
        <v>225</v>
      </c>
      <c r="I136" t="b">
        <f t="shared" si="5"/>
        <v>0</v>
      </c>
    </row>
    <row r="137" spans="1:9" x14ac:dyDescent="0.25">
      <c r="A137" t="s">
        <v>166</v>
      </c>
      <c r="B137" t="s">
        <v>378</v>
      </c>
      <c r="C137" t="str">
        <f>VLOOKUP(A137,PML!A:B,2,0)</f>
        <v>NurAlamsyah</v>
      </c>
      <c r="D137" t="s">
        <v>245</v>
      </c>
      <c r="E137">
        <v>5112</v>
      </c>
      <c r="F137">
        <v>5338</v>
      </c>
      <c r="G137">
        <f>VLOOKUP(A137,PML!A:K,11,0)</f>
        <v>5470</v>
      </c>
      <c r="H137">
        <f t="shared" si="4"/>
        <v>132</v>
      </c>
      <c r="I137" t="b">
        <f t="shared" si="5"/>
        <v>0</v>
      </c>
    </row>
    <row r="138" spans="1:9" x14ac:dyDescent="0.25">
      <c r="A138" t="s">
        <v>167</v>
      </c>
      <c r="B138" t="s">
        <v>378</v>
      </c>
      <c r="C138" t="str">
        <f>VLOOKUP(A138,PML!A:B,2,0)</f>
        <v>Firly</v>
      </c>
      <c r="D138" t="s">
        <v>245</v>
      </c>
      <c r="E138">
        <v>3797</v>
      </c>
      <c r="F138">
        <v>3922</v>
      </c>
      <c r="G138">
        <f>VLOOKUP(A138,PML!A:K,11,0)</f>
        <v>4018</v>
      </c>
      <c r="H138">
        <f t="shared" si="4"/>
        <v>96</v>
      </c>
      <c r="I138" t="b">
        <f t="shared" si="5"/>
        <v>0</v>
      </c>
    </row>
    <row r="139" spans="1:9" x14ac:dyDescent="0.25">
      <c r="A139" t="s">
        <v>168</v>
      </c>
      <c r="B139" t="s">
        <v>378</v>
      </c>
      <c r="C139" t="str">
        <f>VLOOKUP(A139,PML!A:B,2,0)</f>
        <v>Handoko</v>
      </c>
      <c r="D139" t="s">
        <v>245</v>
      </c>
      <c r="E139">
        <v>3036</v>
      </c>
      <c r="F139">
        <v>3070</v>
      </c>
      <c r="G139">
        <f>VLOOKUP(A139,PML!A:K,11,0)</f>
        <v>3054</v>
      </c>
      <c r="H139">
        <f t="shared" si="4"/>
        <v>-16</v>
      </c>
      <c r="I139" t="b">
        <f t="shared" si="5"/>
        <v>0</v>
      </c>
    </row>
    <row r="140" spans="1:9" x14ac:dyDescent="0.25">
      <c r="A140" t="s">
        <v>169</v>
      </c>
      <c r="B140" t="s">
        <v>378</v>
      </c>
      <c r="C140" t="str">
        <f>VLOOKUP(A140,PML!A:B,2,0)</f>
        <v>Rudy</v>
      </c>
      <c r="D140" t="s">
        <v>245</v>
      </c>
      <c r="E140">
        <v>4829</v>
      </c>
      <c r="F140">
        <v>4842</v>
      </c>
      <c r="G140">
        <f>VLOOKUP(A140,PML!A:K,11,0)</f>
        <v>4859</v>
      </c>
      <c r="H140">
        <f t="shared" si="4"/>
        <v>17</v>
      </c>
      <c r="I140" t="b">
        <f t="shared" si="5"/>
        <v>0</v>
      </c>
    </row>
    <row r="141" spans="1:9" x14ac:dyDescent="0.25">
      <c r="A141" t="s">
        <v>170</v>
      </c>
      <c r="B141" t="s">
        <v>378</v>
      </c>
      <c r="C141" t="str">
        <f>VLOOKUP(A141,PML!A:B,2,0)</f>
        <v>Iska</v>
      </c>
      <c r="D141" t="s">
        <v>245</v>
      </c>
      <c r="E141">
        <v>4587</v>
      </c>
      <c r="F141">
        <v>4601</v>
      </c>
      <c r="G141">
        <f>VLOOKUP(A141,PML!A:K,11,0)</f>
        <v>4594</v>
      </c>
      <c r="H141">
        <f t="shared" si="4"/>
        <v>-7</v>
      </c>
      <c r="I141" t="b">
        <f t="shared" si="5"/>
        <v>0</v>
      </c>
    </row>
    <row r="142" spans="1:9" x14ac:dyDescent="0.25">
      <c r="A142" t="s">
        <v>171</v>
      </c>
      <c r="B142" t="s">
        <v>378</v>
      </c>
      <c r="C142" t="str">
        <f>VLOOKUP(A142,PML!A:B,2,0)</f>
        <v>Puput</v>
      </c>
      <c r="D142" t="s">
        <v>245</v>
      </c>
      <c r="E142">
        <v>3677</v>
      </c>
      <c r="F142">
        <v>3785</v>
      </c>
      <c r="G142">
        <f>VLOOKUP(A142,PML!A:K,11,0)</f>
        <v>3960</v>
      </c>
      <c r="H142">
        <f t="shared" si="4"/>
        <v>175</v>
      </c>
      <c r="I142" t="b">
        <f t="shared" si="5"/>
        <v>0</v>
      </c>
    </row>
    <row r="143" spans="1:9" x14ac:dyDescent="0.25">
      <c r="A143" t="s">
        <v>172</v>
      </c>
      <c r="B143" t="s">
        <v>378</v>
      </c>
      <c r="C143" t="str">
        <f>VLOOKUP(A143,PML!A:B,2,0)</f>
        <v>Ijan</v>
      </c>
      <c r="D143" t="s">
        <v>245</v>
      </c>
      <c r="E143">
        <v>3824</v>
      </c>
      <c r="F143">
        <v>3847</v>
      </c>
      <c r="G143">
        <f>VLOOKUP(A143,PML!A:K,11,0)</f>
        <v>3687</v>
      </c>
      <c r="H143">
        <f t="shared" si="4"/>
        <v>-160</v>
      </c>
      <c r="I143" t="b">
        <f t="shared" si="5"/>
        <v>0</v>
      </c>
    </row>
    <row r="144" spans="1:9" x14ac:dyDescent="0.25">
      <c r="A144" t="s">
        <v>173</v>
      </c>
      <c r="B144" t="s">
        <v>378</v>
      </c>
      <c r="C144" t="str">
        <f>VLOOKUP(A144,PML!A:B,2,0)</f>
        <v>Uneth</v>
      </c>
      <c r="D144" t="s">
        <v>245</v>
      </c>
      <c r="E144">
        <v>4440</v>
      </c>
      <c r="F144">
        <v>4456</v>
      </c>
      <c r="G144">
        <f>VLOOKUP(A144,PML!A:K,11,0)</f>
        <v>4463</v>
      </c>
      <c r="H144">
        <f t="shared" si="4"/>
        <v>7</v>
      </c>
      <c r="I144" t="b">
        <f t="shared" si="5"/>
        <v>0</v>
      </c>
    </row>
    <row r="145" spans="1:9" x14ac:dyDescent="0.25">
      <c r="A145" t="s">
        <v>174</v>
      </c>
      <c r="B145" t="s">
        <v>378</v>
      </c>
      <c r="C145" t="str">
        <f>VLOOKUP(A145,PML!A:B,2,0)</f>
        <v>Aji</v>
      </c>
      <c r="D145" t="s">
        <v>245</v>
      </c>
      <c r="E145">
        <v>2378</v>
      </c>
      <c r="F145">
        <v>2472</v>
      </c>
      <c r="G145">
        <f>VLOOKUP(A145,PML!A:K,11,0)</f>
        <v>2578</v>
      </c>
      <c r="H145">
        <f t="shared" si="4"/>
        <v>106</v>
      </c>
      <c r="I145" t="b">
        <f t="shared" si="5"/>
        <v>0</v>
      </c>
    </row>
    <row r="146" spans="1:9" x14ac:dyDescent="0.25">
      <c r="A146" t="s">
        <v>175</v>
      </c>
      <c r="B146" t="s">
        <v>378</v>
      </c>
      <c r="C146" t="str">
        <f>VLOOKUP(A146,PML!A:B,2,0)</f>
        <v>Alan</v>
      </c>
      <c r="D146" t="s">
        <v>245</v>
      </c>
      <c r="E146">
        <v>2746</v>
      </c>
      <c r="F146">
        <v>3218</v>
      </c>
      <c r="G146">
        <f>VLOOKUP(A146,PML!A:K,11,0)</f>
        <v>3265</v>
      </c>
      <c r="H146">
        <f t="shared" si="4"/>
        <v>47</v>
      </c>
      <c r="I146" t="b">
        <f t="shared" si="5"/>
        <v>0</v>
      </c>
    </row>
    <row r="147" spans="1:9" x14ac:dyDescent="0.25">
      <c r="A147" t="s">
        <v>176</v>
      </c>
      <c r="B147" t="s">
        <v>378</v>
      </c>
      <c r="C147" t="str">
        <f>VLOOKUP(A147,PML!A:B,2,0)</f>
        <v>Gabe</v>
      </c>
      <c r="D147" t="s">
        <v>245</v>
      </c>
      <c r="E147">
        <v>4230</v>
      </c>
      <c r="F147">
        <v>4366</v>
      </c>
      <c r="G147">
        <f>VLOOKUP(A147,PML!A:K,11,0)</f>
        <v>4501</v>
      </c>
      <c r="H147">
        <f t="shared" si="4"/>
        <v>135</v>
      </c>
      <c r="I147" t="b">
        <f t="shared" si="5"/>
        <v>0</v>
      </c>
    </row>
    <row r="148" spans="1:9" x14ac:dyDescent="0.25">
      <c r="A148" t="s">
        <v>177</v>
      </c>
      <c r="B148" t="s">
        <v>378</v>
      </c>
      <c r="C148" t="str">
        <f>VLOOKUP(A148,PML!A:B,2,0)</f>
        <v>Neivrid</v>
      </c>
      <c r="D148" t="s">
        <v>245</v>
      </c>
      <c r="E148">
        <v>4943</v>
      </c>
      <c r="F148">
        <v>4999</v>
      </c>
      <c r="G148">
        <f>VLOOKUP(A148,PML!A:K,11,0)</f>
        <v>5021</v>
      </c>
      <c r="H148">
        <f t="shared" si="4"/>
        <v>22</v>
      </c>
      <c r="I148" t="b">
        <f t="shared" si="5"/>
        <v>0</v>
      </c>
    </row>
    <row r="149" spans="1:9" x14ac:dyDescent="0.25">
      <c r="A149" t="s">
        <v>178</v>
      </c>
      <c r="B149" t="s">
        <v>378</v>
      </c>
      <c r="C149" t="str">
        <f>VLOOKUP(A149,PML!A:B,2,0)</f>
        <v>Prih</v>
      </c>
      <c r="D149" t="s">
        <v>245</v>
      </c>
      <c r="E149">
        <v>4774</v>
      </c>
      <c r="F149">
        <v>4873</v>
      </c>
      <c r="G149">
        <f>VLOOKUP(A149,PML!A:K,11,0)</f>
        <v>4866</v>
      </c>
      <c r="H149">
        <f t="shared" si="4"/>
        <v>-7</v>
      </c>
      <c r="I149" t="b">
        <f t="shared" si="5"/>
        <v>0</v>
      </c>
    </row>
    <row r="150" spans="1:9" x14ac:dyDescent="0.25">
      <c r="A150" t="s">
        <v>179</v>
      </c>
      <c r="B150" t="s">
        <v>378</v>
      </c>
      <c r="C150" t="str">
        <f>VLOOKUP(A150,PML!A:B,2,0)</f>
        <v>Saul</v>
      </c>
      <c r="D150" t="s">
        <v>245</v>
      </c>
      <c r="E150">
        <v>3777</v>
      </c>
      <c r="F150">
        <v>3823</v>
      </c>
      <c r="G150">
        <f>VLOOKUP(A150,PML!A:K,11,0)</f>
        <v>4132</v>
      </c>
      <c r="H150">
        <f t="shared" si="4"/>
        <v>309</v>
      </c>
      <c r="I150" t="b">
        <f t="shared" si="5"/>
        <v>0</v>
      </c>
    </row>
    <row r="151" spans="1:9" x14ac:dyDescent="0.25">
      <c r="A151" t="s">
        <v>180</v>
      </c>
      <c r="B151" t="s">
        <v>378</v>
      </c>
      <c r="C151" t="str">
        <f>VLOOKUP(A151,PML!A:B,2,0)</f>
        <v>Alfian</v>
      </c>
      <c r="D151" t="s">
        <v>245</v>
      </c>
      <c r="E151">
        <v>6094</v>
      </c>
      <c r="F151">
        <v>6098</v>
      </c>
      <c r="G151">
        <f>VLOOKUP(A151,PML!A:K,11,0)</f>
        <v>6288</v>
      </c>
      <c r="H151">
        <f t="shared" si="4"/>
        <v>190</v>
      </c>
      <c r="I151" t="b">
        <f t="shared" si="5"/>
        <v>0</v>
      </c>
    </row>
    <row r="152" spans="1:9" x14ac:dyDescent="0.25">
      <c r="A152" t="s">
        <v>979</v>
      </c>
      <c r="B152" t="str">
        <f>VLOOKUP(A152,PPL!B:C,2,0)</f>
        <v>Mariska Langi</v>
      </c>
      <c r="C152" t="str">
        <f>VLOOKUP(A152,PPL!B:D,3,0)</f>
        <v>NurAlamsyah</v>
      </c>
      <c r="D152" t="s">
        <v>244</v>
      </c>
      <c r="E152">
        <v>931</v>
      </c>
      <c r="F152">
        <v>931</v>
      </c>
      <c r="G152">
        <f>VLOOKUP(A152,PPL!B:N,13,0)</f>
        <v>931</v>
      </c>
      <c r="H152">
        <f t="shared" ref="H152" si="6">G152-F152</f>
        <v>0</v>
      </c>
      <c r="I152" t="b">
        <f t="shared" ref="I152" si="7">E152=G152</f>
        <v>1</v>
      </c>
    </row>
    <row r="153" spans="1:9" x14ac:dyDescent="0.25">
      <c r="A153" t="s">
        <v>980</v>
      </c>
      <c r="B153" t="str">
        <f>VLOOKUP(A153,PPL!B:C,2,0)</f>
        <v>Ramli Minggu</v>
      </c>
      <c r="C153" t="str">
        <f>VLOOKUP(A153,PPL!B:D,3,0)</f>
        <v>Puput</v>
      </c>
      <c r="D153" t="s">
        <v>244</v>
      </c>
      <c r="E153">
        <v>644</v>
      </c>
      <c r="F153">
        <v>644</v>
      </c>
      <c r="G153">
        <f>VLOOKUP(A153,PPL!B:N,13,0)</f>
        <v>648</v>
      </c>
      <c r="H153">
        <f t="shared" ref="H153:H155" si="8">G153-F153</f>
        <v>4</v>
      </c>
      <c r="I153" t="b">
        <f t="shared" ref="I153:I155" si="9">E153=G153</f>
        <v>0</v>
      </c>
    </row>
    <row r="154" spans="1:9" x14ac:dyDescent="0.25">
      <c r="A154" t="s">
        <v>981</v>
      </c>
      <c r="B154" t="str">
        <f>VLOOKUP(A154,PPL!B:C,2,0)</f>
        <v>Yuche Lahay</v>
      </c>
      <c r="C154" t="str">
        <f>VLOOKUP(A154,PPL!B:D,3,0)</f>
        <v>Uneth</v>
      </c>
      <c r="D154" t="s">
        <v>244</v>
      </c>
      <c r="E154">
        <v>684</v>
      </c>
      <c r="F154">
        <v>698</v>
      </c>
      <c r="G154">
        <f>VLOOKUP(A154,PPL!B:N,13,0)</f>
        <v>708</v>
      </c>
      <c r="H154">
        <f t="shared" si="8"/>
        <v>10</v>
      </c>
      <c r="I154" t="b">
        <f t="shared" si="9"/>
        <v>0</v>
      </c>
    </row>
    <row r="155" spans="1:9" x14ac:dyDescent="0.25">
      <c r="A155" t="s">
        <v>982</v>
      </c>
      <c r="B155" t="str">
        <f>VLOOKUP(A155,PPL!B:C,2,0)</f>
        <v>Lina Aprilia</v>
      </c>
      <c r="C155" t="str">
        <f>VLOOKUP(A155,PPL!B:D,3,0)</f>
        <v>Firly</v>
      </c>
      <c r="D155" t="s">
        <v>244</v>
      </c>
      <c r="E155">
        <v>810</v>
      </c>
      <c r="F155">
        <v>792</v>
      </c>
      <c r="G155">
        <f>VLOOKUP(A155,PPL!B:N,13,0)</f>
        <v>856</v>
      </c>
      <c r="H155">
        <f t="shared" si="8"/>
        <v>64</v>
      </c>
      <c r="I155" t="b">
        <f t="shared" si="9"/>
        <v>0</v>
      </c>
    </row>
    <row r="156" spans="1:9" x14ac:dyDescent="0.25">
      <c r="A156" t="s">
        <v>986</v>
      </c>
      <c r="B156" t="str">
        <f>VLOOKUP(A156,PPL!B:C,2,0)</f>
        <v>Syifa Fauziah Suleman</v>
      </c>
      <c r="C156" t="str">
        <f>VLOOKUP(A156,PPL!B:D,3,0)</f>
        <v>Iska</v>
      </c>
      <c r="D156" t="s">
        <v>244</v>
      </c>
      <c r="E156">
        <v>1008</v>
      </c>
      <c r="F156">
        <v>1006</v>
      </c>
      <c r="G156">
        <f>VLOOKUP(A156,PPL!B:N,13,0)</f>
        <v>1021</v>
      </c>
      <c r="H156">
        <f t="shared" ref="H156:H158" si="10">G156-F156</f>
        <v>15</v>
      </c>
      <c r="I156" t="b">
        <f t="shared" ref="I156:I158" si="11">E156=G156</f>
        <v>0</v>
      </c>
    </row>
    <row r="157" spans="1:9" x14ac:dyDescent="0.25">
      <c r="A157" t="s">
        <v>987</v>
      </c>
      <c r="B157" t="str">
        <f>VLOOKUP(A157,PPL!B:C,2,0)</f>
        <v>Retnowati Sumelung</v>
      </c>
      <c r="C157" t="str">
        <f>VLOOKUP(A157,PPL!B:D,3,0)</f>
        <v>Vera</v>
      </c>
      <c r="D157" t="s">
        <v>244</v>
      </c>
      <c r="E157">
        <v>640</v>
      </c>
      <c r="F157">
        <v>689</v>
      </c>
      <c r="G157">
        <f>VLOOKUP(A157,PPL!B:N,13,0)</f>
        <v>712</v>
      </c>
      <c r="H157">
        <f t="shared" si="10"/>
        <v>23</v>
      </c>
      <c r="I157" t="b">
        <f t="shared" si="11"/>
        <v>0</v>
      </c>
    </row>
    <row r="158" spans="1:9" x14ac:dyDescent="0.25">
      <c r="A158" t="s">
        <v>988</v>
      </c>
      <c r="B158" t="str">
        <f>VLOOKUP(A158,PPL!B:C,2,0)</f>
        <v>Marsila Mayanti Matiune</v>
      </c>
      <c r="C158" t="str">
        <f>VLOOKUP(A158,PPL!B:D,3,0)</f>
        <v>Lasimran</v>
      </c>
      <c r="D158" t="s">
        <v>244</v>
      </c>
      <c r="E158">
        <v>640</v>
      </c>
      <c r="F158">
        <v>641</v>
      </c>
      <c r="G158">
        <f>VLOOKUP(A158,PPL!B:N,13,0)</f>
        <v>644</v>
      </c>
      <c r="H158">
        <f t="shared" si="10"/>
        <v>3</v>
      </c>
      <c r="I158" t="b">
        <f t="shared" si="1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1262-8B45-4CA7-B165-CCCD14C5A78E}">
  <dimension ref="A1:C138"/>
  <sheetViews>
    <sheetView workbookViewId="0">
      <selection activeCell="A29" sqref="A29"/>
    </sheetView>
  </sheetViews>
  <sheetFormatPr defaultRowHeight="15" x14ac:dyDescent="0.25"/>
  <cols>
    <col min="1" max="1" width="70" bestFit="1" customWidth="1"/>
    <col min="2" max="2" width="14.140625" bestFit="1" customWidth="1"/>
    <col min="3" max="3" width="22.140625" bestFit="1" customWidth="1"/>
  </cols>
  <sheetData>
    <row r="1" spans="1:3" x14ac:dyDescent="0.25">
      <c r="A1" t="s">
        <v>392</v>
      </c>
      <c r="B1" t="s">
        <v>972</v>
      </c>
      <c r="C1" t="s">
        <v>385</v>
      </c>
    </row>
    <row r="2" spans="1:3" x14ac:dyDescent="0.25">
      <c r="A2" t="s">
        <v>845</v>
      </c>
      <c r="C2" t="e">
        <f>VLOOKUP(A2,'UB-DATA'!D:J,7,0)</f>
        <v>#N/A</v>
      </c>
    </row>
    <row r="3" spans="1:3" x14ac:dyDescent="0.25">
      <c r="A3" t="s">
        <v>396</v>
      </c>
      <c r="C3" t="str">
        <f>VLOOKUP(A3,'UB-DATA'!D:J,7,0)</f>
        <v>open</v>
      </c>
    </row>
    <row r="4" spans="1:3" x14ac:dyDescent="0.25">
      <c r="A4" t="s">
        <v>399</v>
      </c>
      <c r="B4" t="s">
        <v>395</v>
      </c>
      <c r="C4" t="e">
        <f>VLOOKUP(A4,'UB-DATA'!D:J,7,0)</f>
        <v>#N/A</v>
      </c>
    </row>
    <row r="5" spans="1:3" x14ac:dyDescent="0.25">
      <c r="A5" t="s">
        <v>402</v>
      </c>
      <c r="B5" t="s">
        <v>395</v>
      </c>
      <c r="C5" t="e">
        <f>VLOOKUP(A5,'UB-DATA'!D:J,7,0)</f>
        <v>#N/A</v>
      </c>
    </row>
    <row r="6" spans="1:3" x14ac:dyDescent="0.25">
      <c r="A6" t="s">
        <v>405</v>
      </c>
      <c r="B6" t="s">
        <v>395</v>
      </c>
      <c r="C6" t="str">
        <f>VLOOKUP(A6,'UB-DATA'!D:J,7,0)</f>
        <v>open</v>
      </c>
    </row>
    <row r="7" spans="1:3" x14ac:dyDescent="0.25">
      <c r="A7" t="s">
        <v>409</v>
      </c>
      <c r="B7" t="s">
        <v>395</v>
      </c>
      <c r="C7" t="e">
        <f>VLOOKUP(A7,'UB-DATA'!D:J,7,0)</f>
        <v>#N/A</v>
      </c>
    </row>
    <row r="8" spans="1:3" x14ac:dyDescent="0.25">
      <c r="A8" t="s">
        <v>411</v>
      </c>
      <c r="B8" t="s">
        <v>395</v>
      </c>
      <c r="C8" t="str">
        <f>VLOOKUP(A8,'UB-DATA'!D:J,7,0)</f>
        <v>open</v>
      </c>
    </row>
    <row r="9" spans="1:3" x14ac:dyDescent="0.25">
      <c r="A9" t="s">
        <v>414</v>
      </c>
      <c r="B9" t="s">
        <v>395</v>
      </c>
      <c r="C9" t="str">
        <f>VLOOKUP(A9,'UB-DATA'!D:J,7,0)</f>
        <v>open</v>
      </c>
    </row>
    <row r="10" spans="1:3" x14ac:dyDescent="0.25">
      <c r="A10" t="s">
        <v>417</v>
      </c>
      <c r="B10" t="s">
        <v>395</v>
      </c>
      <c r="C10" t="e">
        <f>VLOOKUP(A10,'UB-DATA'!D:J,7,0)</f>
        <v>#N/A</v>
      </c>
    </row>
    <row r="11" spans="1:3" x14ac:dyDescent="0.25">
      <c r="A11" t="s">
        <v>418</v>
      </c>
      <c r="B11" t="s">
        <v>395</v>
      </c>
      <c r="C11" t="str">
        <f>VLOOKUP(A11,'UB-DATA'!D:J,7,0)</f>
        <v>open</v>
      </c>
    </row>
    <row r="12" spans="1:3" x14ac:dyDescent="0.25">
      <c r="A12" t="s">
        <v>420</v>
      </c>
      <c r="B12" t="s">
        <v>395</v>
      </c>
      <c r="C12" t="e">
        <f>VLOOKUP(A12,'UB-DATA'!D:J,7,0)</f>
        <v>#N/A</v>
      </c>
    </row>
    <row r="13" spans="1:3" x14ac:dyDescent="0.25">
      <c r="A13" t="s">
        <v>833</v>
      </c>
      <c r="B13" t="s">
        <v>395</v>
      </c>
      <c r="C13" t="e">
        <f>VLOOKUP(A13,'UB-DATA'!D:J,7,0)</f>
        <v>#N/A</v>
      </c>
    </row>
    <row r="14" spans="1:3" x14ac:dyDescent="0.25">
      <c r="A14" t="s">
        <v>424</v>
      </c>
      <c r="B14" t="s">
        <v>395</v>
      </c>
      <c r="C14" t="str">
        <f>VLOOKUP(A14,'UB-DATA'!D:J,7,0)</f>
        <v>open</v>
      </c>
    </row>
    <row r="15" spans="1:3" x14ac:dyDescent="0.25">
      <c r="A15" t="s">
        <v>425</v>
      </c>
      <c r="B15" t="s">
        <v>395</v>
      </c>
      <c r="C15" t="str">
        <f>VLOOKUP(A15,'UB-DATA'!D:J,7,0)</f>
        <v>open</v>
      </c>
    </row>
    <row r="16" spans="1:3" x14ac:dyDescent="0.25">
      <c r="A16" t="s">
        <v>427</v>
      </c>
      <c r="B16" t="s">
        <v>395</v>
      </c>
      <c r="C16" t="str">
        <f>VLOOKUP(A16,'UB-DATA'!D:J,7,0)</f>
        <v>open</v>
      </c>
    </row>
    <row r="17" spans="1:3" x14ac:dyDescent="0.25">
      <c r="A17" t="s">
        <v>893</v>
      </c>
      <c r="B17" t="s">
        <v>395</v>
      </c>
      <c r="C17" t="e">
        <f>VLOOKUP(A17,'UB-DATA'!D:J,7,0)</f>
        <v>#N/A</v>
      </c>
    </row>
    <row r="18" spans="1:3" x14ac:dyDescent="0.25">
      <c r="A18" t="s">
        <v>429</v>
      </c>
      <c r="B18" t="s">
        <v>395</v>
      </c>
      <c r="C18" t="e">
        <f>VLOOKUP(A18,'UB-DATA'!D:J,7,0)</f>
        <v>#N/A</v>
      </c>
    </row>
    <row r="19" spans="1:3" x14ac:dyDescent="0.25">
      <c r="A19" t="s">
        <v>829</v>
      </c>
      <c r="B19" t="s">
        <v>395</v>
      </c>
      <c r="C19" t="str">
        <f>VLOOKUP(A19,'UB-DATA'!D:J,7,0)</f>
        <v>submitted respondent</v>
      </c>
    </row>
    <row r="20" spans="1:3" x14ac:dyDescent="0.25">
      <c r="A20" t="s">
        <v>432</v>
      </c>
      <c r="B20" t="s">
        <v>395</v>
      </c>
      <c r="C20" t="str">
        <f>VLOOKUP(A20,'UB-DATA'!D:J,7,0)</f>
        <v>open</v>
      </c>
    </row>
    <row r="21" spans="1:3" x14ac:dyDescent="0.25">
      <c r="A21" t="s">
        <v>902</v>
      </c>
      <c r="B21" t="s">
        <v>395</v>
      </c>
      <c r="C21" t="str">
        <f>VLOOKUP(A21,'UB-DATA'!D:J,7,0)</f>
        <v>submitted respondent</v>
      </c>
    </row>
    <row r="22" spans="1:3" x14ac:dyDescent="0.25">
      <c r="A22" t="s">
        <v>434</v>
      </c>
      <c r="B22" t="s">
        <v>395</v>
      </c>
      <c r="C22" t="str">
        <f>VLOOKUP(A22,'UB-DATA'!D:J,7,0)</f>
        <v>open</v>
      </c>
    </row>
    <row r="23" spans="1:3" x14ac:dyDescent="0.25">
      <c r="A23" t="s">
        <v>865</v>
      </c>
      <c r="B23" t="s">
        <v>395</v>
      </c>
      <c r="C23" t="e">
        <f>VLOOKUP(A23,'UB-DATA'!D:J,7,0)</f>
        <v>#N/A</v>
      </c>
    </row>
    <row r="24" spans="1:3" x14ac:dyDescent="0.25">
      <c r="A24" t="s">
        <v>888</v>
      </c>
      <c r="B24" t="s">
        <v>395</v>
      </c>
      <c r="C24" t="str">
        <f>VLOOKUP(A24,'UB-DATA'!D:J,7,0)</f>
        <v>submitted respondent</v>
      </c>
    </row>
    <row r="25" spans="1:3" x14ac:dyDescent="0.25">
      <c r="A25" t="s">
        <v>436</v>
      </c>
      <c r="B25" t="s">
        <v>395</v>
      </c>
      <c r="C25" t="str">
        <f>VLOOKUP(A25,'UB-DATA'!D:J,7,0)</f>
        <v>open</v>
      </c>
    </row>
    <row r="26" spans="1:3" x14ac:dyDescent="0.25">
      <c r="A26" t="s">
        <v>438</v>
      </c>
      <c r="B26" t="s">
        <v>395</v>
      </c>
      <c r="C26" t="e">
        <f>VLOOKUP(A26,'UB-DATA'!D:J,7,0)</f>
        <v>#N/A</v>
      </c>
    </row>
    <row r="27" spans="1:3" x14ac:dyDescent="0.25">
      <c r="A27" t="s">
        <v>438</v>
      </c>
      <c r="B27" t="s">
        <v>395</v>
      </c>
      <c r="C27" t="e">
        <f>VLOOKUP(A27,'UB-DATA'!D:J,7,0)</f>
        <v>#N/A</v>
      </c>
    </row>
    <row r="28" spans="1:3" x14ac:dyDescent="0.25">
      <c r="A28" t="s">
        <v>441</v>
      </c>
      <c r="B28" t="s">
        <v>395</v>
      </c>
      <c r="C28" t="e">
        <f>VLOOKUP(A28,'UB-DATA'!D:J,7,0)</f>
        <v>#N/A</v>
      </c>
    </row>
    <row r="29" spans="1:3" x14ac:dyDescent="0.25">
      <c r="A29" t="s">
        <v>444</v>
      </c>
      <c r="B29" t="s">
        <v>395</v>
      </c>
      <c r="C29" t="e">
        <f>VLOOKUP(A29,'UB-DATA'!D:J,7,0)</f>
        <v>#N/A</v>
      </c>
    </row>
    <row r="30" spans="1:3" x14ac:dyDescent="0.25">
      <c r="A30" t="s">
        <v>446</v>
      </c>
      <c r="B30" t="s">
        <v>395</v>
      </c>
      <c r="C30" t="str">
        <f>VLOOKUP(A30,'UB-DATA'!D:J,7,0)</f>
        <v>open</v>
      </c>
    </row>
    <row r="31" spans="1:3" x14ac:dyDescent="0.25">
      <c r="A31" t="s">
        <v>448</v>
      </c>
      <c r="B31" t="s">
        <v>395</v>
      </c>
      <c r="C31" t="str">
        <f>VLOOKUP(A31,'UB-DATA'!D:J,7,0)</f>
        <v>open</v>
      </c>
    </row>
    <row r="32" spans="1:3" x14ac:dyDescent="0.25">
      <c r="A32" t="s">
        <v>881</v>
      </c>
      <c r="B32" t="s">
        <v>395</v>
      </c>
      <c r="C32" t="e">
        <f>VLOOKUP(A32,'UB-DATA'!D:J,7,0)</f>
        <v>#N/A</v>
      </c>
    </row>
    <row r="33" spans="1:3" x14ac:dyDescent="0.25">
      <c r="A33" t="s">
        <v>451</v>
      </c>
      <c r="B33" t="s">
        <v>395</v>
      </c>
      <c r="C33" t="str">
        <f>VLOOKUP(A33,'UB-DATA'!D:J,7,0)</f>
        <v>open</v>
      </c>
    </row>
    <row r="34" spans="1:3" x14ac:dyDescent="0.25">
      <c r="A34" t="s">
        <v>453</v>
      </c>
      <c r="B34" t="s">
        <v>398</v>
      </c>
      <c r="C34" t="str">
        <f>VLOOKUP(A34,'UB-DATA'!D:J,7,0)</f>
        <v>draft</v>
      </c>
    </row>
    <row r="35" spans="1:3" x14ac:dyDescent="0.25">
      <c r="A35" t="s">
        <v>455</v>
      </c>
      <c r="B35" t="s">
        <v>398</v>
      </c>
      <c r="C35" t="str">
        <f>VLOOKUP(A35,'UB-DATA'!D:J,7,0)</f>
        <v>open</v>
      </c>
    </row>
    <row r="36" spans="1:3" x14ac:dyDescent="0.25">
      <c r="A36" t="s">
        <v>457</v>
      </c>
      <c r="B36" t="s">
        <v>398</v>
      </c>
      <c r="C36" t="str">
        <f>VLOOKUP(A36,'UB-DATA'!D:J,7,0)</f>
        <v>open</v>
      </c>
    </row>
    <row r="37" spans="1:3" x14ac:dyDescent="0.25">
      <c r="A37" t="s">
        <v>459</v>
      </c>
      <c r="B37" t="s">
        <v>398</v>
      </c>
      <c r="C37" t="e">
        <f>VLOOKUP(A37,'UB-DATA'!D:J,7,0)</f>
        <v>#N/A</v>
      </c>
    </row>
    <row r="38" spans="1:3" x14ac:dyDescent="0.25">
      <c r="A38" t="s">
        <v>461</v>
      </c>
      <c r="B38" t="s">
        <v>398</v>
      </c>
      <c r="C38" t="str">
        <f>VLOOKUP(A38,'UB-DATA'!D:J,7,0)</f>
        <v>open</v>
      </c>
    </row>
    <row r="39" spans="1:3" x14ac:dyDescent="0.25">
      <c r="A39" t="s">
        <v>463</v>
      </c>
      <c r="B39" t="s">
        <v>398</v>
      </c>
      <c r="C39" t="e">
        <f>VLOOKUP(A39,'UB-DATA'!D:J,7,0)</f>
        <v>#N/A</v>
      </c>
    </row>
    <row r="40" spans="1:3" x14ac:dyDescent="0.25">
      <c r="A40" t="s">
        <v>464</v>
      </c>
      <c r="B40" t="s">
        <v>398</v>
      </c>
      <c r="C40" t="str">
        <f>VLOOKUP(A40,'UB-DATA'!D:J,7,0)</f>
        <v>open</v>
      </c>
    </row>
    <row r="41" spans="1:3" x14ac:dyDescent="0.25">
      <c r="A41" t="s">
        <v>466</v>
      </c>
      <c r="B41" t="s">
        <v>398</v>
      </c>
      <c r="C41" t="str">
        <f>VLOOKUP(A41,'UB-DATA'!D:J,7,0)</f>
        <v>open</v>
      </c>
    </row>
    <row r="42" spans="1:3" x14ac:dyDescent="0.25">
      <c r="A42" t="s">
        <v>469</v>
      </c>
      <c r="B42" t="s">
        <v>398</v>
      </c>
      <c r="C42" t="str">
        <f>VLOOKUP(A42,'UB-DATA'!D:J,7,0)</f>
        <v>submitted respondent</v>
      </c>
    </row>
    <row r="43" spans="1:3" x14ac:dyDescent="0.25">
      <c r="A43" t="s">
        <v>470</v>
      </c>
      <c r="B43" t="s">
        <v>398</v>
      </c>
      <c r="C43" t="e">
        <f>VLOOKUP(A43,'UB-DATA'!D:J,7,0)</f>
        <v>#N/A</v>
      </c>
    </row>
    <row r="44" spans="1:3" x14ac:dyDescent="0.25">
      <c r="A44" t="s">
        <v>472</v>
      </c>
      <c r="B44" t="s">
        <v>398</v>
      </c>
      <c r="C44" t="str">
        <f>VLOOKUP(A44,'UB-DATA'!D:J,7,0)</f>
        <v>open</v>
      </c>
    </row>
    <row r="45" spans="1:3" x14ac:dyDescent="0.25">
      <c r="A45" t="s">
        <v>438</v>
      </c>
      <c r="B45" t="s">
        <v>398</v>
      </c>
      <c r="C45" t="e">
        <f>VLOOKUP(A45,'UB-DATA'!D:J,7,0)</f>
        <v>#N/A</v>
      </c>
    </row>
    <row r="46" spans="1:3" x14ac:dyDescent="0.25">
      <c r="A46" t="s">
        <v>475</v>
      </c>
      <c r="B46" t="s">
        <v>398</v>
      </c>
      <c r="C46" t="e">
        <f>VLOOKUP(A46,'UB-DATA'!D:J,7,0)</f>
        <v>#N/A</v>
      </c>
    </row>
    <row r="47" spans="1:3" x14ac:dyDescent="0.25">
      <c r="A47" t="s">
        <v>477</v>
      </c>
      <c r="B47" t="s">
        <v>398</v>
      </c>
      <c r="C47" t="e">
        <f>VLOOKUP(A47,'UB-DATA'!D:J,7,0)</f>
        <v>#N/A</v>
      </c>
    </row>
    <row r="48" spans="1:3" x14ac:dyDescent="0.25">
      <c r="A48" t="s">
        <v>478</v>
      </c>
      <c r="B48" t="s">
        <v>398</v>
      </c>
      <c r="C48" t="str">
        <f>VLOOKUP(A48,'UB-DATA'!D:J,7,0)</f>
        <v>submitted respondent</v>
      </c>
    </row>
    <row r="49" spans="1:3" x14ac:dyDescent="0.25">
      <c r="A49" t="s">
        <v>480</v>
      </c>
      <c r="B49" t="s">
        <v>398</v>
      </c>
      <c r="C49" t="str">
        <f>VLOOKUP(A49,'UB-DATA'!D:J,7,0)</f>
        <v>open</v>
      </c>
    </row>
    <row r="50" spans="1:3" x14ac:dyDescent="0.25">
      <c r="A50" t="s">
        <v>482</v>
      </c>
      <c r="B50" t="s">
        <v>398</v>
      </c>
      <c r="C50" t="str">
        <f>VLOOKUP(A50,'UB-DATA'!D:J,7,0)</f>
        <v>open</v>
      </c>
    </row>
    <row r="51" spans="1:3" x14ac:dyDescent="0.25">
      <c r="A51" t="s">
        <v>837</v>
      </c>
      <c r="B51" t="s">
        <v>398</v>
      </c>
      <c r="C51" t="str">
        <f>VLOOKUP(A51,'UB-DATA'!D:J,7,0)</f>
        <v>edited by admin kabupaten</v>
      </c>
    </row>
    <row r="52" spans="1:3" x14ac:dyDescent="0.25">
      <c r="A52" t="s">
        <v>486</v>
      </c>
      <c r="B52" t="s">
        <v>398</v>
      </c>
      <c r="C52" t="str">
        <f>VLOOKUP(A52,'UB-DATA'!D:J,7,0)</f>
        <v>draft</v>
      </c>
    </row>
    <row r="53" spans="1:3" x14ac:dyDescent="0.25">
      <c r="A53" t="s">
        <v>488</v>
      </c>
      <c r="B53" t="s">
        <v>398</v>
      </c>
      <c r="C53" t="str">
        <f>VLOOKUP(A53,'UB-DATA'!D:J,7,0)</f>
        <v>open</v>
      </c>
    </row>
    <row r="54" spans="1:3" x14ac:dyDescent="0.25">
      <c r="A54" t="s">
        <v>490</v>
      </c>
      <c r="B54" t="s">
        <v>398</v>
      </c>
      <c r="C54" t="e">
        <f>VLOOKUP(A54,'UB-DATA'!D:J,7,0)</f>
        <v>#N/A</v>
      </c>
    </row>
    <row r="55" spans="1:3" x14ac:dyDescent="0.25">
      <c r="A55" t="s">
        <v>688</v>
      </c>
      <c r="B55" t="s">
        <v>398</v>
      </c>
      <c r="C55" t="str">
        <f>VLOOKUP(A55,'UB-DATA'!D:J,7,0)</f>
        <v>draft</v>
      </c>
    </row>
    <row r="56" spans="1:3" x14ac:dyDescent="0.25">
      <c r="A56" t="s">
        <v>493</v>
      </c>
      <c r="B56" t="s">
        <v>398</v>
      </c>
      <c r="C56" t="e">
        <f>VLOOKUP(A56,'UB-DATA'!D:J,7,0)</f>
        <v>#N/A</v>
      </c>
    </row>
    <row r="57" spans="1:3" x14ac:dyDescent="0.25">
      <c r="A57" t="s">
        <v>859</v>
      </c>
      <c r="B57" t="s">
        <v>398</v>
      </c>
      <c r="C57" t="str">
        <f>VLOOKUP(A57,'UB-DATA'!D:J,7,0)</f>
        <v>submitted respondent</v>
      </c>
    </row>
    <row r="58" spans="1:3" x14ac:dyDescent="0.25">
      <c r="A58" t="s">
        <v>851</v>
      </c>
      <c r="B58" t="s">
        <v>398</v>
      </c>
      <c r="C58" t="e">
        <f>VLOOKUP(A58,'UB-DATA'!D:J,7,0)</f>
        <v>#N/A</v>
      </c>
    </row>
    <row r="59" spans="1:3" x14ac:dyDescent="0.25">
      <c r="A59" t="s">
        <v>494</v>
      </c>
      <c r="B59" t="s">
        <v>398</v>
      </c>
      <c r="C59" t="str">
        <f>VLOOKUP(A59,'UB-DATA'!D:J,7,0)</f>
        <v>open</v>
      </c>
    </row>
    <row r="60" spans="1:3" x14ac:dyDescent="0.25">
      <c r="A60" t="s">
        <v>862</v>
      </c>
      <c r="B60" t="s">
        <v>398</v>
      </c>
      <c r="C60" t="str">
        <f>VLOOKUP(A60,'UB-DATA'!D:J,7,0)</f>
        <v>submitted respondent</v>
      </c>
    </row>
    <row r="61" spans="1:3" x14ac:dyDescent="0.25">
      <c r="A61" t="s">
        <v>497</v>
      </c>
      <c r="B61" t="s">
        <v>398</v>
      </c>
      <c r="C61" t="str">
        <f>VLOOKUP(A61,'UB-DATA'!D:J,7,0)</f>
        <v>open</v>
      </c>
    </row>
    <row r="62" spans="1:3" x14ac:dyDescent="0.25">
      <c r="A62" t="s">
        <v>910</v>
      </c>
      <c r="B62" t="s">
        <v>398</v>
      </c>
      <c r="C62" t="str">
        <f>VLOOKUP(A62,'UB-DATA'!D:J,7,0)</f>
        <v>submitted respondent</v>
      </c>
    </row>
    <row r="63" spans="1:3" x14ac:dyDescent="0.25">
      <c r="A63" t="s">
        <v>498</v>
      </c>
      <c r="B63" t="s">
        <v>398</v>
      </c>
      <c r="C63" t="str">
        <f>VLOOKUP(A63,'UB-DATA'!D:J,7,0)</f>
        <v>open</v>
      </c>
    </row>
    <row r="64" spans="1:3" x14ac:dyDescent="0.25">
      <c r="A64" t="s">
        <v>500</v>
      </c>
      <c r="B64" t="s">
        <v>398</v>
      </c>
      <c r="C64" t="str">
        <f>VLOOKUP(A64,'UB-DATA'!D:J,7,0)</f>
        <v>open</v>
      </c>
    </row>
    <row r="65" spans="1:3" x14ac:dyDescent="0.25">
      <c r="A65" t="s">
        <v>502</v>
      </c>
      <c r="B65" t="s">
        <v>398</v>
      </c>
      <c r="C65" t="e">
        <f>VLOOKUP(A65,'UB-DATA'!D:J,7,0)</f>
        <v>#N/A</v>
      </c>
    </row>
    <row r="66" spans="1:3" x14ac:dyDescent="0.25">
      <c r="A66" t="s">
        <v>504</v>
      </c>
      <c r="B66" t="s">
        <v>398</v>
      </c>
      <c r="C66" t="str">
        <f>VLOOKUP(A66,'UB-DATA'!D:J,7,0)</f>
        <v>open</v>
      </c>
    </row>
    <row r="67" spans="1:3" x14ac:dyDescent="0.25">
      <c r="A67" t="s">
        <v>506</v>
      </c>
      <c r="B67" t="s">
        <v>398</v>
      </c>
      <c r="C67" t="e">
        <f>VLOOKUP(A67,'UB-DATA'!D:J,7,0)</f>
        <v>#N/A</v>
      </c>
    </row>
    <row r="68" spans="1:3" x14ac:dyDescent="0.25">
      <c r="A68" t="s">
        <v>508</v>
      </c>
      <c r="B68" t="s">
        <v>398</v>
      </c>
      <c r="C68" t="e">
        <f>VLOOKUP(A68,'UB-DATA'!D:J,7,0)</f>
        <v>#N/A</v>
      </c>
    </row>
    <row r="69" spans="1:3" x14ac:dyDescent="0.25">
      <c r="A69" t="s">
        <v>510</v>
      </c>
      <c r="B69" t="s">
        <v>401</v>
      </c>
      <c r="C69" t="e">
        <f>VLOOKUP(A69,'UB-DATA'!D:J,7,0)</f>
        <v>#N/A</v>
      </c>
    </row>
    <row r="70" spans="1:3" x14ac:dyDescent="0.25">
      <c r="A70" t="s">
        <v>512</v>
      </c>
      <c r="B70" t="s">
        <v>401</v>
      </c>
      <c r="C70" t="e">
        <f>VLOOKUP(A70,'UB-DATA'!D:J,7,0)</f>
        <v>#N/A</v>
      </c>
    </row>
    <row r="71" spans="1:3" x14ac:dyDescent="0.25">
      <c r="A71" t="s">
        <v>513</v>
      </c>
      <c r="B71" t="s">
        <v>401</v>
      </c>
      <c r="C71" t="e">
        <f>VLOOKUP(A71,'UB-DATA'!D:J,7,0)</f>
        <v>#N/A</v>
      </c>
    </row>
    <row r="72" spans="1:3" x14ac:dyDescent="0.25">
      <c r="A72" t="s">
        <v>514</v>
      </c>
      <c r="B72" t="s">
        <v>401</v>
      </c>
      <c r="C72" t="str">
        <f>VLOOKUP(A72,'UB-DATA'!D:J,7,0)</f>
        <v>open</v>
      </c>
    </row>
    <row r="73" spans="1:3" x14ac:dyDescent="0.25">
      <c r="A73" t="s">
        <v>516</v>
      </c>
      <c r="B73" t="s">
        <v>401</v>
      </c>
      <c r="C73" t="str">
        <f>VLOOKUP(A73,'UB-DATA'!D:J,7,0)</f>
        <v>open</v>
      </c>
    </row>
    <row r="74" spans="1:3" x14ac:dyDescent="0.25">
      <c r="A74" t="s">
        <v>518</v>
      </c>
      <c r="B74" t="s">
        <v>401</v>
      </c>
      <c r="C74" t="str">
        <f>VLOOKUP(A74,'UB-DATA'!D:J,7,0)</f>
        <v>open</v>
      </c>
    </row>
    <row r="75" spans="1:3" x14ac:dyDescent="0.25">
      <c r="A75" t="s">
        <v>520</v>
      </c>
      <c r="B75" t="s">
        <v>401</v>
      </c>
      <c r="C75" t="str">
        <f>VLOOKUP(A75,'UB-DATA'!D:J,7,0)</f>
        <v>open</v>
      </c>
    </row>
    <row r="76" spans="1:3" x14ac:dyDescent="0.25">
      <c r="A76" t="s">
        <v>522</v>
      </c>
      <c r="B76" t="s">
        <v>401</v>
      </c>
      <c r="C76" t="str">
        <f>VLOOKUP(A76,'UB-DATA'!D:J,7,0)</f>
        <v>open</v>
      </c>
    </row>
    <row r="77" spans="1:3" x14ac:dyDescent="0.25">
      <c r="A77" t="s">
        <v>524</v>
      </c>
      <c r="B77" t="s">
        <v>401</v>
      </c>
      <c r="C77" t="e">
        <f>VLOOKUP(A77,'UB-DATA'!D:J,7,0)</f>
        <v>#N/A</v>
      </c>
    </row>
    <row r="78" spans="1:3" x14ac:dyDescent="0.25">
      <c r="A78" t="s">
        <v>526</v>
      </c>
      <c r="B78" t="s">
        <v>401</v>
      </c>
      <c r="C78" t="str">
        <f>VLOOKUP(A78,'UB-DATA'!D:J,7,0)</f>
        <v>open</v>
      </c>
    </row>
    <row r="79" spans="1:3" x14ac:dyDescent="0.25">
      <c r="A79" t="s">
        <v>528</v>
      </c>
      <c r="B79" t="s">
        <v>401</v>
      </c>
      <c r="C79" t="str">
        <f>VLOOKUP(A79,'UB-DATA'!D:J,7,0)</f>
        <v>open</v>
      </c>
    </row>
    <row r="80" spans="1:3" x14ac:dyDescent="0.25">
      <c r="A80" t="s">
        <v>530</v>
      </c>
      <c r="B80" t="s">
        <v>401</v>
      </c>
      <c r="C80" t="str">
        <f>VLOOKUP(A80,'UB-DATA'!D:J,7,0)</f>
        <v>open</v>
      </c>
    </row>
    <row r="81" spans="1:3" x14ac:dyDescent="0.25">
      <c r="A81" t="s">
        <v>533</v>
      </c>
      <c r="B81" t="s">
        <v>401</v>
      </c>
      <c r="C81" t="str">
        <f>VLOOKUP(A81,'UB-DATA'!D:J,7,0)</f>
        <v>open</v>
      </c>
    </row>
    <row r="82" spans="1:3" x14ac:dyDescent="0.25">
      <c r="A82" t="s">
        <v>535</v>
      </c>
      <c r="B82" t="s">
        <v>401</v>
      </c>
      <c r="C82" t="str">
        <f>VLOOKUP(A82,'UB-DATA'!D:J,7,0)</f>
        <v>open</v>
      </c>
    </row>
    <row r="83" spans="1:3" x14ac:dyDescent="0.25">
      <c r="A83" t="s">
        <v>537</v>
      </c>
      <c r="B83" t="s">
        <v>401</v>
      </c>
      <c r="C83" t="e">
        <f>VLOOKUP(A83,'UB-DATA'!D:J,7,0)</f>
        <v>#N/A</v>
      </c>
    </row>
    <row r="84" spans="1:3" x14ac:dyDescent="0.25">
      <c r="A84" t="s">
        <v>538</v>
      </c>
      <c r="B84" t="s">
        <v>401</v>
      </c>
      <c r="C84" t="str">
        <f>VLOOKUP(A84,'UB-DATA'!D:J,7,0)</f>
        <v>open</v>
      </c>
    </row>
    <row r="85" spans="1:3" x14ac:dyDescent="0.25">
      <c r="A85" t="s">
        <v>540</v>
      </c>
      <c r="B85" t="s">
        <v>401</v>
      </c>
      <c r="C85" t="str">
        <f>VLOOKUP(A85,'UB-DATA'!D:J,7,0)</f>
        <v>open</v>
      </c>
    </row>
    <row r="86" spans="1:3" x14ac:dyDescent="0.25">
      <c r="A86" t="s">
        <v>542</v>
      </c>
      <c r="B86" t="s">
        <v>401</v>
      </c>
      <c r="C86" t="e">
        <f>VLOOKUP(A86,'UB-DATA'!D:J,7,0)</f>
        <v>#N/A</v>
      </c>
    </row>
    <row r="87" spans="1:3" x14ac:dyDescent="0.25">
      <c r="A87" t="s">
        <v>544</v>
      </c>
      <c r="B87" t="s">
        <v>401</v>
      </c>
      <c r="C87" t="e">
        <f>VLOOKUP(A87,'UB-DATA'!D:J,7,0)</f>
        <v>#N/A</v>
      </c>
    </row>
    <row r="88" spans="1:3" x14ac:dyDescent="0.25">
      <c r="A88" t="s">
        <v>545</v>
      </c>
      <c r="B88" t="s">
        <v>401</v>
      </c>
      <c r="C88" t="str">
        <f>VLOOKUP(A88,'UB-DATA'!D:J,7,0)</f>
        <v>open</v>
      </c>
    </row>
    <row r="89" spans="1:3" x14ac:dyDescent="0.25">
      <c r="A89" t="s">
        <v>438</v>
      </c>
      <c r="B89" t="s">
        <v>401</v>
      </c>
      <c r="C89" t="e">
        <f>VLOOKUP(A89,'UB-DATA'!D:J,7,0)</f>
        <v>#N/A</v>
      </c>
    </row>
    <row r="90" spans="1:3" x14ac:dyDescent="0.25">
      <c r="A90" t="s">
        <v>547</v>
      </c>
      <c r="B90" t="s">
        <v>401</v>
      </c>
      <c r="C90" t="str">
        <f>VLOOKUP(A90,'UB-DATA'!D:J,7,0)</f>
        <v>open</v>
      </c>
    </row>
    <row r="91" spans="1:3" x14ac:dyDescent="0.25">
      <c r="A91" t="s">
        <v>549</v>
      </c>
      <c r="B91" t="s">
        <v>401</v>
      </c>
      <c r="C91" t="str">
        <f>VLOOKUP(A91,'UB-DATA'!D:J,7,0)</f>
        <v>open</v>
      </c>
    </row>
    <row r="92" spans="1:3" x14ac:dyDescent="0.25">
      <c r="A92" t="s">
        <v>551</v>
      </c>
      <c r="B92" t="s">
        <v>401</v>
      </c>
      <c r="C92" t="e">
        <f>VLOOKUP(A92,'UB-DATA'!D:J,7,0)</f>
        <v>#N/A</v>
      </c>
    </row>
    <row r="93" spans="1:3" x14ac:dyDescent="0.25">
      <c r="A93" t="s">
        <v>553</v>
      </c>
      <c r="B93" t="s">
        <v>401</v>
      </c>
      <c r="C93" t="e">
        <f>VLOOKUP(A93,'UB-DATA'!D:J,7,0)</f>
        <v>#N/A</v>
      </c>
    </row>
    <row r="94" spans="1:3" x14ac:dyDescent="0.25">
      <c r="A94" t="s">
        <v>555</v>
      </c>
      <c r="B94" t="s">
        <v>401</v>
      </c>
      <c r="C94" t="str">
        <f>VLOOKUP(A94,'UB-DATA'!D:J,7,0)</f>
        <v>open</v>
      </c>
    </row>
    <row r="95" spans="1:3" x14ac:dyDescent="0.25">
      <c r="A95" t="s">
        <v>557</v>
      </c>
      <c r="B95" t="s">
        <v>401</v>
      </c>
      <c r="C95" t="str">
        <f>VLOOKUP(A95,'UB-DATA'!D:J,7,0)</f>
        <v>open</v>
      </c>
    </row>
    <row r="96" spans="1:3" x14ac:dyDescent="0.25">
      <c r="A96" t="s">
        <v>559</v>
      </c>
      <c r="B96" t="s">
        <v>401</v>
      </c>
      <c r="C96" t="str">
        <f>VLOOKUP(A96,'UB-DATA'!D:J,7,0)</f>
        <v>open</v>
      </c>
    </row>
    <row r="97" spans="1:3" x14ac:dyDescent="0.25">
      <c r="A97" t="s">
        <v>562</v>
      </c>
      <c r="B97" t="s">
        <v>401</v>
      </c>
      <c r="C97" t="str">
        <f>VLOOKUP(A97,'UB-DATA'!D:J,7,0)</f>
        <v>open</v>
      </c>
    </row>
    <row r="98" spans="1:3" x14ac:dyDescent="0.25">
      <c r="A98" t="s">
        <v>564</v>
      </c>
      <c r="B98" t="s">
        <v>401</v>
      </c>
      <c r="C98" t="str">
        <f>VLOOKUP(A98,'UB-DATA'!D:J,7,0)</f>
        <v>open</v>
      </c>
    </row>
    <row r="99" spans="1:3" x14ac:dyDescent="0.25">
      <c r="A99" t="s">
        <v>566</v>
      </c>
      <c r="B99" t="s">
        <v>401</v>
      </c>
      <c r="C99" t="str">
        <f>VLOOKUP(A99,'UB-DATA'!D:J,7,0)</f>
        <v>draft</v>
      </c>
    </row>
    <row r="100" spans="1:3" x14ac:dyDescent="0.25">
      <c r="A100" t="s">
        <v>568</v>
      </c>
      <c r="B100" t="s">
        <v>404</v>
      </c>
      <c r="C100" t="str">
        <f>VLOOKUP(A100,'UB-DATA'!D:J,7,0)</f>
        <v>open</v>
      </c>
    </row>
    <row r="101" spans="1:3" x14ac:dyDescent="0.25">
      <c r="A101" t="s">
        <v>570</v>
      </c>
      <c r="B101" t="s">
        <v>404</v>
      </c>
      <c r="C101" t="e">
        <f>VLOOKUP(A101,'UB-DATA'!D:J,7,0)</f>
        <v>#N/A</v>
      </c>
    </row>
    <row r="102" spans="1:3" x14ac:dyDescent="0.25">
      <c r="A102" t="s">
        <v>438</v>
      </c>
      <c r="B102" t="s">
        <v>404</v>
      </c>
      <c r="C102" t="e">
        <f>VLOOKUP(A102,'UB-DATA'!D:J,7,0)</f>
        <v>#N/A</v>
      </c>
    </row>
    <row r="103" spans="1:3" x14ac:dyDescent="0.25">
      <c r="A103" t="s">
        <v>573</v>
      </c>
      <c r="B103" t="s">
        <v>404</v>
      </c>
      <c r="C103" t="e">
        <f>VLOOKUP(A103,'UB-DATA'!D:J,7,0)</f>
        <v>#N/A</v>
      </c>
    </row>
    <row r="104" spans="1:3" x14ac:dyDescent="0.25">
      <c r="A104" t="s">
        <v>575</v>
      </c>
      <c r="B104" t="s">
        <v>404</v>
      </c>
      <c r="C104" t="e">
        <f>VLOOKUP(A104,'UB-DATA'!D:J,7,0)</f>
        <v>#N/A</v>
      </c>
    </row>
    <row r="105" spans="1:3" x14ac:dyDescent="0.25">
      <c r="A105" t="s">
        <v>899</v>
      </c>
      <c r="B105" t="s">
        <v>404</v>
      </c>
      <c r="C105" t="e">
        <f>VLOOKUP(A105,'UB-DATA'!D:J,7,0)</f>
        <v>#N/A</v>
      </c>
    </row>
    <row r="106" spans="1:3" x14ac:dyDescent="0.25">
      <c r="A106" t="s">
        <v>576</v>
      </c>
      <c r="B106" t="s">
        <v>404</v>
      </c>
      <c r="C106" t="str">
        <f>VLOOKUP(A106,'UB-DATA'!D:J,7,0)</f>
        <v>open</v>
      </c>
    </row>
    <row r="107" spans="1:3" x14ac:dyDescent="0.25">
      <c r="A107" t="s">
        <v>578</v>
      </c>
      <c r="B107" t="s">
        <v>404</v>
      </c>
      <c r="C107" t="e">
        <f>VLOOKUP(A107,'UB-DATA'!D:J,7,0)</f>
        <v>#N/A</v>
      </c>
    </row>
    <row r="108" spans="1:3" x14ac:dyDescent="0.25">
      <c r="A108" t="s">
        <v>581</v>
      </c>
      <c r="B108" t="s">
        <v>404</v>
      </c>
      <c r="C108" t="str">
        <f>VLOOKUP(A108,'UB-DATA'!D:J,7,0)</f>
        <v>submitted respondent</v>
      </c>
    </row>
    <row r="109" spans="1:3" x14ac:dyDescent="0.25">
      <c r="A109" t="s">
        <v>582</v>
      </c>
      <c r="B109" t="s">
        <v>404</v>
      </c>
      <c r="C109" t="e">
        <f>VLOOKUP(A109,'UB-DATA'!D:J,7,0)</f>
        <v>#N/A</v>
      </c>
    </row>
    <row r="110" spans="1:3" x14ac:dyDescent="0.25">
      <c r="A110" t="s">
        <v>583</v>
      </c>
      <c r="B110" t="s">
        <v>404</v>
      </c>
      <c r="C110" t="e">
        <f>VLOOKUP(A110,'UB-DATA'!D:J,7,0)</f>
        <v>#N/A</v>
      </c>
    </row>
    <row r="111" spans="1:3" x14ac:dyDescent="0.25">
      <c r="A111" t="s">
        <v>722</v>
      </c>
      <c r="B111" t="s">
        <v>404</v>
      </c>
      <c r="C111" t="e">
        <f>VLOOKUP(A111,'UB-DATA'!D:J,7,0)</f>
        <v>#N/A</v>
      </c>
    </row>
    <row r="112" spans="1:3" x14ac:dyDescent="0.25">
      <c r="A112" t="s">
        <v>841</v>
      </c>
      <c r="B112" t="s">
        <v>404</v>
      </c>
      <c r="C112" t="str">
        <f>VLOOKUP(A112,'UB-DATA'!D:J,7,0)</f>
        <v>submitted respondent</v>
      </c>
    </row>
    <row r="113" spans="1:3" x14ac:dyDescent="0.25">
      <c r="A113" t="s">
        <v>586</v>
      </c>
      <c r="B113" t="s">
        <v>404</v>
      </c>
      <c r="C113" t="str">
        <f>VLOOKUP(A113,'UB-DATA'!D:J,7,0)</f>
        <v>open</v>
      </c>
    </row>
    <row r="114" spans="1:3" x14ac:dyDescent="0.25">
      <c r="A114" t="s">
        <v>588</v>
      </c>
      <c r="B114" t="s">
        <v>404</v>
      </c>
      <c r="C114" t="e">
        <f>VLOOKUP(A114,'UB-DATA'!D:J,7,0)</f>
        <v>#N/A</v>
      </c>
    </row>
    <row r="115" spans="1:3" x14ac:dyDescent="0.25">
      <c r="A115" t="s">
        <v>590</v>
      </c>
      <c r="B115" t="s">
        <v>404</v>
      </c>
      <c r="C115" t="str">
        <f>VLOOKUP(A115,'UB-DATA'!D:J,7,0)</f>
        <v>open</v>
      </c>
    </row>
    <row r="116" spans="1:3" x14ac:dyDescent="0.25">
      <c r="A116" t="s">
        <v>591</v>
      </c>
      <c r="B116" t="s">
        <v>404</v>
      </c>
      <c r="C116" t="str">
        <f>VLOOKUP(A116,'UB-DATA'!D:J,7,0)</f>
        <v>open</v>
      </c>
    </row>
    <row r="117" spans="1:3" x14ac:dyDescent="0.25">
      <c r="A117" t="s">
        <v>593</v>
      </c>
      <c r="B117" t="s">
        <v>404</v>
      </c>
      <c r="C117" t="e">
        <f>VLOOKUP(A117,'UB-DATA'!D:J,7,0)</f>
        <v>#N/A</v>
      </c>
    </row>
    <row r="118" spans="1:3" x14ac:dyDescent="0.25">
      <c r="A118" t="s">
        <v>595</v>
      </c>
      <c r="B118" t="s">
        <v>404</v>
      </c>
      <c r="C118" t="str">
        <f>VLOOKUP(A118,'UB-DATA'!D:J,7,0)</f>
        <v>open</v>
      </c>
    </row>
    <row r="119" spans="1:3" x14ac:dyDescent="0.25">
      <c r="A119" t="s">
        <v>596</v>
      </c>
      <c r="B119" t="s">
        <v>404</v>
      </c>
      <c r="C119" t="e">
        <f>VLOOKUP(A119,'UB-DATA'!D:J,7,0)</f>
        <v>#N/A</v>
      </c>
    </row>
    <row r="120" spans="1:3" x14ac:dyDescent="0.25">
      <c r="A120" t="s">
        <v>598</v>
      </c>
      <c r="B120" t="s">
        <v>404</v>
      </c>
      <c r="C120" t="str">
        <f>VLOOKUP(A120,'UB-DATA'!D:J,7,0)</f>
        <v>open</v>
      </c>
    </row>
    <row r="121" spans="1:3" x14ac:dyDescent="0.25">
      <c r="A121" t="s">
        <v>600</v>
      </c>
      <c r="B121" t="s">
        <v>404</v>
      </c>
      <c r="C121" t="e">
        <f>VLOOKUP(A121,'UB-DATA'!D:J,7,0)</f>
        <v>#N/A</v>
      </c>
    </row>
    <row r="122" spans="1:3" x14ac:dyDescent="0.25">
      <c r="A122" t="s">
        <v>601</v>
      </c>
      <c r="B122" t="s">
        <v>404</v>
      </c>
      <c r="C122" t="str">
        <f>VLOOKUP(A122,'UB-DATA'!D:J,7,0)</f>
        <v>open</v>
      </c>
    </row>
    <row r="123" spans="1:3" x14ac:dyDescent="0.25">
      <c r="A123" t="s">
        <v>603</v>
      </c>
      <c r="B123" t="s">
        <v>404</v>
      </c>
      <c r="C123" t="str">
        <f>VLOOKUP(A123,'UB-DATA'!D:J,7,0)</f>
        <v>open</v>
      </c>
    </row>
    <row r="124" spans="1:3" x14ac:dyDescent="0.25">
      <c r="A124" t="s">
        <v>605</v>
      </c>
      <c r="B124" t="s">
        <v>404</v>
      </c>
      <c r="C124" t="e">
        <f>VLOOKUP(A124,'UB-DATA'!D:J,7,0)</f>
        <v>#N/A</v>
      </c>
    </row>
    <row r="125" spans="1:3" x14ac:dyDescent="0.25">
      <c r="A125" t="s">
        <v>606</v>
      </c>
      <c r="B125" t="s">
        <v>404</v>
      </c>
      <c r="C125" t="str">
        <f>VLOOKUP(A125,'UB-DATA'!D:J,7,0)</f>
        <v>open</v>
      </c>
    </row>
    <row r="126" spans="1:3" x14ac:dyDescent="0.25">
      <c r="A126" t="s">
        <v>608</v>
      </c>
      <c r="B126" t="s">
        <v>404</v>
      </c>
      <c r="C126" t="str">
        <f>VLOOKUP(A126,'UB-DATA'!D:J,7,0)</f>
        <v>submitted respondent</v>
      </c>
    </row>
    <row r="127" spans="1:3" x14ac:dyDescent="0.25">
      <c r="A127" t="s">
        <v>610</v>
      </c>
      <c r="C127" t="str">
        <f>VLOOKUP(A127,'UB-DATA'!D:J,7,0)</f>
        <v>submitted respondent</v>
      </c>
    </row>
    <row r="128" spans="1:3" x14ac:dyDescent="0.25">
      <c r="A128" t="s">
        <v>611</v>
      </c>
      <c r="C128" t="str">
        <f>VLOOKUP(A128,'UB-DATA'!D:J,7,0)</f>
        <v>submitted respondent</v>
      </c>
    </row>
    <row r="129" spans="1:3" x14ac:dyDescent="0.25">
      <c r="A129" t="s">
        <v>613</v>
      </c>
      <c r="C129" t="str">
        <f>VLOOKUP(A129,'UB-DATA'!D:J,7,0)</f>
        <v>submitted respondent</v>
      </c>
    </row>
    <row r="130" spans="1:3" x14ac:dyDescent="0.25">
      <c r="A130" t="s">
        <v>614</v>
      </c>
      <c r="C130" t="str">
        <f>VLOOKUP(A130,'UB-DATA'!D:J,7,0)</f>
        <v>submitted respondent</v>
      </c>
    </row>
    <row r="131" spans="1:3" x14ac:dyDescent="0.25">
      <c r="A131" t="s">
        <v>616</v>
      </c>
      <c r="C131" t="str">
        <f>VLOOKUP(A131,'UB-DATA'!D:J,7,0)</f>
        <v>submitted respondent</v>
      </c>
    </row>
    <row r="132" spans="1:3" x14ac:dyDescent="0.25">
      <c r="A132" t="s">
        <v>617</v>
      </c>
      <c r="C132" t="str">
        <f>VLOOKUP(A132,'UB-DATA'!D:J,7,0)</f>
        <v>open</v>
      </c>
    </row>
    <row r="133" spans="1:3" x14ac:dyDescent="0.25">
      <c r="A133" t="s">
        <v>618</v>
      </c>
      <c r="C133" t="str">
        <f>VLOOKUP(A133,'UB-DATA'!D:J,7,0)</f>
        <v>open</v>
      </c>
    </row>
    <row r="134" spans="1:3" x14ac:dyDescent="0.25">
      <c r="A134" t="s">
        <v>620</v>
      </c>
      <c r="C134" t="e">
        <f>VLOOKUP(A134,'UB-DATA'!D:J,7,0)</f>
        <v>#N/A</v>
      </c>
    </row>
    <row r="135" spans="1:3" x14ac:dyDescent="0.25">
      <c r="A135" t="s">
        <v>622</v>
      </c>
      <c r="C135" t="e">
        <f>VLOOKUP(A135,'UB-DATA'!D:J,7,0)</f>
        <v>#N/A</v>
      </c>
    </row>
    <row r="136" spans="1:3" x14ac:dyDescent="0.25">
      <c r="A136" t="s">
        <v>624</v>
      </c>
      <c r="C136" t="e">
        <f>VLOOKUP(A136,'UB-DATA'!D:J,7,0)</f>
        <v>#N/A</v>
      </c>
    </row>
    <row r="137" spans="1:3" x14ac:dyDescent="0.25">
      <c r="A137" t="s">
        <v>626</v>
      </c>
      <c r="C137" t="str">
        <f>VLOOKUP(A137,'UB-DATA'!D:J,7,0)</f>
        <v>submitted respondent</v>
      </c>
    </row>
    <row r="138" spans="1:3" x14ac:dyDescent="0.25">
      <c r="A138" t="s">
        <v>627</v>
      </c>
      <c r="C138" t="e">
        <f>VLOOKUP(A138,'UB-DATA'!D:J,7,0)</f>
        <v>#N/A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01B9-948E-4B98-96A6-0CF0A15B9788}">
  <dimension ref="A1:N388"/>
  <sheetViews>
    <sheetView workbookViewId="0">
      <selection activeCell="N1" sqref="N1"/>
    </sheetView>
  </sheetViews>
  <sheetFormatPr defaultRowHeight="15" x14ac:dyDescent="0.25"/>
  <cols>
    <col min="10" max="10" width="25.85546875" bestFit="1" customWidth="1"/>
  </cols>
  <sheetData>
    <row r="1" spans="1:1" x14ac:dyDescent="0.25">
      <c r="A1" t="s">
        <v>628</v>
      </c>
    </row>
    <row r="2" spans="1:1" x14ac:dyDescent="0.25">
      <c r="A2" t="s">
        <v>629</v>
      </c>
    </row>
    <row r="3" spans="1:1" x14ac:dyDescent="0.25">
      <c r="A3" t="s">
        <v>630</v>
      </c>
    </row>
    <row r="4" spans="1:1" x14ac:dyDescent="0.25">
      <c r="A4" t="s">
        <v>631</v>
      </c>
    </row>
    <row r="5" spans="1:1" x14ac:dyDescent="0.25">
      <c r="A5" t="s">
        <v>632</v>
      </c>
    </row>
    <row r="6" spans="1:1" x14ac:dyDescent="0.25">
      <c r="A6" t="s">
        <v>633</v>
      </c>
    </row>
    <row r="7" spans="1:1" x14ac:dyDescent="0.25">
      <c r="A7" t="s">
        <v>634</v>
      </c>
    </row>
    <row r="8" spans="1:1" x14ac:dyDescent="0.25">
      <c r="A8" t="s">
        <v>635</v>
      </c>
    </row>
    <row r="9" spans="1:1" x14ac:dyDescent="0.25">
      <c r="A9" t="s">
        <v>636</v>
      </c>
    </row>
    <row r="10" spans="1:1" x14ac:dyDescent="0.25">
      <c r="A10" t="s">
        <v>637</v>
      </c>
    </row>
    <row r="11" spans="1:1" x14ac:dyDescent="0.25">
      <c r="A11" t="s">
        <v>638</v>
      </c>
    </row>
    <row r="12" spans="1:1" x14ac:dyDescent="0.25">
      <c r="A12" t="s">
        <v>639</v>
      </c>
    </row>
    <row r="13" spans="1:1" x14ac:dyDescent="0.25">
      <c r="A13" t="s">
        <v>632</v>
      </c>
    </row>
    <row r="14" spans="1:1" x14ac:dyDescent="0.25">
      <c r="A14" s="4">
        <v>46023</v>
      </c>
    </row>
    <row r="15" spans="1:1" x14ac:dyDescent="0.25">
      <c r="A15" t="s">
        <v>640</v>
      </c>
    </row>
    <row r="16" spans="1:1" x14ac:dyDescent="0.25">
      <c r="A16" t="s">
        <v>632</v>
      </c>
    </row>
    <row r="17" spans="1:1" x14ac:dyDescent="0.25">
      <c r="A17" t="s">
        <v>641</v>
      </c>
    </row>
    <row r="18" spans="1:1" x14ac:dyDescent="0.25">
      <c r="A18" t="s">
        <v>636</v>
      </c>
    </row>
    <row r="19" spans="1:1" x14ac:dyDescent="0.25">
      <c r="A19" t="s">
        <v>642</v>
      </c>
    </row>
    <row r="20" spans="1:1" x14ac:dyDescent="0.25">
      <c r="A20" t="s">
        <v>643</v>
      </c>
    </row>
    <row r="21" spans="1:1" x14ac:dyDescent="0.25">
      <c r="A21" t="s">
        <v>644</v>
      </c>
    </row>
    <row r="22" spans="1:1" x14ac:dyDescent="0.25">
      <c r="A22" t="s">
        <v>645</v>
      </c>
    </row>
    <row r="23" spans="1:1" x14ac:dyDescent="0.25">
      <c r="A23" t="s">
        <v>646</v>
      </c>
    </row>
    <row r="24" spans="1:1" x14ac:dyDescent="0.25">
      <c r="A24" t="s">
        <v>647</v>
      </c>
    </row>
    <row r="25" spans="1:1" x14ac:dyDescent="0.25">
      <c r="A25" t="s">
        <v>648</v>
      </c>
    </row>
    <row r="26" spans="1:1" x14ac:dyDescent="0.25">
      <c r="A26" t="s">
        <v>643</v>
      </c>
    </row>
    <row r="27" spans="1:1" x14ac:dyDescent="0.25">
      <c r="A27" t="s">
        <v>649</v>
      </c>
    </row>
    <row r="28" spans="1:1" x14ac:dyDescent="0.25">
      <c r="A28" t="s">
        <v>650</v>
      </c>
    </row>
    <row r="29" spans="1:1" x14ac:dyDescent="0.25">
      <c r="A29">
        <v>137</v>
      </c>
    </row>
    <row r="30" spans="1:1" x14ac:dyDescent="0.25">
      <c r="A30" t="s">
        <v>651</v>
      </c>
    </row>
    <row r="31" spans="1:1" x14ac:dyDescent="0.25">
      <c r="A31" t="s">
        <v>652</v>
      </c>
    </row>
    <row r="32" spans="1:1" x14ac:dyDescent="0.25">
      <c r="A32" t="s">
        <v>653</v>
      </c>
    </row>
    <row r="33" spans="1:14" x14ac:dyDescent="0.25">
      <c r="A33" t="s">
        <v>654</v>
      </c>
    </row>
    <row r="34" spans="1:14" x14ac:dyDescent="0.25">
      <c r="A34" t="s">
        <v>655</v>
      </c>
    </row>
    <row r="35" spans="1:14" x14ac:dyDescent="0.25">
      <c r="B35" t="s">
        <v>656</v>
      </c>
      <c r="C35" t="s">
        <v>657</v>
      </c>
      <c r="D35" t="s">
        <v>658</v>
      </c>
      <c r="E35" t="s">
        <v>659</v>
      </c>
      <c r="F35" t="s">
        <v>660</v>
      </c>
      <c r="G35" t="s">
        <v>661</v>
      </c>
      <c r="H35" t="s">
        <v>393</v>
      </c>
      <c r="I35" t="s">
        <v>662</v>
      </c>
      <c r="J35" t="s">
        <v>663</v>
      </c>
      <c r="K35" t="s">
        <v>664</v>
      </c>
      <c r="L35" t="s">
        <v>665</v>
      </c>
      <c r="M35" t="s">
        <v>666</v>
      </c>
    </row>
    <row r="36" spans="1:14" x14ac:dyDescent="0.25">
      <c r="B36" t="s">
        <v>667</v>
      </c>
      <c r="C36" t="s">
        <v>603</v>
      </c>
      <c r="D36" t="s">
        <v>603</v>
      </c>
      <c r="E36" t="s">
        <v>604</v>
      </c>
      <c r="F36">
        <v>97410902</v>
      </c>
      <c r="G36" t="s">
        <v>378</v>
      </c>
      <c r="H36" t="s">
        <v>378</v>
      </c>
      <c r="I36" t="s">
        <v>378</v>
      </c>
      <c r="J36" t="s">
        <v>669</v>
      </c>
      <c r="K36" t="s">
        <v>670</v>
      </c>
      <c r="L36" t="s">
        <v>671</v>
      </c>
      <c r="M36" t="s">
        <v>378</v>
      </c>
      <c r="N36" t="str">
        <f>VLOOKUP(C36,UB!A:A,1,0)</f>
        <v>BANK SULUT</v>
      </c>
    </row>
    <row r="37" spans="1:14" x14ac:dyDescent="0.25">
      <c r="B37" t="s">
        <v>668</v>
      </c>
      <c r="L37" t="s">
        <v>672</v>
      </c>
    </row>
    <row r="38" spans="1:14" x14ac:dyDescent="0.25">
      <c r="B38" t="s">
        <v>673</v>
      </c>
      <c r="C38" t="s">
        <v>600</v>
      </c>
      <c r="D38" t="s">
        <v>378</v>
      </c>
      <c r="E38" t="s">
        <v>378</v>
      </c>
      <c r="F38">
        <v>97410201</v>
      </c>
      <c r="G38" t="s">
        <v>378</v>
      </c>
      <c r="H38" t="s">
        <v>378</v>
      </c>
      <c r="I38" t="s">
        <v>674</v>
      </c>
      <c r="J38" t="s">
        <v>675</v>
      </c>
      <c r="K38" t="s">
        <v>676</v>
      </c>
      <c r="L38" t="s">
        <v>677</v>
      </c>
      <c r="M38" t="s">
        <v>378</v>
      </c>
      <c r="N38" t="str">
        <f>VLOOKUP(C38,UB!A:A,1,0)</f>
        <v>BANK BRI</v>
      </c>
    </row>
    <row r="39" spans="1:14" x14ac:dyDescent="0.25">
      <c r="L39" t="s">
        <v>678</v>
      </c>
    </row>
    <row r="40" spans="1:14" x14ac:dyDescent="0.25">
      <c r="B40" t="s">
        <v>679</v>
      </c>
      <c r="C40" t="s">
        <v>581</v>
      </c>
      <c r="D40" t="s">
        <v>378</v>
      </c>
      <c r="E40" t="s">
        <v>378</v>
      </c>
      <c r="F40">
        <v>97410590</v>
      </c>
      <c r="G40" t="s">
        <v>378</v>
      </c>
      <c r="H40" t="s">
        <v>378</v>
      </c>
      <c r="I40" t="s">
        <v>674</v>
      </c>
      <c r="J40" t="s">
        <v>675</v>
      </c>
      <c r="K40" t="s">
        <v>676</v>
      </c>
      <c r="L40" t="s">
        <v>677</v>
      </c>
      <c r="M40" t="s">
        <v>378</v>
      </c>
      <c r="N40" t="str">
        <f>VLOOKUP(C40,UB!A:A,1,0)</f>
        <v>BANK KUMAPAN</v>
      </c>
    </row>
    <row r="41" spans="1:14" x14ac:dyDescent="0.25">
      <c r="L41" t="s">
        <v>678</v>
      </c>
    </row>
    <row r="42" spans="1:14" x14ac:dyDescent="0.25">
      <c r="B42" t="s">
        <v>680</v>
      </c>
      <c r="C42" t="s">
        <v>533</v>
      </c>
      <c r="D42" t="s">
        <v>533</v>
      </c>
      <c r="E42" t="s">
        <v>534</v>
      </c>
      <c r="F42">
        <v>3014309</v>
      </c>
      <c r="G42" t="s">
        <v>378</v>
      </c>
      <c r="H42" t="s">
        <v>681</v>
      </c>
      <c r="I42" t="s">
        <v>378</v>
      </c>
      <c r="J42" t="s">
        <v>669</v>
      </c>
      <c r="K42" t="s">
        <v>670</v>
      </c>
      <c r="L42" t="s">
        <v>378</v>
      </c>
      <c r="M42" t="s">
        <v>378</v>
      </c>
      <c r="N42" t="str">
        <f>VLOOKUP(C42,UB!A:A,1,0)</f>
        <v>BANK OCBC N I S P TBK</v>
      </c>
    </row>
    <row r="43" spans="1:14" x14ac:dyDescent="0.25">
      <c r="B43" t="s">
        <v>682</v>
      </c>
      <c r="C43" t="s">
        <v>396</v>
      </c>
      <c r="D43" t="s">
        <v>396</v>
      </c>
      <c r="E43" t="s">
        <v>397</v>
      </c>
      <c r="F43">
        <v>61061726</v>
      </c>
      <c r="G43" t="s">
        <v>378</v>
      </c>
      <c r="H43" t="s">
        <v>378</v>
      </c>
      <c r="I43" t="s">
        <v>378</v>
      </c>
      <c r="J43" t="s">
        <v>669</v>
      </c>
      <c r="K43" t="s">
        <v>670</v>
      </c>
      <c r="L43" t="s">
        <v>378</v>
      </c>
      <c r="M43" t="s">
        <v>378</v>
      </c>
      <c r="N43" t="str">
        <f>VLOOKUP(C43,UB!A:A,1,0)</f>
        <v>MEMBANGUN SULUT MAJU PERSERODA DISINGKAT MESMA</v>
      </c>
    </row>
    <row r="44" spans="1:14" x14ac:dyDescent="0.25">
      <c r="B44" t="s">
        <v>683</v>
      </c>
      <c r="C44" t="s">
        <v>464</v>
      </c>
      <c r="D44" t="s">
        <v>464</v>
      </c>
      <c r="E44" t="s">
        <v>465</v>
      </c>
      <c r="F44">
        <v>4413258</v>
      </c>
      <c r="G44" t="s">
        <v>378</v>
      </c>
      <c r="H44" t="s">
        <v>684</v>
      </c>
      <c r="I44" t="s">
        <v>378</v>
      </c>
      <c r="J44" t="s">
        <v>669</v>
      </c>
      <c r="K44" t="s">
        <v>670</v>
      </c>
      <c r="L44" t="s">
        <v>378</v>
      </c>
      <c r="M44" t="s">
        <v>378</v>
      </c>
      <c r="N44" t="str">
        <f>VLOOKUP(C44,UB!A:A,1,0)</f>
        <v>ETMIECO MAKMUR ABADI</v>
      </c>
    </row>
    <row r="45" spans="1:14" x14ac:dyDescent="0.25">
      <c r="B45" t="s">
        <v>685</v>
      </c>
      <c r="C45" t="s">
        <v>540</v>
      </c>
      <c r="D45" t="s">
        <v>540</v>
      </c>
      <c r="E45" t="s">
        <v>541</v>
      </c>
      <c r="F45">
        <v>94421586</v>
      </c>
      <c r="G45" t="s">
        <v>378</v>
      </c>
      <c r="H45" t="s">
        <v>686</v>
      </c>
      <c r="I45" t="s">
        <v>378</v>
      </c>
      <c r="J45" t="s">
        <v>669</v>
      </c>
      <c r="K45" t="s">
        <v>670</v>
      </c>
      <c r="L45" t="s">
        <v>378</v>
      </c>
      <c r="M45" t="s">
        <v>378</v>
      </c>
      <c r="N45" t="str">
        <f>VLOOKUP(C45,UB!A:A,1,0)</f>
        <v>PT. Bank Tabungan Negara Persero Tbk. Kantor Cabang Pembantu Bitung</v>
      </c>
    </row>
    <row r="46" spans="1:14" x14ac:dyDescent="0.25">
      <c r="B46" t="s">
        <v>687</v>
      </c>
      <c r="C46" t="s">
        <v>688</v>
      </c>
      <c r="D46" t="s">
        <v>688</v>
      </c>
      <c r="E46" t="s">
        <v>491</v>
      </c>
      <c r="F46">
        <v>3014420</v>
      </c>
      <c r="G46" t="s">
        <v>689</v>
      </c>
      <c r="H46" t="s">
        <v>492</v>
      </c>
      <c r="I46" t="s">
        <v>674</v>
      </c>
      <c r="J46" t="s">
        <v>690</v>
      </c>
      <c r="K46" t="s">
        <v>670</v>
      </c>
      <c r="L46" t="s">
        <v>378</v>
      </c>
      <c r="M46" t="s">
        <v>378</v>
      </c>
      <c r="N46" t="str">
        <f>VLOOKUP(C46,UB!A:A,1,0)</f>
        <v>BANK MANDIRI (PERSERO) TBK</v>
      </c>
    </row>
    <row r="47" spans="1:14" x14ac:dyDescent="0.25">
      <c r="B47" t="s">
        <v>691</v>
      </c>
      <c r="C47" t="s">
        <v>429</v>
      </c>
      <c r="D47" t="s">
        <v>692</v>
      </c>
      <c r="E47" t="s">
        <v>430</v>
      </c>
      <c r="F47">
        <v>97714448</v>
      </c>
      <c r="G47" t="s">
        <v>378</v>
      </c>
      <c r="H47" t="s">
        <v>378</v>
      </c>
      <c r="I47" t="s">
        <v>378</v>
      </c>
      <c r="J47" t="s">
        <v>669</v>
      </c>
      <c r="K47" t="s">
        <v>670</v>
      </c>
      <c r="L47" t="s">
        <v>378</v>
      </c>
      <c r="M47" t="s">
        <v>378</v>
      </c>
      <c r="N47" t="str">
        <f>VLOOKUP(C47,UB!A:A,1,0)</f>
        <v>WARUNG SEMBAKO (OCHA)</v>
      </c>
    </row>
    <row r="48" spans="1:14" x14ac:dyDescent="0.25">
      <c r="B48" t="s">
        <v>693</v>
      </c>
      <c r="C48" t="s">
        <v>537</v>
      </c>
      <c r="D48" t="s">
        <v>694</v>
      </c>
      <c r="E48" t="s">
        <v>532</v>
      </c>
      <c r="F48">
        <v>94424384</v>
      </c>
      <c r="G48" t="s">
        <v>378</v>
      </c>
      <c r="H48" t="s">
        <v>378</v>
      </c>
      <c r="I48" t="s">
        <v>378</v>
      </c>
      <c r="J48" t="s">
        <v>669</v>
      </c>
      <c r="K48" t="s">
        <v>670</v>
      </c>
      <c r="L48" t="s">
        <v>378</v>
      </c>
      <c r="M48" t="s">
        <v>378</v>
      </c>
      <c r="N48" t="str">
        <f>VLOOKUP(C48,UB!A:A,1,0)</f>
        <v>GEMBIRA, UD</v>
      </c>
    </row>
    <row r="49" spans="2:14" x14ac:dyDescent="0.25">
      <c r="B49" t="s">
        <v>695</v>
      </c>
      <c r="C49" t="s">
        <v>583</v>
      </c>
      <c r="D49" t="s">
        <v>696</v>
      </c>
      <c r="E49" t="s">
        <v>584</v>
      </c>
      <c r="F49">
        <v>97715146</v>
      </c>
      <c r="G49">
        <v>9120217130442</v>
      </c>
      <c r="H49" t="s">
        <v>378</v>
      </c>
      <c r="I49" t="s">
        <v>697</v>
      </c>
      <c r="J49" t="s">
        <v>690</v>
      </c>
      <c r="K49" t="s">
        <v>670</v>
      </c>
      <c r="L49" t="s">
        <v>378</v>
      </c>
      <c r="M49" t="s">
        <v>378</v>
      </c>
      <c r="N49" t="str">
        <f>VLOOKUP(C49,UB!A:A,1,0)</f>
        <v>KEMBAR JAYA BITUNG, CV</v>
      </c>
    </row>
    <row r="50" spans="2:14" x14ac:dyDescent="0.25">
      <c r="B50" t="s">
        <v>698</v>
      </c>
      <c r="C50" t="s">
        <v>620</v>
      </c>
      <c r="D50" t="s">
        <v>699</v>
      </c>
      <c r="E50" t="s">
        <v>621</v>
      </c>
      <c r="F50">
        <v>7479284</v>
      </c>
      <c r="G50" t="s">
        <v>378</v>
      </c>
      <c r="H50" t="s">
        <v>378</v>
      </c>
      <c r="I50" t="s">
        <v>378</v>
      </c>
      <c r="J50" t="s">
        <v>669</v>
      </c>
      <c r="K50" t="s">
        <v>670</v>
      </c>
      <c r="L50" t="s">
        <v>378</v>
      </c>
      <c r="M50" t="s">
        <v>378</v>
      </c>
      <c r="N50" t="str">
        <f>VLOOKUP(C50,UB!A:A,1,0)</f>
        <v>PT. IKAN SAMUDRA INDONESIA</v>
      </c>
    </row>
    <row r="51" spans="2:14" x14ac:dyDescent="0.25">
      <c r="B51" t="s">
        <v>700</v>
      </c>
      <c r="C51" t="s">
        <v>455</v>
      </c>
      <c r="D51" t="s">
        <v>455</v>
      </c>
      <c r="E51" t="s">
        <v>456</v>
      </c>
      <c r="F51">
        <v>4223294</v>
      </c>
      <c r="G51" t="s">
        <v>378</v>
      </c>
      <c r="H51" t="s">
        <v>701</v>
      </c>
      <c r="I51" t="s">
        <v>378</v>
      </c>
      <c r="J51" t="s">
        <v>669</v>
      </c>
      <c r="K51" t="s">
        <v>670</v>
      </c>
      <c r="L51" t="s">
        <v>378</v>
      </c>
      <c r="M51" t="s">
        <v>378</v>
      </c>
      <c r="N51" t="str">
        <f>VLOOKUP(C51,UB!A:A,1,0)</f>
        <v>SAMUDERA PURANABILE ABADI</v>
      </c>
    </row>
    <row r="52" spans="2:14" x14ac:dyDescent="0.25">
      <c r="B52" t="s">
        <v>702</v>
      </c>
      <c r="C52" t="s">
        <v>544</v>
      </c>
      <c r="D52" t="s">
        <v>703</v>
      </c>
      <c r="E52" t="s">
        <v>400</v>
      </c>
      <c r="F52">
        <v>94424365</v>
      </c>
      <c r="G52" t="s">
        <v>378</v>
      </c>
      <c r="H52" t="s">
        <v>378</v>
      </c>
      <c r="I52" t="s">
        <v>378</v>
      </c>
      <c r="J52" t="s">
        <v>669</v>
      </c>
      <c r="K52" t="s">
        <v>670</v>
      </c>
      <c r="L52" t="s">
        <v>378</v>
      </c>
      <c r="M52" t="s">
        <v>378</v>
      </c>
      <c r="N52" t="str">
        <f>VLOOKUP(C52,UB!A:A,1,0)</f>
        <v>SINAR MAROS</v>
      </c>
    </row>
    <row r="53" spans="2:14" x14ac:dyDescent="0.25">
      <c r="B53" t="s">
        <v>704</v>
      </c>
      <c r="C53" t="s">
        <v>514</v>
      </c>
      <c r="D53" t="s">
        <v>514</v>
      </c>
      <c r="E53" t="s">
        <v>515</v>
      </c>
      <c r="F53">
        <v>97714862</v>
      </c>
      <c r="G53" t="s">
        <v>378</v>
      </c>
      <c r="H53" t="s">
        <v>378</v>
      </c>
      <c r="I53" t="s">
        <v>378</v>
      </c>
      <c r="J53" t="s">
        <v>669</v>
      </c>
      <c r="K53" t="s">
        <v>670</v>
      </c>
      <c r="L53" t="s">
        <v>378</v>
      </c>
      <c r="M53" t="s">
        <v>378</v>
      </c>
      <c r="N53" t="str">
        <f>VLOOKUP(C53,UB!A:A,1,0)</f>
        <v>TWO FISH DIVERS</v>
      </c>
    </row>
    <row r="54" spans="2:14" x14ac:dyDescent="0.25">
      <c r="B54" t="s">
        <v>705</v>
      </c>
      <c r="C54" t="s">
        <v>542</v>
      </c>
      <c r="D54" t="s">
        <v>706</v>
      </c>
      <c r="E54" t="s">
        <v>543</v>
      </c>
      <c r="F54">
        <v>97714884</v>
      </c>
      <c r="G54" t="s">
        <v>378</v>
      </c>
      <c r="H54" t="s">
        <v>378</v>
      </c>
      <c r="I54" t="s">
        <v>378</v>
      </c>
      <c r="J54" t="s">
        <v>669</v>
      </c>
      <c r="K54" t="s">
        <v>670</v>
      </c>
      <c r="L54" t="s">
        <v>378</v>
      </c>
      <c r="M54" t="s">
        <v>378</v>
      </c>
      <c r="N54" t="str">
        <f>VLOOKUP(C54,UB!A:A,1,0)</f>
        <v>PERDAGANGAN IKAN KERING &lt;HJ DARAKI&gt;</v>
      </c>
    </row>
    <row r="55" spans="2:14" x14ac:dyDescent="0.25">
      <c r="B55" t="s">
        <v>707</v>
      </c>
      <c r="C55" t="s">
        <v>586</v>
      </c>
      <c r="D55" t="s">
        <v>586</v>
      </c>
      <c r="E55" t="s">
        <v>587</v>
      </c>
      <c r="F55">
        <v>161335</v>
      </c>
      <c r="G55" t="s">
        <v>378</v>
      </c>
      <c r="H55" t="s">
        <v>378</v>
      </c>
      <c r="I55" t="s">
        <v>378</v>
      </c>
      <c r="J55" t="s">
        <v>669</v>
      </c>
      <c r="K55" t="s">
        <v>670</v>
      </c>
      <c r="L55" t="s">
        <v>378</v>
      </c>
      <c r="M55" t="s">
        <v>378</v>
      </c>
      <c r="N55" t="str">
        <f>VLOOKUP(C55,UB!A:A,1,0)</f>
        <v>DHARMABHAKTI EKAPERDANA, PT</v>
      </c>
    </row>
    <row r="56" spans="2:14" x14ac:dyDescent="0.25">
      <c r="B56" t="s">
        <v>708</v>
      </c>
      <c r="C56" t="s">
        <v>457</v>
      </c>
      <c r="D56" t="s">
        <v>457</v>
      </c>
      <c r="E56" t="s">
        <v>458</v>
      </c>
      <c r="F56">
        <v>4032983</v>
      </c>
      <c r="G56" t="s">
        <v>378</v>
      </c>
      <c r="H56" t="s">
        <v>709</v>
      </c>
      <c r="I56" t="s">
        <v>378</v>
      </c>
      <c r="J56" t="s">
        <v>669</v>
      </c>
      <c r="K56" t="s">
        <v>670</v>
      </c>
      <c r="L56" t="s">
        <v>378</v>
      </c>
      <c r="M56" t="s">
        <v>378</v>
      </c>
      <c r="N56" t="str">
        <f>VLOOKUP(C56,UB!A:A,1,0)</f>
        <v>SARI TUNA MAKMUR</v>
      </c>
    </row>
    <row r="57" spans="2:14" x14ac:dyDescent="0.25">
      <c r="B57" t="s">
        <v>710</v>
      </c>
      <c r="C57" t="s">
        <v>595</v>
      </c>
      <c r="D57" t="s">
        <v>595</v>
      </c>
      <c r="E57" t="s">
        <v>592</v>
      </c>
      <c r="F57">
        <v>97410211</v>
      </c>
      <c r="G57" t="s">
        <v>378</v>
      </c>
      <c r="H57" t="s">
        <v>378</v>
      </c>
      <c r="I57" t="s">
        <v>378</v>
      </c>
      <c r="J57" t="s">
        <v>669</v>
      </c>
      <c r="K57" t="s">
        <v>670</v>
      </c>
      <c r="L57" t="s">
        <v>378</v>
      </c>
      <c r="M57" t="s">
        <v>378</v>
      </c>
      <c r="N57" t="str">
        <f>VLOOKUP(C57,UB!A:A,1,0)</f>
        <v>BANK BRI (TERAS)</v>
      </c>
    </row>
    <row r="58" spans="2:14" x14ac:dyDescent="0.25">
      <c r="B58" t="s">
        <v>711</v>
      </c>
      <c r="C58" t="s">
        <v>500</v>
      </c>
      <c r="D58" t="s">
        <v>500</v>
      </c>
      <c r="E58" t="s">
        <v>501</v>
      </c>
      <c r="F58">
        <v>97409285</v>
      </c>
      <c r="G58" t="s">
        <v>378</v>
      </c>
      <c r="H58" t="s">
        <v>378</v>
      </c>
      <c r="I58" t="s">
        <v>378</v>
      </c>
      <c r="J58" t="s">
        <v>669</v>
      </c>
      <c r="K58" t="s">
        <v>670</v>
      </c>
      <c r="L58" t="s">
        <v>378</v>
      </c>
      <c r="M58" t="s">
        <v>378</v>
      </c>
      <c r="N58" t="str">
        <f>VLOOKUP(C58,UB!A:A,1,0)</f>
        <v>BANK BRI pt</v>
      </c>
    </row>
    <row r="59" spans="2:14" x14ac:dyDescent="0.25">
      <c r="B59" t="s">
        <v>712</v>
      </c>
      <c r="C59" t="s">
        <v>528</v>
      </c>
      <c r="D59" t="s">
        <v>528</v>
      </c>
      <c r="E59" t="s">
        <v>529</v>
      </c>
      <c r="F59">
        <v>3020077</v>
      </c>
      <c r="G59" t="s">
        <v>378</v>
      </c>
      <c r="H59" t="s">
        <v>713</v>
      </c>
      <c r="I59" t="s">
        <v>378</v>
      </c>
      <c r="J59" t="s">
        <v>669</v>
      </c>
      <c r="K59" t="s">
        <v>670</v>
      </c>
      <c r="L59" t="s">
        <v>378</v>
      </c>
      <c r="M59" t="s">
        <v>378</v>
      </c>
      <c r="N59" t="str">
        <f>VLOOKUP(C59,UB!A:A,1,0)</f>
        <v>BANK RAKYAT INDONESIA (PERSERO) TBK, PT</v>
      </c>
    </row>
    <row r="60" spans="2:14" x14ac:dyDescent="0.25">
      <c r="B60" t="s">
        <v>714</v>
      </c>
      <c r="C60" t="s">
        <v>570</v>
      </c>
      <c r="D60" t="s">
        <v>715</v>
      </c>
      <c r="E60" t="s">
        <v>571</v>
      </c>
      <c r="F60">
        <v>97714796</v>
      </c>
      <c r="G60" t="s">
        <v>378</v>
      </c>
      <c r="H60" t="s">
        <v>378</v>
      </c>
      <c r="I60" t="s">
        <v>378</v>
      </c>
      <c r="J60" t="s">
        <v>669</v>
      </c>
      <c r="K60" t="s">
        <v>670</v>
      </c>
      <c r="L60" t="s">
        <v>378</v>
      </c>
      <c r="M60" t="s">
        <v>378</v>
      </c>
      <c r="N60" t="str">
        <f>VLOOKUP(C60,UB!A:A,1,0)</f>
        <v>WARUNG SEMBAKO &lt;YOAN&gt;</v>
      </c>
    </row>
    <row r="61" spans="2:14" x14ac:dyDescent="0.25">
      <c r="B61" t="s">
        <v>716</v>
      </c>
      <c r="C61" t="s">
        <v>418</v>
      </c>
      <c r="D61" t="s">
        <v>418</v>
      </c>
      <c r="E61" t="s">
        <v>419</v>
      </c>
      <c r="F61">
        <v>94412742</v>
      </c>
      <c r="G61" t="s">
        <v>378</v>
      </c>
      <c r="H61" t="s">
        <v>378</v>
      </c>
      <c r="I61" t="s">
        <v>378</v>
      </c>
      <c r="J61" t="s">
        <v>669</v>
      </c>
      <c r="K61" t="s">
        <v>670</v>
      </c>
      <c r="L61" t="s">
        <v>378</v>
      </c>
      <c r="M61" t="s">
        <v>378</v>
      </c>
      <c r="N61" t="str">
        <f>VLOOKUP(C61,UB!A:A,1,0)</f>
        <v>PT Adira Dinamika Multi Finance Tbk, Kantor Representative Office Sulawesi</v>
      </c>
    </row>
    <row r="62" spans="2:14" x14ac:dyDescent="0.25">
      <c r="B62" t="s">
        <v>717</v>
      </c>
      <c r="C62" t="s">
        <v>512</v>
      </c>
      <c r="D62" t="s">
        <v>718</v>
      </c>
      <c r="E62" t="s">
        <v>443</v>
      </c>
      <c r="F62">
        <v>97714758</v>
      </c>
      <c r="G62" t="s">
        <v>378</v>
      </c>
      <c r="H62" t="s">
        <v>378</v>
      </c>
      <c r="I62" t="s">
        <v>378</v>
      </c>
      <c r="J62" t="s">
        <v>669</v>
      </c>
      <c r="K62" t="s">
        <v>670</v>
      </c>
      <c r="L62" t="s">
        <v>378</v>
      </c>
      <c r="M62" t="s">
        <v>378</v>
      </c>
      <c r="N62" t="str">
        <f>VLOOKUP(C62,UB!A:A,1,0)</f>
        <v>CAHAYA SIDRAP HJ AL</v>
      </c>
    </row>
    <row r="63" spans="2:14" x14ac:dyDescent="0.25">
      <c r="B63" t="s">
        <v>719</v>
      </c>
      <c r="C63" t="s">
        <v>590</v>
      </c>
      <c r="D63" t="s">
        <v>590</v>
      </c>
      <c r="E63" t="s">
        <v>571</v>
      </c>
      <c r="F63">
        <v>97714802</v>
      </c>
      <c r="G63" t="s">
        <v>378</v>
      </c>
      <c r="H63" t="s">
        <v>378</v>
      </c>
      <c r="I63" t="s">
        <v>378</v>
      </c>
      <c r="J63" t="s">
        <v>669</v>
      </c>
      <c r="K63" t="s">
        <v>670</v>
      </c>
      <c r="L63" t="s">
        <v>378</v>
      </c>
      <c r="M63" t="s">
        <v>378</v>
      </c>
      <c r="N63" t="str">
        <f>VLOOKUP(C63,UB!A:A,1,0)</f>
        <v>WARUNG SEMBAKO &lt;SALIM&gt;</v>
      </c>
    </row>
    <row r="64" spans="2:14" x14ac:dyDescent="0.25">
      <c r="B64" t="s">
        <v>720</v>
      </c>
      <c r="C64" t="s">
        <v>494</v>
      </c>
      <c r="D64" t="s">
        <v>494</v>
      </c>
      <c r="E64" t="s">
        <v>495</v>
      </c>
      <c r="F64">
        <v>98069273</v>
      </c>
      <c r="G64" t="s">
        <v>378</v>
      </c>
      <c r="H64" t="s">
        <v>378</v>
      </c>
      <c r="I64" t="s">
        <v>378</v>
      </c>
      <c r="J64" t="s">
        <v>669</v>
      </c>
      <c r="K64" t="s">
        <v>670</v>
      </c>
      <c r="L64" t="s">
        <v>378</v>
      </c>
      <c r="M64" t="s">
        <v>378</v>
      </c>
      <c r="N64" t="str">
        <f>VLOOKUP(C64,UB!A:A,1,0)</f>
        <v>SALIM IVOMAS PRATAMA, PT</v>
      </c>
    </row>
    <row r="65" spans="2:14" x14ac:dyDescent="0.25">
      <c r="B65" t="s">
        <v>721</v>
      </c>
      <c r="C65" t="s">
        <v>722</v>
      </c>
      <c r="D65" t="s">
        <v>723</v>
      </c>
      <c r="E65" t="s">
        <v>585</v>
      </c>
      <c r="F65">
        <v>97410253</v>
      </c>
      <c r="G65">
        <v>9120217170584</v>
      </c>
      <c r="H65" t="s">
        <v>724</v>
      </c>
      <c r="I65" t="s">
        <v>725</v>
      </c>
      <c r="J65" t="s">
        <v>690</v>
      </c>
      <c r="K65" t="s">
        <v>670</v>
      </c>
      <c r="L65" t="s">
        <v>378</v>
      </c>
      <c r="M65" t="s">
        <v>378</v>
      </c>
      <c r="N65" t="str">
        <f>VLOOKUP(C65,UB!A:A,1,0)</f>
        <v>BGR LOGISTIK INDONESIA, PT</v>
      </c>
    </row>
    <row r="66" spans="2:14" x14ac:dyDescent="0.25">
      <c r="B66" t="s">
        <v>726</v>
      </c>
      <c r="C66" t="s">
        <v>434</v>
      </c>
      <c r="D66" t="s">
        <v>434</v>
      </c>
      <c r="E66" t="s">
        <v>397</v>
      </c>
      <c r="F66">
        <v>61061729</v>
      </c>
      <c r="G66" t="s">
        <v>378</v>
      </c>
      <c r="H66" t="s">
        <v>378</v>
      </c>
      <c r="I66" t="s">
        <v>378</v>
      </c>
      <c r="J66" t="s">
        <v>669</v>
      </c>
      <c r="K66" t="s">
        <v>670</v>
      </c>
      <c r="L66" t="s">
        <v>378</v>
      </c>
      <c r="M66" t="s">
        <v>378</v>
      </c>
      <c r="N66" t="str">
        <f>VLOOKUP(C66,UB!A:A,1,0)</f>
        <v>TONG BITUNG JAYA</v>
      </c>
    </row>
    <row r="67" spans="2:14" x14ac:dyDescent="0.25">
      <c r="B67" t="s">
        <v>727</v>
      </c>
      <c r="C67" t="s">
        <v>399</v>
      </c>
      <c r="D67" t="s">
        <v>728</v>
      </c>
      <c r="E67" t="s">
        <v>400</v>
      </c>
      <c r="F67">
        <v>97714998</v>
      </c>
      <c r="G67" t="s">
        <v>378</v>
      </c>
      <c r="H67" t="s">
        <v>378</v>
      </c>
      <c r="I67" t="s">
        <v>378</v>
      </c>
      <c r="J67" t="s">
        <v>669</v>
      </c>
      <c r="K67" t="s">
        <v>670</v>
      </c>
      <c r="L67" t="s">
        <v>378</v>
      </c>
      <c r="M67" t="s">
        <v>378</v>
      </c>
      <c r="N67" t="str">
        <f>VLOOKUP(C67,UB!A:A,1,0)</f>
        <v>AGEN JUAL BERAS &lt;RAIS&gt;</v>
      </c>
    </row>
    <row r="68" spans="2:14" x14ac:dyDescent="0.25">
      <c r="B68" t="s">
        <v>729</v>
      </c>
      <c r="C68" t="s">
        <v>524</v>
      </c>
      <c r="D68" t="s">
        <v>730</v>
      </c>
      <c r="E68" t="s">
        <v>525</v>
      </c>
      <c r="F68">
        <v>97714944</v>
      </c>
      <c r="G68" t="s">
        <v>378</v>
      </c>
      <c r="H68" t="s">
        <v>378</v>
      </c>
      <c r="I68" t="s">
        <v>378</v>
      </c>
      <c r="J68" t="s">
        <v>669</v>
      </c>
      <c r="K68" t="s">
        <v>670</v>
      </c>
      <c r="L68" t="s">
        <v>378</v>
      </c>
      <c r="M68" t="s">
        <v>378</v>
      </c>
      <c r="N68" t="str">
        <f>VLOOKUP(C68,UB!A:A,1,0)</f>
        <v>TOKO ALVIN JAYA</v>
      </c>
    </row>
    <row r="69" spans="2:14" x14ac:dyDescent="0.25">
      <c r="B69" t="s">
        <v>731</v>
      </c>
      <c r="C69" t="s">
        <v>451</v>
      </c>
      <c r="D69" t="s">
        <v>451</v>
      </c>
      <c r="E69" t="s">
        <v>452</v>
      </c>
      <c r="F69">
        <v>2631074</v>
      </c>
      <c r="G69" t="s">
        <v>378</v>
      </c>
      <c r="H69" t="s">
        <v>732</v>
      </c>
      <c r="I69" t="s">
        <v>378</v>
      </c>
      <c r="J69" t="s">
        <v>669</v>
      </c>
      <c r="K69" t="s">
        <v>670</v>
      </c>
      <c r="L69" t="s">
        <v>378</v>
      </c>
      <c r="M69" t="s">
        <v>378</v>
      </c>
      <c r="N69" t="str">
        <f>VLOOKUP(C69,UB!A:A,1,0)</f>
        <v>ABADI NUSANTARA UTAMA</v>
      </c>
    </row>
    <row r="70" spans="2:14" x14ac:dyDescent="0.25">
      <c r="B70" t="s">
        <v>733</v>
      </c>
      <c r="C70" t="s">
        <v>606</v>
      </c>
      <c r="D70" t="s">
        <v>606</v>
      </c>
      <c r="E70" t="s">
        <v>607</v>
      </c>
      <c r="F70">
        <v>95333943</v>
      </c>
      <c r="G70" t="s">
        <v>378</v>
      </c>
      <c r="H70" t="s">
        <v>378</v>
      </c>
      <c r="I70" t="s">
        <v>378</v>
      </c>
      <c r="J70" t="s">
        <v>669</v>
      </c>
      <c r="K70" t="s">
        <v>670</v>
      </c>
      <c r="L70" t="s">
        <v>378</v>
      </c>
      <c r="M70" t="s">
        <v>378</v>
      </c>
      <c r="N70" t="str">
        <f>VLOOKUP(C70,UB!A:A,1,0)</f>
        <v>PT Sinar Mas Multifinance, Kantor Cabang Bitung</v>
      </c>
    </row>
    <row r="71" spans="2:14" x14ac:dyDescent="0.25">
      <c r="B71" t="s">
        <v>734</v>
      </c>
      <c r="C71" t="s">
        <v>618</v>
      </c>
      <c r="D71" t="s">
        <v>618</v>
      </c>
      <c r="E71" t="s">
        <v>619</v>
      </c>
      <c r="F71">
        <v>61061727</v>
      </c>
      <c r="G71" t="s">
        <v>378</v>
      </c>
      <c r="H71" t="s">
        <v>378</v>
      </c>
      <c r="I71" t="s">
        <v>378</v>
      </c>
      <c r="J71" t="s">
        <v>669</v>
      </c>
      <c r="K71" t="s">
        <v>670</v>
      </c>
      <c r="L71" t="s">
        <v>378</v>
      </c>
      <c r="M71" t="s">
        <v>378</v>
      </c>
      <c r="N71" t="str">
        <f>VLOOKUP(C71,UB!A:A,1,0)</f>
        <v>PT Multi Duta Cipta</v>
      </c>
    </row>
    <row r="72" spans="2:14" x14ac:dyDescent="0.25">
      <c r="B72" t="s">
        <v>735</v>
      </c>
      <c r="C72" t="s">
        <v>497</v>
      </c>
      <c r="D72" t="s">
        <v>497</v>
      </c>
      <c r="E72" t="s">
        <v>485</v>
      </c>
      <c r="F72">
        <v>97409748</v>
      </c>
      <c r="G72" t="s">
        <v>378</v>
      </c>
      <c r="H72" t="s">
        <v>736</v>
      </c>
      <c r="I72" t="s">
        <v>378</v>
      </c>
      <c r="J72" t="s">
        <v>669</v>
      </c>
      <c r="K72" t="s">
        <v>670</v>
      </c>
      <c r="L72" t="s">
        <v>378</v>
      </c>
      <c r="M72" t="s">
        <v>378</v>
      </c>
      <c r="N72" t="str">
        <f>VLOOKUP(C72,UB!A:A,1,0)</f>
        <v>TIGA BERLIAN ASIANA . PT</v>
      </c>
    </row>
    <row r="73" spans="2:14" x14ac:dyDescent="0.25">
      <c r="B73" t="s">
        <v>737</v>
      </c>
      <c r="C73" t="s">
        <v>425</v>
      </c>
      <c r="D73" t="s">
        <v>425</v>
      </c>
      <c r="E73" t="s">
        <v>426</v>
      </c>
      <c r="F73">
        <v>4127530</v>
      </c>
      <c r="G73" t="s">
        <v>378</v>
      </c>
      <c r="H73" t="s">
        <v>738</v>
      </c>
      <c r="I73" t="s">
        <v>378</v>
      </c>
      <c r="J73" t="s">
        <v>669</v>
      </c>
      <c r="K73" t="s">
        <v>670</v>
      </c>
      <c r="L73" t="s">
        <v>378</v>
      </c>
      <c r="M73" t="s">
        <v>378</v>
      </c>
      <c r="N73" t="str">
        <f>VLOOKUP(C73,UB!A:A,1,0)</f>
        <v>SINAR KARYA MEGA PERSADA</v>
      </c>
    </row>
    <row r="74" spans="2:14" x14ac:dyDescent="0.25">
      <c r="B74" t="s">
        <v>739</v>
      </c>
      <c r="C74" t="s">
        <v>530</v>
      </c>
      <c r="D74" t="s">
        <v>530</v>
      </c>
      <c r="E74" t="s">
        <v>531</v>
      </c>
      <c r="F74">
        <v>94418906</v>
      </c>
      <c r="G74" t="s">
        <v>378</v>
      </c>
      <c r="H74" t="s">
        <v>378</v>
      </c>
      <c r="I74" t="s">
        <v>378</v>
      </c>
      <c r="J74" t="s">
        <v>669</v>
      </c>
      <c r="K74" t="s">
        <v>670</v>
      </c>
      <c r="L74" t="s">
        <v>378</v>
      </c>
      <c r="M74" t="s">
        <v>378</v>
      </c>
      <c r="N74" t="str">
        <f>VLOOKUP(C74,UB!A:A,1,0)</f>
        <v>Bancaasurance BNI Life Sulawesi Utara VII</v>
      </c>
    </row>
    <row r="75" spans="2:14" x14ac:dyDescent="0.25">
      <c r="B75" t="s">
        <v>740</v>
      </c>
      <c r="C75" t="s">
        <v>414</v>
      </c>
      <c r="D75" t="s">
        <v>414</v>
      </c>
      <c r="E75" t="s">
        <v>415</v>
      </c>
      <c r="F75">
        <v>3245852</v>
      </c>
      <c r="G75" t="s">
        <v>378</v>
      </c>
      <c r="H75" t="s">
        <v>378</v>
      </c>
      <c r="I75" t="s">
        <v>378</v>
      </c>
      <c r="J75" t="s">
        <v>669</v>
      </c>
      <c r="K75" t="s">
        <v>670</v>
      </c>
      <c r="L75" t="s">
        <v>378</v>
      </c>
      <c r="M75" t="s">
        <v>378</v>
      </c>
      <c r="N75" t="str">
        <f>VLOOKUP(C75,UB!A:A,1,0)</f>
        <v>AWILTON NYIUR INTERNASIONAL</v>
      </c>
    </row>
    <row r="76" spans="2:14" x14ac:dyDescent="0.25">
      <c r="B76" t="s">
        <v>741</v>
      </c>
      <c r="C76" t="s">
        <v>463</v>
      </c>
      <c r="D76" t="s">
        <v>742</v>
      </c>
      <c r="E76" t="s">
        <v>460</v>
      </c>
      <c r="F76">
        <v>97411194</v>
      </c>
      <c r="G76" t="s">
        <v>378</v>
      </c>
      <c r="H76" t="s">
        <v>378</v>
      </c>
      <c r="I76" t="s">
        <v>378</v>
      </c>
      <c r="J76" t="s">
        <v>669</v>
      </c>
      <c r="K76" t="s">
        <v>670</v>
      </c>
      <c r="L76" t="s">
        <v>378</v>
      </c>
      <c r="M76" t="s">
        <v>378</v>
      </c>
      <c r="N76" t="str">
        <f>VLOOKUP(C76,UB!A:A,1,0)</f>
        <v>BRI UNIT PATETEN</v>
      </c>
    </row>
    <row r="77" spans="2:14" x14ac:dyDescent="0.25">
      <c r="B77" t="s">
        <v>743</v>
      </c>
      <c r="C77" t="s">
        <v>591</v>
      </c>
      <c r="D77" t="s">
        <v>591</v>
      </c>
      <c r="E77" t="s">
        <v>592</v>
      </c>
      <c r="F77">
        <v>97714783</v>
      </c>
      <c r="G77" t="s">
        <v>378</v>
      </c>
      <c r="H77" t="s">
        <v>378</v>
      </c>
      <c r="I77" t="s">
        <v>378</v>
      </c>
      <c r="J77" t="s">
        <v>669</v>
      </c>
      <c r="K77" t="s">
        <v>670</v>
      </c>
      <c r="L77" t="s">
        <v>378</v>
      </c>
      <c r="M77" t="s">
        <v>378</v>
      </c>
      <c r="N77" t="str">
        <f>VLOOKUP(C77,UB!A:A,1,0)</f>
        <v>DAUR ULANG BAN BEKAS</v>
      </c>
    </row>
    <row r="78" spans="2:14" x14ac:dyDescent="0.25">
      <c r="B78" t="s">
        <v>744</v>
      </c>
      <c r="C78" t="s">
        <v>506</v>
      </c>
      <c r="D78" t="s">
        <v>745</v>
      </c>
      <c r="E78" t="s">
        <v>507</v>
      </c>
      <c r="F78">
        <v>94437325</v>
      </c>
      <c r="G78" t="s">
        <v>378</v>
      </c>
      <c r="H78" t="s">
        <v>378</v>
      </c>
      <c r="I78" t="s">
        <v>378</v>
      </c>
      <c r="J78" t="s">
        <v>669</v>
      </c>
      <c r="K78" t="s">
        <v>670</v>
      </c>
      <c r="L78" t="s">
        <v>378</v>
      </c>
      <c r="M78" t="s">
        <v>378</v>
      </c>
      <c r="N78" t="str">
        <f>VLOOKUP(C78,UB!A:A,1,0)</f>
        <v>POS INDONESIA (PERSERO), PT</v>
      </c>
    </row>
    <row r="79" spans="2:14" x14ac:dyDescent="0.25">
      <c r="B79" t="s">
        <v>746</v>
      </c>
      <c r="C79" t="s">
        <v>598</v>
      </c>
      <c r="D79" t="s">
        <v>598</v>
      </c>
      <c r="E79" t="s">
        <v>599</v>
      </c>
      <c r="F79">
        <v>4352603</v>
      </c>
      <c r="G79" t="s">
        <v>378</v>
      </c>
      <c r="H79" t="s">
        <v>747</v>
      </c>
      <c r="I79" t="s">
        <v>378</v>
      </c>
      <c r="J79" t="s">
        <v>669</v>
      </c>
      <c r="K79" t="s">
        <v>670</v>
      </c>
      <c r="L79" t="s">
        <v>378</v>
      </c>
      <c r="M79" t="s">
        <v>378</v>
      </c>
      <c r="N79" t="str">
        <f>VLOOKUP(C79,UB!A:A,1,0)</f>
        <v>RIZKY KURNIA ABADI JAYA</v>
      </c>
    </row>
    <row r="80" spans="2:14" x14ac:dyDescent="0.25">
      <c r="B80" t="s">
        <v>748</v>
      </c>
      <c r="C80" t="s">
        <v>432</v>
      </c>
      <c r="D80" t="s">
        <v>432</v>
      </c>
      <c r="E80" t="s">
        <v>397</v>
      </c>
      <c r="F80">
        <v>61061730</v>
      </c>
      <c r="G80" t="s">
        <v>378</v>
      </c>
      <c r="H80" t="s">
        <v>378</v>
      </c>
      <c r="I80" t="s">
        <v>378</v>
      </c>
      <c r="J80" t="s">
        <v>669</v>
      </c>
      <c r="K80" t="s">
        <v>670</v>
      </c>
      <c r="L80" t="s">
        <v>378</v>
      </c>
      <c r="M80" t="s">
        <v>378</v>
      </c>
      <c r="N80" t="str">
        <f>VLOOKUP(C80,UB!A:A,1,0)</f>
        <v>ULAM LAUT NUSANTARA</v>
      </c>
    </row>
    <row r="81" spans="2:14" x14ac:dyDescent="0.25">
      <c r="B81" t="s">
        <v>749</v>
      </c>
      <c r="C81" t="s">
        <v>493</v>
      </c>
      <c r="D81" t="s">
        <v>750</v>
      </c>
      <c r="E81" t="s">
        <v>407</v>
      </c>
      <c r="F81">
        <v>4494201</v>
      </c>
      <c r="G81" t="s">
        <v>378</v>
      </c>
      <c r="H81" t="s">
        <v>751</v>
      </c>
      <c r="I81" t="s">
        <v>378</v>
      </c>
      <c r="J81" t="s">
        <v>669</v>
      </c>
      <c r="K81" t="s">
        <v>670</v>
      </c>
      <c r="L81" t="s">
        <v>378</v>
      </c>
      <c r="M81" t="s">
        <v>378</v>
      </c>
      <c r="N81" t="str">
        <f>VLOOKUP(C81,UB!A:A,1,0)</f>
        <v>CAHAYA KADOODAN</v>
      </c>
    </row>
    <row r="82" spans="2:14" x14ac:dyDescent="0.25">
      <c r="B82" t="s">
        <v>752</v>
      </c>
      <c r="C82" t="s">
        <v>582</v>
      </c>
      <c r="D82" t="s">
        <v>753</v>
      </c>
      <c r="E82" t="s">
        <v>580</v>
      </c>
      <c r="F82">
        <v>97714858</v>
      </c>
      <c r="G82" t="s">
        <v>378</v>
      </c>
      <c r="H82" t="s">
        <v>378</v>
      </c>
      <c r="I82" t="s">
        <v>378</v>
      </c>
      <c r="J82" t="s">
        <v>669</v>
      </c>
      <c r="K82" t="s">
        <v>670</v>
      </c>
      <c r="L82" t="s">
        <v>378</v>
      </c>
      <c r="M82" t="s">
        <v>378</v>
      </c>
      <c r="N82" t="str">
        <f>VLOOKUP(C82,UB!A:A,1,0)</f>
        <v>PABRIK TEMPE TAHU</v>
      </c>
    </row>
    <row r="83" spans="2:14" x14ac:dyDescent="0.25">
      <c r="B83" t="s">
        <v>754</v>
      </c>
      <c r="C83" t="s">
        <v>438</v>
      </c>
      <c r="D83" t="s">
        <v>755</v>
      </c>
      <c r="E83" t="s">
        <v>440</v>
      </c>
      <c r="F83">
        <v>94431373</v>
      </c>
      <c r="G83" t="s">
        <v>378</v>
      </c>
      <c r="H83" t="s">
        <v>378</v>
      </c>
      <c r="I83" t="s">
        <v>378</v>
      </c>
      <c r="J83" t="s">
        <v>669</v>
      </c>
      <c r="K83" t="s">
        <v>670</v>
      </c>
      <c r="L83" t="s">
        <v>378</v>
      </c>
      <c r="M83" t="s">
        <v>378</v>
      </c>
      <c r="N83" t="str">
        <f>VLOOKUP(C83,UB!A:A,1,0)</f>
        <v>PEGADAIAN, PT</v>
      </c>
    </row>
    <row r="84" spans="2:14" x14ac:dyDescent="0.25">
      <c r="B84" t="s">
        <v>756</v>
      </c>
      <c r="C84" t="s">
        <v>624</v>
      </c>
      <c r="D84" t="s">
        <v>757</v>
      </c>
      <c r="E84" t="s">
        <v>625</v>
      </c>
      <c r="F84">
        <v>7479285</v>
      </c>
      <c r="G84" t="s">
        <v>378</v>
      </c>
      <c r="H84" t="s">
        <v>758</v>
      </c>
      <c r="I84" t="s">
        <v>378</v>
      </c>
      <c r="J84" t="s">
        <v>669</v>
      </c>
      <c r="K84" t="s">
        <v>670</v>
      </c>
      <c r="L84" t="s">
        <v>378</v>
      </c>
      <c r="M84" t="s">
        <v>378</v>
      </c>
      <c r="N84" t="str">
        <f>VLOOKUP(C84,UB!A:A,1,0)</f>
        <v>PT. KABASARAN TRITIS INTERNASIONAL</v>
      </c>
    </row>
    <row r="85" spans="2:14" x14ac:dyDescent="0.25">
      <c r="B85" t="s">
        <v>759</v>
      </c>
      <c r="C85" t="s">
        <v>424</v>
      </c>
      <c r="D85" t="s">
        <v>424</v>
      </c>
      <c r="E85" t="s">
        <v>413</v>
      </c>
      <c r="F85">
        <v>97410041</v>
      </c>
      <c r="G85" t="s">
        <v>378</v>
      </c>
      <c r="H85" t="s">
        <v>378</v>
      </c>
      <c r="I85" t="s">
        <v>378</v>
      </c>
      <c r="J85" t="s">
        <v>669</v>
      </c>
      <c r="K85" t="s">
        <v>670</v>
      </c>
      <c r="L85" t="s">
        <v>378</v>
      </c>
      <c r="M85" t="s">
        <v>378</v>
      </c>
      <c r="N85" t="str">
        <f>VLOOKUP(C85,UB!A:A,1,0)</f>
        <v>pt. bANK rAKYAT iNDONESIA UNIT SAGERAT</v>
      </c>
    </row>
    <row r="86" spans="2:14" x14ac:dyDescent="0.25">
      <c r="B86" t="s">
        <v>760</v>
      </c>
      <c r="C86" t="s">
        <v>596</v>
      </c>
      <c r="D86" t="s">
        <v>761</v>
      </c>
      <c r="E86" t="s">
        <v>597</v>
      </c>
      <c r="F86">
        <v>97714810</v>
      </c>
      <c r="G86" t="s">
        <v>378</v>
      </c>
      <c r="H86" t="s">
        <v>378</v>
      </c>
      <c r="I86" t="s">
        <v>378</v>
      </c>
      <c r="J86" t="s">
        <v>669</v>
      </c>
      <c r="K86" t="s">
        <v>670</v>
      </c>
      <c r="L86" t="s">
        <v>378</v>
      </c>
      <c r="M86" t="s">
        <v>378</v>
      </c>
      <c r="N86" t="str">
        <f>VLOOKUP(C86,UB!A:A,1,0)</f>
        <v>JUAL AYAM &lt;SARTON&gt;</v>
      </c>
    </row>
    <row r="87" spans="2:14" x14ac:dyDescent="0.25">
      <c r="B87" t="s">
        <v>762</v>
      </c>
      <c r="C87" t="s">
        <v>508</v>
      </c>
      <c r="D87" t="s">
        <v>763</v>
      </c>
      <c r="E87" t="s">
        <v>509</v>
      </c>
      <c r="F87">
        <v>94440349</v>
      </c>
      <c r="G87" t="s">
        <v>378</v>
      </c>
      <c r="H87" t="s">
        <v>378</v>
      </c>
      <c r="I87" t="s">
        <v>378</v>
      </c>
      <c r="J87" t="s">
        <v>669</v>
      </c>
      <c r="K87" t="s">
        <v>670</v>
      </c>
      <c r="L87" t="s">
        <v>378</v>
      </c>
      <c r="M87" t="s">
        <v>378</v>
      </c>
      <c r="N87" t="str">
        <f>VLOOKUP(C87,UB!A:A,1,0)</f>
        <v>CATALIST INTEGRA PRIMA SUKSES, PT</v>
      </c>
    </row>
    <row r="88" spans="2:14" x14ac:dyDescent="0.25">
      <c r="B88" t="s">
        <v>764</v>
      </c>
      <c r="C88" t="s">
        <v>520</v>
      </c>
      <c r="D88" t="s">
        <v>520</v>
      </c>
      <c r="E88" t="s">
        <v>521</v>
      </c>
      <c r="F88">
        <v>3069234</v>
      </c>
      <c r="G88" t="s">
        <v>378</v>
      </c>
      <c r="H88" t="s">
        <v>765</v>
      </c>
      <c r="I88" t="s">
        <v>378</v>
      </c>
      <c r="J88" t="s">
        <v>669</v>
      </c>
      <c r="K88" t="s">
        <v>670</v>
      </c>
      <c r="L88" t="s">
        <v>378</v>
      </c>
      <c r="M88" t="s">
        <v>378</v>
      </c>
      <c r="N88" t="str">
        <f>VLOOKUP(C88,UB!A:A,1,0)</f>
        <v>BANK CENTRAL ASIA TBK.</v>
      </c>
    </row>
    <row r="89" spans="2:14" x14ac:dyDescent="0.25">
      <c r="B89" t="s">
        <v>766</v>
      </c>
      <c r="C89" t="s">
        <v>461</v>
      </c>
      <c r="D89" t="s">
        <v>461</v>
      </c>
      <c r="E89" t="s">
        <v>462</v>
      </c>
      <c r="F89">
        <v>2560949</v>
      </c>
      <c r="G89" t="s">
        <v>378</v>
      </c>
      <c r="H89" t="s">
        <v>767</v>
      </c>
      <c r="I89" t="s">
        <v>378</v>
      </c>
      <c r="J89" t="s">
        <v>669</v>
      </c>
      <c r="K89" t="s">
        <v>670</v>
      </c>
      <c r="L89" t="s">
        <v>378</v>
      </c>
      <c r="M89" t="s">
        <v>378</v>
      </c>
      <c r="N89" t="str">
        <f>VLOOKUP(C89,UB!A:A,1,0)</f>
        <v>BANK SYARIAH MEGA INDONESIA</v>
      </c>
    </row>
    <row r="90" spans="2:14" x14ac:dyDescent="0.25">
      <c r="B90" t="s">
        <v>768</v>
      </c>
      <c r="C90" t="s">
        <v>438</v>
      </c>
      <c r="D90" t="s">
        <v>769</v>
      </c>
      <c r="E90" t="s">
        <v>439</v>
      </c>
      <c r="F90">
        <v>94431546</v>
      </c>
      <c r="G90" t="s">
        <v>378</v>
      </c>
      <c r="H90" t="s">
        <v>770</v>
      </c>
      <c r="I90" t="s">
        <v>378</v>
      </c>
      <c r="J90" t="s">
        <v>669</v>
      </c>
      <c r="K90" t="s">
        <v>670</v>
      </c>
      <c r="L90" t="s">
        <v>378</v>
      </c>
      <c r="M90" t="s">
        <v>378</v>
      </c>
      <c r="N90" t="str">
        <f>VLOOKUP(C90,UB!A:A,1,0)</f>
        <v>PEGADAIAN, PT</v>
      </c>
    </row>
    <row r="91" spans="2:14" x14ac:dyDescent="0.25">
      <c r="B91" t="s">
        <v>771</v>
      </c>
      <c r="C91" t="s">
        <v>568</v>
      </c>
      <c r="D91" t="s">
        <v>568</v>
      </c>
      <c r="E91" t="s">
        <v>569</v>
      </c>
      <c r="F91">
        <v>2689579</v>
      </c>
      <c r="G91" t="s">
        <v>378</v>
      </c>
      <c r="H91" t="s">
        <v>772</v>
      </c>
      <c r="I91" t="s">
        <v>378</v>
      </c>
      <c r="J91" t="s">
        <v>669</v>
      </c>
      <c r="K91" t="s">
        <v>670</v>
      </c>
      <c r="L91" t="s">
        <v>378</v>
      </c>
      <c r="M91" t="s">
        <v>378</v>
      </c>
      <c r="N91" t="str">
        <f>VLOOKUP(C91,UB!A:A,1,0)</f>
        <v>CELEBES MINAPRATAMA</v>
      </c>
    </row>
    <row r="92" spans="2:14" x14ac:dyDescent="0.25">
      <c r="B92" t="s">
        <v>773</v>
      </c>
      <c r="C92" t="s">
        <v>417</v>
      </c>
      <c r="D92" t="s">
        <v>774</v>
      </c>
      <c r="E92" t="s">
        <v>416</v>
      </c>
      <c r="F92">
        <v>3863833</v>
      </c>
      <c r="G92" t="s">
        <v>378</v>
      </c>
      <c r="H92" t="s">
        <v>775</v>
      </c>
      <c r="I92" t="s">
        <v>378</v>
      </c>
      <c r="J92" t="s">
        <v>669</v>
      </c>
      <c r="K92" t="s">
        <v>670</v>
      </c>
      <c r="L92" t="s">
        <v>378</v>
      </c>
      <c r="M92" t="s">
        <v>378</v>
      </c>
      <c r="N92" t="str">
        <f>VLOOKUP(C92,UB!A:A,1,0)</f>
        <v>MAPALUS MAKAWANUA CHARCOAL -INDUSTRY, PT</v>
      </c>
    </row>
    <row r="93" spans="2:14" x14ac:dyDescent="0.25">
      <c r="B93" t="s">
        <v>776</v>
      </c>
      <c r="C93" t="s">
        <v>486</v>
      </c>
      <c r="D93" t="s">
        <v>486</v>
      </c>
      <c r="E93" t="s">
        <v>487</v>
      </c>
      <c r="F93">
        <v>97409593</v>
      </c>
      <c r="G93">
        <v>8120007850271</v>
      </c>
      <c r="H93" t="s">
        <v>777</v>
      </c>
      <c r="I93" t="s">
        <v>394</v>
      </c>
      <c r="J93" t="s">
        <v>690</v>
      </c>
      <c r="K93" t="s">
        <v>670</v>
      </c>
      <c r="L93" t="s">
        <v>378</v>
      </c>
      <c r="M93" t="s">
        <v>378</v>
      </c>
      <c r="N93" t="str">
        <f>VLOOKUP(C93,UB!A:A,1,0)</f>
        <v>KERISMAS WITIKCO MAKMUR, PT</v>
      </c>
    </row>
    <row r="94" spans="2:14" x14ac:dyDescent="0.25">
      <c r="B94" t="s">
        <v>778</v>
      </c>
      <c r="C94" t="s">
        <v>601</v>
      </c>
      <c r="D94" t="s">
        <v>601</v>
      </c>
      <c r="E94" t="s">
        <v>602</v>
      </c>
      <c r="F94">
        <v>4340692</v>
      </c>
      <c r="G94" t="s">
        <v>378</v>
      </c>
      <c r="H94" t="s">
        <v>779</v>
      </c>
      <c r="I94" t="s">
        <v>378</v>
      </c>
      <c r="J94" t="s">
        <v>669</v>
      </c>
      <c r="K94" t="s">
        <v>676</v>
      </c>
      <c r="L94" t="s">
        <v>378</v>
      </c>
      <c r="M94" t="s">
        <v>378</v>
      </c>
      <c r="N94" t="str">
        <f>VLOOKUP(C94,UB!A:A,1,0)</f>
        <v>BANK PERKREDITAN RAKYAT DANAKU MAPAN LESTARI</v>
      </c>
    </row>
    <row r="95" spans="2:14" x14ac:dyDescent="0.25">
      <c r="B95" t="s">
        <v>780</v>
      </c>
      <c r="C95" t="s">
        <v>526</v>
      </c>
      <c r="D95" t="s">
        <v>526</v>
      </c>
      <c r="E95" t="s">
        <v>527</v>
      </c>
      <c r="F95">
        <v>94412159</v>
      </c>
      <c r="G95" t="s">
        <v>378</v>
      </c>
      <c r="H95" t="s">
        <v>378</v>
      </c>
      <c r="I95" t="s">
        <v>378</v>
      </c>
      <c r="J95" t="s">
        <v>669</v>
      </c>
      <c r="K95" t="s">
        <v>670</v>
      </c>
      <c r="L95" t="s">
        <v>378</v>
      </c>
      <c r="M95" t="s">
        <v>378</v>
      </c>
      <c r="N95" t="str">
        <f>VLOOKUP(C95,UB!A:A,1,0)</f>
        <v>PT Bank Danamon Tbk., Kantor Cabang Bitung-Yos Sudarso</v>
      </c>
    </row>
    <row r="96" spans="2:14" x14ac:dyDescent="0.25">
      <c r="B96" t="s">
        <v>781</v>
      </c>
      <c r="C96" t="s">
        <v>538</v>
      </c>
      <c r="D96" t="s">
        <v>538</v>
      </c>
      <c r="E96" t="s">
        <v>539</v>
      </c>
      <c r="F96">
        <v>97411737</v>
      </c>
      <c r="G96" t="s">
        <v>378</v>
      </c>
      <c r="H96" t="s">
        <v>378</v>
      </c>
      <c r="I96" t="s">
        <v>378</v>
      </c>
      <c r="J96" t="s">
        <v>669</v>
      </c>
      <c r="K96" t="s">
        <v>670</v>
      </c>
      <c r="L96" t="s">
        <v>378</v>
      </c>
      <c r="M96" t="s">
        <v>378</v>
      </c>
      <c r="N96" t="str">
        <f>VLOOKUP(C96,UB!A:A,1,0)</f>
        <v>BANK BRI pt</v>
      </c>
    </row>
    <row r="97" spans="2:14" x14ac:dyDescent="0.25">
      <c r="B97" t="s">
        <v>782</v>
      </c>
      <c r="C97" t="s">
        <v>622</v>
      </c>
      <c r="D97" t="s">
        <v>783</v>
      </c>
      <c r="E97" t="s">
        <v>623</v>
      </c>
      <c r="F97">
        <v>7479287</v>
      </c>
      <c r="G97" t="s">
        <v>378</v>
      </c>
      <c r="H97" t="s">
        <v>784</v>
      </c>
      <c r="I97" t="s">
        <v>378</v>
      </c>
      <c r="J97" t="s">
        <v>669</v>
      </c>
      <c r="K97" t="s">
        <v>670</v>
      </c>
      <c r="L97" t="s">
        <v>378</v>
      </c>
      <c r="M97" t="s">
        <v>378</v>
      </c>
      <c r="N97" t="str">
        <f>VLOOKUP(C97,UB!A:A,1,0)</f>
        <v>PT. TONG BITUNG JAYA</v>
      </c>
    </row>
    <row r="98" spans="2:14" x14ac:dyDescent="0.25">
      <c r="B98" t="s">
        <v>785</v>
      </c>
      <c r="C98" t="s">
        <v>438</v>
      </c>
      <c r="D98" t="s">
        <v>786</v>
      </c>
      <c r="E98" t="s">
        <v>532</v>
      </c>
      <c r="F98">
        <v>94431555</v>
      </c>
      <c r="G98" t="s">
        <v>378</v>
      </c>
      <c r="H98" t="s">
        <v>378</v>
      </c>
      <c r="I98" t="s">
        <v>378</v>
      </c>
      <c r="J98" t="s">
        <v>669</v>
      </c>
      <c r="K98" t="s">
        <v>670</v>
      </c>
      <c r="L98" t="s">
        <v>378</v>
      </c>
      <c r="M98" t="s">
        <v>378</v>
      </c>
      <c r="N98" t="str">
        <f>VLOOKUP(C98,UB!A:A,1,0)</f>
        <v>PEGADAIAN, PT</v>
      </c>
    </row>
    <row r="99" spans="2:14" x14ac:dyDescent="0.25">
      <c r="B99" t="s">
        <v>787</v>
      </c>
      <c r="C99" t="s">
        <v>490</v>
      </c>
      <c r="D99" t="s">
        <v>788</v>
      </c>
      <c r="E99" t="s">
        <v>407</v>
      </c>
      <c r="F99">
        <v>97714183</v>
      </c>
      <c r="G99" t="s">
        <v>378</v>
      </c>
      <c r="H99" t="s">
        <v>378</v>
      </c>
      <c r="I99" t="s">
        <v>378</v>
      </c>
      <c r="J99" t="s">
        <v>669</v>
      </c>
      <c r="K99" t="s">
        <v>670</v>
      </c>
      <c r="L99" t="s">
        <v>378</v>
      </c>
      <c r="M99" t="s">
        <v>378</v>
      </c>
      <c r="N99" t="str">
        <f>VLOOKUP(C99,UB!A:A,1,0)</f>
        <v>TOKO SEMBAKO REGION</v>
      </c>
    </row>
    <row r="100" spans="2:14" x14ac:dyDescent="0.25">
      <c r="B100" t="s">
        <v>789</v>
      </c>
      <c r="C100" t="s">
        <v>459</v>
      </c>
      <c r="D100" t="s">
        <v>790</v>
      </c>
      <c r="E100" t="s">
        <v>460</v>
      </c>
      <c r="F100">
        <v>3085868</v>
      </c>
      <c r="G100" t="s">
        <v>378</v>
      </c>
      <c r="H100" t="s">
        <v>791</v>
      </c>
      <c r="I100" t="s">
        <v>378</v>
      </c>
      <c r="J100" t="s">
        <v>669</v>
      </c>
      <c r="K100" t="s">
        <v>670</v>
      </c>
      <c r="L100" t="s">
        <v>378</v>
      </c>
      <c r="M100" t="s">
        <v>378</v>
      </c>
      <c r="N100" t="str">
        <f>VLOOKUP(C100,UB!A:A,1,0)</f>
        <v>PEDAGANG REMPAH &lt;SULEMAN&gt;</v>
      </c>
    </row>
    <row r="101" spans="2:14" x14ac:dyDescent="0.25">
      <c r="B101" t="s">
        <v>792</v>
      </c>
      <c r="C101" t="s">
        <v>405</v>
      </c>
      <c r="D101" t="s">
        <v>405</v>
      </c>
      <c r="E101" t="s">
        <v>406</v>
      </c>
      <c r="F101">
        <v>97409783</v>
      </c>
      <c r="G101" t="s">
        <v>378</v>
      </c>
      <c r="H101" t="s">
        <v>793</v>
      </c>
      <c r="I101" t="s">
        <v>378</v>
      </c>
      <c r="J101" t="s">
        <v>669</v>
      </c>
      <c r="K101" t="s">
        <v>670</v>
      </c>
      <c r="L101" t="s">
        <v>378</v>
      </c>
      <c r="M101" t="s">
        <v>378</v>
      </c>
      <c r="N101" t="str">
        <f>VLOOKUP(C101,UB!A:A,1,0)</f>
        <v>SAMUDRA MANDIRI SENTOSA PT</v>
      </c>
    </row>
    <row r="102" spans="2:14" x14ac:dyDescent="0.25">
      <c r="B102" t="s">
        <v>794</v>
      </c>
      <c r="C102" t="s">
        <v>516</v>
      </c>
      <c r="D102" t="s">
        <v>516</v>
      </c>
      <c r="E102" t="s">
        <v>517</v>
      </c>
      <c r="F102">
        <v>6626887</v>
      </c>
      <c r="G102" t="s">
        <v>378</v>
      </c>
      <c r="H102" t="s">
        <v>378</v>
      </c>
      <c r="I102" t="s">
        <v>378</v>
      </c>
      <c r="J102" t="s">
        <v>669</v>
      </c>
      <c r="K102" t="s">
        <v>670</v>
      </c>
      <c r="L102" t="s">
        <v>378</v>
      </c>
      <c r="M102" t="s">
        <v>378</v>
      </c>
      <c r="N102" t="str">
        <f>VLOOKUP(C102,UB!A:A,1,0)</f>
        <v>PT. DAYAMITRA TELEKOMUNIKASI</v>
      </c>
    </row>
    <row r="103" spans="2:14" x14ac:dyDescent="0.25">
      <c r="B103" t="s">
        <v>795</v>
      </c>
      <c r="C103" t="s">
        <v>578</v>
      </c>
      <c r="D103" t="s">
        <v>796</v>
      </c>
      <c r="E103" t="s">
        <v>579</v>
      </c>
      <c r="F103">
        <v>97714854</v>
      </c>
      <c r="G103" t="s">
        <v>378</v>
      </c>
      <c r="H103" t="s">
        <v>378</v>
      </c>
      <c r="I103" t="s">
        <v>378</v>
      </c>
      <c r="J103" t="s">
        <v>669</v>
      </c>
      <c r="K103" t="s">
        <v>670</v>
      </c>
      <c r="L103" t="s">
        <v>378</v>
      </c>
      <c r="M103" t="s">
        <v>378</v>
      </c>
      <c r="N103" t="str">
        <f>VLOOKUP(C103,UB!A:A,1,0)</f>
        <v>WARUNG SEMBAKO &lt;HENI&gt;</v>
      </c>
    </row>
    <row r="104" spans="2:14" x14ac:dyDescent="0.25">
      <c r="B104" t="s">
        <v>797</v>
      </c>
      <c r="C104" t="s">
        <v>617</v>
      </c>
      <c r="D104" t="s">
        <v>617</v>
      </c>
      <c r="E104" t="s">
        <v>397</v>
      </c>
      <c r="F104">
        <v>61061723</v>
      </c>
      <c r="G104" t="s">
        <v>378</v>
      </c>
      <c r="H104" t="s">
        <v>378</v>
      </c>
      <c r="I104" t="s">
        <v>378</v>
      </c>
      <c r="J104" t="s">
        <v>669</v>
      </c>
      <c r="K104" t="s">
        <v>670</v>
      </c>
      <c r="L104" t="s">
        <v>378</v>
      </c>
      <c r="M104" t="s">
        <v>378</v>
      </c>
      <c r="N104" t="str">
        <f>VLOOKUP(C104,UB!A:A,1,0)</f>
        <v>CITRA SAMUDRA NUSANTARA</v>
      </c>
    </row>
    <row r="105" spans="2:14" x14ac:dyDescent="0.25">
      <c r="B105" t="s">
        <v>798</v>
      </c>
      <c r="C105" t="s">
        <v>545</v>
      </c>
      <c r="D105" t="s">
        <v>545</v>
      </c>
      <c r="E105" t="s">
        <v>546</v>
      </c>
      <c r="F105">
        <v>6475484</v>
      </c>
      <c r="G105" t="s">
        <v>378</v>
      </c>
      <c r="H105" t="s">
        <v>378</v>
      </c>
      <c r="I105" t="s">
        <v>378</v>
      </c>
      <c r="J105" t="s">
        <v>669</v>
      </c>
      <c r="K105" t="s">
        <v>670</v>
      </c>
      <c r="L105" t="s">
        <v>378</v>
      </c>
      <c r="M105" t="s">
        <v>378</v>
      </c>
      <c r="N105" t="str">
        <f>VLOOKUP(C105,UB!A:A,1,0)</f>
        <v>PT BANK NEGARA INDONESIA CABANG BITUNG</v>
      </c>
    </row>
    <row r="106" spans="2:14" x14ac:dyDescent="0.25">
      <c r="B106" t="s">
        <v>799</v>
      </c>
      <c r="C106" t="s">
        <v>438</v>
      </c>
      <c r="D106" t="s">
        <v>800</v>
      </c>
      <c r="E106" t="s">
        <v>572</v>
      </c>
      <c r="F106">
        <v>94431543</v>
      </c>
      <c r="G106" t="s">
        <v>378</v>
      </c>
      <c r="H106" t="s">
        <v>801</v>
      </c>
      <c r="I106" t="s">
        <v>378</v>
      </c>
      <c r="J106" t="s">
        <v>669</v>
      </c>
      <c r="K106" t="s">
        <v>670</v>
      </c>
      <c r="L106" t="s">
        <v>378</v>
      </c>
      <c r="M106" t="s">
        <v>378</v>
      </c>
      <c r="N106" t="str">
        <f>VLOOKUP(C106,UB!A:A,1,0)</f>
        <v>PEGADAIAN, PT</v>
      </c>
    </row>
    <row r="107" spans="2:14" x14ac:dyDescent="0.25">
      <c r="B107" t="s">
        <v>802</v>
      </c>
      <c r="C107" t="s">
        <v>498</v>
      </c>
      <c r="D107" t="s">
        <v>498</v>
      </c>
      <c r="E107" t="s">
        <v>499</v>
      </c>
      <c r="F107">
        <v>97409253</v>
      </c>
      <c r="G107" t="s">
        <v>378</v>
      </c>
      <c r="H107" t="s">
        <v>803</v>
      </c>
      <c r="I107" t="s">
        <v>378</v>
      </c>
      <c r="J107" t="s">
        <v>669</v>
      </c>
      <c r="K107" t="s">
        <v>670</v>
      </c>
      <c r="L107" t="s">
        <v>378</v>
      </c>
      <c r="M107" t="s">
        <v>378</v>
      </c>
      <c r="N107" t="str">
        <f>VLOOKUP(C107,UB!A:A,1,0)</f>
        <v>MULTI NABATI SULAWESI PT</v>
      </c>
    </row>
    <row r="108" spans="2:14" x14ac:dyDescent="0.25">
      <c r="B108" t="s">
        <v>804</v>
      </c>
      <c r="C108" t="s">
        <v>402</v>
      </c>
      <c r="D108" t="s">
        <v>805</v>
      </c>
      <c r="E108" t="s">
        <v>403</v>
      </c>
      <c r="F108">
        <v>97714740</v>
      </c>
      <c r="G108" t="s">
        <v>378</v>
      </c>
      <c r="H108" t="s">
        <v>378</v>
      </c>
      <c r="I108" t="s">
        <v>378</v>
      </c>
      <c r="J108" t="s">
        <v>669</v>
      </c>
      <c r="K108" t="s">
        <v>670</v>
      </c>
      <c r="L108" t="s">
        <v>378</v>
      </c>
      <c r="M108" t="s">
        <v>378</v>
      </c>
      <c r="N108" t="str">
        <f>VLOOKUP(C108,UB!A:A,1,0)</f>
        <v>TEMPAT JUAL PAKAN TERNAK</v>
      </c>
    </row>
    <row r="109" spans="2:14" x14ac:dyDescent="0.25">
      <c r="B109" t="s">
        <v>806</v>
      </c>
      <c r="C109" t="s">
        <v>627</v>
      </c>
      <c r="D109" t="s">
        <v>807</v>
      </c>
      <c r="E109" t="s">
        <v>612</v>
      </c>
      <c r="F109">
        <v>6085375</v>
      </c>
      <c r="G109" t="s">
        <v>378</v>
      </c>
      <c r="H109" t="s">
        <v>378</v>
      </c>
      <c r="I109" t="s">
        <v>378</v>
      </c>
      <c r="J109" t="s">
        <v>669</v>
      </c>
      <c r="K109" t="s">
        <v>670</v>
      </c>
      <c r="L109" t="s">
        <v>378</v>
      </c>
      <c r="M109" t="s">
        <v>378</v>
      </c>
      <c r="N109" t="str">
        <f>VLOOKUP(C109,UB!A:A,1,0)</f>
        <v>INDO JAYA FORTUNA, PT</v>
      </c>
    </row>
    <row r="110" spans="2:14" x14ac:dyDescent="0.25">
      <c r="B110" t="s">
        <v>808</v>
      </c>
      <c r="C110" t="s">
        <v>518</v>
      </c>
      <c r="D110" t="s">
        <v>518</v>
      </c>
      <c r="E110" t="s">
        <v>519</v>
      </c>
      <c r="F110">
        <v>97411640</v>
      </c>
      <c r="G110" t="s">
        <v>378</v>
      </c>
      <c r="H110" t="s">
        <v>378</v>
      </c>
      <c r="I110" t="s">
        <v>378</v>
      </c>
      <c r="J110" t="s">
        <v>669</v>
      </c>
      <c r="K110" t="s">
        <v>670</v>
      </c>
      <c r="L110" t="s">
        <v>378</v>
      </c>
      <c r="M110" t="s">
        <v>378</v>
      </c>
      <c r="N110" t="str">
        <f>VLOOKUP(C110,UB!A:A,1,0)</f>
        <v>PT BANK SYARIAH MANDIRI/BANK Syariah Indonesia</v>
      </c>
    </row>
    <row r="111" spans="2:14" x14ac:dyDescent="0.25">
      <c r="B111" t="s">
        <v>809</v>
      </c>
      <c r="C111" t="s">
        <v>427</v>
      </c>
      <c r="D111" t="s">
        <v>427</v>
      </c>
      <c r="E111" t="s">
        <v>428</v>
      </c>
      <c r="F111">
        <v>94431391</v>
      </c>
      <c r="G111" t="s">
        <v>378</v>
      </c>
      <c r="H111" t="s">
        <v>378</v>
      </c>
      <c r="I111" t="s">
        <v>378</v>
      </c>
      <c r="J111" t="s">
        <v>669</v>
      </c>
      <c r="K111" t="s">
        <v>670</v>
      </c>
      <c r="L111" t="s">
        <v>378</v>
      </c>
      <c r="M111" t="s">
        <v>378</v>
      </c>
      <c r="N111" t="str">
        <f>VLOOKUP(C111,UB!A:A,1,0)</f>
        <v>PT Pegadaian Persero UPC MANEMBO NEMBO</v>
      </c>
    </row>
    <row r="112" spans="2:14" x14ac:dyDescent="0.25">
      <c r="B112" t="s">
        <v>810</v>
      </c>
      <c r="C112" t="s">
        <v>535</v>
      </c>
      <c r="D112" t="s">
        <v>535</v>
      </c>
      <c r="E112" t="s">
        <v>536</v>
      </c>
      <c r="F112">
        <v>2525681</v>
      </c>
      <c r="G112" t="s">
        <v>378</v>
      </c>
      <c r="H112" t="s">
        <v>811</v>
      </c>
      <c r="I112" t="s">
        <v>378</v>
      </c>
      <c r="J112" t="s">
        <v>669</v>
      </c>
      <c r="K112" t="s">
        <v>670</v>
      </c>
      <c r="L112" t="s">
        <v>378</v>
      </c>
      <c r="M112" t="s">
        <v>378</v>
      </c>
      <c r="N112" t="str">
        <f>VLOOKUP(C112,UB!A:A,1,0)</f>
        <v>BANK NEGARA INDONESIA</v>
      </c>
    </row>
    <row r="113" spans="2:14" x14ac:dyDescent="0.25">
      <c r="B113" t="s">
        <v>812</v>
      </c>
      <c r="C113" t="s">
        <v>488</v>
      </c>
      <c r="D113" t="s">
        <v>488</v>
      </c>
      <c r="E113" t="s">
        <v>489</v>
      </c>
      <c r="F113">
        <v>6629953</v>
      </c>
      <c r="G113" t="s">
        <v>378</v>
      </c>
      <c r="H113" t="s">
        <v>378</v>
      </c>
      <c r="I113" t="s">
        <v>378</v>
      </c>
      <c r="J113" t="s">
        <v>669</v>
      </c>
      <c r="K113" t="s">
        <v>670</v>
      </c>
      <c r="L113" t="s">
        <v>378</v>
      </c>
      <c r="M113" t="s">
        <v>378</v>
      </c>
      <c r="N113" t="str">
        <f>VLOOKUP(C113,UB!A:A,1,0)</f>
        <v>TOWER BERSAMA, PT</v>
      </c>
    </row>
    <row r="114" spans="2:14" x14ac:dyDescent="0.25">
      <c r="B114" t="s">
        <v>813</v>
      </c>
      <c r="C114" t="s">
        <v>441</v>
      </c>
      <c r="D114" t="s">
        <v>814</v>
      </c>
      <c r="E114" t="s">
        <v>442</v>
      </c>
      <c r="F114">
        <v>97714960</v>
      </c>
      <c r="G114" t="s">
        <v>378</v>
      </c>
      <c r="H114" t="s">
        <v>378</v>
      </c>
      <c r="I114" t="s">
        <v>378</v>
      </c>
      <c r="J114" t="s">
        <v>669</v>
      </c>
      <c r="K114" t="s">
        <v>670</v>
      </c>
      <c r="L114" t="s">
        <v>378</v>
      </c>
      <c r="M114" t="s">
        <v>378</v>
      </c>
      <c r="N114" t="str">
        <f>VLOOKUP(C114,UB!A:A,1,0)</f>
        <v>JUAL DAGING SAPI &lt;HJ.RINTO&gt;</v>
      </c>
    </row>
    <row r="115" spans="2:14" x14ac:dyDescent="0.25">
      <c r="B115" t="s">
        <v>815</v>
      </c>
      <c r="C115" t="s">
        <v>513</v>
      </c>
      <c r="D115" t="s">
        <v>816</v>
      </c>
      <c r="E115" t="s">
        <v>442</v>
      </c>
      <c r="F115">
        <v>97714621</v>
      </c>
      <c r="G115" t="s">
        <v>378</v>
      </c>
      <c r="H115" t="s">
        <v>378</v>
      </c>
      <c r="I115" t="s">
        <v>378</v>
      </c>
      <c r="J115" t="s">
        <v>669</v>
      </c>
      <c r="K115" t="s">
        <v>670</v>
      </c>
      <c r="L115" t="s">
        <v>378</v>
      </c>
      <c r="M115" t="s">
        <v>378</v>
      </c>
      <c r="N115" t="str">
        <f>VLOOKUP(C115,UB!A:A,1,0)</f>
        <v>JUAL IKAN SEGAR (NURDIN)</v>
      </c>
    </row>
    <row r="116" spans="2:14" x14ac:dyDescent="0.25">
      <c r="B116" t="s">
        <v>817</v>
      </c>
      <c r="C116" t="s">
        <v>605</v>
      </c>
      <c r="D116" t="s">
        <v>818</v>
      </c>
      <c r="E116" t="s">
        <v>819</v>
      </c>
      <c r="F116">
        <v>5977304</v>
      </c>
      <c r="G116">
        <v>1263000710399</v>
      </c>
      <c r="H116" t="s">
        <v>820</v>
      </c>
      <c r="I116" t="s">
        <v>821</v>
      </c>
      <c r="J116" t="s">
        <v>690</v>
      </c>
      <c r="K116" t="s">
        <v>670</v>
      </c>
      <c r="L116" t="s">
        <v>378</v>
      </c>
      <c r="M116" t="s">
        <v>378</v>
      </c>
      <c r="N116" t="str">
        <f>VLOOKUP(C116,UB!A:A,1,0)</f>
        <v>K2 LEMBEH DIVE RESORT</v>
      </c>
    </row>
    <row r="117" spans="2:14" x14ac:dyDescent="0.25">
      <c r="B117" t="s">
        <v>822</v>
      </c>
      <c r="C117" t="s">
        <v>547</v>
      </c>
      <c r="D117" t="s">
        <v>547</v>
      </c>
      <c r="E117" t="s">
        <v>548</v>
      </c>
      <c r="F117">
        <v>94431816</v>
      </c>
      <c r="G117" t="s">
        <v>378</v>
      </c>
      <c r="H117" t="s">
        <v>378</v>
      </c>
      <c r="I117" t="s">
        <v>378</v>
      </c>
      <c r="J117" t="s">
        <v>669</v>
      </c>
      <c r="K117" t="s">
        <v>670</v>
      </c>
      <c r="L117" t="s">
        <v>378</v>
      </c>
      <c r="M117" t="s">
        <v>378</v>
      </c>
      <c r="N117" t="str">
        <f>VLOOKUP(C117,UB!A:A,1,0)</f>
        <v>PT Pegadaian (Persero), UPS Bitung</v>
      </c>
    </row>
    <row r="118" spans="2:14" x14ac:dyDescent="0.25">
      <c r="B118" t="s">
        <v>823</v>
      </c>
      <c r="C118" t="s">
        <v>522</v>
      </c>
      <c r="D118" t="s">
        <v>522</v>
      </c>
      <c r="E118" t="s">
        <v>523</v>
      </c>
      <c r="F118">
        <v>94413505</v>
      </c>
      <c r="G118" t="s">
        <v>378</v>
      </c>
      <c r="H118" t="s">
        <v>378</v>
      </c>
      <c r="I118" t="s">
        <v>378</v>
      </c>
      <c r="J118" t="s">
        <v>669</v>
      </c>
      <c r="K118" t="s">
        <v>670</v>
      </c>
      <c r="L118" t="s">
        <v>378</v>
      </c>
      <c r="M118" t="s">
        <v>378</v>
      </c>
      <c r="N118" t="str">
        <f>VLOOKUP(C118,UB!A:A,1,0)</f>
        <v>PT. Bank Mega Tbk, Kantor Cabang BITUNG</v>
      </c>
    </row>
    <row r="119" spans="2:14" x14ac:dyDescent="0.25">
      <c r="B119" t="s">
        <v>824</v>
      </c>
      <c r="C119" t="s">
        <v>420</v>
      </c>
      <c r="D119" t="s">
        <v>825</v>
      </c>
      <c r="E119" t="s">
        <v>421</v>
      </c>
      <c r="F119">
        <v>97410141</v>
      </c>
      <c r="G119" t="s">
        <v>378</v>
      </c>
      <c r="H119" t="s">
        <v>826</v>
      </c>
      <c r="I119" t="s">
        <v>378</v>
      </c>
      <c r="J119" t="s">
        <v>669</v>
      </c>
      <c r="K119" t="s">
        <v>670</v>
      </c>
      <c r="L119" t="s">
        <v>378</v>
      </c>
      <c r="M119" t="s">
        <v>378</v>
      </c>
      <c r="N119" t="str">
        <f>VLOOKUP(C119,UB!A:A,1,0)</f>
        <v>DWI MATRA SAKTI, PT</v>
      </c>
    </row>
    <row r="120" spans="2:14" x14ac:dyDescent="0.25">
      <c r="B120" t="s">
        <v>827</v>
      </c>
      <c r="C120" t="s">
        <v>453</v>
      </c>
      <c r="D120" t="s">
        <v>453</v>
      </c>
      <c r="E120" t="s">
        <v>454</v>
      </c>
      <c r="F120">
        <v>97411104</v>
      </c>
      <c r="G120" t="s">
        <v>378</v>
      </c>
      <c r="H120" t="s">
        <v>378</v>
      </c>
      <c r="I120" t="s">
        <v>725</v>
      </c>
      <c r="J120" t="s">
        <v>690</v>
      </c>
      <c r="K120" t="s">
        <v>670</v>
      </c>
      <c r="L120" t="s">
        <v>378</v>
      </c>
      <c r="M120" t="s">
        <v>378</v>
      </c>
      <c r="N120" t="str">
        <f>VLOOKUP(C120,UB!A:A,1,0)</f>
        <v>PT PELINDO 4 &lt;PERSERO&gt; TERMINAL PETIKEMAS BITUNG</v>
      </c>
    </row>
    <row r="121" spans="2:14" x14ac:dyDescent="0.25">
      <c r="B121" t="s">
        <v>828</v>
      </c>
      <c r="C121" t="s">
        <v>829</v>
      </c>
      <c r="D121" t="s">
        <v>829</v>
      </c>
      <c r="E121" t="s">
        <v>431</v>
      </c>
      <c r="F121">
        <v>2595306</v>
      </c>
      <c r="G121">
        <v>9120201871462</v>
      </c>
      <c r="H121" t="s">
        <v>830</v>
      </c>
      <c r="I121" t="s">
        <v>674</v>
      </c>
      <c r="J121" t="s">
        <v>831</v>
      </c>
      <c r="K121" t="s">
        <v>676</v>
      </c>
      <c r="L121" t="s">
        <v>378</v>
      </c>
      <c r="M121" t="s">
        <v>378</v>
      </c>
      <c r="N121" t="str">
        <f>VLOOKUP(C121,UB!A:A,1,0)</f>
        <v>BANK PEMBANGUNAN DAERAH SULAWESI UTARA GORONTALO PT</v>
      </c>
    </row>
    <row r="122" spans="2:14" x14ac:dyDescent="0.25">
      <c r="B122" t="s">
        <v>832</v>
      </c>
      <c r="C122" t="s">
        <v>833</v>
      </c>
      <c r="D122" t="s">
        <v>422</v>
      </c>
      <c r="E122" t="s">
        <v>423</v>
      </c>
      <c r="F122">
        <v>6616155</v>
      </c>
      <c r="G122">
        <v>8120105811555</v>
      </c>
      <c r="H122" t="s">
        <v>834</v>
      </c>
      <c r="I122" t="s">
        <v>835</v>
      </c>
      <c r="J122" t="s">
        <v>831</v>
      </c>
      <c r="K122" t="s">
        <v>676</v>
      </c>
      <c r="L122" t="s">
        <v>378</v>
      </c>
      <c r="M122" t="s">
        <v>378</v>
      </c>
      <c r="N122" t="str">
        <f>VLOOKUP(C122,UB!A:A,1,0)</f>
        <v>SARI USAHA MANDIRI, PT</v>
      </c>
    </row>
    <row r="123" spans="2:14" x14ac:dyDescent="0.25">
      <c r="B123" t="s">
        <v>836</v>
      </c>
      <c r="C123" t="s">
        <v>837</v>
      </c>
      <c r="D123" t="s">
        <v>837</v>
      </c>
      <c r="E123" t="s">
        <v>484</v>
      </c>
      <c r="F123">
        <v>4392735</v>
      </c>
      <c r="G123">
        <v>9120105762161</v>
      </c>
      <c r="H123" t="s">
        <v>838</v>
      </c>
      <c r="I123" t="s">
        <v>394</v>
      </c>
      <c r="J123" t="s">
        <v>839</v>
      </c>
      <c r="K123" t="s">
        <v>676</v>
      </c>
      <c r="L123" t="s">
        <v>378</v>
      </c>
      <c r="M123" t="s">
        <v>378</v>
      </c>
      <c r="N123" t="str">
        <f>VLOOKUP(C123,UB!A:A,1,0)</f>
        <v>YOEZHADASSAH, PT</v>
      </c>
    </row>
    <row r="124" spans="2:14" x14ac:dyDescent="0.25">
      <c r="B124" t="s">
        <v>840</v>
      </c>
      <c r="C124" t="s">
        <v>841</v>
      </c>
      <c r="D124" t="s">
        <v>841</v>
      </c>
      <c r="E124" t="s">
        <v>842</v>
      </c>
      <c r="F124">
        <v>97410604</v>
      </c>
      <c r="G124">
        <v>9120201871462</v>
      </c>
      <c r="H124" t="s">
        <v>843</v>
      </c>
      <c r="I124" t="s">
        <v>674</v>
      </c>
      <c r="J124" t="s">
        <v>831</v>
      </c>
      <c r="K124" t="s">
        <v>676</v>
      </c>
      <c r="L124" t="s">
        <v>378</v>
      </c>
      <c r="M124" t="s">
        <v>378</v>
      </c>
      <c r="N124" t="str">
        <f>VLOOKUP(C124,UB!A:A,1,0)</f>
        <v>BANK SULUTGO BITUNG</v>
      </c>
    </row>
    <row r="125" spans="2:14" x14ac:dyDescent="0.25">
      <c r="B125" t="s">
        <v>844</v>
      </c>
      <c r="C125" t="s">
        <v>845</v>
      </c>
      <c r="D125" t="s">
        <v>846</v>
      </c>
      <c r="E125" t="s">
        <v>847</v>
      </c>
      <c r="F125">
        <v>7479281</v>
      </c>
      <c r="G125">
        <v>2811230032403</v>
      </c>
      <c r="H125" t="s">
        <v>848</v>
      </c>
      <c r="I125" t="s">
        <v>849</v>
      </c>
      <c r="J125" t="s">
        <v>831</v>
      </c>
      <c r="K125" t="s">
        <v>676</v>
      </c>
      <c r="L125" t="s">
        <v>378</v>
      </c>
      <c r="M125" t="s">
        <v>378</v>
      </c>
      <c r="N125" t="str">
        <f>VLOOKUP(C125,UB!A:A,1,0)</f>
        <v>MEMBANGUN SULUT MAJU PERSERODA, PT</v>
      </c>
    </row>
    <row r="126" spans="2:14" x14ac:dyDescent="0.25">
      <c r="B126" t="s">
        <v>850</v>
      </c>
      <c r="C126" t="s">
        <v>851</v>
      </c>
      <c r="D126" t="s">
        <v>852</v>
      </c>
      <c r="E126" t="s">
        <v>853</v>
      </c>
      <c r="F126">
        <v>3198776</v>
      </c>
      <c r="G126">
        <v>9120101411917</v>
      </c>
      <c r="H126" t="s">
        <v>854</v>
      </c>
      <c r="I126" t="s">
        <v>674</v>
      </c>
      <c r="J126" t="s">
        <v>831</v>
      </c>
      <c r="K126" t="s">
        <v>676</v>
      </c>
      <c r="L126" t="s">
        <v>378</v>
      </c>
      <c r="M126" t="s">
        <v>378</v>
      </c>
      <c r="N126" t="str">
        <f>VLOOKUP(C126,UB!A:A,1,0)</f>
        <v>BANK SMBCI, PT TBK</v>
      </c>
    </row>
    <row r="127" spans="2:14" x14ac:dyDescent="0.25">
      <c r="B127" t="s">
        <v>855</v>
      </c>
      <c r="C127" t="s">
        <v>535</v>
      </c>
      <c r="D127" t="s">
        <v>856</v>
      </c>
      <c r="E127" t="s">
        <v>857</v>
      </c>
      <c r="F127">
        <v>97410502</v>
      </c>
      <c r="G127" t="s">
        <v>378</v>
      </c>
      <c r="H127" t="s">
        <v>378</v>
      </c>
      <c r="I127" t="s">
        <v>674</v>
      </c>
      <c r="J127" t="s">
        <v>690</v>
      </c>
      <c r="K127" t="s">
        <v>670</v>
      </c>
      <c r="L127" t="s">
        <v>378</v>
      </c>
      <c r="M127" t="s">
        <v>378</v>
      </c>
      <c r="N127" t="str">
        <f>VLOOKUP(C127,UB!A:A,1,0)</f>
        <v>BANK NEGARA INDONESIA</v>
      </c>
    </row>
    <row r="128" spans="2:14" x14ac:dyDescent="0.25">
      <c r="B128" t="s">
        <v>858</v>
      </c>
      <c r="C128" t="s">
        <v>859</v>
      </c>
      <c r="D128" t="s">
        <v>859</v>
      </c>
      <c r="E128" t="s">
        <v>468</v>
      </c>
      <c r="F128">
        <v>97409491</v>
      </c>
      <c r="G128">
        <v>8120003820135</v>
      </c>
      <c r="H128" t="s">
        <v>860</v>
      </c>
      <c r="I128" t="s">
        <v>378</v>
      </c>
      <c r="J128" t="s">
        <v>831</v>
      </c>
      <c r="K128" t="s">
        <v>676</v>
      </c>
      <c r="L128" t="s">
        <v>378</v>
      </c>
      <c r="M128" t="s">
        <v>378</v>
      </c>
      <c r="N128" t="str">
        <f>VLOOKUP(C128,UB!A:A,1,0)</f>
        <v>PLN ULP BITUNG, PT PERSERO</v>
      </c>
    </row>
    <row r="129" spans="1:14" x14ac:dyDescent="0.25">
      <c r="B129" t="s">
        <v>861</v>
      </c>
      <c r="C129" t="s">
        <v>862</v>
      </c>
      <c r="D129" t="s">
        <v>862</v>
      </c>
      <c r="E129" t="s">
        <v>496</v>
      </c>
      <c r="F129">
        <v>97409506</v>
      </c>
      <c r="G129">
        <v>9120006750189</v>
      </c>
      <c r="H129" t="s">
        <v>863</v>
      </c>
      <c r="I129" t="s">
        <v>378</v>
      </c>
      <c r="J129" t="s">
        <v>831</v>
      </c>
      <c r="K129" t="s">
        <v>676</v>
      </c>
      <c r="L129" t="s">
        <v>378</v>
      </c>
      <c r="M129" t="s">
        <v>378</v>
      </c>
      <c r="N129" t="str">
        <f>VLOOKUP(C129,UB!A:A,1,0)</f>
        <v>DUTA ADRI PERSADA PT</v>
      </c>
    </row>
    <row r="130" spans="1:14" x14ac:dyDescent="0.25">
      <c r="B130" t="s">
        <v>864</v>
      </c>
      <c r="C130" t="s">
        <v>865</v>
      </c>
      <c r="D130" t="s">
        <v>866</v>
      </c>
      <c r="E130" t="s">
        <v>435</v>
      </c>
      <c r="F130">
        <v>94424274</v>
      </c>
      <c r="G130">
        <v>208010021176</v>
      </c>
      <c r="H130" t="s">
        <v>378</v>
      </c>
      <c r="I130" t="s">
        <v>697</v>
      </c>
      <c r="J130" t="s">
        <v>690</v>
      </c>
      <c r="K130" t="s">
        <v>670</v>
      </c>
      <c r="L130" t="s">
        <v>378</v>
      </c>
      <c r="M130" t="s">
        <v>378</v>
      </c>
      <c r="N130" t="str">
        <f>VLOOKUP(C130,UB!A:A,1,0)</f>
        <v>TRIDJAYA GEMILANG SUKSES, CV</v>
      </c>
    </row>
    <row r="131" spans="1:14" x14ac:dyDescent="0.25">
      <c r="B131" t="s">
        <v>867</v>
      </c>
      <c r="C131" t="s">
        <v>588</v>
      </c>
      <c r="D131" t="s">
        <v>868</v>
      </c>
      <c r="E131" t="s">
        <v>589</v>
      </c>
      <c r="F131">
        <v>4443449</v>
      </c>
      <c r="G131">
        <v>8120109832577</v>
      </c>
      <c r="H131" t="s">
        <v>869</v>
      </c>
      <c r="I131" t="s">
        <v>394</v>
      </c>
      <c r="J131" t="s">
        <v>831</v>
      </c>
      <c r="K131" t="s">
        <v>676</v>
      </c>
      <c r="L131" t="s">
        <v>378</v>
      </c>
      <c r="M131" t="s">
        <v>378</v>
      </c>
      <c r="N131" t="str">
        <f>VLOOKUP(C131,UB!A:A,1,0)</f>
        <v>DELTA PASIFIC INDOTUNA, PT</v>
      </c>
    </row>
    <row r="132" spans="1:14" x14ac:dyDescent="0.25">
      <c r="B132" t="s">
        <v>870</v>
      </c>
      <c r="C132" t="s">
        <v>469</v>
      </c>
      <c r="D132" t="s">
        <v>469</v>
      </c>
      <c r="E132" t="s">
        <v>871</v>
      </c>
      <c r="F132">
        <v>44082</v>
      </c>
      <c r="G132">
        <v>220101770489</v>
      </c>
      <c r="H132" t="s">
        <v>872</v>
      </c>
      <c r="I132" t="s">
        <v>378</v>
      </c>
      <c r="J132" t="s">
        <v>831</v>
      </c>
      <c r="K132" t="s">
        <v>676</v>
      </c>
      <c r="L132" t="s">
        <v>378</v>
      </c>
      <c r="M132" t="s">
        <v>378</v>
      </c>
      <c r="N132" t="str">
        <f>VLOOKUP(C132,UB!A:A,1,0)</f>
        <v>Dharma Lautan Nusantara PT</v>
      </c>
    </row>
    <row r="133" spans="1:14" x14ac:dyDescent="0.25">
      <c r="B133" t="s">
        <v>873</v>
      </c>
      <c r="C133" t="s">
        <v>566</v>
      </c>
      <c r="D133" t="s">
        <v>566</v>
      </c>
      <c r="E133" t="s">
        <v>567</v>
      </c>
      <c r="F133">
        <v>61060894</v>
      </c>
      <c r="G133">
        <v>8120000681251</v>
      </c>
      <c r="H133" t="s">
        <v>378</v>
      </c>
      <c r="I133" t="s">
        <v>378</v>
      </c>
      <c r="J133" t="s">
        <v>690</v>
      </c>
      <c r="K133" t="s">
        <v>670</v>
      </c>
      <c r="L133" t="s">
        <v>378</v>
      </c>
      <c r="M133" t="s">
        <v>378</v>
      </c>
      <c r="N133" t="str">
        <f>VLOOKUP(C133,UB!A:A,1,0)</f>
        <v>PATHEMAANG RAYA, PT</v>
      </c>
    </row>
    <row r="134" spans="1:14" x14ac:dyDescent="0.25">
      <c r="B134" t="s">
        <v>874</v>
      </c>
      <c r="C134" t="s">
        <v>593</v>
      </c>
      <c r="D134" t="s">
        <v>875</v>
      </c>
      <c r="E134" t="s">
        <v>594</v>
      </c>
      <c r="F134">
        <v>3468600</v>
      </c>
      <c r="G134">
        <v>1253000301289</v>
      </c>
      <c r="H134" t="s">
        <v>876</v>
      </c>
      <c r="I134" t="s">
        <v>835</v>
      </c>
      <c r="J134" t="s">
        <v>831</v>
      </c>
      <c r="K134" t="s">
        <v>676</v>
      </c>
      <c r="L134" t="s">
        <v>378</v>
      </c>
      <c r="M134" t="s">
        <v>378</v>
      </c>
      <c r="N134" t="str">
        <f>VLOOKUP(C134,UB!A:A,1,0)</f>
        <v>LAUT BIRU SEAFOOD, PT</v>
      </c>
    </row>
    <row r="135" spans="1:14" x14ac:dyDescent="0.25">
      <c r="B135" t="s">
        <v>877</v>
      </c>
      <c r="C135" t="s">
        <v>478</v>
      </c>
      <c r="D135" t="s">
        <v>878</v>
      </c>
      <c r="E135" t="s">
        <v>479</v>
      </c>
      <c r="F135">
        <v>97409242</v>
      </c>
      <c r="G135">
        <v>8120003931926</v>
      </c>
      <c r="H135" t="s">
        <v>879</v>
      </c>
      <c r="I135" t="s">
        <v>378</v>
      </c>
      <c r="J135" t="s">
        <v>831</v>
      </c>
      <c r="K135" t="s">
        <v>676</v>
      </c>
      <c r="L135" t="s">
        <v>378</v>
      </c>
      <c r="M135" t="s">
        <v>378</v>
      </c>
      <c r="N135" t="str">
        <f>VLOOKUP(C135,UB!A:A,1,0)</f>
        <v>SINAR PURE FOODS INTERNATION,pt</v>
      </c>
    </row>
    <row r="136" spans="1:14" x14ac:dyDescent="0.25">
      <c r="B136" t="s">
        <v>880</v>
      </c>
      <c r="C136" t="s">
        <v>881</v>
      </c>
      <c r="D136" t="s">
        <v>882</v>
      </c>
      <c r="E136" t="s">
        <v>450</v>
      </c>
      <c r="F136">
        <v>97409613</v>
      </c>
      <c r="G136">
        <v>8120212072643</v>
      </c>
      <c r="H136" t="s">
        <v>883</v>
      </c>
      <c r="I136" t="s">
        <v>674</v>
      </c>
      <c r="J136" t="s">
        <v>831</v>
      </c>
      <c r="K136" t="s">
        <v>676</v>
      </c>
      <c r="L136" t="s">
        <v>378</v>
      </c>
      <c r="M136" t="s">
        <v>378</v>
      </c>
      <c r="N136" t="str">
        <f>VLOOKUP(C136,UB!A:A,1,0)</f>
        <v>BANK MANDIRI, PT TBK</v>
      </c>
    </row>
    <row r="137" spans="1:14" x14ac:dyDescent="0.25">
      <c r="B137" t="s">
        <v>884</v>
      </c>
      <c r="C137" t="s">
        <v>881</v>
      </c>
      <c r="D137" t="s">
        <v>885</v>
      </c>
      <c r="E137" t="s">
        <v>503</v>
      </c>
      <c r="F137">
        <v>2515399</v>
      </c>
      <c r="G137">
        <v>8120212072643</v>
      </c>
      <c r="H137" t="s">
        <v>886</v>
      </c>
      <c r="I137" t="s">
        <v>674</v>
      </c>
      <c r="J137" t="s">
        <v>831</v>
      </c>
      <c r="K137" t="s">
        <v>676</v>
      </c>
      <c r="L137" t="s">
        <v>378</v>
      </c>
      <c r="M137" t="s">
        <v>378</v>
      </c>
      <c r="N137" t="str">
        <f>VLOOKUP(C137,UB!A:A,1,0)</f>
        <v>BANK MANDIRI, PT TBK</v>
      </c>
    </row>
    <row r="138" spans="1:14" x14ac:dyDescent="0.25">
      <c r="B138" t="s">
        <v>887</v>
      </c>
      <c r="C138" t="s">
        <v>888</v>
      </c>
      <c r="D138" t="s">
        <v>888</v>
      </c>
      <c r="E138" t="s">
        <v>889</v>
      </c>
      <c r="F138">
        <v>97714537</v>
      </c>
      <c r="G138">
        <v>220100791739</v>
      </c>
      <c r="H138" t="s">
        <v>890</v>
      </c>
      <c r="I138" t="s">
        <v>835</v>
      </c>
      <c r="J138" t="s">
        <v>831</v>
      </c>
      <c r="K138" t="s">
        <v>676</v>
      </c>
      <c r="L138" t="s">
        <v>378</v>
      </c>
      <c r="M138" t="s">
        <v>378</v>
      </c>
      <c r="N138" t="str">
        <f>VLOOKUP(C138,UB!A:A,1,0)</f>
        <v>INDOMINA GRASIA, PT</v>
      </c>
    </row>
    <row r="139" spans="1:14" x14ac:dyDescent="0.25">
      <c r="A139" t="s">
        <v>628</v>
      </c>
      <c r="N139" t="e">
        <f>VLOOKUP(C139,UB!A:A,1,0)</f>
        <v>#N/A</v>
      </c>
    </row>
    <row r="140" spans="1:14" x14ac:dyDescent="0.25">
      <c r="A140" t="s">
        <v>629</v>
      </c>
      <c r="N140" t="e">
        <f>VLOOKUP(C140,UB!A:A,1,0)</f>
        <v>#N/A</v>
      </c>
    </row>
    <row r="141" spans="1:14" x14ac:dyDescent="0.25">
      <c r="A141" t="s">
        <v>630</v>
      </c>
      <c r="N141" t="e">
        <f>VLOOKUP(C141,UB!A:A,1,0)</f>
        <v>#N/A</v>
      </c>
    </row>
    <row r="142" spans="1:14" x14ac:dyDescent="0.25">
      <c r="A142" t="s">
        <v>631</v>
      </c>
      <c r="N142" t="e">
        <f>VLOOKUP(C142,UB!A:A,1,0)</f>
        <v>#N/A</v>
      </c>
    </row>
    <row r="143" spans="1:14" x14ac:dyDescent="0.25">
      <c r="A143" t="s">
        <v>632</v>
      </c>
      <c r="N143" t="e">
        <f>VLOOKUP(C143,UB!A:A,1,0)</f>
        <v>#N/A</v>
      </c>
    </row>
    <row r="144" spans="1:14" x14ac:dyDescent="0.25">
      <c r="A144" t="s">
        <v>633</v>
      </c>
      <c r="N144" t="e">
        <f>VLOOKUP(C144,UB!A:A,1,0)</f>
        <v>#N/A</v>
      </c>
    </row>
    <row r="145" spans="1:14" x14ac:dyDescent="0.25">
      <c r="A145" t="s">
        <v>634</v>
      </c>
      <c r="N145" t="e">
        <f>VLOOKUP(C145,UB!A:A,1,0)</f>
        <v>#N/A</v>
      </c>
    </row>
    <row r="146" spans="1:14" x14ac:dyDescent="0.25">
      <c r="A146" t="s">
        <v>635</v>
      </c>
      <c r="N146" t="e">
        <f>VLOOKUP(C146,UB!A:A,1,0)</f>
        <v>#N/A</v>
      </c>
    </row>
    <row r="147" spans="1:14" x14ac:dyDescent="0.25">
      <c r="A147" t="s">
        <v>636</v>
      </c>
      <c r="N147" t="e">
        <f>VLOOKUP(C147,UB!A:A,1,0)</f>
        <v>#N/A</v>
      </c>
    </row>
    <row r="148" spans="1:14" x14ac:dyDescent="0.25">
      <c r="A148" t="s">
        <v>637</v>
      </c>
      <c r="N148" t="e">
        <f>VLOOKUP(C148,UB!A:A,1,0)</f>
        <v>#N/A</v>
      </c>
    </row>
    <row r="149" spans="1:14" x14ac:dyDescent="0.25">
      <c r="A149" t="s">
        <v>638</v>
      </c>
      <c r="N149" t="e">
        <f>VLOOKUP(C149,UB!A:A,1,0)</f>
        <v>#N/A</v>
      </c>
    </row>
    <row r="150" spans="1:14" x14ac:dyDescent="0.25">
      <c r="A150" t="s">
        <v>639</v>
      </c>
      <c r="N150" t="e">
        <f>VLOOKUP(C150,UB!A:A,1,0)</f>
        <v>#N/A</v>
      </c>
    </row>
    <row r="151" spans="1:14" x14ac:dyDescent="0.25">
      <c r="A151" t="s">
        <v>632</v>
      </c>
      <c r="N151" t="e">
        <f>VLOOKUP(C151,UB!A:A,1,0)</f>
        <v>#N/A</v>
      </c>
    </row>
    <row r="152" spans="1:14" x14ac:dyDescent="0.25">
      <c r="A152" s="4">
        <v>46023</v>
      </c>
      <c r="N152" t="e">
        <f>VLOOKUP(C152,UB!A:A,1,0)</f>
        <v>#N/A</v>
      </c>
    </row>
    <row r="153" spans="1:14" x14ac:dyDescent="0.25">
      <c r="A153" t="s">
        <v>640</v>
      </c>
      <c r="N153" t="e">
        <f>VLOOKUP(C153,UB!A:A,1,0)</f>
        <v>#N/A</v>
      </c>
    </row>
    <row r="154" spans="1:14" x14ac:dyDescent="0.25">
      <c r="A154" t="s">
        <v>632</v>
      </c>
      <c r="N154" t="e">
        <f>VLOOKUP(C154,UB!A:A,1,0)</f>
        <v>#N/A</v>
      </c>
    </row>
    <row r="155" spans="1:14" x14ac:dyDescent="0.25">
      <c r="A155" t="s">
        <v>641</v>
      </c>
      <c r="N155" t="e">
        <f>VLOOKUP(C155,UB!A:A,1,0)</f>
        <v>#N/A</v>
      </c>
    </row>
    <row r="156" spans="1:14" x14ac:dyDescent="0.25">
      <c r="A156" t="s">
        <v>636</v>
      </c>
      <c r="N156" t="e">
        <f>VLOOKUP(C156,UB!A:A,1,0)</f>
        <v>#N/A</v>
      </c>
    </row>
    <row r="157" spans="1:14" x14ac:dyDescent="0.25">
      <c r="A157" t="s">
        <v>642</v>
      </c>
      <c r="N157" t="e">
        <f>VLOOKUP(C157,UB!A:A,1,0)</f>
        <v>#N/A</v>
      </c>
    </row>
    <row r="158" spans="1:14" x14ac:dyDescent="0.25">
      <c r="A158" t="s">
        <v>643</v>
      </c>
      <c r="N158" t="e">
        <f>VLOOKUP(C158,UB!A:A,1,0)</f>
        <v>#N/A</v>
      </c>
    </row>
    <row r="159" spans="1:14" x14ac:dyDescent="0.25">
      <c r="A159" t="s">
        <v>644</v>
      </c>
      <c r="N159" t="e">
        <f>VLOOKUP(C159,UB!A:A,1,0)</f>
        <v>#N/A</v>
      </c>
    </row>
    <row r="160" spans="1:14" x14ac:dyDescent="0.25">
      <c r="A160" t="s">
        <v>645</v>
      </c>
      <c r="N160" t="e">
        <f>VLOOKUP(C160,UB!A:A,1,0)</f>
        <v>#N/A</v>
      </c>
    </row>
    <row r="161" spans="1:14" x14ac:dyDescent="0.25">
      <c r="A161" t="s">
        <v>646</v>
      </c>
      <c r="N161" t="e">
        <f>VLOOKUP(C161,UB!A:A,1,0)</f>
        <v>#N/A</v>
      </c>
    </row>
    <row r="162" spans="1:14" x14ac:dyDescent="0.25">
      <c r="A162" t="s">
        <v>647</v>
      </c>
      <c r="N162" t="e">
        <f>VLOOKUP(C162,UB!A:A,1,0)</f>
        <v>#N/A</v>
      </c>
    </row>
    <row r="163" spans="1:14" x14ac:dyDescent="0.25">
      <c r="A163" t="s">
        <v>648</v>
      </c>
      <c r="N163" t="e">
        <f>VLOOKUP(C163,UB!A:A,1,0)</f>
        <v>#N/A</v>
      </c>
    </row>
    <row r="164" spans="1:14" x14ac:dyDescent="0.25">
      <c r="A164" t="s">
        <v>643</v>
      </c>
      <c r="N164" t="e">
        <f>VLOOKUP(C164,UB!A:A,1,0)</f>
        <v>#N/A</v>
      </c>
    </row>
    <row r="165" spans="1:14" x14ac:dyDescent="0.25">
      <c r="A165" t="s">
        <v>649</v>
      </c>
      <c r="N165" t="e">
        <f>VLOOKUP(C165,UB!A:A,1,0)</f>
        <v>#N/A</v>
      </c>
    </row>
    <row r="166" spans="1:14" x14ac:dyDescent="0.25">
      <c r="A166" t="s">
        <v>650</v>
      </c>
      <c r="N166" t="e">
        <f>VLOOKUP(C166,UB!A:A,1,0)</f>
        <v>#N/A</v>
      </c>
    </row>
    <row r="167" spans="1:14" x14ac:dyDescent="0.25">
      <c r="A167">
        <v>137</v>
      </c>
      <c r="N167" t="e">
        <f>VLOOKUP(C167,UB!A:A,1,0)</f>
        <v>#N/A</v>
      </c>
    </row>
    <row r="168" spans="1:14" x14ac:dyDescent="0.25">
      <c r="A168" t="s">
        <v>651</v>
      </c>
      <c r="N168" t="e">
        <f>VLOOKUP(C168,UB!A:A,1,0)</f>
        <v>#N/A</v>
      </c>
    </row>
    <row r="169" spans="1:14" x14ac:dyDescent="0.25">
      <c r="A169" t="s">
        <v>652</v>
      </c>
      <c r="N169" t="e">
        <f>VLOOKUP(C169,UB!A:A,1,0)</f>
        <v>#N/A</v>
      </c>
    </row>
    <row r="170" spans="1:14" x14ac:dyDescent="0.25">
      <c r="A170" t="s">
        <v>653</v>
      </c>
      <c r="N170" t="e">
        <f>VLOOKUP(C170,UB!A:A,1,0)</f>
        <v>#N/A</v>
      </c>
    </row>
    <row r="171" spans="1:14" x14ac:dyDescent="0.25">
      <c r="A171" t="s">
        <v>654</v>
      </c>
      <c r="N171" t="e">
        <f>VLOOKUP(C171,UB!A:A,1,0)</f>
        <v>#N/A</v>
      </c>
    </row>
    <row r="172" spans="1:14" x14ac:dyDescent="0.25">
      <c r="A172" t="s">
        <v>655</v>
      </c>
      <c r="N172" t="e">
        <f>VLOOKUP(C172,UB!A:A,1,0)</f>
        <v>#N/A</v>
      </c>
    </row>
    <row r="173" spans="1:14" x14ac:dyDescent="0.25">
      <c r="B173" t="s">
        <v>656</v>
      </c>
      <c r="C173" t="s">
        <v>657</v>
      </c>
      <c r="D173" t="s">
        <v>658</v>
      </c>
      <c r="E173" t="s">
        <v>659</v>
      </c>
      <c r="F173" t="s">
        <v>660</v>
      </c>
      <c r="G173" t="s">
        <v>661</v>
      </c>
      <c r="H173" t="s">
        <v>393</v>
      </c>
      <c r="I173" t="s">
        <v>662</v>
      </c>
      <c r="J173" t="s">
        <v>663</v>
      </c>
      <c r="K173" t="s">
        <v>664</v>
      </c>
      <c r="L173" t="s">
        <v>665</v>
      </c>
      <c r="M173" t="s">
        <v>666</v>
      </c>
      <c r="N173" t="str">
        <f>VLOOKUP(C173,UB!A:A,1,0)</f>
        <v>NAMA PERUSAHAAN</v>
      </c>
    </row>
    <row r="174" spans="1:14" x14ac:dyDescent="0.25">
      <c r="B174" t="s">
        <v>892</v>
      </c>
      <c r="C174" t="s">
        <v>893</v>
      </c>
      <c r="D174" t="s">
        <v>894</v>
      </c>
      <c r="E174" t="s">
        <v>895</v>
      </c>
      <c r="F174">
        <v>97410164</v>
      </c>
      <c r="G174" t="s">
        <v>378</v>
      </c>
      <c r="H174" t="s">
        <v>896</v>
      </c>
      <c r="I174" t="s">
        <v>897</v>
      </c>
      <c r="J174" t="s">
        <v>831</v>
      </c>
      <c r="K174" t="s">
        <v>676</v>
      </c>
      <c r="L174" t="s">
        <v>378</v>
      </c>
      <c r="M174" t="s">
        <v>378</v>
      </c>
      <c r="N174" t="str">
        <f>VLOOKUP(C174,UB!A:A,1,0)</f>
        <v>UPTD RUMAH SAKIT MANEMBO-NEMBO TIPE C BITUNG</v>
      </c>
    </row>
    <row r="175" spans="1:14" x14ac:dyDescent="0.25">
      <c r="B175" t="s">
        <v>898</v>
      </c>
      <c r="C175" t="s">
        <v>899</v>
      </c>
      <c r="D175" t="s">
        <v>581</v>
      </c>
      <c r="E175" t="s">
        <v>900</v>
      </c>
      <c r="F175">
        <v>14155922</v>
      </c>
      <c r="G175">
        <v>9120106750359</v>
      </c>
      <c r="H175" t="s">
        <v>779</v>
      </c>
      <c r="I175" t="s">
        <v>674</v>
      </c>
      <c r="J175" t="s">
        <v>831</v>
      </c>
      <c r="K175" t="s">
        <v>676</v>
      </c>
      <c r="L175" t="s">
        <v>378</v>
      </c>
      <c r="M175" t="s">
        <v>378</v>
      </c>
      <c r="N175" t="str">
        <f>VLOOKUP(C175,UB!A:A,1,0)</f>
        <v>DANAKU MAPAN LESTARI, PT</v>
      </c>
    </row>
    <row r="176" spans="1:14" x14ac:dyDescent="0.25">
      <c r="B176" t="s">
        <v>901</v>
      </c>
      <c r="C176" t="s">
        <v>902</v>
      </c>
      <c r="D176" t="s">
        <v>902</v>
      </c>
      <c r="E176" t="s">
        <v>433</v>
      </c>
      <c r="F176">
        <v>7479282</v>
      </c>
      <c r="G176">
        <v>2301240073572</v>
      </c>
      <c r="H176" t="s">
        <v>903</v>
      </c>
      <c r="I176" t="s">
        <v>835</v>
      </c>
      <c r="J176" t="s">
        <v>831</v>
      </c>
      <c r="K176" t="s">
        <v>676</v>
      </c>
      <c r="L176" t="s">
        <v>378</v>
      </c>
      <c r="M176" t="s">
        <v>378</v>
      </c>
      <c r="N176" t="str">
        <f>VLOOKUP(C176,UB!A:A,1,0)</f>
        <v>ANUGRAH SEJATI BERSAMA, PT</v>
      </c>
    </row>
    <row r="177" spans="2:14" x14ac:dyDescent="0.25">
      <c r="B177" t="s">
        <v>904</v>
      </c>
      <c r="C177" t="s">
        <v>610</v>
      </c>
      <c r="D177" t="s">
        <v>610</v>
      </c>
      <c r="E177" t="s">
        <v>905</v>
      </c>
      <c r="F177">
        <v>97410037</v>
      </c>
      <c r="G177">
        <v>9120402382166</v>
      </c>
      <c r="H177" t="s">
        <v>906</v>
      </c>
      <c r="I177" t="s">
        <v>835</v>
      </c>
      <c r="J177" t="s">
        <v>831</v>
      </c>
      <c r="K177" t="s">
        <v>676</v>
      </c>
      <c r="L177" t="s">
        <v>378</v>
      </c>
      <c r="M177" t="s">
        <v>378</v>
      </c>
      <c r="N177" t="str">
        <f>VLOOKUP(C177,UB!A:A,1,0)</f>
        <v>INDO LAUTAN MAS, PT</v>
      </c>
    </row>
    <row r="178" spans="2:14" x14ac:dyDescent="0.25">
      <c r="B178" t="s">
        <v>907</v>
      </c>
      <c r="C178" t="s">
        <v>611</v>
      </c>
      <c r="D178" t="s">
        <v>611</v>
      </c>
      <c r="E178" t="s">
        <v>612</v>
      </c>
      <c r="F178">
        <v>97410036</v>
      </c>
      <c r="G178">
        <v>8120100950352</v>
      </c>
      <c r="H178" t="s">
        <v>908</v>
      </c>
      <c r="I178" t="s">
        <v>394</v>
      </c>
      <c r="J178" t="s">
        <v>831</v>
      </c>
      <c r="K178" t="s">
        <v>676</v>
      </c>
      <c r="L178" t="s">
        <v>378</v>
      </c>
      <c r="M178" t="s">
        <v>378</v>
      </c>
      <c r="N178" t="str">
        <f>VLOOKUP(C178,UB!A:A,1,0)</f>
        <v>MARINA NUSANTARA SELARAS, PT</v>
      </c>
    </row>
    <row r="179" spans="2:14" x14ac:dyDescent="0.25">
      <c r="B179" t="s">
        <v>909</v>
      </c>
      <c r="C179" t="s">
        <v>910</v>
      </c>
      <c r="D179" t="s">
        <v>910</v>
      </c>
      <c r="E179" t="s">
        <v>911</v>
      </c>
      <c r="F179">
        <v>97409796</v>
      </c>
      <c r="G179">
        <v>9120202792959</v>
      </c>
      <c r="H179" t="s">
        <v>378</v>
      </c>
      <c r="I179" t="s">
        <v>674</v>
      </c>
      <c r="J179" t="s">
        <v>831</v>
      </c>
      <c r="K179" t="s">
        <v>676</v>
      </c>
      <c r="L179" t="s">
        <v>378</v>
      </c>
      <c r="M179" t="s">
        <v>378</v>
      </c>
      <c r="N179" t="str">
        <f>VLOOKUP(C179,UB!A:A,1,0)</f>
        <v>BANK SINARMAS PT</v>
      </c>
    </row>
    <row r="180" spans="2:14" x14ac:dyDescent="0.25">
      <c r="B180" t="s">
        <v>912</v>
      </c>
      <c r="C180" t="s">
        <v>608</v>
      </c>
      <c r="D180" t="s">
        <v>608</v>
      </c>
      <c r="E180" t="s">
        <v>913</v>
      </c>
      <c r="F180">
        <v>61061724</v>
      </c>
      <c r="G180">
        <v>1208220027879</v>
      </c>
      <c r="H180" t="s">
        <v>914</v>
      </c>
      <c r="I180" t="s">
        <v>394</v>
      </c>
      <c r="J180" t="s">
        <v>831</v>
      </c>
      <c r="K180" t="s">
        <v>676</v>
      </c>
      <c r="L180" t="s">
        <v>378</v>
      </c>
      <c r="M180" t="s">
        <v>378</v>
      </c>
      <c r="N180" t="str">
        <f>VLOOKUP(C180,UB!A:A,1,0)</f>
        <v>IKAN SAMUDERA INDONESIA</v>
      </c>
    </row>
    <row r="181" spans="2:14" x14ac:dyDescent="0.25">
      <c r="B181" t="s">
        <v>915</v>
      </c>
      <c r="C181" t="s">
        <v>626</v>
      </c>
      <c r="D181" t="s">
        <v>626</v>
      </c>
      <c r="E181" t="s">
        <v>916</v>
      </c>
      <c r="F181">
        <v>61061728</v>
      </c>
      <c r="G181">
        <v>2403220017571</v>
      </c>
      <c r="H181" t="s">
        <v>917</v>
      </c>
      <c r="I181" t="s">
        <v>394</v>
      </c>
      <c r="J181" t="s">
        <v>831</v>
      </c>
      <c r="K181" t="s">
        <v>676</v>
      </c>
      <c r="L181" t="s">
        <v>378</v>
      </c>
      <c r="M181" t="s">
        <v>378</v>
      </c>
      <c r="N181" t="str">
        <f>VLOOKUP(C181,UB!A:A,1,0)</f>
        <v>SAMUDRA ULAM NUSANTARA</v>
      </c>
    </row>
    <row r="182" spans="2:14" x14ac:dyDescent="0.25">
      <c r="B182" t="s">
        <v>918</v>
      </c>
      <c r="C182" t="s">
        <v>614</v>
      </c>
      <c r="D182" t="s">
        <v>614</v>
      </c>
      <c r="E182" t="s">
        <v>615</v>
      </c>
      <c r="F182">
        <v>3045650</v>
      </c>
      <c r="G182">
        <v>220303391821</v>
      </c>
      <c r="H182" t="s">
        <v>919</v>
      </c>
      <c r="I182" t="s">
        <v>394</v>
      </c>
      <c r="J182" t="s">
        <v>831</v>
      </c>
      <c r="K182" t="s">
        <v>676</v>
      </c>
      <c r="L182" t="s">
        <v>378</v>
      </c>
      <c r="M182" t="s">
        <v>378</v>
      </c>
      <c r="N182" t="str">
        <f>VLOOKUP(C182,UB!A:A,1,0)</f>
        <v>PALMA MARINAIO NUSANTARA, pt</v>
      </c>
    </row>
    <row r="183" spans="2:14" x14ac:dyDescent="0.25">
      <c r="B183" t="s">
        <v>920</v>
      </c>
      <c r="C183" t="s">
        <v>613</v>
      </c>
      <c r="D183" t="s">
        <v>613</v>
      </c>
      <c r="E183" t="s">
        <v>921</v>
      </c>
      <c r="F183">
        <v>4336140</v>
      </c>
      <c r="G183">
        <v>9120108991539</v>
      </c>
      <c r="H183" t="s">
        <v>609</v>
      </c>
      <c r="I183" t="s">
        <v>394</v>
      </c>
      <c r="J183" t="s">
        <v>831</v>
      </c>
      <c r="K183" t="s">
        <v>676</v>
      </c>
      <c r="L183" t="s">
        <v>378</v>
      </c>
      <c r="M183" t="s">
        <v>378</v>
      </c>
      <c r="N183" t="str">
        <f>VLOOKUP(C183,UB!A:A,1,0)</f>
        <v>ANPING SEAFOOD INDONESIA</v>
      </c>
    </row>
    <row r="184" spans="2:14" x14ac:dyDescent="0.25">
      <c r="B184" t="s">
        <v>922</v>
      </c>
      <c r="C184" t="s">
        <v>616</v>
      </c>
      <c r="D184" t="s">
        <v>616</v>
      </c>
      <c r="E184" t="s">
        <v>923</v>
      </c>
      <c r="F184">
        <v>3260558</v>
      </c>
      <c r="G184">
        <v>8120102832083</v>
      </c>
      <c r="H184" t="s">
        <v>924</v>
      </c>
      <c r="I184" t="s">
        <v>835</v>
      </c>
      <c r="J184" t="s">
        <v>831</v>
      </c>
      <c r="K184" t="s">
        <v>676</v>
      </c>
      <c r="L184" t="s">
        <v>378</v>
      </c>
      <c r="M184" t="s">
        <v>378</v>
      </c>
      <c r="N184" t="str">
        <f>VLOOKUP(C184,UB!A:A,1,0)</f>
        <v>FUTAI SULAWESI UTARA PT</v>
      </c>
    </row>
    <row r="185" spans="2:14" x14ac:dyDescent="0.25">
      <c r="B185" t="s">
        <v>925</v>
      </c>
      <c r="C185" t="s">
        <v>555</v>
      </c>
      <c r="D185" t="s">
        <v>555</v>
      </c>
      <c r="E185" t="s">
        <v>556</v>
      </c>
      <c r="F185">
        <v>97411707</v>
      </c>
      <c r="G185" t="s">
        <v>378</v>
      </c>
      <c r="H185" t="s">
        <v>378</v>
      </c>
      <c r="I185" t="s">
        <v>378</v>
      </c>
      <c r="J185" t="s">
        <v>669</v>
      </c>
      <c r="K185" t="s">
        <v>670</v>
      </c>
      <c r="L185" t="s">
        <v>378</v>
      </c>
      <c r="M185" t="s">
        <v>378</v>
      </c>
      <c r="N185" t="str">
        <f>VLOOKUP(C185,UB!A:A,1,0)</f>
        <v>BANK ARTHA GRAHA INTERNASIONAL TBK PT</v>
      </c>
    </row>
    <row r="186" spans="2:14" x14ac:dyDescent="0.25">
      <c r="B186" t="s">
        <v>926</v>
      </c>
      <c r="C186" t="s">
        <v>562</v>
      </c>
      <c r="D186" t="s">
        <v>562</v>
      </c>
      <c r="E186" t="s">
        <v>563</v>
      </c>
      <c r="F186">
        <v>97411662</v>
      </c>
      <c r="G186" t="s">
        <v>378</v>
      </c>
      <c r="H186" t="s">
        <v>378</v>
      </c>
      <c r="I186" t="s">
        <v>378</v>
      </c>
      <c r="J186" t="s">
        <v>669</v>
      </c>
      <c r="K186" t="s">
        <v>670</v>
      </c>
      <c r="L186" t="s">
        <v>378</v>
      </c>
      <c r="M186" t="s">
        <v>378</v>
      </c>
      <c r="N186" t="str">
        <f>VLOOKUP(C186,UB!A:A,1,0)</f>
        <v>AGRO MAKMUR RAYA, PT</v>
      </c>
    </row>
    <row r="187" spans="2:14" x14ac:dyDescent="0.25">
      <c r="B187" t="s">
        <v>927</v>
      </c>
      <c r="C187" t="s">
        <v>551</v>
      </c>
      <c r="D187" t="s">
        <v>928</v>
      </c>
      <c r="E187" t="s">
        <v>552</v>
      </c>
      <c r="F187">
        <v>94725346</v>
      </c>
      <c r="G187" t="s">
        <v>378</v>
      </c>
      <c r="H187" t="s">
        <v>929</v>
      </c>
      <c r="I187" t="s">
        <v>378</v>
      </c>
      <c r="J187" t="s">
        <v>669</v>
      </c>
      <c r="K187" t="s">
        <v>670</v>
      </c>
      <c r="L187" t="s">
        <v>378</v>
      </c>
      <c r="M187" t="s">
        <v>378</v>
      </c>
      <c r="N187" t="str">
        <f>VLOOKUP(C187,UB!A:A,1,0)</f>
        <v>Sarana Bandar Nasional, Kantor Cabang Bitung</v>
      </c>
    </row>
    <row r="188" spans="2:14" x14ac:dyDescent="0.25">
      <c r="B188" t="s">
        <v>930</v>
      </c>
      <c r="C188" t="s">
        <v>557</v>
      </c>
      <c r="D188" t="s">
        <v>557</v>
      </c>
      <c r="E188" t="s">
        <v>558</v>
      </c>
      <c r="F188">
        <v>97411524</v>
      </c>
      <c r="G188" t="s">
        <v>378</v>
      </c>
      <c r="H188" t="s">
        <v>378</v>
      </c>
      <c r="I188" t="s">
        <v>378</v>
      </c>
      <c r="J188" t="s">
        <v>669</v>
      </c>
      <c r="K188" t="s">
        <v>670</v>
      </c>
      <c r="L188" t="s">
        <v>378</v>
      </c>
      <c r="M188" t="s">
        <v>378</v>
      </c>
      <c r="N188" t="str">
        <f>VLOOKUP(C188,UB!A:A,1,0)</f>
        <v>BANK SULUT GO PT</v>
      </c>
    </row>
    <row r="189" spans="2:14" x14ac:dyDescent="0.25">
      <c r="B189" t="s">
        <v>931</v>
      </c>
      <c r="C189" t="s">
        <v>549</v>
      </c>
      <c r="D189" t="s">
        <v>549</v>
      </c>
      <c r="E189" t="s">
        <v>550</v>
      </c>
      <c r="F189">
        <v>94417727</v>
      </c>
      <c r="G189" t="s">
        <v>378</v>
      </c>
      <c r="H189" t="s">
        <v>378</v>
      </c>
      <c r="I189" t="s">
        <v>378</v>
      </c>
      <c r="J189" t="s">
        <v>669</v>
      </c>
      <c r="K189" t="s">
        <v>670</v>
      </c>
      <c r="L189" t="s">
        <v>378</v>
      </c>
      <c r="M189" t="s">
        <v>378</v>
      </c>
      <c r="N189" t="str">
        <f>VLOOKUP(C189,UB!A:A,1,0)</f>
        <v>PT Panin Bank Tbk, cabang Bitung</v>
      </c>
    </row>
    <row r="190" spans="2:14" x14ac:dyDescent="0.25">
      <c r="B190" t="s">
        <v>932</v>
      </c>
      <c r="C190" t="s">
        <v>559</v>
      </c>
      <c r="D190" t="s">
        <v>559</v>
      </c>
      <c r="E190" t="s">
        <v>560</v>
      </c>
      <c r="F190">
        <v>97411536</v>
      </c>
      <c r="G190" t="s">
        <v>378</v>
      </c>
      <c r="H190" t="s">
        <v>561</v>
      </c>
      <c r="I190" t="s">
        <v>378</v>
      </c>
      <c r="J190" t="s">
        <v>669</v>
      </c>
      <c r="K190" t="s">
        <v>670</v>
      </c>
      <c r="L190" t="s">
        <v>378</v>
      </c>
      <c r="M190" t="s">
        <v>378</v>
      </c>
      <c r="N190" t="str">
        <f>VLOOKUP(C190,UB!A:A,1,0)</f>
        <v>DOK KELAPA DUA PERMAI, PT</v>
      </c>
    </row>
    <row r="191" spans="2:14" x14ac:dyDescent="0.25">
      <c r="B191" t="s">
        <v>933</v>
      </c>
      <c r="C191" t="s">
        <v>564</v>
      </c>
      <c r="D191" t="s">
        <v>564</v>
      </c>
      <c r="E191" t="s">
        <v>565</v>
      </c>
      <c r="F191">
        <v>2990029</v>
      </c>
      <c r="G191" t="s">
        <v>378</v>
      </c>
      <c r="H191" t="s">
        <v>934</v>
      </c>
      <c r="I191" t="s">
        <v>378</v>
      </c>
      <c r="J191" t="s">
        <v>669</v>
      </c>
      <c r="K191" t="s">
        <v>670</v>
      </c>
      <c r="L191" t="s">
        <v>378</v>
      </c>
      <c r="M191" t="s">
        <v>378</v>
      </c>
      <c r="N191" t="str">
        <f>VLOOKUP(C191,UB!A:A,1,0)</f>
        <v>BANK TABUNGAN NEGARA KCP BITUNG</v>
      </c>
    </row>
    <row r="192" spans="2:14" x14ac:dyDescent="0.25">
      <c r="B192" t="s">
        <v>935</v>
      </c>
      <c r="C192" t="s">
        <v>446</v>
      </c>
      <c r="D192" t="s">
        <v>446</v>
      </c>
      <c r="E192" t="s">
        <v>447</v>
      </c>
      <c r="F192">
        <v>97411321</v>
      </c>
      <c r="G192" t="s">
        <v>378</v>
      </c>
      <c r="H192" t="s">
        <v>378</v>
      </c>
      <c r="I192" t="s">
        <v>378</v>
      </c>
      <c r="J192" t="s">
        <v>669</v>
      </c>
      <c r="K192" t="s">
        <v>670</v>
      </c>
      <c r="L192" t="s">
        <v>378</v>
      </c>
      <c r="M192" t="s">
        <v>378</v>
      </c>
      <c r="N192" t="str">
        <f>VLOOKUP(C192,UB!A:A,1,0)</f>
        <v>BINTANG MANDIRI BERSAUDARA, PT</v>
      </c>
    </row>
    <row r="193" spans="2:14" x14ac:dyDescent="0.25">
      <c r="B193" t="s">
        <v>936</v>
      </c>
      <c r="C193" t="s">
        <v>444</v>
      </c>
      <c r="D193" t="s">
        <v>937</v>
      </c>
      <c r="E193" t="s">
        <v>445</v>
      </c>
      <c r="F193">
        <v>97411063</v>
      </c>
      <c r="G193">
        <v>206000902635</v>
      </c>
      <c r="H193" t="s">
        <v>378</v>
      </c>
      <c r="I193">
        <v>206000902635</v>
      </c>
      <c r="J193" t="s">
        <v>669</v>
      </c>
      <c r="K193" t="s">
        <v>670</v>
      </c>
      <c r="L193" t="s">
        <v>378</v>
      </c>
      <c r="M193" t="s">
        <v>378</v>
      </c>
      <c r="N193" t="str">
        <f>VLOOKUP(C193,UB!A:A,1,0)</f>
        <v>CARVINNA TRIJAYA MAKMUR, PT</v>
      </c>
    </row>
    <row r="194" spans="2:14" x14ac:dyDescent="0.25">
      <c r="B194" t="s">
        <v>938</v>
      </c>
      <c r="C194" t="s">
        <v>553</v>
      </c>
      <c r="D194" t="s">
        <v>939</v>
      </c>
      <c r="E194" t="s">
        <v>554</v>
      </c>
      <c r="F194">
        <v>95332747</v>
      </c>
      <c r="G194" t="s">
        <v>378</v>
      </c>
      <c r="H194" t="s">
        <v>378</v>
      </c>
      <c r="I194">
        <v>9999999999999</v>
      </c>
      <c r="J194" t="s">
        <v>669</v>
      </c>
      <c r="K194" t="s">
        <v>670</v>
      </c>
      <c r="L194" t="s">
        <v>378</v>
      </c>
      <c r="M194" t="s">
        <v>378</v>
      </c>
      <c r="N194" t="str">
        <f>VLOOKUP(C194,UB!A:A,1,0)</f>
        <v>PERTAMINA TRANS KONTINENTAL, SUBCABANG MAKASSAR (BITUNG)</v>
      </c>
    </row>
    <row r="195" spans="2:14" x14ac:dyDescent="0.25">
      <c r="B195" t="s">
        <v>940</v>
      </c>
      <c r="C195" t="s">
        <v>510</v>
      </c>
      <c r="D195" t="s">
        <v>941</v>
      </c>
      <c r="E195" t="s">
        <v>511</v>
      </c>
      <c r="F195">
        <v>97714923</v>
      </c>
      <c r="G195" t="s">
        <v>378</v>
      </c>
      <c r="H195" t="s">
        <v>378</v>
      </c>
      <c r="I195" t="s">
        <v>378</v>
      </c>
      <c r="J195" t="s">
        <v>669</v>
      </c>
      <c r="K195" t="s">
        <v>670</v>
      </c>
      <c r="L195" t="s">
        <v>378</v>
      </c>
      <c r="M195" t="s">
        <v>378</v>
      </c>
      <c r="N195" t="str">
        <f>VLOOKUP(C195,UB!A:A,1,0)</f>
        <v>KIOS SEMBAKO &lt;NOVAL&gt;</v>
      </c>
    </row>
    <row r="196" spans="2:14" x14ac:dyDescent="0.25">
      <c r="B196" t="s">
        <v>942</v>
      </c>
      <c r="C196" t="s">
        <v>448</v>
      </c>
      <c r="D196" t="s">
        <v>448</v>
      </c>
      <c r="E196" t="s">
        <v>449</v>
      </c>
      <c r="F196">
        <v>4613438</v>
      </c>
      <c r="G196" t="s">
        <v>378</v>
      </c>
      <c r="H196" t="s">
        <v>943</v>
      </c>
      <c r="I196" t="s">
        <v>378</v>
      </c>
      <c r="J196" t="s">
        <v>669</v>
      </c>
      <c r="K196" t="s">
        <v>670</v>
      </c>
      <c r="L196" t="s">
        <v>378</v>
      </c>
      <c r="M196" t="s">
        <v>378</v>
      </c>
      <c r="N196" t="str">
        <f>VLOOKUP(C196,UB!A:A,1,0)</f>
        <v>BUDI SENTOSA ABADI, PT</v>
      </c>
    </row>
    <row r="197" spans="2:14" x14ac:dyDescent="0.25">
      <c r="B197" t="s">
        <v>944</v>
      </c>
      <c r="C197" t="s">
        <v>409</v>
      </c>
      <c r="D197" t="s">
        <v>945</v>
      </c>
      <c r="E197" t="s">
        <v>410</v>
      </c>
      <c r="F197">
        <v>97714250</v>
      </c>
      <c r="G197" t="s">
        <v>378</v>
      </c>
      <c r="H197" t="s">
        <v>378</v>
      </c>
      <c r="I197" t="s">
        <v>378</v>
      </c>
      <c r="J197" t="s">
        <v>669</v>
      </c>
      <c r="K197" t="s">
        <v>670</v>
      </c>
      <c r="L197" t="s">
        <v>378</v>
      </c>
      <c r="M197" t="s">
        <v>378</v>
      </c>
      <c r="N197" t="str">
        <f>VLOOKUP(C197,UB!A:A,1,0)</f>
        <v>JASA ANGKUTAN</v>
      </c>
    </row>
    <row r="198" spans="2:14" x14ac:dyDescent="0.25">
      <c r="B198" t="s">
        <v>946</v>
      </c>
      <c r="C198" t="s">
        <v>504</v>
      </c>
      <c r="D198" t="s">
        <v>504</v>
      </c>
      <c r="E198" t="s">
        <v>505</v>
      </c>
      <c r="F198">
        <v>16023464</v>
      </c>
      <c r="G198" t="s">
        <v>378</v>
      </c>
      <c r="H198" t="s">
        <v>378</v>
      </c>
      <c r="I198">
        <v>9999999999999</v>
      </c>
      <c r="J198" t="s">
        <v>669</v>
      </c>
      <c r="K198" t="s">
        <v>670</v>
      </c>
      <c r="L198" t="s">
        <v>378</v>
      </c>
      <c r="M198" t="s">
        <v>378</v>
      </c>
      <c r="N198" t="str">
        <f>VLOOKUP(C198,UB!A:A,1,0)</f>
        <v>PT BANK MANDIRI &lt;SEPTIAN BAGUS&gt;</v>
      </c>
    </row>
    <row r="199" spans="2:14" x14ac:dyDescent="0.25">
      <c r="B199" t="s">
        <v>947</v>
      </c>
      <c r="C199" t="s">
        <v>576</v>
      </c>
      <c r="D199" t="s">
        <v>576</v>
      </c>
      <c r="E199" t="s">
        <v>577</v>
      </c>
      <c r="F199">
        <v>16055876</v>
      </c>
      <c r="G199" t="s">
        <v>378</v>
      </c>
      <c r="H199" t="s">
        <v>948</v>
      </c>
      <c r="I199">
        <v>9999999999999</v>
      </c>
      <c r="J199" t="s">
        <v>669</v>
      </c>
      <c r="K199" t="s">
        <v>670</v>
      </c>
      <c r="L199" t="s">
        <v>378</v>
      </c>
      <c r="M199" t="s">
        <v>378</v>
      </c>
      <c r="N199" t="str">
        <f>VLOOKUP(C199,UB!A:A,1,0)</f>
        <v>PT. BANK BTPN &lt;SADRAK AMTOR&gt;</v>
      </c>
    </row>
    <row r="200" spans="2:14" x14ac:dyDescent="0.25">
      <c r="B200" t="s">
        <v>949</v>
      </c>
      <c r="C200" t="s">
        <v>411</v>
      </c>
      <c r="D200" t="s">
        <v>411</v>
      </c>
      <c r="E200" t="s">
        <v>412</v>
      </c>
      <c r="F200">
        <v>2506178</v>
      </c>
      <c r="G200" t="s">
        <v>378</v>
      </c>
      <c r="H200" t="s">
        <v>950</v>
      </c>
      <c r="I200" t="s">
        <v>378</v>
      </c>
      <c r="J200" t="s">
        <v>669</v>
      </c>
      <c r="K200" t="s">
        <v>670</v>
      </c>
      <c r="L200" t="s">
        <v>378</v>
      </c>
      <c r="M200" t="s">
        <v>378</v>
      </c>
      <c r="N200" t="str">
        <f>VLOOKUP(C200,UB!A:A,1,0)</f>
        <v>BANK MANDIRI TASPEN</v>
      </c>
    </row>
    <row r="201" spans="2:14" x14ac:dyDescent="0.25">
      <c r="B201" t="s">
        <v>951</v>
      </c>
      <c r="C201" t="s">
        <v>477</v>
      </c>
      <c r="D201" t="s">
        <v>952</v>
      </c>
      <c r="E201" t="s">
        <v>408</v>
      </c>
      <c r="F201">
        <v>97409779</v>
      </c>
      <c r="G201" t="s">
        <v>378</v>
      </c>
      <c r="H201" t="s">
        <v>378</v>
      </c>
      <c r="I201" t="s">
        <v>378</v>
      </c>
      <c r="J201" t="s">
        <v>669</v>
      </c>
      <c r="K201" t="s">
        <v>670</v>
      </c>
      <c r="L201" t="s">
        <v>378</v>
      </c>
      <c r="M201" t="s">
        <v>378</v>
      </c>
      <c r="N201" t="str">
        <f>VLOOKUP(C201,UB!A:A,1,0)</f>
        <v>MANADO MINA CITRA TARUNA PT</v>
      </c>
    </row>
    <row r="202" spans="2:14" x14ac:dyDescent="0.25">
      <c r="B202" t="s">
        <v>953</v>
      </c>
      <c r="C202" t="s">
        <v>436</v>
      </c>
      <c r="D202" t="s">
        <v>436</v>
      </c>
      <c r="E202" t="s">
        <v>437</v>
      </c>
      <c r="F202">
        <v>97409899</v>
      </c>
      <c r="G202" t="s">
        <v>378</v>
      </c>
      <c r="H202" t="s">
        <v>954</v>
      </c>
      <c r="I202" t="s">
        <v>378</v>
      </c>
      <c r="J202" t="s">
        <v>669</v>
      </c>
      <c r="K202" t="s">
        <v>670</v>
      </c>
      <c r="L202" t="s">
        <v>378</v>
      </c>
      <c r="M202" t="s">
        <v>378</v>
      </c>
      <c r="N202" t="str">
        <f>VLOOKUP(C202,UB!A:A,1,0)</f>
        <v>NUTRINDO FRESHFOOD, PT</v>
      </c>
    </row>
    <row r="203" spans="2:14" x14ac:dyDescent="0.25">
      <c r="B203" t="s">
        <v>955</v>
      </c>
      <c r="C203" t="s">
        <v>573</v>
      </c>
      <c r="D203" t="s">
        <v>956</v>
      </c>
      <c r="E203" t="s">
        <v>574</v>
      </c>
      <c r="F203">
        <v>97715138</v>
      </c>
      <c r="G203">
        <v>8120216033701</v>
      </c>
      <c r="H203" t="s">
        <v>957</v>
      </c>
      <c r="I203">
        <v>8120216033701</v>
      </c>
      <c r="J203" t="s">
        <v>669</v>
      </c>
      <c r="K203" t="s">
        <v>670</v>
      </c>
      <c r="L203" t="s">
        <v>378</v>
      </c>
      <c r="M203" t="s">
        <v>378</v>
      </c>
      <c r="N203" t="str">
        <f>VLOOKUP(C203,UB!A:A,1,0)</f>
        <v>FAST FOOD INDONESIA, PT</v>
      </c>
    </row>
    <row r="204" spans="2:14" x14ac:dyDescent="0.25">
      <c r="B204" t="s">
        <v>958</v>
      </c>
      <c r="C204" t="s">
        <v>472</v>
      </c>
      <c r="D204" t="s">
        <v>472</v>
      </c>
      <c r="E204" t="s">
        <v>473</v>
      </c>
      <c r="F204">
        <v>94440255</v>
      </c>
      <c r="G204" t="s">
        <v>378</v>
      </c>
      <c r="H204" t="s">
        <v>378</v>
      </c>
      <c r="I204" t="s">
        <v>378</v>
      </c>
      <c r="J204" t="s">
        <v>669</v>
      </c>
      <c r="K204" t="s">
        <v>670</v>
      </c>
      <c r="L204" t="s">
        <v>378</v>
      </c>
      <c r="M204" t="s">
        <v>378</v>
      </c>
      <c r="N204" t="str">
        <f>VLOOKUP(C204,UB!A:A,1,0)</f>
        <v>PT. Salim Ivomas Pratama, Tbk., Pabrik Kopra Provinsi Sulawesi Utara</v>
      </c>
    </row>
    <row r="205" spans="2:14" x14ac:dyDescent="0.25">
      <c r="B205" t="s">
        <v>959</v>
      </c>
      <c r="C205" t="s">
        <v>466</v>
      </c>
      <c r="D205" t="s">
        <v>466</v>
      </c>
      <c r="E205" t="s">
        <v>467</v>
      </c>
      <c r="F205">
        <v>37898</v>
      </c>
      <c r="G205" t="s">
        <v>378</v>
      </c>
      <c r="H205" t="s">
        <v>378</v>
      </c>
      <c r="I205" t="s">
        <v>378</v>
      </c>
      <c r="J205" t="s">
        <v>669</v>
      </c>
      <c r="K205" t="s">
        <v>670</v>
      </c>
      <c r="L205" t="s">
        <v>378</v>
      </c>
      <c r="M205" t="s">
        <v>378</v>
      </c>
      <c r="N205" t="str">
        <f>VLOOKUP(C205,UB!A:A,1,0)</f>
        <v>Djakarta Lloyd PT Persero</v>
      </c>
    </row>
    <row r="206" spans="2:14" x14ac:dyDescent="0.25">
      <c r="B206" t="s">
        <v>960</v>
      </c>
      <c r="C206" t="s">
        <v>475</v>
      </c>
      <c r="D206" t="s">
        <v>961</v>
      </c>
      <c r="E206" t="s">
        <v>476</v>
      </c>
      <c r="F206">
        <v>97409592</v>
      </c>
      <c r="G206" t="s">
        <v>378</v>
      </c>
      <c r="H206" t="s">
        <v>378</v>
      </c>
      <c r="I206" t="s">
        <v>378</v>
      </c>
      <c r="J206" t="s">
        <v>669</v>
      </c>
      <c r="K206" t="s">
        <v>670</v>
      </c>
      <c r="L206" t="s">
        <v>378</v>
      </c>
      <c r="M206" t="s">
        <v>378</v>
      </c>
      <c r="N206" t="str">
        <f>VLOOKUP(C206,UB!A:A,1,0)</f>
        <v>INDOFOOD CBP SUKSES MAKMUR, PT</v>
      </c>
    </row>
    <row r="207" spans="2:14" x14ac:dyDescent="0.25">
      <c r="B207" t="s">
        <v>962</v>
      </c>
      <c r="C207" t="s">
        <v>480</v>
      </c>
      <c r="D207" t="s">
        <v>480</v>
      </c>
      <c r="E207" t="s">
        <v>481</v>
      </c>
      <c r="F207">
        <v>97409240</v>
      </c>
      <c r="G207" t="s">
        <v>378</v>
      </c>
      <c r="H207" t="s">
        <v>963</v>
      </c>
      <c r="I207" t="s">
        <v>378</v>
      </c>
      <c r="J207" t="s">
        <v>669</v>
      </c>
      <c r="K207" t="s">
        <v>670</v>
      </c>
      <c r="L207" t="s">
        <v>378</v>
      </c>
      <c r="M207" t="s">
        <v>378</v>
      </c>
      <c r="N207" t="str">
        <f>VLOOKUP(C207,UB!A:A,1,0)</f>
        <v>DEHO CANNING COMPANY, PT</v>
      </c>
    </row>
    <row r="208" spans="2:14" x14ac:dyDescent="0.25">
      <c r="B208" t="s">
        <v>964</v>
      </c>
      <c r="C208" t="s">
        <v>438</v>
      </c>
      <c r="D208" t="s">
        <v>965</v>
      </c>
      <c r="E208" t="s">
        <v>474</v>
      </c>
      <c r="F208">
        <v>94431370</v>
      </c>
      <c r="G208" t="s">
        <v>378</v>
      </c>
      <c r="H208" t="s">
        <v>378</v>
      </c>
      <c r="I208">
        <v>9999999999999</v>
      </c>
      <c r="J208" t="s">
        <v>669</v>
      </c>
      <c r="K208" t="s">
        <v>670</v>
      </c>
      <c r="L208" t="s">
        <v>378</v>
      </c>
      <c r="M208" t="s">
        <v>378</v>
      </c>
      <c r="N208" t="str">
        <f>VLOOKUP(C208,UB!A:A,1,0)</f>
        <v>PEGADAIAN, PT</v>
      </c>
    </row>
    <row r="209" spans="1:14" x14ac:dyDescent="0.25">
      <c r="B209" t="s">
        <v>966</v>
      </c>
      <c r="C209" t="s">
        <v>470</v>
      </c>
      <c r="D209" t="s">
        <v>967</v>
      </c>
      <c r="E209" t="s">
        <v>471</v>
      </c>
      <c r="F209">
        <v>94417036</v>
      </c>
      <c r="G209" t="s">
        <v>378</v>
      </c>
      <c r="H209" t="s">
        <v>378</v>
      </c>
      <c r="I209" t="s">
        <v>378</v>
      </c>
      <c r="J209" t="s">
        <v>669</v>
      </c>
      <c r="K209" t="s">
        <v>670</v>
      </c>
      <c r="L209" t="s">
        <v>378</v>
      </c>
      <c r="M209" t="s">
        <v>378</v>
      </c>
      <c r="N209" t="str">
        <f>VLOOKUP(C209,UB!A:A,1,0)</f>
        <v>Grapari Bitung, TELEKOMUNIKASI INDONESIA SELULER, PT</v>
      </c>
    </row>
    <row r="210" spans="1:14" x14ac:dyDescent="0.25">
      <c r="B210" t="s">
        <v>968</v>
      </c>
      <c r="C210" t="s">
        <v>482</v>
      </c>
      <c r="D210" t="s">
        <v>482</v>
      </c>
      <c r="E210" t="s">
        <v>483</v>
      </c>
      <c r="F210">
        <v>97409239</v>
      </c>
      <c r="G210" t="s">
        <v>378</v>
      </c>
      <c r="H210" t="s">
        <v>378</v>
      </c>
      <c r="I210" t="s">
        <v>378</v>
      </c>
      <c r="J210" t="s">
        <v>669</v>
      </c>
      <c r="K210" t="s">
        <v>670</v>
      </c>
      <c r="L210" t="s">
        <v>378</v>
      </c>
      <c r="M210" t="s">
        <v>378</v>
      </c>
      <c r="N210" t="str">
        <f>VLOOKUP(C210,UB!A:A,1,0)</f>
        <v>RD PACIFIK INTERNATIONAL, PT</v>
      </c>
    </row>
    <row r="211" spans="1:14" x14ac:dyDescent="0.25">
      <c r="E211" t="s">
        <v>969</v>
      </c>
      <c r="N211" t="e">
        <f>VLOOKUP(C211,UB!A:A,1,0)</f>
        <v>#N/A</v>
      </c>
    </row>
    <row r="212" spans="1:14" x14ac:dyDescent="0.25">
      <c r="A212" t="s">
        <v>970</v>
      </c>
      <c r="N212" t="e">
        <f>VLOOKUP(C212,UB!A:A,1,0)</f>
        <v>#N/A</v>
      </c>
    </row>
    <row r="213" spans="1:14" x14ac:dyDescent="0.25">
      <c r="A213" t="s">
        <v>891</v>
      </c>
      <c r="N213" t="e">
        <f>VLOOKUP(C213,UB!A:A,1,0)</f>
        <v>#N/A</v>
      </c>
    </row>
    <row r="214" spans="1:14" x14ac:dyDescent="0.25">
      <c r="A214">
        <v>100</v>
      </c>
      <c r="N214" t="e">
        <f>VLOOKUP(C214,UB!A:A,1,0)</f>
        <v>#N/A</v>
      </c>
    </row>
    <row r="215" spans="1:14" x14ac:dyDescent="0.25">
      <c r="A215" t="s">
        <v>971</v>
      </c>
      <c r="N215" t="e">
        <f>VLOOKUP(C215,UB!A:A,1,0)</f>
        <v>#N/A</v>
      </c>
    </row>
    <row r="216" spans="1:14" x14ac:dyDescent="0.25">
      <c r="N216" t="e">
        <f>VLOOKUP(C216,UB!A:A,1,0)</f>
        <v>#N/A</v>
      </c>
    </row>
    <row r="217" spans="1:14" x14ac:dyDescent="0.25">
      <c r="N217" t="e">
        <f>VLOOKUP(C217,UB!A:A,1,0)</f>
        <v>#N/A</v>
      </c>
    </row>
    <row r="218" spans="1:14" x14ac:dyDescent="0.25">
      <c r="N218" t="e">
        <f>VLOOKUP(C218,UB!A:A,1,0)</f>
        <v>#N/A</v>
      </c>
    </row>
    <row r="219" spans="1:14" x14ac:dyDescent="0.25">
      <c r="N219" t="e">
        <f>VLOOKUP(C219,UB!A:A,1,0)</f>
        <v>#N/A</v>
      </c>
    </row>
    <row r="220" spans="1:14" x14ac:dyDescent="0.25">
      <c r="N220" t="e">
        <f>VLOOKUP(C220,UB!A:A,1,0)</f>
        <v>#N/A</v>
      </c>
    </row>
    <row r="221" spans="1:14" x14ac:dyDescent="0.25">
      <c r="N221" t="e">
        <f>VLOOKUP(C221,UB!A:A,1,0)</f>
        <v>#N/A</v>
      </c>
    </row>
    <row r="222" spans="1:14" x14ac:dyDescent="0.25">
      <c r="N222" t="e">
        <f>VLOOKUP(C222,UB!A:A,1,0)</f>
        <v>#N/A</v>
      </c>
    </row>
    <row r="223" spans="1:14" x14ac:dyDescent="0.25">
      <c r="N223" t="e">
        <f>VLOOKUP(C223,UB!A:A,1,0)</f>
        <v>#N/A</v>
      </c>
    </row>
    <row r="224" spans="1:14" x14ac:dyDescent="0.25">
      <c r="N224" t="e">
        <f>VLOOKUP(C224,UB!A:A,1,0)</f>
        <v>#N/A</v>
      </c>
    </row>
    <row r="225" spans="14:14" x14ac:dyDescent="0.25">
      <c r="N225" t="e">
        <f>VLOOKUP(C225,UB!A:A,1,0)</f>
        <v>#N/A</v>
      </c>
    </row>
    <row r="226" spans="14:14" x14ac:dyDescent="0.25">
      <c r="N226" t="e">
        <f>VLOOKUP(C226,UB!A:A,1,0)</f>
        <v>#N/A</v>
      </c>
    </row>
    <row r="227" spans="14:14" x14ac:dyDescent="0.25">
      <c r="N227" t="e">
        <f>VLOOKUP(C227,UB!A:A,1,0)</f>
        <v>#N/A</v>
      </c>
    </row>
    <row r="228" spans="14:14" x14ac:dyDescent="0.25">
      <c r="N228" t="e">
        <f>VLOOKUP(C228,UB!A:A,1,0)</f>
        <v>#N/A</v>
      </c>
    </row>
    <row r="229" spans="14:14" x14ac:dyDescent="0.25">
      <c r="N229" t="e">
        <f>VLOOKUP(C229,UB!A:A,1,0)</f>
        <v>#N/A</v>
      </c>
    </row>
    <row r="230" spans="14:14" x14ac:dyDescent="0.25">
      <c r="N230" t="e">
        <f>VLOOKUP(C230,UB!A:A,1,0)</f>
        <v>#N/A</v>
      </c>
    </row>
    <row r="231" spans="14:14" x14ac:dyDescent="0.25">
      <c r="N231" t="e">
        <f>VLOOKUP(C231,UB!A:A,1,0)</f>
        <v>#N/A</v>
      </c>
    </row>
    <row r="232" spans="14:14" x14ac:dyDescent="0.25">
      <c r="N232" t="e">
        <f>VLOOKUP(C232,UB!A:A,1,0)</f>
        <v>#N/A</v>
      </c>
    </row>
    <row r="233" spans="14:14" x14ac:dyDescent="0.25">
      <c r="N233" t="e">
        <f>VLOOKUP(C233,UB!A:A,1,0)</f>
        <v>#N/A</v>
      </c>
    </row>
    <row r="234" spans="14:14" x14ac:dyDescent="0.25">
      <c r="N234" t="e">
        <f>VLOOKUP(C234,UB!A:A,1,0)</f>
        <v>#N/A</v>
      </c>
    </row>
    <row r="235" spans="14:14" x14ac:dyDescent="0.25">
      <c r="N235" t="e">
        <f>VLOOKUP(C235,UB!A:A,1,0)</f>
        <v>#N/A</v>
      </c>
    </row>
    <row r="236" spans="14:14" x14ac:dyDescent="0.25">
      <c r="N236" t="e">
        <f>VLOOKUP(C236,UB!A:A,1,0)</f>
        <v>#N/A</v>
      </c>
    </row>
    <row r="237" spans="14:14" x14ac:dyDescent="0.25">
      <c r="N237" t="e">
        <f>VLOOKUP(C237,UB!A:A,1,0)</f>
        <v>#N/A</v>
      </c>
    </row>
    <row r="238" spans="14:14" x14ac:dyDescent="0.25">
      <c r="N238" t="e">
        <f>VLOOKUP(C238,UB!A:A,1,0)</f>
        <v>#N/A</v>
      </c>
    </row>
    <row r="239" spans="14:14" x14ac:dyDescent="0.25">
      <c r="N239" t="e">
        <f>VLOOKUP(C239,UB!A:A,1,0)</f>
        <v>#N/A</v>
      </c>
    </row>
    <row r="240" spans="14:14" x14ac:dyDescent="0.25">
      <c r="N240" t="e">
        <f>VLOOKUP(C240,UB!A:A,1,0)</f>
        <v>#N/A</v>
      </c>
    </row>
    <row r="241" spans="14:14" x14ac:dyDescent="0.25">
      <c r="N241" t="e">
        <f>VLOOKUP(C241,UB!A:A,1,0)</f>
        <v>#N/A</v>
      </c>
    </row>
    <row r="242" spans="14:14" x14ac:dyDescent="0.25">
      <c r="N242" t="e">
        <f>VLOOKUP(C242,UB!A:A,1,0)</f>
        <v>#N/A</v>
      </c>
    </row>
    <row r="243" spans="14:14" x14ac:dyDescent="0.25">
      <c r="N243" t="e">
        <f>VLOOKUP(C243,UB!A:A,1,0)</f>
        <v>#N/A</v>
      </c>
    </row>
    <row r="244" spans="14:14" x14ac:dyDescent="0.25">
      <c r="N244" t="e">
        <f>VLOOKUP(C244,UB!A:A,1,0)</f>
        <v>#N/A</v>
      </c>
    </row>
    <row r="245" spans="14:14" x14ac:dyDescent="0.25">
      <c r="N245" t="e">
        <f>VLOOKUP(C245,UB!A:A,1,0)</f>
        <v>#N/A</v>
      </c>
    </row>
    <row r="246" spans="14:14" x14ac:dyDescent="0.25">
      <c r="N246" t="e">
        <f>VLOOKUP(C246,UB!A:A,1,0)</f>
        <v>#N/A</v>
      </c>
    </row>
    <row r="247" spans="14:14" x14ac:dyDescent="0.25">
      <c r="N247" t="e">
        <f>VLOOKUP(C247,UB!A:A,1,0)</f>
        <v>#N/A</v>
      </c>
    </row>
    <row r="248" spans="14:14" x14ac:dyDescent="0.25">
      <c r="N248" t="e">
        <f>VLOOKUP(C248,UB!A:A,1,0)</f>
        <v>#N/A</v>
      </c>
    </row>
    <row r="249" spans="14:14" x14ac:dyDescent="0.25">
      <c r="N249" t="e">
        <f>VLOOKUP(C249,UB!A:A,1,0)</f>
        <v>#N/A</v>
      </c>
    </row>
    <row r="250" spans="14:14" x14ac:dyDescent="0.25">
      <c r="N250" t="e">
        <f>VLOOKUP(C250,UB!A:A,1,0)</f>
        <v>#N/A</v>
      </c>
    </row>
    <row r="251" spans="14:14" x14ac:dyDescent="0.25">
      <c r="N251" t="e">
        <f>VLOOKUP(C251,UB!A:A,1,0)</f>
        <v>#N/A</v>
      </c>
    </row>
    <row r="252" spans="14:14" x14ac:dyDescent="0.25">
      <c r="N252" t="e">
        <f>VLOOKUP(C252,UB!A:A,1,0)</f>
        <v>#N/A</v>
      </c>
    </row>
    <row r="253" spans="14:14" x14ac:dyDescent="0.25">
      <c r="N253" t="e">
        <f>VLOOKUP(C253,UB!A:A,1,0)</f>
        <v>#N/A</v>
      </c>
    </row>
    <row r="254" spans="14:14" x14ac:dyDescent="0.25">
      <c r="N254" t="e">
        <f>VLOOKUP(C254,UB!A:A,1,0)</f>
        <v>#N/A</v>
      </c>
    </row>
    <row r="255" spans="14:14" x14ac:dyDescent="0.25">
      <c r="N255" t="e">
        <f>VLOOKUP(C255,UB!A:A,1,0)</f>
        <v>#N/A</v>
      </c>
    </row>
    <row r="256" spans="14:14" x14ac:dyDescent="0.25">
      <c r="N256" t="e">
        <f>VLOOKUP(C256,UB!A:A,1,0)</f>
        <v>#N/A</v>
      </c>
    </row>
    <row r="257" spans="14:14" x14ac:dyDescent="0.25">
      <c r="N257" t="e">
        <f>VLOOKUP(C257,UB!A:A,1,0)</f>
        <v>#N/A</v>
      </c>
    </row>
    <row r="258" spans="14:14" x14ac:dyDescent="0.25">
      <c r="N258" t="e">
        <f>VLOOKUP(C258,UB!A:A,1,0)</f>
        <v>#N/A</v>
      </c>
    </row>
    <row r="259" spans="14:14" x14ac:dyDescent="0.25">
      <c r="N259" t="e">
        <f>VLOOKUP(C259,UB!A:A,1,0)</f>
        <v>#N/A</v>
      </c>
    </row>
    <row r="260" spans="14:14" x14ac:dyDescent="0.25">
      <c r="N260" t="e">
        <f>VLOOKUP(C260,UB!A:A,1,0)</f>
        <v>#N/A</v>
      </c>
    </row>
    <row r="261" spans="14:14" x14ac:dyDescent="0.25">
      <c r="N261" t="e">
        <f>VLOOKUP(C261,UB!A:A,1,0)</f>
        <v>#N/A</v>
      </c>
    </row>
    <row r="262" spans="14:14" x14ac:dyDescent="0.25">
      <c r="N262" t="e">
        <f>VLOOKUP(C262,UB!A:A,1,0)</f>
        <v>#N/A</v>
      </c>
    </row>
    <row r="263" spans="14:14" x14ac:dyDescent="0.25">
      <c r="N263" t="e">
        <f>VLOOKUP(C263,UB!A:A,1,0)</f>
        <v>#N/A</v>
      </c>
    </row>
    <row r="264" spans="14:14" x14ac:dyDescent="0.25">
      <c r="N264" t="e">
        <f>VLOOKUP(C264,UB!A:A,1,0)</f>
        <v>#N/A</v>
      </c>
    </row>
    <row r="265" spans="14:14" x14ac:dyDescent="0.25">
      <c r="N265" t="e">
        <f>VLOOKUP(C265,UB!A:A,1,0)</f>
        <v>#N/A</v>
      </c>
    </row>
    <row r="266" spans="14:14" x14ac:dyDescent="0.25">
      <c r="N266" t="e">
        <f>VLOOKUP(C266,UB!A:A,1,0)</f>
        <v>#N/A</v>
      </c>
    </row>
    <row r="267" spans="14:14" x14ac:dyDescent="0.25">
      <c r="N267" t="e">
        <f>VLOOKUP(C267,UB!A:A,1,0)</f>
        <v>#N/A</v>
      </c>
    </row>
    <row r="268" spans="14:14" x14ac:dyDescent="0.25">
      <c r="N268" t="e">
        <f>VLOOKUP(C268,UB!A:A,1,0)</f>
        <v>#N/A</v>
      </c>
    </row>
    <row r="269" spans="14:14" x14ac:dyDescent="0.25">
      <c r="N269" t="e">
        <f>VLOOKUP(C269,UB!A:A,1,0)</f>
        <v>#N/A</v>
      </c>
    </row>
    <row r="270" spans="14:14" x14ac:dyDescent="0.25">
      <c r="N270" t="e">
        <f>VLOOKUP(C270,UB!A:A,1,0)</f>
        <v>#N/A</v>
      </c>
    </row>
    <row r="271" spans="14:14" x14ac:dyDescent="0.25">
      <c r="N271" t="e">
        <f>VLOOKUP(C271,UB!A:A,1,0)</f>
        <v>#N/A</v>
      </c>
    </row>
    <row r="272" spans="14:14" x14ac:dyDescent="0.25">
      <c r="N272" t="e">
        <f>VLOOKUP(C272,UB!A:A,1,0)</f>
        <v>#N/A</v>
      </c>
    </row>
    <row r="273" spans="14:14" x14ac:dyDescent="0.25">
      <c r="N273" t="e">
        <f>VLOOKUP(C273,UB!A:A,1,0)</f>
        <v>#N/A</v>
      </c>
    </row>
    <row r="274" spans="14:14" x14ac:dyDescent="0.25">
      <c r="N274" t="e">
        <f>VLOOKUP(C274,UB!A:A,1,0)</f>
        <v>#N/A</v>
      </c>
    </row>
    <row r="275" spans="14:14" x14ac:dyDescent="0.25">
      <c r="N275" t="e">
        <f>VLOOKUP(C275,UB!A:A,1,0)</f>
        <v>#N/A</v>
      </c>
    </row>
    <row r="276" spans="14:14" x14ac:dyDescent="0.25">
      <c r="N276" t="e">
        <f>VLOOKUP(C276,UB!A:A,1,0)</f>
        <v>#N/A</v>
      </c>
    </row>
    <row r="277" spans="14:14" x14ac:dyDescent="0.25">
      <c r="N277" t="e">
        <f>VLOOKUP(C277,UB!A:A,1,0)</f>
        <v>#N/A</v>
      </c>
    </row>
    <row r="278" spans="14:14" x14ac:dyDescent="0.25">
      <c r="N278" t="e">
        <f>VLOOKUP(C278,UB!A:A,1,0)</f>
        <v>#N/A</v>
      </c>
    </row>
    <row r="279" spans="14:14" x14ac:dyDescent="0.25">
      <c r="N279" t="e">
        <f>VLOOKUP(C279,UB!A:A,1,0)</f>
        <v>#N/A</v>
      </c>
    </row>
    <row r="280" spans="14:14" x14ac:dyDescent="0.25">
      <c r="N280" t="e">
        <f>VLOOKUP(C280,UB!A:A,1,0)</f>
        <v>#N/A</v>
      </c>
    </row>
    <row r="281" spans="14:14" x14ac:dyDescent="0.25">
      <c r="N281" t="e">
        <f>VLOOKUP(C281,UB!A:A,1,0)</f>
        <v>#N/A</v>
      </c>
    </row>
    <row r="282" spans="14:14" x14ac:dyDescent="0.25">
      <c r="N282" t="e">
        <f>VLOOKUP(C282,UB!A:A,1,0)</f>
        <v>#N/A</v>
      </c>
    </row>
    <row r="283" spans="14:14" x14ac:dyDescent="0.25">
      <c r="N283" t="e">
        <f>VLOOKUP(C283,UB!A:A,1,0)</f>
        <v>#N/A</v>
      </c>
    </row>
    <row r="284" spans="14:14" x14ac:dyDescent="0.25">
      <c r="N284" t="e">
        <f>VLOOKUP(C284,UB!A:A,1,0)</f>
        <v>#N/A</v>
      </c>
    </row>
    <row r="285" spans="14:14" x14ac:dyDescent="0.25">
      <c r="N285" t="e">
        <f>VLOOKUP(C285,UB!A:A,1,0)</f>
        <v>#N/A</v>
      </c>
    </row>
    <row r="286" spans="14:14" x14ac:dyDescent="0.25">
      <c r="N286" t="e">
        <f>VLOOKUP(C286,UB!A:A,1,0)</f>
        <v>#N/A</v>
      </c>
    </row>
    <row r="287" spans="14:14" x14ac:dyDescent="0.25">
      <c r="N287" t="e">
        <f>VLOOKUP(C287,UB!A:A,1,0)</f>
        <v>#N/A</v>
      </c>
    </row>
    <row r="288" spans="14:14" x14ac:dyDescent="0.25">
      <c r="N288" t="e">
        <f>VLOOKUP(C288,UB!A:A,1,0)</f>
        <v>#N/A</v>
      </c>
    </row>
    <row r="289" spans="14:14" x14ac:dyDescent="0.25">
      <c r="N289" t="e">
        <f>VLOOKUP(C289,UB!A:A,1,0)</f>
        <v>#N/A</v>
      </c>
    </row>
    <row r="290" spans="14:14" x14ac:dyDescent="0.25">
      <c r="N290" t="e">
        <f>VLOOKUP(C290,UB!A:A,1,0)</f>
        <v>#N/A</v>
      </c>
    </row>
    <row r="291" spans="14:14" x14ac:dyDescent="0.25">
      <c r="N291" t="e">
        <f>VLOOKUP(C291,UB!A:A,1,0)</f>
        <v>#N/A</v>
      </c>
    </row>
    <row r="292" spans="14:14" x14ac:dyDescent="0.25">
      <c r="N292" t="e">
        <f>VLOOKUP(C292,UB!A:A,1,0)</f>
        <v>#N/A</v>
      </c>
    </row>
    <row r="293" spans="14:14" x14ac:dyDescent="0.25">
      <c r="N293" t="e">
        <f>VLOOKUP(C293,UB!A:A,1,0)</f>
        <v>#N/A</v>
      </c>
    </row>
    <row r="294" spans="14:14" x14ac:dyDescent="0.25">
      <c r="N294" t="e">
        <f>VLOOKUP(C294,UB!A:A,1,0)</f>
        <v>#N/A</v>
      </c>
    </row>
    <row r="295" spans="14:14" x14ac:dyDescent="0.25">
      <c r="N295" t="e">
        <f>VLOOKUP(C295,UB!A:A,1,0)</f>
        <v>#N/A</v>
      </c>
    </row>
    <row r="296" spans="14:14" x14ac:dyDescent="0.25">
      <c r="N296" t="e">
        <f>VLOOKUP(C296,UB!A:A,1,0)</f>
        <v>#N/A</v>
      </c>
    </row>
    <row r="297" spans="14:14" x14ac:dyDescent="0.25">
      <c r="N297" t="e">
        <f>VLOOKUP(C297,UB!A:A,1,0)</f>
        <v>#N/A</v>
      </c>
    </row>
    <row r="298" spans="14:14" x14ac:dyDescent="0.25">
      <c r="N298" t="e">
        <f>VLOOKUP(C298,UB!A:A,1,0)</f>
        <v>#N/A</v>
      </c>
    </row>
    <row r="299" spans="14:14" x14ac:dyDescent="0.25">
      <c r="N299" t="e">
        <f>VLOOKUP(C299,UB!A:A,1,0)</f>
        <v>#N/A</v>
      </c>
    </row>
    <row r="300" spans="14:14" x14ac:dyDescent="0.25">
      <c r="N300" t="e">
        <f>VLOOKUP(C300,UB!A:A,1,0)</f>
        <v>#N/A</v>
      </c>
    </row>
    <row r="301" spans="14:14" x14ac:dyDescent="0.25">
      <c r="N301" t="e">
        <f>VLOOKUP(C301,UB!A:A,1,0)</f>
        <v>#N/A</v>
      </c>
    </row>
    <row r="302" spans="14:14" x14ac:dyDescent="0.25">
      <c r="N302" t="e">
        <f>VLOOKUP(C302,UB!A:A,1,0)</f>
        <v>#N/A</v>
      </c>
    </row>
    <row r="303" spans="14:14" x14ac:dyDescent="0.25">
      <c r="N303" t="e">
        <f>VLOOKUP(C303,UB!A:A,1,0)</f>
        <v>#N/A</v>
      </c>
    </row>
    <row r="304" spans="14:14" x14ac:dyDescent="0.25">
      <c r="N304" t="e">
        <f>VLOOKUP(C304,UB!A:A,1,0)</f>
        <v>#N/A</v>
      </c>
    </row>
    <row r="305" spans="14:14" x14ac:dyDescent="0.25">
      <c r="N305" t="e">
        <f>VLOOKUP(C305,UB!A:A,1,0)</f>
        <v>#N/A</v>
      </c>
    </row>
    <row r="306" spans="14:14" x14ac:dyDescent="0.25">
      <c r="N306" t="e">
        <f>VLOOKUP(C306,UB!A:A,1,0)</f>
        <v>#N/A</v>
      </c>
    </row>
    <row r="307" spans="14:14" x14ac:dyDescent="0.25">
      <c r="N307" t="e">
        <f>VLOOKUP(C307,UB!A:A,1,0)</f>
        <v>#N/A</v>
      </c>
    </row>
    <row r="308" spans="14:14" x14ac:dyDescent="0.25">
      <c r="N308" t="e">
        <f>VLOOKUP(C308,UB!A:A,1,0)</f>
        <v>#N/A</v>
      </c>
    </row>
    <row r="309" spans="14:14" x14ac:dyDescent="0.25">
      <c r="N309" t="e">
        <f>VLOOKUP(C309,UB!A:A,1,0)</f>
        <v>#N/A</v>
      </c>
    </row>
    <row r="310" spans="14:14" x14ac:dyDescent="0.25">
      <c r="N310" t="e">
        <f>VLOOKUP(C310,UB!A:A,1,0)</f>
        <v>#N/A</v>
      </c>
    </row>
    <row r="311" spans="14:14" x14ac:dyDescent="0.25">
      <c r="N311" t="e">
        <f>VLOOKUP(C311,UB!A:A,1,0)</f>
        <v>#N/A</v>
      </c>
    </row>
    <row r="312" spans="14:14" x14ac:dyDescent="0.25">
      <c r="N312" t="e">
        <f>VLOOKUP(C312,UB!A:A,1,0)</f>
        <v>#N/A</v>
      </c>
    </row>
    <row r="313" spans="14:14" x14ac:dyDescent="0.25">
      <c r="N313" t="e">
        <f>VLOOKUP(C313,UB!A:A,1,0)</f>
        <v>#N/A</v>
      </c>
    </row>
    <row r="314" spans="14:14" x14ac:dyDescent="0.25">
      <c r="N314" t="e">
        <f>VLOOKUP(C314,UB!A:A,1,0)</f>
        <v>#N/A</v>
      </c>
    </row>
    <row r="315" spans="14:14" x14ac:dyDescent="0.25">
      <c r="N315" t="e">
        <f>VLOOKUP(C315,UB!A:A,1,0)</f>
        <v>#N/A</v>
      </c>
    </row>
    <row r="316" spans="14:14" x14ac:dyDescent="0.25">
      <c r="N316" t="e">
        <f>VLOOKUP(C316,UB!A:A,1,0)</f>
        <v>#N/A</v>
      </c>
    </row>
    <row r="317" spans="14:14" x14ac:dyDescent="0.25">
      <c r="N317" t="e">
        <f>VLOOKUP(C317,UB!A:A,1,0)</f>
        <v>#N/A</v>
      </c>
    </row>
    <row r="318" spans="14:14" x14ac:dyDescent="0.25">
      <c r="N318" t="e">
        <f>VLOOKUP(C318,UB!A:A,1,0)</f>
        <v>#N/A</v>
      </c>
    </row>
    <row r="319" spans="14:14" x14ac:dyDescent="0.25">
      <c r="N319" t="e">
        <f>VLOOKUP(C319,UB!A:A,1,0)</f>
        <v>#N/A</v>
      </c>
    </row>
    <row r="320" spans="14:14" x14ac:dyDescent="0.25">
      <c r="N320" t="e">
        <f>VLOOKUP(C320,UB!A:A,1,0)</f>
        <v>#N/A</v>
      </c>
    </row>
    <row r="321" spans="14:14" x14ac:dyDescent="0.25">
      <c r="N321" t="e">
        <f>VLOOKUP(C321,UB!A:A,1,0)</f>
        <v>#N/A</v>
      </c>
    </row>
    <row r="322" spans="14:14" x14ac:dyDescent="0.25">
      <c r="N322" t="e">
        <f>VLOOKUP(C322,UB!A:A,1,0)</f>
        <v>#N/A</v>
      </c>
    </row>
    <row r="323" spans="14:14" x14ac:dyDescent="0.25">
      <c r="N323" t="e">
        <f>VLOOKUP(C323,UB!A:A,1,0)</f>
        <v>#N/A</v>
      </c>
    </row>
    <row r="324" spans="14:14" x14ac:dyDescent="0.25">
      <c r="N324" t="e">
        <f>VLOOKUP(C324,UB!A:A,1,0)</f>
        <v>#N/A</v>
      </c>
    </row>
    <row r="325" spans="14:14" x14ac:dyDescent="0.25">
      <c r="N325" t="e">
        <f>VLOOKUP(C325,UB!A:A,1,0)</f>
        <v>#N/A</v>
      </c>
    </row>
    <row r="326" spans="14:14" x14ac:dyDescent="0.25">
      <c r="N326" t="e">
        <f>VLOOKUP(C326,UB!A:A,1,0)</f>
        <v>#N/A</v>
      </c>
    </row>
    <row r="327" spans="14:14" x14ac:dyDescent="0.25">
      <c r="N327" t="e">
        <f>VLOOKUP(C327,UB!A:A,1,0)</f>
        <v>#N/A</v>
      </c>
    </row>
    <row r="328" spans="14:14" x14ac:dyDescent="0.25">
      <c r="N328" t="e">
        <f>VLOOKUP(C328,UB!A:A,1,0)</f>
        <v>#N/A</v>
      </c>
    </row>
    <row r="329" spans="14:14" x14ac:dyDescent="0.25">
      <c r="N329" t="e">
        <f>VLOOKUP(C329,UB!A:A,1,0)</f>
        <v>#N/A</v>
      </c>
    </row>
    <row r="330" spans="14:14" x14ac:dyDescent="0.25">
      <c r="N330" t="e">
        <f>VLOOKUP(C330,UB!A:A,1,0)</f>
        <v>#N/A</v>
      </c>
    </row>
    <row r="331" spans="14:14" x14ac:dyDescent="0.25">
      <c r="N331" t="e">
        <f>VLOOKUP(C331,UB!A:A,1,0)</f>
        <v>#N/A</v>
      </c>
    </row>
    <row r="332" spans="14:14" x14ac:dyDescent="0.25">
      <c r="N332" t="e">
        <f>VLOOKUP(C332,UB!A:A,1,0)</f>
        <v>#N/A</v>
      </c>
    </row>
    <row r="333" spans="14:14" x14ac:dyDescent="0.25">
      <c r="N333" t="e">
        <f>VLOOKUP(C333,UB!A:A,1,0)</f>
        <v>#N/A</v>
      </c>
    </row>
    <row r="334" spans="14:14" x14ac:dyDescent="0.25">
      <c r="N334" t="e">
        <f>VLOOKUP(C334,UB!A:A,1,0)</f>
        <v>#N/A</v>
      </c>
    </row>
    <row r="335" spans="14:14" x14ac:dyDescent="0.25">
      <c r="N335" t="e">
        <f>VLOOKUP(C335,UB!A:A,1,0)</f>
        <v>#N/A</v>
      </c>
    </row>
    <row r="336" spans="14:14" x14ac:dyDescent="0.25">
      <c r="N336" t="e">
        <f>VLOOKUP(C336,UB!A:A,1,0)</f>
        <v>#N/A</v>
      </c>
    </row>
    <row r="337" spans="14:14" x14ac:dyDescent="0.25">
      <c r="N337" t="e">
        <f>VLOOKUP(C337,UB!A:A,1,0)</f>
        <v>#N/A</v>
      </c>
    </row>
    <row r="338" spans="14:14" x14ac:dyDescent="0.25">
      <c r="N338" t="e">
        <f>VLOOKUP(C338,UB!A:A,1,0)</f>
        <v>#N/A</v>
      </c>
    </row>
    <row r="339" spans="14:14" x14ac:dyDescent="0.25">
      <c r="N339" t="e">
        <f>VLOOKUP(C339,UB!A:A,1,0)</f>
        <v>#N/A</v>
      </c>
    </row>
    <row r="340" spans="14:14" x14ac:dyDescent="0.25">
      <c r="N340" t="e">
        <f>VLOOKUP(C340,UB!A:A,1,0)</f>
        <v>#N/A</v>
      </c>
    </row>
    <row r="341" spans="14:14" x14ac:dyDescent="0.25">
      <c r="N341" t="e">
        <f>VLOOKUP(C341,UB!A:A,1,0)</f>
        <v>#N/A</v>
      </c>
    </row>
    <row r="342" spans="14:14" x14ac:dyDescent="0.25">
      <c r="N342" t="e">
        <f>VLOOKUP(C342,UB!A:A,1,0)</f>
        <v>#N/A</v>
      </c>
    </row>
    <row r="343" spans="14:14" x14ac:dyDescent="0.25">
      <c r="N343" t="e">
        <f>VLOOKUP(C343,UB!A:A,1,0)</f>
        <v>#N/A</v>
      </c>
    </row>
    <row r="344" spans="14:14" x14ac:dyDescent="0.25">
      <c r="N344" t="e">
        <f>VLOOKUP(C344,UB!A:A,1,0)</f>
        <v>#N/A</v>
      </c>
    </row>
    <row r="345" spans="14:14" x14ac:dyDescent="0.25">
      <c r="N345" t="e">
        <f>VLOOKUP(C345,UB!A:A,1,0)</f>
        <v>#N/A</v>
      </c>
    </row>
    <row r="346" spans="14:14" x14ac:dyDescent="0.25">
      <c r="N346" t="e">
        <f>VLOOKUP(C346,UB!A:A,1,0)</f>
        <v>#N/A</v>
      </c>
    </row>
    <row r="347" spans="14:14" x14ac:dyDescent="0.25">
      <c r="N347" t="e">
        <f>VLOOKUP(C347,UB!A:A,1,0)</f>
        <v>#N/A</v>
      </c>
    </row>
    <row r="348" spans="14:14" x14ac:dyDescent="0.25">
      <c r="N348" t="e">
        <f>VLOOKUP(C348,UB!A:A,1,0)</f>
        <v>#N/A</v>
      </c>
    </row>
    <row r="349" spans="14:14" x14ac:dyDescent="0.25">
      <c r="N349" t="e">
        <f>VLOOKUP(C349,UB!A:A,1,0)</f>
        <v>#N/A</v>
      </c>
    </row>
    <row r="350" spans="14:14" x14ac:dyDescent="0.25">
      <c r="N350" t="e">
        <f>VLOOKUP(C350,UB!A:A,1,0)</f>
        <v>#N/A</v>
      </c>
    </row>
    <row r="351" spans="14:14" x14ac:dyDescent="0.25">
      <c r="N351" t="e">
        <f>VLOOKUP(C351,UB!A:A,1,0)</f>
        <v>#N/A</v>
      </c>
    </row>
    <row r="352" spans="14:14" x14ac:dyDescent="0.25">
      <c r="N352" t="e">
        <f>VLOOKUP(C352,UB!A:A,1,0)</f>
        <v>#N/A</v>
      </c>
    </row>
    <row r="353" spans="14:14" x14ac:dyDescent="0.25">
      <c r="N353" t="e">
        <f>VLOOKUP(C353,UB!A:A,1,0)</f>
        <v>#N/A</v>
      </c>
    </row>
    <row r="354" spans="14:14" x14ac:dyDescent="0.25">
      <c r="N354" t="e">
        <f>VLOOKUP(C354,UB!A:A,1,0)</f>
        <v>#N/A</v>
      </c>
    </row>
    <row r="355" spans="14:14" x14ac:dyDescent="0.25">
      <c r="N355" t="e">
        <f>VLOOKUP(C355,UB!A:A,1,0)</f>
        <v>#N/A</v>
      </c>
    </row>
    <row r="356" spans="14:14" x14ac:dyDescent="0.25">
      <c r="N356" t="e">
        <f>VLOOKUP(C356,UB!A:A,1,0)</f>
        <v>#N/A</v>
      </c>
    </row>
    <row r="357" spans="14:14" x14ac:dyDescent="0.25">
      <c r="N357" t="e">
        <f>VLOOKUP(C357,UB!A:A,1,0)</f>
        <v>#N/A</v>
      </c>
    </row>
    <row r="358" spans="14:14" x14ac:dyDescent="0.25">
      <c r="N358" t="e">
        <f>VLOOKUP(C358,UB!A:A,1,0)</f>
        <v>#N/A</v>
      </c>
    </row>
    <row r="359" spans="14:14" x14ac:dyDescent="0.25">
      <c r="N359" t="e">
        <f>VLOOKUP(C359,UB!A:A,1,0)</f>
        <v>#N/A</v>
      </c>
    </row>
    <row r="360" spans="14:14" x14ac:dyDescent="0.25">
      <c r="N360" t="e">
        <f>VLOOKUP(C360,UB!A:A,1,0)</f>
        <v>#N/A</v>
      </c>
    </row>
    <row r="361" spans="14:14" x14ac:dyDescent="0.25">
      <c r="N361" t="e">
        <f>VLOOKUP(C361,UB!A:A,1,0)</f>
        <v>#N/A</v>
      </c>
    </row>
    <row r="362" spans="14:14" x14ac:dyDescent="0.25">
      <c r="N362" t="e">
        <f>VLOOKUP(C362,UB!A:A,1,0)</f>
        <v>#N/A</v>
      </c>
    </row>
    <row r="363" spans="14:14" x14ac:dyDescent="0.25">
      <c r="N363" t="e">
        <f>VLOOKUP(C363,UB!A:A,1,0)</f>
        <v>#N/A</v>
      </c>
    </row>
    <row r="364" spans="14:14" x14ac:dyDescent="0.25">
      <c r="N364" t="e">
        <f>VLOOKUP(C364,UB!A:A,1,0)</f>
        <v>#N/A</v>
      </c>
    </row>
    <row r="365" spans="14:14" x14ac:dyDescent="0.25">
      <c r="N365" t="e">
        <f>VLOOKUP(C365,UB!A:A,1,0)</f>
        <v>#N/A</v>
      </c>
    </row>
    <row r="366" spans="14:14" x14ac:dyDescent="0.25">
      <c r="N366" t="e">
        <f>VLOOKUP(C366,UB!A:A,1,0)</f>
        <v>#N/A</v>
      </c>
    </row>
    <row r="367" spans="14:14" x14ac:dyDescent="0.25">
      <c r="N367" t="e">
        <f>VLOOKUP(C367,UB!A:A,1,0)</f>
        <v>#N/A</v>
      </c>
    </row>
    <row r="368" spans="14:14" x14ac:dyDescent="0.25">
      <c r="N368" t="e">
        <f>VLOOKUP(C368,UB!A:A,1,0)</f>
        <v>#N/A</v>
      </c>
    </row>
    <row r="369" spans="14:14" x14ac:dyDescent="0.25">
      <c r="N369" t="e">
        <f>VLOOKUP(C369,UB!A:A,1,0)</f>
        <v>#N/A</v>
      </c>
    </row>
    <row r="370" spans="14:14" x14ac:dyDescent="0.25">
      <c r="N370" t="e">
        <f>VLOOKUP(C370,UB!A:A,1,0)</f>
        <v>#N/A</v>
      </c>
    </row>
    <row r="371" spans="14:14" x14ac:dyDescent="0.25">
      <c r="N371" t="e">
        <f>VLOOKUP(C371,UB!A:A,1,0)</f>
        <v>#N/A</v>
      </c>
    </row>
    <row r="372" spans="14:14" x14ac:dyDescent="0.25">
      <c r="N372" t="e">
        <f>VLOOKUP(C372,UB!A:A,1,0)</f>
        <v>#N/A</v>
      </c>
    </row>
    <row r="373" spans="14:14" x14ac:dyDescent="0.25">
      <c r="N373" t="e">
        <f>VLOOKUP(C373,UB!A:A,1,0)</f>
        <v>#N/A</v>
      </c>
    </row>
    <row r="374" spans="14:14" x14ac:dyDescent="0.25">
      <c r="N374" t="e">
        <f>VLOOKUP(C374,UB!A:A,1,0)</f>
        <v>#N/A</v>
      </c>
    </row>
    <row r="375" spans="14:14" x14ac:dyDescent="0.25">
      <c r="N375" t="e">
        <f>VLOOKUP(C375,UB!A:A,1,0)</f>
        <v>#N/A</v>
      </c>
    </row>
    <row r="376" spans="14:14" x14ac:dyDescent="0.25">
      <c r="N376" t="e">
        <f>VLOOKUP(C376,UB!A:A,1,0)</f>
        <v>#N/A</v>
      </c>
    </row>
    <row r="377" spans="14:14" x14ac:dyDescent="0.25">
      <c r="N377" t="e">
        <f>VLOOKUP(C377,UB!A:A,1,0)</f>
        <v>#N/A</v>
      </c>
    </row>
    <row r="378" spans="14:14" x14ac:dyDescent="0.25">
      <c r="N378" t="e">
        <f>VLOOKUP(C378,UB!A:A,1,0)</f>
        <v>#N/A</v>
      </c>
    </row>
    <row r="379" spans="14:14" x14ac:dyDescent="0.25">
      <c r="N379" t="e">
        <f>VLOOKUP(C379,UB!A:A,1,0)</f>
        <v>#N/A</v>
      </c>
    </row>
    <row r="380" spans="14:14" x14ac:dyDescent="0.25">
      <c r="N380" t="e">
        <f>VLOOKUP(C380,UB!A:A,1,0)</f>
        <v>#N/A</v>
      </c>
    </row>
    <row r="381" spans="14:14" x14ac:dyDescent="0.25">
      <c r="N381" t="e">
        <f>VLOOKUP(C381,UB!A:A,1,0)</f>
        <v>#N/A</v>
      </c>
    </row>
    <row r="382" spans="14:14" x14ac:dyDescent="0.25">
      <c r="N382" t="e">
        <f>VLOOKUP(C382,UB!A:A,1,0)</f>
        <v>#N/A</v>
      </c>
    </row>
    <row r="383" spans="14:14" x14ac:dyDescent="0.25">
      <c r="N383" t="e">
        <f>VLOOKUP(C383,UB!A:A,1,0)</f>
        <v>#N/A</v>
      </c>
    </row>
    <row r="384" spans="14:14" x14ac:dyDescent="0.25">
      <c r="N384" t="e">
        <f>VLOOKUP(C384,UB!A:A,1,0)</f>
        <v>#N/A</v>
      </c>
    </row>
    <row r="385" spans="14:14" x14ac:dyDescent="0.25">
      <c r="N385" t="e">
        <f>VLOOKUP(C385,UB!A:A,1,0)</f>
        <v>#N/A</v>
      </c>
    </row>
    <row r="386" spans="14:14" x14ac:dyDescent="0.25">
      <c r="N386" t="e">
        <f>VLOOKUP(C386,UB!A:A,1,0)</f>
        <v>#N/A</v>
      </c>
    </row>
    <row r="387" spans="14:14" x14ac:dyDescent="0.25">
      <c r="N387" t="e">
        <f>VLOOKUP(C387,UB!A:A,1,0)</f>
        <v>#N/A</v>
      </c>
    </row>
    <row r="388" spans="14:14" x14ac:dyDescent="0.25">
      <c r="N388" t="e">
        <f>VLOOKUP(C388,UB!A:A,1,0)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017-DF79-4379-8F57-D3C875B96175}">
  <dimension ref="A1:Q139"/>
  <sheetViews>
    <sheetView topLeftCell="A27" workbookViewId="0">
      <selection activeCell="A43" sqref="A43"/>
    </sheetView>
  </sheetViews>
  <sheetFormatPr defaultRowHeight="15" x14ac:dyDescent="0.25"/>
  <cols>
    <col min="1" max="1" width="39.28515625" bestFit="1" customWidth="1"/>
    <col min="2" max="2" width="34.5703125" bestFit="1" customWidth="1"/>
    <col min="3" max="3" width="29.140625" bestFit="1" customWidth="1"/>
    <col min="4" max="4" width="12.85546875" bestFit="1" customWidth="1"/>
    <col min="5" max="5" width="5.140625" bestFit="1" customWidth="1"/>
    <col min="6" max="6" width="23" bestFit="1" customWidth="1"/>
    <col min="7" max="7" width="6.7109375" bestFit="1" customWidth="1"/>
    <col min="8" max="8" width="6" bestFit="1" customWidth="1"/>
    <col min="9" max="10" width="21.5703125" bestFit="1" customWidth="1"/>
    <col min="11" max="11" width="22.7109375" bestFit="1" customWidth="1"/>
    <col min="12" max="12" width="23.7109375" bestFit="1" customWidth="1"/>
    <col min="15" max="15" width="12" bestFit="1" customWidth="1"/>
  </cols>
  <sheetData>
    <row r="1" spans="1:17" x14ac:dyDescent="0.25">
      <c r="A1" t="s">
        <v>219</v>
      </c>
      <c r="B1" t="s">
        <v>244</v>
      </c>
      <c r="C1" t="s">
        <v>245</v>
      </c>
      <c r="D1" t="s">
        <v>246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2062</v>
      </c>
      <c r="N1" t="s">
        <v>373</v>
      </c>
      <c r="O1" t="s">
        <v>386</v>
      </c>
      <c r="P1" t="s">
        <v>989</v>
      </c>
      <c r="Q1" t="s">
        <v>2063</v>
      </c>
    </row>
    <row r="2" spans="1:17" x14ac:dyDescent="0.25">
      <c r="A2" t="s">
        <v>5</v>
      </c>
      <c r="B2" t="s">
        <v>247</v>
      </c>
      <c r="C2" t="s">
        <v>162</v>
      </c>
      <c r="D2" t="str">
        <f>VLOOKUP(C2,PML!A:B,2,0)</f>
        <v>Meidy</v>
      </c>
      <c r="E2">
        <f>SUMIF(DATA!$A:$A,PPL!$A2,DATA!C:C)</f>
        <v>686</v>
      </c>
      <c r="F2">
        <f>SUMIF(DATA!$A:$A,PPL!$A2,DATA!D:D)</f>
        <v>679</v>
      </c>
      <c r="G2">
        <f>SUMIF(DATA!$A:$A,PPL!$A2,DATA!E:E)</f>
        <v>0</v>
      </c>
      <c r="H2">
        <f>SUMIF(DATA!$A:$A,PPL!$A2,DATA!F:F)</f>
        <v>0</v>
      </c>
      <c r="I2">
        <f>SUMIF(DATA!$A:$A,PPL!$A2,DATA!G:G)</f>
        <v>5</v>
      </c>
      <c r="J2">
        <f>SUMIF(DATA!$A:$A,PPL!$A2,DATA!H:H)</f>
        <v>0</v>
      </c>
      <c r="K2">
        <f>SUMIF(DATA!$A:$A,PPL!$A2,DATA!I:I)</f>
        <v>2</v>
      </c>
      <c r="L2">
        <f>SUMIF(DATA!$A:$A,PPL!$A2,DATA!J:J)</f>
        <v>0</v>
      </c>
      <c r="M2">
        <f t="shared" ref="M2:M33" si="0">N2-Q2</f>
        <v>429</v>
      </c>
      <c r="N2">
        <f>F2+I2+J2+K2+L2</f>
        <v>686</v>
      </c>
      <c r="O2" s="3">
        <f>(N2/E2)*100</f>
        <v>100</v>
      </c>
      <c r="P2">
        <f>CEILING((E2-N2)/1,1)</f>
        <v>0</v>
      </c>
      <c r="Q2">
        <f>SUMIF(DATA!A:A,PPL!A2,DATA!N:N)</f>
        <v>257</v>
      </c>
    </row>
    <row r="3" spans="1:17" x14ac:dyDescent="0.25">
      <c r="A3" t="s">
        <v>6</v>
      </c>
      <c r="B3" t="s">
        <v>248</v>
      </c>
      <c r="C3" t="s">
        <v>163</v>
      </c>
      <c r="D3" t="str">
        <f>VLOOKUP(C3,PML!A:B,2,0)</f>
        <v>Lasimran</v>
      </c>
      <c r="E3">
        <f>SUMIF(DATA!$A:$A,PPL!$A3,DATA!C:C)</f>
        <v>643</v>
      </c>
      <c r="F3">
        <f>SUMIF(DATA!$A:$A,PPL!$A3,DATA!D:D)</f>
        <v>591</v>
      </c>
      <c r="G3">
        <f>SUMIF(DATA!$A:$A,PPL!$A3,DATA!E:E)</f>
        <v>0</v>
      </c>
      <c r="H3">
        <f>SUMIF(DATA!$A:$A,PPL!$A3,DATA!F:F)</f>
        <v>0</v>
      </c>
      <c r="I3">
        <f>SUMIF(DATA!$A:$A,PPL!$A3,DATA!G:G)</f>
        <v>0</v>
      </c>
      <c r="J3">
        <f>SUMIF(DATA!$A:$A,PPL!$A3,DATA!H:H)</f>
        <v>0</v>
      </c>
      <c r="K3">
        <f>SUMIF(DATA!$A:$A,PPL!$A3,DATA!I:I)</f>
        <v>52</v>
      </c>
      <c r="L3">
        <f>SUMIF(DATA!$A:$A,PPL!$A3,DATA!J:J)</f>
        <v>0</v>
      </c>
      <c r="M3">
        <f t="shared" si="0"/>
        <v>405</v>
      </c>
      <c r="N3">
        <f t="shared" ref="N3:N62" si="1">F3+I3+J3+K3+L3</f>
        <v>643</v>
      </c>
      <c r="O3" s="3">
        <f t="shared" ref="O3:O62" si="2">(N3/E3)*100</f>
        <v>100</v>
      </c>
      <c r="P3">
        <f t="shared" ref="P3:P66" si="3">CEILING((E3-N3)/1,1)</f>
        <v>0</v>
      </c>
      <c r="Q3">
        <f>SUMIF(DATA!A:A,PPL!A3,DATA!N:N)</f>
        <v>238</v>
      </c>
    </row>
    <row r="4" spans="1:17" x14ac:dyDescent="0.25">
      <c r="A4" t="s">
        <v>7</v>
      </c>
      <c r="B4" t="s">
        <v>249</v>
      </c>
      <c r="C4" t="s">
        <v>162</v>
      </c>
      <c r="D4" t="str">
        <f>VLOOKUP(C4,PML!A:B,2,0)</f>
        <v>Meidy</v>
      </c>
      <c r="E4">
        <f>SUMIF(DATA!$A:$A,PPL!$A4,DATA!C:C)</f>
        <v>733</v>
      </c>
      <c r="F4">
        <f>SUMIF(DATA!$A:$A,PPL!$A4,DATA!D:D)</f>
        <v>733</v>
      </c>
      <c r="G4">
        <f>SUMIF(DATA!$A:$A,PPL!$A4,DATA!E:E)</f>
        <v>0</v>
      </c>
      <c r="H4">
        <f>SUMIF(DATA!$A:$A,PPL!$A4,DATA!F:F)</f>
        <v>0</v>
      </c>
      <c r="I4">
        <f>SUMIF(DATA!$A:$A,PPL!$A4,DATA!G:G)</f>
        <v>0</v>
      </c>
      <c r="J4">
        <f>SUMIF(DATA!$A:$A,PPL!$A4,DATA!H:H)</f>
        <v>0</v>
      </c>
      <c r="K4">
        <f>SUMIF(DATA!$A:$A,PPL!$A4,DATA!I:I)</f>
        <v>0</v>
      </c>
      <c r="L4">
        <f>SUMIF(DATA!$A:$A,PPL!$A4,DATA!J:J)</f>
        <v>0</v>
      </c>
      <c r="M4">
        <f t="shared" si="0"/>
        <v>427</v>
      </c>
      <c r="N4">
        <f t="shared" si="1"/>
        <v>733</v>
      </c>
      <c r="O4" s="3">
        <f t="shared" si="2"/>
        <v>100</v>
      </c>
      <c r="P4">
        <f t="shared" si="3"/>
        <v>0</v>
      </c>
      <c r="Q4">
        <f>SUMIF(DATA!A:A,PPL!A4,DATA!N:N)</f>
        <v>306</v>
      </c>
    </row>
    <row r="5" spans="1:17" x14ac:dyDescent="0.25">
      <c r="A5" t="s">
        <v>8</v>
      </c>
      <c r="B5" t="s">
        <v>250</v>
      </c>
      <c r="C5" t="s">
        <v>162</v>
      </c>
      <c r="D5" t="str">
        <f>VLOOKUP(C5,PML!A:B,2,0)</f>
        <v>Meidy</v>
      </c>
      <c r="E5">
        <f>SUMIF(DATA!$A:$A,PPL!$A5,DATA!C:C)</f>
        <v>706</v>
      </c>
      <c r="F5">
        <f>SUMIF(DATA!$A:$A,PPL!$A5,DATA!D:D)</f>
        <v>611</v>
      </c>
      <c r="G5">
        <f>SUMIF(DATA!$A:$A,PPL!$A5,DATA!E:E)</f>
        <v>0</v>
      </c>
      <c r="H5">
        <f>SUMIF(DATA!$A:$A,PPL!$A5,DATA!F:F)</f>
        <v>0</v>
      </c>
      <c r="I5">
        <f>SUMIF(DATA!$A:$A,PPL!$A5,DATA!G:G)</f>
        <v>0</v>
      </c>
      <c r="J5">
        <f>SUMIF(DATA!$A:$A,PPL!$A5,DATA!H:H)</f>
        <v>0</v>
      </c>
      <c r="K5">
        <f>SUMIF(DATA!$A:$A,PPL!$A5,DATA!I:I)</f>
        <v>95</v>
      </c>
      <c r="L5">
        <f>SUMIF(DATA!$A:$A,PPL!$A5,DATA!J:J)</f>
        <v>0</v>
      </c>
      <c r="M5">
        <f t="shared" si="0"/>
        <v>303</v>
      </c>
      <c r="N5">
        <f t="shared" si="1"/>
        <v>706</v>
      </c>
      <c r="O5" s="3">
        <f t="shared" si="2"/>
        <v>100</v>
      </c>
      <c r="P5">
        <f t="shared" si="3"/>
        <v>0</v>
      </c>
      <c r="Q5">
        <f>SUMIF(DATA!A:A,PPL!A5,DATA!N:N)</f>
        <v>403</v>
      </c>
    </row>
    <row r="6" spans="1:17" x14ac:dyDescent="0.25">
      <c r="A6" t="s">
        <v>9</v>
      </c>
      <c r="B6" t="s">
        <v>251</v>
      </c>
      <c r="C6" t="s">
        <v>162</v>
      </c>
      <c r="D6" t="str">
        <f>VLOOKUP(C6,PML!A:B,2,0)</f>
        <v>Meidy</v>
      </c>
      <c r="E6">
        <f>SUMIF(DATA!$A:$A,PPL!$A6,DATA!C:C)</f>
        <v>818</v>
      </c>
      <c r="F6">
        <f>SUMIF(DATA!$A:$A,PPL!$A6,DATA!D:D)</f>
        <v>491</v>
      </c>
      <c r="G6">
        <f>SUMIF(DATA!$A:$A,PPL!$A6,DATA!E:E)</f>
        <v>1</v>
      </c>
      <c r="H6">
        <f>SUMIF(DATA!$A:$A,PPL!$A6,DATA!F:F)</f>
        <v>0</v>
      </c>
      <c r="I6">
        <f>SUMIF(DATA!$A:$A,PPL!$A6,DATA!G:G)</f>
        <v>20</v>
      </c>
      <c r="J6">
        <f>SUMIF(DATA!$A:$A,PPL!$A6,DATA!H:H)</f>
        <v>0</v>
      </c>
      <c r="K6">
        <f>SUMIF(DATA!$A:$A,PPL!$A6,DATA!I:I)</f>
        <v>306</v>
      </c>
      <c r="L6">
        <f>SUMIF(DATA!$A:$A,PPL!$A6,DATA!J:J)</f>
        <v>0</v>
      </c>
      <c r="M6">
        <f t="shared" si="0"/>
        <v>516</v>
      </c>
      <c r="N6">
        <f t="shared" si="1"/>
        <v>817</v>
      </c>
      <c r="O6" s="3">
        <f t="shared" si="2"/>
        <v>99.877750611246938</v>
      </c>
      <c r="P6">
        <f t="shared" si="3"/>
        <v>1</v>
      </c>
      <c r="Q6">
        <f>SUMIF(DATA!A:A,PPL!A6,DATA!N:N)</f>
        <v>301</v>
      </c>
    </row>
    <row r="7" spans="1:17" x14ac:dyDescent="0.25">
      <c r="A7" t="s">
        <v>10</v>
      </c>
      <c r="B7" t="s">
        <v>252</v>
      </c>
      <c r="C7" t="s">
        <v>162</v>
      </c>
      <c r="D7" t="str">
        <f>VLOOKUP(C7,PML!A:B,2,0)</f>
        <v>Meidy</v>
      </c>
      <c r="E7">
        <f>SUMIF(DATA!$A:$A,PPL!$A7,DATA!C:C)</f>
        <v>656</v>
      </c>
      <c r="F7">
        <f>SUMIF(DATA!$A:$A,PPL!$A7,DATA!D:D)</f>
        <v>303</v>
      </c>
      <c r="G7">
        <f>SUMIF(DATA!$A:$A,PPL!$A7,DATA!E:E)</f>
        <v>0</v>
      </c>
      <c r="H7">
        <f>SUMIF(DATA!$A:$A,PPL!$A7,DATA!F:F)</f>
        <v>0</v>
      </c>
      <c r="I7">
        <f>SUMIF(DATA!$A:$A,PPL!$A7,DATA!G:G)</f>
        <v>0</v>
      </c>
      <c r="J7">
        <f>SUMIF(DATA!$A:$A,PPL!$A7,DATA!H:H)</f>
        <v>0</v>
      </c>
      <c r="K7">
        <f>SUMIF(DATA!$A:$A,PPL!$A7,DATA!I:I)</f>
        <v>353</v>
      </c>
      <c r="L7">
        <f>SUMIF(DATA!$A:$A,PPL!$A7,DATA!J:J)</f>
        <v>0</v>
      </c>
      <c r="M7">
        <f t="shared" si="0"/>
        <v>399</v>
      </c>
      <c r="N7">
        <f t="shared" si="1"/>
        <v>656</v>
      </c>
      <c r="O7" s="3">
        <f t="shared" si="2"/>
        <v>100</v>
      </c>
      <c r="P7">
        <f t="shared" si="3"/>
        <v>0</v>
      </c>
      <c r="Q7">
        <f>SUMIF(DATA!A:A,PPL!A7,DATA!N:N)</f>
        <v>257</v>
      </c>
    </row>
    <row r="8" spans="1:17" x14ac:dyDescent="0.25">
      <c r="A8" t="s">
        <v>11</v>
      </c>
      <c r="B8" t="s">
        <v>253</v>
      </c>
      <c r="C8" t="s">
        <v>163</v>
      </c>
      <c r="D8" t="str">
        <f>VLOOKUP(C8,PML!A:B,2,0)</f>
        <v>Lasimran</v>
      </c>
      <c r="E8">
        <f>SUMIF(DATA!$A:$A,PPL!$A8,DATA!C:C)</f>
        <v>733</v>
      </c>
      <c r="F8">
        <f>SUMIF(DATA!$A:$A,PPL!$A8,DATA!D:D)</f>
        <v>733</v>
      </c>
      <c r="G8">
        <f>SUMIF(DATA!$A:$A,PPL!$A8,DATA!E:E)</f>
        <v>0</v>
      </c>
      <c r="H8">
        <f>SUMIF(DATA!$A:$A,PPL!$A8,DATA!F:F)</f>
        <v>0</v>
      </c>
      <c r="I8">
        <f>SUMIF(DATA!$A:$A,PPL!$A8,DATA!G:G)</f>
        <v>0</v>
      </c>
      <c r="J8">
        <f>SUMIF(DATA!$A:$A,PPL!$A8,DATA!H:H)</f>
        <v>0</v>
      </c>
      <c r="K8">
        <f>SUMIF(DATA!$A:$A,PPL!$A8,DATA!I:I)</f>
        <v>0</v>
      </c>
      <c r="L8">
        <f>SUMIF(DATA!$A:$A,PPL!$A8,DATA!J:J)</f>
        <v>0</v>
      </c>
      <c r="M8">
        <f t="shared" si="0"/>
        <v>490</v>
      </c>
      <c r="N8">
        <f t="shared" si="1"/>
        <v>733</v>
      </c>
      <c r="O8" s="3">
        <f t="shared" si="2"/>
        <v>100</v>
      </c>
      <c r="P8">
        <f t="shared" si="3"/>
        <v>0</v>
      </c>
      <c r="Q8">
        <f>SUMIF(DATA!A:A,PPL!A8,DATA!N:N)</f>
        <v>243</v>
      </c>
    </row>
    <row r="9" spans="1:17" x14ac:dyDescent="0.25">
      <c r="A9" t="s">
        <v>13</v>
      </c>
      <c r="B9" t="s">
        <v>254</v>
      </c>
      <c r="C9" t="s">
        <v>162</v>
      </c>
      <c r="D9" t="str">
        <f>VLOOKUP(C9,PML!A:B,2,0)</f>
        <v>Meidy</v>
      </c>
      <c r="E9">
        <f>SUMIF(DATA!$A:$A,PPL!$A9,DATA!C:C)</f>
        <v>782</v>
      </c>
      <c r="F9">
        <f>SUMIF(DATA!$A:$A,PPL!$A9,DATA!D:D)</f>
        <v>458</v>
      </c>
      <c r="G9">
        <f>SUMIF(DATA!$A:$A,PPL!$A9,DATA!E:E)</f>
        <v>1</v>
      </c>
      <c r="H9">
        <f>SUMIF(DATA!$A:$A,PPL!$A9,DATA!F:F)</f>
        <v>0</v>
      </c>
      <c r="I9">
        <f>SUMIF(DATA!$A:$A,PPL!$A9,DATA!G:G)</f>
        <v>2</v>
      </c>
      <c r="J9">
        <f>SUMIF(DATA!$A:$A,PPL!$A9,DATA!H:H)</f>
        <v>0</v>
      </c>
      <c r="K9">
        <f>SUMIF(DATA!$A:$A,PPL!$A9,DATA!I:I)</f>
        <v>321</v>
      </c>
      <c r="L9">
        <f>SUMIF(DATA!$A:$A,PPL!$A9,DATA!J:J)</f>
        <v>0</v>
      </c>
      <c r="M9">
        <f t="shared" si="0"/>
        <v>437</v>
      </c>
      <c r="N9">
        <f t="shared" si="1"/>
        <v>781</v>
      </c>
      <c r="O9" s="3">
        <f t="shared" si="2"/>
        <v>99.872122762148337</v>
      </c>
      <c r="P9">
        <f t="shared" si="3"/>
        <v>1</v>
      </c>
      <c r="Q9">
        <f>SUMIF(DATA!A:A,PPL!A9,DATA!N:N)</f>
        <v>344</v>
      </c>
    </row>
    <row r="10" spans="1:17" x14ac:dyDescent="0.25">
      <c r="A10" t="s">
        <v>14</v>
      </c>
      <c r="B10" t="s">
        <v>255</v>
      </c>
      <c r="C10" t="s">
        <v>163</v>
      </c>
      <c r="D10" t="str">
        <f>VLOOKUP(C10,PML!A:B,2,0)</f>
        <v>Lasimran</v>
      </c>
      <c r="E10">
        <f>SUMIF(DATA!$A:$A,PPL!$A10,DATA!C:C)</f>
        <v>734</v>
      </c>
      <c r="F10">
        <f>SUMIF(DATA!$A:$A,PPL!$A10,DATA!D:D)</f>
        <v>464</v>
      </c>
      <c r="G10">
        <f>SUMIF(DATA!$A:$A,PPL!$A10,DATA!E:E)</f>
        <v>0</v>
      </c>
      <c r="H10">
        <f>SUMIF(DATA!$A:$A,PPL!$A10,DATA!F:F)</f>
        <v>0</v>
      </c>
      <c r="I10">
        <f>SUMIF(DATA!$A:$A,PPL!$A10,DATA!G:G)</f>
        <v>0</v>
      </c>
      <c r="J10">
        <f>SUMIF(DATA!$A:$A,PPL!$A10,DATA!H:H)</f>
        <v>0</v>
      </c>
      <c r="K10">
        <f>SUMIF(DATA!$A:$A,PPL!$A10,DATA!I:I)</f>
        <v>270</v>
      </c>
      <c r="L10">
        <f>SUMIF(DATA!$A:$A,PPL!$A10,DATA!J:J)</f>
        <v>0</v>
      </c>
      <c r="M10">
        <f t="shared" si="0"/>
        <v>424</v>
      </c>
      <c r="N10">
        <f t="shared" si="1"/>
        <v>734</v>
      </c>
      <c r="O10" s="3">
        <f t="shared" si="2"/>
        <v>100</v>
      </c>
      <c r="P10">
        <f t="shared" si="3"/>
        <v>0</v>
      </c>
      <c r="Q10">
        <f>SUMIF(DATA!A:A,PPL!A10,DATA!N:N)</f>
        <v>310</v>
      </c>
    </row>
    <row r="11" spans="1:17" x14ac:dyDescent="0.25">
      <c r="A11" t="s">
        <v>15</v>
      </c>
      <c r="B11" t="s">
        <v>256</v>
      </c>
      <c r="C11" t="s">
        <v>163</v>
      </c>
      <c r="D11" t="str">
        <f>VLOOKUP(C11,PML!A:B,2,0)</f>
        <v>Lasimran</v>
      </c>
      <c r="E11">
        <f>SUMIF(DATA!$A:$A,PPL!$A11,DATA!C:C)</f>
        <v>818</v>
      </c>
      <c r="F11">
        <f>SUMIF(DATA!$A:$A,PPL!$A11,DATA!D:D)</f>
        <v>818</v>
      </c>
      <c r="G11">
        <f>SUMIF(DATA!$A:$A,PPL!$A11,DATA!E:E)</f>
        <v>0</v>
      </c>
      <c r="H11">
        <f>SUMIF(DATA!$A:$A,PPL!$A11,DATA!F:F)</f>
        <v>0</v>
      </c>
      <c r="I11">
        <f>SUMIF(DATA!$A:$A,PPL!$A11,DATA!G:G)</f>
        <v>0</v>
      </c>
      <c r="J11">
        <f>SUMIF(DATA!$A:$A,PPL!$A11,DATA!H:H)</f>
        <v>0</v>
      </c>
      <c r="K11">
        <f>SUMIF(DATA!$A:$A,PPL!$A11,DATA!I:I)</f>
        <v>0</v>
      </c>
      <c r="L11">
        <f>SUMIF(DATA!$A:$A,PPL!$A11,DATA!J:J)</f>
        <v>0</v>
      </c>
      <c r="M11">
        <f t="shared" si="0"/>
        <v>434</v>
      </c>
      <c r="N11">
        <f t="shared" si="1"/>
        <v>818</v>
      </c>
      <c r="O11" s="3">
        <f t="shared" si="2"/>
        <v>100</v>
      </c>
      <c r="P11">
        <f t="shared" si="3"/>
        <v>0</v>
      </c>
      <c r="Q11">
        <f>SUMIF(DATA!A:A,PPL!A11,DATA!N:N)</f>
        <v>384</v>
      </c>
    </row>
    <row r="12" spans="1:17" x14ac:dyDescent="0.25">
      <c r="A12" t="s">
        <v>16</v>
      </c>
      <c r="B12" t="s">
        <v>257</v>
      </c>
      <c r="C12" t="s">
        <v>163</v>
      </c>
      <c r="D12" t="str">
        <f>VLOOKUP(C12,PML!A:B,2,0)</f>
        <v>Lasimran</v>
      </c>
      <c r="E12">
        <f>SUMIF(DATA!$A:$A,PPL!$A12,DATA!C:C)</f>
        <v>761</v>
      </c>
      <c r="F12">
        <f>SUMIF(DATA!$A:$A,PPL!$A12,DATA!D:D)</f>
        <v>436</v>
      </c>
      <c r="G12">
        <f>SUMIF(DATA!$A:$A,PPL!$A12,DATA!E:E)</f>
        <v>0</v>
      </c>
      <c r="H12">
        <f>SUMIF(DATA!$A:$A,PPL!$A12,DATA!F:F)</f>
        <v>0</v>
      </c>
      <c r="I12">
        <f>SUMIF(DATA!$A:$A,PPL!$A12,DATA!G:G)</f>
        <v>0</v>
      </c>
      <c r="J12">
        <f>SUMIF(DATA!$A:$A,PPL!$A12,DATA!H:H)</f>
        <v>0</v>
      </c>
      <c r="K12">
        <f>SUMIF(DATA!$A:$A,PPL!$A12,DATA!I:I)</f>
        <v>325</v>
      </c>
      <c r="L12">
        <f>SUMIF(DATA!$A:$A,PPL!$A12,DATA!J:J)</f>
        <v>0</v>
      </c>
      <c r="M12">
        <f t="shared" si="0"/>
        <v>394</v>
      </c>
      <c r="N12">
        <f t="shared" si="1"/>
        <v>761</v>
      </c>
      <c r="O12" s="3">
        <f t="shared" si="2"/>
        <v>100</v>
      </c>
      <c r="P12">
        <f t="shared" si="3"/>
        <v>0</v>
      </c>
      <c r="Q12">
        <f>SUMIF(DATA!A:A,PPL!A12,DATA!N:N)</f>
        <v>367</v>
      </c>
    </row>
    <row r="13" spans="1:17" x14ac:dyDescent="0.25">
      <c r="A13" t="s">
        <v>17</v>
      </c>
      <c r="B13" t="s">
        <v>258</v>
      </c>
      <c r="C13" t="s">
        <v>164</v>
      </c>
      <c r="D13" t="str">
        <f>VLOOKUP(C13,PML!A:B,2,0)</f>
        <v>Oliv</v>
      </c>
      <c r="E13">
        <f>SUMIF(DATA!$A:$A,PPL!$A13,DATA!C:C)</f>
        <v>850</v>
      </c>
      <c r="F13">
        <f>SUMIF(DATA!$A:$A,PPL!$A13,DATA!D:D)</f>
        <v>822</v>
      </c>
      <c r="G13">
        <f>SUMIF(DATA!$A:$A,PPL!$A13,DATA!E:E)</f>
        <v>0</v>
      </c>
      <c r="H13">
        <f>SUMIF(DATA!$A:$A,PPL!$A13,DATA!F:F)</f>
        <v>0</v>
      </c>
      <c r="I13">
        <f>SUMIF(DATA!$A:$A,PPL!$A13,DATA!G:G)</f>
        <v>2</v>
      </c>
      <c r="J13">
        <f>SUMIF(DATA!$A:$A,PPL!$A13,DATA!H:H)</f>
        <v>0</v>
      </c>
      <c r="K13">
        <f>SUMIF(DATA!$A:$A,PPL!$A13,DATA!I:I)</f>
        <v>26</v>
      </c>
      <c r="L13">
        <f>SUMIF(DATA!$A:$A,PPL!$A13,DATA!J:J)</f>
        <v>0</v>
      </c>
      <c r="M13">
        <f t="shared" si="0"/>
        <v>503</v>
      </c>
      <c r="N13">
        <f t="shared" si="1"/>
        <v>850</v>
      </c>
      <c r="O13" s="3">
        <f t="shared" si="2"/>
        <v>100</v>
      </c>
      <c r="P13">
        <f t="shared" si="3"/>
        <v>0</v>
      </c>
      <c r="Q13">
        <f>SUMIF(DATA!A:A,PPL!A13,DATA!N:N)</f>
        <v>347</v>
      </c>
    </row>
    <row r="14" spans="1:17" x14ac:dyDescent="0.25">
      <c r="A14" t="s">
        <v>18</v>
      </c>
      <c r="B14" t="s">
        <v>259</v>
      </c>
      <c r="C14" t="s">
        <v>164</v>
      </c>
      <c r="D14" t="str">
        <f>VLOOKUP(C14,PML!A:B,2,0)</f>
        <v>Oliv</v>
      </c>
      <c r="E14">
        <f>SUMIF(DATA!$A:$A,PPL!$A14,DATA!C:C)</f>
        <v>890</v>
      </c>
      <c r="F14">
        <f>SUMIF(DATA!$A:$A,PPL!$A14,DATA!D:D)</f>
        <v>838</v>
      </c>
      <c r="G14">
        <f>SUMIF(DATA!$A:$A,PPL!$A14,DATA!E:E)</f>
        <v>0</v>
      </c>
      <c r="H14">
        <f>SUMIF(DATA!$A:$A,PPL!$A14,DATA!F:F)</f>
        <v>0</v>
      </c>
      <c r="I14">
        <f>SUMIF(DATA!$A:$A,PPL!$A14,DATA!G:G)</f>
        <v>0</v>
      </c>
      <c r="J14">
        <f>SUMIF(DATA!$A:$A,PPL!$A14,DATA!H:H)</f>
        <v>0</v>
      </c>
      <c r="K14">
        <f>SUMIF(DATA!$A:$A,PPL!$A14,DATA!I:I)</f>
        <v>52</v>
      </c>
      <c r="L14">
        <f>SUMIF(DATA!$A:$A,PPL!$A14,DATA!J:J)</f>
        <v>0</v>
      </c>
      <c r="M14">
        <f t="shared" si="0"/>
        <v>464</v>
      </c>
      <c r="N14">
        <f t="shared" si="1"/>
        <v>890</v>
      </c>
      <c r="O14" s="3">
        <f t="shared" si="2"/>
        <v>100</v>
      </c>
      <c r="P14">
        <f t="shared" si="3"/>
        <v>0</v>
      </c>
      <c r="Q14">
        <f>SUMIF(DATA!A:A,PPL!A14,DATA!N:N)</f>
        <v>426</v>
      </c>
    </row>
    <row r="15" spans="1:17" x14ac:dyDescent="0.25">
      <c r="A15" t="s">
        <v>19</v>
      </c>
      <c r="B15" t="s">
        <v>260</v>
      </c>
      <c r="C15" t="s">
        <v>164</v>
      </c>
      <c r="D15" t="str">
        <f>VLOOKUP(C15,PML!A:B,2,0)</f>
        <v>Oliv</v>
      </c>
      <c r="E15">
        <f>SUMIF(DATA!$A:$A,PPL!$A15,DATA!C:C)</f>
        <v>990</v>
      </c>
      <c r="F15">
        <f>SUMIF(DATA!$A:$A,PPL!$A15,DATA!D:D)</f>
        <v>893</v>
      </c>
      <c r="G15">
        <f>SUMIF(DATA!$A:$A,PPL!$A15,DATA!E:E)</f>
        <v>0</v>
      </c>
      <c r="H15">
        <f>SUMIF(DATA!$A:$A,PPL!$A15,DATA!F:F)</f>
        <v>0</v>
      </c>
      <c r="I15">
        <f>SUMIF(DATA!$A:$A,PPL!$A15,DATA!G:G)</f>
        <v>0</v>
      </c>
      <c r="J15">
        <f>SUMIF(DATA!$A:$A,PPL!$A15,DATA!H:H)</f>
        <v>0</v>
      </c>
      <c r="K15">
        <f>SUMIF(DATA!$A:$A,PPL!$A15,DATA!I:I)</f>
        <v>96</v>
      </c>
      <c r="L15">
        <f>SUMIF(DATA!$A:$A,PPL!$A15,DATA!J:J)</f>
        <v>1</v>
      </c>
      <c r="M15">
        <f t="shared" si="0"/>
        <v>611</v>
      </c>
      <c r="N15">
        <f t="shared" si="1"/>
        <v>990</v>
      </c>
      <c r="O15" s="3">
        <f t="shared" si="2"/>
        <v>100</v>
      </c>
      <c r="P15">
        <f t="shared" si="3"/>
        <v>0</v>
      </c>
      <c r="Q15">
        <f>SUMIF(DATA!A:A,PPL!A15,DATA!N:N)</f>
        <v>379</v>
      </c>
    </row>
    <row r="16" spans="1:17" x14ac:dyDescent="0.25">
      <c r="A16" t="s">
        <v>20</v>
      </c>
      <c r="B16" t="s">
        <v>261</v>
      </c>
      <c r="C16" t="s">
        <v>162</v>
      </c>
      <c r="D16" t="str">
        <f>VLOOKUP(C16,PML!A:B,2,0)</f>
        <v>Meidy</v>
      </c>
      <c r="E16">
        <f>SUMIF(DATA!$A:$A,PPL!$A16,DATA!C:C)</f>
        <v>893</v>
      </c>
      <c r="F16">
        <f>SUMIF(DATA!$A:$A,PPL!$A16,DATA!D:D)</f>
        <v>669</v>
      </c>
      <c r="G16">
        <f>SUMIF(DATA!$A:$A,PPL!$A16,DATA!E:E)</f>
        <v>0</v>
      </c>
      <c r="H16">
        <f>SUMIF(DATA!$A:$A,PPL!$A16,DATA!F:F)</f>
        <v>0</v>
      </c>
      <c r="I16">
        <f>SUMIF(DATA!$A:$A,PPL!$A16,DATA!G:G)</f>
        <v>5</v>
      </c>
      <c r="J16">
        <f>SUMIF(DATA!$A:$A,PPL!$A16,DATA!H:H)</f>
        <v>0</v>
      </c>
      <c r="K16">
        <f>SUMIF(DATA!$A:$A,PPL!$A16,DATA!I:I)</f>
        <v>219</v>
      </c>
      <c r="L16">
        <f>SUMIF(DATA!$A:$A,PPL!$A16,DATA!J:J)</f>
        <v>0</v>
      </c>
      <c r="M16">
        <f t="shared" si="0"/>
        <v>439</v>
      </c>
      <c r="N16">
        <f t="shared" si="1"/>
        <v>893</v>
      </c>
      <c r="O16" s="3">
        <f t="shared" si="2"/>
        <v>100</v>
      </c>
      <c r="P16">
        <f t="shared" si="3"/>
        <v>0</v>
      </c>
      <c r="Q16">
        <f>SUMIF(DATA!A:A,PPL!A16,DATA!N:N)</f>
        <v>454</v>
      </c>
    </row>
    <row r="17" spans="1:17" x14ac:dyDescent="0.25">
      <c r="A17" t="s">
        <v>21</v>
      </c>
      <c r="B17" t="s">
        <v>262</v>
      </c>
      <c r="C17" t="s">
        <v>164</v>
      </c>
      <c r="D17" t="str">
        <f>VLOOKUP(C17,PML!A:B,2,0)</f>
        <v>Oliv</v>
      </c>
      <c r="E17">
        <f>SUMIF(DATA!$A:$A,PPL!$A17,DATA!C:C)</f>
        <v>892</v>
      </c>
      <c r="F17">
        <f>SUMIF(DATA!$A:$A,PPL!$A17,DATA!D:D)</f>
        <v>892</v>
      </c>
      <c r="G17">
        <f>SUMIF(DATA!$A:$A,PPL!$A17,DATA!E:E)</f>
        <v>0</v>
      </c>
      <c r="H17">
        <f>SUMIF(DATA!$A:$A,PPL!$A17,DATA!F:F)</f>
        <v>0</v>
      </c>
      <c r="I17">
        <f>SUMIF(DATA!$A:$A,PPL!$A17,DATA!G:G)</f>
        <v>0</v>
      </c>
      <c r="J17">
        <f>SUMIF(DATA!$A:$A,PPL!$A17,DATA!H:H)</f>
        <v>0</v>
      </c>
      <c r="K17">
        <f>SUMIF(DATA!$A:$A,PPL!$A17,DATA!I:I)</f>
        <v>0</v>
      </c>
      <c r="L17">
        <f>SUMIF(DATA!$A:$A,PPL!$A17,DATA!J:J)</f>
        <v>0</v>
      </c>
      <c r="M17">
        <f t="shared" si="0"/>
        <v>532</v>
      </c>
      <c r="N17">
        <f t="shared" si="1"/>
        <v>892</v>
      </c>
      <c r="O17" s="3">
        <f t="shared" si="2"/>
        <v>100</v>
      </c>
      <c r="P17">
        <f t="shared" si="3"/>
        <v>0</v>
      </c>
      <c r="Q17">
        <f>SUMIF(DATA!A:A,PPL!A17,DATA!N:N)</f>
        <v>360</v>
      </c>
    </row>
    <row r="18" spans="1:17" x14ac:dyDescent="0.25">
      <c r="A18" t="s">
        <v>22</v>
      </c>
      <c r="B18" t="s">
        <v>263</v>
      </c>
      <c r="C18" t="s">
        <v>164</v>
      </c>
      <c r="D18" t="str">
        <f>VLOOKUP(C18,PML!A:B,2,0)</f>
        <v>Oliv</v>
      </c>
      <c r="E18">
        <f>SUMIF(DATA!$A:$A,PPL!$A18,DATA!C:C)</f>
        <v>1089</v>
      </c>
      <c r="F18">
        <f>SUMIF(DATA!$A:$A,PPL!$A18,DATA!D:D)</f>
        <v>955</v>
      </c>
      <c r="G18">
        <f>SUMIF(DATA!$A:$A,PPL!$A18,DATA!E:E)</f>
        <v>0</v>
      </c>
      <c r="H18">
        <f>SUMIF(DATA!$A:$A,PPL!$A18,DATA!F:F)</f>
        <v>0</v>
      </c>
      <c r="I18">
        <f>SUMIF(DATA!$A:$A,PPL!$A18,DATA!G:G)</f>
        <v>0</v>
      </c>
      <c r="J18">
        <f>SUMIF(DATA!$A:$A,PPL!$A18,DATA!H:H)</f>
        <v>0</v>
      </c>
      <c r="K18">
        <f>SUMIF(DATA!$A:$A,PPL!$A18,DATA!I:I)</f>
        <v>134</v>
      </c>
      <c r="L18">
        <f>SUMIF(DATA!$A:$A,PPL!$A18,DATA!J:J)</f>
        <v>0</v>
      </c>
      <c r="M18">
        <f t="shared" si="0"/>
        <v>637</v>
      </c>
      <c r="N18">
        <f t="shared" si="1"/>
        <v>1089</v>
      </c>
      <c r="O18" s="3">
        <f t="shared" si="2"/>
        <v>100</v>
      </c>
      <c r="P18">
        <f t="shared" si="3"/>
        <v>0</v>
      </c>
      <c r="Q18">
        <f>SUMIF(DATA!A:A,PPL!A18,DATA!N:N)</f>
        <v>452</v>
      </c>
    </row>
    <row r="19" spans="1:17" x14ac:dyDescent="0.25">
      <c r="A19" t="s">
        <v>23</v>
      </c>
      <c r="B19" t="s">
        <v>264</v>
      </c>
      <c r="C19" t="s">
        <v>164</v>
      </c>
      <c r="D19" t="str">
        <f>VLOOKUP(C19,PML!A:B,2,0)</f>
        <v>Oliv</v>
      </c>
      <c r="E19">
        <f>SUMIF(DATA!$A:$A,PPL!$A19,DATA!C:C)</f>
        <v>758</v>
      </c>
      <c r="F19">
        <f>SUMIF(DATA!$A:$A,PPL!$A19,DATA!D:D)</f>
        <v>668</v>
      </c>
      <c r="G19">
        <f>SUMIF(DATA!$A:$A,PPL!$A19,DATA!E:E)</f>
        <v>0</v>
      </c>
      <c r="H19">
        <f>SUMIF(DATA!$A:$A,PPL!$A19,DATA!F:F)</f>
        <v>0</v>
      </c>
      <c r="I19">
        <f>SUMIF(DATA!$A:$A,PPL!$A19,DATA!G:G)</f>
        <v>0</v>
      </c>
      <c r="J19">
        <f>SUMIF(DATA!$A:$A,PPL!$A19,DATA!H:H)</f>
        <v>0</v>
      </c>
      <c r="K19">
        <f>SUMIF(DATA!$A:$A,PPL!$A19,DATA!I:I)</f>
        <v>90</v>
      </c>
      <c r="L19">
        <f>SUMIF(DATA!$A:$A,PPL!$A19,DATA!J:J)</f>
        <v>0</v>
      </c>
      <c r="M19">
        <f t="shared" si="0"/>
        <v>444</v>
      </c>
      <c r="N19">
        <f t="shared" si="1"/>
        <v>758</v>
      </c>
      <c r="O19" s="3">
        <f t="shared" si="2"/>
        <v>100</v>
      </c>
      <c r="P19">
        <f t="shared" si="3"/>
        <v>0</v>
      </c>
      <c r="Q19">
        <f>SUMIF(DATA!A:A,PPL!A19,DATA!N:N)</f>
        <v>314</v>
      </c>
    </row>
    <row r="20" spans="1:17" x14ac:dyDescent="0.25">
      <c r="A20" t="s">
        <v>24</v>
      </c>
      <c r="B20" t="s">
        <v>265</v>
      </c>
      <c r="C20" t="s">
        <v>163</v>
      </c>
      <c r="D20" t="str">
        <f>VLOOKUP(C20,PML!A:B,2,0)</f>
        <v>Lasimran</v>
      </c>
      <c r="E20">
        <f>SUMIF(DATA!$A:$A,PPL!$A20,DATA!C:C)</f>
        <v>839</v>
      </c>
      <c r="F20">
        <f>SUMIF(DATA!$A:$A,PPL!$A20,DATA!D:D)</f>
        <v>708</v>
      </c>
      <c r="G20">
        <f>SUMIF(DATA!$A:$A,PPL!$A20,DATA!E:E)</f>
        <v>0</v>
      </c>
      <c r="H20">
        <f>SUMIF(DATA!$A:$A,PPL!$A20,DATA!F:F)</f>
        <v>0</v>
      </c>
      <c r="I20">
        <f>SUMIF(DATA!$A:$A,PPL!$A20,DATA!G:G)</f>
        <v>7</v>
      </c>
      <c r="J20">
        <f>SUMIF(DATA!$A:$A,PPL!$A20,DATA!H:H)</f>
        <v>0</v>
      </c>
      <c r="K20">
        <f>SUMIF(DATA!$A:$A,PPL!$A20,DATA!I:I)</f>
        <v>124</v>
      </c>
      <c r="L20">
        <f>SUMIF(DATA!$A:$A,PPL!$A20,DATA!J:J)</f>
        <v>0</v>
      </c>
      <c r="M20">
        <f t="shared" si="0"/>
        <v>514</v>
      </c>
      <c r="N20">
        <f t="shared" si="1"/>
        <v>839</v>
      </c>
      <c r="O20" s="3">
        <f t="shared" si="2"/>
        <v>100</v>
      </c>
      <c r="P20">
        <f t="shared" si="3"/>
        <v>0</v>
      </c>
      <c r="Q20">
        <f>SUMIF(DATA!A:A,PPL!A20,DATA!N:N)</f>
        <v>325</v>
      </c>
    </row>
    <row r="21" spans="1:17" x14ac:dyDescent="0.25">
      <c r="A21" t="s">
        <v>25</v>
      </c>
      <c r="B21" t="s">
        <v>266</v>
      </c>
      <c r="C21" t="s">
        <v>164</v>
      </c>
      <c r="D21" t="str">
        <f>VLOOKUP(C21,PML!A:B,2,0)</f>
        <v>Oliv</v>
      </c>
      <c r="E21">
        <f>SUMIF(DATA!$A:$A,PPL!$A21,DATA!C:C)</f>
        <v>850</v>
      </c>
      <c r="F21">
        <f>SUMIF(DATA!$A:$A,PPL!$A21,DATA!D:D)</f>
        <v>623</v>
      </c>
      <c r="G21">
        <f>SUMIF(DATA!$A:$A,PPL!$A21,DATA!E:E)</f>
        <v>0</v>
      </c>
      <c r="H21">
        <f>SUMIF(DATA!$A:$A,PPL!$A21,DATA!F:F)</f>
        <v>0</v>
      </c>
      <c r="I21">
        <f>SUMIF(DATA!$A:$A,PPL!$A21,DATA!G:G)</f>
        <v>0</v>
      </c>
      <c r="J21">
        <f>SUMIF(DATA!$A:$A,PPL!$A21,DATA!H:H)</f>
        <v>0</v>
      </c>
      <c r="K21">
        <f>SUMIF(DATA!$A:$A,PPL!$A21,DATA!I:I)</f>
        <v>227</v>
      </c>
      <c r="L21">
        <f>SUMIF(DATA!$A:$A,PPL!$A21,DATA!J:J)</f>
        <v>0</v>
      </c>
      <c r="M21">
        <f t="shared" si="0"/>
        <v>425</v>
      </c>
      <c r="N21">
        <f t="shared" si="1"/>
        <v>850</v>
      </c>
      <c r="O21" s="3">
        <f t="shared" si="2"/>
        <v>100</v>
      </c>
      <c r="P21">
        <f t="shared" si="3"/>
        <v>0</v>
      </c>
      <c r="Q21">
        <f>SUMIF(DATA!A:A,PPL!A21,DATA!N:N)</f>
        <v>425</v>
      </c>
    </row>
    <row r="22" spans="1:17" x14ac:dyDescent="0.25">
      <c r="A22" t="s">
        <v>26</v>
      </c>
      <c r="B22" t="s">
        <v>267</v>
      </c>
      <c r="C22" t="s">
        <v>165</v>
      </c>
      <c r="D22" t="str">
        <f>VLOOKUP(C22,PML!A:B,2,0)</f>
        <v>Vera</v>
      </c>
      <c r="E22">
        <f>SUMIF(DATA!$A:$A,PPL!$A22,DATA!C:C)</f>
        <v>892</v>
      </c>
      <c r="F22">
        <f>SUMIF(DATA!$A:$A,PPL!$A22,DATA!D:D)</f>
        <v>747</v>
      </c>
      <c r="G22">
        <f>SUMIF(DATA!$A:$A,PPL!$A22,DATA!E:E)</f>
        <v>54</v>
      </c>
      <c r="H22">
        <f>SUMIF(DATA!$A:$A,PPL!$A22,DATA!F:F)</f>
        <v>0</v>
      </c>
      <c r="I22">
        <f>SUMIF(DATA!$A:$A,PPL!$A22,DATA!G:G)</f>
        <v>6</v>
      </c>
      <c r="J22">
        <f>SUMIF(DATA!$A:$A,PPL!$A22,DATA!H:H)</f>
        <v>0</v>
      </c>
      <c r="K22">
        <f>SUMIF(DATA!$A:$A,PPL!$A22,DATA!I:I)</f>
        <v>85</v>
      </c>
      <c r="L22">
        <f>SUMIF(DATA!$A:$A,PPL!$A22,DATA!J:J)</f>
        <v>0</v>
      </c>
      <c r="M22">
        <f t="shared" si="0"/>
        <v>509</v>
      </c>
      <c r="N22">
        <f t="shared" si="1"/>
        <v>838</v>
      </c>
      <c r="O22" s="3">
        <f t="shared" si="2"/>
        <v>93.946188340807183</v>
      </c>
      <c r="P22">
        <f t="shared" si="3"/>
        <v>54</v>
      </c>
      <c r="Q22">
        <f>SUMIF(DATA!A:A,PPL!A22,DATA!N:N)</f>
        <v>329</v>
      </c>
    </row>
    <row r="23" spans="1:17" x14ac:dyDescent="0.25">
      <c r="A23" t="s">
        <v>27</v>
      </c>
      <c r="B23" t="s">
        <v>268</v>
      </c>
      <c r="C23" t="s">
        <v>166</v>
      </c>
      <c r="D23" t="str">
        <f>VLOOKUP(C23,PML!A:B,2,0)</f>
        <v>NurAlamsyah</v>
      </c>
      <c r="E23">
        <f>SUMIF(DATA!$A:$A,PPL!$A23,DATA!C:C)</f>
        <v>1029</v>
      </c>
      <c r="F23">
        <f>SUMIF(DATA!$A:$A,PPL!$A23,DATA!D:D)</f>
        <v>1028</v>
      </c>
      <c r="G23">
        <f>SUMIF(DATA!$A:$A,PPL!$A23,DATA!E:E)</f>
        <v>1</v>
      </c>
      <c r="H23">
        <f>SUMIF(DATA!$A:$A,PPL!$A23,DATA!F:F)</f>
        <v>0</v>
      </c>
      <c r="I23">
        <f>SUMIF(DATA!$A:$A,PPL!$A23,DATA!G:G)</f>
        <v>0</v>
      </c>
      <c r="J23">
        <f>SUMIF(DATA!$A:$A,PPL!$A23,DATA!H:H)</f>
        <v>0</v>
      </c>
      <c r="K23">
        <f>SUMIF(DATA!$A:$A,PPL!$A23,DATA!I:I)</f>
        <v>0</v>
      </c>
      <c r="L23">
        <f>SUMIF(DATA!$A:$A,PPL!$A23,DATA!J:J)</f>
        <v>0</v>
      </c>
      <c r="M23">
        <f t="shared" si="0"/>
        <v>613</v>
      </c>
      <c r="N23">
        <f t="shared" si="1"/>
        <v>1028</v>
      </c>
      <c r="O23" s="3">
        <f t="shared" si="2"/>
        <v>99.902818270165199</v>
      </c>
      <c r="P23">
        <f t="shared" si="3"/>
        <v>1</v>
      </c>
      <c r="Q23">
        <f>SUMIF(DATA!A:A,PPL!A23,DATA!N:N)</f>
        <v>415</v>
      </c>
    </row>
    <row r="24" spans="1:17" x14ac:dyDescent="0.25">
      <c r="A24" t="s">
        <v>28</v>
      </c>
      <c r="B24" t="s">
        <v>269</v>
      </c>
      <c r="C24" t="s">
        <v>166</v>
      </c>
      <c r="D24" t="str">
        <f>VLOOKUP(C24,PML!A:B,2,0)</f>
        <v>NurAlamsyah</v>
      </c>
      <c r="E24">
        <f>SUMIF(DATA!$A:$A,PPL!$A24,DATA!C:C)</f>
        <v>872</v>
      </c>
      <c r="F24">
        <f>SUMIF(DATA!$A:$A,PPL!$A24,DATA!D:D)</f>
        <v>842</v>
      </c>
      <c r="G24">
        <f>SUMIF(DATA!$A:$A,PPL!$A24,DATA!E:E)</f>
        <v>12</v>
      </c>
      <c r="H24">
        <f>SUMIF(DATA!$A:$A,PPL!$A24,DATA!F:F)</f>
        <v>0</v>
      </c>
      <c r="I24">
        <f>SUMIF(DATA!$A:$A,PPL!$A24,DATA!G:G)</f>
        <v>1</v>
      </c>
      <c r="J24">
        <f>SUMIF(DATA!$A:$A,PPL!$A24,DATA!H:H)</f>
        <v>0</v>
      </c>
      <c r="K24">
        <f>SUMIF(DATA!$A:$A,PPL!$A24,DATA!I:I)</f>
        <v>17</v>
      </c>
      <c r="L24">
        <f>SUMIF(DATA!$A:$A,PPL!$A24,DATA!J:J)</f>
        <v>0</v>
      </c>
      <c r="M24">
        <f t="shared" si="0"/>
        <v>493</v>
      </c>
      <c r="N24">
        <f t="shared" si="1"/>
        <v>860</v>
      </c>
      <c r="O24" s="3">
        <f t="shared" si="2"/>
        <v>98.623853211009177</v>
      </c>
      <c r="P24">
        <f t="shared" si="3"/>
        <v>12</v>
      </c>
      <c r="Q24">
        <f>SUMIF(DATA!A:A,PPL!A24,DATA!N:N)</f>
        <v>367</v>
      </c>
    </row>
    <row r="25" spans="1:17" x14ac:dyDescent="0.25">
      <c r="A25" t="s">
        <v>29</v>
      </c>
      <c r="B25" t="s">
        <v>270</v>
      </c>
      <c r="C25" t="s">
        <v>166</v>
      </c>
      <c r="D25" t="str">
        <f>VLOOKUP(C25,PML!A:B,2,0)</f>
        <v>NurAlamsyah</v>
      </c>
      <c r="E25">
        <f>SUMIF(DATA!$A:$A,PPL!$A25,DATA!C:C)</f>
        <v>951</v>
      </c>
      <c r="F25">
        <f>SUMIF(DATA!$A:$A,PPL!$A25,DATA!D:D)</f>
        <v>819</v>
      </c>
      <c r="G25">
        <f>SUMIF(DATA!$A:$A,PPL!$A25,DATA!E:E)</f>
        <v>2</v>
      </c>
      <c r="H25">
        <f>SUMIF(DATA!$A:$A,PPL!$A25,DATA!F:F)</f>
        <v>0</v>
      </c>
      <c r="I25">
        <f>SUMIF(DATA!$A:$A,PPL!$A25,DATA!G:G)</f>
        <v>5</v>
      </c>
      <c r="J25">
        <f>SUMIF(DATA!$A:$A,PPL!$A25,DATA!H:H)</f>
        <v>0</v>
      </c>
      <c r="K25">
        <f>SUMIF(DATA!$A:$A,PPL!$A25,DATA!I:I)</f>
        <v>125</v>
      </c>
      <c r="L25">
        <f>SUMIF(DATA!$A:$A,PPL!$A25,DATA!J:J)</f>
        <v>0</v>
      </c>
      <c r="M25">
        <f t="shared" si="0"/>
        <v>533</v>
      </c>
      <c r="N25">
        <f t="shared" si="1"/>
        <v>949</v>
      </c>
      <c r="O25" s="3">
        <f t="shared" si="2"/>
        <v>99.789695057833853</v>
      </c>
      <c r="P25">
        <f t="shared" si="3"/>
        <v>2</v>
      </c>
      <c r="Q25">
        <f>SUMIF(DATA!A:A,PPL!A25,DATA!N:N)</f>
        <v>416</v>
      </c>
    </row>
    <row r="26" spans="1:17" x14ac:dyDescent="0.25">
      <c r="A26" t="s">
        <v>30</v>
      </c>
      <c r="B26" t="s">
        <v>271</v>
      </c>
      <c r="C26" t="s">
        <v>167</v>
      </c>
      <c r="D26" t="str">
        <f>VLOOKUP(C26,PML!A:B,2,0)</f>
        <v>Firly</v>
      </c>
      <c r="E26">
        <f>SUMIF(DATA!$A:$A,PPL!$A26,DATA!C:C)</f>
        <v>991</v>
      </c>
      <c r="F26">
        <f>SUMIF(DATA!$A:$A,PPL!$A26,DATA!D:D)</f>
        <v>849</v>
      </c>
      <c r="G26">
        <f>SUMIF(DATA!$A:$A,PPL!$A26,DATA!E:E)</f>
        <v>0</v>
      </c>
      <c r="H26">
        <f>SUMIF(DATA!$A:$A,PPL!$A26,DATA!F:F)</f>
        <v>0</v>
      </c>
      <c r="I26">
        <f>SUMIF(DATA!$A:$A,PPL!$A26,DATA!G:G)</f>
        <v>8</v>
      </c>
      <c r="J26">
        <f>SUMIF(DATA!$A:$A,PPL!$A26,DATA!H:H)</f>
        <v>0</v>
      </c>
      <c r="K26">
        <f>SUMIF(DATA!$A:$A,PPL!$A26,DATA!I:I)</f>
        <v>134</v>
      </c>
      <c r="L26">
        <f>SUMIF(DATA!$A:$A,PPL!$A26,DATA!J:J)</f>
        <v>0</v>
      </c>
      <c r="M26">
        <f t="shared" si="0"/>
        <v>496</v>
      </c>
      <c r="N26">
        <f t="shared" si="1"/>
        <v>991</v>
      </c>
      <c r="O26" s="3">
        <f t="shared" si="2"/>
        <v>100</v>
      </c>
      <c r="P26">
        <f t="shared" si="3"/>
        <v>0</v>
      </c>
      <c r="Q26">
        <f>SUMIF(DATA!A:A,PPL!A26,DATA!N:N)</f>
        <v>495</v>
      </c>
    </row>
    <row r="27" spans="1:17" x14ac:dyDescent="0.25">
      <c r="A27" t="s">
        <v>31</v>
      </c>
      <c r="B27" t="s">
        <v>272</v>
      </c>
      <c r="C27" t="s">
        <v>167</v>
      </c>
      <c r="D27" t="str">
        <f>VLOOKUP(C27,PML!A:B,2,0)</f>
        <v>Firly</v>
      </c>
      <c r="E27">
        <f>SUMIF(DATA!$A:$A,PPL!$A27,DATA!C:C)</f>
        <v>793</v>
      </c>
      <c r="F27">
        <f>SUMIF(DATA!$A:$A,PPL!$A27,DATA!D:D)</f>
        <v>421</v>
      </c>
      <c r="G27">
        <f>SUMIF(DATA!$A:$A,PPL!$A27,DATA!E:E)</f>
        <v>13</v>
      </c>
      <c r="H27">
        <f>SUMIF(DATA!$A:$A,PPL!$A27,DATA!F:F)</f>
        <v>0</v>
      </c>
      <c r="I27">
        <f>SUMIF(DATA!$A:$A,PPL!$A27,DATA!G:G)</f>
        <v>74</v>
      </c>
      <c r="J27">
        <f>SUMIF(DATA!$A:$A,PPL!$A27,DATA!H:H)</f>
        <v>0</v>
      </c>
      <c r="K27">
        <f>SUMIF(DATA!$A:$A,PPL!$A27,DATA!I:I)</f>
        <v>285</v>
      </c>
      <c r="L27">
        <f>SUMIF(DATA!$A:$A,PPL!$A27,DATA!J:J)</f>
        <v>0</v>
      </c>
      <c r="M27">
        <f t="shared" si="0"/>
        <v>479</v>
      </c>
      <c r="N27">
        <f t="shared" si="1"/>
        <v>780</v>
      </c>
      <c r="O27" s="3">
        <f t="shared" si="2"/>
        <v>98.360655737704917</v>
      </c>
      <c r="P27">
        <f t="shared" si="3"/>
        <v>13</v>
      </c>
      <c r="Q27">
        <f>SUMIF(DATA!A:A,PPL!A27,DATA!N:N)</f>
        <v>301</v>
      </c>
    </row>
    <row r="28" spans="1:17" x14ac:dyDescent="0.25">
      <c r="A28" t="s">
        <v>33</v>
      </c>
      <c r="B28" t="s">
        <v>273</v>
      </c>
      <c r="C28" t="s">
        <v>165</v>
      </c>
      <c r="D28" t="str">
        <f>VLOOKUP(C28,PML!A:B,2,0)</f>
        <v>Vera</v>
      </c>
      <c r="E28">
        <f>SUMIF(DATA!$A:$A,PPL!$A28,DATA!C:C)</f>
        <v>987</v>
      </c>
      <c r="F28">
        <f>SUMIF(DATA!$A:$A,PPL!$A28,DATA!D:D)</f>
        <v>931</v>
      </c>
      <c r="G28">
        <f>SUMIF(DATA!$A:$A,PPL!$A28,DATA!E:E)</f>
        <v>6</v>
      </c>
      <c r="H28">
        <f>SUMIF(DATA!$A:$A,PPL!$A28,DATA!F:F)</f>
        <v>0</v>
      </c>
      <c r="I28">
        <f>SUMIF(DATA!$A:$A,PPL!$A28,DATA!G:G)</f>
        <v>0</v>
      </c>
      <c r="J28">
        <f>SUMIF(DATA!$A:$A,PPL!$A28,DATA!H:H)</f>
        <v>2</v>
      </c>
      <c r="K28">
        <f>SUMIF(DATA!$A:$A,PPL!$A28,DATA!I:I)</f>
        <v>48</v>
      </c>
      <c r="L28">
        <f>SUMIF(DATA!$A:$A,PPL!$A28,DATA!J:J)</f>
        <v>0</v>
      </c>
      <c r="M28">
        <f t="shared" si="0"/>
        <v>550</v>
      </c>
      <c r="N28">
        <f t="shared" si="1"/>
        <v>981</v>
      </c>
      <c r="O28" s="3">
        <f t="shared" si="2"/>
        <v>99.392097264437695</v>
      </c>
      <c r="P28">
        <f t="shared" si="3"/>
        <v>6</v>
      </c>
      <c r="Q28">
        <f>SUMIF(DATA!A:A,PPL!A28,DATA!N:N)</f>
        <v>431</v>
      </c>
    </row>
    <row r="29" spans="1:17" x14ac:dyDescent="0.25">
      <c r="A29" t="s">
        <v>34</v>
      </c>
      <c r="B29" t="s">
        <v>274</v>
      </c>
      <c r="C29" t="s">
        <v>166</v>
      </c>
      <c r="D29" t="str">
        <f>VLOOKUP(C29,PML!A:B,2,0)</f>
        <v>NurAlamsyah</v>
      </c>
      <c r="E29">
        <f>SUMIF(DATA!$A:$A,PPL!$A29,DATA!C:C)</f>
        <v>705</v>
      </c>
      <c r="F29">
        <f>SUMIF(DATA!$A:$A,PPL!$A29,DATA!D:D)</f>
        <v>688</v>
      </c>
      <c r="G29">
        <f>SUMIF(DATA!$A:$A,PPL!$A29,DATA!E:E)</f>
        <v>5</v>
      </c>
      <c r="H29">
        <f>SUMIF(DATA!$A:$A,PPL!$A29,DATA!F:F)</f>
        <v>0</v>
      </c>
      <c r="I29">
        <f>SUMIF(DATA!$A:$A,PPL!$A29,DATA!G:G)</f>
        <v>0</v>
      </c>
      <c r="J29">
        <f>SUMIF(DATA!$A:$A,PPL!$A29,DATA!H:H)</f>
        <v>0</v>
      </c>
      <c r="K29">
        <f>SUMIF(DATA!$A:$A,PPL!$A29,DATA!I:I)</f>
        <v>12</v>
      </c>
      <c r="L29">
        <f>SUMIF(DATA!$A:$A,PPL!$A29,DATA!J:J)</f>
        <v>0</v>
      </c>
      <c r="M29">
        <f t="shared" si="0"/>
        <v>390</v>
      </c>
      <c r="N29">
        <f t="shared" si="1"/>
        <v>700</v>
      </c>
      <c r="O29" s="3">
        <f t="shared" si="2"/>
        <v>99.290780141843967</v>
      </c>
      <c r="P29">
        <f t="shared" si="3"/>
        <v>5</v>
      </c>
      <c r="Q29">
        <f>SUMIF(DATA!A:A,PPL!A29,DATA!N:N)</f>
        <v>310</v>
      </c>
    </row>
    <row r="30" spans="1:17" x14ac:dyDescent="0.25">
      <c r="A30" t="s">
        <v>35</v>
      </c>
      <c r="B30" t="s">
        <v>275</v>
      </c>
      <c r="C30" t="s">
        <v>167</v>
      </c>
      <c r="D30" t="str">
        <f>VLOOKUP(C30,PML!A:B,2,0)</f>
        <v>Firly</v>
      </c>
      <c r="E30">
        <f>SUMIF(DATA!$A:$A,PPL!$A30,DATA!C:C)</f>
        <v>871</v>
      </c>
      <c r="F30">
        <f>SUMIF(DATA!$A:$A,PPL!$A30,DATA!D:D)</f>
        <v>314</v>
      </c>
      <c r="G30">
        <f>SUMIF(DATA!$A:$A,PPL!$A30,DATA!E:E)</f>
        <v>19</v>
      </c>
      <c r="H30">
        <f>SUMIF(DATA!$A:$A,PPL!$A30,DATA!F:F)</f>
        <v>0</v>
      </c>
      <c r="I30">
        <f>SUMIF(DATA!$A:$A,PPL!$A30,DATA!G:G)</f>
        <v>1</v>
      </c>
      <c r="J30">
        <f>SUMIF(DATA!$A:$A,PPL!$A30,DATA!H:H)</f>
        <v>0</v>
      </c>
      <c r="K30">
        <f>SUMIF(DATA!$A:$A,PPL!$A30,DATA!I:I)</f>
        <v>537</v>
      </c>
      <c r="L30">
        <f>SUMIF(DATA!$A:$A,PPL!$A30,DATA!J:J)</f>
        <v>0</v>
      </c>
      <c r="M30">
        <f t="shared" si="0"/>
        <v>413</v>
      </c>
      <c r="N30">
        <f t="shared" si="1"/>
        <v>852</v>
      </c>
      <c r="O30" s="3">
        <f t="shared" si="2"/>
        <v>97.818599311136623</v>
      </c>
      <c r="P30">
        <f t="shared" si="3"/>
        <v>19</v>
      </c>
      <c r="Q30">
        <f>SUMIF(DATA!A:A,PPL!A30,DATA!N:N)</f>
        <v>439</v>
      </c>
    </row>
    <row r="31" spans="1:17" x14ac:dyDescent="0.25">
      <c r="A31" t="s">
        <v>36</v>
      </c>
      <c r="B31" t="s">
        <v>276</v>
      </c>
      <c r="C31" t="s">
        <v>167</v>
      </c>
      <c r="D31" t="str">
        <f>VLOOKUP(C31,PML!A:B,2,0)</f>
        <v>Firly</v>
      </c>
      <c r="E31">
        <f>SUMIF(DATA!$A:$A,PPL!$A31,DATA!C:C)</f>
        <v>886</v>
      </c>
      <c r="F31">
        <f>SUMIF(DATA!$A:$A,PPL!$A31,DATA!D:D)</f>
        <v>391</v>
      </c>
      <c r="G31">
        <f>SUMIF(DATA!$A:$A,PPL!$A31,DATA!E:E)</f>
        <v>27</v>
      </c>
      <c r="H31">
        <f>SUMIF(DATA!$A:$A,PPL!$A31,DATA!F:F)</f>
        <v>0</v>
      </c>
      <c r="I31">
        <f>SUMIF(DATA!$A:$A,PPL!$A31,DATA!G:G)</f>
        <v>0</v>
      </c>
      <c r="J31">
        <f>SUMIF(DATA!$A:$A,PPL!$A31,DATA!H:H)</f>
        <v>1</v>
      </c>
      <c r="K31">
        <f>SUMIF(DATA!$A:$A,PPL!$A31,DATA!I:I)</f>
        <v>467</v>
      </c>
      <c r="L31">
        <f>SUMIF(DATA!$A:$A,PPL!$A31,DATA!J:J)</f>
        <v>0</v>
      </c>
      <c r="M31">
        <f t="shared" si="0"/>
        <v>404</v>
      </c>
      <c r="N31">
        <f t="shared" si="1"/>
        <v>859</v>
      </c>
      <c r="O31" s="3">
        <f t="shared" si="2"/>
        <v>96.95259593679458</v>
      </c>
      <c r="P31">
        <f t="shared" si="3"/>
        <v>27</v>
      </c>
      <c r="Q31">
        <f>SUMIF(DATA!A:A,PPL!A31,DATA!N:N)</f>
        <v>455</v>
      </c>
    </row>
    <row r="32" spans="1:17" x14ac:dyDescent="0.25">
      <c r="A32" t="s">
        <v>37</v>
      </c>
      <c r="B32" t="s">
        <v>277</v>
      </c>
      <c r="C32" t="s">
        <v>167</v>
      </c>
      <c r="D32" t="str">
        <f>VLOOKUP(C32,PML!A:B,2,0)</f>
        <v>Firly</v>
      </c>
      <c r="E32">
        <f>SUMIF(DATA!$A:$A,PPL!$A32,DATA!C:C)</f>
        <v>943</v>
      </c>
      <c r="F32">
        <f>SUMIF(DATA!$A:$A,PPL!$A32,DATA!D:D)</f>
        <v>728</v>
      </c>
      <c r="G32">
        <f>SUMIF(DATA!$A:$A,PPL!$A32,DATA!E:E)</f>
        <v>0</v>
      </c>
      <c r="H32">
        <f>SUMIF(DATA!$A:$A,PPL!$A32,DATA!F:F)</f>
        <v>0</v>
      </c>
      <c r="I32">
        <f>SUMIF(DATA!$A:$A,PPL!$A32,DATA!G:G)</f>
        <v>17</v>
      </c>
      <c r="J32">
        <f>SUMIF(DATA!$A:$A,PPL!$A32,DATA!H:H)</f>
        <v>0</v>
      </c>
      <c r="K32">
        <f>SUMIF(DATA!$A:$A,PPL!$A32,DATA!I:I)</f>
        <v>198</v>
      </c>
      <c r="L32">
        <f>SUMIF(DATA!$A:$A,PPL!$A32,DATA!J:J)</f>
        <v>0</v>
      </c>
      <c r="M32">
        <f t="shared" si="0"/>
        <v>493</v>
      </c>
      <c r="N32">
        <f t="shared" si="1"/>
        <v>943</v>
      </c>
      <c r="O32" s="3">
        <f t="shared" si="2"/>
        <v>100</v>
      </c>
      <c r="P32">
        <f t="shared" si="3"/>
        <v>0</v>
      </c>
      <c r="Q32">
        <f>SUMIF(DATA!A:A,PPL!A32,DATA!N:N)</f>
        <v>450</v>
      </c>
    </row>
    <row r="33" spans="1:17" x14ac:dyDescent="0.25">
      <c r="A33" t="s">
        <v>38</v>
      </c>
      <c r="B33" t="s">
        <v>278</v>
      </c>
      <c r="C33" t="s">
        <v>167</v>
      </c>
      <c r="D33" t="str">
        <f>VLOOKUP(C33,PML!A:B,2,0)</f>
        <v>Firly</v>
      </c>
      <c r="E33">
        <f>SUMIF(DATA!$A:$A,PPL!$A33,DATA!C:C)</f>
        <v>876</v>
      </c>
      <c r="F33">
        <f>SUMIF(DATA!$A:$A,PPL!$A33,DATA!D:D)</f>
        <v>611</v>
      </c>
      <c r="G33">
        <f>SUMIF(DATA!$A:$A,PPL!$A33,DATA!E:E)</f>
        <v>14</v>
      </c>
      <c r="H33">
        <f>SUMIF(DATA!$A:$A,PPL!$A33,DATA!F:F)</f>
        <v>0</v>
      </c>
      <c r="I33">
        <f>SUMIF(DATA!$A:$A,PPL!$A33,DATA!G:G)</f>
        <v>3</v>
      </c>
      <c r="J33">
        <f>SUMIF(DATA!$A:$A,PPL!$A33,DATA!H:H)</f>
        <v>0</v>
      </c>
      <c r="K33">
        <f>SUMIF(DATA!$A:$A,PPL!$A33,DATA!I:I)</f>
        <v>248</v>
      </c>
      <c r="L33">
        <f>SUMIF(DATA!$A:$A,PPL!$A33,DATA!J:J)</f>
        <v>0</v>
      </c>
      <c r="M33">
        <f t="shared" si="0"/>
        <v>532</v>
      </c>
      <c r="N33">
        <f t="shared" si="1"/>
        <v>862</v>
      </c>
      <c r="O33" s="3">
        <f t="shared" si="2"/>
        <v>98.401826484018258</v>
      </c>
      <c r="P33">
        <f t="shared" si="3"/>
        <v>14</v>
      </c>
      <c r="Q33">
        <f>SUMIF(DATA!A:A,PPL!A33,DATA!N:N)</f>
        <v>330</v>
      </c>
    </row>
    <row r="34" spans="1:17" x14ac:dyDescent="0.25">
      <c r="A34" t="s">
        <v>39</v>
      </c>
      <c r="B34" t="s">
        <v>279</v>
      </c>
      <c r="C34" t="s">
        <v>165</v>
      </c>
      <c r="D34" t="str">
        <f>VLOOKUP(C34,PML!A:B,2,0)</f>
        <v>Vera</v>
      </c>
      <c r="E34">
        <f>SUMIF(DATA!$A:$A,PPL!$A34,DATA!C:C)</f>
        <v>778</v>
      </c>
      <c r="F34">
        <f>SUMIF(DATA!$A:$A,PPL!$A34,DATA!D:D)</f>
        <v>659</v>
      </c>
      <c r="G34">
        <f>SUMIF(DATA!$A:$A,PPL!$A34,DATA!E:E)</f>
        <v>15</v>
      </c>
      <c r="H34">
        <f>SUMIF(DATA!$A:$A,PPL!$A34,DATA!F:F)</f>
        <v>0</v>
      </c>
      <c r="I34">
        <f>SUMIF(DATA!$A:$A,PPL!$A34,DATA!G:G)</f>
        <v>5</v>
      </c>
      <c r="J34">
        <f>SUMIF(DATA!$A:$A,PPL!$A34,DATA!H:H)</f>
        <v>0</v>
      </c>
      <c r="K34">
        <f>SUMIF(DATA!$A:$A,PPL!$A34,DATA!I:I)</f>
        <v>99</v>
      </c>
      <c r="L34">
        <f>SUMIF(DATA!$A:$A,PPL!$A34,DATA!J:J)</f>
        <v>0</v>
      </c>
      <c r="M34">
        <f t="shared" ref="M34:M65" si="4">N34-Q34</f>
        <v>354</v>
      </c>
      <c r="N34">
        <f t="shared" si="1"/>
        <v>763</v>
      </c>
      <c r="O34" s="3">
        <f t="shared" si="2"/>
        <v>98.0719794344473</v>
      </c>
      <c r="P34">
        <f t="shared" si="3"/>
        <v>15</v>
      </c>
      <c r="Q34">
        <f>SUMIF(DATA!A:A,PPL!A34,DATA!N:N)</f>
        <v>409</v>
      </c>
    </row>
    <row r="35" spans="1:17" x14ac:dyDescent="0.25">
      <c r="A35" t="s">
        <v>40</v>
      </c>
      <c r="B35" t="s">
        <v>280</v>
      </c>
      <c r="C35" t="s">
        <v>165</v>
      </c>
      <c r="D35" t="str">
        <f>VLOOKUP(C35,PML!A:B,2,0)</f>
        <v>Vera</v>
      </c>
      <c r="E35">
        <f>SUMIF(DATA!$A:$A,PPL!$A35,DATA!C:C)</f>
        <v>725</v>
      </c>
      <c r="F35">
        <f>SUMIF(DATA!$A:$A,PPL!$A35,DATA!D:D)</f>
        <v>535</v>
      </c>
      <c r="G35">
        <f>SUMIF(DATA!$A:$A,PPL!$A35,DATA!E:E)</f>
        <v>43</v>
      </c>
      <c r="H35">
        <f>SUMIF(DATA!$A:$A,PPL!$A35,DATA!F:F)</f>
        <v>0</v>
      </c>
      <c r="I35">
        <f>SUMIF(DATA!$A:$A,PPL!$A35,DATA!G:G)</f>
        <v>0</v>
      </c>
      <c r="J35">
        <f>SUMIF(DATA!$A:$A,PPL!$A35,DATA!H:H)</f>
        <v>1</v>
      </c>
      <c r="K35">
        <f>SUMIF(DATA!$A:$A,PPL!$A35,DATA!I:I)</f>
        <v>146</v>
      </c>
      <c r="L35">
        <f>SUMIF(DATA!$A:$A,PPL!$A35,DATA!J:J)</f>
        <v>0</v>
      </c>
      <c r="M35">
        <f t="shared" si="4"/>
        <v>401</v>
      </c>
      <c r="N35">
        <f t="shared" si="1"/>
        <v>682</v>
      </c>
      <c r="O35" s="3">
        <f t="shared" si="2"/>
        <v>94.068965517241381</v>
      </c>
      <c r="P35">
        <f t="shared" si="3"/>
        <v>43</v>
      </c>
      <c r="Q35">
        <f>SUMIF(DATA!A:A,PPL!A35,DATA!N:N)</f>
        <v>281</v>
      </c>
    </row>
    <row r="36" spans="1:17" x14ac:dyDescent="0.25">
      <c r="A36" t="s">
        <v>41</v>
      </c>
      <c r="B36" t="s">
        <v>281</v>
      </c>
      <c r="C36" t="s">
        <v>165</v>
      </c>
      <c r="D36" t="str">
        <f>VLOOKUP(C36,PML!A:B,2,0)</f>
        <v>Vera</v>
      </c>
      <c r="E36">
        <f>SUMIF(DATA!$A:$A,PPL!$A36,DATA!C:C)</f>
        <v>993</v>
      </c>
      <c r="F36">
        <f>SUMIF(DATA!$A:$A,PPL!$A36,DATA!D:D)</f>
        <v>956</v>
      </c>
      <c r="G36">
        <f>SUMIF(DATA!$A:$A,PPL!$A36,DATA!E:E)</f>
        <v>1</v>
      </c>
      <c r="H36">
        <f>SUMIF(DATA!$A:$A,PPL!$A36,DATA!F:F)</f>
        <v>0</v>
      </c>
      <c r="I36">
        <f>SUMIF(DATA!$A:$A,PPL!$A36,DATA!G:G)</f>
        <v>0</v>
      </c>
      <c r="J36">
        <f>SUMIF(DATA!$A:$A,PPL!$A36,DATA!H:H)</f>
        <v>1</v>
      </c>
      <c r="K36">
        <f>SUMIF(DATA!$A:$A,PPL!$A36,DATA!I:I)</f>
        <v>35</v>
      </c>
      <c r="L36">
        <f>SUMIF(DATA!$A:$A,PPL!$A36,DATA!J:J)</f>
        <v>0</v>
      </c>
      <c r="M36">
        <f t="shared" si="4"/>
        <v>535</v>
      </c>
      <c r="N36">
        <f t="shared" si="1"/>
        <v>992</v>
      </c>
      <c r="O36" s="3">
        <f t="shared" si="2"/>
        <v>99.899295065458205</v>
      </c>
      <c r="P36">
        <f t="shared" si="3"/>
        <v>1</v>
      </c>
      <c r="Q36">
        <f>SUMIF(DATA!A:A,PPL!A36,DATA!N:N)</f>
        <v>457</v>
      </c>
    </row>
    <row r="37" spans="1:17" x14ac:dyDescent="0.25">
      <c r="A37" t="s">
        <v>42</v>
      </c>
      <c r="B37" t="s">
        <v>282</v>
      </c>
      <c r="C37" t="s">
        <v>165</v>
      </c>
      <c r="D37" t="str">
        <f>VLOOKUP(C37,PML!A:B,2,0)</f>
        <v>Vera</v>
      </c>
      <c r="E37">
        <f>SUMIF(DATA!$A:$A,PPL!$A37,DATA!C:C)</f>
        <v>876</v>
      </c>
      <c r="F37">
        <f>SUMIF(DATA!$A:$A,PPL!$A37,DATA!D:D)</f>
        <v>671</v>
      </c>
      <c r="G37">
        <f>SUMIF(DATA!$A:$A,PPL!$A37,DATA!E:E)</f>
        <v>4</v>
      </c>
      <c r="H37">
        <f>SUMIF(DATA!$A:$A,PPL!$A37,DATA!F:F)</f>
        <v>0</v>
      </c>
      <c r="I37">
        <f>SUMIF(DATA!$A:$A,PPL!$A37,DATA!G:G)</f>
        <v>0</v>
      </c>
      <c r="J37">
        <f>SUMIF(DATA!$A:$A,PPL!$A37,DATA!H:H)</f>
        <v>0</v>
      </c>
      <c r="K37">
        <f>SUMIF(DATA!$A:$A,PPL!$A37,DATA!I:I)</f>
        <v>201</v>
      </c>
      <c r="L37">
        <f>SUMIF(DATA!$A:$A,PPL!$A37,DATA!J:J)</f>
        <v>0</v>
      </c>
      <c r="M37">
        <f t="shared" si="4"/>
        <v>507</v>
      </c>
      <c r="N37">
        <f t="shared" si="1"/>
        <v>872</v>
      </c>
      <c r="O37" s="3">
        <f t="shared" si="2"/>
        <v>99.543378995433784</v>
      </c>
      <c r="P37">
        <f t="shared" si="3"/>
        <v>4</v>
      </c>
      <c r="Q37">
        <f>SUMIF(DATA!A:A,PPL!A37,DATA!N:N)</f>
        <v>365</v>
      </c>
    </row>
    <row r="38" spans="1:17" x14ac:dyDescent="0.25">
      <c r="A38" t="s">
        <v>43</v>
      </c>
      <c r="B38" t="s">
        <v>283</v>
      </c>
      <c r="C38" t="s">
        <v>166</v>
      </c>
      <c r="D38" t="str">
        <f>VLOOKUP(C38,PML!A:B,2,0)</f>
        <v>NurAlamsyah</v>
      </c>
      <c r="E38">
        <f>SUMIF(DATA!$A:$A,PPL!$A38,DATA!C:C)</f>
        <v>1268</v>
      </c>
      <c r="F38">
        <f>SUMIF(DATA!$A:$A,PPL!$A38,DATA!D:D)</f>
        <v>425</v>
      </c>
      <c r="G38">
        <f>SUMIF(DATA!$A:$A,PPL!$A38,DATA!E:E)</f>
        <v>2</v>
      </c>
      <c r="H38">
        <f>SUMIF(DATA!$A:$A,PPL!$A38,DATA!F:F)</f>
        <v>0</v>
      </c>
      <c r="I38">
        <f>SUMIF(DATA!$A:$A,PPL!$A38,DATA!G:G)</f>
        <v>0</v>
      </c>
      <c r="J38">
        <f>SUMIF(DATA!$A:$A,PPL!$A38,DATA!H:H)</f>
        <v>1</v>
      </c>
      <c r="K38">
        <f>SUMIF(DATA!$A:$A,PPL!$A38,DATA!I:I)</f>
        <v>840</v>
      </c>
      <c r="L38">
        <f>SUMIF(DATA!$A:$A,PPL!$A38,DATA!J:J)</f>
        <v>0</v>
      </c>
      <c r="M38">
        <f t="shared" si="4"/>
        <v>590</v>
      </c>
      <c r="N38">
        <f t="shared" si="1"/>
        <v>1266</v>
      </c>
      <c r="O38" s="3">
        <f t="shared" si="2"/>
        <v>99.84227129337539</v>
      </c>
      <c r="P38">
        <f t="shared" si="3"/>
        <v>2</v>
      </c>
      <c r="Q38">
        <f>SUMIF(DATA!A:A,PPL!A38,DATA!N:N)</f>
        <v>676</v>
      </c>
    </row>
    <row r="39" spans="1:17" x14ac:dyDescent="0.25">
      <c r="A39" t="s">
        <v>45</v>
      </c>
      <c r="B39" t="s">
        <v>284</v>
      </c>
      <c r="C39" t="s">
        <v>166</v>
      </c>
      <c r="D39" t="str">
        <f>VLOOKUP(C39,PML!A:B,2,0)</f>
        <v>NurAlamsyah</v>
      </c>
      <c r="E39">
        <f>SUMIF(DATA!$A:$A,PPL!$A39,DATA!C:C)</f>
        <v>883</v>
      </c>
      <c r="F39">
        <f>SUMIF(DATA!$A:$A,PPL!$A39,DATA!D:D)</f>
        <v>871</v>
      </c>
      <c r="G39">
        <f>SUMIF(DATA!$A:$A,PPL!$A39,DATA!E:E)</f>
        <v>7</v>
      </c>
      <c r="H39">
        <f>SUMIF(DATA!$A:$A,PPL!$A39,DATA!F:F)</f>
        <v>0</v>
      </c>
      <c r="I39">
        <f>SUMIF(DATA!$A:$A,PPL!$A39,DATA!G:G)</f>
        <v>5</v>
      </c>
      <c r="J39">
        <f>SUMIF(DATA!$A:$A,PPL!$A39,DATA!H:H)</f>
        <v>0</v>
      </c>
      <c r="K39">
        <f>SUMIF(DATA!$A:$A,PPL!$A39,DATA!I:I)</f>
        <v>0</v>
      </c>
      <c r="L39">
        <f>SUMIF(DATA!$A:$A,PPL!$A39,DATA!J:J)</f>
        <v>0</v>
      </c>
      <c r="M39">
        <f t="shared" si="4"/>
        <v>471</v>
      </c>
      <c r="N39">
        <f t="shared" si="1"/>
        <v>876</v>
      </c>
      <c r="O39" s="3">
        <f t="shared" si="2"/>
        <v>99.20724801812004</v>
      </c>
      <c r="P39">
        <f t="shared" si="3"/>
        <v>7</v>
      </c>
      <c r="Q39">
        <f>SUMIF(DATA!A:A,PPL!A39,DATA!N:N)</f>
        <v>405</v>
      </c>
    </row>
    <row r="40" spans="1:17" x14ac:dyDescent="0.25">
      <c r="A40" t="s">
        <v>47</v>
      </c>
      <c r="B40" t="s">
        <v>285</v>
      </c>
      <c r="C40" t="s">
        <v>167</v>
      </c>
      <c r="D40" t="str">
        <f>VLOOKUP(C40,PML!A:B,2,0)</f>
        <v>Firly</v>
      </c>
      <c r="E40">
        <f>SUMIF(DATA!$A:$A,PPL!$A40,DATA!C:C)</f>
        <v>877</v>
      </c>
      <c r="F40">
        <f>SUMIF(DATA!$A:$A,PPL!$A40,DATA!D:D)</f>
        <v>334</v>
      </c>
      <c r="G40">
        <f>SUMIF(DATA!$A:$A,PPL!$A40,DATA!E:E)</f>
        <v>12</v>
      </c>
      <c r="H40">
        <f>SUMIF(DATA!$A:$A,PPL!$A40,DATA!F:F)</f>
        <v>0</v>
      </c>
      <c r="I40">
        <f>SUMIF(DATA!$A:$A,PPL!$A40,DATA!G:G)</f>
        <v>41</v>
      </c>
      <c r="J40">
        <f>SUMIF(DATA!$A:$A,PPL!$A40,DATA!H:H)</f>
        <v>2</v>
      </c>
      <c r="K40">
        <f>SUMIF(DATA!$A:$A,PPL!$A40,DATA!I:I)</f>
        <v>487</v>
      </c>
      <c r="L40">
        <f>SUMIF(DATA!$A:$A,PPL!$A40,DATA!J:J)</f>
        <v>1</v>
      </c>
      <c r="M40">
        <f t="shared" si="4"/>
        <v>437</v>
      </c>
      <c r="N40">
        <f t="shared" si="1"/>
        <v>865</v>
      </c>
      <c r="O40" s="3">
        <f t="shared" si="2"/>
        <v>98.631698973774235</v>
      </c>
      <c r="P40">
        <f t="shared" si="3"/>
        <v>12</v>
      </c>
      <c r="Q40">
        <f>SUMIF(DATA!A:A,PPL!A40,DATA!N:N)</f>
        <v>428</v>
      </c>
    </row>
    <row r="41" spans="1:17" x14ac:dyDescent="0.25">
      <c r="A41" t="s">
        <v>48</v>
      </c>
      <c r="B41" t="s">
        <v>286</v>
      </c>
      <c r="C41" t="s">
        <v>165</v>
      </c>
      <c r="D41" t="str">
        <f>VLOOKUP(C41,PML!A:B,2,0)</f>
        <v>Vera</v>
      </c>
      <c r="E41">
        <f>SUMIF(DATA!$A:$A,PPL!$A41,DATA!C:C)</f>
        <v>1017</v>
      </c>
      <c r="F41">
        <f>SUMIF(DATA!$A:$A,PPL!$A41,DATA!D:D)</f>
        <v>786</v>
      </c>
      <c r="G41">
        <f>SUMIF(DATA!$A:$A,PPL!$A41,DATA!E:E)</f>
        <v>1</v>
      </c>
      <c r="H41">
        <f>SUMIF(DATA!$A:$A,PPL!$A41,DATA!F:F)</f>
        <v>0</v>
      </c>
      <c r="I41">
        <f>SUMIF(DATA!$A:$A,PPL!$A41,DATA!G:G)</f>
        <v>1</v>
      </c>
      <c r="J41">
        <f>SUMIF(DATA!$A:$A,PPL!$A41,DATA!H:H)</f>
        <v>3</v>
      </c>
      <c r="K41">
        <f>SUMIF(DATA!$A:$A,PPL!$A41,DATA!I:I)</f>
        <v>226</v>
      </c>
      <c r="L41">
        <f>SUMIF(DATA!$A:$A,PPL!$A41,DATA!J:J)</f>
        <v>0</v>
      </c>
      <c r="M41">
        <f t="shared" si="4"/>
        <v>631</v>
      </c>
      <c r="N41">
        <f t="shared" si="1"/>
        <v>1016</v>
      </c>
      <c r="O41" s="3">
        <f t="shared" si="2"/>
        <v>99.90167158308752</v>
      </c>
      <c r="P41">
        <f t="shared" si="3"/>
        <v>1</v>
      </c>
      <c r="Q41">
        <f>SUMIF(DATA!A:A,PPL!A41,DATA!N:N)</f>
        <v>385</v>
      </c>
    </row>
    <row r="42" spans="1:17" x14ac:dyDescent="0.25">
      <c r="A42" t="s">
        <v>49</v>
      </c>
      <c r="B42" t="s">
        <v>287</v>
      </c>
      <c r="C42" t="s">
        <v>168</v>
      </c>
      <c r="D42" t="str">
        <f>VLOOKUP(C42,PML!A:B,2,0)</f>
        <v>Handoko</v>
      </c>
      <c r="E42">
        <f>SUMIF(DATA!$A:$A,PPL!$A42,DATA!C:C)</f>
        <v>914</v>
      </c>
      <c r="F42">
        <f>SUMIF(DATA!$A:$A,PPL!$A42,DATA!D:D)</f>
        <v>398</v>
      </c>
      <c r="G42">
        <f>SUMIF(DATA!$A:$A,PPL!$A42,DATA!E:E)</f>
        <v>109</v>
      </c>
      <c r="H42">
        <f>SUMIF(DATA!$A:$A,PPL!$A42,DATA!F:F)</f>
        <v>0</v>
      </c>
      <c r="I42">
        <f>SUMIF(DATA!$A:$A,PPL!$A42,DATA!G:G)</f>
        <v>38</v>
      </c>
      <c r="J42">
        <f>SUMIF(DATA!$A:$A,PPL!$A42,DATA!H:H)</f>
        <v>3</v>
      </c>
      <c r="K42">
        <f>SUMIF(DATA!$A:$A,PPL!$A42,DATA!I:I)</f>
        <v>366</v>
      </c>
      <c r="L42">
        <f>SUMIF(DATA!$A:$A,PPL!$A42,DATA!J:J)</f>
        <v>0</v>
      </c>
      <c r="M42">
        <f t="shared" si="4"/>
        <v>486</v>
      </c>
      <c r="N42">
        <f t="shared" si="1"/>
        <v>805</v>
      </c>
      <c r="O42" s="3">
        <f t="shared" si="2"/>
        <v>88.074398249452955</v>
      </c>
      <c r="P42">
        <f t="shared" si="3"/>
        <v>109</v>
      </c>
      <c r="Q42">
        <f>SUMIF(DATA!A:A,PPL!A42,DATA!N:N)</f>
        <v>319</v>
      </c>
    </row>
    <row r="43" spans="1:17" x14ac:dyDescent="0.25">
      <c r="A43" t="s">
        <v>50</v>
      </c>
      <c r="B43" t="s">
        <v>288</v>
      </c>
      <c r="C43" t="s">
        <v>169</v>
      </c>
      <c r="D43" t="str">
        <f>VLOOKUP(C43,PML!A:B,2,0)</f>
        <v>Rudy</v>
      </c>
      <c r="E43">
        <f>SUMIF(DATA!$A:$A,PPL!$A43,DATA!C:C)</f>
        <v>870</v>
      </c>
      <c r="F43">
        <f>SUMIF(DATA!$A:$A,PPL!$A43,DATA!D:D)</f>
        <v>295</v>
      </c>
      <c r="G43">
        <f>SUMIF(DATA!$A:$A,PPL!$A43,DATA!E:E)</f>
        <v>0</v>
      </c>
      <c r="H43">
        <f>SUMIF(DATA!$A:$A,PPL!$A43,DATA!F:F)</f>
        <v>0</v>
      </c>
      <c r="I43">
        <f>SUMIF(DATA!$A:$A,PPL!$A43,DATA!G:G)</f>
        <v>9</v>
      </c>
      <c r="J43">
        <f>SUMIF(DATA!$A:$A,PPL!$A43,DATA!H:H)</f>
        <v>1</v>
      </c>
      <c r="K43">
        <f>SUMIF(DATA!$A:$A,PPL!$A43,DATA!I:I)</f>
        <v>565</v>
      </c>
      <c r="L43">
        <f>SUMIF(DATA!$A:$A,PPL!$A43,DATA!J:J)</f>
        <v>0</v>
      </c>
      <c r="M43">
        <f t="shared" si="4"/>
        <v>512</v>
      </c>
      <c r="N43">
        <f t="shared" si="1"/>
        <v>870</v>
      </c>
      <c r="O43" s="3">
        <f t="shared" si="2"/>
        <v>100</v>
      </c>
      <c r="P43">
        <f t="shared" si="3"/>
        <v>0</v>
      </c>
      <c r="Q43">
        <f>SUMIF(DATA!A:A,PPL!A43,DATA!N:N)</f>
        <v>358</v>
      </c>
    </row>
    <row r="44" spans="1:17" x14ac:dyDescent="0.25">
      <c r="A44" t="s">
        <v>51</v>
      </c>
      <c r="B44" t="s">
        <v>289</v>
      </c>
      <c r="C44" t="s">
        <v>170</v>
      </c>
      <c r="D44" t="str">
        <f>VLOOKUP(C44,PML!A:B,2,0)</f>
        <v>Iska</v>
      </c>
      <c r="E44">
        <f>SUMIF(DATA!$A:$A,PPL!$A44,DATA!C:C)</f>
        <v>621</v>
      </c>
      <c r="F44">
        <f>SUMIF(DATA!$A:$A,PPL!$A44,DATA!D:D)</f>
        <v>570</v>
      </c>
      <c r="G44">
        <f>SUMIF(DATA!$A:$A,PPL!$A44,DATA!E:E)</f>
        <v>0</v>
      </c>
      <c r="H44">
        <f>SUMIF(DATA!$A:$A,PPL!$A44,DATA!F:F)</f>
        <v>0</v>
      </c>
      <c r="I44">
        <f>SUMIF(DATA!$A:$A,PPL!$A44,DATA!G:G)</f>
        <v>2</v>
      </c>
      <c r="J44">
        <f>SUMIF(DATA!$A:$A,PPL!$A44,DATA!H:H)</f>
        <v>0</v>
      </c>
      <c r="K44">
        <f>SUMIF(DATA!$A:$A,PPL!$A44,DATA!I:I)</f>
        <v>49</v>
      </c>
      <c r="L44">
        <f>SUMIF(DATA!$A:$A,PPL!$A44,DATA!J:J)</f>
        <v>0</v>
      </c>
      <c r="M44">
        <f t="shared" si="4"/>
        <v>350</v>
      </c>
      <c r="N44">
        <f t="shared" si="1"/>
        <v>621</v>
      </c>
      <c r="O44" s="3">
        <f t="shared" si="2"/>
        <v>100</v>
      </c>
      <c r="P44">
        <f t="shared" si="3"/>
        <v>0</v>
      </c>
      <c r="Q44">
        <f>SUMIF(DATA!A:A,PPL!A44,DATA!N:N)</f>
        <v>271</v>
      </c>
    </row>
    <row r="45" spans="1:17" x14ac:dyDescent="0.25">
      <c r="A45" t="s">
        <v>52</v>
      </c>
      <c r="B45" t="s">
        <v>290</v>
      </c>
      <c r="C45" t="s">
        <v>169</v>
      </c>
      <c r="D45" t="str">
        <f>VLOOKUP(C45,PML!A:B,2,0)</f>
        <v>Rudy</v>
      </c>
      <c r="E45">
        <f>SUMIF(DATA!$A:$A,PPL!$A45,DATA!C:C)</f>
        <v>670</v>
      </c>
      <c r="F45">
        <f>SUMIF(DATA!$A:$A,PPL!$A45,DATA!D:D)</f>
        <v>670</v>
      </c>
      <c r="G45">
        <f>SUMIF(DATA!$A:$A,PPL!$A45,DATA!E:E)</f>
        <v>0</v>
      </c>
      <c r="H45">
        <f>SUMIF(DATA!$A:$A,PPL!$A45,DATA!F:F)</f>
        <v>0</v>
      </c>
      <c r="I45">
        <f>SUMIF(DATA!$A:$A,PPL!$A45,DATA!G:G)</f>
        <v>0</v>
      </c>
      <c r="J45">
        <f>SUMIF(DATA!$A:$A,PPL!$A45,DATA!H:H)</f>
        <v>0</v>
      </c>
      <c r="K45">
        <f>SUMIF(DATA!$A:$A,PPL!$A45,DATA!I:I)</f>
        <v>0</v>
      </c>
      <c r="L45">
        <f>SUMIF(DATA!$A:$A,PPL!$A45,DATA!J:J)</f>
        <v>0</v>
      </c>
      <c r="M45">
        <f t="shared" si="4"/>
        <v>409</v>
      </c>
      <c r="N45">
        <f t="shared" si="1"/>
        <v>670</v>
      </c>
      <c r="O45" s="3">
        <f t="shared" si="2"/>
        <v>100</v>
      </c>
      <c r="P45">
        <f t="shared" si="3"/>
        <v>0</v>
      </c>
      <c r="Q45">
        <f>SUMIF(DATA!A:A,PPL!A45,DATA!N:N)</f>
        <v>261</v>
      </c>
    </row>
    <row r="46" spans="1:17" x14ac:dyDescent="0.25">
      <c r="A46" t="s">
        <v>53</v>
      </c>
      <c r="B46" t="s">
        <v>291</v>
      </c>
      <c r="C46" t="s">
        <v>168</v>
      </c>
      <c r="D46" t="str">
        <f>VLOOKUP(C46,PML!A:B,2,0)</f>
        <v>Handoko</v>
      </c>
      <c r="E46">
        <f>SUMIF(DATA!$A:$A,PPL!$A46,DATA!C:C)</f>
        <v>687</v>
      </c>
      <c r="F46">
        <f>SUMIF(DATA!$A:$A,PPL!$A46,DATA!D:D)</f>
        <v>437</v>
      </c>
      <c r="G46">
        <f>SUMIF(DATA!$A:$A,PPL!$A46,DATA!E:E)</f>
        <v>4</v>
      </c>
      <c r="H46">
        <f>SUMIF(DATA!$A:$A,PPL!$A46,DATA!F:F)</f>
        <v>0</v>
      </c>
      <c r="I46">
        <f>SUMIF(DATA!$A:$A,PPL!$A46,DATA!G:G)</f>
        <v>37</v>
      </c>
      <c r="J46">
        <f>SUMIF(DATA!$A:$A,PPL!$A46,DATA!H:H)</f>
        <v>2</v>
      </c>
      <c r="K46">
        <f>SUMIF(DATA!$A:$A,PPL!$A46,DATA!I:I)</f>
        <v>207</v>
      </c>
      <c r="L46">
        <f>SUMIF(DATA!$A:$A,PPL!$A46,DATA!J:J)</f>
        <v>0</v>
      </c>
      <c r="M46">
        <f t="shared" si="4"/>
        <v>316</v>
      </c>
      <c r="N46">
        <f t="shared" si="1"/>
        <v>683</v>
      </c>
      <c r="O46" s="3">
        <f t="shared" si="2"/>
        <v>99.41775836972343</v>
      </c>
      <c r="P46">
        <f t="shared" si="3"/>
        <v>4</v>
      </c>
      <c r="Q46">
        <f>SUMIF(DATA!A:A,PPL!A46,DATA!N:N)</f>
        <v>367</v>
      </c>
    </row>
    <row r="47" spans="1:17" x14ac:dyDescent="0.25">
      <c r="A47" t="s">
        <v>54</v>
      </c>
      <c r="B47" t="s">
        <v>292</v>
      </c>
      <c r="C47" t="s">
        <v>168</v>
      </c>
      <c r="D47" t="str">
        <f>VLOOKUP(C47,PML!A:B,2,0)</f>
        <v>Handoko</v>
      </c>
      <c r="E47">
        <f>SUMIF(DATA!$A:$A,PPL!$A47,DATA!C:C)</f>
        <v>740</v>
      </c>
      <c r="F47">
        <f>SUMIF(DATA!$A:$A,PPL!$A47,DATA!D:D)</f>
        <v>399</v>
      </c>
      <c r="G47">
        <f>SUMIF(DATA!$A:$A,PPL!$A47,DATA!E:E)</f>
        <v>0</v>
      </c>
      <c r="H47">
        <f>SUMIF(DATA!$A:$A,PPL!$A47,DATA!F:F)</f>
        <v>0</v>
      </c>
      <c r="I47">
        <f>SUMIF(DATA!$A:$A,PPL!$A47,DATA!G:G)</f>
        <v>0</v>
      </c>
      <c r="J47">
        <f>SUMIF(DATA!$A:$A,PPL!$A47,DATA!H:H)</f>
        <v>1</v>
      </c>
      <c r="K47">
        <f>SUMIF(DATA!$A:$A,PPL!$A47,DATA!I:I)</f>
        <v>340</v>
      </c>
      <c r="L47">
        <f>SUMIF(DATA!$A:$A,PPL!$A47,DATA!J:J)</f>
        <v>0</v>
      </c>
      <c r="M47">
        <f t="shared" si="4"/>
        <v>391</v>
      </c>
      <c r="N47">
        <f t="shared" si="1"/>
        <v>740</v>
      </c>
      <c r="O47" s="3">
        <f t="shared" si="2"/>
        <v>100</v>
      </c>
      <c r="P47">
        <f t="shared" si="3"/>
        <v>0</v>
      </c>
      <c r="Q47">
        <f>SUMIF(DATA!A:A,PPL!A47,DATA!N:N)</f>
        <v>349</v>
      </c>
    </row>
    <row r="48" spans="1:17" x14ac:dyDescent="0.25">
      <c r="A48" t="s">
        <v>55</v>
      </c>
      <c r="B48" t="s">
        <v>293</v>
      </c>
      <c r="C48" t="s">
        <v>168</v>
      </c>
      <c r="D48" t="str">
        <f>VLOOKUP(C48,PML!A:B,2,0)</f>
        <v>Handoko</v>
      </c>
      <c r="E48">
        <f>SUMIF(DATA!$A:$A,PPL!$A48,DATA!C:C)</f>
        <v>711</v>
      </c>
      <c r="F48">
        <f>SUMIF(DATA!$A:$A,PPL!$A48,DATA!D:D)</f>
        <v>294</v>
      </c>
      <c r="G48">
        <f>SUMIF(DATA!$A:$A,PPL!$A48,DATA!E:E)</f>
        <v>0</v>
      </c>
      <c r="H48">
        <f>SUMIF(DATA!$A:$A,PPL!$A48,DATA!F:F)</f>
        <v>0</v>
      </c>
      <c r="I48">
        <f>SUMIF(DATA!$A:$A,PPL!$A48,DATA!G:G)</f>
        <v>0</v>
      </c>
      <c r="J48">
        <f>SUMIF(DATA!$A:$A,PPL!$A48,DATA!H:H)</f>
        <v>1</v>
      </c>
      <c r="K48">
        <f>SUMIF(DATA!$A:$A,PPL!$A48,DATA!I:I)</f>
        <v>416</v>
      </c>
      <c r="L48">
        <f>SUMIF(DATA!$A:$A,PPL!$A48,DATA!J:J)</f>
        <v>0</v>
      </c>
      <c r="M48">
        <f t="shared" si="4"/>
        <v>371</v>
      </c>
      <c r="N48">
        <f t="shared" si="1"/>
        <v>711</v>
      </c>
      <c r="O48" s="3">
        <f t="shared" si="2"/>
        <v>100</v>
      </c>
      <c r="P48">
        <f t="shared" si="3"/>
        <v>0</v>
      </c>
      <c r="Q48">
        <f>SUMIF(DATA!A:A,PPL!A48,DATA!N:N)</f>
        <v>340</v>
      </c>
    </row>
    <row r="49" spans="1:17" x14ac:dyDescent="0.25">
      <c r="A49" t="s">
        <v>56</v>
      </c>
      <c r="B49" t="s">
        <v>294</v>
      </c>
      <c r="C49" t="s">
        <v>168</v>
      </c>
      <c r="D49" t="str">
        <f>VLOOKUP(C49,PML!A:B,2,0)</f>
        <v>Handoko</v>
      </c>
      <c r="E49">
        <f>SUMIF(DATA!$A:$A,PPL!$A49,DATA!C:C)</f>
        <v>838</v>
      </c>
      <c r="F49">
        <f>SUMIF(DATA!$A:$A,PPL!$A49,DATA!D:D)</f>
        <v>270</v>
      </c>
      <c r="G49">
        <f>SUMIF(DATA!$A:$A,PPL!$A49,DATA!E:E)</f>
        <v>20</v>
      </c>
      <c r="H49">
        <f>SUMIF(DATA!$A:$A,PPL!$A49,DATA!F:F)</f>
        <v>0</v>
      </c>
      <c r="I49">
        <f>SUMIF(DATA!$A:$A,PPL!$A49,DATA!G:G)</f>
        <v>0</v>
      </c>
      <c r="J49">
        <f>SUMIF(DATA!$A:$A,PPL!$A49,DATA!H:H)</f>
        <v>0</v>
      </c>
      <c r="K49">
        <f>SUMIF(DATA!$A:$A,PPL!$A49,DATA!I:I)</f>
        <v>548</v>
      </c>
      <c r="L49">
        <f>SUMIF(DATA!$A:$A,PPL!$A49,DATA!J:J)</f>
        <v>0</v>
      </c>
      <c r="M49">
        <f t="shared" si="4"/>
        <v>433</v>
      </c>
      <c r="N49">
        <f t="shared" si="1"/>
        <v>818</v>
      </c>
      <c r="O49" s="3">
        <f t="shared" si="2"/>
        <v>97.613365155131262</v>
      </c>
      <c r="P49">
        <f t="shared" si="3"/>
        <v>20</v>
      </c>
      <c r="Q49">
        <f>SUMIF(DATA!A:A,PPL!A49,DATA!N:N)</f>
        <v>385</v>
      </c>
    </row>
    <row r="50" spans="1:17" x14ac:dyDescent="0.25">
      <c r="A50" t="s">
        <v>57</v>
      </c>
      <c r="B50" t="s">
        <v>295</v>
      </c>
      <c r="C50" t="s">
        <v>170</v>
      </c>
      <c r="D50" t="str">
        <f>VLOOKUP(C50,PML!A:B,2,0)</f>
        <v>Iska</v>
      </c>
      <c r="E50">
        <f>SUMIF(DATA!$A:$A,PPL!$A50,DATA!C:C)</f>
        <v>822</v>
      </c>
      <c r="F50">
        <f>SUMIF(DATA!$A:$A,PPL!$A50,DATA!D:D)</f>
        <v>663</v>
      </c>
      <c r="G50">
        <f>SUMIF(DATA!$A:$A,PPL!$A50,DATA!E:E)</f>
        <v>5</v>
      </c>
      <c r="H50">
        <f>SUMIF(DATA!$A:$A,PPL!$A50,DATA!F:F)</f>
        <v>0</v>
      </c>
      <c r="I50">
        <f>SUMIF(DATA!$A:$A,PPL!$A50,DATA!G:G)</f>
        <v>0</v>
      </c>
      <c r="J50">
        <f>SUMIF(DATA!$A:$A,PPL!$A50,DATA!H:H)</f>
        <v>1</v>
      </c>
      <c r="K50">
        <f>SUMIF(DATA!$A:$A,PPL!$A50,DATA!I:I)</f>
        <v>153</v>
      </c>
      <c r="L50">
        <f>SUMIF(DATA!$A:$A,PPL!$A50,DATA!J:J)</f>
        <v>0</v>
      </c>
      <c r="M50">
        <f t="shared" si="4"/>
        <v>430</v>
      </c>
      <c r="N50">
        <f t="shared" si="1"/>
        <v>817</v>
      </c>
      <c r="O50" s="3">
        <f t="shared" si="2"/>
        <v>99.391727493917273</v>
      </c>
      <c r="P50">
        <f t="shared" si="3"/>
        <v>5</v>
      </c>
      <c r="Q50">
        <f>SUMIF(DATA!A:A,PPL!A50,DATA!N:N)</f>
        <v>387</v>
      </c>
    </row>
    <row r="51" spans="1:17" x14ac:dyDescent="0.25">
      <c r="A51" t="s">
        <v>58</v>
      </c>
      <c r="B51" t="s">
        <v>296</v>
      </c>
      <c r="C51" t="s">
        <v>170</v>
      </c>
      <c r="D51" t="str">
        <f>VLOOKUP(C51,PML!A:B,2,0)</f>
        <v>Iska</v>
      </c>
      <c r="E51">
        <f>SUMIF(DATA!$A:$A,PPL!$A51,DATA!C:C)</f>
        <v>675</v>
      </c>
      <c r="F51">
        <f>SUMIF(DATA!$A:$A,PPL!$A51,DATA!D:D)</f>
        <v>529</v>
      </c>
      <c r="G51">
        <f>SUMIF(DATA!$A:$A,PPL!$A51,DATA!E:E)</f>
        <v>1</v>
      </c>
      <c r="H51">
        <f>SUMIF(DATA!$A:$A,PPL!$A51,DATA!F:F)</f>
        <v>0</v>
      </c>
      <c r="I51">
        <f>SUMIF(DATA!$A:$A,PPL!$A51,DATA!G:G)</f>
        <v>41</v>
      </c>
      <c r="J51">
        <f>SUMIF(DATA!$A:$A,PPL!$A51,DATA!H:H)</f>
        <v>0</v>
      </c>
      <c r="K51">
        <f>SUMIF(DATA!$A:$A,PPL!$A51,DATA!I:I)</f>
        <v>104</v>
      </c>
      <c r="L51">
        <f>SUMIF(DATA!$A:$A,PPL!$A51,DATA!J:J)</f>
        <v>0</v>
      </c>
      <c r="M51">
        <f t="shared" si="4"/>
        <v>370</v>
      </c>
      <c r="N51">
        <f t="shared" si="1"/>
        <v>674</v>
      </c>
      <c r="O51" s="3">
        <f t="shared" si="2"/>
        <v>99.851851851851848</v>
      </c>
      <c r="P51">
        <f t="shared" si="3"/>
        <v>1</v>
      </c>
      <c r="Q51">
        <f>SUMIF(DATA!A:A,PPL!A51,DATA!N:N)</f>
        <v>304</v>
      </c>
    </row>
    <row r="52" spans="1:17" x14ac:dyDescent="0.25">
      <c r="A52" t="s">
        <v>59</v>
      </c>
      <c r="B52" t="s">
        <v>297</v>
      </c>
      <c r="C52" t="s">
        <v>170</v>
      </c>
      <c r="D52" t="str">
        <f>VLOOKUP(C52,PML!A:B,2,0)</f>
        <v>Iska</v>
      </c>
      <c r="E52">
        <f>SUMIF(DATA!$A:$A,PPL!$A52,DATA!C:C)</f>
        <v>976</v>
      </c>
      <c r="F52">
        <f>SUMIF(DATA!$A:$A,PPL!$A52,DATA!D:D)</f>
        <v>697</v>
      </c>
      <c r="G52">
        <f>SUMIF(DATA!$A:$A,PPL!$A52,DATA!E:E)</f>
        <v>0</v>
      </c>
      <c r="H52">
        <f>SUMIF(DATA!$A:$A,PPL!$A52,DATA!F:F)</f>
        <v>0</v>
      </c>
      <c r="I52">
        <f>SUMIF(DATA!$A:$A,PPL!$A52,DATA!G:G)</f>
        <v>0</v>
      </c>
      <c r="J52">
        <f>SUMIF(DATA!$A:$A,PPL!$A52,DATA!H:H)</f>
        <v>0</v>
      </c>
      <c r="K52">
        <f>SUMIF(DATA!$A:$A,PPL!$A52,DATA!I:I)</f>
        <v>279</v>
      </c>
      <c r="L52">
        <f>SUMIF(DATA!$A:$A,PPL!$A52,DATA!J:J)</f>
        <v>0</v>
      </c>
      <c r="M52">
        <f t="shared" si="4"/>
        <v>568</v>
      </c>
      <c r="N52">
        <f t="shared" si="1"/>
        <v>976</v>
      </c>
      <c r="O52" s="3">
        <f t="shared" si="2"/>
        <v>100</v>
      </c>
      <c r="P52">
        <f t="shared" si="3"/>
        <v>0</v>
      </c>
      <c r="Q52">
        <f>SUMIF(DATA!A:A,PPL!A52,DATA!N:N)</f>
        <v>408</v>
      </c>
    </row>
    <row r="53" spans="1:17" x14ac:dyDescent="0.25">
      <c r="A53" t="s">
        <v>60</v>
      </c>
      <c r="B53" t="s">
        <v>298</v>
      </c>
      <c r="C53" t="s">
        <v>170</v>
      </c>
      <c r="D53" t="str">
        <f>VLOOKUP(C53,PML!A:B,2,0)</f>
        <v>Iska</v>
      </c>
      <c r="E53">
        <f>SUMIF(DATA!$A:$A,PPL!$A53,DATA!C:C)</f>
        <v>666</v>
      </c>
      <c r="F53">
        <f>SUMIF(DATA!$A:$A,PPL!$A53,DATA!D:D)</f>
        <v>549</v>
      </c>
      <c r="G53">
        <f>SUMIF(DATA!$A:$A,PPL!$A53,DATA!E:E)</f>
        <v>0</v>
      </c>
      <c r="H53">
        <f>SUMIF(DATA!$A:$A,PPL!$A53,DATA!F:F)</f>
        <v>0</v>
      </c>
      <c r="I53">
        <f>SUMIF(DATA!$A:$A,PPL!$A53,DATA!G:G)</f>
        <v>0</v>
      </c>
      <c r="J53">
        <f>SUMIF(DATA!$A:$A,PPL!$A53,DATA!H:H)</f>
        <v>0</v>
      </c>
      <c r="K53">
        <f>SUMIF(DATA!$A:$A,PPL!$A53,DATA!I:I)</f>
        <v>117</v>
      </c>
      <c r="L53">
        <f>SUMIF(DATA!$A:$A,PPL!$A53,DATA!J:J)</f>
        <v>0</v>
      </c>
      <c r="M53">
        <f t="shared" si="4"/>
        <v>311</v>
      </c>
      <c r="N53">
        <f t="shared" si="1"/>
        <v>666</v>
      </c>
      <c r="O53" s="3">
        <f t="shared" si="2"/>
        <v>100</v>
      </c>
      <c r="P53">
        <f t="shared" si="3"/>
        <v>0</v>
      </c>
      <c r="Q53">
        <f>SUMIF(DATA!A:A,PPL!A53,DATA!N:N)</f>
        <v>355</v>
      </c>
    </row>
    <row r="54" spans="1:17" x14ac:dyDescent="0.25">
      <c r="A54" t="s">
        <v>61</v>
      </c>
      <c r="B54" t="s">
        <v>299</v>
      </c>
      <c r="C54" t="s">
        <v>170</v>
      </c>
      <c r="D54" t="str">
        <f>VLOOKUP(C54,PML!A:B,2,0)</f>
        <v>Iska</v>
      </c>
      <c r="E54">
        <f>SUMIF(DATA!$A:$A,PPL!$A54,DATA!C:C)</f>
        <v>728</v>
      </c>
      <c r="F54">
        <f>SUMIF(DATA!$A:$A,PPL!$A54,DATA!D:D)</f>
        <v>701</v>
      </c>
      <c r="G54">
        <f>SUMIF(DATA!$A:$A,PPL!$A54,DATA!E:E)</f>
        <v>0</v>
      </c>
      <c r="H54">
        <f>SUMIF(DATA!$A:$A,PPL!$A54,DATA!F:F)</f>
        <v>0</v>
      </c>
      <c r="I54">
        <f>SUMIF(DATA!$A:$A,PPL!$A54,DATA!G:G)</f>
        <v>0</v>
      </c>
      <c r="J54">
        <f>SUMIF(DATA!$A:$A,PPL!$A54,DATA!H:H)</f>
        <v>0</v>
      </c>
      <c r="K54">
        <f>SUMIF(DATA!$A:$A,PPL!$A54,DATA!I:I)</f>
        <v>27</v>
      </c>
      <c r="L54">
        <f>SUMIF(DATA!$A:$A,PPL!$A54,DATA!J:J)</f>
        <v>0</v>
      </c>
      <c r="M54">
        <f t="shared" si="4"/>
        <v>347</v>
      </c>
      <c r="N54">
        <f t="shared" si="1"/>
        <v>728</v>
      </c>
      <c r="O54" s="3">
        <f t="shared" si="2"/>
        <v>100</v>
      </c>
      <c r="P54">
        <f t="shared" si="3"/>
        <v>0</v>
      </c>
      <c r="Q54">
        <f>SUMIF(DATA!A:A,PPL!A54,DATA!N:N)</f>
        <v>381</v>
      </c>
    </row>
    <row r="55" spans="1:17" x14ac:dyDescent="0.25">
      <c r="A55" t="s">
        <v>63</v>
      </c>
      <c r="B55" t="s">
        <v>300</v>
      </c>
      <c r="C55" t="s">
        <v>168</v>
      </c>
      <c r="D55" t="str">
        <f>VLOOKUP(C55,PML!A:B,2,0)</f>
        <v>Handoko</v>
      </c>
      <c r="E55">
        <f>SUMIF(DATA!$A:$A,PPL!$A55,DATA!C:C)</f>
        <v>742</v>
      </c>
      <c r="F55">
        <f>SUMIF(DATA!$A:$A,PPL!$A55,DATA!D:D)</f>
        <v>213</v>
      </c>
      <c r="G55">
        <f>SUMIF(DATA!$A:$A,PPL!$A55,DATA!E:E)</f>
        <v>28</v>
      </c>
      <c r="H55">
        <f>SUMIF(DATA!$A:$A,PPL!$A55,DATA!F:F)</f>
        <v>0</v>
      </c>
      <c r="I55">
        <f>SUMIF(DATA!$A:$A,PPL!$A55,DATA!G:G)</f>
        <v>31</v>
      </c>
      <c r="J55">
        <f>SUMIF(DATA!$A:$A,PPL!$A55,DATA!H:H)</f>
        <v>5</v>
      </c>
      <c r="K55">
        <f>SUMIF(DATA!$A:$A,PPL!$A55,DATA!I:I)</f>
        <v>465</v>
      </c>
      <c r="L55">
        <f>SUMIF(DATA!$A:$A,PPL!$A55,DATA!J:J)</f>
        <v>0</v>
      </c>
      <c r="M55">
        <f t="shared" si="4"/>
        <v>316</v>
      </c>
      <c r="N55">
        <f t="shared" si="1"/>
        <v>714</v>
      </c>
      <c r="O55" s="3">
        <f t="shared" si="2"/>
        <v>96.226415094339629</v>
      </c>
      <c r="P55">
        <f t="shared" si="3"/>
        <v>28</v>
      </c>
      <c r="Q55">
        <f>SUMIF(DATA!A:A,PPL!A55,DATA!N:N)</f>
        <v>398</v>
      </c>
    </row>
    <row r="56" spans="1:17" x14ac:dyDescent="0.25">
      <c r="A56" t="s">
        <v>64</v>
      </c>
      <c r="B56" t="s">
        <v>301</v>
      </c>
      <c r="C56" t="s">
        <v>170</v>
      </c>
      <c r="D56" t="str">
        <f>VLOOKUP(C56,PML!A:B,2,0)</f>
        <v>Iska</v>
      </c>
      <c r="E56">
        <f>SUMIF(DATA!$A:$A,PPL!$A56,DATA!C:C)</f>
        <v>754</v>
      </c>
      <c r="F56">
        <f>SUMIF(DATA!$A:$A,PPL!$A56,DATA!D:D)</f>
        <v>371</v>
      </c>
      <c r="G56">
        <f>SUMIF(DATA!$A:$A,PPL!$A56,DATA!E:E)</f>
        <v>0</v>
      </c>
      <c r="H56">
        <f>SUMIF(DATA!$A:$A,PPL!$A56,DATA!F:F)</f>
        <v>0</v>
      </c>
      <c r="I56">
        <f>SUMIF(DATA!$A:$A,PPL!$A56,DATA!G:G)</f>
        <v>1</v>
      </c>
      <c r="J56">
        <f>SUMIF(DATA!$A:$A,PPL!$A56,DATA!H:H)</f>
        <v>0</v>
      </c>
      <c r="K56">
        <f>SUMIF(DATA!$A:$A,PPL!$A56,DATA!I:I)</f>
        <v>382</v>
      </c>
      <c r="L56">
        <f>SUMIF(DATA!$A:$A,PPL!$A56,DATA!J:J)</f>
        <v>0</v>
      </c>
      <c r="M56">
        <f t="shared" si="4"/>
        <v>415</v>
      </c>
      <c r="N56">
        <f t="shared" si="1"/>
        <v>754</v>
      </c>
      <c r="O56" s="3">
        <f t="shared" si="2"/>
        <v>100</v>
      </c>
      <c r="P56">
        <f t="shared" si="3"/>
        <v>0</v>
      </c>
      <c r="Q56">
        <f>SUMIF(DATA!A:A,PPL!A56,DATA!N:N)</f>
        <v>339</v>
      </c>
    </row>
    <row r="57" spans="1:17" x14ac:dyDescent="0.25">
      <c r="A57" t="s">
        <v>65</v>
      </c>
      <c r="B57" t="s">
        <v>302</v>
      </c>
      <c r="C57" t="s">
        <v>180</v>
      </c>
      <c r="D57" t="str">
        <f>VLOOKUP(C57,PML!A:B,2,0)</f>
        <v>Alfian</v>
      </c>
      <c r="E57">
        <f>SUMIF(DATA!$A:$A,PPL!$A57,DATA!C:C)</f>
        <v>798</v>
      </c>
      <c r="F57">
        <f>SUMIF(DATA!$A:$A,PPL!$A57,DATA!D:D)</f>
        <v>798</v>
      </c>
      <c r="G57">
        <f>SUMIF(DATA!$A:$A,PPL!$A57,DATA!E:E)</f>
        <v>0</v>
      </c>
      <c r="H57">
        <f>SUMIF(DATA!$A:$A,PPL!$A57,DATA!F:F)</f>
        <v>0</v>
      </c>
      <c r="I57">
        <f>SUMIF(DATA!$A:$A,PPL!$A57,DATA!G:G)</f>
        <v>0</v>
      </c>
      <c r="J57">
        <f>SUMIF(DATA!$A:$A,PPL!$A57,DATA!H:H)</f>
        <v>0</v>
      </c>
      <c r="K57">
        <f>SUMIF(DATA!$A:$A,PPL!$A57,DATA!I:I)</f>
        <v>0</v>
      </c>
      <c r="L57">
        <f>SUMIF(DATA!$A:$A,PPL!$A57,DATA!J:J)</f>
        <v>0</v>
      </c>
      <c r="M57">
        <f t="shared" si="4"/>
        <v>451</v>
      </c>
      <c r="N57">
        <f t="shared" si="1"/>
        <v>798</v>
      </c>
      <c r="O57" s="3">
        <f t="shared" si="2"/>
        <v>100</v>
      </c>
      <c r="P57">
        <f t="shared" si="3"/>
        <v>0</v>
      </c>
      <c r="Q57">
        <f>SUMIF(DATA!A:A,PPL!A57,DATA!N:N)</f>
        <v>347</v>
      </c>
    </row>
    <row r="58" spans="1:17" x14ac:dyDescent="0.25">
      <c r="A58" t="s">
        <v>66</v>
      </c>
      <c r="B58" t="s">
        <v>303</v>
      </c>
      <c r="C58" t="s">
        <v>169</v>
      </c>
      <c r="D58" t="str">
        <f>VLOOKUP(C58,PML!A:B,2,0)</f>
        <v>Rudy</v>
      </c>
      <c r="E58">
        <f>SUMIF(DATA!$A:$A,PPL!$A58,DATA!C:C)</f>
        <v>848</v>
      </c>
      <c r="F58">
        <f>SUMIF(DATA!$A:$A,PPL!$A58,DATA!D:D)</f>
        <v>695</v>
      </c>
      <c r="G58">
        <f>SUMIF(DATA!$A:$A,PPL!$A58,DATA!E:E)</f>
        <v>0</v>
      </c>
      <c r="H58">
        <f>SUMIF(DATA!$A:$A,PPL!$A58,DATA!F:F)</f>
        <v>0</v>
      </c>
      <c r="I58">
        <f>SUMIF(DATA!$A:$A,PPL!$A58,DATA!G:G)</f>
        <v>9</v>
      </c>
      <c r="J58">
        <f>SUMIF(DATA!$A:$A,PPL!$A58,DATA!H:H)</f>
        <v>1</v>
      </c>
      <c r="K58">
        <f>SUMIF(DATA!$A:$A,PPL!$A58,DATA!I:I)</f>
        <v>143</v>
      </c>
      <c r="L58">
        <f>SUMIF(DATA!$A:$A,PPL!$A58,DATA!J:J)</f>
        <v>0</v>
      </c>
      <c r="M58">
        <f t="shared" si="4"/>
        <v>502</v>
      </c>
      <c r="N58">
        <f t="shared" si="1"/>
        <v>848</v>
      </c>
      <c r="O58" s="3">
        <f t="shared" si="2"/>
        <v>100</v>
      </c>
      <c r="P58">
        <f t="shared" si="3"/>
        <v>0</v>
      </c>
      <c r="Q58">
        <f>SUMIF(DATA!A:A,PPL!A58,DATA!N:N)</f>
        <v>346</v>
      </c>
    </row>
    <row r="59" spans="1:17" x14ac:dyDescent="0.25">
      <c r="A59" t="s">
        <v>67</v>
      </c>
      <c r="B59" t="s">
        <v>304</v>
      </c>
      <c r="C59" t="s">
        <v>169</v>
      </c>
      <c r="D59" t="str">
        <f>VLOOKUP(C59,PML!A:B,2,0)</f>
        <v>Rudy</v>
      </c>
      <c r="E59">
        <f>SUMIF(DATA!$A:$A,PPL!$A59,DATA!C:C)</f>
        <v>856</v>
      </c>
      <c r="F59">
        <f>SUMIF(DATA!$A:$A,PPL!$A59,DATA!D:D)</f>
        <v>833</v>
      </c>
      <c r="G59">
        <f>SUMIF(DATA!$A:$A,PPL!$A59,DATA!E:E)</f>
        <v>0</v>
      </c>
      <c r="H59">
        <f>SUMIF(DATA!$A:$A,PPL!$A59,DATA!F:F)</f>
        <v>0</v>
      </c>
      <c r="I59">
        <f>SUMIF(DATA!$A:$A,PPL!$A59,DATA!G:G)</f>
        <v>0</v>
      </c>
      <c r="J59">
        <f>SUMIF(DATA!$A:$A,PPL!$A59,DATA!H:H)</f>
        <v>0</v>
      </c>
      <c r="K59">
        <f>SUMIF(DATA!$A:$A,PPL!$A59,DATA!I:I)</f>
        <v>23</v>
      </c>
      <c r="L59">
        <f>SUMIF(DATA!$A:$A,PPL!$A59,DATA!J:J)</f>
        <v>0</v>
      </c>
      <c r="M59">
        <f t="shared" si="4"/>
        <v>419</v>
      </c>
      <c r="N59">
        <f t="shared" si="1"/>
        <v>856</v>
      </c>
      <c r="O59" s="3">
        <f t="shared" si="2"/>
        <v>100</v>
      </c>
      <c r="P59">
        <f t="shared" si="3"/>
        <v>0</v>
      </c>
      <c r="Q59">
        <f>SUMIF(DATA!A:A,PPL!A59,DATA!N:N)</f>
        <v>437</v>
      </c>
    </row>
    <row r="60" spans="1:17" x14ac:dyDescent="0.25">
      <c r="A60" t="s">
        <v>68</v>
      </c>
      <c r="B60" t="s">
        <v>305</v>
      </c>
      <c r="C60" t="s">
        <v>169</v>
      </c>
      <c r="D60" t="str">
        <f>VLOOKUP(C60,PML!A:B,2,0)</f>
        <v>Rudy</v>
      </c>
      <c r="E60">
        <f>SUMIF(DATA!$A:$A,PPL!$A60,DATA!C:C)</f>
        <v>906</v>
      </c>
      <c r="F60">
        <f>SUMIF(DATA!$A:$A,PPL!$A60,DATA!D:D)</f>
        <v>563</v>
      </c>
      <c r="G60">
        <f>SUMIF(DATA!$A:$A,PPL!$A60,DATA!E:E)</f>
        <v>1</v>
      </c>
      <c r="H60">
        <f>SUMIF(DATA!$A:$A,PPL!$A60,DATA!F:F)</f>
        <v>0</v>
      </c>
      <c r="I60">
        <f>SUMIF(DATA!$A:$A,PPL!$A60,DATA!G:G)</f>
        <v>27</v>
      </c>
      <c r="J60">
        <f>SUMIF(DATA!$A:$A,PPL!$A60,DATA!H:H)</f>
        <v>0</v>
      </c>
      <c r="K60">
        <f>SUMIF(DATA!$A:$A,PPL!$A60,DATA!I:I)</f>
        <v>315</v>
      </c>
      <c r="L60">
        <f>SUMIF(DATA!$A:$A,PPL!$A60,DATA!J:J)</f>
        <v>0</v>
      </c>
      <c r="M60">
        <f t="shared" si="4"/>
        <v>548</v>
      </c>
      <c r="N60">
        <f t="shared" si="1"/>
        <v>905</v>
      </c>
      <c r="O60" s="3">
        <f t="shared" si="2"/>
        <v>99.889624724061804</v>
      </c>
      <c r="P60">
        <f t="shared" si="3"/>
        <v>1</v>
      </c>
      <c r="Q60">
        <f>SUMIF(DATA!A:A,PPL!A60,DATA!N:N)</f>
        <v>357</v>
      </c>
    </row>
    <row r="61" spans="1:17" x14ac:dyDescent="0.25">
      <c r="A61" t="s">
        <v>69</v>
      </c>
      <c r="B61" t="s">
        <v>306</v>
      </c>
      <c r="C61" t="s">
        <v>168</v>
      </c>
      <c r="D61" t="str">
        <f>VLOOKUP(C61,PML!A:B,2,0)</f>
        <v>Handoko</v>
      </c>
      <c r="E61">
        <f>SUMIF(DATA!$A:$A,PPL!$A61,DATA!C:C)</f>
        <v>839</v>
      </c>
      <c r="F61">
        <f>SUMIF(DATA!$A:$A,PPL!$A61,DATA!D:D)</f>
        <v>599</v>
      </c>
      <c r="G61">
        <f>SUMIF(DATA!$A:$A,PPL!$A61,DATA!E:E)</f>
        <v>2</v>
      </c>
      <c r="H61">
        <f>SUMIF(DATA!$A:$A,PPL!$A61,DATA!F:F)</f>
        <v>0</v>
      </c>
      <c r="I61">
        <f>SUMIF(DATA!$A:$A,PPL!$A61,DATA!G:G)</f>
        <v>0</v>
      </c>
      <c r="J61">
        <f>SUMIF(DATA!$A:$A,PPL!$A61,DATA!H:H)</f>
        <v>0</v>
      </c>
      <c r="K61">
        <f>SUMIF(DATA!$A:$A,PPL!$A61,DATA!I:I)</f>
        <v>238</v>
      </c>
      <c r="L61">
        <f>SUMIF(DATA!$A:$A,PPL!$A61,DATA!J:J)</f>
        <v>0</v>
      </c>
      <c r="M61">
        <f t="shared" si="4"/>
        <v>376</v>
      </c>
      <c r="N61">
        <f t="shared" si="1"/>
        <v>837</v>
      </c>
      <c r="O61" s="3">
        <f t="shared" si="2"/>
        <v>99.761620977353999</v>
      </c>
      <c r="P61">
        <f t="shared" si="3"/>
        <v>2</v>
      </c>
      <c r="Q61">
        <f>SUMIF(DATA!A:A,PPL!A61,DATA!N:N)</f>
        <v>461</v>
      </c>
    </row>
    <row r="62" spans="1:17" x14ac:dyDescent="0.25">
      <c r="A62" t="s">
        <v>70</v>
      </c>
      <c r="B62" t="s">
        <v>307</v>
      </c>
      <c r="C62" t="s">
        <v>169</v>
      </c>
      <c r="D62" t="str">
        <f>VLOOKUP(C62,PML!A:B,2,0)</f>
        <v>Rudy</v>
      </c>
      <c r="E62">
        <f>SUMIF(DATA!$A:$A,PPL!$A62,DATA!C:C)</f>
        <v>956</v>
      </c>
      <c r="F62">
        <f>SUMIF(DATA!$A:$A,PPL!$A62,DATA!D:D)</f>
        <v>331</v>
      </c>
      <c r="G62">
        <f>SUMIF(DATA!$A:$A,PPL!$A62,DATA!E:E)</f>
        <v>0</v>
      </c>
      <c r="H62">
        <f>SUMIF(DATA!$A:$A,PPL!$A62,DATA!F:F)</f>
        <v>0</v>
      </c>
      <c r="I62">
        <f>SUMIF(DATA!$A:$A,PPL!$A62,DATA!G:G)</f>
        <v>53</v>
      </c>
      <c r="J62">
        <f>SUMIF(DATA!$A:$A,PPL!$A62,DATA!H:H)</f>
        <v>0</v>
      </c>
      <c r="K62">
        <f>SUMIF(DATA!$A:$A,PPL!$A62,DATA!I:I)</f>
        <v>572</v>
      </c>
      <c r="L62">
        <f>SUMIF(DATA!$A:$A,PPL!$A62,DATA!J:J)</f>
        <v>0</v>
      </c>
      <c r="M62">
        <f t="shared" si="4"/>
        <v>543</v>
      </c>
      <c r="N62">
        <f t="shared" si="1"/>
        <v>956</v>
      </c>
      <c r="O62" s="3">
        <f t="shared" si="2"/>
        <v>100</v>
      </c>
      <c r="P62">
        <f t="shared" si="3"/>
        <v>0</v>
      </c>
      <c r="Q62">
        <f>SUMIF(DATA!A:A,PPL!A62,DATA!N:N)</f>
        <v>413</v>
      </c>
    </row>
    <row r="63" spans="1:17" x14ac:dyDescent="0.25">
      <c r="A63" t="s">
        <v>71</v>
      </c>
      <c r="B63" t="s">
        <v>308</v>
      </c>
      <c r="C63" t="s">
        <v>169</v>
      </c>
      <c r="D63" t="str">
        <f>VLOOKUP(C63,PML!A:B,2,0)</f>
        <v>Rudy</v>
      </c>
      <c r="E63">
        <f>SUMIF(DATA!$A:$A,PPL!$A63,DATA!C:C)</f>
        <v>919</v>
      </c>
      <c r="F63">
        <f>SUMIF(DATA!$A:$A,PPL!$A63,DATA!D:D)</f>
        <v>915</v>
      </c>
      <c r="G63">
        <f>SUMIF(DATA!$A:$A,PPL!$A63,DATA!E:E)</f>
        <v>0</v>
      </c>
      <c r="H63">
        <f>SUMIF(DATA!$A:$A,PPL!$A63,DATA!F:F)</f>
        <v>0</v>
      </c>
      <c r="I63">
        <f>SUMIF(DATA!$A:$A,PPL!$A63,DATA!G:G)</f>
        <v>0</v>
      </c>
      <c r="J63">
        <f>SUMIF(DATA!$A:$A,PPL!$A63,DATA!H:H)</f>
        <v>0</v>
      </c>
      <c r="K63">
        <f>SUMIF(DATA!$A:$A,PPL!$A63,DATA!I:I)</f>
        <v>4</v>
      </c>
      <c r="L63">
        <f>SUMIF(DATA!$A:$A,PPL!$A63,DATA!J:J)</f>
        <v>0</v>
      </c>
      <c r="M63">
        <f t="shared" si="4"/>
        <v>635</v>
      </c>
      <c r="N63">
        <f t="shared" ref="N63:N124" si="5">F63+I63+J63+K63+L63</f>
        <v>919</v>
      </c>
      <c r="O63" s="3">
        <f t="shared" ref="O63:O124" si="6">(N63/E63)*100</f>
        <v>100</v>
      </c>
      <c r="P63">
        <f t="shared" si="3"/>
        <v>0</v>
      </c>
      <c r="Q63">
        <f>SUMIF(DATA!A:A,PPL!A63,DATA!N:N)</f>
        <v>284</v>
      </c>
    </row>
    <row r="64" spans="1:17" x14ac:dyDescent="0.25">
      <c r="A64" t="s">
        <v>72</v>
      </c>
      <c r="B64" t="s">
        <v>309</v>
      </c>
      <c r="C64" t="s">
        <v>169</v>
      </c>
      <c r="D64" t="str">
        <f>VLOOKUP(C64,PML!A:B,2,0)</f>
        <v>Rudy</v>
      </c>
      <c r="E64">
        <f>SUMIF(DATA!$A:$A,PPL!$A64,DATA!C:C)</f>
        <v>720</v>
      </c>
      <c r="F64">
        <f>SUMIF(DATA!$A:$A,PPL!$A64,DATA!D:D)</f>
        <v>557</v>
      </c>
      <c r="G64">
        <f>SUMIF(DATA!$A:$A,PPL!$A64,DATA!E:E)</f>
        <v>0</v>
      </c>
      <c r="H64">
        <f>SUMIF(DATA!$A:$A,PPL!$A64,DATA!F:F)</f>
        <v>0</v>
      </c>
      <c r="I64">
        <f>SUMIF(DATA!$A:$A,PPL!$A64,DATA!G:G)</f>
        <v>91</v>
      </c>
      <c r="J64">
        <f>SUMIF(DATA!$A:$A,PPL!$A64,DATA!H:H)</f>
        <v>2</v>
      </c>
      <c r="K64">
        <f>SUMIF(DATA!$A:$A,PPL!$A64,DATA!I:I)</f>
        <v>70</v>
      </c>
      <c r="L64">
        <f>SUMIF(DATA!$A:$A,PPL!$A64,DATA!J:J)</f>
        <v>0</v>
      </c>
      <c r="M64">
        <f t="shared" si="4"/>
        <v>408</v>
      </c>
      <c r="N64">
        <f t="shared" si="5"/>
        <v>720</v>
      </c>
      <c r="O64" s="3">
        <f t="shared" si="6"/>
        <v>100</v>
      </c>
      <c r="P64">
        <f t="shared" si="3"/>
        <v>0</v>
      </c>
      <c r="Q64">
        <f>SUMIF(DATA!A:A,PPL!A64,DATA!N:N)</f>
        <v>312</v>
      </c>
    </row>
    <row r="65" spans="1:17" x14ac:dyDescent="0.25">
      <c r="A65" t="s">
        <v>73</v>
      </c>
      <c r="B65" t="s">
        <v>310</v>
      </c>
      <c r="C65" t="s">
        <v>168</v>
      </c>
      <c r="D65" t="str">
        <f>VLOOKUP(C65,PML!A:B,2,0)</f>
        <v>Handoko</v>
      </c>
      <c r="E65">
        <f>SUMIF(DATA!$A:$A,PPL!$A65,DATA!C:C)</f>
        <v>759</v>
      </c>
      <c r="F65">
        <f>SUMIF(DATA!$A:$A,PPL!$A65,DATA!D:D)</f>
        <v>444</v>
      </c>
      <c r="G65">
        <f>SUMIF(DATA!$A:$A,PPL!$A65,DATA!E:E)</f>
        <v>39</v>
      </c>
      <c r="H65">
        <f>SUMIF(DATA!$A:$A,PPL!$A65,DATA!F:F)</f>
        <v>0</v>
      </c>
      <c r="I65">
        <f>SUMIF(DATA!$A:$A,PPL!$A65,DATA!G:G)</f>
        <v>51</v>
      </c>
      <c r="J65">
        <f>SUMIF(DATA!$A:$A,PPL!$A65,DATA!H:H)</f>
        <v>2</v>
      </c>
      <c r="K65">
        <f>SUMIF(DATA!$A:$A,PPL!$A65,DATA!I:I)</f>
        <v>223</v>
      </c>
      <c r="L65">
        <f>SUMIF(DATA!$A:$A,PPL!$A65,DATA!J:J)</f>
        <v>0</v>
      </c>
      <c r="M65">
        <f t="shared" si="4"/>
        <v>379</v>
      </c>
      <c r="N65">
        <f t="shared" si="5"/>
        <v>720</v>
      </c>
      <c r="O65" s="3">
        <f t="shared" si="6"/>
        <v>94.861660079051376</v>
      </c>
      <c r="P65">
        <f t="shared" si="3"/>
        <v>39</v>
      </c>
      <c r="Q65">
        <f>SUMIF(DATA!A:A,PPL!A65,DATA!N:N)</f>
        <v>341</v>
      </c>
    </row>
    <row r="66" spans="1:17" x14ac:dyDescent="0.25">
      <c r="A66" t="s">
        <v>74</v>
      </c>
      <c r="B66" t="s">
        <v>311</v>
      </c>
      <c r="C66" t="s">
        <v>171</v>
      </c>
      <c r="D66" t="str">
        <f>VLOOKUP(C66,PML!A:B,2,0)</f>
        <v>Puput</v>
      </c>
      <c r="E66">
        <f>SUMIF(DATA!$A:$A,PPL!$A66,DATA!C:C)</f>
        <v>544</v>
      </c>
      <c r="F66">
        <f>SUMIF(DATA!$A:$A,PPL!$A66,DATA!D:D)</f>
        <v>537</v>
      </c>
      <c r="G66">
        <f>SUMIF(DATA!$A:$A,PPL!$A66,DATA!E:E)</f>
        <v>0</v>
      </c>
      <c r="H66">
        <f>SUMIF(DATA!$A:$A,PPL!$A66,DATA!F:F)</f>
        <v>0</v>
      </c>
      <c r="I66">
        <f>SUMIF(DATA!$A:$A,PPL!$A66,DATA!G:G)</f>
        <v>0</v>
      </c>
      <c r="J66">
        <f>SUMIF(DATA!$A:$A,PPL!$A66,DATA!H:H)</f>
        <v>0</v>
      </c>
      <c r="K66">
        <f>SUMIF(DATA!$A:$A,PPL!$A66,DATA!I:I)</f>
        <v>7</v>
      </c>
      <c r="L66">
        <f>SUMIF(DATA!$A:$A,PPL!$A66,DATA!J:J)</f>
        <v>0</v>
      </c>
      <c r="M66">
        <f t="shared" ref="M66:M97" si="7">N66-Q66</f>
        <v>353</v>
      </c>
      <c r="N66">
        <f t="shared" si="5"/>
        <v>544</v>
      </c>
      <c r="O66" s="3">
        <f t="shared" si="6"/>
        <v>100</v>
      </c>
      <c r="P66">
        <f t="shared" si="3"/>
        <v>0</v>
      </c>
      <c r="Q66">
        <f>SUMIF(DATA!A:A,PPL!A66,DATA!N:N)</f>
        <v>191</v>
      </c>
    </row>
    <row r="67" spans="1:17" x14ac:dyDescent="0.25">
      <c r="A67" t="s">
        <v>75</v>
      </c>
      <c r="B67" t="s">
        <v>312</v>
      </c>
      <c r="C67" t="s">
        <v>171</v>
      </c>
      <c r="D67" t="str">
        <f>VLOOKUP(C67,PML!A:B,2,0)</f>
        <v>Puput</v>
      </c>
      <c r="E67">
        <f>SUMIF(DATA!$A:$A,PPL!$A67,DATA!C:C)</f>
        <v>591</v>
      </c>
      <c r="F67">
        <f>SUMIF(DATA!$A:$A,PPL!$A67,DATA!D:D)</f>
        <v>458</v>
      </c>
      <c r="G67">
        <f>SUMIF(DATA!$A:$A,PPL!$A67,DATA!E:E)</f>
        <v>0</v>
      </c>
      <c r="H67">
        <f>SUMIF(DATA!$A:$A,PPL!$A67,DATA!F:F)</f>
        <v>0</v>
      </c>
      <c r="I67">
        <f>SUMIF(DATA!$A:$A,PPL!$A67,DATA!G:G)</f>
        <v>11</v>
      </c>
      <c r="J67">
        <f>SUMIF(DATA!$A:$A,PPL!$A67,DATA!H:H)</f>
        <v>3</v>
      </c>
      <c r="K67">
        <f>SUMIF(DATA!$A:$A,PPL!$A67,DATA!I:I)</f>
        <v>119</v>
      </c>
      <c r="L67">
        <f>SUMIF(DATA!$A:$A,PPL!$A67,DATA!J:J)</f>
        <v>0</v>
      </c>
      <c r="M67">
        <f t="shared" si="7"/>
        <v>431</v>
      </c>
      <c r="N67">
        <f t="shared" si="5"/>
        <v>591</v>
      </c>
      <c r="O67" s="3">
        <f t="shared" si="6"/>
        <v>100</v>
      </c>
      <c r="P67">
        <f t="shared" ref="P67:P130" si="8">CEILING((E67-N67)/1,1)</f>
        <v>0</v>
      </c>
      <c r="Q67">
        <f>SUMIF(DATA!A:A,PPL!A67,DATA!N:N)</f>
        <v>160</v>
      </c>
    </row>
    <row r="68" spans="1:17" x14ac:dyDescent="0.25">
      <c r="A68" t="s">
        <v>76</v>
      </c>
      <c r="B68" t="s">
        <v>313</v>
      </c>
      <c r="C68" t="s">
        <v>171</v>
      </c>
      <c r="D68" t="str">
        <f>VLOOKUP(C68,PML!A:B,2,0)</f>
        <v>Puput</v>
      </c>
      <c r="E68">
        <f>SUMIF(DATA!$A:$A,PPL!$A68,DATA!C:C)</f>
        <v>570</v>
      </c>
      <c r="F68">
        <f>SUMIF(DATA!$A:$A,PPL!$A68,DATA!D:D)</f>
        <v>463</v>
      </c>
      <c r="G68">
        <f>SUMIF(DATA!$A:$A,PPL!$A68,DATA!E:E)</f>
        <v>0</v>
      </c>
      <c r="H68">
        <f>SUMIF(DATA!$A:$A,PPL!$A68,DATA!F:F)</f>
        <v>0</v>
      </c>
      <c r="I68">
        <f>SUMIF(DATA!$A:$A,PPL!$A68,DATA!G:G)</f>
        <v>12</v>
      </c>
      <c r="J68">
        <f>SUMIF(DATA!$A:$A,PPL!$A68,DATA!H:H)</f>
        <v>0</v>
      </c>
      <c r="K68">
        <f>SUMIF(DATA!$A:$A,PPL!$A68,DATA!I:I)</f>
        <v>95</v>
      </c>
      <c r="L68">
        <f>SUMIF(DATA!$A:$A,PPL!$A68,DATA!J:J)</f>
        <v>0</v>
      </c>
      <c r="M68">
        <f t="shared" si="7"/>
        <v>409</v>
      </c>
      <c r="N68">
        <f t="shared" si="5"/>
        <v>570</v>
      </c>
      <c r="O68" s="3">
        <f t="shared" si="6"/>
        <v>100</v>
      </c>
      <c r="P68">
        <f t="shared" si="8"/>
        <v>0</v>
      </c>
      <c r="Q68">
        <f>SUMIF(DATA!A:A,PPL!A68,DATA!N:N)</f>
        <v>161</v>
      </c>
    </row>
    <row r="69" spans="1:17" x14ac:dyDescent="0.25">
      <c r="A69" t="s">
        <v>77</v>
      </c>
      <c r="B69" t="s">
        <v>314</v>
      </c>
      <c r="C69" t="s">
        <v>171</v>
      </c>
      <c r="D69" t="str">
        <f>VLOOKUP(C69,PML!A:B,2,0)</f>
        <v>Puput</v>
      </c>
      <c r="E69">
        <f>SUMIF(DATA!$A:$A,PPL!$A69,DATA!C:C)</f>
        <v>499</v>
      </c>
      <c r="F69">
        <f>SUMIF(DATA!$A:$A,PPL!$A69,DATA!D:D)</f>
        <v>498</v>
      </c>
      <c r="G69">
        <f>SUMIF(DATA!$A:$A,PPL!$A69,DATA!E:E)</f>
        <v>0</v>
      </c>
      <c r="H69">
        <f>SUMIF(DATA!$A:$A,PPL!$A69,DATA!F:F)</f>
        <v>0</v>
      </c>
      <c r="I69">
        <f>SUMIF(DATA!$A:$A,PPL!$A69,DATA!G:G)</f>
        <v>0</v>
      </c>
      <c r="J69">
        <f>SUMIF(DATA!$A:$A,PPL!$A69,DATA!H:H)</f>
        <v>0</v>
      </c>
      <c r="K69">
        <f>SUMIF(DATA!$A:$A,PPL!$A69,DATA!I:I)</f>
        <v>1</v>
      </c>
      <c r="L69">
        <f>SUMIF(DATA!$A:$A,PPL!$A69,DATA!J:J)</f>
        <v>0</v>
      </c>
      <c r="M69">
        <f t="shared" si="7"/>
        <v>358</v>
      </c>
      <c r="N69">
        <f t="shared" si="5"/>
        <v>499</v>
      </c>
      <c r="O69" s="3">
        <f t="shared" si="6"/>
        <v>100</v>
      </c>
      <c r="P69">
        <f t="shared" si="8"/>
        <v>0</v>
      </c>
      <c r="Q69">
        <f>SUMIF(DATA!A:A,PPL!A69,DATA!N:N)</f>
        <v>141</v>
      </c>
    </row>
    <row r="70" spans="1:17" x14ac:dyDescent="0.25">
      <c r="A70" t="s">
        <v>78</v>
      </c>
      <c r="B70" t="s">
        <v>315</v>
      </c>
      <c r="C70" t="s">
        <v>171</v>
      </c>
      <c r="D70" t="str">
        <f>VLOOKUP(C70,PML!A:B,2,0)</f>
        <v>Puput</v>
      </c>
      <c r="E70">
        <f>SUMIF(DATA!$A:$A,PPL!$A70,DATA!C:C)</f>
        <v>624</v>
      </c>
      <c r="F70">
        <f>SUMIF(DATA!$A:$A,PPL!$A70,DATA!D:D)</f>
        <v>622</v>
      </c>
      <c r="G70">
        <f>SUMIF(DATA!$A:$A,PPL!$A70,DATA!E:E)</f>
        <v>0</v>
      </c>
      <c r="H70">
        <f>SUMIF(DATA!$A:$A,PPL!$A70,DATA!F:F)</f>
        <v>0</v>
      </c>
      <c r="I70">
        <f>SUMIF(DATA!$A:$A,PPL!$A70,DATA!G:G)</f>
        <v>0</v>
      </c>
      <c r="J70">
        <f>SUMIF(DATA!$A:$A,PPL!$A70,DATA!H:H)</f>
        <v>0</v>
      </c>
      <c r="K70">
        <f>SUMIF(DATA!$A:$A,PPL!$A70,DATA!I:I)</f>
        <v>2</v>
      </c>
      <c r="L70">
        <f>SUMIF(DATA!$A:$A,PPL!$A70,DATA!J:J)</f>
        <v>0</v>
      </c>
      <c r="M70">
        <f t="shared" si="7"/>
        <v>471</v>
      </c>
      <c r="N70">
        <f t="shared" si="5"/>
        <v>624</v>
      </c>
      <c r="O70" s="3">
        <f t="shared" si="6"/>
        <v>100</v>
      </c>
      <c r="P70">
        <f t="shared" si="8"/>
        <v>0</v>
      </c>
      <c r="Q70">
        <f>SUMIF(DATA!A:A,PPL!A70,DATA!N:N)</f>
        <v>153</v>
      </c>
    </row>
    <row r="71" spans="1:17" x14ac:dyDescent="0.25">
      <c r="A71" t="s">
        <v>79</v>
      </c>
      <c r="B71" t="s">
        <v>316</v>
      </c>
      <c r="C71" t="s">
        <v>171</v>
      </c>
      <c r="D71" t="str">
        <f>VLOOKUP(C71,PML!A:B,2,0)</f>
        <v>Puput</v>
      </c>
      <c r="E71">
        <f>SUMIF(DATA!$A:$A,PPL!$A71,DATA!C:C)</f>
        <v>570</v>
      </c>
      <c r="F71">
        <f>SUMIF(DATA!$A:$A,PPL!$A71,DATA!D:D)</f>
        <v>464</v>
      </c>
      <c r="G71">
        <f>SUMIF(DATA!$A:$A,PPL!$A71,DATA!E:E)</f>
        <v>0</v>
      </c>
      <c r="H71">
        <f>SUMIF(DATA!$A:$A,PPL!$A71,DATA!F:F)</f>
        <v>0</v>
      </c>
      <c r="I71">
        <f>SUMIF(DATA!$A:$A,PPL!$A71,DATA!G:G)</f>
        <v>5</v>
      </c>
      <c r="J71">
        <f>SUMIF(DATA!$A:$A,PPL!$A71,DATA!H:H)</f>
        <v>0</v>
      </c>
      <c r="K71">
        <f>SUMIF(DATA!$A:$A,PPL!$A71,DATA!I:I)</f>
        <v>101</v>
      </c>
      <c r="L71">
        <f>SUMIF(DATA!$A:$A,PPL!$A71,DATA!J:J)</f>
        <v>0</v>
      </c>
      <c r="M71">
        <f t="shared" si="7"/>
        <v>349</v>
      </c>
      <c r="N71">
        <f t="shared" si="5"/>
        <v>570</v>
      </c>
      <c r="O71" s="3">
        <f t="shared" si="6"/>
        <v>100</v>
      </c>
      <c r="P71">
        <f t="shared" si="8"/>
        <v>0</v>
      </c>
      <c r="Q71">
        <f>SUMIF(DATA!A:A,PPL!A71,DATA!N:N)</f>
        <v>221</v>
      </c>
    </row>
    <row r="72" spans="1:17" x14ac:dyDescent="0.25">
      <c r="A72" t="s">
        <v>81</v>
      </c>
      <c r="B72" t="s">
        <v>391</v>
      </c>
      <c r="C72" t="s">
        <v>171</v>
      </c>
      <c r="D72" t="str">
        <f>VLOOKUP(C72,PML!A:B,2,0)</f>
        <v>Puput</v>
      </c>
      <c r="E72">
        <f>SUMIF(DATA!$A:$A,PPL!$A72,DATA!C:C)</f>
        <v>609</v>
      </c>
      <c r="F72">
        <f>SUMIF(DATA!$A:$A,PPL!$A72,DATA!D:D)</f>
        <v>434</v>
      </c>
      <c r="G72">
        <f>SUMIF(DATA!$A:$A,PPL!$A72,DATA!E:E)</f>
        <v>0</v>
      </c>
      <c r="H72">
        <f>SUMIF(DATA!$A:$A,PPL!$A72,DATA!F:F)</f>
        <v>0</v>
      </c>
      <c r="I72">
        <f>SUMIF(DATA!$A:$A,PPL!$A72,DATA!G:G)</f>
        <v>93</v>
      </c>
      <c r="J72">
        <f>SUMIF(DATA!$A:$A,PPL!$A72,DATA!H:H)</f>
        <v>0</v>
      </c>
      <c r="K72">
        <f>SUMIF(DATA!$A:$A,PPL!$A72,DATA!I:I)</f>
        <v>82</v>
      </c>
      <c r="L72">
        <f>SUMIF(DATA!$A:$A,PPL!$A72,DATA!J:J)</f>
        <v>0</v>
      </c>
      <c r="M72">
        <f t="shared" si="7"/>
        <v>426</v>
      </c>
      <c r="N72">
        <f t="shared" si="5"/>
        <v>609</v>
      </c>
      <c r="O72" s="3">
        <f t="shared" si="6"/>
        <v>100</v>
      </c>
      <c r="P72">
        <f t="shared" si="8"/>
        <v>0</v>
      </c>
      <c r="Q72">
        <f>SUMIF(DATA!A:A,PPL!A72,DATA!N:N)</f>
        <v>183</v>
      </c>
    </row>
    <row r="73" spans="1:17" x14ac:dyDescent="0.25">
      <c r="A73" t="s">
        <v>82</v>
      </c>
      <c r="B73" t="s">
        <v>317</v>
      </c>
      <c r="C73" t="s">
        <v>172</v>
      </c>
      <c r="D73" t="str">
        <f>VLOOKUP(C73,PML!A:B,2,0)</f>
        <v>Ijan</v>
      </c>
      <c r="E73">
        <f>SUMIF(DATA!$A:$A,PPL!$A73,DATA!C:C)</f>
        <v>517</v>
      </c>
      <c r="F73">
        <f>SUMIF(DATA!$A:$A,PPL!$A73,DATA!D:D)</f>
        <v>515</v>
      </c>
      <c r="G73">
        <f>SUMIF(DATA!$A:$A,PPL!$A73,DATA!E:E)</f>
        <v>0</v>
      </c>
      <c r="H73">
        <f>SUMIF(DATA!$A:$A,PPL!$A73,DATA!F:F)</f>
        <v>0</v>
      </c>
      <c r="I73">
        <f>SUMIF(DATA!$A:$A,PPL!$A73,DATA!G:G)</f>
        <v>0</v>
      </c>
      <c r="J73">
        <f>SUMIF(DATA!$A:$A,PPL!$A73,DATA!H:H)</f>
        <v>0</v>
      </c>
      <c r="K73">
        <f>SUMIF(DATA!$A:$A,PPL!$A73,DATA!I:I)</f>
        <v>2</v>
      </c>
      <c r="L73">
        <f>SUMIF(DATA!$A:$A,PPL!$A73,DATA!J:J)</f>
        <v>0</v>
      </c>
      <c r="M73">
        <f t="shared" si="7"/>
        <v>418</v>
      </c>
      <c r="N73">
        <f t="shared" si="5"/>
        <v>517</v>
      </c>
      <c r="O73" s="3">
        <f t="shared" si="6"/>
        <v>100</v>
      </c>
      <c r="P73">
        <f t="shared" si="8"/>
        <v>0</v>
      </c>
      <c r="Q73">
        <f>SUMIF(DATA!A:A,PPL!A73,DATA!N:N)</f>
        <v>99</v>
      </c>
    </row>
    <row r="74" spans="1:17" x14ac:dyDescent="0.25">
      <c r="A74" t="s">
        <v>83</v>
      </c>
      <c r="B74" t="s">
        <v>2065</v>
      </c>
      <c r="C74" t="s">
        <v>172</v>
      </c>
      <c r="D74" t="str">
        <f>VLOOKUP(C74,PML!A:B,2,0)</f>
        <v>Ijan</v>
      </c>
      <c r="E74">
        <f>SUMIF(DATA!$A:$A,PPL!$A74,DATA!C:C)</f>
        <v>475</v>
      </c>
      <c r="F74">
        <f>SUMIF(DATA!$A:$A,PPL!$A74,DATA!D:D)</f>
        <v>427</v>
      </c>
      <c r="G74">
        <f>SUMIF(DATA!$A:$A,PPL!$A74,DATA!E:E)</f>
        <v>0</v>
      </c>
      <c r="H74">
        <f>SUMIF(DATA!$A:$A,PPL!$A74,DATA!F:F)</f>
        <v>0</v>
      </c>
      <c r="I74">
        <f>SUMIF(DATA!$A:$A,PPL!$A74,DATA!G:G)</f>
        <v>41</v>
      </c>
      <c r="J74">
        <f>SUMIF(DATA!$A:$A,PPL!$A74,DATA!H:H)</f>
        <v>0</v>
      </c>
      <c r="K74">
        <f>SUMIF(DATA!$A:$A,PPL!$A74,DATA!I:I)</f>
        <v>7</v>
      </c>
      <c r="L74">
        <f>SUMIF(DATA!$A:$A,PPL!$A74,DATA!J:J)</f>
        <v>0</v>
      </c>
      <c r="M74">
        <f t="shared" si="7"/>
        <v>378</v>
      </c>
      <c r="N74">
        <f t="shared" si="5"/>
        <v>475</v>
      </c>
      <c r="O74" s="3">
        <f t="shared" si="6"/>
        <v>100</v>
      </c>
      <c r="P74">
        <f t="shared" si="8"/>
        <v>0</v>
      </c>
      <c r="Q74">
        <f>SUMIF(DATA!A:A,PPL!A74,DATA!N:N)</f>
        <v>97</v>
      </c>
    </row>
    <row r="75" spans="1:17" x14ac:dyDescent="0.25">
      <c r="A75" t="s">
        <v>84</v>
      </c>
      <c r="B75" t="s">
        <v>2064</v>
      </c>
      <c r="C75" t="s">
        <v>172</v>
      </c>
      <c r="D75" t="str">
        <f>VLOOKUP(C75,PML!A:B,2,0)</f>
        <v>Ijan</v>
      </c>
      <c r="E75">
        <f>SUMIF(DATA!$A:$A,PPL!$A75,DATA!C:C)</f>
        <v>545</v>
      </c>
      <c r="F75">
        <f>SUMIF(DATA!$A:$A,PPL!$A75,DATA!D:D)</f>
        <v>531</v>
      </c>
      <c r="G75">
        <f>SUMIF(DATA!$A:$A,PPL!$A75,DATA!E:E)</f>
        <v>0</v>
      </c>
      <c r="H75">
        <f>SUMIF(DATA!$A:$A,PPL!$A75,DATA!F:F)</f>
        <v>0</v>
      </c>
      <c r="I75">
        <f>SUMIF(DATA!$A:$A,PPL!$A75,DATA!G:G)</f>
        <v>1</v>
      </c>
      <c r="J75">
        <f>SUMIF(DATA!$A:$A,PPL!$A75,DATA!H:H)</f>
        <v>6</v>
      </c>
      <c r="K75">
        <f>SUMIF(DATA!$A:$A,PPL!$A75,DATA!I:I)</f>
        <v>7</v>
      </c>
      <c r="L75">
        <f>SUMIF(DATA!$A:$A,PPL!$A75,DATA!J:J)</f>
        <v>0</v>
      </c>
      <c r="M75">
        <f t="shared" si="7"/>
        <v>375</v>
      </c>
      <c r="N75">
        <f t="shared" si="5"/>
        <v>545</v>
      </c>
      <c r="O75" s="3">
        <f t="shared" si="6"/>
        <v>100</v>
      </c>
      <c r="P75">
        <f t="shared" si="8"/>
        <v>0</v>
      </c>
      <c r="Q75">
        <f>SUMIF(DATA!A:A,PPL!A75,DATA!N:N)</f>
        <v>170</v>
      </c>
    </row>
    <row r="76" spans="1:17" x14ac:dyDescent="0.25">
      <c r="A76" t="s">
        <v>85</v>
      </c>
      <c r="B76" t="s">
        <v>318</v>
      </c>
      <c r="C76" t="s">
        <v>172</v>
      </c>
      <c r="D76" t="str">
        <f>VLOOKUP(C76,PML!A:B,2,0)</f>
        <v>Ijan</v>
      </c>
      <c r="E76">
        <f>SUMIF(DATA!$A:$A,PPL!$A76,DATA!C:C)</f>
        <v>526</v>
      </c>
      <c r="F76">
        <f>SUMIF(DATA!$A:$A,PPL!$A76,DATA!D:D)</f>
        <v>506</v>
      </c>
      <c r="G76">
        <f>SUMIF(DATA!$A:$A,PPL!$A76,DATA!E:E)</f>
        <v>2</v>
      </c>
      <c r="H76">
        <f>SUMIF(DATA!$A:$A,PPL!$A76,DATA!F:F)</f>
        <v>0</v>
      </c>
      <c r="I76">
        <f>SUMIF(DATA!$A:$A,PPL!$A76,DATA!G:G)</f>
        <v>2</v>
      </c>
      <c r="J76">
        <f>SUMIF(DATA!$A:$A,PPL!$A76,DATA!H:H)</f>
        <v>0</v>
      </c>
      <c r="K76">
        <f>SUMIF(DATA!$A:$A,PPL!$A76,DATA!I:I)</f>
        <v>16</v>
      </c>
      <c r="L76">
        <f>SUMIF(DATA!$A:$A,PPL!$A76,DATA!J:J)</f>
        <v>0</v>
      </c>
      <c r="M76">
        <f t="shared" si="7"/>
        <v>396</v>
      </c>
      <c r="N76">
        <f t="shared" si="5"/>
        <v>524</v>
      </c>
      <c r="O76" s="3">
        <f t="shared" si="6"/>
        <v>99.619771863117862</v>
      </c>
      <c r="P76">
        <f t="shared" si="8"/>
        <v>2</v>
      </c>
      <c r="Q76">
        <f>SUMIF(DATA!A:A,PPL!A76,DATA!N:N)</f>
        <v>128</v>
      </c>
    </row>
    <row r="77" spans="1:17" x14ac:dyDescent="0.25">
      <c r="A77" t="s">
        <v>86</v>
      </c>
      <c r="B77" t="s">
        <v>319</v>
      </c>
      <c r="C77" t="s">
        <v>172</v>
      </c>
      <c r="D77" t="str">
        <f>VLOOKUP(C77,PML!A:B,2,0)</f>
        <v>Ijan</v>
      </c>
      <c r="E77">
        <f>SUMIF(DATA!$A:$A,PPL!$A77,DATA!C:C)</f>
        <v>445</v>
      </c>
      <c r="F77">
        <f>SUMIF(DATA!$A:$A,PPL!$A77,DATA!D:D)</f>
        <v>441</v>
      </c>
      <c r="G77">
        <f>SUMIF(DATA!$A:$A,PPL!$A77,DATA!E:E)</f>
        <v>2</v>
      </c>
      <c r="H77">
        <f>SUMIF(DATA!$A:$A,PPL!$A77,DATA!F:F)</f>
        <v>0</v>
      </c>
      <c r="I77">
        <f>SUMIF(DATA!$A:$A,PPL!$A77,DATA!G:G)</f>
        <v>1</v>
      </c>
      <c r="J77">
        <f>SUMIF(DATA!$A:$A,PPL!$A77,DATA!H:H)</f>
        <v>0</v>
      </c>
      <c r="K77">
        <f>SUMIF(DATA!$A:$A,PPL!$A77,DATA!I:I)</f>
        <v>1</v>
      </c>
      <c r="L77">
        <f>SUMIF(DATA!$A:$A,PPL!$A77,DATA!J:J)</f>
        <v>0</v>
      </c>
      <c r="M77">
        <f t="shared" si="7"/>
        <v>322</v>
      </c>
      <c r="N77">
        <f t="shared" si="5"/>
        <v>443</v>
      </c>
      <c r="O77" s="3">
        <f t="shared" si="6"/>
        <v>99.550561797752806</v>
      </c>
      <c r="P77">
        <f t="shared" si="8"/>
        <v>2</v>
      </c>
      <c r="Q77">
        <f>SUMIF(DATA!A:A,PPL!A77,DATA!N:N)</f>
        <v>121</v>
      </c>
    </row>
    <row r="78" spans="1:17" x14ac:dyDescent="0.25">
      <c r="A78" t="s">
        <v>87</v>
      </c>
      <c r="B78" t="s">
        <v>320</v>
      </c>
      <c r="C78" t="s">
        <v>172</v>
      </c>
      <c r="D78" t="str">
        <f>VLOOKUP(C78,PML!A:B,2,0)</f>
        <v>Ijan</v>
      </c>
      <c r="E78">
        <f>SUMIF(DATA!$A:$A,PPL!$A78,DATA!C:C)</f>
        <v>477</v>
      </c>
      <c r="F78">
        <f>SUMIF(DATA!$A:$A,PPL!$A78,DATA!D:D)</f>
        <v>453</v>
      </c>
      <c r="G78">
        <f>SUMIF(DATA!$A:$A,PPL!$A78,DATA!E:E)</f>
        <v>0</v>
      </c>
      <c r="H78">
        <f>SUMIF(DATA!$A:$A,PPL!$A78,DATA!F:F)</f>
        <v>0</v>
      </c>
      <c r="I78">
        <f>SUMIF(DATA!$A:$A,PPL!$A78,DATA!G:G)</f>
        <v>0</v>
      </c>
      <c r="J78">
        <f>SUMIF(DATA!$A:$A,PPL!$A78,DATA!H:H)</f>
        <v>0</v>
      </c>
      <c r="K78">
        <f>SUMIF(DATA!$A:$A,PPL!$A78,DATA!I:I)</f>
        <v>24</v>
      </c>
      <c r="L78">
        <f>SUMIF(DATA!$A:$A,PPL!$A78,DATA!J:J)</f>
        <v>0</v>
      </c>
      <c r="M78">
        <f t="shared" si="7"/>
        <v>367</v>
      </c>
      <c r="N78">
        <f t="shared" si="5"/>
        <v>477</v>
      </c>
      <c r="O78" s="3">
        <f t="shared" si="6"/>
        <v>100</v>
      </c>
      <c r="P78">
        <f t="shared" si="8"/>
        <v>0</v>
      </c>
      <c r="Q78">
        <f>SUMIF(DATA!A:A,PPL!A78,DATA!N:N)</f>
        <v>110</v>
      </c>
    </row>
    <row r="79" spans="1:17" x14ac:dyDescent="0.25">
      <c r="A79" t="s">
        <v>88</v>
      </c>
      <c r="B79" t="s">
        <v>321</v>
      </c>
      <c r="C79" t="s">
        <v>172</v>
      </c>
      <c r="D79" t="str">
        <f>VLOOKUP(C79,PML!A:B,2,0)</f>
        <v>Ijan</v>
      </c>
      <c r="E79">
        <f>SUMIF(DATA!$A:$A,PPL!$A79,DATA!C:C)</f>
        <v>491</v>
      </c>
      <c r="F79">
        <f>SUMIF(DATA!$A:$A,PPL!$A79,DATA!D:D)</f>
        <v>437</v>
      </c>
      <c r="G79">
        <f>SUMIF(DATA!$A:$A,PPL!$A79,DATA!E:E)</f>
        <v>2</v>
      </c>
      <c r="H79">
        <f>SUMIF(DATA!$A:$A,PPL!$A79,DATA!F:F)</f>
        <v>0</v>
      </c>
      <c r="I79">
        <f>SUMIF(DATA!$A:$A,PPL!$A79,DATA!G:G)</f>
        <v>0</v>
      </c>
      <c r="J79">
        <f>SUMIF(DATA!$A:$A,PPL!$A79,DATA!H:H)</f>
        <v>4</v>
      </c>
      <c r="K79">
        <f>SUMIF(DATA!$A:$A,PPL!$A79,DATA!I:I)</f>
        <v>48</v>
      </c>
      <c r="L79">
        <f>SUMIF(DATA!$A:$A,PPL!$A79,DATA!J:J)</f>
        <v>0</v>
      </c>
      <c r="M79">
        <f t="shared" si="7"/>
        <v>382</v>
      </c>
      <c r="N79">
        <f t="shared" si="5"/>
        <v>489</v>
      </c>
      <c r="O79" s="3">
        <f t="shared" si="6"/>
        <v>99.592668024439917</v>
      </c>
      <c r="P79">
        <f t="shared" si="8"/>
        <v>2</v>
      </c>
      <c r="Q79">
        <f>SUMIF(DATA!A:A,PPL!A79,DATA!N:N)</f>
        <v>107</v>
      </c>
    </row>
    <row r="80" spans="1:17" x14ac:dyDescent="0.25">
      <c r="A80" t="s">
        <v>89</v>
      </c>
      <c r="B80" t="s">
        <v>322</v>
      </c>
      <c r="C80" t="s">
        <v>172</v>
      </c>
      <c r="D80" t="str">
        <f>VLOOKUP(C80,PML!A:B,2,0)</f>
        <v>Ijan</v>
      </c>
      <c r="E80">
        <f>SUMIF(DATA!$A:$A,PPL!$A80,DATA!C:C)</f>
        <v>472</v>
      </c>
      <c r="F80">
        <f>SUMIF(DATA!$A:$A,PPL!$A80,DATA!D:D)</f>
        <v>377</v>
      </c>
      <c r="G80">
        <f>SUMIF(DATA!$A:$A,PPL!$A80,DATA!E:E)</f>
        <v>0</v>
      </c>
      <c r="H80">
        <f>SUMIF(DATA!$A:$A,PPL!$A80,DATA!F:F)</f>
        <v>0</v>
      </c>
      <c r="I80">
        <f>SUMIF(DATA!$A:$A,PPL!$A80,DATA!G:G)</f>
        <v>19</v>
      </c>
      <c r="J80">
        <f>SUMIF(DATA!$A:$A,PPL!$A80,DATA!H:H)</f>
        <v>0</v>
      </c>
      <c r="K80">
        <f>SUMIF(DATA!$A:$A,PPL!$A80,DATA!I:I)</f>
        <v>76</v>
      </c>
      <c r="L80">
        <f>SUMIF(DATA!$A:$A,PPL!$A80,DATA!J:J)</f>
        <v>0</v>
      </c>
      <c r="M80">
        <f t="shared" si="7"/>
        <v>379</v>
      </c>
      <c r="N80">
        <f t="shared" si="5"/>
        <v>472</v>
      </c>
      <c r="O80" s="3">
        <f t="shared" si="6"/>
        <v>100</v>
      </c>
      <c r="P80">
        <f t="shared" si="8"/>
        <v>0</v>
      </c>
      <c r="Q80">
        <f>SUMIF(DATA!A:A,PPL!A80,DATA!N:N)</f>
        <v>93</v>
      </c>
    </row>
    <row r="81" spans="1:17" x14ac:dyDescent="0.25">
      <c r="A81" t="s">
        <v>90</v>
      </c>
      <c r="B81" t="s">
        <v>323</v>
      </c>
      <c r="C81" t="s">
        <v>173</v>
      </c>
      <c r="D81" t="str">
        <f>VLOOKUP(C81,PML!A:B,2,0)</f>
        <v>Uneth</v>
      </c>
      <c r="E81">
        <f>SUMIF(DATA!$A:$A,PPL!$A81,DATA!C:C)</f>
        <v>838</v>
      </c>
      <c r="F81">
        <f>SUMIF(DATA!$A:$A,PPL!$A81,DATA!D:D)</f>
        <v>818</v>
      </c>
      <c r="G81">
        <f>SUMIF(DATA!$A:$A,PPL!$A81,DATA!E:E)</f>
        <v>7</v>
      </c>
      <c r="H81">
        <f>SUMIF(DATA!$A:$A,PPL!$A81,DATA!F:F)</f>
        <v>0</v>
      </c>
      <c r="I81">
        <f>SUMIF(DATA!$A:$A,PPL!$A81,DATA!G:G)</f>
        <v>1</v>
      </c>
      <c r="J81">
        <f>SUMIF(DATA!$A:$A,PPL!$A81,DATA!H:H)</f>
        <v>1</v>
      </c>
      <c r="K81">
        <f>SUMIF(DATA!$A:$A,PPL!$A81,DATA!I:I)</f>
        <v>11</v>
      </c>
      <c r="L81">
        <f>SUMIF(DATA!$A:$A,PPL!$A81,DATA!J:J)</f>
        <v>0</v>
      </c>
      <c r="M81">
        <f t="shared" si="7"/>
        <v>447</v>
      </c>
      <c r="N81">
        <f t="shared" si="5"/>
        <v>831</v>
      </c>
      <c r="O81" s="3">
        <f t="shared" si="6"/>
        <v>99.164677804295948</v>
      </c>
      <c r="P81">
        <f t="shared" si="8"/>
        <v>7</v>
      </c>
      <c r="Q81">
        <f>SUMIF(DATA!A:A,PPL!A81,DATA!N:N)</f>
        <v>384</v>
      </c>
    </row>
    <row r="82" spans="1:17" x14ac:dyDescent="0.25">
      <c r="A82" t="s">
        <v>91</v>
      </c>
      <c r="B82" t="s">
        <v>324</v>
      </c>
      <c r="C82" t="s">
        <v>174</v>
      </c>
      <c r="D82" t="str">
        <f>VLOOKUP(C82,PML!A:B,2,0)</f>
        <v>Aji</v>
      </c>
      <c r="E82">
        <f>SUMIF(DATA!$A:$A,PPL!$A82,DATA!C:C)</f>
        <v>810</v>
      </c>
      <c r="F82">
        <f>SUMIF(DATA!$A:$A,PPL!$A82,DATA!D:D)</f>
        <v>804</v>
      </c>
      <c r="G82">
        <f>SUMIF(DATA!$A:$A,PPL!$A82,DATA!E:E)</f>
        <v>0</v>
      </c>
      <c r="H82">
        <f>SUMIF(DATA!$A:$A,PPL!$A82,DATA!F:F)</f>
        <v>0</v>
      </c>
      <c r="I82">
        <f>SUMIF(DATA!$A:$A,PPL!$A82,DATA!G:G)</f>
        <v>0</v>
      </c>
      <c r="J82">
        <f>SUMIF(DATA!$A:$A,PPL!$A82,DATA!H:H)</f>
        <v>0</v>
      </c>
      <c r="K82">
        <f>SUMIF(DATA!$A:$A,PPL!$A82,DATA!I:I)</f>
        <v>6</v>
      </c>
      <c r="L82">
        <f>SUMIF(DATA!$A:$A,PPL!$A82,DATA!J:J)</f>
        <v>0</v>
      </c>
      <c r="M82">
        <f t="shared" si="7"/>
        <v>410</v>
      </c>
      <c r="N82">
        <f t="shared" si="5"/>
        <v>810</v>
      </c>
      <c r="O82" s="3">
        <f t="shared" si="6"/>
        <v>100</v>
      </c>
      <c r="P82">
        <f t="shared" si="8"/>
        <v>0</v>
      </c>
      <c r="Q82">
        <f>SUMIF(DATA!A:A,PPL!A82,DATA!N:N)</f>
        <v>400</v>
      </c>
    </row>
    <row r="83" spans="1:17" x14ac:dyDescent="0.25">
      <c r="A83" t="s">
        <v>92</v>
      </c>
      <c r="B83" t="s">
        <v>325</v>
      </c>
      <c r="C83" t="s">
        <v>175</v>
      </c>
      <c r="D83" t="str">
        <f>VLOOKUP(C83,PML!A:B,2,0)</f>
        <v>Alan</v>
      </c>
      <c r="E83">
        <f>SUMIF(DATA!$A:$A,PPL!$A83,DATA!C:C)</f>
        <v>753</v>
      </c>
      <c r="F83">
        <f>SUMIF(DATA!$A:$A,PPL!$A83,DATA!D:D)</f>
        <v>418</v>
      </c>
      <c r="G83">
        <f>SUMIF(DATA!$A:$A,PPL!$A83,DATA!E:E)</f>
        <v>0</v>
      </c>
      <c r="H83">
        <f>SUMIF(DATA!$A:$A,PPL!$A83,DATA!F:F)</f>
        <v>0</v>
      </c>
      <c r="I83">
        <f>SUMIF(DATA!$A:$A,PPL!$A83,DATA!G:G)</f>
        <v>1</v>
      </c>
      <c r="J83">
        <f>SUMIF(DATA!$A:$A,PPL!$A83,DATA!H:H)</f>
        <v>0</v>
      </c>
      <c r="K83">
        <f>SUMIF(DATA!$A:$A,PPL!$A83,DATA!I:I)</f>
        <v>334</v>
      </c>
      <c r="L83">
        <f>SUMIF(DATA!$A:$A,PPL!$A83,DATA!J:J)</f>
        <v>0</v>
      </c>
      <c r="M83">
        <f t="shared" si="7"/>
        <v>337</v>
      </c>
      <c r="N83">
        <f t="shared" si="5"/>
        <v>753</v>
      </c>
      <c r="O83" s="3">
        <f t="shared" si="6"/>
        <v>100</v>
      </c>
      <c r="P83">
        <f t="shared" si="8"/>
        <v>0</v>
      </c>
      <c r="Q83">
        <f>SUMIF(DATA!A:A,PPL!A83,DATA!N:N)</f>
        <v>416</v>
      </c>
    </row>
    <row r="84" spans="1:17" x14ac:dyDescent="0.25">
      <c r="A84" t="s">
        <v>93</v>
      </c>
      <c r="B84" t="s">
        <v>326</v>
      </c>
      <c r="C84" t="s">
        <v>173</v>
      </c>
      <c r="D84" t="str">
        <f>VLOOKUP(C84,PML!A:B,2,0)</f>
        <v>Uneth</v>
      </c>
      <c r="E84">
        <f>SUMIF(DATA!$A:$A,PPL!$A84,DATA!C:C)</f>
        <v>730</v>
      </c>
      <c r="F84">
        <f>SUMIF(DATA!$A:$A,PPL!$A84,DATA!D:D)</f>
        <v>693</v>
      </c>
      <c r="G84">
        <f>SUMIF(DATA!$A:$A,PPL!$A84,DATA!E:E)</f>
        <v>0</v>
      </c>
      <c r="H84">
        <f>SUMIF(DATA!$A:$A,PPL!$A84,DATA!F:F)</f>
        <v>0</v>
      </c>
      <c r="I84">
        <f>SUMIF(DATA!$A:$A,PPL!$A84,DATA!G:G)</f>
        <v>0</v>
      </c>
      <c r="J84">
        <f>SUMIF(DATA!$A:$A,PPL!$A84,DATA!H:H)</f>
        <v>0</v>
      </c>
      <c r="K84">
        <f>SUMIF(DATA!$A:$A,PPL!$A84,DATA!I:I)</f>
        <v>37</v>
      </c>
      <c r="L84">
        <f>SUMIF(DATA!$A:$A,PPL!$A84,DATA!J:J)</f>
        <v>0</v>
      </c>
      <c r="M84">
        <f t="shared" si="7"/>
        <v>443</v>
      </c>
      <c r="N84">
        <f t="shared" si="5"/>
        <v>730</v>
      </c>
      <c r="O84" s="3">
        <f t="shared" si="6"/>
        <v>100</v>
      </c>
      <c r="P84">
        <f t="shared" si="8"/>
        <v>0</v>
      </c>
      <c r="Q84">
        <f>SUMIF(DATA!A:A,PPL!A84,DATA!N:N)</f>
        <v>287</v>
      </c>
    </row>
    <row r="85" spans="1:17" x14ac:dyDescent="0.25">
      <c r="A85" t="s">
        <v>94</v>
      </c>
      <c r="B85" t="s">
        <v>327</v>
      </c>
      <c r="C85" t="s">
        <v>174</v>
      </c>
      <c r="D85" t="str">
        <f>VLOOKUP(C85,PML!A:B,2,0)</f>
        <v>Aji</v>
      </c>
      <c r="E85">
        <f>SUMIF(DATA!$A:$A,PPL!$A85,DATA!C:C)</f>
        <v>680</v>
      </c>
      <c r="F85">
        <f>SUMIF(DATA!$A:$A,PPL!$A85,DATA!D:D)</f>
        <v>391</v>
      </c>
      <c r="G85">
        <f>SUMIF(DATA!$A:$A,PPL!$A85,DATA!E:E)</f>
        <v>3</v>
      </c>
      <c r="H85">
        <f>SUMIF(DATA!$A:$A,PPL!$A85,DATA!F:F)</f>
        <v>0</v>
      </c>
      <c r="I85">
        <f>SUMIF(DATA!$A:$A,PPL!$A85,DATA!G:G)</f>
        <v>0</v>
      </c>
      <c r="J85">
        <f>SUMIF(DATA!$A:$A,PPL!$A85,DATA!H:H)</f>
        <v>0</v>
      </c>
      <c r="K85">
        <f>SUMIF(DATA!$A:$A,PPL!$A85,DATA!I:I)</f>
        <v>286</v>
      </c>
      <c r="L85">
        <f>SUMIF(DATA!$A:$A,PPL!$A85,DATA!J:J)</f>
        <v>0</v>
      </c>
      <c r="M85">
        <f t="shared" si="7"/>
        <v>474</v>
      </c>
      <c r="N85">
        <f t="shared" si="5"/>
        <v>677</v>
      </c>
      <c r="O85" s="3">
        <f t="shared" si="6"/>
        <v>99.558823529411768</v>
      </c>
      <c r="P85">
        <f t="shared" si="8"/>
        <v>3</v>
      </c>
      <c r="Q85">
        <f>SUMIF(DATA!A:A,PPL!A85,DATA!N:N)</f>
        <v>203</v>
      </c>
    </row>
    <row r="86" spans="1:17" x14ac:dyDescent="0.25">
      <c r="A86" t="s">
        <v>95</v>
      </c>
      <c r="B86" t="s">
        <v>328</v>
      </c>
      <c r="C86" t="s">
        <v>173</v>
      </c>
      <c r="D86" t="str">
        <f>VLOOKUP(C86,PML!A:B,2,0)</f>
        <v>Uneth</v>
      </c>
      <c r="E86">
        <f>SUMIF(DATA!$A:$A,PPL!$A86,DATA!C:C)</f>
        <v>695</v>
      </c>
      <c r="F86">
        <f>SUMIF(DATA!$A:$A,PPL!$A86,DATA!D:D)</f>
        <v>691</v>
      </c>
      <c r="G86">
        <f>SUMIF(DATA!$A:$A,PPL!$A86,DATA!E:E)</f>
        <v>0</v>
      </c>
      <c r="H86">
        <f>SUMIF(DATA!$A:$A,PPL!$A86,DATA!F:F)</f>
        <v>0</v>
      </c>
      <c r="I86">
        <f>SUMIF(DATA!$A:$A,PPL!$A86,DATA!G:G)</f>
        <v>0</v>
      </c>
      <c r="J86">
        <f>SUMIF(DATA!$A:$A,PPL!$A86,DATA!H:H)</f>
        <v>0</v>
      </c>
      <c r="K86">
        <f>SUMIF(DATA!$A:$A,PPL!$A86,DATA!I:I)</f>
        <v>4</v>
      </c>
      <c r="L86">
        <f>SUMIF(DATA!$A:$A,PPL!$A86,DATA!J:J)</f>
        <v>0</v>
      </c>
      <c r="M86">
        <f t="shared" si="7"/>
        <v>529</v>
      </c>
      <c r="N86">
        <f t="shared" si="5"/>
        <v>695</v>
      </c>
      <c r="O86" s="3">
        <f t="shared" si="6"/>
        <v>100</v>
      </c>
      <c r="P86">
        <f t="shared" si="8"/>
        <v>0</v>
      </c>
      <c r="Q86">
        <f>SUMIF(DATA!A:A,PPL!A86,DATA!N:N)</f>
        <v>166</v>
      </c>
    </row>
    <row r="87" spans="1:17" x14ac:dyDescent="0.25">
      <c r="A87" t="s">
        <v>96</v>
      </c>
      <c r="B87" t="s">
        <v>329</v>
      </c>
      <c r="C87" t="s">
        <v>175</v>
      </c>
      <c r="D87" t="str">
        <f>VLOOKUP(C87,PML!A:B,2,0)</f>
        <v>Alan</v>
      </c>
      <c r="E87">
        <f>SUMIF(DATA!$A:$A,PPL!$A87,DATA!C:C)</f>
        <v>769</v>
      </c>
      <c r="F87">
        <f>SUMIF(DATA!$A:$A,PPL!$A87,DATA!D:D)</f>
        <v>164</v>
      </c>
      <c r="G87">
        <f>SUMIF(DATA!$A:$A,PPL!$A87,DATA!E:E)</f>
        <v>133</v>
      </c>
      <c r="H87">
        <f>SUMIF(DATA!$A:$A,PPL!$A87,DATA!F:F)</f>
        <v>0</v>
      </c>
      <c r="I87">
        <f>SUMIF(DATA!$A:$A,PPL!$A87,DATA!G:G)</f>
        <v>69</v>
      </c>
      <c r="J87">
        <f>SUMIF(DATA!$A:$A,PPL!$A87,DATA!H:H)</f>
        <v>7</v>
      </c>
      <c r="K87">
        <f>SUMIF(DATA!$A:$A,PPL!$A87,DATA!I:I)</f>
        <v>396</v>
      </c>
      <c r="L87">
        <f>SUMIF(DATA!$A:$A,PPL!$A87,DATA!J:J)</f>
        <v>0</v>
      </c>
      <c r="M87">
        <f t="shared" si="7"/>
        <v>382</v>
      </c>
      <c r="N87">
        <f t="shared" si="5"/>
        <v>636</v>
      </c>
      <c r="O87" s="3">
        <f t="shared" si="6"/>
        <v>82.70481144343303</v>
      </c>
      <c r="P87">
        <f t="shared" si="8"/>
        <v>133</v>
      </c>
      <c r="Q87">
        <f>SUMIF(DATA!A:A,PPL!A87,DATA!N:N)</f>
        <v>254</v>
      </c>
    </row>
    <row r="88" spans="1:17" x14ac:dyDescent="0.25">
      <c r="A88" t="s">
        <v>97</v>
      </c>
      <c r="B88" t="s">
        <v>330</v>
      </c>
      <c r="C88" t="s">
        <v>175</v>
      </c>
      <c r="D88" t="str">
        <f>VLOOKUP(C88,PML!A:B,2,0)</f>
        <v>Alan</v>
      </c>
      <c r="E88">
        <f>SUMIF(DATA!$A:$A,PPL!$A88,DATA!C:C)</f>
        <v>759</v>
      </c>
      <c r="F88">
        <f>SUMIF(DATA!$A:$A,PPL!$A88,DATA!D:D)</f>
        <v>231</v>
      </c>
      <c r="G88">
        <f>SUMIF(DATA!$A:$A,PPL!$A88,DATA!E:E)</f>
        <v>0</v>
      </c>
      <c r="H88">
        <f>SUMIF(DATA!$A:$A,PPL!$A88,DATA!F:F)</f>
        <v>0</v>
      </c>
      <c r="I88">
        <f>SUMIF(DATA!$A:$A,PPL!$A88,DATA!G:G)</f>
        <v>0</v>
      </c>
      <c r="J88">
        <f>SUMIF(DATA!$A:$A,PPL!$A88,DATA!H:H)</f>
        <v>0</v>
      </c>
      <c r="K88">
        <f>SUMIF(DATA!$A:$A,PPL!$A88,DATA!I:I)</f>
        <v>528</v>
      </c>
      <c r="L88">
        <f>SUMIF(DATA!$A:$A,PPL!$A88,DATA!J:J)</f>
        <v>0</v>
      </c>
      <c r="M88">
        <f t="shared" si="7"/>
        <v>563</v>
      </c>
      <c r="N88">
        <f t="shared" si="5"/>
        <v>759</v>
      </c>
      <c r="O88" s="3">
        <f t="shared" si="6"/>
        <v>100</v>
      </c>
      <c r="P88">
        <f t="shared" si="8"/>
        <v>0</v>
      </c>
      <c r="Q88">
        <f>SUMIF(DATA!A:A,PPL!A88,DATA!N:N)</f>
        <v>196</v>
      </c>
    </row>
    <row r="89" spans="1:17" x14ac:dyDescent="0.25">
      <c r="A89" t="s">
        <v>98</v>
      </c>
      <c r="B89" t="s">
        <v>331</v>
      </c>
      <c r="C89" t="s">
        <v>174</v>
      </c>
      <c r="D89" t="str">
        <f>VLOOKUP(C89,PML!A:B,2,0)</f>
        <v>Aji</v>
      </c>
      <c r="E89">
        <f>SUMIF(DATA!$A:$A,PPL!$A89,DATA!C:C)</f>
        <v>710</v>
      </c>
      <c r="F89">
        <f>SUMIF(DATA!$A:$A,PPL!$A89,DATA!D:D)</f>
        <v>406</v>
      </c>
      <c r="G89">
        <f>SUMIF(DATA!$A:$A,PPL!$A89,DATA!E:E)</f>
        <v>2</v>
      </c>
      <c r="H89">
        <f>SUMIF(DATA!$A:$A,PPL!$A89,DATA!F:F)</f>
        <v>0</v>
      </c>
      <c r="I89">
        <f>SUMIF(DATA!$A:$A,PPL!$A89,DATA!G:G)</f>
        <v>49</v>
      </c>
      <c r="J89">
        <f>SUMIF(DATA!$A:$A,PPL!$A89,DATA!H:H)</f>
        <v>1</v>
      </c>
      <c r="K89">
        <f>SUMIF(DATA!$A:$A,PPL!$A89,DATA!I:I)</f>
        <v>252</v>
      </c>
      <c r="L89">
        <f>SUMIF(DATA!$A:$A,PPL!$A89,DATA!J:J)</f>
        <v>0</v>
      </c>
      <c r="M89">
        <f t="shared" si="7"/>
        <v>360</v>
      </c>
      <c r="N89">
        <f t="shared" si="5"/>
        <v>708</v>
      </c>
      <c r="O89" s="3">
        <f t="shared" si="6"/>
        <v>99.718309859154928</v>
      </c>
      <c r="P89">
        <f t="shared" si="8"/>
        <v>2</v>
      </c>
      <c r="Q89">
        <f>SUMIF(DATA!A:A,PPL!A89,DATA!N:N)</f>
        <v>348</v>
      </c>
    </row>
    <row r="90" spans="1:17" x14ac:dyDescent="0.25">
      <c r="A90" t="s">
        <v>99</v>
      </c>
      <c r="B90" t="s">
        <v>332</v>
      </c>
      <c r="C90" t="s">
        <v>174</v>
      </c>
      <c r="D90" t="str">
        <f>VLOOKUP(C90,PML!A:B,2,0)</f>
        <v>Aji</v>
      </c>
      <c r="E90">
        <f>SUMIF(DATA!$A:$A,PPL!$A90,DATA!C:C)</f>
        <v>682</v>
      </c>
      <c r="F90">
        <f>SUMIF(DATA!$A:$A,PPL!$A90,DATA!D:D)</f>
        <v>297</v>
      </c>
      <c r="G90">
        <f>SUMIF(DATA!$A:$A,PPL!$A90,DATA!E:E)</f>
        <v>7</v>
      </c>
      <c r="H90">
        <f>SUMIF(DATA!$A:$A,PPL!$A90,DATA!F:F)</f>
        <v>0</v>
      </c>
      <c r="I90">
        <f>SUMIF(DATA!$A:$A,PPL!$A90,DATA!G:G)</f>
        <v>23</v>
      </c>
      <c r="J90">
        <f>SUMIF(DATA!$A:$A,PPL!$A90,DATA!H:H)</f>
        <v>1</v>
      </c>
      <c r="K90">
        <f>SUMIF(DATA!$A:$A,PPL!$A90,DATA!I:I)</f>
        <v>354</v>
      </c>
      <c r="L90">
        <f>SUMIF(DATA!$A:$A,PPL!$A90,DATA!J:J)</f>
        <v>0</v>
      </c>
      <c r="M90">
        <f t="shared" si="7"/>
        <v>364</v>
      </c>
      <c r="N90">
        <f t="shared" si="5"/>
        <v>675</v>
      </c>
      <c r="O90" s="3">
        <f t="shared" si="6"/>
        <v>98.973607038123163</v>
      </c>
      <c r="P90">
        <f t="shared" si="8"/>
        <v>7</v>
      </c>
      <c r="Q90">
        <f>SUMIF(DATA!A:A,PPL!A90,DATA!N:N)</f>
        <v>311</v>
      </c>
    </row>
    <row r="91" spans="1:17" x14ac:dyDescent="0.25">
      <c r="A91" t="s">
        <v>100</v>
      </c>
      <c r="B91" t="s">
        <v>333</v>
      </c>
      <c r="C91" t="s">
        <v>175</v>
      </c>
      <c r="D91" t="str">
        <f>VLOOKUP(C91,PML!A:B,2,0)</f>
        <v>Alan</v>
      </c>
      <c r="E91">
        <f>SUMIF(DATA!$A:$A,PPL!$A91,DATA!C:C)</f>
        <v>801</v>
      </c>
      <c r="F91">
        <f>SUMIF(DATA!$A:$A,PPL!$A91,DATA!D:D)</f>
        <v>400</v>
      </c>
      <c r="G91">
        <f>SUMIF(DATA!$A:$A,PPL!$A91,DATA!E:E)</f>
        <v>243</v>
      </c>
      <c r="H91">
        <f>SUMIF(DATA!$A:$A,PPL!$A91,DATA!F:F)</f>
        <v>0</v>
      </c>
      <c r="I91">
        <f>SUMIF(DATA!$A:$A,PPL!$A91,DATA!G:G)</f>
        <v>39</v>
      </c>
      <c r="J91">
        <f>SUMIF(DATA!$A:$A,PPL!$A91,DATA!H:H)</f>
        <v>27</v>
      </c>
      <c r="K91">
        <f>SUMIF(DATA!$A:$A,PPL!$A91,DATA!I:I)</f>
        <v>92</v>
      </c>
      <c r="L91">
        <f>SUMIF(DATA!$A:$A,PPL!$A91,DATA!J:J)</f>
        <v>0</v>
      </c>
      <c r="M91">
        <f t="shared" si="7"/>
        <v>324</v>
      </c>
      <c r="N91">
        <f t="shared" si="5"/>
        <v>558</v>
      </c>
      <c r="O91" s="3">
        <f t="shared" si="6"/>
        <v>69.662921348314612</v>
      </c>
      <c r="P91">
        <f t="shared" si="8"/>
        <v>243</v>
      </c>
      <c r="Q91">
        <f>SUMIF(DATA!A:A,PPL!A91,DATA!N:N)</f>
        <v>234</v>
      </c>
    </row>
    <row r="92" spans="1:17" x14ac:dyDescent="0.25">
      <c r="A92" t="s">
        <v>101</v>
      </c>
      <c r="B92" t="s">
        <v>334</v>
      </c>
      <c r="C92" t="s">
        <v>175</v>
      </c>
      <c r="D92" t="str">
        <f>VLOOKUP(C92,PML!A:B,2,0)</f>
        <v>Alan</v>
      </c>
      <c r="E92">
        <f>SUMIF(DATA!$A:$A,PPL!$A92,DATA!C:C)</f>
        <v>706</v>
      </c>
      <c r="F92">
        <f>SUMIF(DATA!$A:$A,PPL!$A92,DATA!D:D)</f>
        <v>706</v>
      </c>
      <c r="G92">
        <f>SUMIF(DATA!$A:$A,PPL!$A92,DATA!E:E)</f>
        <v>0</v>
      </c>
      <c r="H92">
        <f>SUMIF(DATA!$A:$A,PPL!$A92,DATA!F:F)</f>
        <v>0</v>
      </c>
      <c r="I92">
        <f>SUMIF(DATA!$A:$A,PPL!$A92,DATA!G:G)</f>
        <v>0</v>
      </c>
      <c r="J92">
        <f>SUMIF(DATA!$A:$A,PPL!$A92,DATA!H:H)</f>
        <v>0</v>
      </c>
      <c r="K92">
        <f>SUMIF(DATA!$A:$A,PPL!$A92,DATA!I:I)</f>
        <v>0</v>
      </c>
      <c r="L92">
        <f>SUMIF(DATA!$A:$A,PPL!$A92,DATA!J:J)</f>
        <v>0</v>
      </c>
      <c r="M92">
        <f t="shared" si="7"/>
        <v>399</v>
      </c>
      <c r="N92">
        <f t="shared" si="5"/>
        <v>706</v>
      </c>
      <c r="O92" s="3">
        <f t="shared" si="6"/>
        <v>100</v>
      </c>
      <c r="P92">
        <f t="shared" si="8"/>
        <v>0</v>
      </c>
      <c r="Q92">
        <f>SUMIF(DATA!A:A,PPL!A92,DATA!N:N)</f>
        <v>307</v>
      </c>
    </row>
    <row r="93" spans="1:17" x14ac:dyDescent="0.25">
      <c r="A93" t="s">
        <v>102</v>
      </c>
      <c r="B93" t="s">
        <v>335</v>
      </c>
      <c r="C93" t="s">
        <v>175</v>
      </c>
      <c r="D93" t="str">
        <f>VLOOKUP(C93,PML!A:B,2,0)</f>
        <v>Alan</v>
      </c>
      <c r="E93">
        <f>SUMIF(DATA!$A:$A,PPL!$A93,DATA!C:C)</f>
        <v>764</v>
      </c>
      <c r="F93">
        <f>SUMIF(DATA!$A:$A,PPL!$A93,DATA!D:D)</f>
        <v>764</v>
      </c>
      <c r="G93">
        <f>SUMIF(DATA!$A:$A,PPL!$A93,DATA!E:E)</f>
        <v>0</v>
      </c>
      <c r="H93">
        <f>SUMIF(DATA!$A:$A,PPL!$A93,DATA!F:F)</f>
        <v>0</v>
      </c>
      <c r="I93">
        <f>SUMIF(DATA!$A:$A,PPL!$A93,DATA!G:G)</f>
        <v>0</v>
      </c>
      <c r="J93">
        <f>SUMIF(DATA!$A:$A,PPL!$A93,DATA!H:H)</f>
        <v>0</v>
      </c>
      <c r="K93">
        <f>SUMIF(DATA!$A:$A,PPL!$A93,DATA!I:I)</f>
        <v>0</v>
      </c>
      <c r="L93">
        <f>SUMIF(DATA!$A:$A,PPL!$A93,DATA!J:J)</f>
        <v>0</v>
      </c>
      <c r="M93">
        <f t="shared" si="7"/>
        <v>384</v>
      </c>
      <c r="N93">
        <f t="shared" si="5"/>
        <v>764</v>
      </c>
      <c r="O93" s="3">
        <f t="shared" si="6"/>
        <v>100</v>
      </c>
      <c r="P93">
        <f t="shared" si="8"/>
        <v>0</v>
      </c>
      <c r="Q93">
        <f>SUMIF(DATA!A:A,PPL!A93,DATA!N:N)</f>
        <v>380</v>
      </c>
    </row>
    <row r="94" spans="1:17" x14ac:dyDescent="0.25">
      <c r="A94" t="s">
        <v>103</v>
      </c>
      <c r="B94" t="s">
        <v>336</v>
      </c>
      <c r="C94" t="s">
        <v>173</v>
      </c>
      <c r="D94" t="str">
        <f>VLOOKUP(C94,PML!A:B,2,0)</f>
        <v>Uneth</v>
      </c>
      <c r="E94">
        <f>SUMIF(DATA!$A:$A,PPL!$A94,DATA!C:C)</f>
        <v>834</v>
      </c>
      <c r="F94">
        <f>SUMIF(DATA!$A:$A,PPL!$A94,DATA!D:D)</f>
        <v>834</v>
      </c>
      <c r="G94">
        <f>SUMIF(DATA!$A:$A,PPL!$A94,DATA!E:E)</f>
        <v>0</v>
      </c>
      <c r="H94">
        <f>SUMIF(DATA!$A:$A,PPL!$A94,DATA!F:F)</f>
        <v>0</v>
      </c>
      <c r="I94">
        <f>SUMIF(DATA!$A:$A,PPL!$A94,DATA!G:G)</f>
        <v>0</v>
      </c>
      <c r="J94">
        <f>SUMIF(DATA!$A:$A,PPL!$A94,DATA!H:H)</f>
        <v>0</v>
      </c>
      <c r="K94">
        <f>SUMIF(DATA!$A:$A,PPL!$A94,DATA!I:I)</f>
        <v>0</v>
      </c>
      <c r="L94">
        <f>SUMIF(DATA!$A:$A,PPL!$A94,DATA!J:J)</f>
        <v>0</v>
      </c>
      <c r="M94">
        <f t="shared" si="7"/>
        <v>562</v>
      </c>
      <c r="N94">
        <f t="shared" si="5"/>
        <v>834</v>
      </c>
      <c r="O94" s="3">
        <f t="shared" si="6"/>
        <v>100</v>
      </c>
      <c r="P94">
        <f t="shared" si="8"/>
        <v>0</v>
      </c>
      <c r="Q94">
        <f>SUMIF(DATA!A:A,PPL!A94,DATA!N:N)</f>
        <v>272</v>
      </c>
    </row>
    <row r="95" spans="1:17" x14ac:dyDescent="0.25">
      <c r="A95" t="s">
        <v>104</v>
      </c>
      <c r="B95" t="s">
        <v>337</v>
      </c>
      <c r="C95" t="s">
        <v>173</v>
      </c>
      <c r="D95" t="str">
        <f>VLOOKUP(C95,PML!A:B,2,0)</f>
        <v>Uneth</v>
      </c>
      <c r="E95">
        <f>SUMIF(DATA!$A:$A,PPL!$A95,DATA!C:C)</f>
        <v>846</v>
      </c>
      <c r="F95">
        <f>SUMIF(DATA!$A:$A,PPL!$A95,DATA!D:D)</f>
        <v>801</v>
      </c>
      <c r="G95">
        <f>SUMIF(DATA!$A:$A,PPL!$A95,DATA!E:E)</f>
        <v>3</v>
      </c>
      <c r="H95">
        <f>SUMIF(DATA!$A:$A,PPL!$A95,DATA!F:F)</f>
        <v>0</v>
      </c>
      <c r="I95">
        <f>SUMIF(DATA!$A:$A,PPL!$A95,DATA!G:G)</f>
        <v>1</v>
      </c>
      <c r="J95">
        <f>SUMIF(DATA!$A:$A,PPL!$A95,DATA!H:H)</f>
        <v>1</v>
      </c>
      <c r="K95">
        <f>SUMIF(DATA!$A:$A,PPL!$A95,DATA!I:I)</f>
        <v>40</v>
      </c>
      <c r="L95">
        <f>SUMIF(DATA!$A:$A,PPL!$A95,DATA!J:J)</f>
        <v>0</v>
      </c>
      <c r="M95">
        <f t="shared" si="7"/>
        <v>508</v>
      </c>
      <c r="N95">
        <f t="shared" si="5"/>
        <v>843</v>
      </c>
      <c r="O95" s="3">
        <f t="shared" si="6"/>
        <v>99.645390070921991</v>
      </c>
      <c r="P95">
        <f t="shared" si="8"/>
        <v>3</v>
      </c>
      <c r="Q95">
        <f>SUMIF(DATA!A:A,PPL!A95,DATA!N:N)</f>
        <v>335</v>
      </c>
    </row>
    <row r="96" spans="1:17" x14ac:dyDescent="0.25">
      <c r="A96" t="s">
        <v>105</v>
      </c>
      <c r="B96" t="s">
        <v>338</v>
      </c>
      <c r="C96" t="s">
        <v>175</v>
      </c>
      <c r="D96" t="str">
        <f>VLOOKUP(C96,PML!A:B,2,0)</f>
        <v>Alan</v>
      </c>
      <c r="E96">
        <f>SUMIF(DATA!$A:$A,PPL!$A96,DATA!C:C)</f>
        <v>582</v>
      </c>
      <c r="F96">
        <f>SUMIF(DATA!$A:$A,PPL!$A96,DATA!D:D)</f>
        <v>582</v>
      </c>
      <c r="G96">
        <f>SUMIF(DATA!$A:$A,PPL!$A96,DATA!E:E)</f>
        <v>0</v>
      </c>
      <c r="H96">
        <f>SUMIF(DATA!$A:$A,PPL!$A96,DATA!F:F)</f>
        <v>0</v>
      </c>
      <c r="I96">
        <f>SUMIF(DATA!$A:$A,PPL!$A96,DATA!G:G)</f>
        <v>0</v>
      </c>
      <c r="J96">
        <f>SUMIF(DATA!$A:$A,PPL!$A96,DATA!H:H)</f>
        <v>0</v>
      </c>
      <c r="K96">
        <f>SUMIF(DATA!$A:$A,PPL!$A96,DATA!I:I)</f>
        <v>0</v>
      </c>
      <c r="L96">
        <f>SUMIF(DATA!$A:$A,PPL!$A96,DATA!J:J)</f>
        <v>0</v>
      </c>
      <c r="M96">
        <f t="shared" si="7"/>
        <v>344</v>
      </c>
      <c r="N96">
        <f t="shared" si="5"/>
        <v>582</v>
      </c>
      <c r="O96" s="3">
        <f t="shared" si="6"/>
        <v>100</v>
      </c>
      <c r="P96">
        <f t="shared" si="8"/>
        <v>0</v>
      </c>
      <c r="Q96">
        <f>SUMIF(DATA!A:A,PPL!A96,DATA!N:N)</f>
        <v>238</v>
      </c>
    </row>
    <row r="97" spans="1:17" x14ac:dyDescent="0.25">
      <c r="A97" t="s">
        <v>106</v>
      </c>
      <c r="B97" t="s">
        <v>339</v>
      </c>
      <c r="C97" t="s">
        <v>174</v>
      </c>
      <c r="D97" t="str">
        <f>VLOOKUP(C97,PML!A:B,2,0)</f>
        <v>Aji</v>
      </c>
      <c r="E97">
        <f>SUMIF(DATA!$A:$A,PPL!$A97,DATA!C:C)</f>
        <v>691</v>
      </c>
      <c r="F97">
        <f>SUMIF(DATA!$A:$A,PPL!$A97,DATA!D:D)</f>
        <v>286</v>
      </c>
      <c r="G97">
        <f>SUMIF(DATA!$A:$A,PPL!$A97,DATA!E:E)</f>
        <v>0</v>
      </c>
      <c r="H97">
        <f>SUMIF(DATA!$A:$A,PPL!$A97,DATA!F:F)</f>
        <v>0</v>
      </c>
      <c r="I97">
        <f>SUMIF(DATA!$A:$A,PPL!$A97,DATA!G:G)</f>
        <v>0</v>
      </c>
      <c r="J97">
        <f>SUMIF(DATA!$A:$A,PPL!$A97,DATA!H:H)</f>
        <v>0</v>
      </c>
      <c r="K97">
        <f>SUMIF(DATA!$A:$A,PPL!$A97,DATA!I:I)</f>
        <v>405</v>
      </c>
      <c r="L97">
        <f>SUMIF(DATA!$A:$A,PPL!$A97,DATA!J:J)</f>
        <v>0</v>
      </c>
      <c r="M97">
        <f t="shared" si="7"/>
        <v>497</v>
      </c>
      <c r="N97">
        <f t="shared" si="5"/>
        <v>691</v>
      </c>
      <c r="O97" s="3">
        <f t="shared" si="6"/>
        <v>100</v>
      </c>
      <c r="P97">
        <f t="shared" si="8"/>
        <v>0</v>
      </c>
      <c r="Q97">
        <f>SUMIF(DATA!A:A,PPL!A97,DATA!N:N)</f>
        <v>194</v>
      </c>
    </row>
    <row r="98" spans="1:17" x14ac:dyDescent="0.25">
      <c r="A98" t="s">
        <v>108</v>
      </c>
      <c r="B98" t="s">
        <v>340</v>
      </c>
      <c r="C98" t="s">
        <v>174</v>
      </c>
      <c r="D98" t="str">
        <f>VLOOKUP(C98,PML!A:B,2,0)</f>
        <v>Aji</v>
      </c>
      <c r="E98">
        <f>SUMIF(DATA!$A:$A,PPL!$A98,DATA!C:C)</f>
        <v>888</v>
      </c>
      <c r="F98">
        <f>SUMIF(DATA!$A:$A,PPL!$A98,DATA!D:D)</f>
        <v>394</v>
      </c>
      <c r="G98">
        <f>SUMIF(DATA!$A:$A,PPL!$A98,DATA!E:E)</f>
        <v>32</v>
      </c>
      <c r="H98">
        <f>SUMIF(DATA!$A:$A,PPL!$A98,DATA!F:F)</f>
        <v>0</v>
      </c>
      <c r="I98">
        <f>SUMIF(DATA!$A:$A,PPL!$A98,DATA!G:G)</f>
        <v>0</v>
      </c>
      <c r="J98">
        <f>SUMIF(DATA!$A:$A,PPL!$A98,DATA!H:H)</f>
        <v>1</v>
      </c>
      <c r="K98">
        <f>SUMIF(DATA!$A:$A,PPL!$A98,DATA!I:I)</f>
        <v>461</v>
      </c>
      <c r="L98">
        <f>SUMIF(DATA!$A:$A,PPL!$A98,DATA!J:J)</f>
        <v>0</v>
      </c>
      <c r="M98">
        <f t="shared" ref="M98:M129" si="9">N98-Q98</f>
        <v>563</v>
      </c>
      <c r="N98">
        <f t="shared" si="5"/>
        <v>856</v>
      </c>
      <c r="O98" s="3">
        <f t="shared" si="6"/>
        <v>96.396396396396398</v>
      </c>
      <c r="P98">
        <f t="shared" si="8"/>
        <v>32</v>
      </c>
      <c r="Q98">
        <f>SUMIF(DATA!A:A,PPL!A98,DATA!N:N)</f>
        <v>293</v>
      </c>
    </row>
    <row r="99" spans="1:17" x14ac:dyDescent="0.25">
      <c r="A99" t="s">
        <v>109</v>
      </c>
      <c r="B99" t="s">
        <v>341</v>
      </c>
      <c r="C99" t="s">
        <v>176</v>
      </c>
      <c r="D99" t="str">
        <f>VLOOKUP(C99,PML!A:B,2,0)</f>
        <v>Gabe</v>
      </c>
      <c r="E99">
        <f>SUMIF(DATA!$A:$A,PPL!$A99,DATA!C:C)</f>
        <v>792</v>
      </c>
      <c r="F99">
        <f>SUMIF(DATA!$A:$A,PPL!$A99,DATA!D:D)</f>
        <v>711</v>
      </c>
      <c r="G99">
        <f>SUMIF(DATA!$A:$A,PPL!$A99,DATA!E:E)</f>
        <v>1</v>
      </c>
      <c r="H99">
        <f>SUMIF(DATA!$A:$A,PPL!$A99,DATA!F:F)</f>
        <v>0</v>
      </c>
      <c r="I99">
        <f>SUMIF(DATA!$A:$A,PPL!$A99,DATA!G:G)</f>
        <v>15</v>
      </c>
      <c r="J99">
        <f>SUMIF(DATA!$A:$A,PPL!$A99,DATA!H:H)</f>
        <v>0</v>
      </c>
      <c r="K99">
        <f>SUMIF(DATA!$A:$A,PPL!$A99,DATA!I:I)</f>
        <v>65</v>
      </c>
      <c r="L99">
        <f>SUMIF(DATA!$A:$A,PPL!$A99,DATA!J:J)</f>
        <v>0</v>
      </c>
      <c r="M99">
        <f t="shared" si="9"/>
        <v>462</v>
      </c>
      <c r="N99">
        <f t="shared" si="5"/>
        <v>791</v>
      </c>
      <c r="O99" s="3">
        <f t="shared" si="6"/>
        <v>99.87373737373737</v>
      </c>
      <c r="P99">
        <f t="shared" si="8"/>
        <v>1</v>
      </c>
      <c r="Q99">
        <f>SUMIF(DATA!A:A,PPL!A99,DATA!N:N)</f>
        <v>329</v>
      </c>
    </row>
    <row r="100" spans="1:17" x14ac:dyDescent="0.25">
      <c r="A100" t="s">
        <v>110</v>
      </c>
      <c r="B100" t="s">
        <v>342</v>
      </c>
      <c r="C100" t="s">
        <v>176</v>
      </c>
      <c r="D100" t="str">
        <f>VLOOKUP(C100,PML!A:B,2,0)</f>
        <v>Gabe</v>
      </c>
      <c r="E100">
        <f>SUMIF(DATA!$A:$A,PPL!$A100,DATA!C:C)</f>
        <v>938</v>
      </c>
      <c r="F100">
        <f>SUMIF(DATA!$A:$A,PPL!$A100,DATA!D:D)</f>
        <v>835</v>
      </c>
      <c r="G100">
        <f>SUMIF(DATA!$A:$A,PPL!$A100,DATA!E:E)</f>
        <v>1</v>
      </c>
      <c r="H100">
        <f>SUMIF(DATA!$A:$A,PPL!$A100,DATA!F:F)</f>
        <v>0</v>
      </c>
      <c r="I100">
        <f>SUMIF(DATA!$A:$A,PPL!$A100,DATA!G:G)</f>
        <v>2</v>
      </c>
      <c r="J100">
        <f>SUMIF(DATA!$A:$A,PPL!$A100,DATA!H:H)</f>
        <v>0</v>
      </c>
      <c r="K100">
        <f>SUMIF(DATA!$A:$A,PPL!$A100,DATA!I:I)</f>
        <v>100</v>
      </c>
      <c r="L100">
        <f>SUMIF(DATA!$A:$A,PPL!$A100,DATA!J:J)</f>
        <v>0</v>
      </c>
      <c r="M100">
        <f t="shared" si="9"/>
        <v>430</v>
      </c>
      <c r="N100">
        <f t="shared" si="5"/>
        <v>937</v>
      </c>
      <c r="O100" s="3">
        <f t="shared" si="6"/>
        <v>99.893390191897652</v>
      </c>
      <c r="P100">
        <f t="shared" si="8"/>
        <v>1</v>
      </c>
      <c r="Q100">
        <f>SUMIF(DATA!A:A,PPL!A100,DATA!N:N)</f>
        <v>507</v>
      </c>
    </row>
    <row r="101" spans="1:17" x14ac:dyDescent="0.25">
      <c r="A101" t="s">
        <v>111</v>
      </c>
      <c r="B101" t="s">
        <v>343</v>
      </c>
      <c r="C101" t="s">
        <v>176</v>
      </c>
      <c r="D101" t="str">
        <f>VLOOKUP(C101,PML!A:B,2,0)</f>
        <v>Gabe</v>
      </c>
      <c r="E101">
        <f>SUMIF(DATA!$A:$A,PPL!$A101,DATA!C:C)</f>
        <v>857</v>
      </c>
      <c r="F101">
        <f>SUMIF(DATA!$A:$A,PPL!$A101,DATA!D:D)</f>
        <v>647</v>
      </c>
      <c r="G101">
        <f>SUMIF(DATA!$A:$A,PPL!$A101,DATA!E:E)</f>
        <v>9</v>
      </c>
      <c r="H101">
        <f>SUMIF(DATA!$A:$A,PPL!$A101,DATA!F:F)</f>
        <v>0</v>
      </c>
      <c r="I101">
        <f>SUMIF(DATA!$A:$A,PPL!$A101,DATA!G:G)</f>
        <v>35</v>
      </c>
      <c r="J101">
        <f>SUMIF(DATA!$A:$A,PPL!$A101,DATA!H:H)</f>
        <v>0</v>
      </c>
      <c r="K101">
        <f>SUMIF(DATA!$A:$A,PPL!$A101,DATA!I:I)</f>
        <v>166</v>
      </c>
      <c r="L101">
        <f>SUMIF(DATA!$A:$A,PPL!$A101,DATA!J:J)</f>
        <v>0</v>
      </c>
      <c r="M101">
        <f t="shared" si="9"/>
        <v>423</v>
      </c>
      <c r="N101">
        <f t="shared" si="5"/>
        <v>848</v>
      </c>
      <c r="O101" s="3">
        <f t="shared" si="6"/>
        <v>98.949824970828473</v>
      </c>
      <c r="P101">
        <f t="shared" si="8"/>
        <v>9</v>
      </c>
      <c r="Q101">
        <f>SUMIF(DATA!A:A,PPL!A101,DATA!N:N)</f>
        <v>425</v>
      </c>
    </row>
    <row r="102" spans="1:17" x14ac:dyDescent="0.25">
      <c r="A102" t="s">
        <v>112</v>
      </c>
      <c r="B102" t="s">
        <v>344</v>
      </c>
      <c r="C102" t="s">
        <v>176</v>
      </c>
      <c r="D102" t="str">
        <f>VLOOKUP(C102,PML!A:B,2,0)</f>
        <v>Gabe</v>
      </c>
      <c r="E102">
        <f>SUMIF(DATA!$A:$A,PPL!$A102,DATA!C:C)</f>
        <v>778</v>
      </c>
      <c r="F102">
        <f>SUMIF(DATA!$A:$A,PPL!$A102,DATA!D:D)</f>
        <v>778</v>
      </c>
      <c r="G102">
        <f>SUMIF(DATA!$A:$A,PPL!$A102,DATA!E:E)</f>
        <v>0</v>
      </c>
      <c r="H102">
        <f>SUMIF(DATA!$A:$A,PPL!$A102,DATA!F:F)</f>
        <v>0</v>
      </c>
      <c r="I102">
        <f>SUMIF(DATA!$A:$A,PPL!$A102,DATA!G:G)</f>
        <v>0</v>
      </c>
      <c r="J102">
        <f>SUMIF(DATA!$A:$A,PPL!$A102,DATA!H:H)</f>
        <v>0</v>
      </c>
      <c r="K102">
        <f>SUMIF(DATA!$A:$A,PPL!$A102,DATA!I:I)</f>
        <v>0</v>
      </c>
      <c r="L102">
        <f>SUMIF(DATA!$A:$A,PPL!$A102,DATA!J:J)</f>
        <v>0</v>
      </c>
      <c r="M102">
        <f t="shared" si="9"/>
        <v>489</v>
      </c>
      <c r="N102">
        <f t="shared" si="5"/>
        <v>778</v>
      </c>
      <c r="O102" s="3">
        <f t="shared" si="6"/>
        <v>100</v>
      </c>
      <c r="P102">
        <f t="shared" si="8"/>
        <v>0</v>
      </c>
      <c r="Q102">
        <f>SUMIF(DATA!A:A,PPL!A102,DATA!N:N)</f>
        <v>289</v>
      </c>
    </row>
    <row r="103" spans="1:17" x14ac:dyDescent="0.25">
      <c r="A103" t="s">
        <v>113</v>
      </c>
      <c r="B103" t="s">
        <v>345</v>
      </c>
      <c r="C103" t="s">
        <v>177</v>
      </c>
      <c r="D103" t="str">
        <f>VLOOKUP(C103,PML!A:B,2,0)</f>
        <v>Neivrid</v>
      </c>
      <c r="E103">
        <f>SUMIF(DATA!$A:$A,PPL!$A103,DATA!C:C)</f>
        <v>787</v>
      </c>
      <c r="F103">
        <f>SUMIF(DATA!$A:$A,PPL!$A103,DATA!D:D)</f>
        <v>779</v>
      </c>
      <c r="G103">
        <f>SUMIF(DATA!$A:$A,PPL!$A103,DATA!E:E)</f>
        <v>0</v>
      </c>
      <c r="H103">
        <f>SUMIF(DATA!$A:$A,PPL!$A103,DATA!F:F)</f>
        <v>0</v>
      </c>
      <c r="I103">
        <f>SUMIF(DATA!$A:$A,PPL!$A103,DATA!G:G)</f>
        <v>0</v>
      </c>
      <c r="J103">
        <f>SUMIF(DATA!$A:$A,PPL!$A103,DATA!H:H)</f>
        <v>1</v>
      </c>
      <c r="K103">
        <f>SUMIF(DATA!$A:$A,PPL!$A103,DATA!I:I)</f>
        <v>7</v>
      </c>
      <c r="L103">
        <f>SUMIF(DATA!$A:$A,PPL!$A103,DATA!J:J)</f>
        <v>0</v>
      </c>
      <c r="M103">
        <f t="shared" si="9"/>
        <v>545</v>
      </c>
      <c r="N103">
        <f t="shared" si="5"/>
        <v>787</v>
      </c>
      <c r="O103" s="3">
        <f t="shared" si="6"/>
        <v>100</v>
      </c>
      <c r="P103">
        <f t="shared" si="8"/>
        <v>0</v>
      </c>
      <c r="Q103">
        <f>SUMIF(DATA!A:A,PPL!A103,DATA!N:N)</f>
        <v>242</v>
      </c>
    </row>
    <row r="104" spans="1:17" x14ac:dyDescent="0.25">
      <c r="A104" t="s">
        <v>114</v>
      </c>
      <c r="B104" t="s">
        <v>346</v>
      </c>
      <c r="C104" t="s">
        <v>178</v>
      </c>
      <c r="D104" t="str">
        <f>VLOOKUP(C104,PML!A:B,2,0)</f>
        <v>Prih</v>
      </c>
      <c r="E104">
        <f>SUMIF(DATA!$A:$A,PPL!$A104,DATA!C:C)</f>
        <v>780</v>
      </c>
      <c r="F104">
        <f>SUMIF(DATA!$A:$A,PPL!$A104,DATA!D:D)</f>
        <v>779</v>
      </c>
      <c r="G104">
        <f>SUMIF(DATA!$A:$A,PPL!$A104,DATA!E:E)</f>
        <v>0</v>
      </c>
      <c r="H104">
        <f>SUMIF(DATA!$A:$A,PPL!$A104,DATA!F:F)</f>
        <v>0</v>
      </c>
      <c r="I104">
        <f>SUMIF(DATA!$A:$A,PPL!$A104,DATA!G:G)</f>
        <v>0</v>
      </c>
      <c r="J104">
        <f>SUMIF(DATA!$A:$A,PPL!$A104,DATA!H:H)</f>
        <v>0</v>
      </c>
      <c r="K104">
        <f>SUMIF(DATA!$A:$A,PPL!$A104,DATA!I:I)</f>
        <v>1</v>
      </c>
      <c r="L104">
        <f>SUMIF(DATA!$A:$A,PPL!$A104,DATA!J:J)</f>
        <v>0</v>
      </c>
      <c r="M104">
        <f t="shared" si="9"/>
        <v>450</v>
      </c>
      <c r="N104">
        <f t="shared" si="5"/>
        <v>780</v>
      </c>
      <c r="O104" s="3">
        <f t="shared" si="6"/>
        <v>100</v>
      </c>
      <c r="P104">
        <f t="shared" si="8"/>
        <v>0</v>
      </c>
      <c r="Q104">
        <f>SUMIF(DATA!A:A,PPL!A104,DATA!N:N)</f>
        <v>330</v>
      </c>
    </row>
    <row r="105" spans="1:17" x14ac:dyDescent="0.25">
      <c r="A105" t="s">
        <v>115</v>
      </c>
      <c r="B105" t="s">
        <v>347</v>
      </c>
      <c r="C105" t="s">
        <v>178</v>
      </c>
      <c r="D105" t="str">
        <f>VLOOKUP(C105,PML!A:B,2,0)</f>
        <v>Prih</v>
      </c>
      <c r="E105">
        <f>SUMIF(DATA!$A:$A,PPL!$A105,DATA!C:C)</f>
        <v>628</v>
      </c>
      <c r="F105">
        <f>SUMIF(DATA!$A:$A,PPL!$A105,DATA!D:D)</f>
        <v>576</v>
      </c>
      <c r="G105">
        <f>SUMIF(DATA!$A:$A,PPL!$A105,DATA!E:E)</f>
        <v>50</v>
      </c>
      <c r="H105">
        <f>SUMIF(DATA!$A:$A,PPL!$A105,DATA!F:F)</f>
        <v>0</v>
      </c>
      <c r="I105">
        <f>SUMIF(DATA!$A:$A,PPL!$A105,DATA!G:G)</f>
        <v>2</v>
      </c>
      <c r="J105">
        <f>SUMIF(DATA!$A:$A,PPL!$A105,DATA!H:H)</f>
        <v>0</v>
      </c>
      <c r="K105">
        <f>SUMIF(DATA!$A:$A,PPL!$A105,DATA!I:I)</f>
        <v>0</v>
      </c>
      <c r="L105">
        <f>SUMIF(DATA!$A:$A,PPL!$A105,DATA!J:J)</f>
        <v>0</v>
      </c>
      <c r="M105">
        <f t="shared" si="9"/>
        <v>348</v>
      </c>
      <c r="N105">
        <f t="shared" si="5"/>
        <v>578</v>
      </c>
      <c r="O105" s="3">
        <f t="shared" si="6"/>
        <v>92.038216560509554</v>
      </c>
      <c r="P105">
        <f t="shared" si="8"/>
        <v>50</v>
      </c>
      <c r="Q105">
        <f>SUMIF(DATA!A:A,PPL!A105,DATA!N:N)</f>
        <v>230</v>
      </c>
    </row>
    <row r="106" spans="1:17" x14ac:dyDescent="0.25">
      <c r="A106" t="s">
        <v>116</v>
      </c>
      <c r="B106" t="s">
        <v>348</v>
      </c>
      <c r="C106" t="s">
        <v>178</v>
      </c>
      <c r="D106" t="str">
        <f>VLOOKUP(C106,PML!A:B,2,0)</f>
        <v>Prih</v>
      </c>
      <c r="E106">
        <f>SUMIF(DATA!$A:$A,PPL!$A106,DATA!C:C)</f>
        <v>763</v>
      </c>
      <c r="F106">
        <f>SUMIF(DATA!$A:$A,PPL!$A106,DATA!D:D)</f>
        <v>760</v>
      </c>
      <c r="G106">
        <f>SUMIF(DATA!$A:$A,PPL!$A106,DATA!E:E)</f>
        <v>0</v>
      </c>
      <c r="H106">
        <f>SUMIF(DATA!$A:$A,PPL!$A106,DATA!F:F)</f>
        <v>0</v>
      </c>
      <c r="I106">
        <f>SUMIF(DATA!$A:$A,PPL!$A106,DATA!G:G)</f>
        <v>0</v>
      </c>
      <c r="J106">
        <f>SUMIF(DATA!$A:$A,PPL!$A106,DATA!H:H)</f>
        <v>0</v>
      </c>
      <c r="K106">
        <f>SUMIF(DATA!$A:$A,PPL!$A106,DATA!I:I)</f>
        <v>3</v>
      </c>
      <c r="L106">
        <f>SUMIF(DATA!$A:$A,PPL!$A106,DATA!J:J)</f>
        <v>0</v>
      </c>
      <c r="M106">
        <f t="shared" si="9"/>
        <v>477</v>
      </c>
      <c r="N106">
        <f t="shared" si="5"/>
        <v>763</v>
      </c>
      <c r="O106" s="3">
        <f t="shared" si="6"/>
        <v>100</v>
      </c>
      <c r="P106">
        <f t="shared" si="8"/>
        <v>0</v>
      </c>
      <c r="Q106">
        <f>SUMIF(DATA!A:A,PPL!A106,DATA!N:N)</f>
        <v>286</v>
      </c>
    </row>
    <row r="107" spans="1:17" x14ac:dyDescent="0.25">
      <c r="A107" t="s">
        <v>117</v>
      </c>
      <c r="B107" t="s">
        <v>349</v>
      </c>
      <c r="C107" t="s">
        <v>178</v>
      </c>
      <c r="D107" t="str">
        <f>VLOOKUP(C107,PML!A:B,2,0)</f>
        <v>Prih</v>
      </c>
      <c r="E107">
        <f>SUMIF(DATA!$A:$A,PPL!$A107,DATA!C:C)</f>
        <v>718</v>
      </c>
      <c r="F107">
        <f>SUMIF(DATA!$A:$A,PPL!$A107,DATA!D:D)</f>
        <v>691</v>
      </c>
      <c r="G107">
        <f>SUMIF(DATA!$A:$A,PPL!$A107,DATA!E:E)</f>
        <v>25</v>
      </c>
      <c r="H107">
        <f>SUMIF(DATA!$A:$A,PPL!$A107,DATA!F:F)</f>
        <v>0</v>
      </c>
      <c r="I107">
        <f>SUMIF(DATA!$A:$A,PPL!$A107,DATA!G:G)</f>
        <v>0</v>
      </c>
      <c r="J107">
        <f>SUMIF(DATA!$A:$A,PPL!$A107,DATA!H:H)</f>
        <v>0</v>
      </c>
      <c r="K107">
        <f>SUMIF(DATA!$A:$A,PPL!$A107,DATA!I:I)</f>
        <v>2</v>
      </c>
      <c r="L107">
        <f>SUMIF(DATA!$A:$A,PPL!$A107,DATA!J:J)</f>
        <v>0</v>
      </c>
      <c r="M107">
        <f t="shared" si="9"/>
        <v>439</v>
      </c>
      <c r="N107">
        <f t="shared" si="5"/>
        <v>693</v>
      </c>
      <c r="O107" s="3">
        <f t="shared" si="6"/>
        <v>96.51810584958217</v>
      </c>
      <c r="P107">
        <f t="shared" si="8"/>
        <v>25</v>
      </c>
      <c r="Q107">
        <f>SUMIF(DATA!A:A,PPL!A107,DATA!N:N)</f>
        <v>254</v>
      </c>
    </row>
    <row r="108" spans="1:17" x14ac:dyDescent="0.25">
      <c r="A108" t="s">
        <v>118</v>
      </c>
      <c r="B108" t="s">
        <v>350</v>
      </c>
      <c r="C108" t="s">
        <v>178</v>
      </c>
      <c r="D108" t="str">
        <f>VLOOKUP(C108,PML!A:B,2,0)</f>
        <v>Prih</v>
      </c>
      <c r="E108">
        <f>SUMIF(DATA!$A:$A,PPL!$A108,DATA!C:C)</f>
        <v>710</v>
      </c>
      <c r="F108">
        <f>SUMIF(DATA!$A:$A,PPL!$A108,DATA!D:D)</f>
        <v>595</v>
      </c>
      <c r="G108">
        <f>SUMIF(DATA!$A:$A,PPL!$A108,DATA!E:E)</f>
        <v>102</v>
      </c>
      <c r="H108">
        <f>SUMIF(DATA!$A:$A,PPL!$A108,DATA!F:F)</f>
        <v>0</v>
      </c>
      <c r="I108">
        <f>SUMIF(DATA!$A:$A,PPL!$A108,DATA!G:G)</f>
        <v>4</v>
      </c>
      <c r="J108">
        <f>SUMIF(DATA!$A:$A,PPL!$A108,DATA!H:H)</f>
        <v>0</v>
      </c>
      <c r="K108">
        <f>SUMIF(DATA!$A:$A,PPL!$A108,DATA!I:I)</f>
        <v>9</v>
      </c>
      <c r="L108">
        <f>SUMIF(DATA!$A:$A,PPL!$A108,DATA!J:J)</f>
        <v>0</v>
      </c>
      <c r="M108">
        <f t="shared" si="9"/>
        <v>351</v>
      </c>
      <c r="N108">
        <f t="shared" si="5"/>
        <v>608</v>
      </c>
      <c r="O108" s="3">
        <f t="shared" si="6"/>
        <v>85.633802816901408</v>
      </c>
      <c r="P108">
        <f t="shared" si="8"/>
        <v>102</v>
      </c>
      <c r="Q108">
        <f>SUMIF(DATA!A:A,PPL!A108,DATA!N:N)</f>
        <v>257</v>
      </c>
    </row>
    <row r="109" spans="1:17" x14ac:dyDescent="0.25">
      <c r="A109" t="s">
        <v>973</v>
      </c>
      <c r="B109" t="s">
        <v>974</v>
      </c>
      <c r="C109" t="s">
        <v>178</v>
      </c>
      <c r="D109" t="str">
        <f>VLOOKUP(C109,PML!A:B,2,0)</f>
        <v>Prih</v>
      </c>
      <c r="E109">
        <f>SUMIF(DATA!$A:$A,PPL!$A109,DATA!C:C)</f>
        <v>671</v>
      </c>
      <c r="F109">
        <f>SUMIF(DATA!$A:$A,PPL!$A109,DATA!D:D)</f>
        <v>628</v>
      </c>
      <c r="G109">
        <f>SUMIF(DATA!$A:$A,PPL!$A109,DATA!E:E)</f>
        <v>17</v>
      </c>
      <c r="H109">
        <f>SUMIF(DATA!$A:$A,PPL!$A109,DATA!F:F)</f>
        <v>0</v>
      </c>
      <c r="I109">
        <f>SUMIF(DATA!$A:$A,PPL!$A109,DATA!G:G)</f>
        <v>0</v>
      </c>
      <c r="J109">
        <f>SUMIF(DATA!$A:$A,PPL!$A109,DATA!H:H)</f>
        <v>0</v>
      </c>
      <c r="K109">
        <f>SUMIF(DATA!$A:$A,PPL!$A109,DATA!I:I)</f>
        <v>26</v>
      </c>
      <c r="L109">
        <f>SUMIF(DATA!$A:$A,PPL!$A109,DATA!J:J)</f>
        <v>0</v>
      </c>
      <c r="M109">
        <f t="shared" si="9"/>
        <v>427</v>
      </c>
      <c r="N109">
        <f t="shared" si="5"/>
        <v>654</v>
      </c>
      <c r="O109" s="3">
        <f t="shared" si="6"/>
        <v>97.466467958271238</v>
      </c>
      <c r="P109">
        <f t="shared" si="8"/>
        <v>17</v>
      </c>
      <c r="Q109">
        <f>SUMIF(DATA!A:A,PPL!A109,DATA!N:N)</f>
        <v>227</v>
      </c>
    </row>
    <row r="110" spans="1:17" x14ac:dyDescent="0.25">
      <c r="A110" t="s">
        <v>120</v>
      </c>
      <c r="B110" t="s">
        <v>351</v>
      </c>
      <c r="C110" t="s">
        <v>176</v>
      </c>
      <c r="D110" t="str">
        <f>VLOOKUP(C110,PML!A:B,2,0)</f>
        <v>Gabe</v>
      </c>
      <c r="E110">
        <f>SUMIF(DATA!$A:$A,PPL!$A110,DATA!C:C)</f>
        <v>677</v>
      </c>
      <c r="F110">
        <f>SUMIF(DATA!$A:$A,PPL!$A110,DATA!D:D)</f>
        <v>549</v>
      </c>
      <c r="G110">
        <f>SUMIF(DATA!$A:$A,PPL!$A110,DATA!E:E)</f>
        <v>0</v>
      </c>
      <c r="H110">
        <f>SUMIF(DATA!$A:$A,PPL!$A110,DATA!F:F)</f>
        <v>0</v>
      </c>
      <c r="I110">
        <f>SUMIF(DATA!$A:$A,PPL!$A110,DATA!G:G)</f>
        <v>2</v>
      </c>
      <c r="J110">
        <f>SUMIF(DATA!$A:$A,PPL!$A110,DATA!H:H)</f>
        <v>0</v>
      </c>
      <c r="K110">
        <f>SUMIF(DATA!$A:$A,PPL!$A110,DATA!I:I)</f>
        <v>126</v>
      </c>
      <c r="L110">
        <f>SUMIF(DATA!$A:$A,PPL!$A110,DATA!J:J)</f>
        <v>0</v>
      </c>
      <c r="M110">
        <f t="shared" si="9"/>
        <v>466</v>
      </c>
      <c r="N110">
        <f t="shared" si="5"/>
        <v>677</v>
      </c>
      <c r="O110" s="3">
        <f t="shared" si="6"/>
        <v>100</v>
      </c>
      <c r="P110">
        <f t="shared" si="8"/>
        <v>0</v>
      </c>
      <c r="Q110">
        <f>SUMIF(DATA!A:A,PPL!A110,DATA!N:N)</f>
        <v>211</v>
      </c>
    </row>
    <row r="111" spans="1:17" x14ac:dyDescent="0.25">
      <c r="A111" t="s">
        <v>121</v>
      </c>
      <c r="B111" t="s">
        <v>352</v>
      </c>
      <c r="C111" t="s">
        <v>176</v>
      </c>
      <c r="D111" t="str">
        <f>VLOOKUP(C111,PML!A:B,2,0)</f>
        <v>Gabe</v>
      </c>
      <c r="E111">
        <f>SUMIF(DATA!$A:$A,PPL!$A111,DATA!C:C)</f>
        <v>677</v>
      </c>
      <c r="F111">
        <f>SUMIF(DATA!$A:$A,PPL!$A111,DATA!D:D)</f>
        <v>498</v>
      </c>
      <c r="G111">
        <f>SUMIF(DATA!$A:$A,PPL!$A111,DATA!E:E)</f>
        <v>1</v>
      </c>
      <c r="H111">
        <f>SUMIF(DATA!$A:$A,PPL!$A111,DATA!F:F)</f>
        <v>0</v>
      </c>
      <c r="I111">
        <f>SUMIF(DATA!$A:$A,PPL!$A111,DATA!G:G)</f>
        <v>0</v>
      </c>
      <c r="J111">
        <f>SUMIF(DATA!$A:$A,PPL!$A111,DATA!H:H)</f>
        <v>1</v>
      </c>
      <c r="K111">
        <f>SUMIF(DATA!$A:$A,PPL!$A111,DATA!I:I)</f>
        <v>177</v>
      </c>
      <c r="L111">
        <f>SUMIF(DATA!$A:$A,PPL!$A111,DATA!J:J)</f>
        <v>0</v>
      </c>
      <c r="M111">
        <f t="shared" si="9"/>
        <v>408</v>
      </c>
      <c r="N111">
        <f t="shared" si="5"/>
        <v>676</v>
      </c>
      <c r="O111" s="3">
        <f t="shared" si="6"/>
        <v>99.852289512555387</v>
      </c>
      <c r="P111">
        <f t="shared" si="8"/>
        <v>1</v>
      </c>
      <c r="Q111">
        <f>SUMIF(DATA!A:A,PPL!A111,DATA!N:N)</f>
        <v>268</v>
      </c>
    </row>
    <row r="112" spans="1:17" x14ac:dyDescent="0.25">
      <c r="A112" t="s">
        <v>122</v>
      </c>
      <c r="B112" t="s">
        <v>353</v>
      </c>
      <c r="C112" t="s">
        <v>176</v>
      </c>
      <c r="D112" t="str">
        <f>VLOOKUP(C112,PML!A:B,2,0)</f>
        <v>Gabe</v>
      </c>
      <c r="E112">
        <f>SUMIF(DATA!$A:$A,PPL!$A112,DATA!C:C)</f>
        <v>739</v>
      </c>
      <c r="F112">
        <f>SUMIF(DATA!$A:$A,PPL!$A112,DATA!D:D)</f>
        <v>483</v>
      </c>
      <c r="G112">
        <f>SUMIF(DATA!$A:$A,PPL!$A112,DATA!E:E)</f>
        <v>60</v>
      </c>
      <c r="H112">
        <f>SUMIF(DATA!$A:$A,PPL!$A112,DATA!F:F)</f>
        <v>0</v>
      </c>
      <c r="I112">
        <f>SUMIF(DATA!$A:$A,PPL!$A112,DATA!G:G)</f>
        <v>25</v>
      </c>
      <c r="J112">
        <f>SUMIF(DATA!$A:$A,PPL!$A112,DATA!H:H)</f>
        <v>1</v>
      </c>
      <c r="K112">
        <f>SUMIF(DATA!$A:$A,PPL!$A112,DATA!I:I)</f>
        <v>170</v>
      </c>
      <c r="L112">
        <f>SUMIF(DATA!$A:$A,PPL!$A112,DATA!J:J)</f>
        <v>0</v>
      </c>
      <c r="M112">
        <f t="shared" si="9"/>
        <v>285</v>
      </c>
      <c r="N112">
        <f t="shared" si="5"/>
        <v>679</v>
      </c>
      <c r="O112" s="3">
        <f t="shared" si="6"/>
        <v>91.880920162381599</v>
      </c>
      <c r="P112">
        <f t="shared" si="8"/>
        <v>60</v>
      </c>
      <c r="Q112">
        <f>SUMIF(DATA!A:A,PPL!A112,DATA!N:N)</f>
        <v>394</v>
      </c>
    </row>
    <row r="113" spans="1:17" x14ac:dyDescent="0.25">
      <c r="A113" t="s">
        <v>123</v>
      </c>
      <c r="B113" t="s">
        <v>354</v>
      </c>
      <c r="C113" t="s">
        <v>178</v>
      </c>
      <c r="D113" t="str">
        <f>VLOOKUP(C113,PML!A:B,2,0)</f>
        <v>Prih</v>
      </c>
      <c r="E113">
        <f>SUMIF(DATA!$A:$A,PPL!$A113,DATA!C:C)</f>
        <v>853</v>
      </c>
      <c r="F113">
        <f>SUMIF(DATA!$A:$A,PPL!$A113,DATA!D:D)</f>
        <v>837</v>
      </c>
      <c r="G113">
        <f>SUMIF(DATA!$A:$A,PPL!$A113,DATA!E:E)</f>
        <v>2</v>
      </c>
      <c r="H113">
        <f>SUMIF(DATA!$A:$A,PPL!$A113,DATA!F:F)</f>
        <v>0</v>
      </c>
      <c r="I113">
        <f>SUMIF(DATA!$A:$A,PPL!$A113,DATA!G:G)</f>
        <v>0</v>
      </c>
      <c r="J113">
        <f>SUMIF(DATA!$A:$A,PPL!$A113,DATA!H:H)</f>
        <v>0</v>
      </c>
      <c r="K113">
        <f>SUMIF(DATA!$A:$A,PPL!$A113,DATA!I:I)</f>
        <v>14</v>
      </c>
      <c r="L113">
        <f>SUMIF(DATA!$A:$A,PPL!$A113,DATA!J:J)</f>
        <v>0</v>
      </c>
      <c r="M113">
        <f t="shared" si="9"/>
        <v>414</v>
      </c>
      <c r="N113">
        <f t="shared" si="5"/>
        <v>851</v>
      </c>
      <c r="O113" s="3">
        <f t="shared" si="6"/>
        <v>99.76553341148886</v>
      </c>
      <c r="P113">
        <f t="shared" si="8"/>
        <v>2</v>
      </c>
      <c r="Q113">
        <f>SUMIF(DATA!A:A,PPL!A113,DATA!N:N)</f>
        <v>437</v>
      </c>
    </row>
    <row r="114" spans="1:17" x14ac:dyDescent="0.25">
      <c r="A114" t="s">
        <v>124</v>
      </c>
      <c r="B114" t="s">
        <v>355</v>
      </c>
      <c r="C114" t="s">
        <v>177</v>
      </c>
      <c r="D114" t="str">
        <f>VLOOKUP(C114,PML!A:B,2,0)</f>
        <v>Neivrid</v>
      </c>
      <c r="E114">
        <f>SUMIF(DATA!$A:$A,PPL!$A114,DATA!C:C)</f>
        <v>745</v>
      </c>
      <c r="F114">
        <f>SUMIF(DATA!$A:$A,PPL!$A114,DATA!D:D)</f>
        <v>744</v>
      </c>
      <c r="G114">
        <f>SUMIF(DATA!$A:$A,PPL!$A114,DATA!E:E)</f>
        <v>0</v>
      </c>
      <c r="H114">
        <f>SUMIF(DATA!$A:$A,PPL!$A114,DATA!F:F)</f>
        <v>0</v>
      </c>
      <c r="I114">
        <f>SUMIF(DATA!$A:$A,PPL!$A114,DATA!G:G)</f>
        <v>1</v>
      </c>
      <c r="J114">
        <f>SUMIF(DATA!$A:$A,PPL!$A114,DATA!H:H)</f>
        <v>0</v>
      </c>
      <c r="K114">
        <f>SUMIF(DATA!$A:$A,PPL!$A114,DATA!I:I)</f>
        <v>0</v>
      </c>
      <c r="L114">
        <f>SUMIF(DATA!$A:$A,PPL!$A114,DATA!J:J)</f>
        <v>0</v>
      </c>
      <c r="M114">
        <f t="shared" si="9"/>
        <v>436</v>
      </c>
      <c r="N114">
        <f t="shared" si="5"/>
        <v>745</v>
      </c>
      <c r="O114" s="3">
        <f t="shared" si="6"/>
        <v>100</v>
      </c>
      <c r="P114">
        <f t="shared" si="8"/>
        <v>0</v>
      </c>
      <c r="Q114">
        <f>SUMIF(DATA!A:A,PPL!A114,DATA!N:N)</f>
        <v>309</v>
      </c>
    </row>
    <row r="115" spans="1:17" x14ac:dyDescent="0.25">
      <c r="A115" t="s">
        <v>125</v>
      </c>
      <c r="B115" t="s">
        <v>356</v>
      </c>
      <c r="C115" t="s">
        <v>177</v>
      </c>
      <c r="D115" t="str">
        <f>VLOOKUP(C115,PML!A:B,2,0)</f>
        <v>Neivrid</v>
      </c>
      <c r="E115">
        <f>SUMIF(DATA!$A:$A,PPL!$A115,DATA!C:C)</f>
        <v>932</v>
      </c>
      <c r="F115">
        <f>SUMIF(DATA!$A:$A,PPL!$A115,DATA!D:D)</f>
        <v>876</v>
      </c>
      <c r="G115">
        <f>SUMIF(DATA!$A:$A,PPL!$A115,DATA!E:E)</f>
        <v>26</v>
      </c>
      <c r="H115">
        <f>SUMIF(DATA!$A:$A,PPL!$A115,DATA!F:F)</f>
        <v>0</v>
      </c>
      <c r="I115">
        <f>SUMIF(DATA!$A:$A,PPL!$A115,DATA!G:G)</f>
        <v>4</v>
      </c>
      <c r="J115">
        <f>SUMIF(DATA!$A:$A,PPL!$A115,DATA!H:H)</f>
        <v>0</v>
      </c>
      <c r="K115">
        <f>SUMIF(DATA!$A:$A,PPL!$A115,DATA!I:I)</f>
        <v>26</v>
      </c>
      <c r="L115">
        <f>SUMIF(DATA!$A:$A,PPL!$A115,DATA!J:J)</f>
        <v>0</v>
      </c>
      <c r="M115">
        <f t="shared" si="9"/>
        <v>499</v>
      </c>
      <c r="N115">
        <f t="shared" si="5"/>
        <v>906</v>
      </c>
      <c r="O115" s="3">
        <f t="shared" si="6"/>
        <v>97.210300429184542</v>
      </c>
      <c r="P115">
        <f t="shared" si="8"/>
        <v>26</v>
      </c>
      <c r="Q115">
        <f>SUMIF(DATA!A:A,PPL!A115,DATA!N:N)</f>
        <v>407</v>
      </c>
    </row>
    <row r="116" spans="1:17" x14ac:dyDescent="0.25">
      <c r="A116" t="s">
        <v>126</v>
      </c>
      <c r="B116" t="s">
        <v>357</v>
      </c>
      <c r="C116" t="s">
        <v>177</v>
      </c>
      <c r="D116" t="str">
        <f>VLOOKUP(C116,PML!A:B,2,0)</f>
        <v>Neivrid</v>
      </c>
      <c r="E116">
        <f>SUMIF(DATA!$A:$A,PPL!$A116,DATA!C:C)</f>
        <v>746</v>
      </c>
      <c r="F116">
        <f>SUMIF(DATA!$A:$A,PPL!$A116,DATA!D:D)</f>
        <v>619</v>
      </c>
      <c r="G116">
        <f>SUMIF(DATA!$A:$A,PPL!$A116,DATA!E:E)</f>
        <v>126</v>
      </c>
      <c r="H116">
        <f>SUMIF(DATA!$A:$A,PPL!$A116,DATA!F:F)</f>
        <v>0</v>
      </c>
      <c r="I116">
        <f>SUMIF(DATA!$A:$A,PPL!$A116,DATA!G:G)</f>
        <v>1</v>
      </c>
      <c r="J116">
        <f>SUMIF(DATA!$A:$A,PPL!$A116,DATA!H:H)</f>
        <v>0</v>
      </c>
      <c r="K116">
        <f>SUMIF(DATA!$A:$A,PPL!$A116,DATA!I:I)</f>
        <v>0</v>
      </c>
      <c r="L116">
        <f>SUMIF(DATA!$A:$A,PPL!$A116,DATA!J:J)</f>
        <v>0</v>
      </c>
      <c r="M116">
        <f t="shared" si="9"/>
        <v>344</v>
      </c>
      <c r="N116">
        <f t="shared" si="5"/>
        <v>620</v>
      </c>
      <c r="O116" s="3">
        <f t="shared" si="6"/>
        <v>83.10991957104558</v>
      </c>
      <c r="P116">
        <f t="shared" si="8"/>
        <v>126</v>
      </c>
      <c r="Q116">
        <f>SUMIF(DATA!A:A,PPL!A116,DATA!N:N)</f>
        <v>276</v>
      </c>
    </row>
    <row r="117" spans="1:17" x14ac:dyDescent="0.25">
      <c r="A117" t="s">
        <v>127</v>
      </c>
      <c r="B117" t="s">
        <v>358</v>
      </c>
      <c r="C117" t="s">
        <v>177</v>
      </c>
      <c r="D117" t="str">
        <f>VLOOKUP(C117,PML!A:B,2,0)</f>
        <v>Neivrid</v>
      </c>
      <c r="E117">
        <f>SUMIF(DATA!$A:$A,PPL!$A117,DATA!C:C)</f>
        <v>721</v>
      </c>
      <c r="F117">
        <f>SUMIF(DATA!$A:$A,PPL!$A117,DATA!D:D)</f>
        <v>638</v>
      </c>
      <c r="G117">
        <f>SUMIF(DATA!$A:$A,PPL!$A117,DATA!E:E)</f>
        <v>60</v>
      </c>
      <c r="H117">
        <f>SUMIF(DATA!$A:$A,PPL!$A117,DATA!F:F)</f>
        <v>0</v>
      </c>
      <c r="I117">
        <f>SUMIF(DATA!$A:$A,PPL!$A117,DATA!G:G)</f>
        <v>7</v>
      </c>
      <c r="J117">
        <f>SUMIF(DATA!$A:$A,PPL!$A117,DATA!H:H)</f>
        <v>0</v>
      </c>
      <c r="K117">
        <f>SUMIF(DATA!$A:$A,PPL!$A117,DATA!I:I)</f>
        <v>16</v>
      </c>
      <c r="L117">
        <f>SUMIF(DATA!$A:$A,PPL!$A117,DATA!J:J)</f>
        <v>0</v>
      </c>
      <c r="M117">
        <f t="shared" si="9"/>
        <v>431</v>
      </c>
      <c r="N117">
        <f t="shared" si="5"/>
        <v>661</v>
      </c>
      <c r="O117" s="3">
        <f t="shared" si="6"/>
        <v>91.678224687933437</v>
      </c>
      <c r="P117">
        <f t="shared" si="8"/>
        <v>60</v>
      </c>
      <c r="Q117">
        <f>SUMIF(DATA!A:A,PPL!A117,DATA!N:N)</f>
        <v>230</v>
      </c>
    </row>
    <row r="118" spans="1:17" x14ac:dyDescent="0.25">
      <c r="A118" t="s">
        <v>128</v>
      </c>
      <c r="B118" t="s">
        <v>359</v>
      </c>
      <c r="C118" t="s">
        <v>177</v>
      </c>
      <c r="D118" t="str">
        <f>VLOOKUP(C118,PML!A:B,2,0)</f>
        <v>Neivrid</v>
      </c>
      <c r="E118">
        <f>SUMIF(DATA!$A:$A,PPL!$A118,DATA!C:C)</f>
        <v>736</v>
      </c>
      <c r="F118">
        <f>SUMIF(DATA!$A:$A,PPL!$A118,DATA!D:D)</f>
        <v>716</v>
      </c>
      <c r="G118">
        <f>SUMIF(DATA!$A:$A,PPL!$A118,DATA!E:E)</f>
        <v>19</v>
      </c>
      <c r="H118">
        <f>SUMIF(DATA!$A:$A,PPL!$A118,DATA!F:F)</f>
        <v>0</v>
      </c>
      <c r="I118">
        <f>SUMIF(DATA!$A:$A,PPL!$A118,DATA!G:G)</f>
        <v>0</v>
      </c>
      <c r="J118">
        <f>SUMIF(DATA!$A:$A,PPL!$A118,DATA!H:H)</f>
        <v>0</v>
      </c>
      <c r="K118">
        <f>SUMIF(DATA!$A:$A,PPL!$A118,DATA!I:I)</f>
        <v>1</v>
      </c>
      <c r="L118">
        <f>SUMIF(DATA!$A:$A,PPL!$A118,DATA!J:J)</f>
        <v>0</v>
      </c>
      <c r="M118">
        <f t="shared" si="9"/>
        <v>478</v>
      </c>
      <c r="N118">
        <f t="shared" si="5"/>
        <v>717</v>
      </c>
      <c r="O118" s="3">
        <f t="shared" si="6"/>
        <v>97.418478260869563</v>
      </c>
      <c r="P118">
        <f t="shared" si="8"/>
        <v>19</v>
      </c>
      <c r="Q118">
        <f>SUMIF(DATA!A:A,PPL!A118,DATA!N:N)</f>
        <v>239</v>
      </c>
    </row>
    <row r="119" spans="1:17" x14ac:dyDescent="0.25">
      <c r="A119" t="s">
        <v>129</v>
      </c>
      <c r="B119" t="s">
        <v>360</v>
      </c>
      <c r="C119" t="s">
        <v>177</v>
      </c>
      <c r="D119" t="str">
        <f>VLOOKUP(C119,PML!A:B,2,0)</f>
        <v>Neivrid</v>
      </c>
      <c r="E119">
        <f>SUMIF(DATA!$A:$A,PPL!$A119,DATA!C:C)</f>
        <v>753</v>
      </c>
      <c r="F119">
        <f>SUMIF(DATA!$A:$A,PPL!$A119,DATA!D:D)</f>
        <v>649</v>
      </c>
      <c r="G119">
        <f>SUMIF(DATA!$A:$A,PPL!$A119,DATA!E:E)</f>
        <v>49</v>
      </c>
      <c r="H119">
        <f>SUMIF(DATA!$A:$A,PPL!$A119,DATA!F:F)</f>
        <v>0</v>
      </c>
      <c r="I119">
        <f>SUMIF(DATA!$A:$A,PPL!$A119,DATA!G:G)</f>
        <v>5</v>
      </c>
      <c r="J119">
        <f>SUMIF(DATA!$A:$A,PPL!$A119,DATA!H:H)</f>
        <v>0</v>
      </c>
      <c r="K119">
        <f>SUMIF(DATA!$A:$A,PPL!$A119,DATA!I:I)</f>
        <v>50</v>
      </c>
      <c r="L119">
        <f>SUMIF(DATA!$A:$A,PPL!$A119,DATA!J:J)</f>
        <v>0</v>
      </c>
      <c r="M119">
        <f t="shared" si="9"/>
        <v>406</v>
      </c>
      <c r="N119">
        <f t="shared" si="5"/>
        <v>704</v>
      </c>
      <c r="O119" s="3">
        <f t="shared" si="6"/>
        <v>93.492695883134118</v>
      </c>
      <c r="P119">
        <f t="shared" si="8"/>
        <v>49</v>
      </c>
      <c r="Q119">
        <f>SUMIF(DATA!A:A,PPL!A119,DATA!N:N)</f>
        <v>298</v>
      </c>
    </row>
    <row r="120" spans="1:17" x14ac:dyDescent="0.25">
      <c r="A120" t="s">
        <v>130</v>
      </c>
      <c r="B120" t="s">
        <v>361</v>
      </c>
      <c r="C120" t="s">
        <v>179</v>
      </c>
      <c r="D120" t="str">
        <f>VLOOKUP(C120,PML!A:B,2,0)</f>
        <v>Saul</v>
      </c>
      <c r="E120">
        <f>SUMIF(DATA!$A:$A,PPL!$A120,DATA!C:C)</f>
        <v>752</v>
      </c>
      <c r="F120">
        <f>SUMIF(DATA!$A:$A,PPL!$A120,DATA!D:D)</f>
        <v>565</v>
      </c>
      <c r="G120">
        <f>SUMIF(DATA!$A:$A,PPL!$A120,DATA!E:E)</f>
        <v>47</v>
      </c>
      <c r="H120">
        <f>SUMIF(DATA!$A:$A,PPL!$A120,DATA!F:F)</f>
        <v>0</v>
      </c>
      <c r="I120">
        <f>SUMIF(DATA!$A:$A,PPL!$A120,DATA!G:G)</f>
        <v>4</v>
      </c>
      <c r="J120">
        <f>SUMIF(DATA!$A:$A,PPL!$A120,DATA!H:H)</f>
        <v>0</v>
      </c>
      <c r="K120">
        <f>SUMIF(DATA!$A:$A,PPL!$A120,DATA!I:I)</f>
        <v>136</v>
      </c>
      <c r="L120">
        <f>SUMIF(DATA!$A:$A,PPL!$A120,DATA!J:J)</f>
        <v>0</v>
      </c>
      <c r="M120">
        <f t="shared" si="9"/>
        <v>487</v>
      </c>
      <c r="N120">
        <f t="shared" si="5"/>
        <v>705</v>
      </c>
      <c r="O120" s="3">
        <f t="shared" si="6"/>
        <v>93.75</v>
      </c>
      <c r="P120">
        <f t="shared" si="8"/>
        <v>47</v>
      </c>
      <c r="Q120">
        <f>SUMIF(DATA!A:A,PPL!A120,DATA!N:N)</f>
        <v>218</v>
      </c>
    </row>
    <row r="121" spans="1:17" x14ac:dyDescent="0.25">
      <c r="A121" t="s">
        <v>131</v>
      </c>
      <c r="B121" t="s">
        <v>362</v>
      </c>
      <c r="C121" t="s">
        <v>180</v>
      </c>
      <c r="D121" t="str">
        <f>VLOOKUP(C121,PML!A:B,2,0)</f>
        <v>Alfian</v>
      </c>
      <c r="E121">
        <f>SUMIF(DATA!$A:$A,PPL!$A121,DATA!C:C)</f>
        <v>684</v>
      </c>
      <c r="F121">
        <f>SUMIF(DATA!$A:$A,PPL!$A121,DATA!D:D)</f>
        <v>684</v>
      </c>
      <c r="G121">
        <f>SUMIF(DATA!$A:$A,PPL!$A121,DATA!E:E)</f>
        <v>0</v>
      </c>
      <c r="H121">
        <f>SUMIF(DATA!$A:$A,PPL!$A121,DATA!F:F)</f>
        <v>0</v>
      </c>
      <c r="I121">
        <f>SUMIF(DATA!$A:$A,PPL!$A121,DATA!G:G)</f>
        <v>0</v>
      </c>
      <c r="J121">
        <f>SUMIF(DATA!$A:$A,PPL!$A121,DATA!H:H)</f>
        <v>0</v>
      </c>
      <c r="K121">
        <f>SUMIF(DATA!$A:$A,PPL!$A121,DATA!I:I)</f>
        <v>0</v>
      </c>
      <c r="L121">
        <f>SUMIF(DATA!$A:$A,PPL!$A121,DATA!J:J)</f>
        <v>0</v>
      </c>
      <c r="M121">
        <f t="shared" si="9"/>
        <v>433</v>
      </c>
      <c r="N121">
        <f t="shared" si="5"/>
        <v>684</v>
      </c>
      <c r="O121" s="3">
        <f t="shared" si="6"/>
        <v>100</v>
      </c>
      <c r="P121">
        <f t="shared" si="8"/>
        <v>0</v>
      </c>
      <c r="Q121">
        <f>SUMIF(DATA!A:A,PPL!A121,DATA!N:N)</f>
        <v>251</v>
      </c>
    </row>
    <row r="122" spans="1:17" x14ac:dyDescent="0.25">
      <c r="A122" t="s">
        <v>132</v>
      </c>
      <c r="B122" t="s">
        <v>363</v>
      </c>
      <c r="C122" t="s">
        <v>180</v>
      </c>
      <c r="D122" t="str">
        <f>VLOOKUP(C122,PML!A:B,2,0)</f>
        <v>Alfian</v>
      </c>
      <c r="E122">
        <f>SUMIF(DATA!$A:$A,PPL!$A122,DATA!C:C)</f>
        <v>864</v>
      </c>
      <c r="F122">
        <f>SUMIF(DATA!$A:$A,PPL!$A122,DATA!D:D)</f>
        <v>864</v>
      </c>
      <c r="G122">
        <f>SUMIF(DATA!$A:$A,PPL!$A122,DATA!E:E)</f>
        <v>0</v>
      </c>
      <c r="H122">
        <f>SUMIF(DATA!$A:$A,PPL!$A122,DATA!F:F)</f>
        <v>0</v>
      </c>
      <c r="I122">
        <f>SUMIF(DATA!$A:$A,PPL!$A122,DATA!G:G)</f>
        <v>0</v>
      </c>
      <c r="J122">
        <f>SUMIF(DATA!$A:$A,PPL!$A122,DATA!H:H)</f>
        <v>0</v>
      </c>
      <c r="K122">
        <f>SUMIF(DATA!$A:$A,PPL!$A122,DATA!I:I)</f>
        <v>0</v>
      </c>
      <c r="L122">
        <f>SUMIF(DATA!$A:$A,PPL!$A122,DATA!J:J)</f>
        <v>0</v>
      </c>
      <c r="M122">
        <f t="shared" si="9"/>
        <v>459</v>
      </c>
      <c r="N122">
        <f t="shared" si="5"/>
        <v>864</v>
      </c>
      <c r="O122" s="3">
        <f t="shared" si="6"/>
        <v>100</v>
      </c>
      <c r="P122">
        <f t="shared" si="8"/>
        <v>0</v>
      </c>
      <c r="Q122">
        <f>SUMIF(DATA!A:A,PPL!A122,DATA!N:N)</f>
        <v>405</v>
      </c>
    </row>
    <row r="123" spans="1:17" x14ac:dyDescent="0.25">
      <c r="A123" t="s">
        <v>133</v>
      </c>
      <c r="B123" t="s">
        <v>364</v>
      </c>
      <c r="C123" t="s">
        <v>180</v>
      </c>
      <c r="D123" t="str">
        <f>VLOOKUP(C123,PML!A:B,2,0)</f>
        <v>Alfian</v>
      </c>
      <c r="E123">
        <f>SUMIF(DATA!$A:$A,PPL!$A123,DATA!C:C)</f>
        <v>662</v>
      </c>
      <c r="F123">
        <f>SUMIF(DATA!$A:$A,PPL!$A123,DATA!D:D)</f>
        <v>662</v>
      </c>
      <c r="G123">
        <f>SUMIF(DATA!$A:$A,PPL!$A123,DATA!E:E)</f>
        <v>0</v>
      </c>
      <c r="H123">
        <f>SUMIF(DATA!$A:$A,PPL!$A123,DATA!F:F)</f>
        <v>0</v>
      </c>
      <c r="I123">
        <f>SUMIF(DATA!$A:$A,PPL!$A123,DATA!G:G)</f>
        <v>0</v>
      </c>
      <c r="J123">
        <f>SUMIF(DATA!$A:$A,PPL!$A123,DATA!H:H)</f>
        <v>0</v>
      </c>
      <c r="K123">
        <f>SUMIF(DATA!$A:$A,PPL!$A123,DATA!I:I)</f>
        <v>0</v>
      </c>
      <c r="L123">
        <f>SUMIF(DATA!$A:$A,PPL!$A123,DATA!J:J)</f>
        <v>0</v>
      </c>
      <c r="M123">
        <f t="shared" si="9"/>
        <v>320</v>
      </c>
      <c r="N123">
        <f t="shared" si="5"/>
        <v>662</v>
      </c>
      <c r="O123" s="3">
        <f t="shared" si="6"/>
        <v>100</v>
      </c>
      <c r="P123">
        <f t="shared" si="8"/>
        <v>0</v>
      </c>
      <c r="Q123">
        <f>SUMIF(DATA!A:A,PPL!A123,DATA!N:N)</f>
        <v>342</v>
      </c>
    </row>
    <row r="124" spans="1:17" x14ac:dyDescent="0.25">
      <c r="A124" t="s">
        <v>134</v>
      </c>
      <c r="B124" t="s">
        <v>365</v>
      </c>
      <c r="C124" t="s">
        <v>180</v>
      </c>
      <c r="D124" t="str">
        <f>VLOOKUP(C124,PML!A:B,2,0)</f>
        <v>Alfian</v>
      </c>
      <c r="E124">
        <f>SUMIF(DATA!$A:$A,PPL!$A124,DATA!C:C)</f>
        <v>805</v>
      </c>
      <c r="F124">
        <f>SUMIF(DATA!$A:$A,PPL!$A124,DATA!D:D)</f>
        <v>805</v>
      </c>
      <c r="G124">
        <f>SUMIF(DATA!$A:$A,PPL!$A124,DATA!E:E)</f>
        <v>0</v>
      </c>
      <c r="H124">
        <f>SUMIF(DATA!$A:$A,PPL!$A124,DATA!F:F)</f>
        <v>0</v>
      </c>
      <c r="I124">
        <f>SUMIF(DATA!$A:$A,PPL!$A124,DATA!G:G)</f>
        <v>0</v>
      </c>
      <c r="J124">
        <f>SUMIF(DATA!$A:$A,PPL!$A124,DATA!H:H)</f>
        <v>0</v>
      </c>
      <c r="K124">
        <f>SUMIF(DATA!$A:$A,PPL!$A124,DATA!I:I)</f>
        <v>0</v>
      </c>
      <c r="L124">
        <f>SUMIF(DATA!$A:$A,PPL!$A124,DATA!J:J)</f>
        <v>0</v>
      </c>
      <c r="M124">
        <f t="shared" si="9"/>
        <v>412</v>
      </c>
      <c r="N124">
        <f t="shared" si="5"/>
        <v>805</v>
      </c>
      <c r="O124" s="3">
        <f t="shared" si="6"/>
        <v>100</v>
      </c>
      <c r="P124">
        <f t="shared" si="8"/>
        <v>0</v>
      </c>
      <c r="Q124">
        <f>SUMIF(DATA!A:A,PPL!A124,DATA!N:N)</f>
        <v>393</v>
      </c>
    </row>
    <row r="125" spans="1:17" x14ac:dyDescent="0.25">
      <c r="A125" t="s">
        <v>136</v>
      </c>
      <c r="B125" t="s">
        <v>366</v>
      </c>
      <c r="C125" t="s">
        <v>180</v>
      </c>
      <c r="D125" t="str">
        <f>VLOOKUP(C125,PML!A:B,2,0)</f>
        <v>Alfian</v>
      </c>
      <c r="E125">
        <f>SUMIF(DATA!$A:$A,PPL!$A125,DATA!C:C)</f>
        <v>644</v>
      </c>
      <c r="F125">
        <f>SUMIF(DATA!$A:$A,PPL!$A125,DATA!D:D)</f>
        <v>644</v>
      </c>
      <c r="G125">
        <f>SUMIF(DATA!$A:$A,PPL!$A125,DATA!E:E)</f>
        <v>0</v>
      </c>
      <c r="H125">
        <f>SUMIF(DATA!$A:$A,PPL!$A125,DATA!F:F)</f>
        <v>0</v>
      </c>
      <c r="I125">
        <f>SUMIF(DATA!$A:$A,PPL!$A125,DATA!G:G)</f>
        <v>0</v>
      </c>
      <c r="J125">
        <f>SUMIF(DATA!$A:$A,PPL!$A125,DATA!H:H)</f>
        <v>0</v>
      </c>
      <c r="K125">
        <f>SUMIF(DATA!$A:$A,PPL!$A125,DATA!I:I)</f>
        <v>0</v>
      </c>
      <c r="L125">
        <f>SUMIF(DATA!$A:$A,PPL!$A125,DATA!J:J)</f>
        <v>0</v>
      </c>
      <c r="M125">
        <f t="shared" si="9"/>
        <v>386</v>
      </c>
      <c r="N125">
        <f t="shared" ref="N125:N132" si="10">F125+I125+J125+K125+L125</f>
        <v>644</v>
      </c>
      <c r="O125" s="3">
        <f t="shared" ref="O125:O132" si="11">(N125/E125)*100</f>
        <v>100</v>
      </c>
      <c r="P125">
        <f t="shared" si="8"/>
        <v>0</v>
      </c>
      <c r="Q125">
        <f>SUMIF(DATA!A:A,PPL!A125,DATA!N:N)</f>
        <v>258</v>
      </c>
    </row>
    <row r="126" spans="1:17" x14ac:dyDescent="0.25">
      <c r="A126" t="s">
        <v>137</v>
      </c>
      <c r="B126" t="s">
        <v>367</v>
      </c>
      <c r="C126" t="s">
        <v>179</v>
      </c>
      <c r="D126" t="str">
        <f>VLOOKUP(C126,PML!A:B,2,0)</f>
        <v>Saul</v>
      </c>
      <c r="E126">
        <f>SUMIF(DATA!$A:$A,PPL!$A126,DATA!C:C)</f>
        <v>974</v>
      </c>
      <c r="F126">
        <f>SUMIF(DATA!$A:$A,PPL!$A126,DATA!D:D)</f>
        <v>973</v>
      </c>
      <c r="G126">
        <f>SUMIF(DATA!$A:$A,PPL!$A126,DATA!E:E)</f>
        <v>0</v>
      </c>
      <c r="H126">
        <f>SUMIF(DATA!$A:$A,PPL!$A126,DATA!F:F)</f>
        <v>0</v>
      </c>
      <c r="I126">
        <f>SUMIF(DATA!$A:$A,PPL!$A126,DATA!G:G)</f>
        <v>0</v>
      </c>
      <c r="J126">
        <f>SUMIF(DATA!$A:$A,PPL!$A126,DATA!H:H)</f>
        <v>0</v>
      </c>
      <c r="K126">
        <f>SUMIF(DATA!$A:$A,PPL!$A126,DATA!I:I)</f>
        <v>1</v>
      </c>
      <c r="L126">
        <f>SUMIF(DATA!$A:$A,PPL!$A126,DATA!J:J)</f>
        <v>0</v>
      </c>
      <c r="M126">
        <f t="shared" si="9"/>
        <v>582</v>
      </c>
      <c r="N126">
        <f t="shared" si="10"/>
        <v>974</v>
      </c>
      <c r="O126" s="3">
        <f t="shared" si="11"/>
        <v>100</v>
      </c>
      <c r="P126">
        <f t="shared" si="8"/>
        <v>0</v>
      </c>
      <c r="Q126">
        <f>SUMIF(DATA!A:A,PPL!A126,DATA!N:N)</f>
        <v>392</v>
      </c>
    </row>
    <row r="127" spans="1:17" x14ac:dyDescent="0.25">
      <c r="A127" t="s">
        <v>138</v>
      </c>
      <c r="B127" t="s">
        <v>368</v>
      </c>
      <c r="C127" t="s">
        <v>180</v>
      </c>
      <c r="D127" t="str">
        <f>VLOOKUP(C127,PML!A:B,2,0)</f>
        <v>Alfian</v>
      </c>
      <c r="E127">
        <f>SUMIF(DATA!$A:$A,PPL!$A127,DATA!C:C)</f>
        <v>749</v>
      </c>
      <c r="F127">
        <f>SUMIF(DATA!$A:$A,PPL!$A127,DATA!D:D)</f>
        <v>749</v>
      </c>
      <c r="G127">
        <f>SUMIF(DATA!$A:$A,PPL!$A127,DATA!E:E)</f>
        <v>0</v>
      </c>
      <c r="H127">
        <f>SUMIF(DATA!$A:$A,PPL!$A127,DATA!F:F)</f>
        <v>0</v>
      </c>
      <c r="I127">
        <f>SUMIF(DATA!$A:$A,PPL!$A127,DATA!G:G)</f>
        <v>0</v>
      </c>
      <c r="J127">
        <f>SUMIF(DATA!$A:$A,PPL!$A127,DATA!H:H)</f>
        <v>0</v>
      </c>
      <c r="K127">
        <f>SUMIF(DATA!$A:$A,PPL!$A127,DATA!I:I)</f>
        <v>0</v>
      </c>
      <c r="L127">
        <f>SUMIF(DATA!$A:$A,PPL!$A127,DATA!J:J)</f>
        <v>0</v>
      </c>
      <c r="M127">
        <f t="shared" si="9"/>
        <v>427</v>
      </c>
      <c r="N127">
        <f t="shared" si="10"/>
        <v>749</v>
      </c>
      <c r="O127" s="3">
        <f t="shared" si="11"/>
        <v>100</v>
      </c>
      <c r="P127">
        <f t="shared" si="8"/>
        <v>0</v>
      </c>
      <c r="Q127">
        <f>SUMIF(DATA!A:A,PPL!A127,DATA!N:N)</f>
        <v>322</v>
      </c>
    </row>
    <row r="128" spans="1:17" x14ac:dyDescent="0.25">
      <c r="A128" t="s">
        <v>139</v>
      </c>
      <c r="B128" t="s">
        <v>369</v>
      </c>
      <c r="C128" t="s">
        <v>179</v>
      </c>
      <c r="D128" t="str">
        <f>VLOOKUP(C128,PML!A:B,2,0)</f>
        <v>Saul</v>
      </c>
      <c r="E128">
        <f>SUMIF(DATA!$A:$A,PPL!$A128,DATA!C:C)</f>
        <v>657</v>
      </c>
      <c r="F128">
        <f>SUMIF(DATA!$A:$A,PPL!$A128,DATA!D:D)</f>
        <v>636</v>
      </c>
      <c r="G128">
        <f>SUMIF(DATA!$A:$A,PPL!$A128,DATA!E:E)</f>
        <v>0</v>
      </c>
      <c r="H128">
        <f>SUMIF(DATA!$A:$A,PPL!$A128,DATA!F:F)</f>
        <v>0</v>
      </c>
      <c r="I128">
        <f>SUMIF(DATA!$A:$A,PPL!$A128,DATA!G:G)</f>
        <v>5</v>
      </c>
      <c r="J128">
        <f>SUMIF(DATA!$A:$A,PPL!$A128,DATA!H:H)</f>
        <v>1</v>
      </c>
      <c r="K128">
        <f>SUMIF(DATA!$A:$A,PPL!$A128,DATA!I:I)</f>
        <v>15</v>
      </c>
      <c r="L128">
        <f>SUMIF(DATA!$A:$A,PPL!$A128,DATA!J:J)</f>
        <v>0</v>
      </c>
      <c r="M128">
        <f t="shared" si="9"/>
        <v>471</v>
      </c>
      <c r="N128">
        <f t="shared" si="10"/>
        <v>657</v>
      </c>
      <c r="O128" s="3">
        <f t="shared" si="11"/>
        <v>100</v>
      </c>
      <c r="P128">
        <f t="shared" si="8"/>
        <v>0</v>
      </c>
      <c r="Q128">
        <f>SUMIF(DATA!A:A,PPL!A128,DATA!N:N)</f>
        <v>186</v>
      </c>
    </row>
    <row r="129" spans="1:17" x14ac:dyDescent="0.25">
      <c r="A129" t="s">
        <v>140</v>
      </c>
      <c r="B129" t="s">
        <v>370</v>
      </c>
      <c r="C129" t="s">
        <v>179</v>
      </c>
      <c r="D129" t="str">
        <f>VLOOKUP(C129,PML!A:B,2,0)</f>
        <v>Saul</v>
      </c>
      <c r="E129">
        <f>SUMIF(DATA!$A:$A,PPL!$A129,DATA!C:C)</f>
        <v>893</v>
      </c>
      <c r="F129">
        <f>SUMIF(DATA!$A:$A,PPL!$A129,DATA!D:D)</f>
        <v>766</v>
      </c>
      <c r="G129">
        <f>SUMIF(DATA!$A:$A,PPL!$A129,DATA!E:E)</f>
        <v>2</v>
      </c>
      <c r="H129">
        <f>SUMIF(DATA!$A:$A,PPL!$A129,DATA!F:F)</f>
        <v>0</v>
      </c>
      <c r="I129">
        <f>SUMIF(DATA!$A:$A,PPL!$A129,DATA!G:G)</f>
        <v>0</v>
      </c>
      <c r="J129">
        <f>SUMIF(DATA!$A:$A,PPL!$A129,DATA!H:H)</f>
        <v>0</v>
      </c>
      <c r="K129">
        <f>SUMIF(DATA!$A:$A,PPL!$A129,DATA!I:I)</f>
        <v>125</v>
      </c>
      <c r="L129">
        <f>SUMIF(DATA!$A:$A,PPL!$A129,DATA!J:J)</f>
        <v>0</v>
      </c>
      <c r="M129">
        <f t="shared" si="9"/>
        <v>502</v>
      </c>
      <c r="N129">
        <f t="shared" si="10"/>
        <v>891</v>
      </c>
      <c r="O129" s="3">
        <f t="shared" si="11"/>
        <v>99.776035834266523</v>
      </c>
      <c r="P129">
        <f t="shared" si="8"/>
        <v>2</v>
      </c>
      <c r="Q129">
        <f>SUMIF(DATA!A:A,PPL!A129,DATA!N:N)</f>
        <v>389</v>
      </c>
    </row>
    <row r="130" spans="1:17" x14ac:dyDescent="0.25">
      <c r="A130" t="s">
        <v>141</v>
      </c>
      <c r="B130" t="s">
        <v>371</v>
      </c>
      <c r="C130" t="s">
        <v>179</v>
      </c>
      <c r="D130" t="str">
        <f>VLOOKUP(C130,PML!A:B,2,0)</f>
        <v>Saul</v>
      </c>
      <c r="E130">
        <f>SUMIF(DATA!$A:$A,PPL!$A130,DATA!C:C)</f>
        <v>742</v>
      </c>
      <c r="F130">
        <f>SUMIF(DATA!$A:$A,PPL!$A130,DATA!D:D)</f>
        <v>516</v>
      </c>
      <c r="G130">
        <f>SUMIF(DATA!$A:$A,PPL!$A130,DATA!E:E)</f>
        <v>0</v>
      </c>
      <c r="H130">
        <f>SUMIF(DATA!$A:$A,PPL!$A130,DATA!F:F)</f>
        <v>0</v>
      </c>
      <c r="I130">
        <f>SUMIF(DATA!$A:$A,PPL!$A130,DATA!G:G)</f>
        <v>2</v>
      </c>
      <c r="J130">
        <f>SUMIF(DATA!$A:$A,PPL!$A130,DATA!H:H)</f>
        <v>0</v>
      </c>
      <c r="K130">
        <f>SUMIF(DATA!$A:$A,PPL!$A130,DATA!I:I)</f>
        <v>224</v>
      </c>
      <c r="L130">
        <f>SUMIF(DATA!$A:$A,PPL!$A130,DATA!J:J)</f>
        <v>0</v>
      </c>
      <c r="M130">
        <f t="shared" ref="M130:M139" si="12">N130-Q130</f>
        <v>481</v>
      </c>
      <c r="N130">
        <f t="shared" si="10"/>
        <v>742</v>
      </c>
      <c r="O130" s="3">
        <f t="shared" si="11"/>
        <v>100</v>
      </c>
      <c r="P130">
        <f t="shared" si="8"/>
        <v>0</v>
      </c>
      <c r="Q130">
        <f>SUMIF(DATA!A:A,PPL!A130,DATA!N:N)</f>
        <v>261</v>
      </c>
    </row>
    <row r="131" spans="1:17" x14ac:dyDescent="0.25">
      <c r="A131" t="s">
        <v>142</v>
      </c>
      <c r="B131" t="s">
        <v>372</v>
      </c>
      <c r="C131" t="s">
        <v>179</v>
      </c>
      <c r="D131" t="str">
        <f>VLOOKUP(C131,PML!A:B,2,0)</f>
        <v>Saul</v>
      </c>
      <c r="E131">
        <f>SUMIF(DATA!$A:$A,PPL!$A131,DATA!C:C)</f>
        <v>830</v>
      </c>
      <c r="F131">
        <f>SUMIF(DATA!$A:$A,PPL!$A131,DATA!D:D)</f>
        <v>676</v>
      </c>
      <c r="G131">
        <f>SUMIF(DATA!$A:$A,PPL!$A131,DATA!E:E)</f>
        <v>1</v>
      </c>
      <c r="H131">
        <f>SUMIF(DATA!$A:$A,PPL!$A131,DATA!F:F)</f>
        <v>0</v>
      </c>
      <c r="I131">
        <f>SUMIF(DATA!$A:$A,PPL!$A131,DATA!G:G)</f>
        <v>5</v>
      </c>
      <c r="J131">
        <f>SUMIF(DATA!$A:$A,PPL!$A131,DATA!H:H)</f>
        <v>2</v>
      </c>
      <c r="K131">
        <f>SUMIF(DATA!$A:$A,PPL!$A131,DATA!I:I)</f>
        <v>146</v>
      </c>
      <c r="L131">
        <f>SUMIF(DATA!$A:$A,PPL!$A131,DATA!J:J)</f>
        <v>0</v>
      </c>
      <c r="M131">
        <f t="shared" si="12"/>
        <v>595</v>
      </c>
      <c r="N131">
        <f t="shared" si="10"/>
        <v>829</v>
      </c>
      <c r="O131" s="3">
        <f t="shared" si="11"/>
        <v>99.879518072289159</v>
      </c>
      <c r="P131">
        <f t="shared" ref="P131:P139" si="13">CEILING((E131-N131)/1,1)</f>
        <v>1</v>
      </c>
      <c r="Q131">
        <f>SUMIF(DATA!A:A,PPL!A131,DATA!N:N)</f>
        <v>234</v>
      </c>
    </row>
    <row r="132" spans="1:17" x14ac:dyDescent="0.25">
      <c r="A132" t="s">
        <v>379</v>
      </c>
      <c r="B132" t="s">
        <v>380</v>
      </c>
      <c r="C132" t="s">
        <v>180</v>
      </c>
      <c r="D132" t="str">
        <f>VLOOKUP(C132,PML!A:B,2,0)</f>
        <v>Alfian</v>
      </c>
      <c r="E132">
        <f>SUMIF(DATA!$A:$A,PPL!$A132,DATA!C:C)</f>
        <v>1082</v>
      </c>
      <c r="F132">
        <f>SUMIF(DATA!$A:$A,PPL!$A132,DATA!D:D)</f>
        <v>1082</v>
      </c>
      <c r="G132">
        <f>SUMIF(DATA!$A:$A,PPL!$A132,DATA!E:E)</f>
        <v>0</v>
      </c>
      <c r="H132">
        <f>SUMIF(DATA!$A:$A,PPL!$A132,DATA!F:F)</f>
        <v>0</v>
      </c>
      <c r="I132">
        <f>SUMIF(DATA!$A:$A,PPL!$A132,DATA!G:G)</f>
        <v>0</v>
      </c>
      <c r="J132">
        <f>SUMIF(DATA!$A:$A,PPL!$A132,DATA!H:H)</f>
        <v>0</v>
      </c>
      <c r="K132">
        <f>SUMIF(DATA!$A:$A,PPL!$A132,DATA!I:I)</f>
        <v>0</v>
      </c>
      <c r="L132">
        <f>SUMIF(DATA!$A:$A,PPL!$A132,DATA!J:J)</f>
        <v>0</v>
      </c>
      <c r="M132">
        <f t="shared" si="12"/>
        <v>445</v>
      </c>
      <c r="N132">
        <f t="shared" si="10"/>
        <v>1082</v>
      </c>
      <c r="O132" s="3">
        <f t="shared" si="11"/>
        <v>100</v>
      </c>
      <c r="P132">
        <f t="shared" si="13"/>
        <v>0</v>
      </c>
      <c r="Q132">
        <f>SUMIF(DATA!A:A,PPL!A132,DATA!N:N)</f>
        <v>637</v>
      </c>
    </row>
    <row r="133" spans="1:17" x14ac:dyDescent="0.25">
      <c r="A133" t="s">
        <v>976</v>
      </c>
      <c r="B133" t="s">
        <v>979</v>
      </c>
      <c r="C133" t="s">
        <v>166</v>
      </c>
      <c r="D133" t="str">
        <f>VLOOKUP(C133,PML!A:B,2,0)</f>
        <v>NurAlamsyah</v>
      </c>
      <c r="E133">
        <f>SUMIF(DATA!$A:$A,PPL!$A133,DATA!C:C)</f>
        <v>931</v>
      </c>
      <c r="F133">
        <f>SUMIF(DATA!$A:$A,PPL!$A133,DATA!D:D)</f>
        <v>797</v>
      </c>
      <c r="G133">
        <f>SUMIF(DATA!$A:$A,PPL!$A133,DATA!E:E)</f>
        <v>0</v>
      </c>
      <c r="H133">
        <f>SUMIF(DATA!$A:$A,PPL!$A133,DATA!F:F)</f>
        <v>0</v>
      </c>
      <c r="I133">
        <f>SUMIF(DATA!$A:$A,PPL!$A133,DATA!G:G)</f>
        <v>6</v>
      </c>
      <c r="J133">
        <f>SUMIF(DATA!$A:$A,PPL!$A133,DATA!H:H)</f>
        <v>0</v>
      </c>
      <c r="K133">
        <f>SUMIF(DATA!$A:$A,PPL!$A133,DATA!I:I)</f>
        <v>128</v>
      </c>
      <c r="L133">
        <f>SUMIF(DATA!$A:$A,PPL!$A133,DATA!J:J)</f>
        <v>0</v>
      </c>
      <c r="M133">
        <f t="shared" si="12"/>
        <v>477</v>
      </c>
      <c r="N133">
        <f t="shared" ref="N133:N136" si="14">F133+I133+J133+K133+L133</f>
        <v>931</v>
      </c>
      <c r="O133" s="3">
        <f t="shared" ref="O133:O136" si="15">(N133/E133)*100</f>
        <v>100</v>
      </c>
      <c r="P133">
        <f t="shared" si="13"/>
        <v>0</v>
      </c>
      <c r="Q133">
        <f>SUMIF(DATA!A:A,PPL!A133,DATA!N:N)</f>
        <v>454</v>
      </c>
    </row>
    <row r="134" spans="1:17" x14ac:dyDescent="0.25">
      <c r="A134" t="s">
        <v>977</v>
      </c>
      <c r="B134" t="s">
        <v>980</v>
      </c>
      <c r="C134" t="s">
        <v>171</v>
      </c>
      <c r="D134" t="str">
        <f>VLOOKUP(C134,PML!A:B,2,0)</f>
        <v>Puput</v>
      </c>
      <c r="E134">
        <f>SUMIF(DATA!$A:$A,PPL!$A134,DATA!C:C)</f>
        <v>648</v>
      </c>
      <c r="F134">
        <f>SUMIF(DATA!$A:$A,PPL!$A134,DATA!D:D)</f>
        <v>484</v>
      </c>
      <c r="G134">
        <f>SUMIF(DATA!$A:$A,PPL!$A134,DATA!E:E)</f>
        <v>0</v>
      </c>
      <c r="H134">
        <f>SUMIF(DATA!$A:$A,PPL!$A134,DATA!F:F)</f>
        <v>0</v>
      </c>
      <c r="I134">
        <f>SUMIF(DATA!$A:$A,PPL!$A134,DATA!G:G)</f>
        <v>0</v>
      </c>
      <c r="J134">
        <f>SUMIF(DATA!$A:$A,PPL!$A134,DATA!H:H)</f>
        <v>0</v>
      </c>
      <c r="K134">
        <f>SUMIF(DATA!$A:$A,PPL!$A134,DATA!I:I)</f>
        <v>164</v>
      </c>
      <c r="L134">
        <f>SUMIF(DATA!$A:$A,PPL!$A134,DATA!J:J)</f>
        <v>0</v>
      </c>
      <c r="M134">
        <f t="shared" si="12"/>
        <v>459</v>
      </c>
      <c r="N134">
        <f t="shared" si="14"/>
        <v>648</v>
      </c>
      <c r="O134" s="3">
        <f t="shared" si="15"/>
        <v>100</v>
      </c>
      <c r="P134">
        <f t="shared" si="13"/>
        <v>0</v>
      </c>
      <c r="Q134">
        <f>SUMIF(DATA!A:A,PPL!A134,DATA!N:N)</f>
        <v>189</v>
      </c>
    </row>
    <row r="135" spans="1:17" x14ac:dyDescent="0.25">
      <c r="A135" t="s">
        <v>975</v>
      </c>
      <c r="B135" t="s">
        <v>981</v>
      </c>
      <c r="C135" t="s">
        <v>173</v>
      </c>
      <c r="D135" t="str">
        <f>VLOOKUP(C135,PML!A:B,2,0)</f>
        <v>Uneth</v>
      </c>
      <c r="E135">
        <f>SUMIF(DATA!$A:$A,PPL!$A135,DATA!C:C)</f>
        <v>736</v>
      </c>
      <c r="F135">
        <f>SUMIF(DATA!$A:$A,PPL!$A135,DATA!D:D)</f>
        <v>626</v>
      </c>
      <c r="G135">
        <f>SUMIF(DATA!$A:$A,PPL!$A135,DATA!E:E)</f>
        <v>28</v>
      </c>
      <c r="H135">
        <f>SUMIF(DATA!$A:$A,PPL!$A135,DATA!F:F)</f>
        <v>0</v>
      </c>
      <c r="I135">
        <f>SUMIF(DATA!$A:$A,PPL!$A135,DATA!G:G)</f>
        <v>8</v>
      </c>
      <c r="J135">
        <f>SUMIF(DATA!$A:$A,PPL!$A135,DATA!H:H)</f>
        <v>0</v>
      </c>
      <c r="K135">
        <f>SUMIF(DATA!$A:$A,PPL!$A135,DATA!I:I)</f>
        <v>74</v>
      </c>
      <c r="L135">
        <f>SUMIF(DATA!$A:$A,PPL!$A135,DATA!J:J)</f>
        <v>0</v>
      </c>
      <c r="M135">
        <f t="shared" si="12"/>
        <v>457</v>
      </c>
      <c r="N135">
        <f t="shared" si="14"/>
        <v>708</v>
      </c>
      <c r="O135" s="3">
        <f t="shared" si="15"/>
        <v>96.195652173913047</v>
      </c>
      <c r="P135">
        <f t="shared" si="13"/>
        <v>28</v>
      </c>
      <c r="Q135">
        <f>SUMIF(DATA!A:A,PPL!A135,DATA!N:N)</f>
        <v>251</v>
      </c>
    </row>
    <row r="136" spans="1:17" x14ac:dyDescent="0.25">
      <c r="A136" t="s">
        <v>978</v>
      </c>
      <c r="B136" t="s">
        <v>982</v>
      </c>
      <c r="C136" t="s">
        <v>167</v>
      </c>
      <c r="D136" t="str">
        <f>VLOOKUP(C136,PML!A:B,2,0)</f>
        <v>Firly</v>
      </c>
      <c r="E136">
        <f>SUMIF(DATA!$A:$A,PPL!$A136,DATA!C:C)</f>
        <v>861</v>
      </c>
      <c r="F136">
        <f>SUMIF(DATA!$A:$A,PPL!$A136,DATA!D:D)</f>
        <v>370</v>
      </c>
      <c r="G136">
        <f>SUMIF(DATA!$A:$A,PPL!$A136,DATA!E:E)</f>
        <v>5</v>
      </c>
      <c r="H136">
        <f>SUMIF(DATA!$A:$A,PPL!$A136,DATA!F:F)</f>
        <v>0</v>
      </c>
      <c r="I136">
        <f>SUMIF(DATA!$A:$A,PPL!$A136,DATA!G:G)</f>
        <v>5</v>
      </c>
      <c r="J136">
        <f>SUMIF(DATA!$A:$A,PPL!$A136,DATA!H:H)</f>
        <v>1</v>
      </c>
      <c r="K136">
        <f>SUMIF(DATA!$A:$A,PPL!$A136,DATA!I:I)</f>
        <v>480</v>
      </c>
      <c r="L136">
        <f>SUMIF(DATA!$A:$A,PPL!$A136,DATA!J:J)</f>
        <v>0</v>
      </c>
      <c r="M136">
        <f t="shared" si="12"/>
        <v>430</v>
      </c>
      <c r="N136">
        <f t="shared" si="14"/>
        <v>856</v>
      </c>
      <c r="O136" s="3">
        <f t="shared" si="15"/>
        <v>99.419279907084785</v>
      </c>
      <c r="P136">
        <f t="shared" si="13"/>
        <v>5</v>
      </c>
      <c r="Q136">
        <f>SUMIF(DATA!A:A,PPL!A136,DATA!N:N)</f>
        <v>426</v>
      </c>
    </row>
    <row r="137" spans="1:17" x14ac:dyDescent="0.25">
      <c r="A137" t="s">
        <v>983</v>
      </c>
      <c r="B137" t="s">
        <v>986</v>
      </c>
      <c r="C137" t="s">
        <v>170</v>
      </c>
      <c r="D137" t="str">
        <f>VLOOKUP(C137,PML!A:B,2,0)</f>
        <v>Iska</v>
      </c>
      <c r="E137">
        <f>SUMIF(DATA!$A:$A,PPL!$A137,DATA!C:C)</f>
        <v>1021</v>
      </c>
      <c r="F137">
        <f>SUMIF(DATA!$A:$A,PPL!$A137,DATA!D:D)</f>
        <v>514</v>
      </c>
      <c r="G137">
        <f>SUMIF(DATA!$A:$A,PPL!$A137,DATA!E:E)</f>
        <v>0</v>
      </c>
      <c r="H137">
        <f>SUMIF(DATA!$A:$A,PPL!$A137,DATA!F:F)</f>
        <v>0</v>
      </c>
      <c r="I137">
        <f>SUMIF(DATA!$A:$A,PPL!$A137,DATA!G:G)</f>
        <v>1</v>
      </c>
      <c r="J137">
        <f>SUMIF(DATA!$A:$A,PPL!$A137,DATA!H:H)</f>
        <v>0</v>
      </c>
      <c r="K137">
        <f>SUMIF(DATA!$A:$A,PPL!$A137,DATA!I:I)</f>
        <v>506</v>
      </c>
      <c r="L137">
        <f>SUMIF(DATA!$A:$A,PPL!$A137,DATA!J:J)</f>
        <v>0</v>
      </c>
      <c r="M137">
        <f t="shared" si="12"/>
        <v>545</v>
      </c>
      <c r="N137">
        <f t="shared" ref="N137:N139" si="16">F137+I137+J137+K137+L137</f>
        <v>1021</v>
      </c>
      <c r="O137" s="3">
        <f t="shared" ref="O137:O139" si="17">(N137/E137)*100</f>
        <v>100</v>
      </c>
      <c r="P137">
        <f t="shared" si="13"/>
        <v>0</v>
      </c>
      <c r="Q137">
        <f>SUMIF(DATA!A:A,PPL!A137,DATA!N:N)</f>
        <v>476</v>
      </c>
    </row>
    <row r="138" spans="1:17" x14ac:dyDescent="0.25">
      <c r="A138" t="s">
        <v>984</v>
      </c>
      <c r="B138" t="s">
        <v>987</v>
      </c>
      <c r="C138" t="s">
        <v>165</v>
      </c>
      <c r="D138" t="str">
        <f>VLOOKUP(C138,PML!A:B,2,0)</f>
        <v>Vera</v>
      </c>
      <c r="E138">
        <f>SUMIF(DATA!$A:$A,PPL!$A138,DATA!C:C)</f>
        <v>808</v>
      </c>
      <c r="F138">
        <f>SUMIF(DATA!$A:$A,PPL!$A138,DATA!D:D)</f>
        <v>388</v>
      </c>
      <c r="G138">
        <f>SUMIF(DATA!$A:$A,PPL!$A138,DATA!E:E)</f>
        <v>96</v>
      </c>
      <c r="H138">
        <f>SUMIF(DATA!$A:$A,PPL!$A138,DATA!F:F)</f>
        <v>0</v>
      </c>
      <c r="I138">
        <f>SUMIF(DATA!$A:$A,PPL!$A138,DATA!G:G)</f>
        <v>10</v>
      </c>
      <c r="J138">
        <f>SUMIF(DATA!$A:$A,PPL!$A138,DATA!H:H)</f>
        <v>2</v>
      </c>
      <c r="K138">
        <f>SUMIF(DATA!$A:$A,PPL!$A138,DATA!I:I)</f>
        <v>312</v>
      </c>
      <c r="L138">
        <f>SUMIF(DATA!$A:$A,PPL!$A138,DATA!J:J)</f>
        <v>0</v>
      </c>
      <c r="M138">
        <f t="shared" si="12"/>
        <v>463</v>
      </c>
      <c r="N138">
        <f t="shared" si="16"/>
        <v>712</v>
      </c>
      <c r="O138" s="3">
        <f t="shared" si="17"/>
        <v>88.118811881188122</v>
      </c>
      <c r="P138">
        <f t="shared" si="13"/>
        <v>96</v>
      </c>
      <c r="Q138">
        <f>SUMIF(DATA!A:A,PPL!A138,DATA!N:N)</f>
        <v>249</v>
      </c>
    </row>
    <row r="139" spans="1:17" x14ac:dyDescent="0.25">
      <c r="A139" t="s">
        <v>985</v>
      </c>
      <c r="B139" t="s">
        <v>988</v>
      </c>
      <c r="C139" t="s">
        <v>163</v>
      </c>
      <c r="D139" t="str">
        <f>VLOOKUP(C139,PML!A:B,2,0)</f>
        <v>Lasimran</v>
      </c>
      <c r="E139">
        <f>SUMIF(DATA!$A:$A,PPL!$A139,DATA!C:C)</f>
        <v>644</v>
      </c>
      <c r="F139">
        <f>SUMIF(DATA!$A:$A,PPL!$A139,DATA!D:D)</f>
        <v>381</v>
      </c>
      <c r="G139">
        <f>SUMIF(DATA!$A:$A,PPL!$A139,DATA!E:E)</f>
        <v>0</v>
      </c>
      <c r="H139">
        <f>SUMIF(DATA!$A:$A,PPL!$A139,DATA!F:F)</f>
        <v>0</v>
      </c>
      <c r="I139">
        <f>SUMIF(DATA!$A:$A,PPL!$A139,DATA!G:G)</f>
        <v>0</v>
      </c>
      <c r="J139">
        <f>SUMIF(DATA!$A:$A,PPL!$A139,DATA!H:H)</f>
        <v>1</v>
      </c>
      <c r="K139">
        <f>SUMIF(DATA!$A:$A,PPL!$A139,DATA!I:I)</f>
        <v>262</v>
      </c>
      <c r="L139">
        <f>SUMIF(DATA!$A:$A,PPL!$A139,DATA!J:J)</f>
        <v>0</v>
      </c>
      <c r="M139">
        <f t="shared" si="12"/>
        <v>371</v>
      </c>
      <c r="N139">
        <f t="shared" si="16"/>
        <v>644</v>
      </c>
      <c r="O139" s="3">
        <f t="shared" si="17"/>
        <v>100</v>
      </c>
      <c r="P139">
        <f t="shared" si="13"/>
        <v>0</v>
      </c>
      <c r="Q139">
        <f>SUMIF(DATA!A:A,PPL!A139,DATA!N:N)</f>
        <v>273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BE45-BA1C-4ECC-A473-B0BDFD3BAE5E}">
  <dimension ref="A1:L20"/>
  <sheetViews>
    <sheetView workbookViewId="0">
      <selection sqref="A1:B20"/>
    </sheetView>
  </sheetViews>
  <sheetFormatPr defaultRowHeight="15" x14ac:dyDescent="0.25"/>
  <cols>
    <col min="1" max="1" width="29.140625" bestFit="1" customWidth="1"/>
    <col min="2" max="2" width="12.85546875" bestFit="1" customWidth="1"/>
    <col min="3" max="3" width="5.140625" bestFit="1" customWidth="1"/>
    <col min="4" max="4" width="23" bestFit="1" customWidth="1"/>
    <col min="5" max="5" width="6.7109375" bestFit="1" customWidth="1"/>
    <col min="6" max="6" width="6" bestFit="1" customWidth="1"/>
    <col min="7" max="8" width="21.5703125" bestFit="1" customWidth="1"/>
    <col min="9" max="9" width="22.7109375" bestFit="1" customWidth="1"/>
    <col min="10" max="10" width="23.7109375" bestFit="1" customWidth="1"/>
    <col min="11" max="11" width="10.140625" bestFit="1" customWidth="1"/>
  </cols>
  <sheetData>
    <row r="1" spans="1:12" x14ac:dyDescent="0.25">
      <c r="A1" t="s">
        <v>245</v>
      </c>
      <c r="B1" t="s">
        <v>246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373</v>
      </c>
      <c r="L1" t="s">
        <v>386</v>
      </c>
    </row>
    <row r="2" spans="1:12" x14ac:dyDescent="0.25">
      <c r="A2" t="s">
        <v>162</v>
      </c>
      <c r="B2" t="s">
        <v>198</v>
      </c>
      <c r="C2">
        <f>SUMIF(PPL!$C:$C,PML!$A2,PPL!E:E)</f>
        <v>5274</v>
      </c>
      <c r="D2">
        <f>SUMIF(PPL!$C:$C,PML!$A2,PPL!F:F)</f>
        <v>3944</v>
      </c>
      <c r="E2">
        <f>SUMIF(PPL!$C:$C,PML!$A2,PPL!G:G)</f>
        <v>2</v>
      </c>
      <c r="F2">
        <f>SUMIF(PPL!$C:$C,PML!$A2,PPL!H:H)</f>
        <v>0</v>
      </c>
      <c r="G2">
        <f>SUMIF(PPL!$C:$C,PML!$A2,PPL!I:I)</f>
        <v>32</v>
      </c>
      <c r="H2">
        <f>SUMIF(PPL!$C:$C,PML!$A2,PPL!J:J)</f>
        <v>0</v>
      </c>
      <c r="I2">
        <f>SUMIF(PPL!$C:$C,PML!$A2,PPL!K:K)</f>
        <v>1296</v>
      </c>
      <c r="J2">
        <f>SUMIF(PPL!$C:$C,PML!$A2,PPL!L:L)</f>
        <v>0</v>
      </c>
      <c r="K2">
        <f>D2</f>
        <v>3944</v>
      </c>
      <c r="L2" s="3">
        <f>(SUM(D2)/C2)*100</f>
        <v>74.781949184679561</v>
      </c>
    </row>
    <row r="3" spans="1:12" x14ac:dyDescent="0.25">
      <c r="A3" t="s">
        <v>163</v>
      </c>
      <c r="B3" t="s">
        <v>187</v>
      </c>
      <c r="C3">
        <f>SUMIF(PPL!$C:$C,PML!$A3,PPL!E:E)</f>
        <v>5172</v>
      </c>
      <c r="D3">
        <f>SUMIF(PPL!$C:$C,PML!$A3,PPL!F:F)</f>
        <v>4131</v>
      </c>
      <c r="E3">
        <f>SUMIF(PPL!$C:$C,PML!$A3,PPL!G:G)</f>
        <v>0</v>
      </c>
      <c r="F3">
        <f>SUMIF(PPL!$C:$C,PML!$A3,PPL!H:H)</f>
        <v>0</v>
      </c>
      <c r="G3">
        <f>SUMIF(PPL!$C:$C,PML!$A3,PPL!I:I)</f>
        <v>7</v>
      </c>
      <c r="H3">
        <f>SUMIF(PPL!$C:$C,PML!$A3,PPL!J:J)</f>
        <v>1</v>
      </c>
      <c r="I3">
        <f>SUMIF(PPL!$C:$C,PML!$A3,PPL!K:K)</f>
        <v>1033</v>
      </c>
      <c r="J3">
        <f>SUMIF(PPL!$C:$C,PML!$A3,PPL!L:L)</f>
        <v>0</v>
      </c>
      <c r="K3">
        <f t="shared" ref="K3:K20" si="0">D3</f>
        <v>4131</v>
      </c>
      <c r="L3" s="3">
        <f t="shared" ref="L3:L20" si="1">(SUM(D3)/C3)*100</f>
        <v>79.872389791183295</v>
      </c>
    </row>
    <row r="4" spans="1:12" x14ac:dyDescent="0.25">
      <c r="A4" t="s">
        <v>164</v>
      </c>
      <c r="B4" t="s">
        <v>190</v>
      </c>
      <c r="C4">
        <f>SUMIF(PPL!$C:$C,PML!$A4,PPL!E:E)</f>
        <v>6319</v>
      </c>
      <c r="D4">
        <f>SUMIF(PPL!$C:$C,PML!$A4,PPL!F:F)</f>
        <v>5691</v>
      </c>
      <c r="E4">
        <f>SUMIF(PPL!$C:$C,PML!$A4,PPL!G:G)</f>
        <v>0</v>
      </c>
      <c r="F4">
        <f>SUMIF(PPL!$C:$C,PML!$A4,PPL!H:H)</f>
        <v>0</v>
      </c>
      <c r="G4">
        <f>SUMIF(PPL!$C:$C,PML!$A4,PPL!I:I)</f>
        <v>2</v>
      </c>
      <c r="H4">
        <f>SUMIF(PPL!$C:$C,PML!$A4,PPL!J:J)</f>
        <v>0</v>
      </c>
      <c r="I4">
        <f>SUMIF(PPL!$C:$C,PML!$A4,PPL!K:K)</f>
        <v>625</v>
      </c>
      <c r="J4">
        <f>SUMIF(PPL!$C:$C,PML!$A4,PPL!L:L)</f>
        <v>1</v>
      </c>
      <c r="K4">
        <f t="shared" si="0"/>
        <v>5691</v>
      </c>
      <c r="L4" s="3">
        <f t="shared" si="1"/>
        <v>90.061718626364922</v>
      </c>
    </row>
    <row r="5" spans="1:12" x14ac:dyDescent="0.25">
      <c r="A5" t="s">
        <v>165</v>
      </c>
      <c r="B5" t="s">
        <v>181</v>
      </c>
      <c r="C5">
        <f>SUMIF(PPL!$C:$C,PML!$A5,PPL!E:E)</f>
        <v>7076</v>
      </c>
      <c r="D5">
        <f>SUMIF(PPL!$C:$C,PML!$A5,PPL!F:F)</f>
        <v>5673</v>
      </c>
      <c r="E5">
        <f>SUMIF(PPL!$C:$C,PML!$A5,PPL!G:G)</f>
        <v>220</v>
      </c>
      <c r="F5">
        <f>SUMIF(PPL!$C:$C,PML!$A5,PPL!H:H)</f>
        <v>0</v>
      </c>
      <c r="G5">
        <f>SUMIF(PPL!$C:$C,PML!$A5,PPL!I:I)</f>
        <v>22</v>
      </c>
      <c r="H5">
        <f>SUMIF(PPL!$C:$C,PML!$A5,PPL!J:J)</f>
        <v>9</v>
      </c>
      <c r="I5">
        <f>SUMIF(PPL!$C:$C,PML!$A5,PPL!K:K)</f>
        <v>1152</v>
      </c>
      <c r="J5">
        <f>SUMIF(PPL!$C:$C,PML!$A5,PPL!L:L)</f>
        <v>0</v>
      </c>
      <c r="K5">
        <f t="shared" si="0"/>
        <v>5673</v>
      </c>
      <c r="L5" s="3">
        <f t="shared" si="1"/>
        <v>80.172413793103445</v>
      </c>
    </row>
    <row r="6" spans="1:12" x14ac:dyDescent="0.25">
      <c r="A6" t="s">
        <v>166</v>
      </c>
      <c r="B6" t="s">
        <v>189</v>
      </c>
      <c r="C6">
        <f>SUMIF(PPL!$C:$C,PML!$A6,PPL!E:E)</f>
        <v>6639</v>
      </c>
      <c r="D6">
        <f>SUMIF(PPL!$C:$C,PML!$A6,PPL!F:F)</f>
        <v>5470</v>
      </c>
      <c r="E6">
        <f>SUMIF(PPL!$C:$C,PML!$A6,PPL!G:G)</f>
        <v>29</v>
      </c>
      <c r="F6">
        <f>SUMIF(PPL!$C:$C,PML!$A6,PPL!H:H)</f>
        <v>0</v>
      </c>
      <c r="G6">
        <f>SUMIF(PPL!$C:$C,PML!$A6,PPL!I:I)</f>
        <v>17</v>
      </c>
      <c r="H6">
        <f>SUMIF(PPL!$C:$C,PML!$A6,PPL!J:J)</f>
        <v>1</v>
      </c>
      <c r="I6">
        <f>SUMIF(PPL!$C:$C,PML!$A6,PPL!K:K)</f>
        <v>1122</v>
      </c>
      <c r="J6">
        <f>SUMIF(PPL!$C:$C,PML!$A6,PPL!L:L)</f>
        <v>0</v>
      </c>
      <c r="K6">
        <f t="shared" si="0"/>
        <v>5470</v>
      </c>
      <c r="L6" s="3">
        <f t="shared" si="1"/>
        <v>82.391926494954063</v>
      </c>
    </row>
    <row r="7" spans="1:12" x14ac:dyDescent="0.25">
      <c r="A7" t="s">
        <v>167</v>
      </c>
      <c r="B7" t="s">
        <v>182</v>
      </c>
      <c r="C7">
        <f>SUMIF(PPL!$C:$C,PML!$A7,PPL!E:E)</f>
        <v>7098</v>
      </c>
      <c r="D7">
        <f>SUMIF(PPL!$C:$C,PML!$A7,PPL!F:F)</f>
        <v>4018</v>
      </c>
      <c r="E7">
        <f>SUMIF(PPL!$C:$C,PML!$A7,PPL!G:G)</f>
        <v>90</v>
      </c>
      <c r="F7">
        <f>SUMIF(PPL!$C:$C,PML!$A7,PPL!H:H)</f>
        <v>0</v>
      </c>
      <c r="G7">
        <f>SUMIF(PPL!$C:$C,PML!$A7,PPL!I:I)</f>
        <v>149</v>
      </c>
      <c r="H7">
        <f>SUMIF(PPL!$C:$C,PML!$A7,PPL!J:J)</f>
        <v>4</v>
      </c>
      <c r="I7">
        <f>SUMIF(PPL!$C:$C,PML!$A7,PPL!K:K)</f>
        <v>2836</v>
      </c>
      <c r="J7">
        <f>SUMIF(PPL!$C:$C,PML!$A7,PPL!L:L)</f>
        <v>1</v>
      </c>
      <c r="K7">
        <f t="shared" si="0"/>
        <v>4018</v>
      </c>
      <c r="L7" s="3">
        <f t="shared" si="1"/>
        <v>56.607495069033533</v>
      </c>
    </row>
    <row r="8" spans="1:12" x14ac:dyDescent="0.25">
      <c r="A8" t="s">
        <v>168</v>
      </c>
      <c r="B8" t="s">
        <v>197</v>
      </c>
      <c r="C8">
        <f>SUMIF(PPL!$C:$C,PML!$A8,PPL!E:E)</f>
        <v>6230</v>
      </c>
      <c r="D8">
        <f>SUMIF(PPL!$C:$C,PML!$A8,PPL!F:F)</f>
        <v>3054</v>
      </c>
      <c r="E8">
        <f>SUMIF(PPL!$C:$C,PML!$A8,PPL!G:G)</f>
        <v>202</v>
      </c>
      <c r="F8">
        <f>SUMIF(PPL!$C:$C,PML!$A8,PPL!H:H)</f>
        <v>0</v>
      </c>
      <c r="G8">
        <f>SUMIF(PPL!$C:$C,PML!$A8,PPL!I:I)</f>
        <v>157</v>
      </c>
      <c r="H8">
        <f>SUMIF(PPL!$C:$C,PML!$A8,PPL!J:J)</f>
        <v>14</v>
      </c>
      <c r="I8">
        <f>SUMIF(PPL!$C:$C,PML!$A8,PPL!K:K)</f>
        <v>2803</v>
      </c>
      <c r="J8">
        <f>SUMIF(PPL!$C:$C,PML!$A8,PPL!L:L)</f>
        <v>0</v>
      </c>
      <c r="K8">
        <f t="shared" si="0"/>
        <v>3054</v>
      </c>
      <c r="L8" s="3">
        <f t="shared" si="1"/>
        <v>49.020866773675763</v>
      </c>
    </row>
    <row r="9" spans="1:12" x14ac:dyDescent="0.25">
      <c r="A9" t="s">
        <v>169</v>
      </c>
      <c r="B9" t="s">
        <v>199</v>
      </c>
      <c r="C9">
        <f>SUMIF(PPL!$C:$C,PML!$A9,PPL!E:E)</f>
        <v>6745</v>
      </c>
      <c r="D9">
        <f>SUMIF(PPL!$C:$C,PML!$A9,PPL!F:F)</f>
        <v>4859</v>
      </c>
      <c r="E9">
        <f>SUMIF(PPL!$C:$C,PML!$A9,PPL!G:G)</f>
        <v>1</v>
      </c>
      <c r="F9">
        <f>SUMIF(PPL!$C:$C,PML!$A9,PPL!H:H)</f>
        <v>0</v>
      </c>
      <c r="G9">
        <f>SUMIF(PPL!$C:$C,PML!$A9,PPL!I:I)</f>
        <v>189</v>
      </c>
      <c r="H9">
        <f>SUMIF(PPL!$C:$C,PML!$A9,PPL!J:J)</f>
        <v>4</v>
      </c>
      <c r="I9">
        <f>SUMIF(PPL!$C:$C,PML!$A9,PPL!K:K)</f>
        <v>1692</v>
      </c>
      <c r="J9">
        <f>SUMIF(PPL!$C:$C,PML!$A9,PPL!L:L)</f>
        <v>0</v>
      </c>
      <c r="K9">
        <f t="shared" si="0"/>
        <v>4859</v>
      </c>
      <c r="L9" s="3">
        <f t="shared" si="1"/>
        <v>72.038547071905114</v>
      </c>
    </row>
    <row r="10" spans="1:12" x14ac:dyDescent="0.25">
      <c r="A10" t="s">
        <v>170</v>
      </c>
      <c r="B10" t="s">
        <v>196</v>
      </c>
      <c r="C10">
        <f>SUMIF(PPL!$C:$C,PML!$A10,PPL!E:E)</f>
        <v>6263</v>
      </c>
      <c r="D10">
        <f>SUMIF(PPL!$C:$C,PML!$A10,PPL!F:F)</f>
        <v>4594</v>
      </c>
      <c r="E10">
        <f>SUMIF(PPL!$C:$C,PML!$A10,PPL!G:G)</f>
        <v>6</v>
      </c>
      <c r="F10">
        <f>SUMIF(PPL!$C:$C,PML!$A10,PPL!H:H)</f>
        <v>0</v>
      </c>
      <c r="G10">
        <f>SUMIF(PPL!$C:$C,PML!$A10,PPL!I:I)</f>
        <v>45</v>
      </c>
      <c r="H10">
        <f>SUMIF(PPL!$C:$C,PML!$A10,PPL!J:J)</f>
        <v>1</v>
      </c>
      <c r="I10">
        <f>SUMIF(PPL!$C:$C,PML!$A10,PPL!K:K)</f>
        <v>1617</v>
      </c>
      <c r="J10">
        <f>SUMIF(PPL!$C:$C,PML!$A10,PPL!L:L)</f>
        <v>0</v>
      </c>
      <c r="K10">
        <f t="shared" si="0"/>
        <v>4594</v>
      </c>
      <c r="L10" s="3">
        <f t="shared" si="1"/>
        <v>73.351429027622544</v>
      </c>
    </row>
    <row r="11" spans="1:12" x14ac:dyDescent="0.25">
      <c r="A11" t="s">
        <v>171</v>
      </c>
      <c r="B11" t="s">
        <v>195</v>
      </c>
      <c r="C11">
        <f>SUMIF(PPL!$C:$C,PML!$A11,PPL!E:E)</f>
        <v>4655</v>
      </c>
      <c r="D11">
        <f>SUMIF(PPL!$C:$C,PML!$A11,PPL!F:F)</f>
        <v>3960</v>
      </c>
      <c r="E11">
        <f>SUMIF(PPL!$C:$C,PML!$A11,PPL!G:G)</f>
        <v>0</v>
      </c>
      <c r="F11">
        <f>SUMIF(PPL!$C:$C,PML!$A11,PPL!H:H)</f>
        <v>0</v>
      </c>
      <c r="G11">
        <f>SUMIF(PPL!$C:$C,PML!$A11,PPL!I:I)</f>
        <v>121</v>
      </c>
      <c r="H11">
        <f>SUMIF(PPL!$C:$C,PML!$A11,PPL!J:J)</f>
        <v>3</v>
      </c>
      <c r="I11">
        <f>SUMIF(PPL!$C:$C,PML!$A11,PPL!K:K)</f>
        <v>571</v>
      </c>
      <c r="J11">
        <f>SUMIF(PPL!$C:$C,PML!$A11,PPL!L:L)</f>
        <v>0</v>
      </c>
      <c r="K11">
        <f t="shared" si="0"/>
        <v>3960</v>
      </c>
      <c r="L11" s="3">
        <f t="shared" si="1"/>
        <v>85.069817400644467</v>
      </c>
    </row>
    <row r="12" spans="1:12" x14ac:dyDescent="0.25">
      <c r="A12" t="s">
        <v>172</v>
      </c>
      <c r="B12" t="s">
        <v>193</v>
      </c>
      <c r="C12">
        <f>SUMIF(PPL!$C:$C,PML!$A12,PPL!E:E)</f>
        <v>3948</v>
      </c>
      <c r="D12">
        <f>SUMIF(PPL!$C:$C,PML!$A12,PPL!F:F)</f>
        <v>3687</v>
      </c>
      <c r="E12">
        <f>SUMIF(PPL!$C:$C,PML!$A12,PPL!G:G)</f>
        <v>6</v>
      </c>
      <c r="F12">
        <f>SUMIF(PPL!$C:$C,PML!$A12,PPL!H:H)</f>
        <v>0</v>
      </c>
      <c r="G12">
        <f>SUMIF(PPL!$C:$C,PML!$A12,PPL!I:I)</f>
        <v>64</v>
      </c>
      <c r="H12">
        <f>SUMIF(PPL!$C:$C,PML!$A12,PPL!J:J)</f>
        <v>10</v>
      </c>
      <c r="I12">
        <f>SUMIF(PPL!$C:$C,PML!$A12,PPL!K:K)</f>
        <v>181</v>
      </c>
      <c r="J12">
        <f>SUMIF(PPL!$C:$C,PML!$A12,PPL!L:L)</f>
        <v>0</v>
      </c>
      <c r="K12">
        <f t="shared" si="0"/>
        <v>3687</v>
      </c>
      <c r="L12" s="3">
        <f t="shared" si="1"/>
        <v>93.389057750759875</v>
      </c>
    </row>
    <row r="13" spans="1:12" x14ac:dyDescent="0.25">
      <c r="A13" t="s">
        <v>173</v>
      </c>
      <c r="B13" t="s">
        <v>186</v>
      </c>
      <c r="C13">
        <f>SUMIF(PPL!$C:$C,PML!$A13,PPL!E:E)</f>
        <v>4679</v>
      </c>
      <c r="D13">
        <f>SUMIF(PPL!$C:$C,PML!$A13,PPL!F:F)</f>
        <v>4463</v>
      </c>
      <c r="E13">
        <f>SUMIF(PPL!$C:$C,PML!$A13,PPL!G:G)</f>
        <v>38</v>
      </c>
      <c r="F13">
        <f>SUMIF(PPL!$C:$C,PML!$A13,PPL!H:H)</f>
        <v>0</v>
      </c>
      <c r="G13">
        <f>SUMIF(PPL!$C:$C,PML!$A13,PPL!I:I)</f>
        <v>10</v>
      </c>
      <c r="H13">
        <f>SUMIF(PPL!$C:$C,PML!$A13,PPL!J:J)</f>
        <v>2</v>
      </c>
      <c r="I13">
        <f>SUMIF(PPL!$C:$C,PML!$A13,PPL!K:K)</f>
        <v>166</v>
      </c>
      <c r="J13">
        <f>SUMIF(PPL!$C:$C,PML!$A13,PPL!L:L)</f>
        <v>0</v>
      </c>
      <c r="K13">
        <f t="shared" si="0"/>
        <v>4463</v>
      </c>
      <c r="L13" s="3">
        <f t="shared" si="1"/>
        <v>95.383628980551407</v>
      </c>
    </row>
    <row r="14" spans="1:12" x14ac:dyDescent="0.25">
      <c r="A14" t="s">
        <v>174</v>
      </c>
      <c r="B14" t="s">
        <v>185</v>
      </c>
      <c r="C14">
        <f>SUMIF(PPL!$C:$C,PML!$A14,PPL!E:E)</f>
        <v>4461</v>
      </c>
      <c r="D14">
        <f>SUMIF(PPL!$C:$C,PML!$A14,PPL!F:F)</f>
        <v>2578</v>
      </c>
      <c r="E14">
        <f>SUMIF(PPL!$C:$C,PML!$A14,PPL!G:G)</f>
        <v>44</v>
      </c>
      <c r="F14">
        <f>SUMIF(PPL!$C:$C,PML!$A14,PPL!H:H)</f>
        <v>0</v>
      </c>
      <c r="G14">
        <f>SUMIF(PPL!$C:$C,PML!$A14,PPL!I:I)</f>
        <v>72</v>
      </c>
      <c r="H14">
        <f>SUMIF(PPL!$C:$C,PML!$A14,PPL!J:J)</f>
        <v>3</v>
      </c>
      <c r="I14">
        <f>SUMIF(PPL!$C:$C,PML!$A14,PPL!K:K)</f>
        <v>1764</v>
      </c>
      <c r="J14">
        <f>SUMIF(PPL!$C:$C,PML!$A14,PPL!L:L)</f>
        <v>0</v>
      </c>
      <c r="K14">
        <f t="shared" si="0"/>
        <v>2578</v>
      </c>
      <c r="L14" s="3">
        <f t="shared" si="1"/>
        <v>57.789733243667342</v>
      </c>
    </row>
    <row r="15" spans="1:12" x14ac:dyDescent="0.25">
      <c r="A15" t="s">
        <v>175</v>
      </c>
      <c r="B15" t="s">
        <v>188</v>
      </c>
      <c r="C15">
        <f>SUMIF(PPL!$C:$C,PML!$A15,PPL!E:E)</f>
        <v>5134</v>
      </c>
      <c r="D15">
        <f>SUMIF(PPL!$C:$C,PML!$A15,PPL!F:F)</f>
        <v>3265</v>
      </c>
      <c r="E15">
        <f>SUMIF(PPL!$C:$C,PML!$A15,PPL!G:G)</f>
        <v>376</v>
      </c>
      <c r="F15">
        <f>SUMIF(PPL!$C:$C,PML!$A15,PPL!H:H)</f>
        <v>0</v>
      </c>
      <c r="G15">
        <f>SUMIF(PPL!$C:$C,PML!$A15,PPL!I:I)</f>
        <v>109</v>
      </c>
      <c r="H15">
        <f>SUMIF(PPL!$C:$C,PML!$A15,PPL!J:J)</f>
        <v>34</v>
      </c>
      <c r="I15">
        <f>SUMIF(PPL!$C:$C,PML!$A15,PPL!K:K)</f>
        <v>1350</v>
      </c>
      <c r="J15">
        <f>SUMIF(PPL!$C:$C,PML!$A15,PPL!L:L)</f>
        <v>0</v>
      </c>
      <c r="K15">
        <f t="shared" si="0"/>
        <v>3265</v>
      </c>
      <c r="L15" s="3">
        <f t="shared" si="1"/>
        <v>63.595636930268796</v>
      </c>
    </row>
    <row r="16" spans="1:12" x14ac:dyDescent="0.25">
      <c r="A16" t="s">
        <v>176</v>
      </c>
      <c r="B16" t="s">
        <v>194</v>
      </c>
      <c r="C16">
        <f>SUMIF(PPL!$C:$C,PML!$A16,PPL!E:E)</f>
        <v>5458</v>
      </c>
      <c r="D16">
        <f>SUMIF(PPL!$C:$C,PML!$A16,PPL!F:F)</f>
        <v>4501</v>
      </c>
      <c r="E16">
        <f>SUMIF(PPL!$C:$C,PML!$A16,PPL!G:G)</f>
        <v>72</v>
      </c>
      <c r="F16">
        <f>SUMIF(PPL!$C:$C,PML!$A16,PPL!H:H)</f>
        <v>0</v>
      </c>
      <c r="G16">
        <f>SUMIF(PPL!$C:$C,PML!$A16,PPL!I:I)</f>
        <v>79</v>
      </c>
      <c r="H16">
        <f>SUMIF(PPL!$C:$C,PML!$A16,PPL!J:J)</f>
        <v>2</v>
      </c>
      <c r="I16">
        <f>SUMIF(PPL!$C:$C,PML!$A16,PPL!K:K)</f>
        <v>804</v>
      </c>
      <c r="J16">
        <f>SUMIF(PPL!$C:$C,PML!$A16,PPL!L:L)</f>
        <v>0</v>
      </c>
      <c r="K16">
        <f t="shared" si="0"/>
        <v>4501</v>
      </c>
      <c r="L16" s="3">
        <f t="shared" si="1"/>
        <v>82.466104800293152</v>
      </c>
    </row>
    <row r="17" spans="1:12" x14ac:dyDescent="0.25">
      <c r="A17" t="s">
        <v>177</v>
      </c>
      <c r="B17" t="s">
        <v>192</v>
      </c>
      <c r="C17">
        <f>SUMIF(PPL!$C:$C,PML!$A17,PPL!E:E)</f>
        <v>5420</v>
      </c>
      <c r="D17">
        <f>SUMIF(PPL!$C:$C,PML!$A17,PPL!F:F)</f>
        <v>5021</v>
      </c>
      <c r="E17">
        <f>SUMIF(PPL!$C:$C,PML!$A17,PPL!G:G)</f>
        <v>280</v>
      </c>
      <c r="F17">
        <f>SUMIF(PPL!$C:$C,PML!$A17,PPL!H:H)</f>
        <v>0</v>
      </c>
      <c r="G17">
        <f>SUMIF(PPL!$C:$C,PML!$A17,PPL!I:I)</f>
        <v>18</v>
      </c>
      <c r="H17">
        <f>SUMIF(PPL!$C:$C,PML!$A17,PPL!J:J)</f>
        <v>1</v>
      </c>
      <c r="I17">
        <f>SUMIF(PPL!$C:$C,PML!$A17,PPL!K:K)</f>
        <v>100</v>
      </c>
      <c r="J17">
        <f>SUMIF(PPL!$C:$C,PML!$A17,PPL!L:L)</f>
        <v>0</v>
      </c>
      <c r="K17">
        <f t="shared" si="0"/>
        <v>5021</v>
      </c>
      <c r="L17" s="3">
        <f t="shared" si="1"/>
        <v>92.638376383763841</v>
      </c>
    </row>
    <row r="18" spans="1:12" x14ac:dyDescent="0.25">
      <c r="A18" t="s">
        <v>178</v>
      </c>
      <c r="B18" t="s">
        <v>2066</v>
      </c>
      <c r="C18">
        <f>SUMIF(PPL!$C:$C,PML!$A18,PPL!E:E)</f>
        <v>5123</v>
      </c>
      <c r="D18">
        <f>SUMIF(PPL!$C:$C,PML!$A18,PPL!F:F)</f>
        <v>4866</v>
      </c>
      <c r="E18">
        <f>SUMIF(PPL!$C:$C,PML!$A18,PPL!G:G)</f>
        <v>196</v>
      </c>
      <c r="F18">
        <f>SUMIF(PPL!$C:$C,PML!$A18,PPL!H:H)</f>
        <v>0</v>
      </c>
      <c r="G18">
        <f>SUMIF(PPL!$C:$C,PML!$A18,PPL!I:I)</f>
        <v>6</v>
      </c>
      <c r="H18">
        <f>SUMIF(PPL!$C:$C,PML!$A18,PPL!J:J)</f>
        <v>0</v>
      </c>
      <c r="I18">
        <f>SUMIF(PPL!$C:$C,PML!$A18,PPL!K:K)</f>
        <v>55</v>
      </c>
      <c r="J18">
        <f>SUMIF(PPL!$C:$C,PML!$A18,PPL!L:L)</f>
        <v>0</v>
      </c>
      <c r="K18">
        <f t="shared" si="0"/>
        <v>4866</v>
      </c>
      <c r="L18" s="3">
        <f t="shared" si="1"/>
        <v>94.983408159281666</v>
      </c>
    </row>
    <row r="19" spans="1:12" x14ac:dyDescent="0.25">
      <c r="A19" t="s">
        <v>179</v>
      </c>
      <c r="B19" t="s">
        <v>184</v>
      </c>
      <c r="C19">
        <f>SUMIF(PPL!$C:$C,PML!$A19,PPL!E:E)</f>
        <v>4848</v>
      </c>
      <c r="D19">
        <f>SUMIF(PPL!$C:$C,PML!$A19,PPL!F:F)</f>
        <v>4132</v>
      </c>
      <c r="E19">
        <f>SUMIF(PPL!$C:$C,PML!$A19,PPL!G:G)</f>
        <v>50</v>
      </c>
      <c r="F19">
        <f>SUMIF(PPL!$C:$C,PML!$A19,PPL!H:H)</f>
        <v>0</v>
      </c>
      <c r="G19">
        <f>SUMIF(PPL!$C:$C,PML!$A19,PPL!I:I)</f>
        <v>16</v>
      </c>
      <c r="H19">
        <f>SUMIF(PPL!$C:$C,PML!$A19,PPL!J:J)</f>
        <v>3</v>
      </c>
      <c r="I19">
        <f>SUMIF(PPL!$C:$C,PML!$A19,PPL!K:K)</f>
        <v>647</v>
      </c>
      <c r="J19">
        <f>SUMIF(PPL!$C:$C,PML!$A19,PPL!L:L)</f>
        <v>0</v>
      </c>
      <c r="K19">
        <f t="shared" si="0"/>
        <v>4132</v>
      </c>
      <c r="L19" s="3">
        <f t="shared" si="1"/>
        <v>85.231023102310232</v>
      </c>
    </row>
    <row r="20" spans="1:12" x14ac:dyDescent="0.25">
      <c r="A20" t="s">
        <v>180</v>
      </c>
      <c r="B20" t="s">
        <v>183</v>
      </c>
      <c r="C20">
        <f>SUMIF(PPL!$C:$C,PML!$A20,PPL!E:E)</f>
        <v>6288</v>
      </c>
      <c r="D20">
        <f>SUMIF(PPL!$C:$C,PML!$A20,PPL!F:F)</f>
        <v>6288</v>
      </c>
      <c r="E20">
        <f>SUMIF(PPL!$C:$C,PML!$A20,PPL!G:G)</f>
        <v>0</v>
      </c>
      <c r="F20">
        <f>SUMIF(PPL!$C:$C,PML!$A20,PPL!H:H)</f>
        <v>0</v>
      </c>
      <c r="G20">
        <f>SUMIF(PPL!$C:$C,PML!$A20,PPL!I:I)</f>
        <v>0</v>
      </c>
      <c r="H20">
        <f>SUMIF(PPL!$C:$C,PML!$A20,PPL!J:J)</f>
        <v>0</v>
      </c>
      <c r="I20">
        <f>SUMIF(PPL!$C:$C,PML!$A20,PPL!K:K)</f>
        <v>0</v>
      </c>
      <c r="J20">
        <f>SUMIF(PPL!$C:$C,PML!$A20,PPL!L:L)</f>
        <v>0</v>
      </c>
      <c r="K20">
        <f t="shared" si="0"/>
        <v>6288</v>
      </c>
      <c r="L20" s="3">
        <f t="shared" si="1"/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152-50C3-4536-BFDC-D6CE07BDF058}">
  <dimension ref="A1:C95"/>
  <sheetViews>
    <sheetView topLeftCell="A84" zoomScale="254" workbookViewId="0">
      <selection activeCell="C92" sqref="C92"/>
    </sheetView>
  </sheetViews>
  <sheetFormatPr defaultRowHeight="15" x14ac:dyDescent="0.25"/>
  <cols>
    <col min="1" max="1" width="9.7109375" bestFit="1" customWidth="1"/>
    <col min="2" max="2" width="11.42578125" bestFit="1" customWidth="1"/>
  </cols>
  <sheetData>
    <row r="1" spans="1:3" x14ac:dyDescent="0.25">
      <c r="A1" t="s">
        <v>382</v>
      </c>
      <c r="B1" t="s">
        <v>383</v>
      </c>
      <c r="C1" t="s">
        <v>381</v>
      </c>
    </row>
    <row r="2" spans="1:3" x14ac:dyDescent="0.25">
      <c r="A2" s="1">
        <v>46188</v>
      </c>
      <c r="B2" t="str">
        <f>TEXT(A2,"DDDD")</f>
        <v>Monday</v>
      </c>
      <c r="C2">
        <f>(COUNTA($B$2:B2)*1.66667)</f>
        <v>1.6666700000000001</v>
      </c>
    </row>
    <row r="3" spans="1:3" x14ac:dyDescent="0.25">
      <c r="A3" s="1">
        <v>46189</v>
      </c>
      <c r="B3" t="str">
        <f t="shared" ref="B3:B66" si="0">TEXT(A3,"DDDD")</f>
        <v>Tuesday</v>
      </c>
      <c r="C3">
        <f>(COUNTA($B$2:B3)*1.66667)</f>
        <v>3.3333400000000002</v>
      </c>
    </row>
    <row r="4" spans="1:3" x14ac:dyDescent="0.25">
      <c r="A4" s="1">
        <v>46190</v>
      </c>
      <c r="B4" t="str">
        <f t="shared" si="0"/>
        <v>Wednesday</v>
      </c>
      <c r="C4">
        <f>(COUNTA($B$2:B4)*1.66667)</f>
        <v>5.0000100000000005</v>
      </c>
    </row>
    <row r="5" spans="1:3" x14ac:dyDescent="0.25">
      <c r="A5" s="1">
        <v>46191</v>
      </c>
      <c r="B5" t="str">
        <f t="shared" si="0"/>
        <v>Thursday</v>
      </c>
      <c r="C5">
        <f>(COUNTA($B$2:B5)*1.66667)</f>
        <v>6.6666800000000004</v>
      </c>
    </row>
    <row r="6" spans="1:3" x14ac:dyDescent="0.25">
      <c r="A6" s="1">
        <v>46192</v>
      </c>
      <c r="B6" t="str">
        <f t="shared" si="0"/>
        <v>Friday</v>
      </c>
      <c r="C6">
        <f>(COUNTA($B$2:B6)*1.66667)</f>
        <v>8.3333500000000011</v>
      </c>
    </row>
    <row r="7" spans="1:3" x14ac:dyDescent="0.25">
      <c r="A7" s="1">
        <v>46193</v>
      </c>
      <c r="B7" t="str">
        <f t="shared" si="0"/>
        <v>Saturday</v>
      </c>
      <c r="C7">
        <f>(COUNTA($B$2:B7)*1.66667)</f>
        <v>10.000020000000001</v>
      </c>
    </row>
    <row r="8" spans="1:3" x14ac:dyDescent="0.25">
      <c r="A8" s="1">
        <v>46194</v>
      </c>
      <c r="C8">
        <f>(COUNTA($B$2:B8)*1.66667)</f>
        <v>10.000020000000001</v>
      </c>
    </row>
    <row r="9" spans="1:3" x14ac:dyDescent="0.25">
      <c r="A9" s="1">
        <v>46195</v>
      </c>
      <c r="B9" t="str">
        <f t="shared" si="0"/>
        <v>Monday</v>
      </c>
      <c r="C9">
        <f>(COUNTA($B$2:B9)*1.66667)</f>
        <v>11.666690000000001</v>
      </c>
    </row>
    <row r="10" spans="1:3" x14ac:dyDescent="0.25">
      <c r="A10" s="1">
        <v>46196</v>
      </c>
      <c r="B10" t="str">
        <f t="shared" si="0"/>
        <v>Tuesday</v>
      </c>
      <c r="C10">
        <f>(COUNTA($B$2:B10)*1.66667)</f>
        <v>13.333360000000001</v>
      </c>
    </row>
    <row r="11" spans="1:3" x14ac:dyDescent="0.25">
      <c r="A11" s="1">
        <v>46197</v>
      </c>
      <c r="B11" t="str">
        <f t="shared" si="0"/>
        <v>Wednesday</v>
      </c>
      <c r="C11">
        <f>(COUNTA($B$2:B11)*1.66667)</f>
        <v>15.000030000000001</v>
      </c>
    </row>
    <row r="12" spans="1:3" x14ac:dyDescent="0.25">
      <c r="A12" s="1">
        <v>46198</v>
      </c>
      <c r="B12" t="str">
        <f t="shared" si="0"/>
        <v>Thursday</v>
      </c>
      <c r="C12">
        <f>(COUNTA($B$2:B12)*1.66667)</f>
        <v>16.666700000000002</v>
      </c>
    </row>
    <row r="13" spans="1:3" x14ac:dyDescent="0.25">
      <c r="A13" s="1">
        <v>46199</v>
      </c>
      <c r="B13" t="str">
        <f t="shared" si="0"/>
        <v>Friday</v>
      </c>
      <c r="C13">
        <f>(COUNTA($B$2:B13)*1.66667)</f>
        <v>18.333370000000002</v>
      </c>
    </row>
    <row r="14" spans="1:3" x14ac:dyDescent="0.25">
      <c r="A14" s="1">
        <v>46200</v>
      </c>
      <c r="B14" t="str">
        <f t="shared" si="0"/>
        <v>Saturday</v>
      </c>
      <c r="C14">
        <f>(COUNTA($B$2:B14)*1.66667)</f>
        <v>20.000040000000002</v>
      </c>
    </row>
    <row r="15" spans="1:3" x14ac:dyDescent="0.25">
      <c r="A15" s="1">
        <v>46201</v>
      </c>
      <c r="C15">
        <f>(COUNTA($B$2:B15)*1.66667)</f>
        <v>20.000040000000002</v>
      </c>
    </row>
    <row r="16" spans="1:3" x14ac:dyDescent="0.25">
      <c r="A16" s="1">
        <v>46202</v>
      </c>
      <c r="B16" t="str">
        <f t="shared" si="0"/>
        <v>Monday</v>
      </c>
      <c r="C16">
        <f>(COUNTA($B$2:B16)*1.66667)</f>
        <v>21.666710000000002</v>
      </c>
    </row>
    <row r="17" spans="1:3" x14ac:dyDescent="0.25">
      <c r="A17" s="1">
        <v>46203</v>
      </c>
      <c r="B17" t="str">
        <f t="shared" si="0"/>
        <v>Tuesday</v>
      </c>
      <c r="C17">
        <f>(COUNTA($B$2:B17)*1.66667)</f>
        <v>23.333380000000002</v>
      </c>
    </row>
    <row r="18" spans="1:3" x14ac:dyDescent="0.25">
      <c r="A18" s="1">
        <v>46204</v>
      </c>
      <c r="B18" t="str">
        <f t="shared" si="0"/>
        <v>Wednesday</v>
      </c>
      <c r="C18">
        <f>(COUNTA($B$2:B18)*1.66667)</f>
        <v>25.000050000000002</v>
      </c>
    </row>
    <row r="19" spans="1:3" x14ac:dyDescent="0.25">
      <c r="A19" s="1">
        <v>46205</v>
      </c>
      <c r="B19" t="str">
        <f t="shared" si="0"/>
        <v>Thursday</v>
      </c>
      <c r="C19">
        <f>(COUNTA($B$2:B19)*1.66667)</f>
        <v>26.666720000000002</v>
      </c>
    </row>
    <row r="20" spans="1:3" x14ac:dyDescent="0.25">
      <c r="A20" s="1">
        <v>46206</v>
      </c>
      <c r="B20" t="str">
        <f t="shared" si="0"/>
        <v>Friday</v>
      </c>
      <c r="C20">
        <f>(COUNTA($B$2:B20)*1.66667)</f>
        <v>28.333390000000001</v>
      </c>
    </row>
    <row r="21" spans="1:3" x14ac:dyDescent="0.25">
      <c r="A21" s="1">
        <v>46207</v>
      </c>
      <c r="B21" t="str">
        <f t="shared" si="0"/>
        <v>Saturday</v>
      </c>
      <c r="C21">
        <f>(COUNTA($B$2:B21)*1.66667)</f>
        <v>30.000060000000001</v>
      </c>
    </row>
    <row r="22" spans="1:3" x14ac:dyDescent="0.25">
      <c r="A22" s="1">
        <v>46208</v>
      </c>
      <c r="C22">
        <f>(COUNTA($B$2:B22)*1.66667)</f>
        <v>30.000060000000001</v>
      </c>
    </row>
    <row r="23" spans="1:3" x14ac:dyDescent="0.25">
      <c r="A23" s="1">
        <v>46209</v>
      </c>
      <c r="B23" t="str">
        <f t="shared" si="0"/>
        <v>Monday</v>
      </c>
      <c r="C23">
        <f>(COUNTA($B$2:B23)*1.66667)</f>
        <v>31.666730000000001</v>
      </c>
    </row>
    <row r="24" spans="1:3" x14ac:dyDescent="0.25">
      <c r="A24" s="1">
        <v>46210</v>
      </c>
      <c r="B24" t="str">
        <f t="shared" si="0"/>
        <v>Tuesday</v>
      </c>
      <c r="C24">
        <f>(COUNTA($B$2:B24)*1.66667)</f>
        <v>33.333400000000005</v>
      </c>
    </row>
    <row r="25" spans="1:3" x14ac:dyDescent="0.25">
      <c r="A25" s="1">
        <v>46211</v>
      </c>
      <c r="B25" t="str">
        <f t="shared" si="0"/>
        <v>Wednesday</v>
      </c>
      <c r="C25">
        <f>(COUNTA($B$2:B25)*1.66667)</f>
        <v>35.000070000000001</v>
      </c>
    </row>
    <row r="26" spans="1:3" x14ac:dyDescent="0.25">
      <c r="A26" s="1">
        <v>46212</v>
      </c>
      <c r="B26" t="str">
        <f t="shared" si="0"/>
        <v>Thursday</v>
      </c>
      <c r="C26">
        <f>(COUNTA($B$2:B26)*1.66667)</f>
        <v>36.666740000000004</v>
      </c>
    </row>
    <row r="27" spans="1:3" x14ac:dyDescent="0.25">
      <c r="A27" s="1">
        <v>46213</v>
      </c>
      <c r="B27" t="str">
        <f t="shared" si="0"/>
        <v>Friday</v>
      </c>
      <c r="C27">
        <f>(COUNTA($B$2:B27)*1.66667)</f>
        <v>38.333410000000001</v>
      </c>
    </row>
    <row r="28" spans="1:3" x14ac:dyDescent="0.25">
      <c r="A28" s="1">
        <v>46214</v>
      </c>
      <c r="B28" t="str">
        <f t="shared" si="0"/>
        <v>Saturday</v>
      </c>
      <c r="C28">
        <f>(COUNTA($B$2:B28)*1.66667)</f>
        <v>40.000080000000004</v>
      </c>
    </row>
    <row r="29" spans="1:3" x14ac:dyDescent="0.25">
      <c r="A29" s="1">
        <v>46215</v>
      </c>
      <c r="C29">
        <f>(COUNTA($B$2:B29)*1.66667)</f>
        <v>40.000080000000004</v>
      </c>
    </row>
    <row r="30" spans="1:3" x14ac:dyDescent="0.25">
      <c r="A30" s="1">
        <v>46216</v>
      </c>
      <c r="B30" t="str">
        <f t="shared" si="0"/>
        <v>Monday</v>
      </c>
      <c r="C30">
        <f>(COUNTA($B$2:B30)*1.66667)</f>
        <v>41.66675</v>
      </c>
    </row>
    <row r="31" spans="1:3" x14ac:dyDescent="0.25">
      <c r="A31" s="1">
        <v>46217</v>
      </c>
      <c r="B31" t="str">
        <f t="shared" si="0"/>
        <v>Tuesday</v>
      </c>
      <c r="C31">
        <f>(COUNTA($B$2:B31)*1.66667)</f>
        <v>43.333420000000004</v>
      </c>
    </row>
    <row r="32" spans="1:3" x14ac:dyDescent="0.25">
      <c r="A32" s="1">
        <v>46218</v>
      </c>
      <c r="B32" t="str">
        <f t="shared" si="0"/>
        <v>Wednesday</v>
      </c>
      <c r="C32">
        <f>(COUNTA($B$2:B32)*1.66667)</f>
        <v>45.00009</v>
      </c>
    </row>
    <row r="33" spans="1:3" x14ac:dyDescent="0.25">
      <c r="A33" s="1">
        <v>46219</v>
      </c>
      <c r="B33" t="str">
        <f t="shared" si="0"/>
        <v>Thursday</v>
      </c>
      <c r="C33">
        <f>(COUNTA($B$2:B33)*1.66667)</f>
        <v>46.666760000000004</v>
      </c>
    </row>
    <row r="34" spans="1:3" x14ac:dyDescent="0.25">
      <c r="A34" s="1">
        <v>46220</v>
      </c>
      <c r="B34" t="str">
        <f t="shared" si="0"/>
        <v>Friday</v>
      </c>
      <c r="C34">
        <f>(COUNTA($B$2:B34)*1.66667)</f>
        <v>48.33343</v>
      </c>
    </row>
    <row r="35" spans="1:3" x14ac:dyDescent="0.25">
      <c r="A35" s="1">
        <v>46221</v>
      </c>
      <c r="B35" t="str">
        <f t="shared" si="0"/>
        <v>Saturday</v>
      </c>
      <c r="C35">
        <f>(COUNTA($B$2:B35)*1.66667)</f>
        <v>50.000100000000003</v>
      </c>
    </row>
    <row r="36" spans="1:3" x14ac:dyDescent="0.25">
      <c r="A36" s="1">
        <v>46222</v>
      </c>
      <c r="C36">
        <f>(COUNTA($B$2:B36)*1.66667)</f>
        <v>50.000100000000003</v>
      </c>
    </row>
    <row r="37" spans="1:3" x14ac:dyDescent="0.25">
      <c r="A37" s="1">
        <v>46223</v>
      </c>
      <c r="B37" t="str">
        <f t="shared" si="0"/>
        <v>Monday</v>
      </c>
      <c r="C37">
        <f>(COUNTA($B$2:B37)*1.66667)</f>
        <v>51.66677</v>
      </c>
    </row>
    <row r="38" spans="1:3" x14ac:dyDescent="0.25">
      <c r="A38" s="1">
        <v>46224</v>
      </c>
      <c r="B38" t="str">
        <f t="shared" si="0"/>
        <v>Tuesday</v>
      </c>
      <c r="C38">
        <f>(COUNTA($B$2:B38)*1.66667)</f>
        <v>53.333440000000003</v>
      </c>
    </row>
    <row r="39" spans="1:3" x14ac:dyDescent="0.25">
      <c r="A39" s="1">
        <v>46225</v>
      </c>
      <c r="B39" t="str">
        <f t="shared" si="0"/>
        <v>Wednesday</v>
      </c>
      <c r="C39">
        <f>(COUNTA($B$2:B39)*1.66667)</f>
        <v>55.000110000000006</v>
      </c>
    </row>
    <row r="40" spans="1:3" x14ac:dyDescent="0.25">
      <c r="A40" s="1">
        <v>46226</v>
      </c>
      <c r="B40" t="str">
        <f t="shared" si="0"/>
        <v>Thursday</v>
      </c>
      <c r="C40">
        <f>(COUNTA($B$2:B40)*1.66667)</f>
        <v>56.666780000000003</v>
      </c>
    </row>
    <row r="41" spans="1:3" x14ac:dyDescent="0.25">
      <c r="A41" s="1">
        <v>46227</v>
      </c>
      <c r="B41" t="str">
        <f t="shared" si="0"/>
        <v>Friday</v>
      </c>
      <c r="C41">
        <f>(COUNTA($B$2:B41)*1.66667)</f>
        <v>58.333450000000006</v>
      </c>
    </row>
    <row r="42" spans="1:3" x14ac:dyDescent="0.25">
      <c r="A42" s="1">
        <v>46228</v>
      </c>
      <c r="B42" t="str">
        <f t="shared" si="0"/>
        <v>Saturday</v>
      </c>
      <c r="C42">
        <f>(COUNTA($B$2:B42)*1.66667)</f>
        <v>60.000120000000003</v>
      </c>
    </row>
    <row r="43" spans="1:3" x14ac:dyDescent="0.25">
      <c r="A43" s="1">
        <v>46229</v>
      </c>
      <c r="C43">
        <f>(COUNTA($B$2:B43)*1.66667)</f>
        <v>60.000120000000003</v>
      </c>
    </row>
    <row r="44" spans="1:3" x14ac:dyDescent="0.25">
      <c r="A44" s="1">
        <v>46230</v>
      </c>
      <c r="B44" t="str">
        <f t="shared" si="0"/>
        <v>Monday</v>
      </c>
      <c r="C44">
        <f>(COUNTA($B$2:B44)*1.66667)</f>
        <v>61.666790000000006</v>
      </c>
    </row>
    <row r="45" spans="1:3" x14ac:dyDescent="0.25">
      <c r="A45" s="1">
        <v>46231</v>
      </c>
      <c r="B45" t="str">
        <f t="shared" si="0"/>
        <v>Tuesday</v>
      </c>
      <c r="C45">
        <f>(COUNTA($B$2:B45)*1.66667)</f>
        <v>63.333460000000002</v>
      </c>
    </row>
    <row r="46" spans="1:3" x14ac:dyDescent="0.25">
      <c r="A46" s="1">
        <v>46232</v>
      </c>
      <c r="B46" t="str">
        <f t="shared" si="0"/>
        <v>Wednesday</v>
      </c>
      <c r="C46">
        <f>(COUNTA($B$2:B46)*1.66667)</f>
        <v>65.000129999999999</v>
      </c>
    </row>
    <row r="47" spans="1:3" x14ac:dyDescent="0.25">
      <c r="A47" s="1">
        <v>46233</v>
      </c>
      <c r="B47" t="str">
        <f t="shared" si="0"/>
        <v>Thursday</v>
      </c>
      <c r="C47">
        <f>(COUNTA($B$2:B47)*1.66667)</f>
        <v>66.666800000000009</v>
      </c>
    </row>
    <row r="48" spans="1:3" x14ac:dyDescent="0.25">
      <c r="A48" s="1">
        <v>46234</v>
      </c>
      <c r="B48" t="str">
        <f t="shared" si="0"/>
        <v>Friday</v>
      </c>
      <c r="C48">
        <f>(COUNTA($B$2:B48)*1.66667)</f>
        <v>68.333470000000005</v>
      </c>
    </row>
    <row r="49" spans="1:3" x14ac:dyDescent="0.25">
      <c r="A49" s="1">
        <v>46235</v>
      </c>
      <c r="B49" t="str">
        <f t="shared" si="0"/>
        <v>Saturday</v>
      </c>
      <c r="C49">
        <f>(COUNTA($B$2:B49)*1.66667)</f>
        <v>70.000140000000002</v>
      </c>
    </row>
    <row r="50" spans="1:3" x14ac:dyDescent="0.25">
      <c r="A50" s="1">
        <v>46236</v>
      </c>
      <c r="C50">
        <f>(COUNTA($B$2:B50)*1.66667)</f>
        <v>70.000140000000002</v>
      </c>
    </row>
    <row r="51" spans="1:3" x14ac:dyDescent="0.25">
      <c r="A51" s="1">
        <v>46237</v>
      </c>
      <c r="B51" t="str">
        <f t="shared" si="0"/>
        <v>Monday</v>
      </c>
      <c r="C51">
        <f>(COUNTA($B$2:B51)*1.66667)</f>
        <v>71.666809999999998</v>
      </c>
    </row>
    <row r="52" spans="1:3" x14ac:dyDescent="0.25">
      <c r="A52" s="1">
        <v>46238</v>
      </c>
      <c r="B52" t="str">
        <f t="shared" si="0"/>
        <v>Tuesday</v>
      </c>
      <c r="C52">
        <f>(COUNTA($B$2:B52)*1.66667)</f>
        <v>73.333480000000009</v>
      </c>
    </row>
    <row r="53" spans="1:3" x14ac:dyDescent="0.25">
      <c r="A53" s="1">
        <v>46239</v>
      </c>
      <c r="B53" t="str">
        <f t="shared" si="0"/>
        <v>Wednesday</v>
      </c>
      <c r="C53">
        <f>(COUNTA($B$2:B53)*1.66667)</f>
        <v>75.000150000000005</v>
      </c>
    </row>
    <row r="54" spans="1:3" x14ac:dyDescent="0.25">
      <c r="A54" s="1">
        <v>46240</v>
      </c>
      <c r="B54" t="str">
        <f t="shared" si="0"/>
        <v>Thursday</v>
      </c>
      <c r="C54">
        <f>(COUNTA($B$2:B54)*1.66667)</f>
        <v>76.666820000000001</v>
      </c>
    </row>
    <row r="55" spans="1:3" x14ac:dyDescent="0.25">
      <c r="A55" s="1">
        <v>46241</v>
      </c>
      <c r="B55" t="str">
        <f t="shared" si="0"/>
        <v>Friday</v>
      </c>
      <c r="C55">
        <f>(COUNTA($B$2:B55)*1.66667)</f>
        <v>78.333489999999998</v>
      </c>
    </row>
    <row r="56" spans="1:3" x14ac:dyDescent="0.25">
      <c r="A56" s="1">
        <v>46242</v>
      </c>
      <c r="B56" t="str">
        <f t="shared" si="0"/>
        <v>Saturday</v>
      </c>
      <c r="C56">
        <f>(COUNTA($B$2:B56)*1.66667)</f>
        <v>80.000160000000008</v>
      </c>
    </row>
    <row r="57" spans="1:3" x14ac:dyDescent="0.25">
      <c r="A57" s="1">
        <v>46243</v>
      </c>
      <c r="C57">
        <f>(COUNTA($B$2:B57)*1.66667)</f>
        <v>80.000160000000008</v>
      </c>
    </row>
    <row r="58" spans="1:3" x14ac:dyDescent="0.25">
      <c r="A58" s="1">
        <v>46244</v>
      </c>
      <c r="B58" t="str">
        <f t="shared" si="0"/>
        <v>Monday</v>
      </c>
      <c r="C58">
        <f>(COUNTA($B$2:B58)*1.66667)</f>
        <v>81.666830000000004</v>
      </c>
    </row>
    <row r="59" spans="1:3" x14ac:dyDescent="0.25">
      <c r="A59" s="1">
        <v>46245</v>
      </c>
      <c r="B59" t="str">
        <f t="shared" si="0"/>
        <v>Tuesday</v>
      </c>
      <c r="C59">
        <f>(COUNTA($B$2:B59)*1.66667)</f>
        <v>83.333500000000001</v>
      </c>
    </row>
    <row r="60" spans="1:3" x14ac:dyDescent="0.25">
      <c r="A60" s="1">
        <v>46246</v>
      </c>
      <c r="B60" t="str">
        <f t="shared" si="0"/>
        <v>Wednesday</v>
      </c>
      <c r="C60">
        <f>(COUNTA($B$2:B60)*1.66667)</f>
        <v>85.000170000000011</v>
      </c>
    </row>
    <row r="61" spans="1:3" x14ac:dyDescent="0.25">
      <c r="A61" s="1">
        <v>46247</v>
      </c>
      <c r="B61" t="str">
        <f t="shared" si="0"/>
        <v>Thursday</v>
      </c>
      <c r="C61">
        <f>(COUNTA($B$2:B61)*1.66667)</f>
        <v>86.666840000000008</v>
      </c>
    </row>
    <row r="62" spans="1:3" x14ac:dyDescent="0.25">
      <c r="A62" s="1">
        <v>46248</v>
      </c>
      <c r="B62" t="str">
        <f t="shared" si="0"/>
        <v>Friday</v>
      </c>
      <c r="C62">
        <f>(COUNTA($B$2:B62)*1.66667)</f>
        <v>88.333510000000004</v>
      </c>
    </row>
    <row r="63" spans="1:3" x14ac:dyDescent="0.25">
      <c r="A63" s="1">
        <v>46249</v>
      </c>
      <c r="B63" t="str">
        <f t="shared" si="0"/>
        <v>Saturday</v>
      </c>
      <c r="C63">
        <f>(COUNTA($B$2:B63)*1.66667)</f>
        <v>90.00018</v>
      </c>
    </row>
    <row r="64" spans="1:3" x14ac:dyDescent="0.25">
      <c r="A64" s="1">
        <v>46250</v>
      </c>
      <c r="C64">
        <f>(COUNTA($B$2:B64)*1.66667)</f>
        <v>90.00018</v>
      </c>
    </row>
    <row r="65" spans="1:3" x14ac:dyDescent="0.25">
      <c r="A65" s="1">
        <v>46251</v>
      </c>
      <c r="B65" t="str">
        <f t="shared" si="0"/>
        <v>Monday</v>
      </c>
      <c r="C65">
        <f>(COUNTA($B$2:B65)*1.66667)</f>
        <v>91.666850000000011</v>
      </c>
    </row>
    <row r="66" spans="1:3" x14ac:dyDescent="0.25">
      <c r="A66" s="1">
        <v>46252</v>
      </c>
      <c r="B66" t="str">
        <f t="shared" si="0"/>
        <v>Tuesday</v>
      </c>
      <c r="C66">
        <f>(COUNTA($B$2:B66)*1.66667)</f>
        <v>93.333520000000007</v>
      </c>
    </row>
    <row r="67" spans="1:3" x14ac:dyDescent="0.25">
      <c r="A67" s="1">
        <v>46253</v>
      </c>
      <c r="B67" t="str">
        <f t="shared" ref="B67:B95" si="1">TEXT(A67,"DDDD")</f>
        <v>Wednesday</v>
      </c>
      <c r="C67">
        <f>(COUNTA($B$2:B67)*1.66667)</f>
        <v>95.000190000000003</v>
      </c>
    </row>
    <row r="68" spans="1:3" x14ac:dyDescent="0.25">
      <c r="A68" s="1">
        <v>46254</v>
      </c>
      <c r="B68" t="str">
        <f t="shared" si="1"/>
        <v>Thursday</v>
      </c>
      <c r="C68">
        <f>(COUNTA($B$2:B68)*1.66667)</f>
        <v>96.66686</v>
      </c>
    </row>
    <row r="69" spans="1:3" x14ac:dyDescent="0.25">
      <c r="A69" s="1">
        <v>46255</v>
      </c>
      <c r="B69" t="str">
        <f t="shared" si="1"/>
        <v>Friday</v>
      </c>
      <c r="C69">
        <f>(COUNTA($B$2:B69)*1.66667)</f>
        <v>98.33353000000001</v>
      </c>
    </row>
    <row r="70" spans="1:3" x14ac:dyDescent="0.25">
      <c r="A70" s="1">
        <v>46256</v>
      </c>
      <c r="B70" t="str">
        <f t="shared" si="1"/>
        <v>Saturday</v>
      </c>
      <c r="C70">
        <f>(COUNTA($B$2:B70)*1.66667)</f>
        <v>100.00020000000001</v>
      </c>
    </row>
    <row r="71" spans="1:3" x14ac:dyDescent="0.25">
      <c r="A71" s="1">
        <v>46257</v>
      </c>
      <c r="C71">
        <v>100.00020000000001</v>
      </c>
    </row>
    <row r="72" spans="1:3" x14ac:dyDescent="0.25">
      <c r="A72" s="1">
        <v>46258</v>
      </c>
      <c r="B72" t="str">
        <f t="shared" si="1"/>
        <v>Monday</v>
      </c>
      <c r="C72">
        <v>100.00020000000001</v>
      </c>
    </row>
    <row r="73" spans="1:3" x14ac:dyDescent="0.25">
      <c r="A73" s="1">
        <v>46259</v>
      </c>
      <c r="B73" t="str">
        <f t="shared" si="1"/>
        <v>Tuesday</v>
      </c>
      <c r="C73">
        <v>100.00020000000001</v>
      </c>
    </row>
    <row r="74" spans="1:3" x14ac:dyDescent="0.25">
      <c r="A74" s="1">
        <v>46260</v>
      </c>
      <c r="B74" t="str">
        <f t="shared" si="1"/>
        <v>Wednesday</v>
      </c>
      <c r="C74">
        <v>100.00020000000001</v>
      </c>
    </row>
    <row r="75" spans="1:3" x14ac:dyDescent="0.25">
      <c r="A75" s="1">
        <v>46261</v>
      </c>
      <c r="B75" t="str">
        <f t="shared" si="1"/>
        <v>Thursday</v>
      </c>
      <c r="C75">
        <v>100.00020000000001</v>
      </c>
    </row>
    <row r="76" spans="1:3" x14ac:dyDescent="0.25">
      <c r="A76" s="1">
        <v>46262</v>
      </c>
      <c r="B76" t="str">
        <f t="shared" si="1"/>
        <v>Friday</v>
      </c>
      <c r="C76">
        <v>100.00020000000001</v>
      </c>
    </row>
    <row r="77" spans="1:3" x14ac:dyDescent="0.25">
      <c r="A77" s="1">
        <v>46263</v>
      </c>
      <c r="B77" t="str">
        <f t="shared" si="1"/>
        <v>Saturday</v>
      </c>
      <c r="C77">
        <v>100.00020000000001</v>
      </c>
    </row>
    <row r="78" spans="1:3" x14ac:dyDescent="0.25">
      <c r="A78" s="1">
        <v>46264</v>
      </c>
      <c r="C78">
        <v>100.00020000000001</v>
      </c>
    </row>
    <row r="79" spans="1:3" x14ac:dyDescent="0.25">
      <c r="A79" s="1">
        <v>46265</v>
      </c>
      <c r="B79" t="str">
        <f t="shared" si="1"/>
        <v>Monday</v>
      </c>
      <c r="C79">
        <v>100.00020000000001</v>
      </c>
    </row>
    <row r="80" spans="1:3" x14ac:dyDescent="0.25">
      <c r="A80" s="1">
        <v>46266</v>
      </c>
      <c r="B80" t="str">
        <f t="shared" si="1"/>
        <v>Tuesday</v>
      </c>
      <c r="C80">
        <v>100.00020000000001</v>
      </c>
    </row>
    <row r="81" spans="1:3" x14ac:dyDescent="0.25">
      <c r="A81" s="1">
        <v>46267</v>
      </c>
      <c r="B81" t="str">
        <f t="shared" si="1"/>
        <v>Wednesday</v>
      </c>
      <c r="C81">
        <v>100.00020000000001</v>
      </c>
    </row>
    <row r="82" spans="1:3" x14ac:dyDescent="0.25">
      <c r="A82" s="1">
        <v>46268</v>
      </c>
      <c r="B82" t="str">
        <f t="shared" si="1"/>
        <v>Thursday</v>
      </c>
      <c r="C82">
        <v>100.00020000000001</v>
      </c>
    </row>
    <row r="83" spans="1:3" x14ac:dyDescent="0.25">
      <c r="A83" s="1">
        <v>46269</v>
      </c>
      <c r="B83" t="str">
        <f t="shared" si="1"/>
        <v>Friday</v>
      </c>
      <c r="C83">
        <v>100.00020000000001</v>
      </c>
    </row>
    <row r="84" spans="1:3" x14ac:dyDescent="0.25">
      <c r="A84" s="1">
        <v>46270</v>
      </c>
      <c r="B84" t="str">
        <f t="shared" si="1"/>
        <v>Saturday</v>
      </c>
      <c r="C84">
        <v>100.00020000000001</v>
      </c>
    </row>
    <row r="85" spans="1:3" x14ac:dyDescent="0.25">
      <c r="A85" s="1">
        <v>46271</v>
      </c>
      <c r="B85" t="str">
        <f t="shared" si="1"/>
        <v>Sunday</v>
      </c>
      <c r="C85">
        <v>100.00020000000001</v>
      </c>
    </row>
    <row r="86" spans="1:3" x14ac:dyDescent="0.25">
      <c r="A86" s="1">
        <v>46272</v>
      </c>
      <c r="B86" t="str">
        <f t="shared" si="1"/>
        <v>Monday</v>
      </c>
      <c r="C86">
        <v>100.00020000000001</v>
      </c>
    </row>
    <row r="87" spans="1:3" x14ac:dyDescent="0.25">
      <c r="A87" s="1">
        <v>46273</v>
      </c>
      <c r="B87" t="str">
        <f t="shared" si="1"/>
        <v>Tuesday</v>
      </c>
      <c r="C87">
        <v>100.00020000000001</v>
      </c>
    </row>
    <row r="88" spans="1:3" x14ac:dyDescent="0.25">
      <c r="A88" s="1">
        <v>46274</v>
      </c>
      <c r="B88" t="str">
        <f t="shared" si="1"/>
        <v>Wednesday</v>
      </c>
      <c r="C88">
        <v>100.00020000000001</v>
      </c>
    </row>
    <row r="89" spans="1:3" x14ac:dyDescent="0.25">
      <c r="A89" s="1">
        <v>46275</v>
      </c>
      <c r="B89" t="str">
        <f t="shared" si="1"/>
        <v>Thursday</v>
      </c>
      <c r="C89">
        <v>100.00020000000001</v>
      </c>
    </row>
    <row r="90" spans="1:3" x14ac:dyDescent="0.25">
      <c r="A90" s="1">
        <v>46276</v>
      </c>
      <c r="B90" t="str">
        <f t="shared" si="1"/>
        <v>Friday</v>
      </c>
      <c r="C90">
        <v>100.00020000000001</v>
      </c>
    </row>
    <row r="91" spans="1:3" x14ac:dyDescent="0.25">
      <c r="A91" s="1">
        <v>46277</v>
      </c>
      <c r="B91" t="str">
        <f t="shared" si="1"/>
        <v>Saturday</v>
      </c>
      <c r="C91">
        <v>100.00020000000001</v>
      </c>
    </row>
    <row r="92" spans="1:3" x14ac:dyDescent="0.25">
      <c r="A92" s="1">
        <v>46278</v>
      </c>
      <c r="B92" t="str">
        <f t="shared" si="1"/>
        <v>Sunday</v>
      </c>
      <c r="C92">
        <v>100.00020000000001</v>
      </c>
    </row>
    <row r="93" spans="1:3" x14ac:dyDescent="0.25">
      <c r="A93" s="1">
        <v>46279</v>
      </c>
      <c r="B93" t="str">
        <f t="shared" si="1"/>
        <v>Monday</v>
      </c>
      <c r="C93">
        <v>100.00020000000001</v>
      </c>
    </row>
    <row r="94" spans="1:3" x14ac:dyDescent="0.25">
      <c r="A94" s="1">
        <v>46280</v>
      </c>
      <c r="B94" t="str">
        <f t="shared" si="1"/>
        <v>Tuesday</v>
      </c>
      <c r="C94">
        <v>100.00020000000001</v>
      </c>
    </row>
    <row r="95" spans="1:3" x14ac:dyDescent="0.25">
      <c r="A95" s="1">
        <v>46281</v>
      </c>
      <c r="B95" t="str">
        <f t="shared" si="1"/>
        <v>Wednesday</v>
      </c>
      <c r="C95">
        <v>100.00020000000001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CC48-C50D-4812-9F1D-8EB291B7754A}">
  <dimension ref="A1:A2"/>
  <sheetViews>
    <sheetView workbookViewId="0">
      <selection activeCell="J23" sqref="J23"/>
    </sheetView>
  </sheetViews>
  <sheetFormatPr defaultRowHeight="15" x14ac:dyDescent="0.25"/>
  <cols>
    <col min="1" max="1" width="15.42578125" bestFit="1" customWidth="1"/>
  </cols>
  <sheetData>
    <row r="1" spans="1:1" x14ac:dyDescent="0.25">
      <c r="A1" t="s">
        <v>390</v>
      </c>
    </row>
    <row r="2" spans="1:1" x14ac:dyDescent="0.25">
      <c r="A2" s="1">
        <f ca="1">TODAY()-1</f>
        <v>46274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D8DA1-306C-422F-A018-63F498447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region_summary (54)</vt:lpstr>
      <vt:lpstr>DATA</vt:lpstr>
      <vt:lpstr>raw</vt:lpstr>
      <vt:lpstr>TDK</vt:lpstr>
      <vt:lpstr>HARIAN</vt:lpstr>
      <vt:lpstr>UB</vt:lpstr>
      <vt:lpstr>UB-DATA</vt:lpstr>
      <vt:lpstr>PPL</vt:lpstr>
      <vt:lpstr>PML</vt:lpstr>
      <vt:lpstr>TARGET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LENOVO2</dc:creator>
  <cp:lastModifiedBy>Carlos E. Siburian</cp:lastModifiedBy>
  <dcterms:created xsi:type="dcterms:W3CDTF">2015-06-05T18:17:20Z</dcterms:created>
  <dcterms:modified xsi:type="dcterms:W3CDTF">2026-09-10T00:20:30Z</dcterms:modified>
</cp:coreProperties>
</file>