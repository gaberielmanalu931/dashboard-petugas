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C72672CF-57C4-4D94-9EC3-4DDAEC6C5C6F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50" l="1"/>
  <c r="L3" i="50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B86" i="11" l="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29" i="4" l="1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<sst xmlns="http://schemas.openxmlformats.org/spreadsheetml/2006/main" count="9662" uniqueCount="2070">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</sst>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:M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112</v>
      </c>
      <c r="D2">
        <f>VLOOKUP(B2,raw!A:K,3,0)+VLOOKUP(B2,raw!A:K,7,0)</f>
        <v>112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172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0</v>
      </c>
      <c r="J8">
        <f>VLOOKUP(B8,raw!A:K,8,0)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4" x14ac:dyDescent="0.25">
      <c r="A13" t="s">
        <v>5</v>
      </c>
      <c r="B13" t="s">
        <v>1010</v>
      </c>
      <c r="C13">
        <f>VLOOKUP(B13,raw!A:K,11,0)</f>
        <v>167</v>
      </c>
      <c r="D13">
        <f>VLOOKUP(B13,raw!A:K,3,0)+VLOOKUP(B13,raw!A:K,7,0)</f>
        <v>167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4" x14ac:dyDescent="0.25">
      <c r="A14" t="s">
        <v>5</v>
      </c>
      <c r="B14" t="s">
        <v>1011</v>
      </c>
      <c r="C14">
        <f>VLOOKUP(B14,raw!A:K,11,0)</f>
        <v>80</v>
      </c>
      <c r="D14">
        <f>VLOOKUP(B14,raw!A:K,3,0)+VLOOKUP(B14,raw!A:K,7,0)</f>
        <v>80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4" x14ac:dyDescent="0.25">
      <c r="A15" t="s">
        <v>5</v>
      </c>
      <c r="B15" t="s">
        <v>1012</v>
      </c>
      <c r="C15">
        <f>VLOOKUP(B15,raw!A:K,11,0)</f>
        <v>152</v>
      </c>
      <c r="D15">
        <f>VLOOKUP(B15,raw!A:K,3,0)+VLOOKUP(B15,raw!A:K,7,0)</f>
        <v>152</v>
      </c>
      <c r="E15">
        <f>VLOOKUP(B15,raw!A:K,4,0)</f>
        <v>0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0</v>
      </c>
      <c r="J15">
        <f>VLOOKUP(B15,raw!A:K,8,0)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4" x14ac:dyDescent="0.25">
      <c r="A16" t="s">
        <v>5</v>
      </c>
      <c r="B16" t="s">
        <v>1013</v>
      </c>
      <c r="C16">
        <f>VLOOKUP(B16,raw!A:K,11,0)</f>
        <v>122</v>
      </c>
      <c r="D16">
        <f>VLOOKUP(B16,raw!A:K,3,0)+VLOOKUP(B16,raw!A:K,7,0)</f>
        <v>122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VLOOKUP(B17,raw!A:K,11,0)</f>
        <v>131</v>
      </c>
      <c r="D17">
        <f>VLOOKUP(B17,raw!A:K,3,0)+VLOOKUP(B17,raw!A:K,7,0)</f>
        <v>131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VLOOKUP(B18,raw!A:K,11,0)</f>
        <v>21</v>
      </c>
      <c r="D18">
        <f>VLOOKUP(B18,raw!A:K,3,0)+VLOOKUP(B18,raw!A:K,7,0)</f>
        <v>21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0</v>
      </c>
      <c r="J18">
        <f>VLOOKUP(B18,raw!A:K,8,0)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VLOOKUP(B19,raw!A:K,11,0)</f>
        <v>58</v>
      </c>
      <c r="D19">
        <f>VLOOKUP(B19,raw!A:K,3,0)+VLOOKUP(B19,raw!A:K,7,0)</f>
        <v>58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VLOOKUP(B21,raw!A:K,11,0)</f>
        <v>17</v>
      </c>
      <c r="D21">
        <f>VLOOKUP(B21,raw!A:K,3,0)+VLOOKUP(B21,raw!A:K,7,0)</f>
        <v>17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0</v>
      </c>
      <c r="J21">
        <f>VLOOKUP(B21,raw!A:K,8,0)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VLOOKUP(B22,raw!A:K,11,0)</f>
        <v>41</v>
      </c>
      <c r="D22">
        <f>VLOOKUP(B22,raw!A:K,3,0)+VLOOKUP(B22,raw!A:K,7,0)</f>
        <v>41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VLOOKUP(B23,raw!A:K,11,0)</f>
        <v>26</v>
      </c>
      <c r="D23">
        <f>VLOOKUP(B23,raw!A:K,3,0)+VLOOKUP(B23,raw!A:K,7,0)</f>
        <v>26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88</v>
      </c>
      <c r="D26">
        <f>VLOOKUP(B26,raw!A:K,3,0)+VLOOKUP(B26,raw!A:K,7,0)</f>
        <v>88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81</v>
      </c>
      <c r="D27">
        <f>VLOOKUP(B27,raw!A:K,3,0)+VLOOKUP(B27,raw!A:K,7,0)</f>
        <v>81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VLOOKUP(B28,raw!A:K,11,0)</f>
        <v>39</v>
      </c>
      <c r="D28">
        <f>VLOOKUP(B28,raw!A:K,3,0)+VLOOKUP(B28,raw!A:K,7,0)</f>
        <v>39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VLOOKUP(B29,raw!A:K,11,0)</f>
        <v>51</v>
      </c>
      <c r="D29">
        <f>VLOOKUP(B29,raw!A:K,3,0)+VLOOKUP(B29,raw!A:K,7,0)</f>
        <v>51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75</v>
      </c>
      <c r="D30">
        <f>VLOOKUP(B30,raw!A:K,3,0)+VLOOKUP(B30,raw!A:K,7,0)</f>
        <v>75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VLOOKUP(B31,raw!A:K,11,0)</f>
        <v>39</v>
      </c>
      <c r="D31">
        <f>VLOOKUP(B31,raw!A:K,3,0)+VLOOKUP(B31,raw!A:K,7,0)</f>
        <v>39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55</v>
      </c>
      <c r="D32">
        <f>VLOOKUP(B32,raw!A:K,3,0)+VLOOKUP(B32,raw!A:K,7,0)</f>
        <v>55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VLOOKUP(B33,raw!A:K,11,0)</f>
        <v>66</v>
      </c>
      <c r="D33">
        <f>VLOOKUP(B33,raw!A:K,3,0)+VLOOKUP(B33,raw!A:K,7,0)</f>
        <v>66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62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71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0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66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0</v>
      </c>
      <c r="J37">
        <f>VLOOKUP(B37,raw!A:K,8,0)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51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0</v>
      </c>
      <c r="J38">
        <f>VLOOKUP(B38,raw!A:K,8,0)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VLOOKUP(B39,raw!A:K,11,0)</f>
        <v>60</v>
      </c>
      <c r="D39">
        <f>VLOOKUP(B39,raw!A:K,3,0)+VLOOKUP(B39,raw!A:K,7,0)</f>
        <v>60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0</v>
      </c>
      <c r="J39">
        <f>VLOOKUP(B39,raw!A:K,8,0)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VLOOKUP(B40,raw!A:K,11,0)</f>
        <v>75</v>
      </c>
      <c r="D40">
        <f>VLOOKUP(B40,raw!A:K,3,0)+VLOOKUP(B40,raw!A:K,7,0)</f>
        <v>75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0</v>
      </c>
      <c r="J40">
        <f>VLOOKUP(B40,raw!A:K,8,0)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VLOOKUP(B41,raw!A:K,11,0)</f>
        <v>29</v>
      </c>
      <c r="D41">
        <f>VLOOKUP(B41,raw!A:K,3,0)+VLOOKUP(B41,raw!A:K,7,0)</f>
        <v>29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66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VLOOKUP(B43,raw!A:K,11,0)</f>
        <v>56</v>
      </c>
      <c r="D43">
        <f>VLOOKUP(B43,raw!A:K,3,0)+VLOOKUP(B43,raw!A:K,7,0)</f>
        <v>56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VLOOKUP(B44,raw!A:K,11,0)</f>
        <v>89</v>
      </c>
      <c r="D44">
        <f>VLOOKUP(B44,raw!A:K,3,0)+VLOOKUP(B44,raw!A:K,7,0)</f>
        <v>89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VLOOKUP(B45,raw!A:K,11,0)</f>
        <v>62</v>
      </c>
      <c r="D45">
        <f>VLOOKUP(B45,raw!A:K,3,0)+VLOOKUP(B45,raw!A:K,7,0)</f>
        <v>62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VLOOKUP(B46,raw!A:K,11,0)</f>
        <v>60</v>
      </c>
      <c r="D46">
        <f>VLOOKUP(B46,raw!A:K,3,0)+VLOOKUP(B46,raw!A:K,7,0)</f>
        <v>60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0</v>
      </c>
      <c r="J46">
        <f>VLOOKUP(B46,raw!A:K,8,0)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VLOOKUP(B47,raw!A:K,11,0)</f>
        <v>55</v>
      </c>
      <c r="D47">
        <f>VLOOKUP(B47,raw!A:K,3,0)+VLOOKUP(B47,raw!A:K,7,0)</f>
        <v>55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0</v>
      </c>
      <c r="J47">
        <f>VLOOKUP(B47,raw!A:K,8,0)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VLOOKUP(B48,raw!A:K,11,0)</f>
        <v>96</v>
      </c>
      <c r="D48">
        <f>VLOOKUP(B48,raw!A:K,3,0)+VLOOKUP(B48,raw!A:K,7,0)</f>
        <v>96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0</v>
      </c>
      <c r="J48">
        <f>VLOOKUP(B48,raw!A:K,8,0)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VLOOKUP(B49,raw!A:K,11,0)</f>
        <v>95</v>
      </c>
      <c r="D49">
        <f>VLOOKUP(B49,raw!A:K,3,0)+VLOOKUP(B49,raw!A:K,7,0)</f>
        <v>95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102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79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91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VLOOKUP(B61,raw!A:K,11,0)</f>
        <v>70</v>
      </c>
      <c r="D61">
        <f>VLOOKUP(B61,raw!A:K,3,0)+VLOOKUP(B61,raw!A:K,7,0)</f>
        <v>70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VLOOKUP(B62,raw!A:K,11,0)</f>
        <v>87</v>
      </c>
      <c r="D62">
        <f>VLOOKUP(B62,raw!A:K,3,0)+VLOOKUP(B62,raw!A:K,7,0)</f>
        <v>87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VLOOKUP(B63,raw!A:K,11,0)</f>
        <v>40</v>
      </c>
      <c r="D63">
        <f>VLOOKUP(B63,raw!A:K,3,0)+VLOOKUP(B63,raw!A:K,7,0)</f>
        <v>40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35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0</v>
      </c>
      <c r="J64">
        <f>VLOOKUP(B64,raw!A:K,8,0)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VLOOKUP(B65,raw!A:K,11,0)</f>
        <v>56</v>
      </c>
      <c r="D65">
        <f>VLOOKUP(B65,raw!A:K,3,0)+VLOOKUP(B65,raw!A:K,7,0)</f>
        <v>56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0</v>
      </c>
      <c r="J65">
        <f>VLOOKUP(B65,raw!A:K,8,0)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92</v>
      </c>
      <c r="E66">
        <f>VLOOKUP(B66,raw!A:K,4,0)</f>
        <v>0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0</v>
      </c>
      <c r="J66">
        <f>VLOOKUP(B66,raw!A:K,8,0)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60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0</v>
      </c>
      <c r="J67">
        <f>VLOOKUP(B67,raw!A:K,8,0)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53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0</v>
      </c>
      <c r="I68">
        <f>VLOOKUP(B68,raw!A:K,9,0)</f>
        <v>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76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VLOOKUP(B70,raw!A:K,11,0)</f>
        <v>86</v>
      </c>
      <c r="D70">
        <f>VLOOKUP(B70,raw!A:K,3,0)+VLOOKUP(B70,raw!A:K,7,0)</f>
        <v>86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0</v>
      </c>
      <c r="J70">
        <f>VLOOKUP(B70,raw!A:K,8,0)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66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82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0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78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0</v>
      </c>
      <c r="J73">
        <f>VLOOKUP(B73,raw!A:K,8,0)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74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0</v>
      </c>
      <c r="J74">
        <f>VLOOKUP(B74,raw!A:K,8,0)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86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42</v>
      </c>
      <c r="D76">
        <f>VLOOKUP(B76,raw!A:K,3,0)+VLOOKUP(B76,raw!A:K,7,0)</f>
        <v>42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VLOOKUP(B77,raw!A:K,11,0)</f>
        <v>52</v>
      </c>
      <c r="D77">
        <f>VLOOKUP(B77,raw!A:K,3,0)+VLOOKUP(B77,raw!A:K,7,0)</f>
        <v>52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0</v>
      </c>
      <c r="J77">
        <f>VLOOKUP(B77,raw!A:K,8,0)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49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0</v>
      </c>
      <c r="J78">
        <f>VLOOKUP(B78,raw!A:K,8,0)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VLOOKUP(B79,raw!A:K,11,0)</f>
        <v>52</v>
      </c>
      <c r="D79">
        <f>VLOOKUP(B79,raw!A:K,3,0)+VLOOKUP(B79,raw!A:K,7,0)</f>
        <v>52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0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40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0</v>
      </c>
      <c r="J81">
        <f>VLOOKUP(B81,raw!A:K,8,0)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VLOOKUP(B82,raw!A:K,11,0)</f>
        <v>55</v>
      </c>
      <c r="D82">
        <f>VLOOKUP(B82,raw!A:K,3,0)+VLOOKUP(B82,raw!A:K,7,0)</f>
        <v>55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0</v>
      </c>
      <c r="J82">
        <f>VLOOKUP(B82,raw!A:K,8,0)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0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41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0</v>
      </c>
      <c r="J86">
        <f>VLOOKUP(B86,raw!A:K,8,0)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44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47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0</v>
      </c>
      <c r="J91">
        <f>VLOOKUP(B91,raw!A:K,8,0)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32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0</v>
      </c>
      <c r="J92">
        <f>VLOOKUP(B92,raw!A:K,8,0)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40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0</v>
      </c>
      <c r="J93">
        <f>VLOOKUP(B93,raw!A:K,8,0)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66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72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0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78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54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89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72</v>
      </c>
      <c r="D103">
        <f>VLOOKUP(B103,raw!A:K,3,0)+VLOOKUP(B103,raw!A:K,7,0)</f>
        <v>72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50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77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47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0</v>
      </c>
      <c r="J107">
        <f>VLOOKUP(B107,raw!A:K,8,0)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90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0</v>
      </c>
      <c r="J108">
        <f>VLOOKUP(B108,raw!A:K,8,0)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81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0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55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0</v>
      </c>
      <c r="J110">
        <f>VLOOKUP(B110,raw!A:K,8,0)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30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0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65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78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0</v>
      </c>
      <c r="J113">
        <f>VLOOKUP(B113,raw!A:K,8,0)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72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29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64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0</v>
      </c>
      <c r="J118">
        <f>VLOOKUP(B118,raw!A:K,8,0)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89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77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0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115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59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VLOOKUP(B128,raw!A:K,11,0)</f>
        <v>55</v>
      </c>
      <c r="D128">
        <f>VLOOKUP(B128,raw!A:K,3,0)+VLOOKUP(B128,raw!A:K,7,0)</f>
        <v>55</v>
      </c>
      <c r="E128">
        <f>VLOOKUP(B128,raw!A:K,4,0)</f>
        <v>0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93</v>
      </c>
      <c r="E130">
        <f>VLOOKUP(B130,raw!A:K,4,0)</f>
        <v>0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VLOOKUP(B131,raw!A:K,11,0)</f>
        <v>73</v>
      </c>
      <c r="D131">
        <f>VLOOKUP(B131,raw!A:K,3,0)+VLOOKUP(B131,raw!A:K,7,0)</f>
        <v>73</v>
      </c>
      <c r="E131">
        <f>VLOOKUP(B131,raw!A:K,4,0)</f>
        <v>0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52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VLOOKUP(B142,raw!A:K,11,0)</f>
        <v>155</v>
      </c>
      <c r="D142">
        <f>VLOOKUP(B142,raw!A:K,3,0)+VLOOKUP(B142,raw!A:K,7,0)</f>
        <v>155</v>
      </c>
      <c r="E142">
        <f>VLOOKUP(B142,raw!A:K,4,0)</f>
        <v>0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0</v>
      </c>
      <c r="J142">
        <f>VLOOKUP(B142,raw!A:K,8,0)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125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0</v>
      </c>
      <c r="J143">
        <f>VLOOKUP(B143,raw!A:K,8,0)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193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0</v>
      </c>
      <c r="J144">
        <f>VLOOKUP(B144,raw!A:K,8,0)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91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140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125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0</v>
      </c>
      <c r="J147">
        <f>VLOOKUP(B147,raw!A:K,8,0)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201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VLOOKUP(B149,raw!A:K,11,0)</f>
        <v>163</v>
      </c>
      <c r="D149">
        <f>VLOOKUP(B149,raw!A:K,3,0)+VLOOKUP(B149,raw!A:K,7,0)</f>
        <v>163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VLOOKUP(B150,raw!A:K,11,0)</f>
        <v>106</v>
      </c>
      <c r="D150">
        <f>VLOOKUP(B150,raw!A:K,3,0)+VLOOKUP(B150,raw!A:K,7,0)</f>
        <v>106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VLOOKUP(B151,raw!A:K,11,0)</f>
        <v>61</v>
      </c>
      <c r="D151">
        <f>VLOOKUP(B151,raw!A:K,3,0)+VLOOKUP(B151,raw!A:K,7,0)</f>
        <v>61</v>
      </c>
      <c r="E151">
        <f>VLOOKUP(B151,raw!A:K,4,0)</f>
        <v>0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0</v>
      </c>
      <c r="J151">
        <f>VLOOKUP(B151,raw!A:K,8,0)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69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0</v>
      </c>
      <c r="J153">
        <f>VLOOKUP(B153,raw!A:K,8,0)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150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0</v>
      </c>
      <c r="J154">
        <f>VLOOKUP(B154,raw!A:K,8,0)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229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0</v>
      </c>
      <c r="J155">
        <f>VLOOKUP(B155,raw!A:K,8,0)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252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0</v>
      </c>
      <c r="J156">
        <f>VLOOKUP(B156,raw!A:K,8,0)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235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66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69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0</v>
      </c>
      <c r="J161">
        <f>VLOOKUP(B161,raw!A:K,8,0)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104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0</v>
      </c>
      <c r="J162">
        <f>VLOOKUP(B162,raw!A:K,8,0)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VLOOKUP(B163,raw!A:K,11,0)</f>
        <v>92</v>
      </c>
      <c r="D163">
        <f>VLOOKUP(B163,raw!A:K,3,0)+VLOOKUP(B163,raw!A:K,7,0)</f>
        <v>92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82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0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70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64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0</v>
      </c>
      <c r="J166">
        <f>VLOOKUP(B166,raw!A:K,8,0)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58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41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0</v>
      </c>
      <c r="J168">
        <f>VLOOKUP(B168,raw!A:K,8,0)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85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0</v>
      </c>
      <c r="J169">
        <f>VLOOKUP(B169,raw!A:K,8,0)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108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53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0</v>
      </c>
      <c r="J171">
        <f>VLOOKUP(B171,raw!A:K,8,0)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51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77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0</v>
      </c>
      <c r="J173">
        <f>VLOOKUP(B173,raw!A:K,8,0)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119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150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0</v>
      </c>
      <c r="J175">
        <f>VLOOKUP(B175,raw!A:K,8,0)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VLOOKUP(B176,raw!A:K,11,0)</f>
        <v>106</v>
      </c>
      <c r="D176">
        <f>VLOOKUP(B176,raw!A:K,3,0)+VLOOKUP(B176,raw!A:K,7,0)</f>
        <v>106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103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0</v>
      </c>
      <c r="J177">
        <f>VLOOKUP(B177,raw!A:K,8,0)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72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71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129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0</v>
      </c>
      <c r="J187">
        <f>VLOOKUP(B187,raw!A:K,8,0)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105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56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0</v>
      </c>
      <c r="J189">
        <f>VLOOKUP(B189,raw!A:K,8,0)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69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65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82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104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172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95</v>
      </c>
      <c r="E197">
        <f>VLOOKUP(B197,raw!A:K,4,0)</f>
        <v>1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VLOOKUP(B198,raw!A:K,11,0)</f>
        <v>105</v>
      </c>
      <c r="D198">
        <f>VLOOKUP(B198,raw!A:K,3,0)+VLOOKUP(B198,raw!A:K,7,0)</f>
        <v>96</v>
      </c>
      <c r="E198">
        <f>VLOOKUP(B198,raw!A:K,4,0)</f>
        <v>2</v>
      </c>
      <c r="F198">
        <f>VLOOKUP(B198,raw!A:K,5,0)</f>
        <v>0</v>
      </c>
      <c r="G198">
        <f>VLOOKUP(B198,raw!A:K,2,0)+VLOOKUP(B198,raw!A:K,10,0)</f>
        <v>7</v>
      </c>
      <c r="H198">
        <f>VLOOKUP(B198,raw!A:K,6,0)</f>
        <v>0</v>
      </c>
      <c r="I198">
        <f>VLOOKUP(B198,raw!A:K,9,0)</f>
        <v>0</v>
      </c>
      <c r="J198">
        <f>VLOOKUP(B198,raw!A:K,8,0)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87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VLOOKUP(B201,raw!A:K,11,0)</f>
        <v>106</v>
      </c>
      <c r="D201">
        <f>VLOOKUP(B201,raw!A:K,3,0)+VLOOKUP(B201,raw!A:K,7,0)</f>
        <v>106</v>
      </c>
      <c r="E201">
        <f>VLOOKUP(B201,raw!A:K,4,0)</f>
        <v>0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VLOOKUP(B204,raw!A:K,11,0)</f>
        <v>165</v>
      </c>
      <c r="D204">
        <f>VLOOKUP(B204,raw!A:K,3,0)+VLOOKUP(B204,raw!A:K,7,0)</f>
        <v>165</v>
      </c>
      <c r="E204">
        <f>VLOOKUP(B204,raw!A:K,4,0)</f>
        <v>0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VLOOKUP(B205,raw!A:K,11,0)</f>
        <v>151</v>
      </c>
      <c r="D205">
        <f>VLOOKUP(B205,raw!A:K,3,0)+VLOOKUP(B205,raw!A:K,7,0)</f>
        <v>146</v>
      </c>
      <c r="E205">
        <f>VLOOKUP(B205,raw!A:K,4,0)</f>
        <v>5</v>
      </c>
      <c r="F205">
        <f>VLOOKUP(B205,raw!A:K,5,0)</f>
        <v>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VLOOKUP(B206,raw!A:K,11,0)</f>
        <v>96</v>
      </c>
      <c r="D206">
        <f>VLOOKUP(B206,raw!A:K,3,0)+VLOOKUP(B206,raw!A:K,7,0)</f>
        <v>94</v>
      </c>
      <c r="E206">
        <f>VLOOKUP(B206,raw!A:K,4,0)</f>
        <v>2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122</v>
      </c>
      <c r="E207">
        <f>VLOOKUP(B207,raw!A:K,4,0)</f>
        <v>2</v>
      </c>
      <c r="F207">
        <f>VLOOKUP(B207,raw!A:K,5,0)</f>
        <v>0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VLOOKUP(B208,raw!A:K,11,0)</f>
        <v>79</v>
      </c>
      <c r="D208">
        <f>VLOOKUP(B208,raw!A:K,3,0)+VLOOKUP(B208,raw!A:K,7,0)</f>
        <v>79</v>
      </c>
      <c r="E208">
        <f>VLOOKUP(B208,raw!A:K,4,0)</f>
        <v>0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VLOOKUP(B209,raw!A:K,11,0)</f>
        <v>67</v>
      </c>
      <c r="D209">
        <f>VLOOKUP(B209,raw!A:K,3,0)+VLOOKUP(B209,raw!A:K,7,0)</f>
        <v>67</v>
      </c>
      <c r="E209">
        <f>VLOOKUP(B209,raw!A:K,4,0)</f>
        <v>0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VLOOKUP(B210,raw!A:K,11,0)</f>
        <v>91</v>
      </c>
      <c r="D210">
        <f>VLOOKUP(B210,raw!A:K,3,0)+VLOOKUP(B210,raw!A:K,7,0)</f>
        <v>90</v>
      </c>
      <c r="E210">
        <f>VLOOKUP(B210,raw!A:K,4,0)</f>
        <v>1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0</v>
      </c>
      <c r="J210">
        <f>VLOOKUP(B210,raw!A:K,8,0)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203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VLOOKUP(B213,raw!A:K,11,0)</f>
        <v>130</v>
      </c>
      <c r="D213">
        <f>VLOOKUP(B213,raw!A:K,3,0)+VLOOKUP(B213,raw!A:K,7,0)</f>
        <v>130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VLOOKUP(B214,raw!A:K,11,0)</f>
        <v>251</v>
      </c>
      <c r="D214">
        <f>VLOOKUP(B214,raw!A:K,3,0)+VLOOKUP(B214,raw!A:K,7,0)</f>
        <v>249</v>
      </c>
      <c r="E214">
        <f>VLOOKUP(B214,raw!A:K,4,0)</f>
        <v>2</v>
      </c>
      <c r="F214">
        <f>VLOOKUP(B214,raw!A:K,5,0)</f>
        <v>0</v>
      </c>
      <c r="G214">
        <f>VLOOKUP(B214,raw!A:K,2,0)+VLOOKUP(B214,raw!A:K,10,0)</f>
        <v>0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VLOOKUP(B215,raw!A:K,11,0)</f>
        <v>125</v>
      </c>
      <c r="D215">
        <f>VLOOKUP(B215,raw!A:K,3,0)+VLOOKUP(B215,raw!A:K,7,0)</f>
        <v>122</v>
      </c>
      <c r="E215">
        <f>VLOOKUP(B215,raw!A:K,4,0)</f>
        <v>3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0</v>
      </c>
      <c r="J215">
        <f>VLOOKUP(B215,raw!A:K,8,0)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99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115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VLOOKUP(B218,raw!A:K,11,0)</f>
        <v>110</v>
      </c>
      <c r="D218">
        <f>VLOOKUP(B218,raw!A:K,3,0)+VLOOKUP(B218,raw!A:K,7,0)</f>
        <v>106</v>
      </c>
      <c r="E218">
        <f>VLOOKUP(B218,raw!A:K,4,0)</f>
        <v>3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VLOOKUP(B219,raw!A:K,11,0)</f>
        <v>212</v>
      </c>
      <c r="D219">
        <f>VLOOKUP(B219,raw!A:K,3,0)+VLOOKUP(B219,raw!A:K,7,0)</f>
        <v>212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114</v>
      </c>
      <c r="E220">
        <f>VLOOKUP(B220,raw!A:K,4,0)</f>
        <v>2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54</v>
      </c>
      <c r="E221">
        <f>VLOOKUP(B221,raw!A:K,4,0)</f>
        <v>0</v>
      </c>
      <c r="F221">
        <f>VLOOKUP(B221,raw!A:K,5,0)</f>
        <v>0</v>
      </c>
      <c r="G221">
        <f>VLOOKUP(B221,raw!A:K,2,0)+VLOOKUP(B221,raw!A:K,10,0)</f>
        <v>0</v>
      </c>
      <c r="H221">
        <f>VLOOKUP(B221,raw!A:K,6,0)</f>
        <v>0</v>
      </c>
      <c r="I221">
        <f>VLOOKUP(B221,raw!A:K,9,0)</f>
        <v>1</v>
      </c>
      <c r="J221">
        <f>VLOOKUP(B221,raw!A:K,8,0)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VLOOKUP(B222,raw!A:K,11,0)</f>
        <v>242</v>
      </c>
      <c r="D222">
        <f>VLOOKUP(B222,raw!A:K,3,0)+VLOOKUP(B222,raw!A:K,7,0)</f>
        <v>242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VLOOKUP(B224,raw!A:K,11,0)</f>
        <v>86</v>
      </c>
      <c r="D224">
        <f>VLOOKUP(B224,raw!A:K,3,0)+VLOOKUP(B224,raw!A:K,7,0)</f>
        <v>86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VLOOKUP(B225,raw!A:K,11,0)</f>
        <v>136</v>
      </c>
      <c r="D225">
        <f>VLOOKUP(B225,raw!A:K,3,0)+VLOOKUP(B225,raw!A:K,7,0)</f>
        <v>136</v>
      </c>
      <c r="E225">
        <f>VLOOKUP(B225,raw!A:K,4,0)</f>
        <v>0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0</v>
      </c>
      <c r="J225">
        <f>VLOOKUP(B225,raw!A:K,8,0)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VLOOKUP(B226,raw!A:K,11,0)</f>
        <v>92</v>
      </c>
      <c r="D226">
        <f>VLOOKUP(B226,raw!A:K,3,0)+VLOOKUP(B226,raw!A:K,7,0)</f>
        <v>92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0</v>
      </c>
      <c r="J226">
        <f>VLOOKUP(B226,raw!A:K,8,0)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127</v>
      </c>
      <c r="E227">
        <f>VLOOKUP(B227,raw!A:K,4,0)</f>
        <v>0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0</v>
      </c>
      <c r="J227">
        <f>VLOOKUP(B227,raw!A:K,8,0)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VLOOKUP(B228,raw!A:K,11,0)</f>
        <v>120</v>
      </c>
      <c r="D228">
        <f>VLOOKUP(B228,raw!A:K,3,0)+VLOOKUP(B228,raw!A:K,7,0)</f>
        <v>120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VLOOKUP(B229,raw!A:K,11,0)</f>
        <v>150</v>
      </c>
      <c r="D229">
        <f>VLOOKUP(B229,raw!A:K,3,0)+VLOOKUP(B229,raw!A:K,7,0)</f>
        <v>144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0</v>
      </c>
      <c r="H229">
        <f>VLOOKUP(B229,raw!A:K,6,0)</f>
        <v>0</v>
      </c>
      <c r="I229">
        <f>VLOOKUP(B229,raw!A:K,9,0)</f>
        <v>5</v>
      </c>
      <c r="J229">
        <f>VLOOKUP(B229,raw!A:K,8,0)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176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0</v>
      </c>
      <c r="J230">
        <f>VLOOKUP(B230,raw!A:K,8,0)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VLOOKUP(B231,raw!A:K,11,0)</f>
        <v>197</v>
      </c>
      <c r="D231">
        <f>VLOOKUP(B231,raw!A:K,3,0)+VLOOKUP(B231,raw!A:K,7,0)</f>
        <v>192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3</v>
      </c>
      <c r="H231">
        <f>VLOOKUP(B231,raw!A:K,6,0)</f>
        <v>0</v>
      </c>
      <c r="I231">
        <f>VLOOKUP(B231,raw!A:K,9,0)</f>
        <v>0</v>
      </c>
      <c r="J231">
        <f>VLOOKUP(B231,raw!A:K,8,0)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205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0</v>
      </c>
      <c r="J232">
        <f>VLOOKUP(B232,raw!A:K,8,0)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VLOOKUP(B233,raw!A:K,11,0)</f>
        <v>222</v>
      </c>
      <c r="D233">
        <f>VLOOKUP(B233,raw!A:K,3,0)+VLOOKUP(B233,raw!A:K,7,0)</f>
        <v>222</v>
      </c>
      <c r="E233">
        <f>VLOOKUP(B233,raw!A:K,4,0)</f>
        <v>0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0</v>
      </c>
      <c r="J233">
        <f>VLOOKUP(B233,raw!A:K,8,0)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VLOOKUP(B234,raw!A:K,11,0)</f>
        <v>185</v>
      </c>
      <c r="D234">
        <f>VLOOKUP(B234,raw!A:K,3,0)+VLOOKUP(B234,raw!A:K,7,0)</f>
        <v>184</v>
      </c>
      <c r="E234">
        <f>VLOOKUP(B234,raw!A:K,4,0)</f>
        <v>0</v>
      </c>
      <c r="F234">
        <f>VLOOKUP(B234,raw!A:K,5,0)</f>
        <v>0</v>
      </c>
      <c r="G234">
        <f>VLOOKUP(B234,raw!A:K,2,0)+VLOOKUP(B234,raw!A:K,10,0)</f>
        <v>1</v>
      </c>
      <c r="H234">
        <f>VLOOKUP(B234,raw!A:K,6,0)</f>
        <v>0</v>
      </c>
      <c r="I234">
        <f>VLOOKUP(B234,raw!A:K,9,0)</f>
        <v>0</v>
      </c>
      <c r="J234">
        <f>VLOOKUP(B234,raw!A:K,8,0)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VLOOKUP(B235,raw!A:K,11,0)</f>
        <v>230</v>
      </c>
      <c r="D235">
        <f>VLOOKUP(B235,raw!A:K,3,0)+VLOOKUP(B235,raw!A:K,7,0)</f>
        <v>228</v>
      </c>
      <c r="E235">
        <f>VLOOKUP(B235,raw!A:K,4,0)</f>
        <v>0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0</v>
      </c>
      <c r="J235">
        <f>VLOOKUP(B235,raw!A:K,8,0)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VLOOKUP(B236,raw!A:K,11,0)</f>
        <v>260</v>
      </c>
      <c r="D236">
        <f>VLOOKUP(B236,raw!A:K,3,0)+VLOOKUP(B236,raw!A:K,7,0)</f>
        <v>184</v>
      </c>
      <c r="E236">
        <f>VLOOKUP(B236,raw!A:K,4,0)</f>
        <v>1</v>
      </c>
      <c r="F236">
        <f>VLOOKUP(B236,raw!A:K,5,0)</f>
        <v>0</v>
      </c>
      <c r="G236">
        <f>VLOOKUP(B236,raw!A:K,2,0)+VLOOKUP(B236,raw!A:K,10,0)</f>
        <v>11</v>
      </c>
      <c r="H236">
        <f>VLOOKUP(B236,raw!A:K,6,0)</f>
        <v>0</v>
      </c>
      <c r="I236">
        <f>VLOOKUP(B236,raw!A:K,9,0)</f>
        <v>64</v>
      </c>
      <c r="J236">
        <f>VLOOKUP(B236,raw!A:K,8,0)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VLOOKUP(B237,raw!A:K,11,0)</f>
        <v>197</v>
      </c>
      <c r="D237">
        <f>VLOOKUP(B237,raw!A:K,3,0)+VLOOKUP(B237,raw!A:K,7,0)</f>
        <v>195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0</v>
      </c>
      <c r="H237">
        <f>VLOOKUP(B237,raw!A:K,6,0)</f>
        <v>0</v>
      </c>
      <c r="I237">
        <f>VLOOKUP(B237,raw!A:K,9,0)</f>
        <v>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145</v>
      </c>
      <c r="E238">
        <f>VLOOKUP(B238,raw!A:K,4,0)</f>
        <v>0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159</v>
      </c>
      <c r="E239">
        <f>VLOOKUP(B239,raw!A:K,4,0)</f>
        <v>0</v>
      </c>
      <c r="F239">
        <f>VLOOKUP(B239,raw!A:K,5,0)</f>
        <v>0</v>
      </c>
      <c r="G239">
        <f>VLOOKUP(B239,raw!A:K,2,0)+VLOOKUP(B239,raw!A:K,10,0)</f>
        <v>2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VLOOKUP(B240,raw!A:K,11,0)</f>
        <v>144</v>
      </c>
      <c r="D240">
        <f>VLOOKUP(B240,raw!A:K,3,0)+VLOOKUP(B240,raw!A:K,7,0)</f>
        <v>119</v>
      </c>
      <c r="E240">
        <f>VLOOKUP(B240,raw!A:K,4,0)</f>
        <v>0</v>
      </c>
      <c r="F240">
        <f>VLOOKUP(B240,raw!A:K,5,0)</f>
        <v>0</v>
      </c>
      <c r="G240">
        <f>VLOOKUP(B240,raw!A:K,2,0)+VLOOKUP(B240,raw!A:K,10,0)</f>
        <v>20</v>
      </c>
      <c r="H240">
        <f>VLOOKUP(B240,raw!A:K,6,0)</f>
        <v>0</v>
      </c>
      <c r="I240">
        <f>VLOOKUP(B240,raw!A:K,9,0)</f>
        <v>5</v>
      </c>
      <c r="J240">
        <f>VLOOKUP(B240,raw!A:K,8,0)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VLOOKUP(B241,raw!A:K,11,0)</f>
        <v>127</v>
      </c>
      <c r="D241">
        <f>VLOOKUP(B241,raw!A:K,3,0)+VLOOKUP(B241,raw!A:K,7,0)</f>
        <v>103</v>
      </c>
      <c r="E241">
        <f>VLOOKUP(B241,raw!A:K,4,0)</f>
        <v>5</v>
      </c>
      <c r="F241">
        <f>VLOOKUP(B241,raw!A:K,5,0)</f>
        <v>0</v>
      </c>
      <c r="G241">
        <f>VLOOKUP(B241,raw!A:K,2,0)+VLOOKUP(B241,raw!A:K,10,0)</f>
        <v>8</v>
      </c>
      <c r="H241">
        <f>VLOOKUP(B241,raw!A:K,6,0)</f>
        <v>0</v>
      </c>
      <c r="I241">
        <f>VLOOKUP(B241,raw!A:K,9,0)</f>
        <v>11</v>
      </c>
      <c r="J241">
        <f>VLOOKUP(B241,raw!A:K,8,0)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VLOOKUP(B242,raw!A:K,11,0)</f>
        <v>324</v>
      </c>
      <c r="D242">
        <f>VLOOKUP(B242,raw!A:K,3,0)+VLOOKUP(B242,raw!A:K,7,0)</f>
        <v>194</v>
      </c>
      <c r="E242">
        <f>VLOOKUP(B242,raw!A:K,4,0)</f>
        <v>9</v>
      </c>
      <c r="F242">
        <f>VLOOKUP(B242,raw!A:K,5,0)</f>
        <v>0</v>
      </c>
      <c r="G242">
        <f>VLOOKUP(B242,raw!A:K,2,0)+VLOOKUP(B242,raw!A:K,10,0)</f>
        <v>14</v>
      </c>
      <c r="H242">
        <f>VLOOKUP(B242,raw!A:K,6,0)</f>
        <v>0</v>
      </c>
      <c r="I242">
        <f>VLOOKUP(B242,raw!A:K,9,0)</f>
        <v>107</v>
      </c>
      <c r="J242">
        <f>VLOOKUP(B242,raw!A:K,8,0)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122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VLOOKUP(B244,raw!A:K,11,0)</f>
        <v>92</v>
      </c>
      <c r="D244">
        <f>VLOOKUP(B244,raw!A:K,3,0)+VLOOKUP(B244,raw!A:K,7,0)</f>
        <v>92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0</v>
      </c>
      <c r="J244">
        <f>VLOOKUP(B244,raw!A:K,8,0)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121</v>
      </c>
      <c r="E245">
        <f>VLOOKUP(B245,raw!A:K,4,0)</f>
        <v>0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VLOOKUP(B246,raw!A:K,11,0)</f>
        <v>111</v>
      </c>
      <c r="D246">
        <f>VLOOKUP(B246,raw!A:K,3,0)+VLOOKUP(B246,raw!A:K,7,0)</f>
        <v>109</v>
      </c>
      <c r="E246">
        <f>VLOOKUP(B246,raw!A:K,4,0)</f>
        <v>0</v>
      </c>
      <c r="F246">
        <f>VLOOKUP(B246,raw!A:K,5,0)</f>
        <v>0</v>
      </c>
      <c r="G246">
        <f>VLOOKUP(B246,raw!A:K,2,0)+VLOOKUP(B246,raw!A:K,10,0)</f>
        <v>1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121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3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37</v>
      </c>
      <c r="J248">
        <f>VLOOKUP(B248,raw!A:K,8,0)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VLOOKUP(B249,raw!A:K,11,0)</f>
        <v>300</v>
      </c>
      <c r="D249">
        <f>VLOOKUP(B249,raw!A:K,3,0)+VLOOKUP(B249,raw!A:K,7,0)</f>
        <v>248</v>
      </c>
      <c r="E249">
        <f>VLOOKUP(B249,raw!A:K,4,0)</f>
        <v>1</v>
      </c>
      <c r="F249">
        <f>VLOOKUP(B249,raw!A:K,5,0)</f>
        <v>0</v>
      </c>
      <c r="G249">
        <f>VLOOKUP(B249,raw!A:K,2,0)+VLOOKUP(B249,raw!A:K,10,0)</f>
        <v>9</v>
      </c>
      <c r="H249">
        <f>VLOOKUP(B249,raw!A:K,6,0)</f>
        <v>0</v>
      </c>
      <c r="I249">
        <f>VLOOKUP(B249,raw!A:K,9,0)</f>
        <v>42</v>
      </c>
      <c r="J249">
        <f>VLOOKUP(B249,raw!A:K,8,0)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VLOOKUP(B250,raw!A:K,11,0)</f>
        <v>114</v>
      </c>
      <c r="D250">
        <f>VLOOKUP(B250,raw!A:K,3,0)+VLOOKUP(B250,raw!A:K,7,0)</f>
        <v>94</v>
      </c>
      <c r="E250">
        <f>VLOOKUP(B250,raw!A:K,4,0)</f>
        <v>0</v>
      </c>
      <c r="F250">
        <f>VLOOKUP(B250,raw!A:K,5,0)</f>
        <v>0</v>
      </c>
      <c r="G250">
        <f>VLOOKUP(B250,raw!A:K,2,0)+VLOOKUP(B250,raw!A:K,10,0)</f>
        <v>19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VLOOKUP(B251,raw!A:K,11,0)</f>
        <v>228</v>
      </c>
      <c r="D251">
        <f>VLOOKUP(B251,raw!A:K,3,0)+VLOOKUP(B251,raw!A:K,7,0)</f>
        <v>209</v>
      </c>
      <c r="E251">
        <f>VLOOKUP(B251,raw!A:K,4,0)</f>
        <v>0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19</v>
      </c>
      <c r="J251">
        <f>VLOOKUP(B251,raw!A:K,8,0)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VLOOKUP(B252,raw!A:K,11,0)</f>
        <v>150</v>
      </c>
      <c r="D252">
        <f>VLOOKUP(B252,raw!A:K,3,0)+VLOOKUP(B252,raw!A:K,7,0)</f>
        <v>91</v>
      </c>
      <c r="E252">
        <f>VLOOKUP(B252,raw!A:K,4,0)</f>
        <v>0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59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VLOOKUP(B253,raw!A:K,11,0)</f>
        <v>154</v>
      </c>
      <c r="D253">
        <f>VLOOKUP(B253,raw!A:K,3,0)+VLOOKUP(B253,raw!A:K,7,0)</f>
        <v>111</v>
      </c>
      <c r="E253">
        <f>VLOOKUP(B253,raw!A:K,4,0)</f>
        <v>0</v>
      </c>
      <c r="F253">
        <f>VLOOKUP(B253,raw!A:K,5,0)</f>
        <v>0</v>
      </c>
      <c r="G253">
        <f>VLOOKUP(B253,raw!A:K,2,0)+VLOOKUP(B253,raw!A:K,10,0)</f>
        <v>7</v>
      </c>
      <c r="H253">
        <f>VLOOKUP(B253,raw!A:K,6,0)</f>
        <v>0</v>
      </c>
      <c r="I253">
        <f>VLOOKUP(B253,raw!A:K,9,0)</f>
        <v>36</v>
      </c>
      <c r="J253">
        <f>VLOOKUP(B253,raw!A:K,8,0)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VLOOKUP(B254,raw!A:K,11,0)</f>
        <v>167</v>
      </c>
      <c r="D254">
        <f>VLOOKUP(B254,raw!A:K,3,0)+VLOOKUP(B254,raw!A:K,7,0)</f>
        <v>152</v>
      </c>
      <c r="E254">
        <f>VLOOKUP(B254,raw!A:K,4,0)</f>
        <v>0</v>
      </c>
      <c r="F254">
        <f>VLOOKUP(B254,raw!A:K,5,0)</f>
        <v>0</v>
      </c>
      <c r="G254">
        <f>VLOOKUP(B254,raw!A:K,2,0)+VLOOKUP(B254,raw!A:K,10,0)</f>
        <v>15</v>
      </c>
      <c r="H254">
        <f>VLOOKUP(B254,raw!A:K,6,0)</f>
        <v>0</v>
      </c>
      <c r="I254">
        <f>VLOOKUP(B254,raw!A:K,9,0)</f>
        <v>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106</v>
      </c>
      <c r="D255">
        <f>VLOOKUP(B255,raw!A:K,3,0)+VLOOKUP(B255,raw!A:K,7,0)</f>
        <v>55</v>
      </c>
      <c r="E255">
        <f>VLOOKUP(B255,raw!A:K,4,0)</f>
        <v>0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51</v>
      </c>
      <c r="J255">
        <f>VLOOKUP(B255,raw!A:K,8,0)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VLOOKUP(B256,raw!A:K,11,0)</f>
        <v>145</v>
      </c>
      <c r="D256">
        <f>VLOOKUP(B256,raw!A:K,3,0)+VLOOKUP(B256,raw!A:K,7,0)</f>
        <v>87</v>
      </c>
      <c r="E256">
        <f>VLOOKUP(B256,raw!A:K,4,0)</f>
        <v>0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58</v>
      </c>
      <c r="J256">
        <f>VLOOKUP(B256,raw!A:K,8,0)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VLOOKUP(B257,raw!A:K,11,0)</f>
        <v>192</v>
      </c>
      <c r="D257">
        <f>VLOOKUP(B257,raw!A:K,3,0)+VLOOKUP(B257,raw!A:K,7,0)</f>
        <v>153</v>
      </c>
      <c r="E257">
        <f>VLOOKUP(B257,raw!A:K,4,0)</f>
        <v>0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39</v>
      </c>
      <c r="J257">
        <f>VLOOKUP(B257,raw!A:K,8,0)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VLOOKUP(B258,raw!A:K,11,0)</f>
        <v>106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VLOOKUP(B259,raw!A:K,11,0)</f>
        <v>97</v>
      </c>
      <c r="D259">
        <f>VLOOKUP(B259,raw!A:K,3,0)+VLOOKUP(B259,raw!A:K,7,0)</f>
        <v>31</v>
      </c>
      <c r="E259">
        <f>VLOOKUP(B259,raw!A:K,4,0)</f>
        <v>4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61</v>
      </c>
      <c r="J259">
        <f>VLOOKUP(B259,raw!A:K,8,0)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193</v>
      </c>
      <c r="E260">
        <f>VLOOKUP(B260,raw!A:K,4,0)</f>
        <v>0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10</v>
      </c>
      <c r="J260">
        <f>VLOOKUP(B260,raw!A:K,8,0)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209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4</v>
      </c>
      <c r="H261">
        <f>VLOOKUP(B261,raw!A:K,6,0)</f>
        <v>0</v>
      </c>
      <c r="I261">
        <f>VLOOKUP(B261,raw!A:K,9,0)</f>
        <v>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235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8</v>
      </c>
      <c r="H262">
        <f>VLOOKUP(B262,raw!A:K,6,0)</f>
        <v>0</v>
      </c>
      <c r="I262">
        <f>VLOOKUP(B262,raw!A:K,9,0)</f>
        <v>0</v>
      </c>
      <c r="J262">
        <f>VLOOKUP(B262,raw!A:K,8,0)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101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0</v>
      </c>
      <c r="J263">
        <f>VLOOKUP(B263,raw!A:K,8,0)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145</v>
      </c>
      <c r="E264">
        <f>VLOOKUP(B264,raw!A:K,4,0)</f>
        <v>0</v>
      </c>
      <c r="F264">
        <f>VLOOKUP(B264,raw!A:K,5,0)</f>
        <v>0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</v>
      </c>
      <c r="J264">
        <f>VLOOKUP(B264,raw!A:K,8,0)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VLOOKUP(B265,raw!A:K,11,0)</f>
        <v>137</v>
      </c>
      <c r="D265">
        <f>VLOOKUP(B265,raw!A:K,3,0)+VLOOKUP(B265,raw!A:K,7,0)</f>
        <v>132</v>
      </c>
      <c r="E265">
        <f>VLOOKUP(B265,raw!A:K,4,0)</f>
        <v>0</v>
      </c>
      <c r="F265">
        <f>VLOOKUP(B265,raw!A:K,5,0)</f>
        <v>0</v>
      </c>
      <c r="G265">
        <f>VLOOKUP(B265,raw!A:K,2,0)+VLOOKUP(B265,raw!A:K,10,0)</f>
        <v>5</v>
      </c>
      <c r="H265">
        <f>VLOOKUP(B265,raw!A:K,6,0)</f>
        <v>0</v>
      </c>
      <c r="I265">
        <f>VLOOKUP(B265,raw!A:K,9,0)</f>
        <v>0</v>
      </c>
      <c r="J265">
        <f>VLOOKUP(B265,raw!A:K,8,0)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VLOOKUP(B266,raw!A:K,11,0)</f>
        <v>126</v>
      </c>
      <c r="D266">
        <f>VLOOKUP(B266,raw!A:K,3,0)+VLOOKUP(B266,raw!A:K,7,0)</f>
        <v>113</v>
      </c>
      <c r="E266">
        <f>VLOOKUP(B266,raw!A:K,4,0)</f>
        <v>0</v>
      </c>
      <c r="F266">
        <f>VLOOKUP(B266,raw!A:K,5,0)</f>
        <v>0</v>
      </c>
      <c r="G266">
        <f>VLOOKUP(B266,raw!A:K,2,0)+VLOOKUP(B266,raw!A:K,10,0)</f>
        <v>13</v>
      </c>
      <c r="H266">
        <f>VLOOKUP(B266,raw!A:K,6,0)</f>
        <v>0</v>
      </c>
      <c r="I266">
        <f>VLOOKUP(B266,raw!A:K,9,0)</f>
        <v>0</v>
      </c>
      <c r="J266">
        <f>VLOOKUP(B266,raw!A:K,8,0)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VLOOKUP(B267,raw!A:K,11,0)</f>
        <v>117</v>
      </c>
      <c r="D267">
        <f>VLOOKUP(B267,raw!A:K,3,0)+VLOOKUP(B267,raw!A:K,7,0)</f>
        <v>113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1</v>
      </c>
      <c r="H267">
        <f>VLOOKUP(B267,raw!A:K,6,0)</f>
        <v>0</v>
      </c>
      <c r="I267">
        <f>VLOOKUP(B267,raw!A:K,9,0)</f>
        <v>3</v>
      </c>
      <c r="J267">
        <f>VLOOKUP(B267,raw!A:K,8,0)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VLOOKUP(B268,raw!A:K,11,0)</f>
        <v>147</v>
      </c>
      <c r="D268">
        <f>VLOOKUP(B268,raw!A:K,3,0)+VLOOKUP(B268,raw!A:K,7,0)</f>
        <v>133</v>
      </c>
      <c r="E268">
        <f>VLOOKUP(B268,raw!A:K,4,0)</f>
        <v>1</v>
      </c>
      <c r="F268">
        <f>VLOOKUP(B268,raw!A:K,5,0)</f>
        <v>0</v>
      </c>
      <c r="G268">
        <f>VLOOKUP(B268,raw!A:K,2,0)+VLOOKUP(B268,raw!A:K,10,0)</f>
        <v>13</v>
      </c>
      <c r="H268">
        <f>VLOOKUP(B268,raw!A:K,6,0)</f>
        <v>0</v>
      </c>
      <c r="I268">
        <f>VLOOKUP(B268,raw!A:K,9,0)</f>
        <v>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VLOOKUP(B269,raw!A:K,11,0)</f>
        <v>201</v>
      </c>
      <c r="D269">
        <f>VLOOKUP(B269,raw!A:K,3,0)+VLOOKUP(B269,raw!A:K,7,0)</f>
        <v>176</v>
      </c>
      <c r="E269">
        <f>VLOOKUP(B269,raw!A:K,4,0)</f>
        <v>0</v>
      </c>
      <c r="F269">
        <f>VLOOKUP(B269,raw!A:K,5,0)</f>
        <v>0</v>
      </c>
      <c r="G269">
        <f>VLOOKUP(B269,raw!A:K,2,0)+VLOOKUP(B269,raw!A:K,10,0)</f>
        <v>2</v>
      </c>
      <c r="H269">
        <f>VLOOKUP(B269,raw!A:K,6,0)</f>
        <v>0</v>
      </c>
      <c r="I269">
        <f>VLOOKUP(B269,raw!A:K,9,0)</f>
        <v>23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157</v>
      </c>
      <c r="E270">
        <f>VLOOKUP(B270,raw!A:K,4,0)</f>
        <v>0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VLOOKUP(B271,raw!A:K,11,0)</f>
        <v>249</v>
      </c>
      <c r="D271">
        <f>VLOOKUP(B271,raw!A:K,3,0)+VLOOKUP(B271,raw!A:K,7,0)</f>
        <v>249</v>
      </c>
      <c r="E271">
        <f>VLOOKUP(B271,raw!A:K,4,0)</f>
        <v>0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93</v>
      </c>
      <c r="E272">
        <f>VLOOKUP(B272,raw!A:K,4,0)</f>
        <v>0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0</v>
      </c>
      <c r="I272">
        <f>VLOOKUP(B272,raw!A:K,9,0)</f>
        <v>0</v>
      </c>
      <c r="J272">
        <f>VLOOKUP(B272,raw!A:K,8,0)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176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4</v>
      </c>
      <c r="H273">
        <f>VLOOKUP(B273,raw!A:K,6,0)</f>
        <v>0</v>
      </c>
      <c r="I273">
        <f>VLOOKUP(B273,raw!A:K,9,0)</f>
        <v>1</v>
      </c>
      <c r="J273">
        <f>VLOOKUP(B273,raw!A:K,8,0)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73</v>
      </c>
      <c r="E274">
        <f>VLOOKUP(B274,raw!A:K,4,0)</f>
        <v>0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151</v>
      </c>
      <c r="E275">
        <f>VLOOKUP(B275,raw!A:K,4,0)</f>
        <v>0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VLOOKUP(B276,raw!A:K,11,0)</f>
        <v>346</v>
      </c>
      <c r="D276">
        <f>VLOOKUP(B276,raw!A:K,3,0)+VLOOKUP(B276,raw!A:K,7,0)</f>
        <v>170</v>
      </c>
      <c r="E276">
        <f>VLOOKUP(B276,raw!A:K,4,0)</f>
        <v>19</v>
      </c>
      <c r="F276">
        <f>VLOOKUP(B276,raw!A:K,5,0)</f>
        <v>0</v>
      </c>
      <c r="G276">
        <f>VLOOKUP(B276,raw!A:K,2,0)+VLOOKUP(B276,raw!A:K,10,0)</f>
        <v>2</v>
      </c>
      <c r="H276">
        <f>VLOOKUP(B276,raw!A:K,6,0)</f>
        <v>0</v>
      </c>
      <c r="I276">
        <f>VLOOKUP(B276,raw!A:K,9,0)</f>
        <v>155</v>
      </c>
      <c r="J276">
        <f>VLOOKUP(B276,raw!A:K,8,0)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VLOOKUP(B277,raw!A:K,11,0)</f>
        <v>175</v>
      </c>
      <c r="D277">
        <f>VLOOKUP(B277,raw!A:K,3,0)+VLOOKUP(B277,raw!A:K,7,0)</f>
        <v>174</v>
      </c>
      <c r="E277">
        <f>VLOOKUP(B277,raw!A:K,4,0)</f>
        <v>1</v>
      </c>
      <c r="F277">
        <f>VLOOKUP(B277,raw!A:K,5,0)</f>
        <v>0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VLOOKUP(B278,raw!A:K,11,0)</f>
        <v>121</v>
      </c>
      <c r="D278">
        <f>VLOOKUP(B278,raw!A:K,3,0)+VLOOKUP(B278,raw!A:K,7,0)</f>
        <v>117</v>
      </c>
      <c r="E278">
        <f>VLOOKUP(B278,raw!A:K,4,0)</f>
        <v>2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VLOOKUP(B279,raw!A:K,11,0)</f>
        <v>77</v>
      </c>
      <c r="D279">
        <f>VLOOKUP(B279,raw!A:K,3,0)+VLOOKUP(B279,raw!A:K,7,0)</f>
        <v>77</v>
      </c>
      <c r="E279">
        <f>VLOOKUP(B279,raw!A:K,4,0)</f>
        <v>0</v>
      </c>
      <c r="F279">
        <f>VLOOKUP(B279,raw!A:K,5,0)</f>
        <v>0</v>
      </c>
      <c r="G279">
        <f>VLOOKUP(B279,raw!A:K,2,0)+VLOOKUP(B279,raw!A:K,10,0)</f>
        <v>0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98</v>
      </c>
      <c r="D280">
        <f>VLOOKUP(B280,raw!A:K,3,0)+VLOOKUP(B280,raw!A:K,7,0)</f>
        <v>98</v>
      </c>
      <c r="E280">
        <f>VLOOKUP(B280,raw!A:K,4,0)</f>
        <v>0</v>
      </c>
      <c r="F280">
        <f>VLOOKUP(B280,raw!A:K,5,0)</f>
        <v>0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136</v>
      </c>
      <c r="D281">
        <f>VLOOKUP(B281,raw!A:K,3,0)+VLOOKUP(B281,raw!A:K,7,0)</f>
        <v>134</v>
      </c>
      <c r="E281">
        <f>VLOOKUP(B281,raw!A:K,4,0)</f>
        <v>0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VLOOKUP(B282,raw!A:K,11,0)</f>
        <v>170</v>
      </c>
      <c r="D282">
        <f>VLOOKUP(B282,raw!A:K,3,0)+VLOOKUP(B282,raw!A:K,7,0)</f>
        <v>170</v>
      </c>
      <c r="E282">
        <f>VLOOKUP(B282,raw!A:K,4,0)</f>
        <v>0</v>
      </c>
      <c r="F282">
        <f>VLOOKUP(B282,raw!A:K,5,0)</f>
        <v>0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VLOOKUP(B283,raw!A:K,11,0)</f>
        <v>140</v>
      </c>
      <c r="D283">
        <f>VLOOKUP(B283,raw!A:K,3,0)+VLOOKUP(B283,raw!A:K,7,0)</f>
        <v>140</v>
      </c>
      <c r="E283">
        <f>VLOOKUP(B283,raw!A:K,4,0)</f>
        <v>0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0</v>
      </c>
      <c r="I283">
        <f>VLOOKUP(B283,raw!A:K,9,0)</f>
        <v>0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83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199</v>
      </c>
      <c r="D285">
        <f>VLOOKUP(B285,raw!A:K,3,0)+VLOOKUP(B285,raw!A:K,7,0)</f>
        <v>199</v>
      </c>
      <c r="E285">
        <f>VLOOKUP(B285,raw!A:K,4,0)</f>
        <v>0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VLOOKUP(B286,raw!A:K,11,0)</f>
        <v>116</v>
      </c>
      <c r="D286">
        <f>VLOOKUP(B286,raw!A:K,3,0)+VLOOKUP(B286,raw!A:K,7,0)</f>
        <v>115</v>
      </c>
      <c r="E286">
        <f>VLOOKUP(B286,raw!A:K,4,0)</f>
        <v>1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75</v>
      </c>
      <c r="E287">
        <f>VLOOKUP(B287,raw!A:K,4,0)</f>
        <v>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135</v>
      </c>
      <c r="E289">
        <f>VLOOKUP(B289,raw!A:K,4,0)</f>
        <v>0</v>
      </c>
      <c r="F289">
        <f>VLOOKUP(B289,raw!A:K,5,0)</f>
        <v>0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VLOOKUP(B290,raw!A:K,11,0)</f>
        <v>88</v>
      </c>
      <c r="D290">
        <f>VLOOKUP(B290,raw!A:K,3,0)+VLOOKUP(B290,raw!A:K,7,0)</f>
        <v>87</v>
      </c>
      <c r="E290">
        <f>VLOOKUP(B290,raw!A:K,4,0)</f>
        <v>0</v>
      </c>
      <c r="F290">
        <f>VLOOKUP(B290,raw!A:K,5,0)</f>
        <v>0</v>
      </c>
      <c r="G290">
        <f>VLOOKUP(B290,raw!A:K,2,0)+VLOOKUP(B290,raw!A:K,10,0)</f>
        <v>1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VLOOKUP(B291,raw!A:K,11,0)</f>
        <v>152</v>
      </c>
      <c r="D291">
        <f>VLOOKUP(B291,raw!A:K,3,0)+VLOOKUP(B291,raw!A:K,7,0)</f>
        <v>152</v>
      </c>
      <c r="E291">
        <f>VLOOKUP(B291,raw!A:K,4,0)</f>
        <v>0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0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123</v>
      </c>
      <c r="E292">
        <f>VLOOKUP(B292,raw!A:K,4,0)</f>
        <v>0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0</v>
      </c>
      <c r="J292">
        <f>VLOOKUP(B292,raw!A:K,8,0)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VLOOKUP(B293,raw!A:K,11,0)</f>
        <v>102</v>
      </c>
      <c r="D293">
        <f>VLOOKUP(B293,raw!A:K,3,0)+VLOOKUP(B293,raw!A:K,7,0)</f>
        <v>102</v>
      </c>
      <c r="E293">
        <f>VLOOKUP(B293,raw!A:K,4,0)</f>
        <v>0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0</v>
      </c>
      <c r="J293">
        <f>VLOOKUP(B293,raw!A:K,8,0)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VLOOKUP(B294,raw!A:K,11,0)</f>
        <v>285</v>
      </c>
      <c r="D294">
        <f>VLOOKUP(B294,raw!A:K,3,0)+VLOOKUP(B294,raw!A:K,7,0)</f>
        <v>284</v>
      </c>
      <c r="E294">
        <f>VLOOKUP(B294,raw!A:K,4,0)</f>
        <v>0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0</v>
      </c>
      <c r="J294">
        <f>VLOOKUP(B294,raw!A:K,8,0)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VLOOKUP(B295,raw!A:K,11,0)</f>
        <v>113</v>
      </c>
      <c r="D295">
        <f>VLOOKUP(B295,raw!A:K,3,0)+VLOOKUP(B295,raw!A:K,7,0)</f>
        <v>113</v>
      </c>
      <c r="E295">
        <f>VLOOKUP(B295,raw!A:K,4,0)</f>
        <v>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0</v>
      </c>
      <c r="J295">
        <f>VLOOKUP(B295,raw!A:K,8,0)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VLOOKUP(B296,raw!A:K,11,0)</f>
        <v>168</v>
      </c>
      <c r="D296">
        <f>VLOOKUP(B296,raw!A:K,3,0)+VLOOKUP(B296,raw!A:K,7,0)</f>
        <v>154</v>
      </c>
      <c r="E296">
        <f>VLOOKUP(B296,raw!A:K,4,0)</f>
        <v>13</v>
      </c>
      <c r="F296">
        <f>VLOOKUP(B296,raw!A:K,5,0)</f>
        <v>0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VLOOKUP(B297,raw!A:K,11,0)</f>
        <v>118</v>
      </c>
      <c r="D297">
        <f>VLOOKUP(B297,raw!A:K,3,0)+VLOOKUP(B297,raw!A:K,7,0)</f>
        <v>106</v>
      </c>
      <c r="E297">
        <f>VLOOKUP(B297,raw!A:K,4,0)</f>
        <v>8</v>
      </c>
      <c r="F297">
        <f>VLOOKUP(B297,raw!A:K,5,0)</f>
        <v>0</v>
      </c>
      <c r="G297">
        <f>VLOOKUP(B297,raw!A:K,2,0)+VLOOKUP(B297,raw!A:K,10,0)</f>
        <v>4</v>
      </c>
      <c r="H297">
        <f>VLOOKUP(B297,raw!A:K,6,0)</f>
        <v>0</v>
      </c>
      <c r="I297">
        <f>VLOOKUP(B297,raw!A:K,9,0)</f>
        <v>0</v>
      </c>
      <c r="J297">
        <f>VLOOKUP(B297,raw!A:K,8,0)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36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0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51</v>
      </c>
      <c r="D299">
        <f>VLOOKUP(B299,raw!A:K,3,0)+VLOOKUP(B299,raw!A:K,7,0)</f>
        <v>51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0</v>
      </c>
      <c r="J299">
        <f>VLOOKUP(B299,raw!A:K,8,0)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VLOOKUP(B300,raw!A:K,11,0)</f>
        <v>74</v>
      </c>
      <c r="D300">
        <f>VLOOKUP(B300,raw!A:K,3,0)+VLOOKUP(B300,raw!A:K,7,0)</f>
        <v>74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95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1</v>
      </c>
      <c r="J301">
        <f>VLOOKUP(B301,raw!A:K,8,0)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VLOOKUP(B302,raw!A:K,11,0)</f>
        <v>86</v>
      </c>
      <c r="D302">
        <f>VLOOKUP(B302,raw!A:K,3,0)+VLOOKUP(B302,raw!A:K,7,0)</f>
        <v>85</v>
      </c>
      <c r="E302">
        <f>VLOOKUP(B302,raw!A:K,4,0)</f>
        <v>1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74</v>
      </c>
      <c r="D303">
        <f>VLOOKUP(B303,raw!A:K,3,0)+VLOOKUP(B303,raw!A:K,7,0)</f>
        <v>74</v>
      </c>
      <c r="E303">
        <f>VLOOKUP(B303,raw!A:K,4,0)</f>
        <v>0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27</v>
      </c>
      <c r="D304">
        <f>VLOOKUP(B304,raw!A:K,3,0)+VLOOKUP(B304,raw!A:K,7,0)</f>
        <v>27</v>
      </c>
      <c r="E304">
        <f>VLOOKUP(B304,raw!A:K,4,0)</f>
        <v>0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71</v>
      </c>
      <c r="D305">
        <f>VLOOKUP(B305,raw!A:K,3,0)+VLOOKUP(B305,raw!A:K,7,0)</f>
        <v>71</v>
      </c>
      <c r="E305">
        <f>VLOOKUP(B305,raw!A:K,4,0)</f>
        <v>0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66</v>
      </c>
      <c r="E306">
        <f>VLOOKUP(B306,raw!A:K,4,0)</f>
        <v>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47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VLOOKUP(B308,raw!A:K,11,0)</f>
        <v>67</v>
      </c>
      <c r="D308">
        <f>VLOOKUP(B308,raw!A:K,3,0)+VLOOKUP(B308,raw!A:K,7,0)</f>
        <v>67</v>
      </c>
      <c r="E308">
        <f>VLOOKUP(B308,raw!A:K,4,0)</f>
        <v>0</v>
      </c>
      <c r="F308">
        <f>VLOOKUP(B308,raw!A:K,5,0)</f>
        <v>0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48</v>
      </c>
      <c r="E309">
        <f>VLOOKUP(B309,raw!A:K,4,0)</f>
        <v>0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64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6</v>
      </c>
      <c r="E312">
        <f>VLOOKUP(B312,raw!A:K,4,0)</f>
        <v>0</v>
      </c>
      <c r="F312">
        <f>VLOOKUP(B312,raw!A:K,5,0)</f>
        <v>0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127</v>
      </c>
      <c r="J312">
        <f>VLOOKUP(B312,raw!A:K,8,0)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VLOOKUP(B313,raw!A:K,11,0)</f>
        <v>600</v>
      </c>
      <c r="D313">
        <f>VLOOKUP(B313,raw!A:K,3,0)+VLOOKUP(B313,raw!A:K,7,0)</f>
        <v>412</v>
      </c>
      <c r="E313">
        <f>VLOOKUP(B313,raw!A:K,4,0)</f>
        <v>0</v>
      </c>
      <c r="F313">
        <f>VLOOKUP(B313,raw!A:K,5,0)</f>
        <v>0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188</v>
      </c>
      <c r="J313">
        <f>VLOOKUP(B313,raw!A:K,8,0)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111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146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83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107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66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51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185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0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81</v>
      </c>
      <c r="E323">
        <f>VLOOKUP(B323,raw!A:K,4,0)</f>
        <v>0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VLOOKUP(B325,raw!A:K,11,0)</f>
        <v>157</v>
      </c>
      <c r="D325">
        <f>VLOOKUP(B325,raw!A:K,3,0)+VLOOKUP(B325,raw!A:K,7,0)</f>
        <v>153</v>
      </c>
      <c r="E325">
        <f>VLOOKUP(B325,raw!A:K,4,0)</f>
        <v>4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309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VLOOKUP(B328,raw!A:K,11,0)</f>
        <v>143</v>
      </c>
      <c r="D328">
        <f>VLOOKUP(B328,raw!A:K,3,0)+VLOOKUP(B328,raw!A:K,7,0)</f>
        <v>143</v>
      </c>
      <c r="E328">
        <f>VLOOKUP(B328,raw!A:K,4,0)</f>
        <v>0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VLOOKUP(B332,raw!A:K,11,0)</f>
        <v>59</v>
      </c>
      <c r="D332">
        <f>VLOOKUP(B332,raw!A:K,3,0)+VLOOKUP(B332,raw!A:K,7,0)</f>
        <v>59</v>
      </c>
      <c r="E332">
        <f>VLOOKUP(B332,raw!A:K,4,0)</f>
        <v>0</v>
      </c>
      <c r="F332">
        <f>VLOOKUP(B332,raw!A:K,5,0)</f>
        <v>0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0</v>
      </c>
      <c r="J332">
        <f>VLOOKUP(B332,raw!A:K,8,0)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VLOOKUP(B333,raw!A:K,11,0)</f>
        <v>40</v>
      </c>
      <c r="D333">
        <f>VLOOKUP(B333,raw!A:K,3,0)+VLOOKUP(B333,raw!A:K,7,0)</f>
        <v>39</v>
      </c>
      <c r="E333">
        <f>VLOOKUP(B333,raw!A:K,4,0)</f>
        <v>0</v>
      </c>
      <c r="F333">
        <f>VLOOKUP(B333,raw!A:K,5,0)</f>
        <v>0</v>
      </c>
      <c r="G333">
        <f>VLOOKUP(B333,raw!A:K,2,0)+VLOOKUP(B333,raw!A:K,10,0)</f>
        <v>1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VLOOKUP(B334,raw!A:K,11,0)</f>
        <v>84</v>
      </c>
      <c r="D334">
        <f>VLOOKUP(B334,raw!A:K,3,0)+VLOOKUP(B334,raw!A:K,7,0)</f>
        <v>44</v>
      </c>
      <c r="E334">
        <f>VLOOKUP(B334,raw!A:K,4,0)</f>
        <v>0</v>
      </c>
      <c r="F334">
        <f>VLOOKUP(B334,raw!A:K,5,0)</f>
        <v>0</v>
      </c>
      <c r="G334">
        <f>VLOOKUP(B334,raw!A:K,2,0)+VLOOKUP(B334,raw!A:K,10,0)</f>
        <v>1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VLOOKUP(B335,raw!A:K,11,0)</f>
        <v>62</v>
      </c>
      <c r="D335">
        <f>VLOOKUP(B335,raw!A:K,3,0)+VLOOKUP(B335,raw!A:K,7,0)</f>
        <v>34</v>
      </c>
      <c r="E335">
        <f>VLOOKUP(B335,raw!A:K,4,0)</f>
        <v>3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23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VLOOKUP(B336,raw!A:K,11,0)</f>
        <v>110</v>
      </c>
      <c r="D336">
        <f>VLOOKUP(B336,raw!A:K,3,0)+VLOOKUP(B336,raw!A:K,7,0)</f>
        <v>103</v>
      </c>
      <c r="E336">
        <f>VLOOKUP(B336,raw!A:K,4,0)</f>
        <v>1</v>
      </c>
      <c r="F336">
        <f>VLOOKUP(B336,raw!A:K,5,0)</f>
        <v>0</v>
      </c>
      <c r="G336">
        <f>VLOOKUP(B336,raw!A:K,2,0)+VLOOKUP(B336,raw!A:K,10,0)</f>
        <v>5</v>
      </c>
      <c r="H336">
        <f>VLOOKUP(B336,raw!A:K,6,0)</f>
        <v>0</v>
      </c>
      <c r="I336">
        <f>VLOOKUP(B336,raw!A:K,9,0)</f>
        <v>1</v>
      </c>
      <c r="J336">
        <f>VLOOKUP(B336,raw!A:K,8,0)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88</v>
      </c>
      <c r="E337">
        <f>VLOOKUP(B337,raw!A:K,4,0)</f>
        <v>3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81</v>
      </c>
      <c r="E338">
        <f>VLOOKUP(B338,raw!A:K,4,0)</f>
        <v>1</v>
      </c>
      <c r="F338">
        <f>VLOOKUP(B338,raw!A:K,5,0)</f>
        <v>0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VLOOKUP(B339,raw!A:K,11,0)</f>
        <v>58</v>
      </c>
      <c r="D339">
        <f>VLOOKUP(B339,raw!A:K,3,0)+VLOOKUP(B339,raw!A:K,7,0)</f>
        <v>38</v>
      </c>
      <c r="E339">
        <f>VLOOKUP(B339,raw!A:K,4,0)</f>
        <v>12</v>
      </c>
      <c r="F339">
        <f>VLOOKUP(B339,raw!A:K,5,0)</f>
        <v>0</v>
      </c>
      <c r="G339">
        <f>VLOOKUP(B339,raw!A:K,2,0)+VLOOKUP(B339,raw!A:K,10,0)</f>
        <v>3</v>
      </c>
      <c r="H339">
        <f>VLOOKUP(B339,raw!A:K,6,0)</f>
        <v>0</v>
      </c>
      <c r="I339">
        <f>VLOOKUP(B339,raw!A:K,9,0)</f>
        <v>5</v>
      </c>
      <c r="J339">
        <f>VLOOKUP(B339,raw!A:K,8,0)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0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49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0</v>
      </c>
      <c r="G341">
        <f>VLOOKUP(B341,raw!A:K,2,0)+VLOOKUP(B341,raw!A:K,10,0)</f>
        <v>0</v>
      </c>
      <c r="H341">
        <f>VLOOKUP(B341,raw!A:K,6,0)</f>
        <v>0</v>
      </c>
      <c r="I341">
        <f>VLOOKUP(B341,raw!A:K,9,0)</f>
        <v>49</v>
      </c>
      <c r="J341">
        <f>VLOOKUP(B341,raw!A:K,8,0)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0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0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2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10</v>
      </c>
      <c r="E345">
        <f>VLOOKUP(B345,raw!A:K,4,0)</f>
        <v>0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0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67</v>
      </c>
      <c r="E346">
        <f>VLOOKUP(B346,raw!A:K,4,0)</f>
        <v>1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93</v>
      </c>
      <c r="J346">
        <f>VLOOKUP(B346,raw!A:K,8,0)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VLOOKUP(B347,raw!A:K,11,0)</f>
        <v>177</v>
      </c>
      <c r="D347">
        <f>VLOOKUP(B347,raw!A:K,3,0)+VLOOKUP(B347,raw!A:K,7,0)</f>
        <v>40</v>
      </c>
      <c r="E347">
        <f>VLOOKUP(B347,raw!A:K,4,0)</f>
        <v>4</v>
      </c>
      <c r="F347">
        <f>VLOOKUP(B347,raw!A:K,5,0)</f>
        <v>0</v>
      </c>
      <c r="G347">
        <f>VLOOKUP(B347,raw!A:K,2,0)+VLOOKUP(B347,raw!A:K,10,0)</f>
        <v>33</v>
      </c>
      <c r="H347">
        <f>VLOOKUP(B347,raw!A:K,6,0)</f>
        <v>1</v>
      </c>
      <c r="I347">
        <f>VLOOKUP(B347,raw!A:K,9,0)</f>
        <v>99</v>
      </c>
      <c r="J347">
        <f>VLOOKUP(B347,raw!A:K,8,0)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122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6</v>
      </c>
      <c r="H348">
        <f>VLOOKUP(B348,raw!A:K,6,0)</f>
        <v>0</v>
      </c>
      <c r="I348">
        <f>VLOOKUP(B348,raw!A:K,9,0)</f>
        <v>99</v>
      </c>
      <c r="J348">
        <f>VLOOKUP(B348,raw!A:K,8,0)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VLOOKUP(B349,raw!A:K,11,0)</f>
        <v>121</v>
      </c>
      <c r="D349">
        <f>VLOOKUP(B349,raw!A:K,3,0)+VLOOKUP(B349,raw!A:K,7,0)</f>
        <v>44</v>
      </c>
      <c r="E349">
        <f>VLOOKUP(B349,raw!A:K,4,0)</f>
        <v>4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73</v>
      </c>
      <c r="J349">
        <f>VLOOKUP(B349,raw!A:K,8,0)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VLOOKUP(B350,raw!A:K,11,0)</f>
        <v>111</v>
      </c>
      <c r="D350">
        <f>VLOOKUP(B350,raw!A:K,3,0)+VLOOKUP(B350,raw!A:K,7,0)</f>
        <v>111</v>
      </c>
      <c r="E350">
        <f>VLOOKUP(B350,raw!A:K,4,0)</f>
        <v>0</v>
      </c>
      <c r="F350">
        <f>VLOOKUP(B350,raw!A:K,5,0)</f>
        <v>0</v>
      </c>
      <c r="G350">
        <f>VLOOKUP(B350,raw!A:K,2,0)+VLOOKUP(B350,raw!A:K,10,0)</f>
        <v>0</v>
      </c>
      <c r="H350">
        <f>VLOOKUP(B350,raw!A:K,6,0)</f>
        <v>0</v>
      </c>
      <c r="I350">
        <f>VLOOKUP(B350,raw!A:K,9,0)</f>
        <v>0</v>
      </c>
      <c r="J350">
        <f>VLOOKUP(B350,raw!A:K,8,0)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VLOOKUP(B351,raw!A:K,11,0)</f>
        <v>208</v>
      </c>
      <c r="D351">
        <f>VLOOKUP(B351,raw!A:K,3,0)+VLOOKUP(B351,raw!A:K,7,0)</f>
        <v>129</v>
      </c>
      <c r="E351">
        <f>VLOOKUP(B351,raw!A:K,4,0)</f>
        <v>1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75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VLOOKUP(B352,raw!A:K,11,0)</f>
        <v>196</v>
      </c>
      <c r="D352">
        <f>VLOOKUP(B352,raw!A:K,3,0)+VLOOKUP(B352,raw!A:K,7,0)</f>
        <v>192</v>
      </c>
      <c r="E352">
        <f>VLOOKUP(B352,raw!A:K,4,0)</f>
        <v>1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3</v>
      </c>
      <c r="J352">
        <f>VLOOKUP(B352,raw!A:K,8,0)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VLOOKUP(B353,raw!A:K,11,0)</f>
        <v>69</v>
      </c>
      <c r="D353">
        <f>VLOOKUP(B353,raw!A:K,3,0)+VLOOKUP(B353,raw!A:K,7,0)</f>
        <v>68</v>
      </c>
      <c r="E353">
        <f>VLOOKUP(B353,raw!A:K,4,0)</f>
        <v>0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</v>
      </c>
      <c r="J353">
        <f>VLOOKUP(B353,raw!A:K,8,0)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VLOOKUP(B354,raw!A:K,11,0)</f>
        <v>181</v>
      </c>
      <c r="D354">
        <f>VLOOKUP(B354,raw!A:K,3,0)+VLOOKUP(B354,raw!A:K,7,0)</f>
        <v>65</v>
      </c>
      <c r="E354">
        <f>VLOOKUP(B354,raw!A:K,4,0)</f>
        <v>0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116</v>
      </c>
      <c r="J354">
        <f>VLOOKUP(B354,raw!A:K,8,0)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82</v>
      </c>
      <c r="E355">
        <f>VLOOKUP(B355,raw!A:K,4,0)</f>
        <v>0</v>
      </c>
      <c r="F355">
        <f>VLOOKUP(B355,raw!A:K,5,0)</f>
        <v>0</v>
      </c>
      <c r="G355">
        <f>VLOOKUP(B355,raw!A:K,2,0)+VLOOKUP(B355,raw!A:K,10,0)</f>
        <v>2</v>
      </c>
      <c r="H355">
        <f>VLOOKUP(B355,raw!A:K,6,0)</f>
        <v>0</v>
      </c>
      <c r="I355">
        <f>VLOOKUP(B355,raw!A:K,9,0)</f>
        <v>0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181</v>
      </c>
      <c r="E356">
        <f>VLOOKUP(B356,raw!A:K,4,0)</f>
        <v>0</v>
      </c>
      <c r="F356">
        <f>VLOOKUP(B356,raw!A:K,5,0)</f>
        <v>0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37</v>
      </c>
      <c r="J356">
        <f>VLOOKUP(B356,raw!A:K,8,0)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209</v>
      </c>
      <c r="E357">
        <f>VLOOKUP(B357,raw!A:K,4,0)</f>
        <v>1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28</v>
      </c>
      <c r="J357">
        <f>VLOOKUP(B357,raw!A:K,8,0)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VLOOKUP(B358,raw!A:K,11,0)</f>
        <v>223</v>
      </c>
      <c r="D358">
        <f>VLOOKUP(B358,raw!A:K,3,0)+VLOOKUP(B358,raw!A:K,7,0)</f>
        <v>71</v>
      </c>
      <c r="E358">
        <f>VLOOKUP(B358,raw!A:K,4,0)</f>
        <v>0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152</v>
      </c>
      <c r="J358">
        <f>VLOOKUP(B358,raw!A:K,8,0)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VLOOKUP(B359,raw!A:K,11,0)</f>
        <v>131</v>
      </c>
      <c r="D359">
        <f>VLOOKUP(B359,raw!A:K,3,0)+VLOOKUP(B359,raw!A:K,7,0)</f>
        <v>129</v>
      </c>
      <c r="E359">
        <f>VLOOKUP(B359,raw!A:K,4,0)</f>
        <v>0</v>
      </c>
      <c r="F359">
        <f>VLOOKUP(B359,raw!A:K,5,0)</f>
        <v>0</v>
      </c>
      <c r="G359">
        <f>VLOOKUP(B359,raw!A:K,2,0)+VLOOKUP(B359,raw!A:K,10,0)</f>
        <v>2</v>
      </c>
      <c r="H359">
        <f>VLOOKUP(B359,raw!A:K,6,0)</f>
        <v>0</v>
      </c>
      <c r="I359">
        <f>VLOOKUP(B359,raw!A:K,9,0)</f>
        <v>0</v>
      </c>
      <c r="J359">
        <f>VLOOKUP(B359,raw!A:K,8,0)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94</v>
      </c>
      <c r="E360">
        <f>VLOOKUP(B360,raw!A:K,4,0)</f>
        <v>0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2</v>
      </c>
      <c r="J360">
        <f>VLOOKUP(B360,raw!A:K,8,0)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VLOOKUP(B361,raw!A:K,11,0)</f>
        <v>118</v>
      </c>
      <c r="D361">
        <f>VLOOKUP(B361,raw!A:K,3,0)+VLOOKUP(B361,raw!A:K,7,0)</f>
        <v>118</v>
      </c>
      <c r="E361">
        <f>VLOOKUP(B361,raw!A:K,4,0)</f>
        <v>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121</v>
      </c>
      <c r="D362">
        <f>VLOOKUP(B362,raw!A:K,3,0)+VLOOKUP(B362,raw!A:K,7,0)</f>
        <v>121</v>
      </c>
      <c r="E362">
        <f>VLOOKUP(B362,raw!A:K,4,0)</f>
        <v>0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VLOOKUP(B363,raw!A:K,11,0)</f>
        <v>118</v>
      </c>
      <c r="D363">
        <f>VLOOKUP(B363,raw!A:K,3,0)+VLOOKUP(B363,raw!A:K,7,0)</f>
        <v>117</v>
      </c>
      <c r="E363">
        <f>VLOOKUP(B363,raw!A:K,4,0)</f>
        <v>0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0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VLOOKUP(B364,raw!A:K,11,0)</f>
        <v>98</v>
      </c>
      <c r="D364">
        <f>VLOOKUP(B364,raw!A:K,3,0)+VLOOKUP(B364,raw!A:K,7,0)</f>
        <v>98</v>
      </c>
      <c r="E364">
        <f>VLOOKUP(B364,raw!A:K,4,0)</f>
        <v>0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182</v>
      </c>
      <c r="D366">
        <f>VLOOKUP(B366,raw!A:K,3,0)+VLOOKUP(B366,raw!A:K,7,0)</f>
        <v>178</v>
      </c>
      <c r="E366">
        <f>VLOOKUP(B366,raw!A:K,4,0)</f>
        <v>0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4</v>
      </c>
      <c r="J366">
        <f>VLOOKUP(B366,raw!A:K,8,0)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VLOOKUP(B367,raw!A:K,11,0)</f>
        <v>244</v>
      </c>
      <c r="D367">
        <f>VLOOKUP(B367,raw!A:K,3,0)+VLOOKUP(B367,raw!A:K,7,0)</f>
        <v>163</v>
      </c>
      <c r="E367">
        <f>VLOOKUP(B367,raw!A:K,4,0)</f>
        <v>0</v>
      </c>
      <c r="F367">
        <f>VLOOKUP(B367,raw!A:K,5,0)</f>
        <v>0</v>
      </c>
      <c r="G367">
        <f>VLOOKUP(B367,raw!A:K,2,0)+VLOOKUP(B367,raw!A:K,10,0)</f>
        <v>4</v>
      </c>
      <c r="H367">
        <f>VLOOKUP(B367,raw!A:K,6,0)</f>
        <v>0</v>
      </c>
      <c r="I367">
        <f>VLOOKUP(B367,raw!A:K,9,0)</f>
        <v>77</v>
      </c>
      <c r="J367">
        <f>VLOOKUP(B367,raw!A:K,8,0)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VLOOKUP(B368,raw!A:K,11,0)</f>
        <v>164</v>
      </c>
      <c r="D368">
        <f>VLOOKUP(B368,raw!A:K,3,0)+VLOOKUP(B368,raw!A:K,7,0)</f>
        <v>90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4</v>
      </c>
      <c r="H368">
        <f>VLOOKUP(B368,raw!A:K,6,0)</f>
        <v>0</v>
      </c>
      <c r="I368">
        <f>VLOOKUP(B368,raw!A:K,9,0)</f>
        <v>70</v>
      </c>
      <c r="J368">
        <f>VLOOKUP(B368,raw!A:K,8,0)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VLOOKUP(B369,raw!A:K,11,0)</f>
        <v>201</v>
      </c>
      <c r="D369">
        <f>VLOOKUP(B369,raw!A:K,3,0)+VLOOKUP(B369,raw!A:K,7,0)</f>
        <v>201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VLOOKUP(B370,raw!A:K,11,0)</f>
        <v>216</v>
      </c>
      <c r="D370">
        <f>VLOOKUP(B370,raw!A:K,3,0)+VLOOKUP(B370,raw!A:K,7,0)</f>
        <v>216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0</v>
      </c>
      <c r="J370">
        <f>VLOOKUP(B370,raw!A:K,8,0)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VLOOKUP(B371,raw!A:K,11,0)</f>
        <v>335</v>
      </c>
      <c r="D371">
        <f>VLOOKUP(B371,raw!A:K,3,0)+VLOOKUP(B371,raw!A:K,7,0)</f>
        <v>335</v>
      </c>
      <c r="E371">
        <f>VLOOKUP(B371,raw!A:K,4,0)</f>
        <v>0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VLOOKUP(B372,raw!A:K,11,0)</f>
        <v>335</v>
      </c>
      <c r="D372">
        <f>VLOOKUP(B372,raw!A:K,3,0)+VLOOKUP(B372,raw!A:K,7,0)</f>
        <v>335</v>
      </c>
      <c r="E372">
        <f>VLOOKUP(B372,raw!A:K,4,0)</f>
        <v>0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VLOOKUP(B373,raw!A:K,11,0)</f>
        <v>135</v>
      </c>
      <c r="D373">
        <f>VLOOKUP(B373,raw!A:K,3,0)+VLOOKUP(B373,raw!A:K,7,0)</f>
        <v>79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2</v>
      </c>
      <c r="H373">
        <f>VLOOKUP(B373,raw!A:K,6,0)</f>
        <v>1</v>
      </c>
      <c r="I373">
        <f>VLOOKUP(B373,raw!A:K,9,0)</f>
        <v>53</v>
      </c>
      <c r="J373">
        <f>VLOOKUP(B373,raw!A:K,8,0)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VLOOKUP(B374,raw!A:K,11,0)</f>
        <v>150</v>
      </c>
      <c r="D374">
        <f>VLOOKUP(B374,raw!A:K,3,0)+VLOOKUP(B374,raw!A:K,7,0)</f>
        <v>110</v>
      </c>
      <c r="E374">
        <f>VLOOKUP(B374,raw!A:K,4,0)</f>
        <v>0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40</v>
      </c>
      <c r="J374">
        <f>VLOOKUP(B374,raw!A:K,8,0)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VLOOKUP(B375,raw!A:K,11,0)</f>
        <v>204</v>
      </c>
      <c r="D375">
        <f>VLOOKUP(B375,raw!A:K,3,0)+VLOOKUP(B375,raw!A:K,7,0)</f>
        <v>204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0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VLOOKUP(B376,raw!A:K,11,0)</f>
        <v>179</v>
      </c>
      <c r="D376">
        <f>VLOOKUP(B376,raw!A:K,3,0)+VLOOKUP(B376,raw!A:K,7,0)</f>
        <v>111</v>
      </c>
      <c r="E376">
        <f>VLOOKUP(B376,raw!A:K,4,0)</f>
        <v>1</v>
      </c>
      <c r="F376">
        <f>VLOOKUP(B376,raw!A:K,5,0)</f>
        <v>0</v>
      </c>
      <c r="G376">
        <f>VLOOKUP(B376,raw!A:K,2,0)+VLOOKUP(B376,raw!A:K,10,0)</f>
        <v>3</v>
      </c>
      <c r="H376">
        <f>VLOOKUP(B376,raw!A:K,6,0)</f>
        <v>0</v>
      </c>
      <c r="I376">
        <f>VLOOKUP(B376,raw!A:K,9,0)</f>
        <v>64</v>
      </c>
      <c r="J376">
        <f>VLOOKUP(B376,raw!A:K,8,0)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VLOOKUP(B377,raw!A:K,11,0)</f>
        <v>158</v>
      </c>
      <c r="D377">
        <f>VLOOKUP(B377,raw!A:K,3,0)+VLOOKUP(B377,raw!A:K,7,0)</f>
        <v>144</v>
      </c>
      <c r="E377">
        <f>VLOOKUP(B377,raw!A:K,4,0)</f>
        <v>12</v>
      </c>
      <c r="F377">
        <f>VLOOKUP(B377,raw!A:K,5,0)</f>
        <v>0</v>
      </c>
      <c r="G377">
        <f>VLOOKUP(B377,raw!A:K,2,0)+VLOOKUP(B377,raw!A:K,10,0)</f>
        <v>2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VLOOKUP(B378,raw!A:K,11,0)</f>
        <v>173</v>
      </c>
      <c r="D378">
        <f>VLOOKUP(B378,raw!A:K,3,0)+VLOOKUP(B378,raw!A:K,7,0)</f>
        <v>100</v>
      </c>
      <c r="E378">
        <f>VLOOKUP(B378,raw!A:K,4,0)</f>
        <v>14</v>
      </c>
      <c r="F378">
        <f>VLOOKUP(B378,raw!A:K,5,0)</f>
        <v>0</v>
      </c>
      <c r="G378">
        <f>VLOOKUP(B378,raw!A:K,2,0)+VLOOKUP(B378,raw!A:K,10,0)</f>
        <v>35</v>
      </c>
      <c r="H378">
        <f>VLOOKUP(B378,raw!A:K,6,0)</f>
        <v>0</v>
      </c>
      <c r="I378">
        <f>VLOOKUP(B378,raw!A:K,9,0)</f>
        <v>24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99</v>
      </c>
      <c r="D379">
        <f>VLOOKUP(B379,raw!A:K,3,0)+VLOOKUP(B379,raw!A:K,7,0)</f>
        <v>14</v>
      </c>
      <c r="E379">
        <f>VLOOKUP(B379,raw!A:K,4,0)</f>
        <v>22</v>
      </c>
      <c r="F379">
        <f>VLOOKUP(B379,raw!A:K,5,0)</f>
        <v>0</v>
      </c>
      <c r="G379">
        <f>VLOOKUP(B379,raw!A:K,2,0)+VLOOKUP(B379,raw!A:K,10,0)</f>
        <v>5</v>
      </c>
      <c r="H379">
        <f>VLOOKUP(B379,raw!A:K,6,0)</f>
        <v>0</v>
      </c>
      <c r="I379">
        <f>VLOOKUP(B379,raw!A:K,9,0)</f>
        <v>58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189</v>
      </c>
      <c r="D380">
        <f>VLOOKUP(B380,raw!A:K,3,0)+VLOOKUP(B380,raw!A:K,7,0)</f>
        <v>184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3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99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4</v>
      </c>
      <c r="H381">
        <f>VLOOKUP(B381,raw!A:K,6,0)</f>
        <v>0</v>
      </c>
      <c r="I381">
        <f>VLOOKUP(B381,raw!A:K,9,0)</f>
        <v>7</v>
      </c>
      <c r="J381">
        <f>VLOOKUP(B381,raw!A:K,8,0)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VLOOKUP(B382,raw!A:K,11,0)</f>
        <v>158</v>
      </c>
      <c r="D382">
        <f>VLOOKUP(B382,raw!A:K,3,0)+VLOOKUP(B382,raw!A:K,7,0)</f>
        <v>143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10</v>
      </c>
      <c r="H382">
        <f>VLOOKUP(B382,raw!A:K,6,0)</f>
        <v>0</v>
      </c>
      <c r="I382">
        <f>VLOOKUP(B382,raw!A:K,9,0)</f>
        <v>5</v>
      </c>
      <c r="J382">
        <f>VLOOKUP(B382,raw!A:K,8,0)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VLOOKUP(B383,raw!A:K,11,0)</f>
        <v>123</v>
      </c>
      <c r="D383">
        <f>VLOOKUP(B383,raw!A:K,3,0)+VLOOKUP(B383,raw!A:K,7,0)</f>
        <v>42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5</v>
      </c>
      <c r="H383">
        <f>VLOOKUP(B383,raw!A:K,6,0)</f>
        <v>0</v>
      </c>
      <c r="I383">
        <f>VLOOKUP(B383,raw!A:K,9,0)</f>
        <v>76</v>
      </c>
      <c r="J383">
        <f>VLOOKUP(B383,raw!A:K,8,0)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VLOOKUP(B384,raw!A:K,11,0)</f>
        <v>201</v>
      </c>
      <c r="D384">
        <f>VLOOKUP(B384,raw!A:K,3,0)+VLOOKUP(B384,raw!A:K,7,0)</f>
        <v>64</v>
      </c>
      <c r="E384">
        <f>VLOOKUP(B384,raw!A:K,4,0)</f>
        <v>28</v>
      </c>
      <c r="F384">
        <f>VLOOKUP(B384,raw!A:K,5,0)</f>
        <v>0</v>
      </c>
      <c r="G384">
        <f>VLOOKUP(B384,raw!A:K,2,0)+VLOOKUP(B384,raw!A:K,10,0)</f>
        <v>6</v>
      </c>
      <c r="H384">
        <f>VLOOKUP(B384,raw!A:K,6,0)</f>
        <v>3</v>
      </c>
      <c r="I384">
        <f>VLOOKUP(B384,raw!A:K,9,0)</f>
        <v>100</v>
      </c>
      <c r="J384">
        <f>VLOOKUP(B384,raw!A:K,8,0)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VLOOKUP(B385,raw!A:K,11,0)</f>
        <v>134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1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103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51</v>
      </c>
      <c r="J386">
        <f>VLOOKUP(B386,raw!A:K,8,0)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VLOOKUP(B387,raw!A:K,11,0)</f>
        <v>126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98</v>
      </c>
      <c r="J387">
        <f>VLOOKUP(B387,raw!A:K,8,0)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VLOOKUP(B388,raw!A:K,11,0)</f>
        <v>158</v>
      </c>
      <c r="D388">
        <f>VLOOKUP(B388,raw!A:K,3,0)+VLOOKUP(B388,raw!A:K,7,0)</f>
        <v>132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26</v>
      </c>
      <c r="J388">
        <f>VLOOKUP(B388,raw!A:K,8,0)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VLOOKUP(B389,raw!A:K,11,0)</f>
        <v>139</v>
      </c>
      <c r="D389">
        <f>VLOOKUP(B389,raw!A:K,3,0)+VLOOKUP(B389,raw!A:K,7,0)</f>
        <v>17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122</v>
      </c>
      <c r="J389">
        <f>VLOOKUP(B389,raw!A:K,8,0)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41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VLOOKUP(B392,raw!A:K,11,0)</f>
        <v>183</v>
      </c>
      <c r="D392">
        <f>VLOOKUP(B392,raw!A:K,3,0)+VLOOKUP(B392,raw!A:K,7,0)</f>
        <v>89</v>
      </c>
      <c r="E392">
        <f>VLOOKUP(B392,raw!A:K,4,0)</f>
        <v>1</v>
      </c>
      <c r="F392">
        <f>VLOOKUP(B392,raw!A:K,5,0)</f>
        <v>0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93</v>
      </c>
      <c r="J392">
        <f>VLOOKUP(B392,raw!A:K,8,0)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VLOOKUP(B393,raw!A:K,11,0)</f>
        <v>164</v>
      </c>
      <c r="D393">
        <f>VLOOKUP(B393,raw!A:K,3,0)+VLOOKUP(B393,raw!A:K,7,0)</f>
        <v>129</v>
      </c>
      <c r="E393">
        <f>VLOOKUP(B393,raw!A:K,4,0)</f>
        <v>3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32</v>
      </c>
      <c r="J393">
        <f>VLOOKUP(B393,raw!A:K,8,0)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VLOOKUP(B394,raw!A:K,11,0)</f>
        <v>128</v>
      </c>
      <c r="D394">
        <f>VLOOKUP(B394,raw!A:K,3,0)+VLOOKUP(B394,raw!A:K,7,0)</f>
        <v>13</v>
      </c>
      <c r="E394">
        <f>VLOOKUP(B394,raw!A:K,4,0)</f>
        <v>2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113</v>
      </c>
      <c r="J394">
        <f>VLOOKUP(B394,raw!A:K,8,0)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VLOOKUP(B395,raw!A:K,11,0)</f>
        <v>137</v>
      </c>
      <c r="D395">
        <f>VLOOKUP(B395,raw!A:K,3,0)+VLOOKUP(B395,raw!A:K,7,0)</f>
        <v>12</v>
      </c>
      <c r="E395">
        <f>VLOOKUP(B395,raw!A:K,4,0)</f>
        <v>0</v>
      </c>
      <c r="F395">
        <f>VLOOKUP(B395,raw!A:K,5,0)</f>
        <v>0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125</v>
      </c>
      <c r="J395">
        <f>VLOOKUP(B395,raw!A:K,8,0)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VLOOKUP(B396,raw!A:K,11,0)</f>
        <v>131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67</v>
      </c>
      <c r="J396">
        <f>VLOOKUP(B396,raw!A:K,8,0)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VLOOKUP(B397,raw!A:K,11,0)</f>
        <v>144</v>
      </c>
      <c r="D397">
        <f>VLOOKUP(B397,raw!A:K,3,0)+VLOOKUP(B397,raw!A:K,7,0)</f>
        <v>16</v>
      </c>
      <c r="E397">
        <f>VLOOKUP(B397,raw!A:K,4,0)</f>
        <v>2</v>
      </c>
      <c r="F397">
        <f>VLOOKUP(B397,raw!A:K,5,0)</f>
        <v>0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126</v>
      </c>
      <c r="J397">
        <f>VLOOKUP(B397,raw!A:K,8,0)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VLOOKUP(B398,raw!A:K,11,0)</f>
        <v>86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75</v>
      </c>
      <c r="J398">
        <f>VLOOKUP(B398,raw!A:K,8,0)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VLOOKUP(B399,raw!A:K,11,0)</f>
        <v>56</v>
      </c>
      <c r="D399">
        <f>VLOOKUP(B399,raw!A:K,3,0)+VLOOKUP(B399,raw!A:K,7,0)</f>
        <v>56</v>
      </c>
      <c r="E399">
        <f>VLOOKUP(B399,raw!A:K,4,0)</f>
        <v>0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74</v>
      </c>
      <c r="D400">
        <f>VLOOKUP(B400,raw!A:K,3,0)+VLOOKUP(B400,raw!A:K,7,0)</f>
        <v>74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VLOOKUP(B401,raw!A:K,11,0)</f>
        <v>84</v>
      </c>
      <c r="D401">
        <f>VLOOKUP(B401,raw!A:K,3,0)+VLOOKUP(B401,raw!A:K,7,0)</f>
        <v>83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VLOOKUP(B402,raw!A:K,11,0)</f>
        <v>153</v>
      </c>
      <c r="D402">
        <f>VLOOKUP(B402,raw!A:K,3,0)+VLOOKUP(B402,raw!A:K,7,0)</f>
        <v>153</v>
      </c>
      <c r="E402">
        <f>VLOOKUP(B402,raw!A:K,4,0)</f>
        <v>0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0</v>
      </c>
      <c r="J402">
        <f>VLOOKUP(B402,raw!A:K,8,0)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VLOOKUP(B403,raw!A:K,11,0)</f>
        <v>75</v>
      </c>
      <c r="D403">
        <f>VLOOKUP(B403,raw!A:K,3,0)+VLOOKUP(B403,raw!A:K,7,0)</f>
        <v>74</v>
      </c>
      <c r="E403">
        <f>VLOOKUP(B403,raw!A:K,4,0)</f>
        <v>0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89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2</v>
      </c>
      <c r="H404">
        <f>VLOOKUP(B404,raw!A:K,6,0)</f>
        <v>0</v>
      </c>
      <c r="I404">
        <f>VLOOKUP(B404,raw!A:K,9,0)</f>
        <v>0</v>
      </c>
      <c r="J404">
        <f>VLOOKUP(B404,raw!A:K,8,0)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VLOOKUP(B405,raw!A:K,11,0)</f>
        <v>83</v>
      </c>
      <c r="D405">
        <f>VLOOKUP(B405,raw!A:K,3,0)+VLOOKUP(B405,raw!A:K,7,0)</f>
        <v>83</v>
      </c>
      <c r="E405">
        <f>VLOOKUP(B405,raw!A:K,4,0)</f>
        <v>0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VLOOKUP(B406,raw!A:K,11,0)</f>
        <v>182</v>
      </c>
      <c r="D406">
        <f>VLOOKUP(B406,raw!A:K,3,0)+VLOOKUP(B406,raw!A:K,7,0)</f>
        <v>179</v>
      </c>
      <c r="E406">
        <f>VLOOKUP(B406,raw!A:K,4,0)</f>
        <v>0</v>
      </c>
      <c r="F406">
        <f>VLOOKUP(B406,raw!A:K,5,0)</f>
        <v>0</v>
      </c>
      <c r="G406">
        <f>VLOOKUP(B406,raw!A:K,2,0)+VLOOKUP(B406,raw!A:K,10,0)</f>
        <v>3</v>
      </c>
      <c r="H406">
        <f>VLOOKUP(B406,raw!A:K,6,0)</f>
        <v>0</v>
      </c>
      <c r="I406">
        <f>VLOOKUP(B406,raw!A:K,9,0)</f>
        <v>0</v>
      </c>
      <c r="J406">
        <f>VLOOKUP(B406,raw!A:K,8,0)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VLOOKUP(B407,raw!A:K,11,0)</f>
        <v>86</v>
      </c>
      <c r="D407">
        <f>VLOOKUP(B407,raw!A:K,3,0)+VLOOKUP(B407,raw!A:K,7,0)</f>
        <v>85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0</v>
      </c>
      <c r="J407">
        <f>VLOOKUP(B407,raw!A:K,8,0)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VLOOKUP(B408,raw!A:K,11,0)</f>
        <v>101</v>
      </c>
      <c r="D408">
        <f>VLOOKUP(B408,raw!A:K,3,0)+VLOOKUP(B408,raw!A:K,7,0)</f>
        <v>98</v>
      </c>
      <c r="E408">
        <f>VLOOKUP(B408,raw!A:K,4,0)</f>
        <v>1</v>
      </c>
      <c r="F408">
        <f>VLOOKUP(B408,raw!A:K,5,0)</f>
        <v>0</v>
      </c>
      <c r="G408">
        <f>VLOOKUP(B408,raw!A:K,2,0)+VLOOKUP(B408,raw!A:K,10,0)</f>
        <v>2</v>
      </c>
      <c r="H408">
        <f>VLOOKUP(B408,raw!A:K,6,0)</f>
        <v>0</v>
      </c>
      <c r="I408">
        <f>VLOOKUP(B408,raw!A:K,9,0)</f>
        <v>0</v>
      </c>
      <c r="J408">
        <f>VLOOKUP(B408,raw!A:K,8,0)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VLOOKUP(B409,raw!A:K,11,0)</f>
        <v>139</v>
      </c>
      <c r="D409">
        <f>VLOOKUP(B409,raw!A:K,3,0)+VLOOKUP(B409,raw!A:K,7,0)</f>
        <v>135</v>
      </c>
      <c r="E409">
        <f>VLOOKUP(B409,raw!A:K,4,0)</f>
        <v>0</v>
      </c>
      <c r="F409">
        <f>VLOOKUP(B409,raw!A:K,5,0)</f>
        <v>0</v>
      </c>
      <c r="G409">
        <f>VLOOKUP(B409,raw!A:K,2,0)+VLOOKUP(B409,raw!A:K,10,0)</f>
        <v>4</v>
      </c>
      <c r="H409">
        <f>VLOOKUP(B409,raw!A:K,6,0)</f>
        <v>0</v>
      </c>
      <c r="I409">
        <f>VLOOKUP(B409,raw!A:K,9,0)</f>
        <v>0</v>
      </c>
      <c r="J409">
        <f>VLOOKUP(B409,raw!A:K,8,0)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VLOOKUP(B410,raw!A:K,11,0)</f>
        <v>116</v>
      </c>
      <c r="D410">
        <f>VLOOKUP(B410,raw!A:K,3,0)+VLOOKUP(B410,raw!A:K,7,0)</f>
        <v>106</v>
      </c>
      <c r="E410">
        <f>VLOOKUP(B410,raw!A:K,4,0)</f>
        <v>3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0</v>
      </c>
      <c r="J410">
        <f>VLOOKUP(B410,raw!A:K,8,0)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117</v>
      </c>
      <c r="E411">
        <f>VLOOKUP(B411,raw!A:K,4,0)</f>
        <v>1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7</v>
      </c>
      <c r="J411">
        <f>VLOOKUP(B411,raw!A:K,8,0)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79</v>
      </c>
      <c r="E412">
        <f>VLOOKUP(B412,raw!A:K,4,0)</f>
        <v>0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112</v>
      </c>
      <c r="E413">
        <f>VLOOKUP(B413,raw!A:K,4,0)</f>
        <v>0</v>
      </c>
      <c r="F413">
        <f>VLOOKUP(B413,raw!A:K,5,0)</f>
        <v>0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0</v>
      </c>
      <c r="J413">
        <f>VLOOKUP(B413,raw!A:K,8,0)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VLOOKUP(B414,raw!A:K,11,0)</f>
        <v>219</v>
      </c>
      <c r="D414">
        <f>VLOOKUP(B414,raw!A:K,3,0)+VLOOKUP(B414,raw!A:K,7,0)</f>
        <v>206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5</v>
      </c>
      <c r="H414">
        <f>VLOOKUP(B414,raw!A:K,6,0)</f>
        <v>0</v>
      </c>
      <c r="I414">
        <f>VLOOKUP(B414,raw!A:K,9,0)</f>
        <v>8</v>
      </c>
      <c r="J414">
        <f>VLOOKUP(B414,raw!A:K,8,0)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VLOOKUP(B415,raw!A:K,11,0)</f>
        <v>252</v>
      </c>
      <c r="D415">
        <f>VLOOKUP(B415,raw!A:K,3,0)+VLOOKUP(B415,raw!A:K,7,0)</f>
        <v>192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14</v>
      </c>
      <c r="H415">
        <f>VLOOKUP(B415,raw!A:K,6,0)</f>
        <v>0</v>
      </c>
      <c r="I415">
        <f>VLOOKUP(B415,raw!A:K,9,0)</f>
        <v>46</v>
      </c>
      <c r="J415">
        <f>VLOOKUP(B415,raw!A:K,8,0)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VLOOKUP(B416,raw!A:K,11,0)</f>
        <v>179</v>
      </c>
      <c r="D416">
        <f>VLOOKUP(B416,raw!A:K,3,0)+VLOOKUP(B416,raw!A:K,7,0)</f>
        <v>154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25</v>
      </c>
      <c r="J416">
        <f>VLOOKUP(B416,raw!A:K,8,0)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VLOOKUP(B417,raw!A:K,11,0)</f>
        <v>135</v>
      </c>
      <c r="D417">
        <f>VLOOKUP(B417,raw!A:K,3,0)+VLOOKUP(B417,raw!A:K,7,0)</f>
        <v>114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21</v>
      </c>
      <c r="J417">
        <f>VLOOKUP(B417,raw!A:K,8,0)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VLOOKUP(B418,raw!A:K,11,0)</f>
        <v>85</v>
      </c>
      <c r="D418">
        <f>VLOOKUP(B418,raw!A:K,3,0)+VLOOKUP(B418,raw!A:K,7,0)</f>
        <v>69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1</v>
      </c>
      <c r="H418">
        <f>VLOOKUP(B418,raw!A:K,6,0)</f>
        <v>0</v>
      </c>
      <c r="I418">
        <f>VLOOKUP(B418,raw!A:K,9,0)</f>
        <v>15</v>
      </c>
      <c r="J418">
        <f>VLOOKUP(B418,raw!A:K,8,0)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173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12</v>
      </c>
      <c r="J419">
        <f>VLOOKUP(B419,raw!A:K,8,0)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104</v>
      </c>
      <c r="E420">
        <f>VLOOKUP(B420,raw!A:K,4,0)</f>
        <v>0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1</v>
      </c>
      <c r="I420">
        <f>VLOOKUP(B420,raw!A:K,9,0)</f>
        <v>14</v>
      </c>
      <c r="J420">
        <f>VLOOKUP(B420,raw!A:K,8,0)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66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86</v>
      </c>
      <c r="E422">
        <f>VLOOKUP(B422,raw!A:K,4,0)</f>
        <v>0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14</v>
      </c>
      <c r="J422">
        <f>VLOOKUP(B422,raw!A:K,8,0)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VLOOKUP(B423,raw!A:K,11,0)</f>
        <v>182</v>
      </c>
      <c r="D423">
        <f>VLOOKUP(B423,raw!A:K,3,0)+VLOOKUP(B423,raw!A:K,7,0)</f>
        <v>178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4</v>
      </c>
      <c r="J423">
        <f>VLOOKUP(B423,raw!A:K,8,0)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VLOOKUP(B424,raw!A:K,11,0)</f>
        <v>241</v>
      </c>
      <c r="D424">
        <f>VLOOKUP(B424,raw!A:K,3,0)+VLOOKUP(B424,raw!A:K,7,0)</f>
        <v>233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8</v>
      </c>
      <c r="J424">
        <f>VLOOKUP(B424,raw!A:K,8,0)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VLOOKUP(B425,raw!A:K,11,0)</f>
        <v>148</v>
      </c>
      <c r="D425">
        <f>VLOOKUP(B425,raw!A:K,3,0)+VLOOKUP(B425,raw!A:K,7,0)</f>
        <v>136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12</v>
      </c>
      <c r="J425">
        <f>VLOOKUP(B425,raw!A:K,8,0)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148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VLOOKUP(B427,raw!A:K,11,0)</f>
        <v>104</v>
      </c>
      <c r="D427">
        <f>VLOOKUP(B427,raw!A:K,3,0)+VLOOKUP(B427,raw!A:K,7,0)</f>
        <v>90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14</v>
      </c>
      <c r="J427">
        <f>VLOOKUP(B427,raw!A:K,8,0)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74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14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153</v>
      </c>
      <c r="D429">
        <f>VLOOKUP(B429,raw!A:K,3,0)+VLOOKUP(B429,raw!A:K,7,0)</f>
        <v>127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3</v>
      </c>
      <c r="H429">
        <f>VLOOKUP(B429,raw!A:K,6,0)</f>
        <v>0</v>
      </c>
      <c r="I429">
        <f>VLOOKUP(B429,raw!A:K,9,0)</f>
        <v>23</v>
      </c>
      <c r="J429">
        <f>VLOOKUP(B429,raw!A:K,8,0)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VLOOKUP(B430,raw!A:K,11,0)</f>
        <v>251</v>
      </c>
      <c r="D430">
        <f>VLOOKUP(B430,raw!A:K,3,0)+VLOOKUP(B430,raw!A:K,7,0)</f>
        <v>151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1</v>
      </c>
      <c r="H430">
        <f>VLOOKUP(B430,raw!A:K,6,0)</f>
        <v>0</v>
      </c>
      <c r="I430">
        <f>VLOOKUP(B430,raw!A:K,9,0)</f>
        <v>99</v>
      </c>
      <c r="J430">
        <f>VLOOKUP(B430,raw!A:K,8,0)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249</v>
      </c>
      <c r="E431">
        <f>VLOOKUP(B431,raw!A:K,4,0)</f>
        <v>20</v>
      </c>
      <c r="F431">
        <f>VLOOKUP(B431,raw!A:K,5,0)</f>
        <v>0</v>
      </c>
      <c r="G431">
        <f>VLOOKUP(B431,raw!A:K,2,0)+VLOOKUP(B431,raw!A:K,10,0)</f>
        <v>43</v>
      </c>
      <c r="H431">
        <f>VLOOKUP(B431,raw!A:K,6,0)</f>
        <v>0</v>
      </c>
      <c r="I431">
        <f>VLOOKUP(B431,raw!A:K,9,0)</f>
        <v>42</v>
      </c>
      <c r="J431">
        <f>VLOOKUP(B431,raw!A:K,8,0)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111</v>
      </c>
      <c r="J432">
        <f>VLOOKUP(B432,raw!A:K,8,0)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VLOOKUP(B433,raw!A:K,11,0)</f>
        <v>178</v>
      </c>
      <c r="D433">
        <f>VLOOKUP(B433,raw!A:K,3,0)+VLOOKUP(B433,raw!A:K,7,0)</f>
        <v>178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0</v>
      </c>
      <c r="J433">
        <f>VLOOKUP(B433,raw!A:K,8,0)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VLOOKUP(B434,raw!A:K,11,0)</f>
        <v>110</v>
      </c>
      <c r="D434">
        <f>VLOOKUP(B434,raw!A:K,3,0)+VLOOKUP(B434,raw!A:K,7,0)</f>
        <v>110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180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16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11</v>
      </c>
      <c r="H436">
        <f>VLOOKUP(B436,raw!A:K,6,0)</f>
        <v>0</v>
      </c>
      <c r="I436">
        <f>VLOOKUP(B436,raw!A:K,9,0)</f>
        <v>199</v>
      </c>
      <c r="J436">
        <f>VLOOKUP(B436,raw!A:K,8,0)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104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0</v>
      </c>
      <c r="J437">
        <f>VLOOKUP(B437,raw!A:K,8,0)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3</v>
      </c>
      <c r="H438">
        <f>VLOOKUP(B438,raw!A:K,6,0)</f>
        <v>3</v>
      </c>
      <c r="I438">
        <f>VLOOKUP(B438,raw!A:K,9,0)</f>
        <v>108</v>
      </c>
      <c r="J438">
        <f>VLOOKUP(B438,raw!A:K,8,0)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VLOOKUP(B439,raw!A:K,11,0)</f>
        <v>239</v>
      </c>
      <c r="D439">
        <f>VLOOKUP(B439,raw!A:K,3,0)+VLOOKUP(B439,raw!A:K,7,0)</f>
        <v>194</v>
      </c>
      <c r="E439">
        <f>VLOOKUP(B439,raw!A:K,4,0)</f>
        <v>0</v>
      </c>
      <c r="F439">
        <f>VLOOKUP(B439,raw!A:K,5,0)</f>
        <v>0</v>
      </c>
      <c r="G439">
        <f>VLOOKUP(B439,raw!A:K,2,0)+VLOOKUP(B439,raw!A:K,10,0)</f>
        <v>6</v>
      </c>
      <c r="H439">
        <f>VLOOKUP(B439,raw!A:K,6,0)</f>
        <v>0</v>
      </c>
      <c r="I439">
        <f>VLOOKUP(B439,raw!A:K,9,0)</f>
        <v>39</v>
      </c>
      <c r="J439">
        <f>VLOOKUP(B439,raw!A:K,8,0)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VLOOKUP(B440,raw!A:K,11,0)</f>
        <v>227</v>
      </c>
      <c r="D440">
        <f>VLOOKUP(B440,raw!A:K,3,0)+VLOOKUP(B440,raw!A:K,7,0)</f>
        <v>188</v>
      </c>
      <c r="E440">
        <f>VLOOKUP(B440,raw!A:K,4,0)</f>
        <v>0</v>
      </c>
      <c r="F440">
        <f>VLOOKUP(B440,raw!A:K,5,0)</f>
        <v>0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38</v>
      </c>
      <c r="J440">
        <f>VLOOKUP(B440,raw!A:K,8,0)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VLOOKUP(B441,raw!A:K,11,0)</f>
        <v>145</v>
      </c>
      <c r="D441">
        <f>VLOOKUP(B441,raw!A:K,3,0)+VLOOKUP(B441,raw!A:K,7,0)</f>
        <v>126</v>
      </c>
      <c r="E441">
        <f>VLOOKUP(B441,raw!A:K,4,0)</f>
        <v>0</v>
      </c>
      <c r="F441">
        <f>VLOOKUP(B441,raw!A:K,5,0)</f>
        <v>0</v>
      </c>
      <c r="G441">
        <f>VLOOKUP(B441,raw!A:K,2,0)+VLOOKUP(B441,raw!A:K,10,0)</f>
        <v>6</v>
      </c>
      <c r="H441">
        <f>VLOOKUP(B441,raw!A:K,6,0)</f>
        <v>0</v>
      </c>
      <c r="I441">
        <f>VLOOKUP(B441,raw!A:K,9,0)</f>
        <v>13</v>
      </c>
      <c r="J441">
        <f>VLOOKUP(B441,raw!A:K,8,0)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29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1</v>
      </c>
      <c r="I442">
        <f>VLOOKUP(B442,raw!A:K,9,0)</f>
        <v>4</v>
      </c>
      <c r="J442">
        <f>VLOOKUP(B442,raw!A:K,8,0)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171</v>
      </c>
      <c r="D444">
        <f>VLOOKUP(B444,raw!A:K,3,0)+VLOOKUP(B444,raw!A:K,7,0)</f>
        <v>165</v>
      </c>
      <c r="E444">
        <f>VLOOKUP(B444,raw!A:K,4,0)</f>
        <v>0</v>
      </c>
      <c r="F444">
        <f>VLOOKUP(B444,raw!A:K,5,0)</f>
        <v>0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5</v>
      </c>
      <c r="J444">
        <f>VLOOKUP(B444,raw!A:K,8,0)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VLOOKUP(B445,raw!A:K,11,0)</f>
        <v>140</v>
      </c>
      <c r="D445">
        <f>VLOOKUP(B445,raw!A:K,3,0)+VLOOKUP(B445,raw!A:K,7,0)</f>
        <v>140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116</v>
      </c>
      <c r="D446">
        <f>VLOOKUP(B446,raw!A:K,3,0)+VLOOKUP(B446,raw!A:K,7,0)</f>
        <v>116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VLOOKUP(B447,raw!A:K,11,0)</f>
        <v>57</v>
      </c>
      <c r="D447">
        <f>VLOOKUP(B447,raw!A:K,3,0)+VLOOKUP(B447,raw!A:K,7,0)</f>
        <v>57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45</v>
      </c>
      <c r="D448">
        <f>VLOOKUP(B448,raw!A:K,3,0)+VLOOKUP(B448,raw!A:K,7,0)</f>
        <v>45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62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57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58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2</v>
      </c>
      <c r="J451">
        <f>VLOOKUP(B451,raw!A:K,8,0)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VLOOKUP(B452,raw!A:K,11,0)</f>
        <v>42</v>
      </c>
      <c r="D452">
        <f>VLOOKUP(B452,raw!A:K,3,0)+VLOOKUP(B452,raw!A:K,7,0)</f>
        <v>42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VLOOKUP(B453,raw!A:K,11,0)</f>
        <v>54</v>
      </c>
      <c r="D453">
        <f>VLOOKUP(B453,raw!A:K,3,0)+VLOOKUP(B453,raw!A:K,7,0)</f>
        <v>50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VLOOKUP(B454,raw!A:K,11,0)</f>
        <v>197</v>
      </c>
      <c r="D454">
        <f>VLOOKUP(B454,raw!A:K,3,0)+VLOOKUP(B454,raw!A:K,7,0)</f>
        <v>197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VLOOKUP(B455,raw!A:K,11,0)</f>
        <v>146</v>
      </c>
      <c r="D455">
        <f>VLOOKUP(B455,raw!A:K,3,0)+VLOOKUP(B455,raw!A:K,7,0)</f>
        <v>146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VLOOKUP(B456,raw!A:K,11,0)</f>
        <v>92</v>
      </c>
      <c r="D456">
        <f>VLOOKUP(B456,raw!A:K,3,0)+VLOOKUP(B456,raw!A:K,7,0)</f>
        <v>92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VLOOKUP(B457,raw!A:K,11,0)</f>
        <v>79</v>
      </c>
      <c r="D457">
        <f>VLOOKUP(B457,raw!A:K,3,0)+VLOOKUP(B457,raw!A:K,7,0)</f>
        <v>79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VLOOKUP(B458,raw!A:K,11,0)</f>
        <v>57</v>
      </c>
      <c r="D458">
        <f>VLOOKUP(B458,raw!A:K,3,0)+VLOOKUP(B458,raw!A:K,7,0)</f>
        <v>57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VLOOKUP(B459,raw!A:K,11,0)</f>
        <v>211</v>
      </c>
      <c r="D459">
        <f>VLOOKUP(B459,raw!A:K,3,0)+VLOOKUP(B459,raw!A:K,7,0)</f>
        <v>211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0</v>
      </c>
      <c r="J459">
        <f>VLOOKUP(B459,raw!A:K,8,0)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VLOOKUP(B460,raw!A:K,11,0)</f>
        <v>167</v>
      </c>
      <c r="D460">
        <f>VLOOKUP(B460,raw!A:K,3,0)+VLOOKUP(B460,raw!A:K,7,0)</f>
        <v>164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3</v>
      </c>
      <c r="J460">
        <f>VLOOKUP(B460,raw!A:K,8,0)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VLOOKUP(B461,raw!A:K,11,0)</f>
        <v>66</v>
      </c>
      <c r="D461">
        <f>VLOOKUP(B461,raw!A:K,3,0)+VLOOKUP(B461,raw!A:K,7,0)</f>
        <v>62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4</v>
      </c>
      <c r="J461">
        <f>VLOOKUP(B461,raw!A:K,8,0)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VLOOKUP(B462,raw!A:K,11,0)</f>
        <v>103</v>
      </c>
      <c r="D462">
        <f>VLOOKUP(B462,raw!A:K,3,0)+VLOOKUP(B462,raw!A:K,7,0)</f>
        <v>103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VLOOKUP(B463,raw!A:K,11,0)</f>
        <v>93</v>
      </c>
      <c r="D463">
        <f>VLOOKUP(B463,raw!A:K,3,0)+VLOOKUP(B463,raw!A:K,7,0)</f>
        <v>91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1</v>
      </c>
      <c r="H463">
        <f>VLOOKUP(B463,raw!A:K,6,0)</f>
        <v>0</v>
      </c>
      <c r="I463">
        <f>VLOOKUP(B463,raw!A:K,9,0)</f>
        <v>1</v>
      </c>
      <c r="J463">
        <f>VLOOKUP(B463,raw!A:K,8,0)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VLOOKUP(B464,raw!A:K,11,0)</f>
        <v>162</v>
      </c>
      <c r="D464">
        <f>VLOOKUP(B464,raw!A:K,3,0)+VLOOKUP(B464,raw!A:K,7,0)</f>
        <v>152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1</v>
      </c>
      <c r="H464">
        <f>VLOOKUP(B464,raw!A:K,6,0)</f>
        <v>0</v>
      </c>
      <c r="I464">
        <f>VLOOKUP(B464,raw!A:K,9,0)</f>
        <v>9</v>
      </c>
      <c r="J464">
        <f>VLOOKUP(B464,raw!A:K,8,0)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2</v>
      </c>
      <c r="J465">
        <f>VLOOKUP(B465,raw!A:K,8,0)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4</v>
      </c>
      <c r="J466">
        <f>VLOOKUP(B466,raw!A:K,8,0)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VLOOKUP(B467,raw!A:K,11,0)</f>
        <v>55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VLOOKUP(B468,raw!A:K,11,0)</f>
        <v>59</v>
      </c>
      <c r="D468">
        <f>VLOOKUP(B468,raw!A:K,3,0)+VLOOKUP(B468,raw!A:K,7,0)</f>
        <v>43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VLOOKUP(B469,raw!A:K,11,0)</f>
        <v>62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4</v>
      </c>
      <c r="J469">
        <f>VLOOKUP(B469,raw!A:K,8,0)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27</v>
      </c>
      <c r="E470">
        <f>VLOOKUP(B470,raw!A:K,4,0)</f>
        <v>0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94</v>
      </c>
      <c r="J470">
        <f>VLOOKUP(B470,raw!A:K,8,0)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4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59</v>
      </c>
      <c r="J471">
        <f>VLOOKUP(B471,raw!A:K,8,0)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VLOOKUP(B472,raw!A:K,11,0)</f>
        <v>69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56</v>
      </c>
      <c r="J472">
        <f>VLOOKUP(B472,raw!A:K,8,0)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74</v>
      </c>
      <c r="J473">
        <f>VLOOKUP(B473,raw!A:K,8,0)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VLOOKUP(B474,raw!A:K,11,0)</f>
        <v>77</v>
      </c>
      <c r="D474">
        <f>VLOOKUP(B474,raw!A:K,3,0)+VLOOKUP(B474,raw!A:K,7,0)</f>
        <v>71</v>
      </c>
      <c r="E474">
        <f>VLOOKUP(B474,raw!A:K,4,0)</f>
        <v>4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2</v>
      </c>
      <c r="J474">
        <f>VLOOKUP(B474,raw!A:K,8,0)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114</v>
      </c>
      <c r="E475">
        <f>VLOOKUP(B475,raw!A:K,4,0)</f>
        <v>1</v>
      </c>
      <c r="F475">
        <f>VLOOKUP(B475,raw!A:K,5,0)</f>
        <v>0</v>
      </c>
      <c r="G475">
        <f>VLOOKUP(B475,raw!A:K,2,0)+VLOOKUP(B475,raw!A:K,10,0)</f>
        <v>1</v>
      </c>
      <c r="H475">
        <f>VLOOKUP(B475,raw!A:K,6,0)</f>
        <v>0</v>
      </c>
      <c r="I475">
        <f>VLOOKUP(B475,raw!A:K,9,0)</f>
        <v>5</v>
      </c>
      <c r="J475">
        <f>VLOOKUP(B475,raw!A:K,8,0)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VLOOKUP(B476,raw!A:K,11,0)</f>
        <v>192</v>
      </c>
      <c r="D476">
        <f>VLOOKUP(B476,raw!A:K,3,0)+VLOOKUP(B476,raw!A:K,7,0)</f>
        <v>126</v>
      </c>
      <c r="E476">
        <f>VLOOKUP(B476,raw!A:K,4,0)</f>
        <v>0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66</v>
      </c>
      <c r="J476">
        <f>VLOOKUP(B476,raw!A:K,8,0)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VLOOKUP(B477,raw!A:K,11,0)</f>
        <v>170</v>
      </c>
      <c r="D477">
        <f>VLOOKUP(B477,raw!A:K,3,0)+VLOOKUP(B477,raw!A:K,7,0)</f>
        <v>149</v>
      </c>
      <c r="E477">
        <f>VLOOKUP(B477,raw!A:K,4,0)</f>
        <v>7</v>
      </c>
      <c r="F477">
        <f>VLOOKUP(B477,raw!A:K,5,0)</f>
        <v>0</v>
      </c>
      <c r="G477">
        <f>VLOOKUP(B477,raw!A:K,2,0)+VLOOKUP(B477,raw!A:K,10,0)</f>
        <v>4</v>
      </c>
      <c r="H477">
        <f>VLOOKUP(B477,raw!A:K,6,0)</f>
        <v>0</v>
      </c>
      <c r="I477">
        <f>VLOOKUP(B477,raw!A:K,9,0)</f>
        <v>10</v>
      </c>
      <c r="J477">
        <f>VLOOKUP(B477,raw!A:K,8,0)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0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6</v>
      </c>
      <c r="J478">
        <f>VLOOKUP(B478,raw!A:K,8,0)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VLOOKUP(B479,raw!A:K,11,0)</f>
        <v>165</v>
      </c>
      <c r="D479">
        <f>VLOOKUP(B479,raw!A:K,3,0)+VLOOKUP(B479,raw!A:K,7,0)</f>
        <v>36</v>
      </c>
      <c r="E479">
        <f>VLOOKUP(B479,raw!A:K,4,0)</f>
        <v>3</v>
      </c>
      <c r="F479">
        <f>VLOOKUP(B479,raw!A:K,5,0)</f>
        <v>0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126</v>
      </c>
      <c r="J479">
        <f>VLOOKUP(B479,raw!A:K,8,0)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VLOOKUP(B480,raw!A:K,11,0)</f>
        <v>199</v>
      </c>
      <c r="D480">
        <f>VLOOKUP(B480,raw!A:K,3,0)+VLOOKUP(B480,raw!A:K,7,0)</f>
        <v>35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164</v>
      </c>
      <c r="J480">
        <f>VLOOKUP(B480,raw!A:K,8,0)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VLOOKUP(B481,raw!A:K,11,0)</f>
        <v>130</v>
      </c>
      <c r="D481">
        <f>VLOOKUP(B481,raw!A:K,3,0)+VLOOKUP(B481,raw!A:K,7,0)</f>
        <v>28</v>
      </c>
      <c r="E481">
        <f>VLOOKUP(B481,raw!A:K,4,0)</f>
        <v>0</v>
      </c>
      <c r="F481">
        <f>VLOOKUP(B481,raw!A:K,5,0)</f>
        <v>0</v>
      </c>
      <c r="G481">
        <f>VLOOKUP(B481,raw!A:K,2,0)+VLOOKUP(B481,raw!A:K,10,0)</f>
        <v>1</v>
      </c>
      <c r="H481">
        <f>VLOOKUP(B481,raw!A:K,6,0)</f>
        <v>0</v>
      </c>
      <c r="I481">
        <f>VLOOKUP(B481,raw!A:K,9,0)</f>
        <v>101</v>
      </c>
      <c r="J481">
        <f>VLOOKUP(B481,raw!A:K,8,0)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VLOOKUP(B482,raw!A:K,11,0)</f>
        <v>116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60</v>
      </c>
      <c r="J482">
        <f>VLOOKUP(B482,raw!A:K,8,0)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VLOOKUP(B483,raw!A:K,11,0)</f>
        <v>51</v>
      </c>
      <c r="D483">
        <f>VLOOKUP(B483,raw!A:K,3,0)+VLOOKUP(B483,raw!A:K,7,0)</f>
        <v>51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117</v>
      </c>
      <c r="D484">
        <f>VLOOKUP(B484,raw!A:K,3,0)+VLOOKUP(B484,raw!A:K,7,0)</f>
        <v>25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92</v>
      </c>
      <c r="J484">
        <f>VLOOKUP(B484,raw!A:K,8,0)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VLOOKUP(B485,raw!A:K,11,0)</f>
        <v>125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79</v>
      </c>
      <c r="J485">
        <f>VLOOKUP(B485,raw!A:K,8,0)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51</v>
      </c>
      <c r="J487">
        <f>VLOOKUP(B487,raw!A:K,8,0)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VLOOKUP(B488,raw!A:K,11,0)</f>
        <v>126</v>
      </c>
      <c r="D488">
        <f>VLOOKUP(B488,raw!A:K,3,0)+VLOOKUP(B488,raw!A:K,7,0)</f>
        <v>77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1</v>
      </c>
      <c r="H488">
        <f>VLOOKUP(B488,raw!A:K,6,0)</f>
        <v>0</v>
      </c>
      <c r="I488">
        <f>VLOOKUP(B488,raw!A:K,9,0)</f>
        <v>48</v>
      </c>
      <c r="J488">
        <f>VLOOKUP(B488,raw!A:K,8,0)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166</v>
      </c>
      <c r="J489">
        <f>VLOOKUP(B489,raw!A:K,8,0)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151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12</v>
      </c>
      <c r="J490">
        <f>VLOOKUP(B490,raw!A:K,8,0)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VLOOKUP(B491,raw!A:K,11,0)</f>
        <v>187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147</v>
      </c>
      <c r="J491">
        <f>VLOOKUP(B491,raw!A:K,8,0)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VLOOKUP(B492,raw!A:K,11,0)</f>
        <v>218</v>
      </c>
      <c r="D492">
        <f>VLOOKUP(B492,raw!A:K,3,0)+VLOOKUP(B492,raw!A:K,7,0)</f>
        <v>192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26</v>
      </c>
      <c r="J492">
        <f>VLOOKUP(B492,raw!A:K,8,0)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VLOOKUP(B493,raw!A:K,11,0)</f>
        <v>135</v>
      </c>
      <c r="D493">
        <f>VLOOKUP(B493,raw!A:K,3,0)+VLOOKUP(B493,raw!A:K,7,0)</f>
        <v>135</v>
      </c>
      <c r="E493">
        <f>VLOOKUP(B493,raw!A:K,4,0)</f>
        <v>0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0</v>
      </c>
      <c r="J493">
        <f>VLOOKUP(B493,raw!A:K,8,0)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VLOOKUP(B494,raw!A:K,11,0)</f>
        <v>145</v>
      </c>
      <c r="D494">
        <f>VLOOKUP(B494,raw!A:K,3,0)+VLOOKUP(B494,raw!A:K,7,0)</f>
        <v>145</v>
      </c>
      <c r="E494">
        <f>VLOOKUP(B494,raw!A:K,4,0)</f>
        <v>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124</v>
      </c>
      <c r="E495">
        <f>VLOOKUP(B495,raw!A:K,4,0)</f>
        <v>0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94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1</v>
      </c>
      <c r="J496">
        <f>VLOOKUP(B496,raw!A:K,8,0)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289</v>
      </c>
      <c r="E497">
        <f>VLOOKUP(B497,raw!A:K,4,0)</f>
        <v>0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226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VLOOKUP(B499,raw!A:K,11,0)</f>
        <v>177</v>
      </c>
      <c r="D499">
        <f>VLOOKUP(B499,raw!A:K,3,0)+VLOOKUP(B499,raw!A:K,7,0)</f>
        <v>126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51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VLOOKUP(B500,raw!A:K,11,0)</f>
        <v>131</v>
      </c>
      <c r="D500">
        <f>VLOOKUP(B500,raw!A:K,3,0)+VLOOKUP(B500,raw!A:K,7,0)</f>
        <v>129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VLOOKUP(B502,raw!A:K,11,0)</f>
        <v>213</v>
      </c>
      <c r="D502">
        <f>VLOOKUP(B502,raw!A:K,3,0)+VLOOKUP(B502,raw!A:K,7,0)</f>
        <v>170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42</v>
      </c>
      <c r="H502">
        <f>VLOOKUP(B502,raw!A:K,6,0)</f>
        <v>0</v>
      </c>
      <c r="I502">
        <f>VLOOKUP(B502,raw!A:K,9,0)</f>
        <v>1</v>
      </c>
      <c r="J502">
        <f>VLOOKUP(B502,raw!A:K,8,0)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VLOOKUP(B503,raw!A:K,11,0)</f>
        <v>147</v>
      </c>
      <c r="D503">
        <f>VLOOKUP(B503,raw!A:K,3,0)+VLOOKUP(B503,raw!A:K,7,0)</f>
        <v>57</v>
      </c>
      <c r="E503">
        <f>VLOOKUP(B503,raw!A:K,4,0)</f>
        <v>1</v>
      </c>
      <c r="F503">
        <f>VLOOKUP(B503,raw!A:K,5,0)</f>
        <v>0</v>
      </c>
      <c r="G503">
        <f>VLOOKUP(B503,raw!A:K,2,0)+VLOOKUP(B503,raw!A:K,10,0)</f>
        <v>10</v>
      </c>
      <c r="H503">
        <f>VLOOKUP(B503,raw!A:K,6,0)</f>
        <v>0</v>
      </c>
      <c r="I503">
        <f>VLOOKUP(B503,raw!A:K,9,0)</f>
        <v>79</v>
      </c>
      <c r="J503">
        <f>VLOOKUP(B503,raw!A:K,8,0)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VLOOKUP(B504,raw!A:K,11,0)</f>
        <v>206</v>
      </c>
      <c r="D504">
        <f>VLOOKUP(B504,raw!A:K,3,0)+VLOOKUP(B504,raw!A:K,7,0)</f>
        <v>121</v>
      </c>
      <c r="E504">
        <f>VLOOKUP(B504,raw!A:K,4,0)</f>
        <v>13</v>
      </c>
      <c r="F504">
        <f>VLOOKUP(B504,raw!A:K,5,0)</f>
        <v>0</v>
      </c>
      <c r="G504">
        <f>VLOOKUP(B504,raw!A:K,2,0)+VLOOKUP(B504,raw!A:K,10,0)</f>
        <v>28</v>
      </c>
      <c r="H504">
        <f>VLOOKUP(B504,raw!A:K,6,0)</f>
        <v>2</v>
      </c>
      <c r="I504">
        <f>VLOOKUP(B504,raw!A:K,9,0)</f>
        <v>42</v>
      </c>
      <c r="J504">
        <f>VLOOKUP(B504,raw!A:K,8,0)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VLOOKUP(B505,raw!A:K,11,0)</f>
        <v>127</v>
      </c>
      <c r="D505">
        <f>VLOOKUP(B505,raw!A:K,3,0)+VLOOKUP(B505,raw!A:K,7,0)</f>
        <v>71</v>
      </c>
      <c r="E505">
        <f>VLOOKUP(B505,raw!A:K,4,0)</f>
        <v>5</v>
      </c>
      <c r="F505">
        <f>VLOOKUP(B505,raw!A:K,5,0)</f>
        <v>0</v>
      </c>
      <c r="G505">
        <f>VLOOKUP(B505,raw!A:K,2,0)+VLOOKUP(B505,raw!A:K,10,0)</f>
        <v>1</v>
      </c>
      <c r="H505">
        <f>VLOOKUP(B505,raw!A:K,6,0)</f>
        <v>0</v>
      </c>
      <c r="I505">
        <f>VLOOKUP(B505,raw!A:K,9,0)</f>
        <v>50</v>
      </c>
      <c r="J505">
        <f>VLOOKUP(B505,raw!A:K,8,0)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71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29</v>
      </c>
      <c r="J506">
        <f>VLOOKUP(B506,raw!A:K,8,0)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VLOOKUP(B507,raw!A:K,11,0)</f>
        <v>114</v>
      </c>
      <c r="D507">
        <f>VLOOKUP(B507,raw!A:K,3,0)+VLOOKUP(B507,raw!A:K,7,0)</f>
        <v>78</v>
      </c>
      <c r="E507">
        <f>VLOOKUP(B507,raw!A:K,4,0)</f>
        <v>5</v>
      </c>
      <c r="F507">
        <f>VLOOKUP(B507,raw!A:K,5,0)</f>
        <v>0</v>
      </c>
      <c r="G507">
        <f>VLOOKUP(B507,raw!A:K,2,0)+VLOOKUP(B507,raw!A:K,10,0)</f>
        <v>23</v>
      </c>
      <c r="H507">
        <f>VLOOKUP(B507,raw!A:K,6,0)</f>
        <v>0</v>
      </c>
      <c r="I507">
        <f>VLOOKUP(B507,raw!A:K,9,0)</f>
        <v>8</v>
      </c>
      <c r="J507">
        <f>VLOOKUP(B507,raw!A:K,8,0)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VLOOKUP(B508,raw!A:K,11,0)</f>
        <v>160</v>
      </c>
      <c r="D508">
        <f>VLOOKUP(B508,raw!A:K,3,0)+VLOOKUP(B508,raw!A:K,7,0)</f>
        <v>155</v>
      </c>
      <c r="E508">
        <f>VLOOKUP(B508,raw!A:K,4,0)</f>
        <v>0</v>
      </c>
      <c r="F508">
        <f>VLOOKUP(B508,raw!A:K,5,0)</f>
        <v>0</v>
      </c>
      <c r="G508">
        <f>VLOOKUP(B508,raw!A:K,2,0)+VLOOKUP(B508,raw!A:K,10,0)</f>
        <v>1</v>
      </c>
      <c r="H508">
        <f>VLOOKUP(B508,raw!A:K,6,0)</f>
        <v>0</v>
      </c>
      <c r="I508">
        <f>VLOOKUP(B508,raw!A:K,9,0)</f>
        <v>4</v>
      </c>
      <c r="J508">
        <f>VLOOKUP(B508,raw!A:K,8,0)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VLOOKUP(B509,raw!A:K,11,0)</f>
        <v>146</v>
      </c>
      <c r="D509">
        <f>VLOOKUP(B509,raw!A:K,3,0)+VLOOKUP(B509,raw!A:K,7,0)</f>
        <v>146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VLOOKUP(B510,raw!A:K,11,0)</f>
        <v>102</v>
      </c>
      <c r="D510">
        <f>VLOOKUP(B510,raw!A:K,3,0)+VLOOKUP(B510,raw!A:K,7,0)</f>
        <v>75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8</v>
      </c>
      <c r="H510">
        <f>VLOOKUP(B510,raw!A:K,6,0)</f>
        <v>0</v>
      </c>
      <c r="I510">
        <f>VLOOKUP(B510,raw!A:K,9,0)</f>
        <v>9</v>
      </c>
      <c r="J510">
        <f>VLOOKUP(B510,raw!A:K,8,0)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128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VLOOKUP(B512,raw!A:K,11,0)</f>
        <v>122</v>
      </c>
      <c r="D512">
        <f>VLOOKUP(B512,raw!A:K,3,0)+VLOOKUP(B512,raw!A:K,7,0)</f>
        <v>120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73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68</v>
      </c>
      <c r="D517">
        <f>VLOOKUP(B517,raw!A:K,3,0)+VLOOKUP(B517,raw!A:K,7,0)</f>
        <v>68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90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0</v>
      </c>
      <c r="J518">
        <f>VLOOKUP(B518,raw!A:K,8,0)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89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106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0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71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0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128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0</v>
      </c>
      <c r="J523">
        <f>VLOOKUP(B523,raw!A:K,8,0)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81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VLOOKUP(B526,raw!A:K,11,0)</f>
        <v>127</v>
      </c>
      <c r="D526">
        <f>VLOOKUP(B526,raw!A:K,3,0)+VLOOKUP(B526,raw!A:K,7,0)</f>
        <v>127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108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124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0</v>
      </c>
      <c r="I530">
        <f>VLOOKUP(B530,raw!A:K,9,0)</f>
        <v>0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78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0</v>
      </c>
      <c r="J531">
        <f>VLOOKUP(B531,raw!A:K,8,0)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121</v>
      </c>
      <c r="D533">
        <f>VLOOKUP(B533,raw!A:K,3,0)+VLOOKUP(B533,raw!A:K,7,0)</f>
        <v>121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0</v>
      </c>
      <c r="J533">
        <f>VLOOKUP(B533,raw!A:K,8,0)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79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82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0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86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61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122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0</v>
      </c>
      <c r="J545">
        <f>VLOOKUP(B545,raw!A:K,8,0)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97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0</v>
      </c>
      <c r="J546">
        <f>VLOOKUP(B546,raw!A:K,8,0)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100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0</v>
      </c>
      <c r="J547">
        <f>VLOOKUP(B547,raw!A:K,8,0)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100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0</v>
      </c>
      <c r="J548">
        <f>VLOOKUP(B548,raw!A:K,8,0)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56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0</v>
      </c>
      <c r="J549">
        <f>VLOOKUP(B549,raw!A:K,8,0)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47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0</v>
      </c>
      <c r="J550">
        <f>VLOOKUP(B550,raw!A:K,8,0)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VLOOKUP(B551,raw!A:K,11,0)</f>
        <v>43</v>
      </c>
      <c r="D551">
        <f>VLOOKUP(B551,raw!A:K,3,0)+VLOOKUP(B551,raw!A:K,7,0)</f>
        <v>43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0</v>
      </c>
      <c r="J551">
        <f>VLOOKUP(B551,raw!A:K,8,0)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69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VLOOKUP(B553,raw!A:K,11,0)</f>
        <v>71</v>
      </c>
      <c r="D553">
        <f>VLOOKUP(B553,raw!A:K,3,0)+VLOOKUP(B553,raw!A:K,7,0)</f>
        <v>71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71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VLOOKUP(B555,raw!A:K,11,0)</f>
        <v>62</v>
      </c>
      <c r="D555">
        <f>VLOOKUP(B555,raw!A:K,3,0)+VLOOKUP(B555,raw!A:K,7,0)</f>
        <v>62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0</v>
      </c>
      <c r="J555">
        <f>VLOOKUP(B555,raw!A:K,8,0)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147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92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VLOOKUP(B559,raw!A:K,11,0)</f>
        <v>91</v>
      </c>
      <c r="D559">
        <f>VLOOKUP(B559,raw!A:K,3,0)+VLOOKUP(B559,raw!A:K,7,0)</f>
        <v>91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0</v>
      </c>
      <c r="J559">
        <f>VLOOKUP(B559,raw!A:K,8,0)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76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0</v>
      </c>
      <c r="J560">
        <f>VLOOKUP(B560,raw!A:K,8,0)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45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0</v>
      </c>
      <c r="J561">
        <f>VLOOKUP(B561,raw!A:K,8,0)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64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VLOOKUP(B563,raw!A:K,11,0)</f>
        <v>85</v>
      </c>
      <c r="D563">
        <f>VLOOKUP(B563,raw!A:K,3,0)+VLOOKUP(B563,raw!A:K,7,0)</f>
        <v>85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0</v>
      </c>
      <c r="J563">
        <f>VLOOKUP(B563,raw!A:K,8,0)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65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0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89</v>
      </c>
      <c r="D566">
        <f>VLOOKUP(B566,raw!A:K,3,0)+VLOOKUP(B566,raw!A:K,7,0)</f>
        <v>89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0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VLOOKUP(B567,raw!A:K,11,0)</f>
        <v>54</v>
      </c>
      <c r="D567">
        <f>VLOOKUP(B567,raw!A:K,3,0)+VLOOKUP(B567,raw!A:K,7,0)</f>
        <v>54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46</v>
      </c>
      <c r="D568">
        <f>VLOOKUP(B568,raw!A:K,3,0)+VLOOKUP(B568,raw!A:K,7,0)</f>
        <v>46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0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43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0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95</v>
      </c>
      <c r="D570">
        <f>VLOOKUP(B570,raw!A:K,3,0)+VLOOKUP(B570,raw!A:K,7,0)</f>
        <v>95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0</v>
      </c>
      <c r="H570">
        <f>VLOOKUP(B570,raw!A:K,6,0)</f>
        <v>0</v>
      </c>
      <c r="I570">
        <f>VLOOKUP(B570,raw!A:K,9,0)</f>
        <v>0</v>
      </c>
      <c r="J570">
        <f>VLOOKUP(B570,raw!A:K,8,0)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VLOOKUP(B571,raw!A:K,11,0)</f>
        <v>63</v>
      </c>
      <c r="D571">
        <f>VLOOKUP(B571,raw!A:K,3,0)+VLOOKUP(B571,raw!A:K,7,0)</f>
        <v>63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VLOOKUP(B572,raw!A:K,11,0)</f>
        <v>42</v>
      </c>
      <c r="D572">
        <f>VLOOKUP(B572,raw!A:K,3,0)+VLOOKUP(B572,raw!A:K,7,0)</f>
        <v>42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0</v>
      </c>
      <c r="J572">
        <f>VLOOKUP(B572,raw!A:K,8,0)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VLOOKUP(B576,raw!A:K,11,0)</f>
        <v>115</v>
      </c>
      <c r="D576">
        <f>VLOOKUP(B576,raw!A:K,3,0)+VLOOKUP(B576,raw!A:K,7,0)</f>
        <v>115</v>
      </c>
      <c r="E576">
        <f>VLOOKUP(B576,raw!A:K,4,0)</f>
        <v>0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76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72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71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5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73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2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55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0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61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1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57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VLOOKUP(B590,raw!A:K,11,0)</f>
        <v>56</v>
      </c>
      <c r="D590">
        <f>VLOOKUP(B590,raw!A:K,3,0)+VLOOKUP(B590,raw!A:K,7,0)</f>
        <v>54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VLOOKUP(B591,raw!A:K,11,0)</f>
        <v>59</v>
      </c>
      <c r="D591">
        <f>VLOOKUP(B591,raw!A:K,3,0)+VLOOKUP(B591,raw!A:K,7,0)</f>
        <v>58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VLOOKUP(B592,raw!A:K,11,0)</f>
        <v>47</v>
      </c>
      <c r="D592">
        <f>VLOOKUP(B592,raw!A:K,3,0)+VLOOKUP(B592,raw!A:K,7,0)</f>
        <v>47</v>
      </c>
      <c r="E592">
        <f>VLOOKUP(B592,raw!A:K,4,0)</f>
        <v>0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56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116</v>
      </c>
      <c r="D594">
        <f>VLOOKUP(B594,raw!A:K,3,0)+VLOOKUP(B594,raw!A:K,7,0)</f>
        <v>116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VLOOKUP(B595,raw!A:K,11,0)</f>
        <v>61</v>
      </c>
      <c r="D595">
        <f>VLOOKUP(B595,raw!A:K,3,0)+VLOOKUP(B595,raw!A:K,7,0)</f>
        <v>61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73</v>
      </c>
      <c r="E596">
        <f>VLOOKUP(B596,raw!A:K,4,0)</f>
        <v>0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VLOOKUP(B597,raw!A:K,11,0)</f>
        <v>56</v>
      </c>
      <c r="D597">
        <f>VLOOKUP(B597,raw!A:K,3,0)+VLOOKUP(B597,raw!A:K,7,0)</f>
        <v>56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VLOOKUP(B598,raw!A:K,11,0)</f>
        <v>50</v>
      </c>
      <c r="D598">
        <f>VLOOKUP(B598,raw!A:K,3,0)+VLOOKUP(B598,raw!A:K,7,0)</f>
        <v>50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44</v>
      </c>
      <c r="D599">
        <f>VLOOKUP(B599,raw!A:K,3,0)+VLOOKUP(B599,raw!A:K,7,0)</f>
        <v>44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VLOOKUP(B600,raw!A:K,11,0)</f>
        <v>51</v>
      </c>
      <c r="D600">
        <f>VLOOKUP(B600,raw!A:K,3,0)+VLOOKUP(B600,raw!A:K,7,0)</f>
        <v>51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VLOOKUP(B601,raw!A:K,11,0)</f>
        <v>30</v>
      </c>
      <c r="D601">
        <f>VLOOKUP(B601,raw!A:K,3,0)+VLOOKUP(B601,raw!A:K,7,0)</f>
        <v>30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VLOOKUP(B603,raw!A:K,11,0)</f>
        <v>51</v>
      </c>
      <c r="D603">
        <f>VLOOKUP(B603,raw!A:K,3,0)+VLOOKUP(B603,raw!A:K,7,0)</f>
        <v>51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VLOOKUP(B605,raw!A:K,11,0)</f>
        <v>58</v>
      </c>
      <c r="D605">
        <f>VLOOKUP(B605,raw!A:K,3,0)+VLOOKUP(B605,raw!A:K,7,0)</f>
        <v>58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VLOOKUP(B606,raw!A:K,11,0)</f>
        <v>45</v>
      </c>
      <c r="D606">
        <f>VLOOKUP(B606,raw!A:K,3,0)+VLOOKUP(B606,raw!A:K,7,0)</f>
        <v>45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VLOOKUP(B613,raw!A:K,11,0)</f>
        <v>76</v>
      </c>
      <c r="D613">
        <f>VLOOKUP(B613,raw!A:K,3,0)+VLOOKUP(B613,raw!A:K,7,0)</f>
        <v>76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VLOOKUP(B615,raw!A:K,11,0)</f>
        <v>79</v>
      </c>
      <c r="D615">
        <f>VLOOKUP(B615,raw!A:K,3,0)+VLOOKUP(B615,raw!A:K,7,0)</f>
        <v>79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VLOOKUP(B616,raw!A:K,11,0)</f>
        <v>83</v>
      </c>
      <c r="D616">
        <f>VLOOKUP(B616,raw!A:K,3,0)+VLOOKUP(B616,raw!A:K,7,0)</f>
        <v>81</v>
      </c>
      <c r="E616">
        <f>VLOOKUP(B616,raw!A:K,4,0)</f>
        <v>2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VLOOKUP(B618,raw!A:K,11,0)</f>
        <v>54</v>
      </c>
      <c r="D618">
        <f>VLOOKUP(B618,raw!A:K,3,0)+VLOOKUP(B618,raw!A:K,7,0)</f>
        <v>54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VLOOKUP(B619,raw!A:K,11,0)</f>
        <v>64</v>
      </c>
      <c r="D619">
        <f>VLOOKUP(B619,raw!A:K,3,0)+VLOOKUP(B619,raw!A:K,7,0)</f>
        <v>64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106</v>
      </c>
      <c r="D620">
        <f>VLOOKUP(B620,raw!A:K,3,0)+VLOOKUP(B620,raw!A:K,7,0)</f>
        <v>106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VLOOKUP(B621,raw!A:K,11,0)</f>
        <v>50</v>
      </c>
      <c r="D621">
        <f>VLOOKUP(B621,raw!A:K,3,0)+VLOOKUP(B621,raw!A:K,7,0)</f>
        <v>50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VLOOKUP(B622,raw!A:K,11,0)</f>
        <v>127</v>
      </c>
      <c r="D622">
        <f>VLOOKUP(B622,raw!A:K,3,0)+VLOOKUP(B622,raw!A:K,7,0)</f>
        <v>127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83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VLOOKUP(B624,raw!A:K,11,0)</f>
        <v>51</v>
      </c>
      <c r="D624">
        <f>VLOOKUP(B624,raw!A:K,3,0)+VLOOKUP(B624,raw!A:K,7,0)</f>
        <v>51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64</v>
      </c>
      <c r="E625">
        <f>VLOOKUP(B625,raw!A:K,4,0)</f>
        <v>0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73</v>
      </c>
      <c r="E626">
        <f>VLOOKUP(B626,raw!A:K,4,0)</f>
        <v>0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48</v>
      </c>
      <c r="D627">
        <f>VLOOKUP(B627,raw!A:K,3,0)+VLOOKUP(B627,raw!A:K,7,0)</f>
        <v>48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48</v>
      </c>
      <c r="D629">
        <f>VLOOKUP(B629,raw!A:K,3,0)+VLOOKUP(B629,raw!A:K,7,0)</f>
        <v>48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VLOOKUP(B630,raw!A:K,11,0)</f>
        <v>41</v>
      </c>
      <c r="D630">
        <f>VLOOKUP(B630,raw!A:K,3,0)+VLOOKUP(B630,raw!A:K,7,0)</f>
        <v>41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VLOOKUP(B631,raw!A:K,11,0)</f>
        <v>51</v>
      </c>
      <c r="D631">
        <f>VLOOKUP(B631,raw!A:K,3,0)+VLOOKUP(B631,raw!A:K,7,0)</f>
        <v>51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VLOOKUP(B632,raw!A:K,11,0)</f>
        <v>44</v>
      </c>
      <c r="D632">
        <f>VLOOKUP(B632,raw!A:K,3,0)+VLOOKUP(B632,raw!A:K,7,0)</f>
        <v>43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</v>
      </c>
      <c r="J632">
        <f>VLOOKUP(B632,raw!A:K,8,0)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VLOOKUP(B633,raw!A:K,11,0)</f>
        <v>67</v>
      </c>
      <c r="D633">
        <f>VLOOKUP(B633,raw!A:K,3,0)+VLOOKUP(B633,raw!A:K,7,0)</f>
        <v>67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166</v>
      </c>
      <c r="E634">
        <f>VLOOKUP(B634,raw!A:K,4,0)</f>
        <v>3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97</v>
      </c>
      <c r="E635">
        <f>VLOOKUP(B635,raw!A:K,4,0)</f>
        <v>0</v>
      </c>
      <c r="F635">
        <f>VLOOKUP(B635,raw!A:K,5,0)</f>
        <v>0</v>
      </c>
      <c r="G635">
        <f>VLOOKUP(B635,raw!A:K,2,0)+VLOOKUP(B635,raw!A:K,10,0)</f>
        <v>0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58</v>
      </c>
      <c r="D638">
        <f>VLOOKUP(B638,raw!A:K,3,0)+VLOOKUP(B638,raw!A:K,7,0)</f>
        <v>57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VLOOKUP(B639,raw!A:K,11,0)</f>
        <v>122</v>
      </c>
      <c r="D639">
        <f>VLOOKUP(B639,raw!A:K,3,0)+VLOOKUP(B639,raw!A:K,7,0)</f>
        <v>121</v>
      </c>
      <c r="E639">
        <f>VLOOKUP(B639,raw!A:K,4,0)</f>
        <v>1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VLOOKUP(B640,raw!A:K,11,0)</f>
        <v>82</v>
      </c>
      <c r="D640">
        <f>VLOOKUP(B640,raw!A:K,3,0)+VLOOKUP(B640,raw!A:K,7,0)</f>
        <v>82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VLOOKUP(B641,raw!A:K,11,0)</f>
        <v>88</v>
      </c>
      <c r="D641">
        <f>VLOOKUP(B641,raw!A:K,3,0)+VLOOKUP(B641,raw!A:K,7,0)</f>
        <v>88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VLOOKUP(B642,raw!A:K,11,0)</f>
        <v>111</v>
      </c>
      <c r="D642">
        <f>VLOOKUP(B642,raw!A:K,3,0)+VLOOKUP(B642,raw!A:K,7,0)</f>
        <v>111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VLOOKUP(B643,raw!A:K,11,0)</f>
        <v>103</v>
      </c>
      <c r="D643">
        <f>VLOOKUP(B643,raw!A:K,3,0)+VLOOKUP(B643,raw!A:K,7,0)</f>
        <v>103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VLOOKUP(B644,raw!A:K,11,0)</f>
        <v>126</v>
      </c>
      <c r="D644">
        <f>VLOOKUP(B644,raw!A:K,3,0)+VLOOKUP(B644,raw!A:K,7,0)</f>
        <v>126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VLOOKUP(B645,raw!A:K,11,0)</f>
        <v>135</v>
      </c>
      <c r="D645">
        <f>VLOOKUP(B645,raw!A:K,3,0)+VLOOKUP(B645,raw!A:K,7,0)</f>
        <v>135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VLOOKUP(B646,raw!A:K,11,0)</f>
        <v>82</v>
      </c>
      <c r="D646">
        <f>VLOOKUP(B646,raw!A:K,3,0)+VLOOKUP(B646,raw!A:K,7,0)</f>
        <v>82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VLOOKUP(B647,raw!A:K,11,0)</f>
        <v>61</v>
      </c>
      <c r="D647">
        <f>VLOOKUP(B647,raw!A:K,3,0)+VLOOKUP(B647,raw!A:K,7,0)</f>
        <v>61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VLOOKUP(B648,raw!A:K,11,0)</f>
        <v>57</v>
      </c>
      <c r="D648">
        <f>VLOOKUP(B648,raw!A:K,3,0)+VLOOKUP(B648,raw!A:K,7,0)</f>
        <v>57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VLOOKUP(B649,raw!A:K,11,0)</f>
        <v>79</v>
      </c>
      <c r="D649">
        <f>VLOOKUP(B649,raw!A:K,3,0)+VLOOKUP(B649,raw!A:K,7,0)</f>
        <v>79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VLOOKUP(B650,raw!A:K,11,0)</f>
        <v>64</v>
      </c>
      <c r="D650">
        <f>VLOOKUP(B650,raw!A:K,3,0)+VLOOKUP(B650,raw!A:K,7,0)</f>
        <v>64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VLOOKUP(B651,raw!A:K,11,0)</f>
        <v>58</v>
      </c>
      <c r="D651">
        <f>VLOOKUP(B651,raw!A:K,3,0)+VLOOKUP(B651,raw!A:K,7,0)</f>
        <v>58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VLOOKUP(B652,raw!A:K,11,0)</f>
        <v>49</v>
      </c>
      <c r="D652">
        <f>VLOOKUP(B652,raw!A:K,3,0)+VLOOKUP(B652,raw!A:K,7,0)</f>
        <v>49</v>
      </c>
      <c r="E652">
        <f>VLOOKUP(B652,raw!A:K,4,0)</f>
        <v>0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153</v>
      </c>
      <c r="D654">
        <f>VLOOKUP(B654,raw!A:K,3,0)+VLOOKUP(B654,raw!A:K,7,0)</f>
        <v>130</v>
      </c>
      <c r="E654">
        <f>VLOOKUP(B654,raw!A:K,4,0)</f>
        <v>0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23</v>
      </c>
      <c r="J654">
        <f>VLOOKUP(B654,raw!A:K,8,0)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57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218</v>
      </c>
      <c r="E656">
        <f>VLOOKUP(B656,raw!A:K,4,0)</f>
        <v>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90</v>
      </c>
      <c r="E657">
        <f>VLOOKUP(B657,raw!A:K,4,0)</f>
        <v>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42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VLOOKUP(B659,raw!A:K,11,0)</f>
        <v>78</v>
      </c>
      <c r="D659">
        <f>VLOOKUP(B659,raw!A:K,3,0)+VLOOKUP(B659,raw!A:K,7,0)</f>
        <v>78</v>
      </c>
      <c r="E659">
        <f>VLOOKUP(B659,raw!A:K,4,0)</f>
        <v>0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98</v>
      </c>
      <c r="E660">
        <f>VLOOKUP(B660,raw!A:K,4,0)</f>
        <v>0</v>
      </c>
      <c r="F660">
        <f>VLOOKUP(B660,raw!A:K,5,0)</f>
        <v>0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91</v>
      </c>
      <c r="E661">
        <f>VLOOKUP(B661,raw!A:K,4,0)</f>
        <v>0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57</v>
      </c>
      <c r="D664">
        <f>VLOOKUP(B664,raw!A:K,3,0)+VLOOKUP(B664,raw!A:K,7,0)</f>
        <v>57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45</v>
      </c>
      <c r="E665">
        <f>VLOOKUP(B665,raw!A:K,4,0)</f>
        <v>0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47</v>
      </c>
      <c r="E666">
        <f>VLOOKUP(B666,raw!A:K,4,0)</f>
        <v>0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VLOOKUP(B667,raw!A:K,11,0)</f>
        <v>94</v>
      </c>
      <c r="D667">
        <f>VLOOKUP(B667,raw!A:K,3,0)+VLOOKUP(B667,raw!A:K,7,0)</f>
        <v>94</v>
      </c>
      <c r="E667">
        <f>VLOOKUP(B667,raw!A:K,4,0)</f>
        <v>0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VLOOKUP(B668,raw!A:K,11,0)</f>
        <v>75</v>
      </c>
      <c r="D668">
        <f>VLOOKUP(B668,raw!A:K,3,0)+VLOOKUP(B668,raw!A:K,7,0)</f>
        <v>75</v>
      </c>
      <c r="E668">
        <f>VLOOKUP(B668,raw!A:K,4,0)</f>
        <v>0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0</v>
      </c>
      <c r="J668">
        <f>VLOOKUP(B668,raw!A:K,8,0)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102</v>
      </c>
      <c r="E669">
        <f>VLOOKUP(B669,raw!A:K,4,0)</f>
        <v>0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0</v>
      </c>
      <c r="J669">
        <f>VLOOKUP(B669,raw!A:K,8,0)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VLOOKUP(B670,raw!A:K,11,0)</f>
        <v>103</v>
      </c>
      <c r="D670">
        <f>VLOOKUP(B670,raw!A:K,3,0)+VLOOKUP(B670,raw!A:K,7,0)</f>
        <v>100</v>
      </c>
      <c r="E670">
        <f>VLOOKUP(B670,raw!A:K,4,0)</f>
        <v>2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</v>
      </c>
      <c r="J670">
        <f>VLOOKUP(B670,raw!A:K,8,0)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105</v>
      </c>
      <c r="E671">
        <f>VLOOKUP(B671,raw!A:K,4,0)</f>
        <v>0</v>
      </c>
      <c r="F671">
        <f>VLOOKUP(B671,raw!A:K,5,0)</f>
        <v>0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0</v>
      </c>
      <c r="J671">
        <f>VLOOKUP(B671,raw!A:K,8,0)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VLOOKUP(B676,raw!A:K,11,0)</f>
        <v>77</v>
      </c>
      <c r="D676">
        <f>VLOOKUP(B676,raw!A:K,3,0)+VLOOKUP(B676,raw!A:K,7,0)</f>
        <v>77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VLOOKUP(B677,raw!A:K,11,0)</f>
        <v>56</v>
      </c>
      <c r="D677">
        <f>VLOOKUP(B677,raw!A:K,3,0)+VLOOKUP(B677,raw!A:K,7,0)</f>
        <v>56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54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0</v>
      </c>
      <c r="J680">
        <f>VLOOKUP(B680,raw!A:K,8,0)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31</v>
      </c>
      <c r="E683">
        <f>VLOOKUP(B683,raw!A:K,4,0)</f>
        <v>4</v>
      </c>
      <c r="F683">
        <f>VLOOKUP(B683,raw!A:K,5,0)</f>
        <v>0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108</v>
      </c>
      <c r="J683">
        <f>VLOOKUP(B683,raw!A:K,8,0)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VLOOKUP(B684,raw!A:K,11,0)</f>
        <v>79</v>
      </c>
      <c r="D684">
        <f>VLOOKUP(B684,raw!A:K,3,0)+VLOOKUP(B684,raw!A:K,7,0)</f>
        <v>7</v>
      </c>
      <c r="E684">
        <f>VLOOKUP(B684,raw!A:K,4,0)</f>
        <v>25</v>
      </c>
      <c r="F684">
        <f>VLOOKUP(B684,raw!A:K,5,0)</f>
        <v>0</v>
      </c>
      <c r="G684">
        <f>VLOOKUP(B684,raw!A:K,2,0)+VLOOKUP(B684,raw!A:K,10,0)</f>
        <v>2</v>
      </c>
      <c r="H684">
        <f>VLOOKUP(B684,raw!A:K,6,0)</f>
        <v>0</v>
      </c>
      <c r="I684">
        <f>VLOOKUP(B684,raw!A:K,9,0)</f>
        <v>45</v>
      </c>
      <c r="J684">
        <f>VLOOKUP(B684,raw!A:K,8,0)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57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1</v>
      </c>
      <c r="J685">
        <f>VLOOKUP(B685,raw!A:K,8,0)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37</v>
      </c>
      <c r="J686">
        <f>VLOOKUP(B686,raw!A:K,8,0)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VLOOKUP(B687,raw!A:K,11,0)</f>
        <v>72</v>
      </c>
      <c r="D687">
        <f>VLOOKUP(B687,raw!A:K,3,0)+VLOOKUP(B687,raw!A:K,7,0)</f>
        <v>6</v>
      </c>
      <c r="E687">
        <f>VLOOKUP(B687,raw!A:K,4,0)</f>
        <v>13</v>
      </c>
      <c r="F687">
        <f>VLOOKUP(B687,raw!A:K,5,0)</f>
        <v>0</v>
      </c>
      <c r="G687">
        <f>VLOOKUP(B687,raw!A:K,2,0)+VLOOKUP(B687,raw!A:K,10,0)</f>
        <v>0</v>
      </c>
      <c r="H687">
        <f>VLOOKUP(B687,raw!A:K,6,0)</f>
        <v>4</v>
      </c>
      <c r="I687">
        <f>VLOOKUP(B687,raw!A:K,9,0)</f>
        <v>49</v>
      </c>
      <c r="J687">
        <f>VLOOKUP(B687,raw!A:K,8,0)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16</v>
      </c>
      <c r="E689">
        <f>VLOOKUP(B689,raw!A:K,4,0)</f>
        <v>4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52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1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96</v>
      </c>
      <c r="E692">
        <f>VLOOKUP(B692,raw!A:K,4,0)</f>
        <v>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0</v>
      </c>
      <c r="J692">
        <f>VLOOKUP(B692,raw!A:K,8,0)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VLOOKUP(B693,raw!A:K,11,0)</f>
        <v>145</v>
      </c>
      <c r="D693">
        <f>VLOOKUP(B693,raw!A:K,3,0)+VLOOKUP(B693,raw!A:K,7,0)</f>
        <v>84</v>
      </c>
      <c r="E693">
        <f>VLOOKUP(B693,raw!A:K,4,0)</f>
        <v>0</v>
      </c>
      <c r="F693">
        <f>VLOOKUP(B693,raw!A:K,5,0)</f>
        <v>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61</v>
      </c>
      <c r="J693">
        <f>VLOOKUP(B693,raw!A:K,8,0)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91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0</v>
      </c>
      <c r="H694">
        <f>VLOOKUP(B694,raw!A:K,6,0)</f>
        <v>0</v>
      </c>
      <c r="I694">
        <f>VLOOKUP(B694,raw!A:K,9,0)</f>
        <v>0</v>
      </c>
      <c r="J694">
        <f>VLOOKUP(B694,raw!A:K,8,0)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VLOOKUP(B695,raw!A:K,11,0)</f>
        <v>72</v>
      </c>
      <c r="D695">
        <f>VLOOKUP(B695,raw!A:K,3,0)+VLOOKUP(B695,raw!A:K,7,0)</f>
        <v>71</v>
      </c>
      <c r="E695">
        <f>VLOOKUP(B695,raw!A:K,4,0)</f>
        <v>0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</v>
      </c>
      <c r="J695">
        <f>VLOOKUP(B695,raw!A:K,8,0)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VLOOKUP(B696,raw!A:K,11,0)</f>
        <v>106</v>
      </c>
      <c r="D696">
        <f>VLOOKUP(B696,raw!A:K,3,0)+VLOOKUP(B696,raw!A:K,7,0)</f>
        <v>98</v>
      </c>
      <c r="E696">
        <f>VLOOKUP(B696,raw!A:K,4,0)</f>
        <v>0</v>
      </c>
      <c r="F696">
        <f>VLOOKUP(B696,raw!A:K,5,0)</f>
        <v>0</v>
      </c>
      <c r="G696">
        <f>VLOOKUP(B696,raw!A:K,2,0)+VLOOKUP(B696,raw!A:K,10,0)</f>
        <v>1</v>
      </c>
      <c r="H696">
        <f>VLOOKUP(B696,raw!A:K,6,0)</f>
        <v>0</v>
      </c>
      <c r="I696">
        <f>VLOOKUP(B696,raw!A:K,9,0)</f>
        <v>7</v>
      </c>
      <c r="J696">
        <f>VLOOKUP(B696,raw!A:K,8,0)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VLOOKUP(B697,raw!A:K,11,0)</f>
        <v>124</v>
      </c>
      <c r="D697">
        <f>VLOOKUP(B697,raw!A:K,3,0)+VLOOKUP(B697,raw!A:K,7,0)</f>
        <v>119</v>
      </c>
      <c r="E697">
        <f>VLOOKUP(B697,raw!A:K,4,0)</f>
        <v>2</v>
      </c>
      <c r="F697">
        <f>VLOOKUP(B697,raw!A:K,5,0)</f>
        <v>0</v>
      </c>
      <c r="G697">
        <f>VLOOKUP(B697,raw!A:K,2,0)+VLOOKUP(B697,raw!A:K,10,0)</f>
        <v>2</v>
      </c>
      <c r="H697">
        <f>VLOOKUP(B697,raw!A:K,6,0)</f>
        <v>1</v>
      </c>
      <c r="I697">
        <f>VLOOKUP(B697,raw!A:K,9,0)</f>
        <v>0</v>
      </c>
      <c r="J697">
        <f>VLOOKUP(B697,raw!A:K,8,0)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VLOOKUP(B698,raw!A:K,11,0)</f>
        <v>117</v>
      </c>
      <c r="D698">
        <f>VLOOKUP(B698,raw!A:K,3,0)+VLOOKUP(B698,raw!A:K,7,0)</f>
        <v>117</v>
      </c>
      <c r="E698">
        <f>VLOOKUP(B698,raw!A:K,4,0)</f>
        <v>0</v>
      </c>
      <c r="F698">
        <f>VLOOKUP(B698,raw!A:K,5,0)</f>
        <v>0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0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120</v>
      </c>
      <c r="D699">
        <f>VLOOKUP(B699,raw!A:K,3,0)+VLOOKUP(B699,raw!A:K,7,0)</f>
        <v>116</v>
      </c>
      <c r="E699">
        <f>VLOOKUP(B699,raw!A:K,4,0)</f>
        <v>1</v>
      </c>
      <c r="F699">
        <f>VLOOKUP(B699,raw!A:K,5,0)</f>
        <v>0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2</v>
      </c>
      <c r="J699">
        <f>VLOOKUP(B699,raw!A:K,8,0)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VLOOKUP(B700,raw!A:K,11,0)</f>
        <v>105</v>
      </c>
      <c r="D700">
        <f>VLOOKUP(B700,raw!A:K,3,0)+VLOOKUP(B700,raw!A:K,7,0)</f>
        <v>104</v>
      </c>
      <c r="E700">
        <f>VLOOKUP(B700,raw!A:K,4,0)</f>
        <v>0</v>
      </c>
      <c r="F700">
        <f>VLOOKUP(B700,raw!A:K,5,0)</f>
        <v>0</v>
      </c>
      <c r="G700">
        <f>VLOOKUP(B700,raw!A:K,2,0)+VLOOKUP(B700,raw!A:K,10,0)</f>
        <v>1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VLOOKUP(B701,raw!A:K,11,0)</f>
        <v>102</v>
      </c>
      <c r="D701">
        <f>VLOOKUP(B701,raw!A:K,3,0)+VLOOKUP(B701,raw!A:K,7,0)</f>
        <v>102</v>
      </c>
      <c r="E701">
        <f>VLOOKUP(B701,raw!A:K,4,0)</f>
        <v>0</v>
      </c>
      <c r="F701">
        <f>VLOOKUP(B701,raw!A:K,5,0)</f>
        <v>0</v>
      </c>
      <c r="G701">
        <f>VLOOKUP(B701,raw!A:K,2,0)+VLOOKUP(B701,raw!A:K,10,0)</f>
        <v>0</v>
      </c>
      <c r="H701">
        <f>VLOOKUP(B701,raw!A:K,6,0)</f>
        <v>0</v>
      </c>
      <c r="I701">
        <f>VLOOKUP(B701,raw!A:K,9,0)</f>
        <v>0</v>
      </c>
      <c r="J701">
        <f>VLOOKUP(B701,raw!A:K,8,0)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VLOOKUP(B702,raw!A:K,11,0)</f>
        <v>89</v>
      </c>
      <c r="D702">
        <f>VLOOKUP(B702,raw!A:K,3,0)+VLOOKUP(B702,raw!A:K,7,0)</f>
        <v>70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</v>
      </c>
      <c r="H702">
        <f>VLOOKUP(B702,raw!A:K,6,0)</f>
        <v>0</v>
      </c>
      <c r="I702">
        <f>VLOOKUP(B702,raw!A:K,9,0)</f>
        <v>17</v>
      </c>
      <c r="J702">
        <f>VLOOKUP(B702,raw!A:K,8,0)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VLOOKUP(B703,raw!A:K,11,0)</f>
        <v>77</v>
      </c>
      <c r="D703">
        <f>VLOOKUP(B703,raw!A:K,3,0)+VLOOKUP(B703,raw!A:K,7,0)</f>
        <v>29</v>
      </c>
      <c r="E703">
        <f>VLOOKUP(B703,raw!A:K,4,0)</f>
        <v>2</v>
      </c>
      <c r="F703">
        <f>VLOOKUP(B703,raw!A:K,5,0)</f>
        <v>0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46</v>
      </c>
      <c r="J703">
        <f>VLOOKUP(B703,raw!A:K,8,0)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VLOOKUP(B704,raw!A:K,11,0)</f>
        <v>126</v>
      </c>
      <c r="D704">
        <f>VLOOKUP(B704,raw!A:K,3,0)+VLOOKUP(B704,raw!A:K,7,0)</f>
        <v>62</v>
      </c>
      <c r="E704">
        <f>VLOOKUP(B704,raw!A:K,4,0)</f>
        <v>0</v>
      </c>
      <c r="F704">
        <f>VLOOKUP(B704,raw!A:K,5,0)</f>
        <v>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64</v>
      </c>
      <c r="J704">
        <f>VLOOKUP(B704,raw!A:K,8,0)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VLOOKUP(B705,raw!A:K,11,0)</f>
        <v>66</v>
      </c>
      <c r="D705">
        <f>VLOOKUP(B705,raw!A:K,3,0)+VLOOKUP(B705,raw!A:K,7,0)</f>
        <v>65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1</v>
      </c>
      <c r="H705">
        <f>VLOOKUP(B705,raw!A:K,6,0)</f>
        <v>0</v>
      </c>
      <c r="I705">
        <f>VLOOKUP(B705,raw!A:K,9,0)</f>
        <v>0</v>
      </c>
      <c r="J705">
        <f>VLOOKUP(B705,raw!A:K,8,0)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VLOOKUP(B706,raw!A:K,11,0)</f>
        <v>66</v>
      </c>
      <c r="D706">
        <f>VLOOKUP(B706,raw!A:K,3,0)+VLOOKUP(B706,raw!A:K,7,0)</f>
        <v>61</v>
      </c>
      <c r="E706">
        <f>VLOOKUP(B706,raw!A:K,4,0)</f>
        <v>0</v>
      </c>
      <c r="F706">
        <f>VLOOKUP(B706,raw!A:K,5,0)</f>
        <v>0</v>
      </c>
      <c r="G706">
        <f>VLOOKUP(B706,raw!A:K,2,0)+VLOOKUP(B706,raw!A:K,10,0)</f>
        <v>4</v>
      </c>
      <c r="H706">
        <f>VLOOKUP(B706,raw!A:K,6,0)</f>
        <v>0</v>
      </c>
      <c r="I706">
        <f>VLOOKUP(B706,raw!A:K,9,0)</f>
        <v>1</v>
      </c>
      <c r="J706">
        <f>VLOOKUP(B706,raw!A:K,8,0)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81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0</v>
      </c>
      <c r="J707">
        <f>VLOOKUP(B707,raw!A:K,8,0)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74</v>
      </c>
      <c r="E708">
        <f>VLOOKUP(B708,raw!A:K,4,0)</f>
        <v>0</v>
      </c>
      <c r="F708">
        <f>VLOOKUP(B708,raw!A:K,5,0)</f>
        <v>0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0</v>
      </c>
      <c r="J708">
        <f>VLOOKUP(B708,raw!A:K,8,0)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83</v>
      </c>
      <c r="E709">
        <f>VLOOKUP(B709,raw!A:K,4,0)</f>
        <v>1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0</v>
      </c>
      <c r="J709">
        <f>VLOOKUP(B709,raw!A:K,8,0)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VLOOKUP(B710,raw!A:K,11,0)</f>
        <v>54</v>
      </c>
      <c r="D710">
        <f>VLOOKUP(B710,raw!A:K,3,0)+VLOOKUP(B710,raw!A:K,7,0)</f>
        <v>28</v>
      </c>
      <c r="E710">
        <f>VLOOKUP(B710,raw!A:K,4,0)</f>
        <v>1</v>
      </c>
      <c r="F710">
        <f>VLOOKUP(B710,raw!A:K,5,0)</f>
        <v>0</v>
      </c>
      <c r="G710">
        <f>VLOOKUP(B710,raw!A:K,2,0)+VLOOKUP(B710,raw!A:K,10,0)</f>
        <v>1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VLOOKUP(B711,raw!A:K,11,0)</f>
        <v>186</v>
      </c>
      <c r="D711">
        <f>VLOOKUP(B711,raw!A:K,3,0)+VLOOKUP(B711,raw!A:K,7,0)</f>
        <v>27</v>
      </c>
      <c r="E711">
        <f>VLOOKUP(B711,raw!A:K,4,0)</f>
        <v>0</v>
      </c>
      <c r="F711">
        <f>VLOOKUP(B711,raw!A:K,5,0)</f>
        <v>0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159</v>
      </c>
      <c r="J711">
        <f>VLOOKUP(B711,raw!A:K,8,0)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85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0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27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26</v>
      </c>
      <c r="J713">
        <f>VLOOKUP(B713,raw!A:K,8,0)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VLOOKUP(B714,raw!A:K,11,0)</f>
        <v>79</v>
      </c>
      <c r="D714">
        <f>VLOOKUP(B714,raw!A:K,3,0)+VLOOKUP(B714,raw!A:K,7,0)</f>
        <v>15</v>
      </c>
      <c r="E714">
        <f>VLOOKUP(B714,raw!A:K,4,0)</f>
        <v>36</v>
      </c>
      <c r="F714">
        <f>VLOOKUP(B714,raw!A:K,5,0)</f>
        <v>0</v>
      </c>
      <c r="G714">
        <f>VLOOKUP(B714,raw!A:K,2,0)+VLOOKUP(B714,raw!A:K,10,0)</f>
        <v>4</v>
      </c>
      <c r="H714">
        <f>VLOOKUP(B714,raw!A:K,6,0)</f>
        <v>19</v>
      </c>
      <c r="I714">
        <f>VLOOKUP(B714,raw!A:K,9,0)</f>
        <v>5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87</v>
      </c>
      <c r="D715">
        <f>VLOOKUP(B715,raw!A:K,3,0)+VLOOKUP(B715,raw!A:K,7,0)</f>
        <v>2</v>
      </c>
      <c r="E715">
        <f>VLOOKUP(B715,raw!A:K,4,0)</f>
        <v>22</v>
      </c>
      <c r="F715">
        <f>VLOOKUP(B715,raw!A:K,5,0)</f>
        <v>0</v>
      </c>
      <c r="G715">
        <f>VLOOKUP(B715,raw!A:K,2,0)+VLOOKUP(B715,raw!A:K,10,0)</f>
        <v>0</v>
      </c>
      <c r="H715">
        <f>VLOOKUP(B715,raw!A:K,6,0)</f>
        <v>8</v>
      </c>
      <c r="I715">
        <f>VLOOKUP(B715,raw!A:K,9,0)</f>
        <v>55</v>
      </c>
      <c r="J715">
        <f>VLOOKUP(B715,raw!A:K,8,0)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106</v>
      </c>
      <c r="E716">
        <f>VLOOKUP(B716,raw!A:K,4,0)</f>
        <v>4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6</v>
      </c>
      <c r="J716">
        <f>VLOOKUP(B716,raw!A:K,8,0)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VLOOKUP(B717,raw!A:K,11,0)</f>
        <v>61</v>
      </c>
      <c r="D717">
        <f>VLOOKUP(B717,raw!A:K,3,0)+VLOOKUP(B717,raw!A:K,7,0)</f>
        <v>37</v>
      </c>
      <c r="E717">
        <f>VLOOKUP(B717,raw!A:K,4,0)</f>
        <v>8</v>
      </c>
      <c r="F717">
        <f>VLOOKUP(B717,raw!A:K,5,0)</f>
        <v>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16</v>
      </c>
      <c r="J717">
        <f>VLOOKUP(B717,raw!A:K,8,0)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66</v>
      </c>
      <c r="D718">
        <f>VLOOKUP(B718,raw!A:K,3,0)+VLOOKUP(B718,raw!A:K,7,0)</f>
        <v>42</v>
      </c>
      <c r="E718">
        <f>VLOOKUP(B718,raw!A:K,4,0)</f>
        <v>13</v>
      </c>
      <c r="F718">
        <f>VLOOKUP(B718,raw!A:K,5,0)</f>
        <v>0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11</v>
      </c>
      <c r="J718">
        <f>VLOOKUP(B718,raw!A:K,8,0)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VLOOKUP(B719,raw!A:K,11,0)</f>
        <v>72</v>
      </c>
      <c r="D719">
        <f>VLOOKUP(B719,raw!A:K,3,0)+VLOOKUP(B719,raw!A:K,7,0)</f>
        <v>5</v>
      </c>
      <c r="E719">
        <f>VLOOKUP(B719,raw!A:K,4,0)</f>
        <v>45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20</v>
      </c>
      <c r="J719">
        <f>VLOOKUP(B719,raw!A:K,8,0)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VLOOKUP(B720,raw!A:K,11,0)</f>
        <v>158</v>
      </c>
      <c r="D720">
        <f>VLOOKUP(B720,raw!A:K,3,0)+VLOOKUP(B720,raw!A:K,7,0)</f>
        <v>93</v>
      </c>
      <c r="E720">
        <f>VLOOKUP(B720,raw!A:K,4,0)</f>
        <v>19</v>
      </c>
      <c r="F720">
        <f>VLOOKUP(B720,raw!A:K,5,0)</f>
        <v>0</v>
      </c>
      <c r="G720">
        <f>VLOOKUP(B720,raw!A:K,2,0)+VLOOKUP(B720,raw!A:K,10,0)</f>
        <v>2</v>
      </c>
      <c r="H720">
        <f>VLOOKUP(B720,raw!A:K,6,0)</f>
        <v>0</v>
      </c>
      <c r="I720">
        <f>VLOOKUP(B720,raw!A:K,9,0)</f>
        <v>44</v>
      </c>
      <c r="J720">
        <f>VLOOKUP(B720,raw!A:K,8,0)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60</v>
      </c>
      <c r="E722">
        <f>VLOOKUP(B722,raw!A:K,4,0)</f>
        <v>12</v>
      </c>
      <c r="F722">
        <f>VLOOKUP(B722,raw!A:K,5,0)</f>
        <v>0</v>
      </c>
      <c r="G722">
        <f>VLOOKUP(B722,raw!A:K,2,0)+VLOOKUP(B722,raw!A:K,10,0)</f>
        <v>7</v>
      </c>
      <c r="H722">
        <f>VLOOKUP(B722,raw!A:K,6,0)</f>
        <v>0</v>
      </c>
      <c r="I722">
        <f>VLOOKUP(B722,raw!A:K,9,0)</f>
        <v>3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VLOOKUP(B730,raw!A:K,11,0)</f>
        <v>67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VLOOKUP(B731,raw!A:K,11,0)</f>
        <v>144</v>
      </c>
      <c r="D731">
        <f>VLOOKUP(B731,raw!A:K,3,0)+VLOOKUP(B731,raw!A:K,7,0)</f>
        <v>144</v>
      </c>
      <c r="E731">
        <f>VLOOKUP(B731,raw!A:K,4,0)</f>
        <v>0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113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112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VLOOKUP(B734,raw!A:K,11,0)</f>
        <v>88</v>
      </c>
      <c r="D734">
        <f>VLOOKUP(B734,raw!A:K,3,0)+VLOOKUP(B734,raw!A:K,7,0)</f>
        <v>88</v>
      </c>
      <c r="E734">
        <f>VLOOKUP(B734,raw!A:K,4,0)</f>
        <v>0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0</v>
      </c>
      <c r="J734">
        <f>VLOOKUP(B734,raw!A:K,8,0)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VLOOKUP(B735,raw!A:K,11,0)</f>
        <v>141</v>
      </c>
      <c r="D735">
        <f>VLOOKUP(B735,raw!A:K,3,0)+VLOOKUP(B735,raw!A:K,7,0)</f>
        <v>141</v>
      </c>
      <c r="E735">
        <f>VLOOKUP(B735,raw!A:K,4,0)</f>
        <v>0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0</v>
      </c>
      <c r="J735">
        <f>VLOOKUP(B735,raw!A:K,8,0)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94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73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53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65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252</v>
      </c>
      <c r="E746">
        <f>VLOOKUP(B746,raw!A:K,4,0)</f>
        <v>0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0</v>
      </c>
      <c r="J746">
        <f>VLOOKUP(B746,raw!A:K,8,0)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VLOOKUP(B747,raw!A:K,11,0)</f>
        <v>37</v>
      </c>
      <c r="D747">
        <f>VLOOKUP(B747,raw!A:K,3,0)+VLOOKUP(B747,raw!A:K,7,0)</f>
        <v>36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98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0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224</v>
      </c>
      <c r="D753">
        <f>VLOOKUP(B753,raw!A:K,3,0)+VLOOKUP(B753,raw!A:K,7,0)</f>
        <v>221</v>
      </c>
      <c r="E753">
        <f>VLOOKUP(B753,raw!A:K,4,0)</f>
        <v>3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0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108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14</v>
      </c>
      <c r="J754">
        <f>VLOOKUP(B754,raw!A:K,8,0)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VLOOKUP(B755,raw!A:K,11,0)</f>
        <v>150</v>
      </c>
      <c r="D755">
        <f>VLOOKUP(B755,raw!A:K,3,0)+VLOOKUP(B755,raw!A:K,7,0)</f>
        <v>150</v>
      </c>
      <c r="E755">
        <f>VLOOKUP(B755,raw!A:K,4,0)</f>
        <v>0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0</v>
      </c>
      <c r="J755">
        <f>VLOOKUP(B755,raw!A:K,8,0)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272</v>
      </c>
      <c r="E756">
        <f>VLOOKUP(B756,raw!A:K,4,0)</f>
        <v>0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18</v>
      </c>
      <c r="J756">
        <f>VLOOKUP(B756,raw!A:K,8,0)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VLOOKUP(B757,raw!A:K,11,0)</f>
        <v>103</v>
      </c>
      <c r="D757">
        <f>VLOOKUP(B757,raw!A:K,3,0)+VLOOKUP(B757,raw!A:K,7,0)</f>
        <v>103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0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171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0</v>
      </c>
      <c r="J758">
        <f>VLOOKUP(B758,raw!A:K,8,0)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66</v>
      </c>
      <c r="E759">
        <f>VLOOKUP(B759,raw!A:K,4,0)</f>
        <v>0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0</v>
      </c>
      <c r="J759">
        <f>VLOOKUP(B759,raw!A:K,8,0)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48</v>
      </c>
      <c r="E760">
        <f>VLOOKUP(B760,raw!A:K,4,0)</f>
        <v>0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0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64</v>
      </c>
      <c r="E761">
        <f>VLOOKUP(B761,raw!A:K,4,0)</f>
        <v>0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0</v>
      </c>
      <c r="J761">
        <f>VLOOKUP(B761,raw!A:K,8,0)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61</v>
      </c>
      <c r="E762">
        <f>VLOOKUP(B762,raw!A:K,4,0)</f>
        <v>0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0</v>
      </c>
      <c r="J762">
        <f>VLOOKUP(B762,raw!A:K,8,0)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43</v>
      </c>
      <c r="E763">
        <f>VLOOKUP(B763,raw!A:K,4,0)</f>
        <v>0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68</v>
      </c>
      <c r="E764">
        <f>VLOOKUP(B764,raw!A:K,4,0)</f>
        <v>0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60</v>
      </c>
      <c r="E765">
        <f>VLOOKUP(B765,raw!A:K,4,0)</f>
        <v>0</v>
      </c>
      <c r="F765">
        <f>VLOOKUP(B765,raw!A:K,5,0)</f>
        <v>0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52</v>
      </c>
      <c r="E766">
        <f>VLOOKUP(B766,raw!A:K,4,0)</f>
        <v>0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VLOOKUP(B767,raw!A:K,11,0)</f>
        <v>110</v>
      </c>
      <c r="D767">
        <f>VLOOKUP(B767,raw!A:K,3,0)+VLOOKUP(B767,raw!A:K,7,0)</f>
        <v>110</v>
      </c>
      <c r="E767">
        <f>VLOOKUP(B767,raw!A:K,4,0)</f>
        <v>0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0</v>
      </c>
      <c r="J767">
        <f>VLOOKUP(B767,raw!A:K,8,0)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VLOOKUP(B768,raw!A:K,11,0)</f>
        <v>83</v>
      </c>
      <c r="D768">
        <f>VLOOKUP(B768,raw!A:K,3,0)+VLOOKUP(B768,raw!A:K,7,0)</f>
        <v>47</v>
      </c>
      <c r="E768">
        <f>VLOOKUP(B768,raw!A:K,4,0)</f>
        <v>16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17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40</v>
      </c>
      <c r="D769">
        <f>VLOOKUP(B769,raw!A:K,3,0)+VLOOKUP(B769,raw!A:K,7,0)</f>
        <v>1</v>
      </c>
      <c r="E769">
        <f>VLOOKUP(B769,raw!A:K,4,0)</f>
        <v>7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16</v>
      </c>
      <c r="J769">
        <f>VLOOKUP(B769,raw!A:K,8,0)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VLOOKUP(B770,raw!A:K,11,0)</f>
        <v>37</v>
      </c>
      <c r="D770">
        <f>VLOOKUP(B770,raw!A:K,3,0)+VLOOKUP(B770,raw!A:K,7,0)</f>
        <v>0</v>
      </c>
      <c r="E770">
        <f>VLOOKUP(B770,raw!A:K,4,0)</f>
        <v>5</v>
      </c>
      <c r="F770">
        <f>VLOOKUP(B770,raw!A:K,5,0)</f>
        <v>0</v>
      </c>
      <c r="G770">
        <f>VLOOKUP(B770,raw!A:K,2,0)+VLOOKUP(B770,raw!A:K,10,0)</f>
        <v>23</v>
      </c>
      <c r="H770">
        <f>VLOOKUP(B770,raw!A:K,6,0)</f>
        <v>0</v>
      </c>
      <c r="I770">
        <f>VLOOKUP(B770,raw!A:K,9,0)</f>
        <v>9</v>
      </c>
      <c r="J770">
        <f>VLOOKUP(B770,raw!A:K,8,0)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VLOOKUP(B771,raw!A:K,11,0)</f>
        <v>135</v>
      </c>
      <c r="D771">
        <f>VLOOKUP(B771,raw!A:K,3,0)+VLOOKUP(B771,raw!A:K,7,0)</f>
        <v>135</v>
      </c>
      <c r="E771">
        <f>VLOOKUP(B771,raw!A:K,4,0)</f>
        <v>0</v>
      </c>
      <c r="F771">
        <f>VLOOKUP(B771,raw!A:K,5,0)</f>
        <v>0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0</v>
      </c>
      <c r="J771">
        <f>VLOOKUP(B771,raw!A:K,8,0)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108</v>
      </c>
      <c r="D773">
        <f>VLOOKUP(B773,raw!A:K,3,0)+VLOOKUP(B773,raw!A:K,7,0)</f>
        <v>108</v>
      </c>
      <c r="E773">
        <f>VLOOKUP(B773,raw!A:K,4,0)</f>
        <v>0</v>
      </c>
      <c r="F773">
        <f>VLOOKUP(B773,raw!A:K,5,0)</f>
        <v>0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0</v>
      </c>
      <c r="J773">
        <f>VLOOKUP(B773,raw!A:K,8,0)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VLOOKUP(B774,raw!A:K,11,0)</f>
        <v>124</v>
      </c>
      <c r="D774">
        <f>VLOOKUP(B774,raw!A:K,3,0)+VLOOKUP(B774,raw!A:K,7,0)</f>
        <v>123</v>
      </c>
      <c r="E774">
        <f>VLOOKUP(B774,raw!A:K,4,0)</f>
        <v>0</v>
      </c>
      <c r="F774">
        <f>VLOOKUP(B774,raw!A:K,5,0)</f>
        <v>0</v>
      </c>
      <c r="G774">
        <f>VLOOKUP(B774,raw!A:K,2,0)+VLOOKUP(B774,raw!A:K,10,0)</f>
        <v>0</v>
      </c>
      <c r="H774">
        <f>VLOOKUP(B774,raw!A:K,6,0)</f>
        <v>0</v>
      </c>
      <c r="I774">
        <f>VLOOKUP(B774,raw!A:K,9,0)</f>
        <v>1</v>
      </c>
      <c r="J774">
        <f>VLOOKUP(B774,raw!A:K,8,0)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53</v>
      </c>
      <c r="E775">
        <f>VLOOKUP(B775,raw!A:K,4,0)</f>
        <v>0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56</v>
      </c>
      <c r="E776">
        <f>VLOOKUP(B776,raw!A:K,4,0)</f>
        <v>0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VLOOKUP(B777,raw!A:K,11,0)</f>
        <v>77</v>
      </c>
      <c r="D777">
        <f>VLOOKUP(B777,raw!A:K,3,0)+VLOOKUP(B777,raw!A:K,7,0)</f>
        <v>75</v>
      </c>
      <c r="E777">
        <f>VLOOKUP(B777,raw!A:K,4,0)</f>
        <v>1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49</v>
      </c>
      <c r="E778">
        <f>VLOOKUP(B778,raw!A:K,4,0)</f>
        <v>0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50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40</v>
      </c>
      <c r="E780">
        <f>VLOOKUP(B780,raw!A:K,4,0)</f>
        <v>0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82</v>
      </c>
      <c r="D781">
        <f>VLOOKUP(B781,raw!A:K,3,0)+VLOOKUP(B781,raw!A:K,7,0)</f>
        <v>82</v>
      </c>
      <c r="E781">
        <f>VLOOKUP(B781,raw!A:K,4,0)</f>
        <v>0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0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VLOOKUP(B783,raw!A:K,11,0)</f>
        <v>86</v>
      </c>
      <c r="D783">
        <f>VLOOKUP(B783,raw!A:K,3,0)+VLOOKUP(B783,raw!A:K,7,0)</f>
        <v>85</v>
      </c>
      <c r="E783">
        <f>VLOOKUP(B783,raw!A:K,4,0)</f>
        <v>0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0</v>
      </c>
      <c r="I783">
        <f>VLOOKUP(B783,raw!A:K,9,0)</f>
        <v>1</v>
      </c>
      <c r="J783">
        <f>VLOOKUP(B783,raw!A:K,8,0)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VLOOKUP(B784,raw!A:K,11,0)</f>
        <v>153</v>
      </c>
      <c r="D784">
        <f>VLOOKUP(B784,raw!A:K,3,0)+VLOOKUP(B784,raw!A:K,7,0)</f>
        <v>153</v>
      </c>
      <c r="E784">
        <f>VLOOKUP(B784,raw!A:K,4,0)</f>
        <v>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0</v>
      </c>
      <c r="J784">
        <f>VLOOKUP(B784,raw!A:K,8,0)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VLOOKUP(B785,raw!A:K,11,0)</f>
        <v>143</v>
      </c>
      <c r="D785">
        <f>VLOOKUP(B785,raw!A:K,3,0)+VLOOKUP(B785,raw!A:K,7,0)</f>
        <v>143</v>
      </c>
      <c r="E785">
        <f>VLOOKUP(B785,raw!A:K,4,0)</f>
        <v>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0</v>
      </c>
      <c r="J785">
        <f>VLOOKUP(B785,raw!A:K,8,0)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VLOOKUP(B786,raw!A:K,11,0)</f>
        <v>164</v>
      </c>
      <c r="D786">
        <f>VLOOKUP(B786,raw!A:K,3,0)+VLOOKUP(B786,raw!A:K,7,0)</f>
        <v>164</v>
      </c>
      <c r="E786">
        <f>VLOOKUP(B786,raw!A:K,4,0)</f>
        <v>0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VLOOKUP(B787,raw!A:K,11,0)</f>
        <v>124</v>
      </c>
      <c r="D787">
        <f>VLOOKUP(B787,raw!A:K,3,0)+VLOOKUP(B787,raw!A:K,7,0)</f>
        <v>121</v>
      </c>
      <c r="E787">
        <f>VLOOKUP(B787,raw!A:K,4,0)</f>
        <v>0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3</v>
      </c>
      <c r="J787">
        <f>VLOOKUP(B787,raw!A:K,8,0)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VLOOKUP(B788,raw!A:K,11,0)</f>
        <v>150</v>
      </c>
      <c r="D788">
        <f>VLOOKUP(B788,raw!A:K,3,0)+VLOOKUP(B788,raw!A:K,7,0)</f>
        <v>150</v>
      </c>
      <c r="E788">
        <f>VLOOKUP(B788,raw!A:K,4,0)</f>
        <v>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0</v>
      </c>
      <c r="J788">
        <f>VLOOKUP(B788,raw!A:K,8,0)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36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45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VLOOKUP(B791,raw!A:K,11,0)</f>
        <v>43</v>
      </c>
      <c r="D791">
        <f>VLOOKUP(B791,raw!A:K,3,0)+VLOOKUP(B791,raw!A:K,7,0)</f>
        <v>43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53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0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54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0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52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109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0</v>
      </c>
      <c r="J795">
        <f>VLOOKUP(B795,raw!A:K,8,0)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61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0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32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41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VLOOKUP(B799,raw!A:K,11,0)</f>
        <v>79</v>
      </c>
      <c r="D799">
        <f>VLOOKUP(B799,raw!A:K,3,0)+VLOOKUP(B799,raw!A:K,7,0)</f>
        <v>79</v>
      </c>
      <c r="E799">
        <f>VLOOKUP(B799,raw!A:K,4,0)</f>
        <v>0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VLOOKUP(B800,raw!A:K,11,0)</f>
        <v>85</v>
      </c>
      <c r="D800">
        <f>VLOOKUP(B800,raw!A:K,3,0)+VLOOKUP(B800,raw!A:K,7,0)</f>
        <v>85</v>
      </c>
      <c r="E800">
        <f>VLOOKUP(B800,raw!A:K,4,0)</f>
        <v>0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47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57</v>
      </c>
      <c r="E802">
        <f>VLOOKUP(B802,raw!A:K,4,0)</f>
        <v>0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95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0</v>
      </c>
      <c r="H803">
        <f>VLOOKUP(B803,raw!A:K,6,0)</f>
        <v>0</v>
      </c>
      <c r="I803">
        <f>VLOOKUP(B803,raw!A:K,9,0)</f>
        <v>0</v>
      </c>
      <c r="J803">
        <f>VLOOKUP(B803,raw!A:K,8,0)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233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0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196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0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156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0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103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172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0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97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113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0</v>
      </c>
      <c r="J810">
        <f>VLOOKUP(B810,raw!A:K,8,0)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154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VLOOKUP(B815,raw!A:K,11,0)</f>
        <v>184</v>
      </c>
      <c r="D815">
        <f>VLOOKUP(B815,raw!A:K,3,0)+VLOOKUP(B815,raw!A:K,7,0)</f>
        <v>184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VLOOKUP(B816,raw!A:K,11,0)</f>
        <v>131</v>
      </c>
      <c r="D816">
        <f>VLOOKUP(B816,raw!A:K,3,0)+VLOOKUP(B816,raw!A:K,7,0)</f>
        <v>131</v>
      </c>
      <c r="E816">
        <f>VLOOKUP(B816,raw!A:K,4,0)</f>
        <v>0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94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67</v>
      </c>
      <c r="E818">
        <f>VLOOKUP(B818,raw!A:K,4,0)</f>
        <v>4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79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VLOOKUP(B820,raw!A:K,11,0)</f>
        <v>69</v>
      </c>
      <c r="D820">
        <f>VLOOKUP(B820,raw!A:K,3,0)+VLOOKUP(B820,raw!A:K,7,0)</f>
        <v>69</v>
      </c>
      <c r="E820">
        <f>VLOOKUP(B820,raw!A:K,4,0)</f>
        <v>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68</v>
      </c>
      <c r="E821">
        <f>VLOOKUP(B821,raw!A:K,4,0)</f>
        <v>0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62</v>
      </c>
      <c r="E823">
        <f>VLOOKUP(B823,raw!A:K,4,0)</f>
        <v>0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78</v>
      </c>
      <c r="E824">
        <f>VLOOKUP(B824,raw!A:K,4,0)</f>
        <v>0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47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49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40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62</v>
      </c>
      <c r="E833">
        <f>VLOOKUP(B833,raw!A:K,4,0)</f>
        <v>0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77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118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140</v>
      </c>
      <c r="E840">
        <f>VLOOKUP(B840,raw!A:K,4,0)</f>
        <v>11</v>
      </c>
      <c r="F840">
        <f>VLOOKUP(B840,raw!A:K,5,0)</f>
        <v>0</v>
      </c>
      <c r="G840">
        <f>VLOOKUP(B840,raw!A:K,2,0)+VLOOKUP(B840,raw!A:K,10,0)</f>
        <v>1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VLOOKUP(B841,raw!A:K,11,0)</f>
        <v>78</v>
      </c>
      <c r="D841">
        <f>VLOOKUP(B841,raw!A:K,3,0)+VLOOKUP(B841,raw!A:K,7,0)</f>
        <v>78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65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VLOOKUP(B844,raw!A:K,11,0)</f>
        <v>130</v>
      </c>
      <c r="D844">
        <f>VLOOKUP(B844,raw!A:K,3,0)+VLOOKUP(B844,raw!A:K,7,0)</f>
        <v>130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VLOOKUP(B846,raw!A:K,11,0)</f>
        <v>146</v>
      </c>
      <c r="D846">
        <f>VLOOKUP(B846,raw!A:K,3,0)+VLOOKUP(B846,raw!A:K,7,0)</f>
        <v>146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1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1</v>
      </c>
      <c r="I849">
        <f>VLOOKUP(B849,raw!A:K,9,0)</f>
        <v>0</v>
      </c>
      <c r="J849">
        <f>VLOOKUP(B849,raw!A:K,8,0)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47</v>
      </c>
      <c r="D852">
        <f>VLOOKUP(B852,raw!A:K,3,0)+VLOOKUP(B852,raw!A:K,7,0)</f>
        <v>46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VLOOKUP(B854,raw!A:K,11,0)</f>
        <v>150</v>
      </c>
      <c r="D854">
        <f>VLOOKUP(B854,raw!A:K,3,0)+VLOOKUP(B854,raw!A:K,7,0)</f>
        <v>143</v>
      </c>
      <c r="E854">
        <f>VLOOKUP(B854,raw!A:K,4,0)</f>
        <v>7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58</v>
      </c>
      <c r="D856">
        <f>VLOOKUP(B856,raw!A:K,3,0)+VLOOKUP(B856,raw!A:K,7,0)</f>
        <v>55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141</v>
      </c>
      <c r="E860">
        <f>VLOOKUP(B860,raw!A:K,4,0)</f>
        <v>10</v>
      </c>
      <c r="F860">
        <f>VLOOKUP(B860,raw!A:K,5,0)</f>
        <v>0</v>
      </c>
      <c r="G860">
        <f>VLOOKUP(B860,raw!A:K,2,0)+VLOOKUP(B860,raw!A:K,10,0)</f>
        <v>2</v>
      </c>
      <c r="H860">
        <f>VLOOKUP(B860,raw!A:K,6,0)</f>
        <v>0</v>
      </c>
      <c r="I860">
        <f>VLOOKUP(B860,raw!A:K,9,0)</f>
        <v>1</v>
      </c>
      <c r="J860">
        <f>VLOOKUP(B860,raw!A:K,8,0)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70</v>
      </c>
      <c r="D862">
        <f>VLOOKUP(B862,raw!A:K,3,0)+VLOOKUP(B862,raw!A:K,7,0)</f>
        <v>51</v>
      </c>
      <c r="E862">
        <f>VLOOKUP(B862,raw!A:K,4,0)</f>
        <v>14</v>
      </c>
      <c r="F862">
        <f>VLOOKUP(B862,raw!A:K,5,0)</f>
        <v>0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5</v>
      </c>
      <c r="J862">
        <f>VLOOKUP(B862,raw!A:K,8,0)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VLOOKUP(B863,raw!A:K,11,0)</f>
        <v>185</v>
      </c>
      <c r="D863">
        <f>VLOOKUP(B863,raw!A:K,3,0)+VLOOKUP(B863,raw!A:K,7,0)</f>
        <v>170</v>
      </c>
      <c r="E863">
        <f>VLOOKUP(B863,raw!A:K,4,0)</f>
        <v>15</v>
      </c>
      <c r="F863">
        <f>VLOOKUP(B863,raw!A:K,5,0)</f>
        <v>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VLOOKUP(B864,raw!A:K,11,0)</f>
        <v>112</v>
      </c>
      <c r="D864">
        <f>VLOOKUP(B864,raw!A:K,3,0)+VLOOKUP(B864,raw!A:K,7,0)</f>
        <v>84</v>
      </c>
      <c r="E864">
        <f>VLOOKUP(B864,raw!A:K,4,0)</f>
        <v>13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14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VLOOKUP(B865,raw!A:K,11,0)</f>
        <v>8</v>
      </c>
      <c r="D865">
        <f>VLOOKUP(B865,raw!A:K,3,0)+VLOOKUP(B865,raw!A:K,7,0)</f>
        <v>0</v>
      </c>
      <c r="E865">
        <f>VLOOKUP(B865,raw!A:K,4,0)</f>
        <v>5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3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48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0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0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1</v>
      </c>
      <c r="J869">
        <f>VLOOKUP(B869,raw!A:K,8,0)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3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1</v>
      </c>
      <c r="J871">
        <f>VLOOKUP(B871,raw!A:K,8,0)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0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2</v>
      </c>
      <c r="J874">
        <f>VLOOKUP(B874,raw!A:K,8,0)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43</v>
      </c>
      <c r="E875">
        <f>VLOOKUP(B875,raw!A:K,4,0)</f>
        <v>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27</v>
      </c>
      <c r="E876">
        <f>VLOOKUP(B876,raw!A:K,4,0)</f>
        <v>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1</v>
      </c>
      <c r="J876">
        <f>VLOOKUP(B876,raw!A:K,8,0)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70</v>
      </c>
      <c r="E877">
        <f>VLOOKUP(B877,raw!A:K,4,0)</f>
        <v>0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2</v>
      </c>
      <c r="J877">
        <f>VLOOKUP(B877,raw!A:K,8,0)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VLOOKUP(B878,raw!A:K,11,0)</f>
        <v>102</v>
      </c>
      <c r="D878">
        <f>VLOOKUP(B878,raw!A:K,3,0)+VLOOKUP(B878,raw!A:K,7,0)</f>
        <v>102</v>
      </c>
      <c r="E878">
        <f>VLOOKUP(B878,raw!A:K,4,0)</f>
        <v>0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83</v>
      </c>
      <c r="D880">
        <f>VLOOKUP(B880,raw!A:K,3,0)+VLOOKUP(B880,raw!A:K,7,0)</f>
        <v>83</v>
      </c>
      <c r="E880">
        <f>VLOOKUP(B880,raw!A:K,4,0)</f>
        <v>0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76</v>
      </c>
      <c r="D881">
        <f>VLOOKUP(B881,raw!A:K,3,0)+VLOOKUP(B881,raw!A:K,7,0)</f>
        <v>76</v>
      </c>
      <c r="E881">
        <f>VLOOKUP(B881,raw!A:K,4,0)</f>
        <v>0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155</v>
      </c>
      <c r="D883">
        <f>VLOOKUP(B883,raw!A:K,3,0)+VLOOKUP(B883,raw!A:K,7,0)</f>
        <v>155</v>
      </c>
      <c r="E883">
        <f>VLOOKUP(B883,raw!A:K,4,0)</f>
        <v>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VLOOKUP(B884,raw!A:K,11,0)</f>
        <v>230</v>
      </c>
      <c r="D884">
        <f>VLOOKUP(B884,raw!A:K,3,0)+VLOOKUP(B884,raw!A:K,7,0)</f>
        <v>230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VLOOKUP(B885,raw!A:K,11,0)</f>
        <v>105</v>
      </c>
      <c r="D885">
        <f>VLOOKUP(B885,raw!A:K,3,0)+VLOOKUP(B885,raw!A:K,7,0)</f>
        <v>105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0</v>
      </c>
      <c r="J885">
        <f>VLOOKUP(B885,raw!A:K,8,0)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VLOOKUP(B886,raw!A:K,11,0)</f>
        <v>161</v>
      </c>
      <c r="D886">
        <f>VLOOKUP(B886,raw!A:K,3,0)+VLOOKUP(B886,raw!A:K,7,0)</f>
        <v>161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0</v>
      </c>
      <c r="J886">
        <f>VLOOKUP(B886,raw!A:K,8,0)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VLOOKUP(B887,raw!A:K,11,0)</f>
        <v>181</v>
      </c>
      <c r="D887">
        <f>VLOOKUP(B887,raw!A:K,3,0)+VLOOKUP(B887,raw!A:K,7,0)</f>
        <v>181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0</v>
      </c>
      <c r="J887">
        <f>VLOOKUP(B887,raw!A:K,8,0)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180</v>
      </c>
      <c r="E888">
        <f>VLOOKUP(B888,raw!A:K,4,0)</f>
        <v>0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0</v>
      </c>
      <c r="J888">
        <f>VLOOKUP(B888,raw!A:K,8,0)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243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129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0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VLOOKUP(B891,raw!A:K,11,0)</f>
        <v>107</v>
      </c>
      <c r="D891">
        <f>VLOOKUP(B891,raw!A:K,3,0)+VLOOKUP(B891,raw!A:K,7,0)</f>
        <v>94</v>
      </c>
      <c r="E891">
        <f>VLOOKUP(B891,raw!A:K,4,0)</f>
        <v>9</v>
      </c>
      <c r="F891">
        <f>VLOOKUP(B891,raw!A:K,5,0)</f>
        <v>0</v>
      </c>
      <c r="G891">
        <f>VLOOKUP(B891,raw!A:K,2,0)+VLOOKUP(B891,raw!A:K,10,0)</f>
        <v>4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218</v>
      </c>
      <c r="E892">
        <f>VLOOKUP(B892,raw!A:K,4,0)</f>
        <v>0</v>
      </c>
      <c r="F892">
        <f>VLOOKUP(B892,raw!A:K,5,0)</f>
        <v>0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1</v>
      </c>
      <c r="J892">
        <f>VLOOKUP(B892,raw!A:K,8,0)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214</v>
      </c>
      <c r="E893">
        <f>VLOOKUP(B893,raw!A:K,4,0)</f>
        <v>3</v>
      </c>
      <c r="F893">
        <f>VLOOKUP(B893,raw!A:K,5,0)</f>
        <v>0</v>
      </c>
      <c r="G893">
        <f>VLOOKUP(B893,raw!A:K,2,0)+VLOOKUP(B893,raw!A:K,10,0)</f>
        <v>0</v>
      </c>
      <c r="H893">
        <f>VLOOKUP(B893,raw!A:K,6,0)</f>
        <v>0</v>
      </c>
      <c r="I893">
        <f>VLOOKUP(B893,raw!A:K,9,0)</f>
        <v>1</v>
      </c>
      <c r="J893">
        <f>VLOOKUP(B893,raw!A:K,8,0)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VLOOKUP(B894,raw!A:K,11,0)</f>
        <v>128</v>
      </c>
      <c r="D894">
        <f>VLOOKUP(B894,raw!A:K,3,0)+VLOOKUP(B894,raw!A:K,7,0)</f>
        <v>127</v>
      </c>
      <c r="E894">
        <f>VLOOKUP(B894,raw!A:K,4,0)</f>
        <v>0</v>
      </c>
      <c r="F894">
        <f>VLOOKUP(B894,raw!A:K,5,0)</f>
        <v>0</v>
      </c>
      <c r="G894">
        <f>VLOOKUP(B894,raw!A:K,2,0)+VLOOKUP(B894,raw!A:K,10,0)</f>
        <v>1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208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0</v>
      </c>
      <c r="I895">
        <f>VLOOKUP(B895,raw!A:K,9,0)</f>
        <v>0</v>
      </c>
      <c r="J895">
        <f>VLOOKUP(B895,raw!A:K,8,0)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VLOOKUP(B896,raw!A:K,11,0)</f>
        <v>173</v>
      </c>
      <c r="D896">
        <f>VLOOKUP(B896,raw!A:K,3,0)+VLOOKUP(B896,raw!A:K,7,0)</f>
        <v>173</v>
      </c>
      <c r="E896">
        <f>VLOOKUP(B896,raw!A:K,4,0)</f>
        <v>0</v>
      </c>
      <c r="F896">
        <f>VLOOKUP(B896,raw!A:K,5,0)</f>
        <v>0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114</v>
      </c>
      <c r="E897">
        <f>VLOOKUP(B897,raw!A:K,4,0)</f>
        <v>2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163</v>
      </c>
      <c r="D898">
        <f>VLOOKUP(B898,raw!A:K,3,0)+VLOOKUP(B898,raw!A:K,7,0)</f>
        <v>163</v>
      </c>
      <c r="E898">
        <f>VLOOKUP(B898,raw!A:K,4,0)</f>
        <v>0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213</v>
      </c>
      <c r="D899">
        <f>VLOOKUP(B899,raw!A:K,3,0)+VLOOKUP(B899,raw!A:K,7,0)</f>
        <v>213</v>
      </c>
      <c r="E899">
        <f>VLOOKUP(B899,raw!A:K,4,0)</f>
        <v>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VLOOKUP(B900,raw!A:K,11,0)</f>
        <v>101</v>
      </c>
      <c r="D900">
        <f>VLOOKUP(B900,raw!A:K,3,0)+VLOOKUP(B900,raw!A:K,7,0)</f>
        <v>101</v>
      </c>
      <c r="E900">
        <f>VLOOKUP(B900,raw!A:K,4,0)</f>
        <v>0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142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126</v>
      </c>
      <c r="E902">
        <f>VLOOKUP(B902,raw!A:K,4,0)</f>
        <v>0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VLOOKUP(B903,raw!A:K,11,0)</f>
        <v>249</v>
      </c>
      <c r="D903">
        <f>VLOOKUP(B903,raw!A:K,3,0)+VLOOKUP(B903,raw!A:K,7,0)</f>
        <v>246</v>
      </c>
      <c r="E903">
        <f>VLOOKUP(B903,raw!A:K,4,0)</f>
        <v>3</v>
      </c>
      <c r="F903">
        <f>VLOOKUP(B903,raw!A:K,5,0)</f>
        <v>0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VLOOKUP(B904,raw!A:K,11,0)</f>
        <v>184</v>
      </c>
      <c r="D904">
        <f>VLOOKUP(B904,raw!A:K,3,0)+VLOOKUP(B904,raw!A:K,7,0)</f>
        <v>180</v>
      </c>
      <c r="E904">
        <f>VLOOKUP(B904,raw!A:K,4,0)</f>
        <v>4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128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VLOOKUP(B906,raw!A:K,11,0)</f>
        <v>131</v>
      </c>
      <c r="D906">
        <f>VLOOKUP(B906,raw!A:K,3,0)+VLOOKUP(B906,raw!A:K,7,0)</f>
        <v>125</v>
      </c>
      <c r="E906">
        <f>VLOOKUP(B906,raw!A:K,4,0)</f>
        <v>6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187</v>
      </c>
      <c r="E908">
        <f>VLOOKUP(B908,raw!A:K,4,0)</f>
        <v>0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125</v>
      </c>
      <c r="E909">
        <f>VLOOKUP(B909,raw!A:K,4,0)</f>
        <v>0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120</v>
      </c>
      <c r="E911">
        <f>VLOOKUP(B911,raw!A:K,4,0)</f>
        <v>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6</v>
      </c>
      <c r="J911">
        <f>VLOOKUP(B911,raw!A:K,8,0)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VLOOKUP(B912,raw!A:K,11,0)</f>
        <v>110</v>
      </c>
      <c r="D912">
        <f>VLOOKUP(B912,raw!A:K,3,0)+VLOOKUP(B912,raw!A:K,7,0)</f>
        <v>108</v>
      </c>
      <c r="E912">
        <f>VLOOKUP(B912,raw!A:K,4,0)</f>
        <v>2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56</v>
      </c>
      <c r="E913">
        <f>VLOOKUP(B913,raw!A:K,4,0)</f>
        <v>0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11</v>
      </c>
      <c r="J913">
        <f>VLOOKUP(B913,raw!A:K,8,0)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VLOOKUP(B914,raw!A:K,11,0)</f>
        <v>108</v>
      </c>
      <c r="D914">
        <f>VLOOKUP(B914,raw!A:K,3,0)+VLOOKUP(B914,raw!A:K,7,0)</f>
        <v>104</v>
      </c>
      <c r="E914">
        <f>VLOOKUP(B914,raw!A:K,4,0)</f>
        <v>3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VLOOKUP(B915,raw!A:K,11,0)</f>
        <v>113</v>
      </c>
      <c r="D915">
        <f>VLOOKUP(B915,raw!A:K,3,0)+VLOOKUP(B915,raw!A:K,7,0)</f>
        <v>113</v>
      </c>
      <c r="E915">
        <f>VLOOKUP(B915,raw!A:K,4,0)</f>
        <v>0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108</v>
      </c>
      <c r="E916">
        <f>VLOOKUP(B916,raw!A:K,4,0)</f>
        <v>0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19</v>
      </c>
      <c r="J916">
        <f>VLOOKUP(B916,raw!A:K,8,0)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142</v>
      </c>
      <c r="E918">
        <f>VLOOKUP(B918,raw!A:K,4,0)</f>
        <v>2</v>
      </c>
      <c r="F918">
        <f>VLOOKUP(B918,raw!A:K,5,0)</f>
        <v>0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100</v>
      </c>
      <c r="E919">
        <f>VLOOKUP(B919,raw!A:K,4,0)</f>
        <v>0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111</v>
      </c>
      <c r="E920">
        <f>VLOOKUP(B920,raw!A:K,4,0)</f>
        <v>52</v>
      </c>
      <c r="F920">
        <f>VLOOKUP(B920,raw!A:K,5,0)</f>
        <v>0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VLOOKUP(B921,raw!A:K,11,0)</f>
        <v>171</v>
      </c>
      <c r="D921">
        <f>VLOOKUP(B921,raw!A:K,3,0)+VLOOKUP(B921,raw!A:K,7,0)</f>
        <v>168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VLOOKUP(B922,raw!A:K,11,0)</f>
        <v>96</v>
      </c>
      <c r="D922">
        <f>VLOOKUP(B922,raw!A:K,3,0)+VLOOKUP(B922,raw!A:K,7,0)</f>
        <v>96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128</v>
      </c>
      <c r="E923">
        <f>VLOOKUP(B923,raw!A:K,4,0)</f>
        <v>1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147</v>
      </c>
      <c r="E924">
        <f>VLOOKUP(B924,raw!A:K,4,0)</f>
        <v>0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84</v>
      </c>
      <c r="E925">
        <f>VLOOKUP(B925,raw!A:K,4,0)</f>
        <v>1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111</v>
      </c>
      <c r="E926">
        <f>VLOOKUP(B926,raw!A:K,4,0)</f>
        <v>1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96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0</v>
      </c>
      <c r="J928">
        <f>VLOOKUP(B928,raw!A:K,8,0)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VLOOKUP(B929,raw!A:K,11,0)</f>
        <v>192</v>
      </c>
      <c r="D929">
        <f>VLOOKUP(B929,raw!A:K,3,0)+VLOOKUP(B929,raw!A:K,7,0)</f>
        <v>192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98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75</v>
      </c>
      <c r="E931">
        <f>VLOOKUP(B931,raw!A:K,4,0)</f>
        <v>3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98</v>
      </c>
      <c r="D934">
        <f>VLOOKUP(B934,raw!A:K,3,0)+VLOOKUP(B934,raw!A:K,7,0)</f>
        <v>98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52</v>
      </c>
      <c r="E936">
        <f>VLOOKUP(B936,raw!A:K,4,0)</f>
        <v>0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47</v>
      </c>
      <c r="D937">
        <f>VLOOKUP(B937,raw!A:K,3,0)+VLOOKUP(B937,raw!A:K,7,0)</f>
        <v>47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93</v>
      </c>
      <c r="E940">
        <f>VLOOKUP(B940,raw!A:K,4,0)</f>
        <v>0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VLOOKUP(B941,raw!A:K,11,0)</f>
        <v>117</v>
      </c>
      <c r="D941">
        <f>VLOOKUP(B941,raw!A:K,3,0)+VLOOKUP(B941,raw!A:K,7,0)</f>
        <v>114</v>
      </c>
      <c r="E941">
        <f>VLOOKUP(B941,raw!A:K,4,0)</f>
        <v>3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VLOOKUP(B942,raw!A:K,11,0)</f>
        <v>82</v>
      </c>
      <c r="D942">
        <f>VLOOKUP(B942,raw!A:K,3,0)+VLOOKUP(B942,raw!A:K,7,0)</f>
        <v>81</v>
      </c>
      <c r="E942">
        <f>VLOOKUP(B942,raw!A:K,4,0)</f>
        <v>1</v>
      </c>
      <c r="F942">
        <f>VLOOKUP(B942,raw!A:K,5,0)</f>
        <v>0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VLOOKUP(B943,raw!A:K,11,0)</f>
        <v>136</v>
      </c>
      <c r="D943">
        <f>VLOOKUP(B943,raw!A:K,3,0)+VLOOKUP(B943,raw!A:K,7,0)</f>
        <v>136</v>
      </c>
      <c r="E943">
        <f>VLOOKUP(B943,raw!A:K,4,0)</f>
        <v>0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89</v>
      </c>
      <c r="E944">
        <f>VLOOKUP(B944,raw!A:K,4,0)</f>
        <v>0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VLOOKUP(B945,raw!A:K,11,0)</f>
        <v>95</v>
      </c>
      <c r="D945">
        <f>VLOOKUP(B945,raw!A:K,3,0)+VLOOKUP(B945,raw!A:K,7,0)</f>
        <v>95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VLOOKUP(B947,raw!A:K,11,0)</f>
        <v>24</v>
      </c>
      <c r="D947">
        <f>VLOOKUP(B947,raw!A:K,3,0)+VLOOKUP(B947,raw!A:K,7,0)</f>
        <v>23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80</v>
      </c>
      <c r="E948">
        <f>VLOOKUP(B948,raw!A:K,4,0)</f>
        <v>5</v>
      </c>
      <c r="F948">
        <f>VLOOKUP(B948,raw!A:K,5,0)</f>
        <v>0</v>
      </c>
      <c r="G948">
        <f>VLOOKUP(B948,raw!A:K,2,0)+VLOOKUP(B948,raw!A:K,10,0)</f>
        <v>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VLOOKUP(B949,raw!A:K,11,0)</f>
        <v>104</v>
      </c>
      <c r="D949">
        <f>VLOOKUP(B949,raw!A:K,3,0)+VLOOKUP(B949,raw!A:K,7,0)</f>
        <v>101</v>
      </c>
      <c r="E949">
        <f>VLOOKUP(B949,raw!A:K,4,0)</f>
        <v>3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VLOOKUP(B950,raw!A:K,11,0)</f>
        <v>57</v>
      </c>
      <c r="D950">
        <f>VLOOKUP(B950,raw!A:K,3,0)+VLOOKUP(B950,raw!A:K,7,0)</f>
        <v>55</v>
      </c>
      <c r="E950">
        <f>VLOOKUP(B950,raw!A:K,4,0)</f>
        <v>0</v>
      </c>
      <c r="F950">
        <f>VLOOKUP(B950,raw!A:K,5,0)</f>
        <v>0</v>
      </c>
      <c r="G950">
        <f>VLOOKUP(B950,raw!A:K,2,0)+VLOOKUP(B950,raw!A:K,10,0)</f>
        <v>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VLOOKUP(B957,raw!A:K,11,0)</f>
        <v>109</v>
      </c>
      <c r="D957">
        <f>VLOOKUP(B957,raw!A:K,3,0)+VLOOKUP(B957,raw!A:K,7,0)</f>
        <v>109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VLOOKUP(B958,raw!A:K,11,0)</f>
        <v>188</v>
      </c>
      <c r="D958">
        <f>VLOOKUP(B958,raw!A:K,3,0)+VLOOKUP(B958,raw!A:K,7,0)</f>
        <v>188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VLOOKUP(B959,raw!A:K,11,0)</f>
        <v>111</v>
      </c>
      <c r="D959">
        <f>VLOOKUP(B959,raw!A:K,3,0)+VLOOKUP(B959,raw!A:K,7,0)</f>
        <v>111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VLOOKUP(B960,raw!A:K,11,0)</f>
        <v>191</v>
      </c>
      <c r="D960">
        <f>VLOOKUP(B960,raw!A:K,3,0)+VLOOKUP(B960,raw!A:K,7,0)</f>
        <v>191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VLOOKUP(B961,raw!A:K,11,0)</f>
        <v>77</v>
      </c>
      <c r="D961">
        <f>VLOOKUP(B961,raw!A:K,3,0)+VLOOKUP(B961,raw!A:K,7,0)</f>
        <v>77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VLOOKUP(B962,raw!A:K,11,0)</f>
        <v>260</v>
      </c>
      <c r="D962">
        <f>VLOOKUP(B962,raw!A:K,3,0)+VLOOKUP(B962,raw!A:K,7,0)</f>
        <v>260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VLOOKUP(B963,raw!A:K,11,0)</f>
        <v>233</v>
      </c>
      <c r="D963">
        <f>VLOOKUP(B963,raw!A:K,3,0)+VLOOKUP(B963,raw!A:K,7,0)</f>
        <v>233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VLOOKUP(B964,raw!A:K,11,0)</f>
        <v>111</v>
      </c>
      <c r="D964">
        <f>VLOOKUP(B964,raw!A:K,3,0)+VLOOKUP(B964,raw!A:K,7,0)</f>
        <v>111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92</v>
      </c>
      <c r="D965">
        <f>VLOOKUP(B965,raw!A:K,3,0)+VLOOKUP(B965,raw!A:K,7,0)</f>
        <v>92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VLOOKUP(B967,raw!A:K,11,0)</f>
        <v>140</v>
      </c>
      <c r="D967">
        <f>VLOOKUP(B967,raw!A:K,3,0)+VLOOKUP(B967,raw!A:K,7,0)</f>
        <v>140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VLOOKUP(B974,raw!A:K,11,0)</f>
        <v>276</v>
      </c>
      <c r="D974">
        <f>VLOOKUP(B974,raw!A:K,3,0)+VLOOKUP(B974,raw!A:K,7,0)</f>
        <v>276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VLOOKUP(B975,raw!A:K,11,0)</f>
        <v>283</v>
      </c>
      <c r="D975">
        <f>VLOOKUP(B975,raw!A:K,3,0)+VLOOKUP(B975,raw!A:K,7,0)</f>
        <v>283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VLOOKUP(B976,raw!A:K,11,0)</f>
        <v>59</v>
      </c>
      <c r="D976">
        <f>VLOOKUP(B976,raw!A:K,3,0)+VLOOKUP(B976,raw!A:K,7,0)</f>
        <v>59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68</v>
      </c>
      <c r="D977">
        <f>VLOOKUP(B977,raw!A:K,3,0)+VLOOKUP(B977,raw!A:K,7,0)</f>
        <v>68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49</v>
      </c>
      <c r="D978">
        <f>VLOOKUP(B978,raw!A:K,3,0)+VLOOKUP(B978,raw!A:K,7,0)</f>
        <v>49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48</v>
      </c>
      <c r="D979">
        <f>VLOOKUP(B979,raw!A:K,3,0)+VLOOKUP(B979,raw!A:K,7,0)</f>
        <v>48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VLOOKUP(B980,raw!A:K,11,0)</f>
        <v>101</v>
      </c>
      <c r="D980">
        <f>VLOOKUP(B980,raw!A:K,3,0)+VLOOKUP(B980,raw!A:K,7,0)</f>
        <v>101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VLOOKUP(B984,raw!A:K,11,0)</f>
        <v>51</v>
      </c>
      <c r="D984">
        <f>VLOOKUP(B984,raw!A:K,3,0)+VLOOKUP(B984,raw!A:K,7,0)</f>
        <v>51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VLOOKUP(B986,raw!A:K,11,0)</f>
        <v>34</v>
      </c>
      <c r="D986">
        <f>VLOOKUP(B986,raw!A:K,3,0)+VLOOKUP(B986,raw!A:K,7,0)</f>
        <v>34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VLOOKUP(B987,raw!A:K,11,0)</f>
        <v>46</v>
      </c>
      <c r="D987">
        <f>VLOOKUP(B987,raw!A:K,3,0)+VLOOKUP(B987,raw!A:K,7,0)</f>
        <v>46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VLOOKUP(B988,raw!A:K,11,0)</f>
        <v>67</v>
      </c>
      <c r="D988">
        <f>VLOOKUP(B988,raw!A:K,3,0)+VLOOKUP(B988,raw!A:K,7,0)</f>
        <v>67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48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VLOOKUP(B991,raw!A:K,11,0)</f>
        <v>52</v>
      </c>
      <c r="D991">
        <f>VLOOKUP(B991,raw!A:K,3,0)+VLOOKUP(B991,raw!A:K,7,0)</f>
        <v>52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VLOOKUP(B992,raw!A:K,11,0)</f>
        <v>75</v>
      </c>
      <c r="D992">
        <f>VLOOKUP(B992,raw!A:K,3,0)+VLOOKUP(B992,raw!A:K,7,0)</f>
        <v>75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VLOOKUP(B993,raw!A:K,11,0)</f>
        <v>203</v>
      </c>
      <c r="D993">
        <f>VLOOKUP(B993,raw!A:K,3,0)+VLOOKUP(B993,raw!A:K,7,0)</f>
        <v>203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VLOOKUP(B994,raw!A:K,11,0)</f>
        <v>63</v>
      </c>
      <c r="D994">
        <f>VLOOKUP(B994,raw!A:K,3,0)+VLOOKUP(B994,raw!A:K,7,0)</f>
        <v>63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137</v>
      </c>
      <c r="D995">
        <f>VLOOKUP(B995,raw!A:K,3,0)+VLOOKUP(B995,raw!A:K,7,0)</f>
        <v>137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VLOOKUP(B996,raw!A:K,11,0)</f>
        <v>99</v>
      </c>
      <c r="D996">
        <f>VLOOKUP(B996,raw!A:K,3,0)+VLOOKUP(B996,raw!A:K,7,0)</f>
        <v>99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72</v>
      </c>
      <c r="D997">
        <f>VLOOKUP(B997,raw!A:K,3,0)+VLOOKUP(B997,raw!A:K,7,0)</f>
        <v>72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191</v>
      </c>
      <c r="D999">
        <f>VLOOKUP(B999,raw!A:K,3,0)+VLOOKUP(B999,raw!A:K,7,0)</f>
        <v>191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157</v>
      </c>
      <c r="D1001">
        <f>VLOOKUP(B1001,raw!A:K,3,0)+VLOOKUP(B1001,raw!A:K,7,0)</f>
        <v>157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VLOOKUP(B1003,raw!A:K,11,0)</f>
        <v>105</v>
      </c>
      <c r="D1003">
        <f>VLOOKUP(B1003,raw!A:K,3,0)+VLOOKUP(B1003,raw!A:K,7,0)</f>
        <v>105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94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1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VLOOKUP(B1005,raw!A:K,11,0)</f>
        <v>85</v>
      </c>
      <c r="D1005">
        <f>VLOOKUP(B1005,raw!A:K,3,0)+VLOOKUP(B1005,raw!A:K,7,0)</f>
        <v>85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VLOOKUP(B1006,raw!A:K,11,0)</f>
        <v>81</v>
      </c>
      <c r="D1006">
        <f>VLOOKUP(B1006,raw!A:K,3,0)+VLOOKUP(B1006,raw!A:K,7,0)</f>
        <v>81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68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VLOOKUP(B1008,raw!A:K,11,0)</f>
        <v>106</v>
      </c>
      <c r="D1008">
        <f>VLOOKUP(B1008,raw!A:K,3,0)+VLOOKUP(B1008,raw!A:K,7,0)</f>
        <v>106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VLOOKUP(B1009,raw!A:K,11,0)</f>
        <v>89</v>
      </c>
      <c r="D1009">
        <f>VLOOKUP(B1009,raw!A:K,3,0)+VLOOKUP(B1009,raw!A:K,7,0)</f>
        <v>87</v>
      </c>
      <c r="E1009">
        <f>VLOOKUP(B1009,raw!A:K,4,0)</f>
        <v>0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VLOOKUP(B1011,raw!A:K,11,0)</f>
        <v>86</v>
      </c>
      <c r="D1011">
        <f>VLOOKUP(B1011,raw!A:K,3,0)+VLOOKUP(B1011,raw!A:K,7,0)</f>
        <v>86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VLOOKUP(B1012,raw!A:K,11,0)</f>
        <v>102</v>
      </c>
      <c r="D1012">
        <f>VLOOKUP(B1012,raw!A:K,3,0)+VLOOKUP(B1012,raw!A:K,7,0)</f>
        <v>102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41</v>
      </c>
      <c r="D1014">
        <f>VLOOKUP(B1014,raw!A:K,3,0)+VLOOKUP(B1014,raw!A:K,7,0)</f>
        <v>41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VLOOKUP(B1016,raw!A:K,11,0)</f>
        <v>59</v>
      </c>
      <c r="D1016">
        <f>VLOOKUP(B1016,raw!A:K,3,0)+VLOOKUP(B1016,raw!A:K,7,0)</f>
        <v>59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86</v>
      </c>
      <c r="D1018">
        <f>VLOOKUP(B1018,raw!A:K,3,0)+VLOOKUP(B1018,raw!A:K,7,0)</f>
        <v>83</v>
      </c>
      <c r="E1018">
        <f>VLOOKUP(B1018,raw!A:K,4,0)</f>
        <v>3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VLOOKUP(B1019,raw!A:K,11,0)</f>
        <v>100</v>
      </c>
      <c r="D1019">
        <f>VLOOKUP(B1019,raw!A:K,3,0)+VLOOKUP(B1019,raw!A:K,7,0)</f>
        <v>99</v>
      </c>
      <c r="E1019">
        <f>VLOOKUP(B1019,raw!A:K,4,0)</f>
        <v>1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VLOOKUP(B1020,raw!A:K,11,0)</f>
        <v>81</v>
      </c>
      <c r="D1020">
        <f>VLOOKUP(B1020,raw!A:K,3,0)+VLOOKUP(B1020,raw!A:K,7,0)</f>
        <v>67</v>
      </c>
      <c r="E1020">
        <f>VLOOKUP(B1020,raw!A:K,4,0)</f>
        <v>11</v>
      </c>
      <c r="F1020">
        <f>VLOOKUP(B1020,raw!A:K,5,0)</f>
        <v>0</v>
      </c>
      <c r="G1020">
        <f>VLOOKUP(B1020,raw!A:K,2,0)+VLOOKUP(B1020,raw!A:K,10,0)</f>
        <v>3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VLOOKUP(B1021,raw!A:K,11,0)</f>
        <v>67</v>
      </c>
      <c r="D1021">
        <f>VLOOKUP(B1021,raw!A:K,3,0)+VLOOKUP(B1021,raw!A:K,7,0)</f>
        <v>67</v>
      </c>
      <c r="E1021">
        <f>VLOOKUP(B1021,raw!A:K,4,0)</f>
        <v>0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0</v>
      </c>
      <c r="J1021">
        <f>VLOOKUP(B1021,raw!A:K,8,0)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97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1</v>
      </c>
      <c r="H1022">
        <f>VLOOKUP(B1022,raw!A:K,6,0)</f>
        <v>0</v>
      </c>
      <c r="I1022">
        <f>VLOOKUP(B1022,raw!A:K,9,0)</f>
        <v>0</v>
      </c>
      <c r="J1022">
        <f>VLOOKUP(B1022,raw!A:K,8,0)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VLOOKUP(B1023,raw!A:K,11,0)</f>
        <v>93</v>
      </c>
      <c r="D1023">
        <f>VLOOKUP(B1023,raw!A:K,3,0)+VLOOKUP(B1023,raw!A:K,7,0)</f>
        <v>86</v>
      </c>
      <c r="E1023">
        <f>VLOOKUP(B1023,raw!A:K,4,0)</f>
        <v>6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1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VLOOKUP(B1025,raw!A:K,11,0)</f>
        <v>52</v>
      </c>
      <c r="D1025">
        <f>VLOOKUP(B1025,raw!A:K,3,0)+VLOOKUP(B1025,raw!A:K,7,0)</f>
        <v>51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1</v>
      </c>
      <c r="J1025">
        <f>VLOOKUP(B1025,raw!A:K,8,0)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VLOOKUP(B1026,raw!A:K,11,0)</f>
        <v>45</v>
      </c>
      <c r="D1026">
        <f>VLOOKUP(B1026,raw!A:K,3,0)+VLOOKUP(B1026,raw!A:K,7,0)</f>
        <v>43</v>
      </c>
      <c r="E1026">
        <f>VLOOKUP(B1026,raw!A:K,4,0)</f>
        <v>0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2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VLOOKUP(B1028,raw!A:K,11,0)</f>
        <v>106</v>
      </c>
      <c r="D1028">
        <f>VLOOKUP(B1028,raw!A:K,3,0)+VLOOKUP(B1028,raw!A:K,7,0)</f>
        <v>106</v>
      </c>
      <c r="E1028">
        <f>VLOOKUP(B1028,raw!A:K,4,0)</f>
        <v>0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100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53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9</v>
      </c>
      <c r="J1031">
        <f>VLOOKUP(B1031,raw!A:K,8,0)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103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0</v>
      </c>
      <c r="J1032">
        <f>VLOOKUP(B1032,raw!A:K,8,0)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VLOOKUP(B1033,raw!A:K,11,0)</f>
        <v>114</v>
      </c>
      <c r="D1033">
        <f>VLOOKUP(B1033,raw!A:K,3,0)+VLOOKUP(B1033,raw!A:K,7,0)</f>
        <v>91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23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90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22</v>
      </c>
      <c r="J1034">
        <f>VLOOKUP(B1034,raw!A:K,8,0)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VLOOKUP(B1035,raw!A:K,11,0)</f>
        <v>88</v>
      </c>
      <c r="D1035">
        <f>VLOOKUP(B1035,raw!A:K,3,0)+VLOOKUP(B1035,raw!A:K,7,0)</f>
        <v>88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43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5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VLOOKUP(B1038,raw!A:K,11,0)</f>
        <v>46</v>
      </c>
      <c r="D1038">
        <f>VLOOKUP(B1038,raw!A:K,3,0)+VLOOKUP(B1038,raw!A:K,7,0)</f>
        <v>36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10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50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16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35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26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38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11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54</v>
      </c>
      <c r="D1042">
        <f>VLOOKUP(B1042,raw!A:K,3,0)+VLOOKUP(B1042,raw!A:K,7,0)</f>
        <v>47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7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VLOOKUP(B1043,raw!A:K,11,0)</f>
        <v>91</v>
      </c>
      <c r="D1043">
        <f>VLOOKUP(B1043,raw!A:K,3,0)+VLOOKUP(B1043,raw!A:K,7,0)</f>
        <v>91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VLOOKUP(B1044,raw!A:K,11,0)</f>
        <v>70</v>
      </c>
      <c r="D1044">
        <f>VLOOKUP(B1044,raw!A:K,3,0)+VLOOKUP(B1044,raw!A:K,7,0)</f>
        <v>65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1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VLOOKUP(B1045,raw!A:K,11,0)</f>
        <v>64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13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VLOOKUP(B1046,raw!A:K,11,0)</f>
        <v>66</v>
      </c>
      <c r="D1046">
        <f>VLOOKUP(B1046,raw!A:K,3,0)+VLOOKUP(B1046,raw!A:K,7,0)</f>
        <v>21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45</v>
      </c>
      <c r="J1046">
        <f>VLOOKUP(B1046,raw!A:K,8,0)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VLOOKUP(B1047,raw!A:K,11,0)</f>
        <v>154</v>
      </c>
      <c r="D1047">
        <f>VLOOKUP(B1047,raw!A:K,3,0)+VLOOKUP(B1047,raw!A:K,7,0)</f>
        <v>149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0</v>
      </c>
      <c r="I1047">
        <f>VLOOKUP(B1047,raw!A:K,9,0)</f>
        <v>5</v>
      </c>
      <c r="J1047">
        <f>VLOOKUP(B1047,raw!A:K,8,0)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VLOOKUP(B1048,raw!A:K,11,0)</f>
        <v>110</v>
      </c>
      <c r="D1048">
        <f>VLOOKUP(B1048,raw!A:K,3,0)+VLOOKUP(B1048,raw!A:K,7,0)</f>
        <v>103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VLOOKUP(B1049,raw!A:K,11,0)</f>
        <v>82</v>
      </c>
      <c r="D1049">
        <f>VLOOKUP(B1049,raw!A:K,3,0)+VLOOKUP(B1049,raw!A:K,7,0)</f>
        <v>78</v>
      </c>
      <c r="E1049">
        <f>VLOOKUP(B1049,raw!A:K,4,0)</f>
        <v>1</v>
      </c>
      <c r="F1049">
        <f>VLOOKUP(B1049,raw!A:K,5,0)</f>
        <v>0</v>
      </c>
      <c r="G1049">
        <f>VLOOKUP(B1049,raw!A:K,2,0)+VLOOKUP(B1049,raw!A:K,10,0)</f>
        <v>2</v>
      </c>
      <c r="H1049">
        <f>VLOOKUP(B1049,raw!A:K,6,0)</f>
        <v>0</v>
      </c>
      <c r="I1049">
        <f>VLOOKUP(B1049,raw!A:K,9,0)</f>
        <v>1</v>
      </c>
      <c r="J1049">
        <f>VLOOKUP(B1049,raw!A:K,8,0)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VLOOKUP(B1050,raw!A:K,11,0)</f>
        <v>84</v>
      </c>
      <c r="D1050">
        <f>VLOOKUP(B1050,raw!A:K,3,0)+VLOOKUP(B1050,raw!A:K,7,0)</f>
        <v>73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9</v>
      </c>
      <c r="J1050">
        <f>VLOOKUP(B1050,raw!A:K,8,0)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VLOOKUP(B1051,raw!A:K,11,0)</f>
        <v>63</v>
      </c>
      <c r="D1051">
        <f>VLOOKUP(B1051,raw!A:K,3,0)+VLOOKUP(B1051,raw!A:K,7,0)</f>
        <v>53</v>
      </c>
      <c r="E1051">
        <f>VLOOKUP(B1051,raw!A:K,4,0)</f>
        <v>1</v>
      </c>
      <c r="F1051">
        <f>VLOOKUP(B1051,raw!A:K,5,0)</f>
        <v>0</v>
      </c>
      <c r="G1051">
        <f>VLOOKUP(B1051,raw!A:K,2,0)+VLOOKUP(B1051,raw!A:K,10,0)</f>
        <v>1</v>
      </c>
      <c r="H1051">
        <f>VLOOKUP(B1051,raw!A:K,6,0)</f>
        <v>0</v>
      </c>
      <c r="I1051">
        <f>VLOOKUP(B1051,raw!A:K,9,0)</f>
        <v>8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VLOOKUP(B1053,raw!A:K,11,0)</f>
        <v>66</v>
      </c>
      <c r="D1053">
        <f>VLOOKUP(B1053,raw!A:K,3,0)+VLOOKUP(B1053,raw!A:K,7,0)</f>
        <v>40</v>
      </c>
      <c r="E1053">
        <f>VLOOKUP(B1053,raw!A:K,4,0)</f>
        <v>1</v>
      </c>
      <c r="F1053">
        <f>VLOOKUP(B1053,raw!A:K,5,0)</f>
        <v>0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25</v>
      </c>
      <c r="J1053">
        <f>VLOOKUP(B1053,raw!A:K,8,0)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72</v>
      </c>
      <c r="D1055">
        <f>VLOOKUP(B1055,raw!A:K,3,0)+VLOOKUP(B1055,raw!A:K,7,0)</f>
        <v>59</v>
      </c>
      <c r="E1055">
        <f>VLOOKUP(B1055,raw!A:K,4,0)</f>
        <v>0</v>
      </c>
      <c r="F1055">
        <f>VLOOKUP(B1055,raw!A:K,5,0)</f>
        <v>0</v>
      </c>
      <c r="G1055">
        <f>VLOOKUP(B1055,raw!A:K,2,0)+VLOOKUP(B1055,raw!A:K,10,0)</f>
        <v>2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60</v>
      </c>
      <c r="D1056">
        <f>VLOOKUP(B1056,raw!A:K,3,0)+VLOOKUP(B1056,raw!A:K,7,0)</f>
        <v>44</v>
      </c>
      <c r="E1056">
        <f>VLOOKUP(B1056,raw!A:K,4,0)</f>
        <v>0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VLOOKUP(B1057,raw!A:K,11,0)</f>
        <v>64</v>
      </c>
      <c r="D1057">
        <f>VLOOKUP(B1057,raw!A:K,3,0)+VLOOKUP(B1057,raw!A:K,7,0)</f>
        <v>62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2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VLOOKUP(B1058,raw!A:K,11,0)</f>
        <v>67</v>
      </c>
      <c r="D1058">
        <f>VLOOKUP(B1058,raw!A:K,3,0)+VLOOKUP(B1058,raw!A:K,7,0)</f>
        <v>67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C1063" sqref="C1063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20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112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112</v>
      </c>
      <c r="L3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t="b">
        <f t="shared" si="0"/>
        <v>1</v>
      </c>
    </row>
    <row r="9" spans="1:12" x14ac:dyDescent="0.25">
      <c r="A9" s="7" t="s">
        <v>1005</v>
      </c>
      <c r="B9" s="7">
        <v>0</v>
      </c>
      <c r="C9" s="7">
        <v>172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172</v>
      </c>
      <c r="L9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154</v>
      </c>
      <c r="D14" s="7">
        <v>0</v>
      </c>
      <c r="E14" s="7">
        <v>0</v>
      </c>
      <c r="F14" s="7">
        <v>0</v>
      </c>
      <c r="G14" s="7">
        <v>13</v>
      </c>
      <c r="H14" s="7">
        <v>0</v>
      </c>
      <c r="I14" s="7">
        <v>0</v>
      </c>
      <c r="J14" s="7">
        <v>0</v>
      </c>
      <c r="K14" s="7">
        <v>167</v>
      </c>
      <c r="L14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80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80</v>
      </c>
      <c r="L15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147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0</v>
      </c>
      <c r="J16" s="7">
        <v>0</v>
      </c>
      <c r="K16" s="7">
        <v>152</v>
      </c>
      <c r="L16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113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122</v>
      </c>
      <c r="L1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130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0</v>
      </c>
      <c r="J18" s="7">
        <v>0</v>
      </c>
      <c r="K18" s="7">
        <v>131</v>
      </c>
      <c r="L18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21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21</v>
      </c>
      <c r="L19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57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58</v>
      </c>
      <c r="L20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17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17</v>
      </c>
      <c r="L22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41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41</v>
      </c>
      <c r="L23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26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26</v>
      </c>
      <c r="L24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84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88</v>
      </c>
      <c r="L2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77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81</v>
      </c>
      <c r="L28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38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39</v>
      </c>
      <c r="L29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50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51</v>
      </c>
      <c r="L30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75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75</v>
      </c>
      <c r="L31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37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39</v>
      </c>
      <c r="L32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55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55</v>
      </c>
      <c r="L33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65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66</v>
      </c>
      <c r="L34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61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62</v>
      </c>
      <c r="L36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71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71</v>
      </c>
      <c r="L3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66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66</v>
      </c>
      <c r="L38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51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51</v>
      </c>
      <c r="L39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60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60</v>
      </c>
      <c r="L40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75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75</v>
      </c>
      <c r="L41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29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29</v>
      </c>
      <c r="L42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66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66</v>
      </c>
      <c r="L43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56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56</v>
      </c>
      <c r="L44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89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89</v>
      </c>
      <c r="L45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62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62</v>
      </c>
      <c r="L46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60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60</v>
      </c>
      <c r="L4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55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55</v>
      </c>
      <c r="L48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96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96</v>
      </c>
      <c r="L49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94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95</v>
      </c>
      <c r="L50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  <c r="L51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102</v>
      </c>
      <c r="D52" s="7">
        <v>0</v>
      </c>
      <c r="E52" s="7">
        <v>0</v>
      </c>
      <c r="F52" s="7">
        <v>0</v>
      </c>
      <c r="G52" s="7">
        <v>1</v>
      </c>
      <c r="H52" s="7">
        <v>0</v>
      </c>
      <c r="I52" s="7">
        <v>0</v>
      </c>
      <c r="J52" s="7">
        <v>0</v>
      </c>
      <c r="K52" s="7">
        <v>103</v>
      </c>
      <c r="L52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101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  <c r="L55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  <c r="L56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79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79</v>
      </c>
      <c r="L60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90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91</v>
      </c>
      <c r="L61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68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0</v>
      </c>
      <c r="J62" s="7">
        <v>0</v>
      </c>
      <c r="K62" s="7">
        <v>70</v>
      </c>
      <c r="L62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87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87</v>
      </c>
      <c r="L63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40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40</v>
      </c>
      <c r="L64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35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35</v>
      </c>
      <c r="L65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55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0</v>
      </c>
      <c r="J66" s="7">
        <v>0</v>
      </c>
      <c r="K66" s="7">
        <v>56</v>
      </c>
      <c r="L66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92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92</v>
      </c>
      <c r="L6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59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0</v>
      </c>
      <c r="J68" s="7">
        <v>0</v>
      </c>
      <c r="K68" s="7">
        <v>60</v>
      </c>
      <c r="L68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51</v>
      </c>
      <c r="D69" s="7">
        <v>0</v>
      </c>
      <c r="E69" s="7">
        <v>0</v>
      </c>
      <c r="F69" s="7">
        <v>0</v>
      </c>
      <c r="G69" s="7">
        <v>2</v>
      </c>
      <c r="H69" s="7">
        <v>0</v>
      </c>
      <c r="I69" s="7">
        <v>0</v>
      </c>
      <c r="J69" s="7">
        <v>0</v>
      </c>
      <c r="K69" s="7">
        <v>53</v>
      </c>
      <c r="L69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75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0</v>
      </c>
      <c r="K70" s="7">
        <v>76</v>
      </c>
      <c r="L70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84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0</v>
      </c>
      <c r="J71" s="7">
        <v>0</v>
      </c>
      <c r="K71" s="7">
        <v>86</v>
      </c>
      <c r="L71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64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0</v>
      </c>
      <c r="J72" s="7">
        <v>0</v>
      </c>
      <c r="K72" s="7">
        <v>66</v>
      </c>
      <c r="L72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78</v>
      </c>
      <c r="D73" s="7">
        <v>0</v>
      </c>
      <c r="E73" s="7">
        <v>0</v>
      </c>
      <c r="F73" s="7">
        <v>0</v>
      </c>
      <c r="G73" s="7">
        <v>4</v>
      </c>
      <c r="H73" s="7">
        <v>0</v>
      </c>
      <c r="I73" s="7">
        <v>0</v>
      </c>
      <c r="J73" s="7">
        <v>0</v>
      </c>
      <c r="K73" s="7">
        <v>82</v>
      </c>
      <c r="L73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77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0</v>
      </c>
      <c r="J74" s="7">
        <v>0</v>
      </c>
      <c r="K74" s="7">
        <v>78</v>
      </c>
      <c r="L74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74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74</v>
      </c>
      <c r="L75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83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0</v>
      </c>
      <c r="J76" s="7">
        <v>0</v>
      </c>
      <c r="K76" s="7">
        <v>86</v>
      </c>
      <c r="L76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39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42</v>
      </c>
      <c r="L7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52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52</v>
      </c>
      <c r="L78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49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49</v>
      </c>
      <c r="L79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52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0</v>
      </c>
      <c r="K80" s="7">
        <v>52</v>
      </c>
      <c r="L80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40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40</v>
      </c>
      <c r="L82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55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55</v>
      </c>
      <c r="L83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38</v>
      </c>
      <c r="L86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41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41</v>
      </c>
      <c r="L8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44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44</v>
      </c>
      <c r="L88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47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47</v>
      </c>
      <c r="L92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32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32</v>
      </c>
      <c r="L93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40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40</v>
      </c>
      <c r="L94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66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66</v>
      </c>
      <c r="L95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72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72</v>
      </c>
      <c r="L96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78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78</v>
      </c>
      <c r="L9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54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54</v>
      </c>
      <c r="L98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87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  <c r="L99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  <c r="L101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61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72</v>
      </c>
      <c r="L104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50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50</v>
      </c>
      <c r="L105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73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  <c r="L106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47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47</v>
      </c>
      <c r="L108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90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90</v>
      </c>
      <c r="L109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81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81</v>
      </c>
      <c r="L110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55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0</v>
      </c>
      <c r="K111" s="7">
        <v>55</v>
      </c>
      <c r="L111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30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30</v>
      </c>
      <c r="L112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61</v>
      </c>
      <c r="D113" s="7">
        <v>0</v>
      </c>
      <c r="E113" s="7">
        <v>0</v>
      </c>
      <c r="F113" s="7">
        <v>0</v>
      </c>
      <c r="G113" s="7">
        <v>4</v>
      </c>
      <c r="H113" s="7">
        <v>0</v>
      </c>
      <c r="I113" s="7">
        <v>0</v>
      </c>
      <c r="J113" s="7">
        <v>0</v>
      </c>
      <c r="K113" s="7">
        <v>65</v>
      </c>
      <c r="L113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78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78</v>
      </c>
      <c r="L114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  <c r="L115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  <c r="L116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72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72</v>
      </c>
      <c r="L11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29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29</v>
      </c>
      <c r="L118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64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64</v>
      </c>
      <c r="L119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87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0</v>
      </c>
      <c r="J120" s="7">
        <v>0</v>
      </c>
      <c r="K120" s="7">
        <v>89</v>
      </c>
      <c r="L120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77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77</v>
      </c>
      <c r="L121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115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115</v>
      </c>
      <c r="L122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59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59</v>
      </c>
      <c r="L123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  <c r="L12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0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55</v>
      </c>
      <c r="L129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  <c r="L130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93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93</v>
      </c>
      <c r="L131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73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73</v>
      </c>
      <c r="L132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52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52</v>
      </c>
      <c r="L136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121</v>
      </c>
      <c r="L141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75</v>
      </c>
      <c r="L142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151</v>
      </c>
      <c r="D143" s="7">
        <v>0</v>
      </c>
      <c r="E143" s="7">
        <v>0</v>
      </c>
      <c r="F143" s="7">
        <v>0</v>
      </c>
      <c r="G143" s="7">
        <v>4</v>
      </c>
      <c r="H143" s="7">
        <v>0</v>
      </c>
      <c r="I143" s="7">
        <v>0</v>
      </c>
      <c r="J143" s="7">
        <v>0</v>
      </c>
      <c r="K143" s="7">
        <v>155</v>
      </c>
      <c r="L143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125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125</v>
      </c>
      <c r="L144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192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0</v>
      </c>
      <c r="J145" s="7">
        <v>0</v>
      </c>
      <c r="K145" s="7">
        <v>193</v>
      </c>
      <c r="L145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91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91</v>
      </c>
      <c r="L146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133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0</v>
      </c>
      <c r="J147" s="7">
        <v>0</v>
      </c>
      <c r="K147" s="7">
        <v>140</v>
      </c>
      <c r="L14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119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0</v>
      </c>
      <c r="J148" s="7">
        <v>0</v>
      </c>
      <c r="K148" s="7">
        <v>125</v>
      </c>
      <c r="L148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200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0</v>
      </c>
      <c r="J149" s="7">
        <v>0</v>
      </c>
      <c r="K149" s="7">
        <v>201</v>
      </c>
      <c r="L149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163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163</v>
      </c>
      <c r="L150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106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106</v>
      </c>
      <c r="L151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59</v>
      </c>
      <c r="D152" s="7">
        <v>0</v>
      </c>
      <c r="E152" s="7">
        <v>0</v>
      </c>
      <c r="F152" s="7">
        <v>0</v>
      </c>
      <c r="G152" s="7">
        <v>2</v>
      </c>
      <c r="H152" s="7">
        <v>0</v>
      </c>
      <c r="I152" s="7">
        <v>0</v>
      </c>
      <c r="J152" s="7">
        <v>0</v>
      </c>
      <c r="K152" s="7">
        <v>61</v>
      </c>
      <c r="L152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69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0</v>
      </c>
      <c r="K154" s="7">
        <v>69</v>
      </c>
      <c r="L154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144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0</v>
      </c>
      <c r="J155" s="7">
        <v>0</v>
      </c>
      <c r="K155" s="7">
        <v>150</v>
      </c>
      <c r="L155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227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0</v>
      </c>
      <c r="J156" s="7">
        <v>0</v>
      </c>
      <c r="K156" s="7">
        <v>229</v>
      </c>
      <c r="L156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251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0</v>
      </c>
      <c r="J157" s="7">
        <v>0</v>
      </c>
      <c r="K157" s="7">
        <v>252</v>
      </c>
      <c r="L15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230</v>
      </c>
      <c r="D158" s="7">
        <v>0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235</v>
      </c>
      <c r="L158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66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66</v>
      </c>
      <c r="L161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69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69</v>
      </c>
      <c r="L162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104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0</v>
      </c>
      <c r="K163" s="7">
        <v>104</v>
      </c>
      <c r="L163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92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92</v>
      </c>
      <c r="L164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82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82</v>
      </c>
      <c r="L165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69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70</v>
      </c>
      <c r="L166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64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0</v>
      </c>
      <c r="K167" s="7">
        <v>64</v>
      </c>
      <c r="L16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57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0</v>
      </c>
      <c r="J168" s="7">
        <v>0</v>
      </c>
      <c r="K168" s="7">
        <v>58</v>
      </c>
      <c r="L168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41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41</v>
      </c>
      <c r="L169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85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85</v>
      </c>
      <c r="L170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106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108</v>
      </c>
      <c r="L171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53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0</v>
      </c>
      <c r="K172" s="7">
        <v>53</v>
      </c>
      <c r="L172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43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51</v>
      </c>
      <c r="L173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77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77</v>
      </c>
      <c r="L174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114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119</v>
      </c>
      <c r="L175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150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150</v>
      </c>
      <c r="L176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106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106</v>
      </c>
      <c r="L17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99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0</v>
      </c>
      <c r="J178" s="7">
        <v>0</v>
      </c>
      <c r="K178" s="7">
        <v>103</v>
      </c>
      <c r="L178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70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0</v>
      </c>
      <c r="J179" s="7">
        <v>0</v>
      </c>
      <c r="K179" s="7">
        <v>72</v>
      </c>
      <c r="L179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239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239</v>
      </c>
      <c r="L181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  <c r="L182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71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71</v>
      </c>
      <c r="L18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127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0</v>
      </c>
      <c r="J188" s="7">
        <v>0</v>
      </c>
      <c r="K188" s="7">
        <v>129</v>
      </c>
      <c r="L188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105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105</v>
      </c>
      <c r="L189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56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0</v>
      </c>
      <c r="K190" s="7">
        <v>56</v>
      </c>
      <c r="L190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69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0</v>
      </c>
      <c r="K191" s="7">
        <v>69</v>
      </c>
      <c r="L191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65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65</v>
      </c>
      <c r="L193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82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82</v>
      </c>
      <c r="L194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104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104</v>
      </c>
      <c r="L195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171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172</v>
      </c>
      <c r="L196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95</v>
      </c>
      <c r="D198" s="7">
        <v>1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96</v>
      </c>
      <c r="L198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96</v>
      </c>
      <c r="D199" s="7">
        <v>2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7</v>
      </c>
      <c r="K199" s="7">
        <v>105</v>
      </c>
      <c r="L199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87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87</v>
      </c>
      <c r="L200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0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106</v>
      </c>
      <c r="L202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165</v>
      </c>
      <c r="L205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140</v>
      </c>
      <c r="D206" s="7">
        <v>5</v>
      </c>
      <c r="E206" s="7">
        <v>0</v>
      </c>
      <c r="F206" s="7">
        <v>0</v>
      </c>
      <c r="G206" s="7">
        <v>6</v>
      </c>
      <c r="H206" s="7">
        <v>0</v>
      </c>
      <c r="I206" s="7">
        <v>0</v>
      </c>
      <c r="J206" s="7">
        <v>0</v>
      </c>
      <c r="K206" s="7">
        <v>151</v>
      </c>
      <c r="L206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91</v>
      </c>
      <c r="D207" s="7">
        <v>2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96</v>
      </c>
      <c r="L20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122</v>
      </c>
      <c r="D208" s="7">
        <v>2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124</v>
      </c>
      <c r="L208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79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79</v>
      </c>
      <c r="L209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67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67</v>
      </c>
      <c r="L210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90</v>
      </c>
      <c r="D211" s="7">
        <v>1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0</v>
      </c>
      <c r="K211" s="7">
        <v>91</v>
      </c>
      <c r="L211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197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204</v>
      </c>
      <c r="L212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129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130</v>
      </c>
      <c r="L214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249</v>
      </c>
      <c r="D215" s="7">
        <v>2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251</v>
      </c>
      <c r="L215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122</v>
      </c>
      <c r="D216" s="7">
        <v>3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125</v>
      </c>
      <c r="L216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99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1</v>
      </c>
      <c r="J217" s="7">
        <v>0</v>
      </c>
      <c r="K217" s="7">
        <v>100</v>
      </c>
      <c r="L21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115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115</v>
      </c>
      <c r="L218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97</v>
      </c>
      <c r="D219" s="7">
        <v>3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0</v>
      </c>
      <c r="K219" s="7">
        <v>110</v>
      </c>
      <c r="L219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203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212</v>
      </c>
      <c r="L220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113</v>
      </c>
      <c r="D221" s="7">
        <v>2</v>
      </c>
      <c r="E221" s="7">
        <v>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  <c r="L221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54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1</v>
      </c>
      <c r="J222" s="7">
        <v>0</v>
      </c>
      <c r="K222" s="7">
        <v>55</v>
      </c>
      <c r="L222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237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242</v>
      </c>
      <c r="L223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86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0</v>
      </c>
      <c r="K225" s="7">
        <v>86</v>
      </c>
      <c r="L225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135</v>
      </c>
      <c r="D226" s="7">
        <v>0</v>
      </c>
      <c r="E226" s="7">
        <v>0</v>
      </c>
      <c r="F226" s="7">
        <v>0</v>
      </c>
      <c r="G226" s="7">
        <v>1</v>
      </c>
      <c r="H226" s="7">
        <v>0</v>
      </c>
      <c r="I226" s="7">
        <v>0</v>
      </c>
      <c r="J226" s="7">
        <v>0</v>
      </c>
      <c r="K226" s="7">
        <v>136</v>
      </c>
      <c r="L226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91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0</v>
      </c>
      <c r="J227" s="7">
        <v>0</v>
      </c>
      <c r="K227" s="7">
        <v>92</v>
      </c>
      <c r="L22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126</v>
      </c>
      <c r="D228" s="7">
        <v>0</v>
      </c>
      <c r="E228" s="7">
        <v>0</v>
      </c>
      <c r="F228" s="7">
        <v>0</v>
      </c>
      <c r="G228" s="7">
        <v>1</v>
      </c>
      <c r="H228" s="7">
        <v>0</v>
      </c>
      <c r="I228" s="7">
        <v>0</v>
      </c>
      <c r="J228" s="7">
        <v>0</v>
      </c>
      <c r="K228" s="7">
        <v>127</v>
      </c>
      <c r="L228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120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120</v>
      </c>
      <c r="L229" t="b">
        <f t="shared" si="3"/>
        <v>1</v>
      </c>
    </row>
    <row r="230" spans="1:12" x14ac:dyDescent="0.25">
      <c r="A230" s="7" t="s">
        <v>1226</v>
      </c>
      <c r="B230" s="7">
        <v>0</v>
      </c>
      <c r="C230" s="7">
        <v>141</v>
      </c>
      <c r="D230" s="7">
        <v>1</v>
      </c>
      <c r="E230" s="7">
        <v>0</v>
      </c>
      <c r="F230" s="7">
        <v>0</v>
      </c>
      <c r="G230" s="7">
        <v>3</v>
      </c>
      <c r="H230" s="7">
        <v>0</v>
      </c>
      <c r="I230" s="7">
        <v>5</v>
      </c>
      <c r="J230" s="7">
        <v>0</v>
      </c>
      <c r="K230" s="7">
        <v>150</v>
      </c>
      <c r="L230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176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176</v>
      </c>
      <c r="L231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192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3</v>
      </c>
      <c r="K232" s="7">
        <v>197</v>
      </c>
      <c r="L232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205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205</v>
      </c>
      <c r="L233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222</v>
      </c>
      <c r="D234" s="7">
        <v>0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7">
        <v>222</v>
      </c>
      <c r="L234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184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1</v>
      </c>
      <c r="K235" s="7">
        <v>185</v>
      </c>
      <c r="L235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228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</v>
      </c>
      <c r="K236" s="7">
        <v>230</v>
      </c>
      <c r="L236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184</v>
      </c>
      <c r="D237" s="7">
        <v>1</v>
      </c>
      <c r="E237" s="7">
        <v>0</v>
      </c>
      <c r="F237" s="7">
        <v>0</v>
      </c>
      <c r="G237" s="7">
        <v>0</v>
      </c>
      <c r="H237" s="7">
        <v>0</v>
      </c>
      <c r="I237" s="7">
        <v>64</v>
      </c>
      <c r="J237" s="7">
        <v>11</v>
      </c>
      <c r="K237" s="7">
        <v>260</v>
      </c>
      <c r="L23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195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2</v>
      </c>
      <c r="J238" s="7">
        <v>0</v>
      </c>
      <c r="K238" s="7">
        <v>197</v>
      </c>
      <c r="L238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143</v>
      </c>
      <c r="D239" s="7">
        <v>0</v>
      </c>
      <c r="E239" s="7">
        <v>0</v>
      </c>
      <c r="F239" s="7">
        <v>0</v>
      </c>
      <c r="G239" s="7">
        <v>2</v>
      </c>
      <c r="H239" s="7">
        <v>0</v>
      </c>
      <c r="I239" s="7">
        <v>1</v>
      </c>
      <c r="J239" s="7">
        <v>0</v>
      </c>
      <c r="K239" s="7">
        <v>146</v>
      </c>
      <c r="L239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159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2</v>
      </c>
      <c r="K240" s="7">
        <v>161</v>
      </c>
      <c r="L240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119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5</v>
      </c>
      <c r="J241" s="7">
        <v>20</v>
      </c>
      <c r="K241" s="7">
        <v>144</v>
      </c>
      <c r="L241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103</v>
      </c>
      <c r="D242" s="7">
        <v>5</v>
      </c>
      <c r="E242" s="7">
        <v>0</v>
      </c>
      <c r="F242" s="7">
        <v>0</v>
      </c>
      <c r="G242" s="7">
        <v>0</v>
      </c>
      <c r="H242" s="7">
        <v>0</v>
      </c>
      <c r="I242" s="7">
        <v>11</v>
      </c>
      <c r="J242" s="7">
        <v>8</v>
      </c>
      <c r="K242" s="7">
        <v>127</v>
      </c>
      <c r="L242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193</v>
      </c>
      <c r="D243" s="7">
        <v>9</v>
      </c>
      <c r="E243" s="7">
        <v>0</v>
      </c>
      <c r="F243" s="7">
        <v>0</v>
      </c>
      <c r="G243" s="7">
        <v>1</v>
      </c>
      <c r="H243" s="7">
        <v>0</v>
      </c>
      <c r="I243" s="7">
        <v>107</v>
      </c>
      <c r="J243" s="7">
        <v>14</v>
      </c>
      <c r="K243" s="7">
        <v>324</v>
      </c>
      <c r="L243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121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0</v>
      </c>
      <c r="K244" s="7">
        <v>122</v>
      </c>
      <c r="L244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91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0</v>
      </c>
      <c r="J245" s="7">
        <v>0</v>
      </c>
      <c r="K245" s="7">
        <v>92</v>
      </c>
      <c r="L245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119</v>
      </c>
      <c r="D246" s="7">
        <v>0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0</v>
      </c>
      <c r="E247" s="7">
        <v>0</v>
      </c>
      <c r="F247" s="7">
        <v>0</v>
      </c>
      <c r="G247" s="7">
        <v>5</v>
      </c>
      <c r="H247" s="7">
        <v>0</v>
      </c>
      <c r="I247" s="7">
        <v>1</v>
      </c>
      <c r="J247" s="7">
        <v>1</v>
      </c>
      <c r="K247" s="7">
        <v>111</v>
      </c>
      <c r="L24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119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0</v>
      </c>
      <c r="K248" s="7">
        <v>121</v>
      </c>
      <c r="L248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3</v>
      </c>
      <c r="E249" s="7">
        <v>0</v>
      </c>
      <c r="F249" s="7">
        <v>0</v>
      </c>
      <c r="G249" s="7">
        <v>0</v>
      </c>
      <c r="H249" s="7">
        <v>0</v>
      </c>
      <c r="I249" s="7">
        <v>37</v>
      </c>
      <c r="J249" s="7">
        <v>0</v>
      </c>
      <c r="K249" s="7">
        <v>106</v>
      </c>
      <c r="L249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248</v>
      </c>
      <c r="D250" s="7">
        <v>1</v>
      </c>
      <c r="E250" s="7">
        <v>0</v>
      </c>
      <c r="F250" s="7">
        <v>0</v>
      </c>
      <c r="G250" s="7">
        <v>0</v>
      </c>
      <c r="H250" s="7">
        <v>0</v>
      </c>
      <c r="I250" s="7">
        <v>42</v>
      </c>
      <c r="J250" s="7">
        <v>9</v>
      </c>
      <c r="K250" s="7">
        <v>300</v>
      </c>
      <c r="L250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94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1</v>
      </c>
      <c r="J251" s="7">
        <v>19</v>
      </c>
      <c r="K251" s="7">
        <v>114</v>
      </c>
      <c r="L251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205</v>
      </c>
      <c r="D252" s="7">
        <v>0</v>
      </c>
      <c r="E252" s="7">
        <v>0</v>
      </c>
      <c r="F252" s="7">
        <v>0</v>
      </c>
      <c r="G252" s="7">
        <v>4</v>
      </c>
      <c r="H252" s="7">
        <v>0</v>
      </c>
      <c r="I252" s="7">
        <v>19</v>
      </c>
      <c r="J252" s="7">
        <v>0</v>
      </c>
      <c r="K252" s="7">
        <v>228</v>
      </c>
      <c r="L252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91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59</v>
      </c>
      <c r="J253" s="7">
        <v>0</v>
      </c>
      <c r="K253" s="7">
        <v>150</v>
      </c>
      <c r="L253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111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36</v>
      </c>
      <c r="J254" s="7">
        <v>7</v>
      </c>
      <c r="K254" s="7">
        <v>154</v>
      </c>
      <c r="L254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152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15</v>
      </c>
      <c r="K255" s="7">
        <v>167</v>
      </c>
      <c r="L255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55</v>
      </c>
      <c r="D256" s="7">
        <v>0</v>
      </c>
      <c r="E256" s="7">
        <v>0</v>
      </c>
      <c r="F256" s="7">
        <v>0</v>
      </c>
      <c r="G256" s="7">
        <v>0</v>
      </c>
      <c r="H256" s="7">
        <v>0</v>
      </c>
      <c r="I256" s="7">
        <v>51</v>
      </c>
      <c r="J256" s="7">
        <v>0</v>
      </c>
      <c r="K256" s="7">
        <v>106</v>
      </c>
      <c r="L256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87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58</v>
      </c>
      <c r="J257" s="7">
        <v>0</v>
      </c>
      <c r="K257" s="7">
        <v>145</v>
      </c>
      <c r="L25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39</v>
      </c>
      <c r="J258" s="7">
        <v>0</v>
      </c>
      <c r="K258" s="7">
        <v>192</v>
      </c>
      <c r="L258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53</v>
      </c>
      <c r="J259" s="7">
        <v>0</v>
      </c>
      <c r="K259" s="7">
        <v>106</v>
      </c>
      <c r="L259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31</v>
      </c>
      <c r="D260" s="7">
        <v>4</v>
      </c>
      <c r="E260" s="7">
        <v>0</v>
      </c>
      <c r="F260" s="7">
        <v>0</v>
      </c>
      <c r="G260" s="7">
        <v>0</v>
      </c>
      <c r="H260" s="7">
        <v>0</v>
      </c>
      <c r="I260" s="7">
        <v>61</v>
      </c>
      <c r="J260" s="7">
        <v>1</v>
      </c>
      <c r="K260" s="7">
        <v>97</v>
      </c>
      <c r="L260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191</v>
      </c>
      <c r="D261" s="7">
        <v>0</v>
      </c>
      <c r="E261" s="7">
        <v>0</v>
      </c>
      <c r="F261" s="7">
        <v>0</v>
      </c>
      <c r="G261" s="7">
        <v>2</v>
      </c>
      <c r="H261" s="7">
        <v>0</v>
      </c>
      <c r="I261" s="7">
        <v>10</v>
      </c>
      <c r="J261" s="7">
        <v>0</v>
      </c>
      <c r="K261" s="7">
        <v>203</v>
      </c>
      <c r="L261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209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4</v>
      </c>
      <c r="K262" s="7">
        <v>213</v>
      </c>
      <c r="L262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233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0</v>
      </c>
      <c r="J263" s="7">
        <v>8</v>
      </c>
      <c r="K263" s="7">
        <v>243</v>
      </c>
      <c r="L263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101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2</v>
      </c>
      <c r="K264" s="7">
        <v>103</v>
      </c>
      <c r="L264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145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1</v>
      </c>
      <c r="J265" s="7">
        <v>1</v>
      </c>
      <c r="K265" s="7">
        <v>147</v>
      </c>
      <c r="L265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132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5</v>
      </c>
      <c r="K266" s="7">
        <v>137</v>
      </c>
      <c r="L266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112</v>
      </c>
      <c r="D267" s="7">
        <v>0</v>
      </c>
      <c r="E267" s="7">
        <v>0</v>
      </c>
      <c r="F267" s="7">
        <v>0</v>
      </c>
      <c r="G267" s="7">
        <v>1</v>
      </c>
      <c r="H267" s="7">
        <v>0</v>
      </c>
      <c r="I267" s="7">
        <v>0</v>
      </c>
      <c r="J267" s="7">
        <v>13</v>
      </c>
      <c r="K267" s="7">
        <v>126</v>
      </c>
      <c r="L26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112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</v>
      </c>
      <c r="J268" s="7">
        <v>1</v>
      </c>
      <c r="K268" s="7">
        <v>117</v>
      </c>
      <c r="L268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133</v>
      </c>
      <c r="D269" s="7">
        <v>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13</v>
      </c>
      <c r="K269" s="7">
        <v>147</v>
      </c>
      <c r="L269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173</v>
      </c>
      <c r="D270" s="7">
        <v>0</v>
      </c>
      <c r="E270" s="7">
        <v>0</v>
      </c>
      <c r="F270" s="7">
        <v>0</v>
      </c>
      <c r="G270" s="7">
        <v>3</v>
      </c>
      <c r="H270" s="7">
        <v>0</v>
      </c>
      <c r="I270" s="7">
        <v>23</v>
      </c>
      <c r="J270" s="7">
        <v>2</v>
      </c>
      <c r="K270" s="7">
        <v>201</v>
      </c>
      <c r="L270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157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157</v>
      </c>
      <c r="L271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248</v>
      </c>
      <c r="D272" s="7">
        <v>0</v>
      </c>
      <c r="E272" s="7">
        <v>0</v>
      </c>
      <c r="F272" s="7">
        <v>0</v>
      </c>
      <c r="G272" s="7">
        <v>1</v>
      </c>
      <c r="H272" s="7">
        <v>0</v>
      </c>
      <c r="I272" s="7">
        <v>0</v>
      </c>
      <c r="J272" s="7">
        <v>0</v>
      </c>
      <c r="K272" s="7">
        <v>249</v>
      </c>
      <c r="L272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93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93</v>
      </c>
      <c r="L273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176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1</v>
      </c>
      <c r="J274" s="7">
        <v>4</v>
      </c>
      <c r="K274" s="7">
        <v>181</v>
      </c>
      <c r="L274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72</v>
      </c>
      <c r="D275" s="7">
        <v>0</v>
      </c>
      <c r="E275" s="7">
        <v>0</v>
      </c>
      <c r="F275" s="7">
        <v>0</v>
      </c>
      <c r="G275" s="7">
        <v>1</v>
      </c>
      <c r="H275" s="7">
        <v>0</v>
      </c>
      <c r="I275" s="7">
        <v>0</v>
      </c>
      <c r="J275" s="7">
        <v>0</v>
      </c>
      <c r="K275" s="7">
        <v>73</v>
      </c>
      <c r="L275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147</v>
      </c>
      <c r="D276" s="7">
        <v>0</v>
      </c>
      <c r="E276" s="7">
        <v>0</v>
      </c>
      <c r="F276" s="7">
        <v>0</v>
      </c>
      <c r="G276" s="7">
        <v>4</v>
      </c>
      <c r="H276" s="7">
        <v>0</v>
      </c>
      <c r="I276" s="7">
        <v>0</v>
      </c>
      <c r="J276" s="7">
        <v>0</v>
      </c>
      <c r="K276" s="7">
        <v>151</v>
      </c>
      <c r="L276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170</v>
      </c>
      <c r="D277" s="7">
        <v>19</v>
      </c>
      <c r="E277" s="7">
        <v>0</v>
      </c>
      <c r="F277" s="7">
        <v>0</v>
      </c>
      <c r="G277" s="7">
        <v>0</v>
      </c>
      <c r="H277" s="7">
        <v>0</v>
      </c>
      <c r="I277" s="7">
        <v>155</v>
      </c>
      <c r="J277" s="7">
        <v>2</v>
      </c>
      <c r="K277" s="7">
        <v>346</v>
      </c>
      <c r="L27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172</v>
      </c>
      <c r="D278" s="7">
        <v>1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0</v>
      </c>
      <c r="K278" s="7">
        <v>175</v>
      </c>
      <c r="L278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117</v>
      </c>
      <c r="D279" s="7">
        <v>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121</v>
      </c>
      <c r="L279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77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77</v>
      </c>
      <c r="L280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98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98</v>
      </c>
      <c r="L281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134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2</v>
      </c>
      <c r="K282" s="7">
        <v>136</v>
      </c>
      <c r="L282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170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170</v>
      </c>
      <c r="L283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135</v>
      </c>
      <c r="D284" s="7">
        <v>0</v>
      </c>
      <c r="E284" s="7">
        <v>0</v>
      </c>
      <c r="F284" s="7">
        <v>0</v>
      </c>
      <c r="G284" s="7">
        <v>5</v>
      </c>
      <c r="H284" s="7">
        <v>0</v>
      </c>
      <c r="I284" s="7">
        <v>0</v>
      </c>
      <c r="J284" s="7">
        <v>0</v>
      </c>
      <c r="K284" s="7">
        <v>140</v>
      </c>
      <c r="L284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82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0</v>
      </c>
      <c r="J285" s="7">
        <v>0</v>
      </c>
      <c r="K285" s="7">
        <v>83</v>
      </c>
      <c r="L285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199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199</v>
      </c>
      <c r="L286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114</v>
      </c>
      <c r="D287" s="7">
        <v>1</v>
      </c>
      <c r="E287" s="7">
        <v>0</v>
      </c>
      <c r="F287" s="7">
        <v>0</v>
      </c>
      <c r="G287" s="7">
        <v>1</v>
      </c>
      <c r="H287" s="7">
        <v>0</v>
      </c>
      <c r="I287" s="7">
        <v>0</v>
      </c>
      <c r="J287" s="7">
        <v>0</v>
      </c>
      <c r="K287" s="7">
        <v>116</v>
      </c>
      <c r="L28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75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  <c r="L288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135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135</v>
      </c>
      <c r="L290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87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1</v>
      </c>
      <c r="K291" s="7">
        <v>88</v>
      </c>
      <c r="L291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148</v>
      </c>
      <c r="D292" s="7">
        <v>0</v>
      </c>
      <c r="E292" s="7">
        <v>0</v>
      </c>
      <c r="F292" s="7">
        <v>0</v>
      </c>
      <c r="G292" s="7">
        <v>4</v>
      </c>
      <c r="H292" s="7">
        <v>0</v>
      </c>
      <c r="I292" s="7">
        <v>0</v>
      </c>
      <c r="J292" s="7">
        <v>0</v>
      </c>
      <c r="K292" s="7">
        <v>152</v>
      </c>
      <c r="L292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122</v>
      </c>
      <c r="D293" s="7">
        <v>0</v>
      </c>
      <c r="E293" s="7">
        <v>0</v>
      </c>
      <c r="F293" s="7">
        <v>0</v>
      </c>
      <c r="G293" s="7">
        <v>1</v>
      </c>
      <c r="H293" s="7">
        <v>0</v>
      </c>
      <c r="I293" s="7">
        <v>0</v>
      </c>
      <c r="J293" s="7">
        <v>0</v>
      </c>
      <c r="K293" s="7">
        <v>123</v>
      </c>
      <c r="L293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101</v>
      </c>
      <c r="D294" s="7">
        <v>0</v>
      </c>
      <c r="E294" s="7">
        <v>0</v>
      </c>
      <c r="F294" s="7">
        <v>0</v>
      </c>
      <c r="G294" s="7">
        <v>1</v>
      </c>
      <c r="H294" s="7">
        <v>0</v>
      </c>
      <c r="I294" s="7">
        <v>0</v>
      </c>
      <c r="J294" s="7">
        <v>0</v>
      </c>
      <c r="K294" s="7">
        <v>102</v>
      </c>
      <c r="L294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283</v>
      </c>
      <c r="D295" s="7">
        <v>0</v>
      </c>
      <c r="E295" s="7">
        <v>0</v>
      </c>
      <c r="F295" s="7">
        <v>0</v>
      </c>
      <c r="G295" s="7">
        <v>1</v>
      </c>
      <c r="H295" s="7">
        <v>0</v>
      </c>
      <c r="I295" s="7">
        <v>0</v>
      </c>
      <c r="J295" s="7">
        <v>1</v>
      </c>
      <c r="K295" s="7">
        <v>285</v>
      </c>
      <c r="L295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111</v>
      </c>
      <c r="D296" s="7">
        <v>0</v>
      </c>
      <c r="E296" s="7">
        <v>0</v>
      </c>
      <c r="F296" s="7">
        <v>0</v>
      </c>
      <c r="G296" s="7">
        <v>2</v>
      </c>
      <c r="H296" s="7">
        <v>0</v>
      </c>
      <c r="I296" s="7">
        <v>0</v>
      </c>
      <c r="J296" s="7">
        <v>0</v>
      </c>
      <c r="K296" s="7">
        <v>113</v>
      </c>
      <c r="L296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153</v>
      </c>
      <c r="D297" s="7">
        <v>13</v>
      </c>
      <c r="E297" s="7">
        <v>0</v>
      </c>
      <c r="F297" s="7">
        <v>0</v>
      </c>
      <c r="G297" s="7">
        <v>1</v>
      </c>
      <c r="H297" s="7">
        <v>0</v>
      </c>
      <c r="I297" s="7">
        <v>0</v>
      </c>
      <c r="J297" s="7">
        <v>1</v>
      </c>
      <c r="K297" s="7">
        <v>168</v>
      </c>
      <c r="L29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106</v>
      </c>
      <c r="D298" s="7">
        <v>8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4</v>
      </c>
      <c r="K298" s="7">
        <v>118</v>
      </c>
      <c r="L298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36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36</v>
      </c>
      <c r="L299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50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0</v>
      </c>
      <c r="J300" s="7">
        <v>0</v>
      </c>
      <c r="K300" s="7">
        <v>51</v>
      </c>
      <c r="L300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74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74</v>
      </c>
      <c r="L301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95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1</v>
      </c>
      <c r="J302" s="7">
        <v>0</v>
      </c>
      <c r="K302" s="7">
        <v>96</v>
      </c>
      <c r="L302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80</v>
      </c>
      <c r="D303" s="7">
        <v>1</v>
      </c>
      <c r="E303" s="7">
        <v>0</v>
      </c>
      <c r="F303" s="7">
        <v>0</v>
      </c>
      <c r="G303" s="7">
        <v>5</v>
      </c>
      <c r="H303" s="7">
        <v>0</v>
      </c>
      <c r="I303" s="7">
        <v>0</v>
      </c>
      <c r="J303" s="7">
        <v>0</v>
      </c>
      <c r="K303" s="7">
        <v>86</v>
      </c>
      <c r="L303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74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74</v>
      </c>
      <c r="L304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25</v>
      </c>
      <c r="D305" s="7">
        <v>0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27</v>
      </c>
      <c r="L305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71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71</v>
      </c>
      <c r="L306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66</v>
      </c>
      <c r="D307" s="7">
        <v>0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66</v>
      </c>
      <c r="L30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47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47</v>
      </c>
      <c r="L308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65</v>
      </c>
      <c r="D309" s="7">
        <v>0</v>
      </c>
      <c r="E309" s="7">
        <v>0</v>
      </c>
      <c r="F309" s="7">
        <v>0</v>
      </c>
      <c r="G309" s="7">
        <v>2</v>
      </c>
      <c r="H309" s="7">
        <v>0</v>
      </c>
      <c r="I309" s="7">
        <v>0</v>
      </c>
      <c r="J309" s="7">
        <v>0</v>
      </c>
      <c r="K309" s="7">
        <v>67</v>
      </c>
      <c r="L309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47</v>
      </c>
      <c r="D310" s="7">
        <v>0</v>
      </c>
      <c r="E310" s="7">
        <v>0</v>
      </c>
      <c r="F310" s="7">
        <v>0</v>
      </c>
      <c r="G310" s="7">
        <v>1</v>
      </c>
      <c r="H310" s="7">
        <v>0</v>
      </c>
      <c r="I310" s="7">
        <v>0</v>
      </c>
      <c r="J310" s="7">
        <v>0</v>
      </c>
      <c r="K310" s="7">
        <v>48</v>
      </c>
      <c r="L310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64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64</v>
      </c>
      <c r="L311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5</v>
      </c>
      <c r="D313" s="7">
        <v>0</v>
      </c>
      <c r="E313" s="7">
        <v>0</v>
      </c>
      <c r="F313" s="7">
        <v>0</v>
      </c>
      <c r="G313" s="7">
        <v>1</v>
      </c>
      <c r="H313" s="7">
        <v>0</v>
      </c>
      <c r="I313" s="7">
        <v>127</v>
      </c>
      <c r="J313" s="7">
        <v>0</v>
      </c>
      <c r="K313" s="7">
        <v>133</v>
      </c>
      <c r="L313" t="b">
        <f t="shared" si="4"/>
        <v>1</v>
      </c>
    </row>
    <row r="314" spans="1:12" x14ac:dyDescent="0.25">
      <c r="A314" s="7" t="s">
        <v>1310</v>
      </c>
      <c r="B314" s="7">
        <v>0</v>
      </c>
      <c r="C314" s="7">
        <v>405</v>
      </c>
      <c r="D314" s="7">
        <v>0</v>
      </c>
      <c r="E314" s="7">
        <v>0</v>
      </c>
      <c r="F314" s="7">
        <v>0</v>
      </c>
      <c r="G314" s="7">
        <v>7</v>
      </c>
      <c r="H314" s="7">
        <v>0</v>
      </c>
      <c r="I314" s="7">
        <v>188</v>
      </c>
      <c r="J314" s="7">
        <v>0</v>
      </c>
      <c r="K314" s="7">
        <v>600</v>
      </c>
      <c r="L314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111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111</v>
      </c>
      <c r="L31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143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146</v>
      </c>
      <c r="L318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82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84</v>
      </c>
      <c r="L319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107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107</v>
      </c>
      <c r="L320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66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66</v>
      </c>
      <c r="L321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51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53</v>
      </c>
      <c r="L322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181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0</v>
      </c>
      <c r="J323" s="7">
        <v>0</v>
      </c>
      <c r="K323" s="7">
        <v>185</v>
      </c>
      <c r="L323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80</v>
      </c>
      <c r="D324" s="7">
        <v>0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81</v>
      </c>
      <c r="L324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98</v>
      </c>
      <c r="L325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153</v>
      </c>
      <c r="D326" s="7">
        <v>4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157</v>
      </c>
      <c r="L326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309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311</v>
      </c>
      <c r="L32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141</v>
      </c>
      <c r="D329" s="7">
        <v>0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143</v>
      </c>
      <c r="L329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56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  <c r="L331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59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59</v>
      </c>
      <c r="L333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39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1</v>
      </c>
      <c r="K334" s="7">
        <v>40</v>
      </c>
      <c r="L334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44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1</v>
      </c>
      <c r="K335" s="7">
        <v>84</v>
      </c>
      <c r="L335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3</v>
      </c>
      <c r="E336" s="7">
        <v>0</v>
      </c>
      <c r="F336" s="7">
        <v>1</v>
      </c>
      <c r="G336" s="7">
        <v>1</v>
      </c>
      <c r="H336" s="7">
        <v>0</v>
      </c>
      <c r="I336" s="7">
        <v>23</v>
      </c>
      <c r="J336" s="7">
        <v>1</v>
      </c>
      <c r="K336" s="7">
        <v>62</v>
      </c>
      <c r="L336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103</v>
      </c>
      <c r="D337" s="7">
        <v>1</v>
      </c>
      <c r="E337" s="7">
        <v>0</v>
      </c>
      <c r="F337" s="7">
        <v>0</v>
      </c>
      <c r="G337" s="7">
        <v>0</v>
      </c>
      <c r="H337" s="7">
        <v>0</v>
      </c>
      <c r="I337" s="7">
        <v>1</v>
      </c>
      <c r="J337" s="7">
        <v>5</v>
      </c>
      <c r="K337" s="7">
        <v>110</v>
      </c>
      <c r="L33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87</v>
      </c>
      <c r="D338" s="7">
        <v>3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  <c r="L338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80</v>
      </c>
      <c r="D339" s="7">
        <v>1</v>
      </c>
      <c r="E339" s="7">
        <v>0</v>
      </c>
      <c r="F339" s="7">
        <v>0</v>
      </c>
      <c r="G339" s="7">
        <v>1</v>
      </c>
      <c r="H339" s="7">
        <v>0</v>
      </c>
      <c r="I339" s="7">
        <v>0</v>
      </c>
      <c r="J339" s="7">
        <v>0</v>
      </c>
      <c r="K339" s="7">
        <v>82</v>
      </c>
      <c r="L339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38</v>
      </c>
      <c r="D340" s="7">
        <v>12</v>
      </c>
      <c r="E340" s="7">
        <v>0</v>
      </c>
      <c r="F340" s="7">
        <v>0</v>
      </c>
      <c r="G340" s="7">
        <v>0</v>
      </c>
      <c r="H340" s="7">
        <v>0</v>
      </c>
      <c r="I340" s="7">
        <v>5</v>
      </c>
      <c r="J340" s="7">
        <v>3</v>
      </c>
      <c r="K340" s="7">
        <v>58</v>
      </c>
      <c r="L340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0</v>
      </c>
      <c r="F341" s="7">
        <v>0</v>
      </c>
      <c r="G341" s="7">
        <v>0</v>
      </c>
      <c r="H341" s="7">
        <v>0</v>
      </c>
      <c r="I341" s="7">
        <v>49</v>
      </c>
      <c r="J341" s="7">
        <v>0</v>
      </c>
      <c r="K341" s="7">
        <v>67</v>
      </c>
      <c r="L341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0</v>
      </c>
      <c r="F342" s="7">
        <v>0</v>
      </c>
      <c r="G342" s="7">
        <v>0</v>
      </c>
      <c r="H342" s="7">
        <v>0</v>
      </c>
      <c r="I342" s="7">
        <v>49</v>
      </c>
      <c r="J342" s="7">
        <v>0</v>
      </c>
      <c r="K342" s="7">
        <v>72</v>
      </c>
      <c r="L342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31</v>
      </c>
      <c r="L343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2</v>
      </c>
      <c r="J345" s="7">
        <v>0</v>
      </c>
      <c r="K345" s="7">
        <v>2</v>
      </c>
      <c r="L345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10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10</v>
      </c>
      <c r="L346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67</v>
      </c>
      <c r="D348" s="7">
        <v>1</v>
      </c>
      <c r="E348" s="7">
        <v>0</v>
      </c>
      <c r="F348" s="7">
        <v>1</v>
      </c>
      <c r="G348" s="7">
        <v>0</v>
      </c>
      <c r="H348" s="7">
        <v>0</v>
      </c>
      <c r="I348" s="7">
        <v>93</v>
      </c>
      <c r="J348" s="7">
        <v>0</v>
      </c>
      <c r="K348" s="7">
        <v>162</v>
      </c>
      <c r="L348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40</v>
      </c>
      <c r="D349" s="7">
        <v>4</v>
      </c>
      <c r="E349" s="7">
        <v>0</v>
      </c>
      <c r="F349" s="7">
        <v>1</v>
      </c>
      <c r="G349" s="7">
        <v>0</v>
      </c>
      <c r="H349" s="7">
        <v>0</v>
      </c>
      <c r="I349" s="7">
        <v>99</v>
      </c>
      <c r="J349" s="7">
        <v>33</v>
      </c>
      <c r="K349" s="7">
        <v>177</v>
      </c>
      <c r="L349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122</v>
      </c>
      <c r="D350" s="7">
        <v>4</v>
      </c>
      <c r="E350" s="7">
        <v>0</v>
      </c>
      <c r="F350" s="7">
        <v>0</v>
      </c>
      <c r="G350" s="7">
        <v>0</v>
      </c>
      <c r="H350" s="7">
        <v>1</v>
      </c>
      <c r="I350" s="7">
        <v>99</v>
      </c>
      <c r="J350" s="7">
        <v>6</v>
      </c>
      <c r="K350" s="7">
        <v>232</v>
      </c>
      <c r="L350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44</v>
      </c>
      <c r="D351" s="7">
        <v>4</v>
      </c>
      <c r="E351" s="7">
        <v>0</v>
      </c>
      <c r="F351" s="7">
        <v>0</v>
      </c>
      <c r="G351" s="7">
        <v>0</v>
      </c>
      <c r="H351" s="7">
        <v>0</v>
      </c>
      <c r="I351" s="7">
        <v>73</v>
      </c>
      <c r="J351" s="7">
        <v>0</v>
      </c>
      <c r="K351" s="7">
        <v>121</v>
      </c>
      <c r="L351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110</v>
      </c>
      <c r="D352" s="7">
        <v>0</v>
      </c>
      <c r="E352" s="7">
        <v>0</v>
      </c>
      <c r="F352" s="7">
        <v>0</v>
      </c>
      <c r="G352" s="7">
        <v>1</v>
      </c>
      <c r="H352" s="7">
        <v>0</v>
      </c>
      <c r="I352" s="7">
        <v>0</v>
      </c>
      <c r="J352" s="7">
        <v>0</v>
      </c>
      <c r="K352" s="7">
        <v>111</v>
      </c>
      <c r="L352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129</v>
      </c>
      <c r="D353" s="7">
        <v>1</v>
      </c>
      <c r="E353" s="7">
        <v>0</v>
      </c>
      <c r="F353" s="7">
        <v>0</v>
      </c>
      <c r="G353" s="7">
        <v>0</v>
      </c>
      <c r="H353" s="7">
        <v>0</v>
      </c>
      <c r="I353" s="7">
        <v>75</v>
      </c>
      <c r="J353" s="7">
        <v>3</v>
      </c>
      <c r="K353" s="7">
        <v>208</v>
      </c>
      <c r="L353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191</v>
      </c>
      <c r="D354" s="7">
        <v>1</v>
      </c>
      <c r="E354" s="7">
        <v>0</v>
      </c>
      <c r="F354" s="7">
        <v>0</v>
      </c>
      <c r="G354" s="7">
        <v>1</v>
      </c>
      <c r="H354" s="7">
        <v>0</v>
      </c>
      <c r="I354" s="7">
        <v>3</v>
      </c>
      <c r="J354" s="7">
        <v>0</v>
      </c>
      <c r="K354" s="7">
        <v>196</v>
      </c>
      <c r="L354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68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1</v>
      </c>
      <c r="J355" s="7">
        <v>0</v>
      </c>
      <c r="K355" s="7">
        <v>69</v>
      </c>
      <c r="L355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65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116</v>
      </c>
      <c r="J356" s="7">
        <v>0</v>
      </c>
      <c r="K356" s="7">
        <v>181</v>
      </c>
      <c r="L356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81</v>
      </c>
      <c r="D357" s="7">
        <v>0</v>
      </c>
      <c r="E357" s="7">
        <v>0</v>
      </c>
      <c r="F357" s="7">
        <v>0</v>
      </c>
      <c r="G357" s="7">
        <v>1</v>
      </c>
      <c r="H357" s="7">
        <v>0</v>
      </c>
      <c r="I357" s="7">
        <v>0</v>
      </c>
      <c r="J357" s="7">
        <v>2</v>
      </c>
      <c r="K357" s="7">
        <v>84</v>
      </c>
      <c r="L35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178</v>
      </c>
      <c r="D358" s="7">
        <v>0</v>
      </c>
      <c r="E358" s="7">
        <v>0</v>
      </c>
      <c r="F358" s="7">
        <v>0</v>
      </c>
      <c r="G358" s="7">
        <v>3</v>
      </c>
      <c r="H358" s="7">
        <v>0</v>
      </c>
      <c r="I358" s="7">
        <v>37</v>
      </c>
      <c r="J358" s="7">
        <v>0</v>
      </c>
      <c r="K358" s="7">
        <v>218</v>
      </c>
      <c r="L358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202</v>
      </c>
      <c r="D359" s="7">
        <v>1</v>
      </c>
      <c r="E359" s="7">
        <v>0</v>
      </c>
      <c r="F359" s="7">
        <v>3</v>
      </c>
      <c r="G359" s="7">
        <v>7</v>
      </c>
      <c r="H359" s="7">
        <v>0</v>
      </c>
      <c r="I359" s="7">
        <v>28</v>
      </c>
      <c r="J359" s="7">
        <v>0</v>
      </c>
      <c r="K359" s="7">
        <v>241</v>
      </c>
      <c r="L359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70</v>
      </c>
      <c r="D360" s="7">
        <v>0</v>
      </c>
      <c r="E360" s="7">
        <v>0</v>
      </c>
      <c r="F360" s="7">
        <v>0</v>
      </c>
      <c r="G360" s="7">
        <v>1</v>
      </c>
      <c r="H360" s="7">
        <v>0</v>
      </c>
      <c r="I360" s="7">
        <v>152</v>
      </c>
      <c r="J360" s="7">
        <v>0</v>
      </c>
      <c r="K360" s="7">
        <v>223</v>
      </c>
      <c r="L360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128</v>
      </c>
      <c r="D361" s="7">
        <v>0</v>
      </c>
      <c r="E361" s="7">
        <v>0</v>
      </c>
      <c r="F361" s="7">
        <v>0</v>
      </c>
      <c r="G361" s="7">
        <v>1</v>
      </c>
      <c r="H361" s="7">
        <v>0</v>
      </c>
      <c r="I361" s="7">
        <v>0</v>
      </c>
      <c r="J361" s="7">
        <v>2</v>
      </c>
      <c r="K361" s="7">
        <v>131</v>
      </c>
      <c r="L361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93</v>
      </c>
      <c r="D362" s="7">
        <v>0</v>
      </c>
      <c r="E362" s="7">
        <v>0</v>
      </c>
      <c r="F362" s="7">
        <v>0</v>
      </c>
      <c r="G362" s="7">
        <v>1</v>
      </c>
      <c r="H362" s="7">
        <v>0</v>
      </c>
      <c r="I362" s="7">
        <v>2</v>
      </c>
      <c r="J362" s="7">
        <v>0</v>
      </c>
      <c r="K362" s="7">
        <v>96</v>
      </c>
      <c r="L362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0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118</v>
      </c>
      <c r="L363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121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121</v>
      </c>
      <c r="L364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112</v>
      </c>
      <c r="D365" s="7">
        <v>0</v>
      </c>
      <c r="E365" s="7">
        <v>0</v>
      </c>
      <c r="F365" s="7">
        <v>0</v>
      </c>
      <c r="G365" s="7">
        <v>5</v>
      </c>
      <c r="H365" s="7">
        <v>0</v>
      </c>
      <c r="I365" s="7">
        <v>1</v>
      </c>
      <c r="J365" s="7">
        <v>0</v>
      </c>
      <c r="K365" s="7">
        <v>118</v>
      </c>
      <c r="L365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0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98</v>
      </c>
      <c r="L366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123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0</v>
      </c>
      <c r="K367" s="7">
        <v>125</v>
      </c>
      <c r="L36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178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4</v>
      </c>
      <c r="J368" s="7">
        <v>0</v>
      </c>
      <c r="K368" s="7">
        <v>182</v>
      </c>
      <c r="L368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163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77</v>
      </c>
      <c r="J369" s="7">
        <v>4</v>
      </c>
      <c r="K369" s="7">
        <v>244</v>
      </c>
      <c r="L369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90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70</v>
      </c>
      <c r="J370" s="7">
        <v>4</v>
      </c>
      <c r="K370" s="7">
        <v>164</v>
      </c>
      <c r="L370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200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0</v>
      </c>
      <c r="J371" s="7">
        <v>0</v>
      </c>
      <c r="K371" s="7">
        <v>201</v>
      </c>
      <c r="L371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216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216</v>
      </c>
      <c r="L372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334</v>
      </c>
      <c r="D373" s="7">
        <v>0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335</v>
      </c>
      <c r="L373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331</v>
      </c>
      <c r="D374" s="7">
        <v>0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335</v>
      </c>
      <c r="L374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78</v>
      </c>
      <c r="D375" s="7">
        <v>0</v>
      </c>
      <c r="E375" s="7">
        <v>0</v>
      </c>
      <c r="F375" s="7">
        <v>1</v>
      </c>
      <c r="G375" s="7">
        <v>1</v>
      </c>
      <c r="H375" s="7">
        <v>0</v>
      </c>
      <c r="I375" s="7">
        <v>53</v>
      </c>
      <c r="J375" s="7">
        <v>2</v>
      </c>
      <c r="K375" s="7">
        <v>135</v>
      </c>
      <c r="L375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107</v>
      </c>
      <c r="D376" s="7">
        <v>0</v>
      </c>
      <c r="E376" s="7">
        <v>0</v>
      </c>
      <c r="F376" s="7">
        <v>0</v>
      </c>
      <c r="G376" s="7">
        <v>3</v>
      </c>
      <c r="H376" s="7">
        <v>0</v>
      </c>
      <c r="I376" s="7">
        <v>40</v>
      </c>
      <c r="J376" s="7">
        <v>0</v>
      </c>
      <c r="K376" s="7">
        <v>150</v>
      </c>
      <c r="L376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204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204</v>
      </c>
      <c r="L37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111</v>
      </c>
      <c r="D378" s="7">
        <v>1</v>
      </c>
      <c r="E378" s="7">
        <v>0</v>
      </c>
      <c r="F378" s="7">
        <v>0</v>
      </c>
      <c r="G378" s="7">
        <v>0</v>
      </c>
      <c r="H378" s="7">
        <v>0</v>
      </c>
      <c r="I378" s="7">
        <v>64</v>
      </c>
      <c r="J378" s="7">
        <v>3</v>
      </c>
      <c r="K378" s="7">
        <v>179</v>
      </c>
      <c r="L378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144</v>
      </c>
      <c r="D379" s="7">
        <v>12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2</v>
      </c>
      <c r="K379" s="7">
        <v>158</v>
      </c>
      <c r="L379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100</v>
      </c>
      <c r="D380" s="7">
        <v>14</v>
      </c>
      <c r="E380" s="7">
        <v>0</v>
      </c>
      <c r="F380" s="7">
        <v>0</v>
      </c>
      <c r="G380" s="7">
        <v>0</v>
      </c>
      <c r="H380" s="7">
        <v>0</v>
      </c>
      <c r="I380" s="7">
        <v>24</v>
      </c>
      <c r="J380" s="7">
        <v>35</v>
      </c>
      <c r="K380" s="7">
        <v>173</v>
      </c>
      <c r="L380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14</v>
      </c>
      <c r="D381" s="7">
        <v>22</v>
      </c>
      <c r="E381" s="7">
        <v>0</v>
      </c>
      <c r="F381" s="7">
        <v>0</v>
      </c>
      <c r="G381" s="7">
        <v>0</v>
      </c>
      <c r="H381" s="7">
        <v>0</v>
      </c>
      <c r="I381" s="7">
        <v>58</v>
      </c>
      <c r="J381" s="7">
        <v>5</v>
      </c>
      <c r="K381" s="7">
        <v>99</v>
      </c>
      <c r="L381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183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3</v>
      </c>
      <c r="K382" s="7">
        <v>189</v>
      </c>
      <c r="L382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99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7</v>
      </c>
      <c r="J383" s="7">
        <v>4</v>
      </c>
      <c r="K383" s="7">
        <v>110</v>
      </c>
      <c r="L383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143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5</v>
      </c>
      <c r="J384" s="7">
        <v>10</v>
      </c>
      <c r="K384" s="7">
        <v>158</v>
      </c>
      <c r="L384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42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76</v>
      </c>
      <c r="J385" s="7">
        <v>5</v>
      </c>
      <c r="K385" s="7">
        <v>123</v>
      </c>
      <c r="L385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64</v>
      </c>
      <c r="D386" s="7">
        <v>28</v>
      </c>
      <c r="E386" s="7">
        <v>0</v>
      </c>
      <c r="F386" s="7">
        <v>3</v>
      </c>
      <c r="G386" s="7">
        <v>0</v>
      </c>
      <c r="H386" s="7">
        <v>0</v>
      </c>
      <c r="I386" s="7">
        <v>100</v>
      </c>
      <c r="J386" s="7">
        <v>6</v>
      </c>
      <c r="K386" s="7">
        <v>201</v>
      </c>
      <c r="L386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118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1</v>
      </c>
      <c r="K387" s="7">
        <v>134</v>
      </c>
      <c r="L38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51</v>
      </c>
      <c r="J388" s="7">
        <v>0</v>
      </c>
      <c r="K388" s="7">
        <v>103</v>
      </c>
      <c r="L388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98</v>
      </c>
      <c r="J389" s="7">
        <v>0</v>
      </c>
      <c r="K389" s="7">
        <v>126</v>
      </c>
      <c r="L389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131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26</v>
      </c>
      <c r="J390" s="7">
        <v>0</v>
      </c>
      <c r="K390" s="7">
        <v>158</v>
      </c>
      <c r="L390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122</v>
      </c>
      <c r="J391" s="7">
        <v>0</v>
      </c>
      <c r="K391" s="7">
        <v>139</v>
      </c>
      <c r="L391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41</v>
      </c>
      <c r="J392" s="7">
        <v>0</v>
      </c>
      <c r="K392" s="7">
        <v>87</v>
      </c>
      <c r="L392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89</v>
      </c>
      <c r="D394" s="7">
        <v>1</v>
      </c>
      <c r="E394" s="7">
        <v>0</v>
      </c>
      <c r="F394" s="7">
        <v>0</v>
      </c>
      <c r="G394" s="7">
        <v>0</v>
      </c>
      <c r="H394" s="7">
        <v>0</v>
      </c>
      <c r="I394" s="7">
        <v>93</v>
      </c>
      <c r="J394" s="7">
        <v>0</v>
      </c>
      <c r="K394" s="7">
        <v>183</v>
      </c>
      <c r="L394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125</v>
      </c>
      <c r="D395" s="7">
        <v>3</v>
      </c>
      <c r="E395" s="7">
        <v>0</v>
      </c>
      <c r="F395" s="7">
        <v>0</v>
      </c>
      <c r="G395" s="7">
        <v>4</v>
      </c>
      <c r="H395" s="7">
        <v>0</v>
      </c>
      <c r="I395" s="7">
        <v>32</v>
      </c>
      <c r="J395" s="7">
        <v>0</v>
      </c>
      <c r="K395" s="7">
        <v>164</v>
      </c>
      <c r="L395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2</v>
      </c>
      <c r="E396" s="7">
        <v>0</v>
      </c>
      <c r="F396" s="7">
        <v>0</v>
      </c>
      <c r="G396" s="7">
        <v>0</v>
      </c>
      <c r="H396" s="7">
        <v>0</v>
      </c>
      <c r="I396" s="7">
        <v>113</v>
      </c>
      <c r="J396" s="7">
        <v>0</v>
      </c>
      <c r="K396" s="7">
        <v>128</v>
      </c>
      <c r="L396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125</v>
      </c>
      <c r="J397" s="7">
        <v>0</v>
      </c>
      <c r="K397" s="7">
        <v>137</v>
      </c>
      <c r="L39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67</v>
      </c>
      <c r="J398" s="7">
        <v>0</v>
      </c>
      <c r="K398" s="7">
        <v>131</v>
      </c>
      <c r="L398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16</v>
      </c>
      <c r="D399" s="7">
        <v>2</v>
      </c>
      <c r="E399" s="7">
        <v>0</v>
      </c>
      <c r="F399" s="7">
        <v>0</v>
      </c>
      <c r="G399" s="7">
        <v>0</v>
      </c>
      <c r="H399" s="7">
        <v>0</v>
      </c>
      <c r="I399" s="7">
        <v>126</v>
      </c>
      <c r="J399" s="7">
        <v>0</v>
      </c>
      <c r="K399" s="7">
        <v>144</v>
      </c>
      <c r="L399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75</v>
      </c>
      <c r="J400" s="7">
        <v>0</v>
      </c>
      <c r="K400" s="7">
        <v>86</v>
      </c>
      <c r="L400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56</v>
      </c>
      <c r="D401" s="7">
        <v>0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56</v>
      </c>
      <c r="L401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73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0</v>
      </c>
      <c r="J402" s="7">
        <v>0</v>
      </c>
      <c r="K402" s="7">
        <v>74</v>
      </c>
      <c r="L402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83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84</v>
      </c>
      <c r="L403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151</v>
      </c>
      <c r="D404" s="7">
        <v>0</v>
      </c>
      <c r="E404" s="7">
        <v>0</v>
      </c>
      <c r="F404" s="7">
        <v>0</v>
      </c>
      <c r="G404" s="7">
        <v>2</v>
      </c>
      <c r="H404" s="7">
        <v>0</v>
      </c>
      <c r="I404" s="7">
        <v>0</v>
      </c>
      <c r="J404" s="7">
        <v>0</v>
      </c>
      <c r="K404" s="7">
        <v>153</v>
      </c>
      <c r="L404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73</v>
      </c>
      <c r="D405" s="7">
        <v>0</v>
      </c>
      <c r="E405" s="7">
        <v>0</v>
      </c>
      <c r="F405" s="7">
        <v>0</v>
      </c>
      <c r="G405" s="7">
        <v>1</v>
      </c>
      <c r="H405" s="7">
        <v>0</v>
      </c>
      <c r="I405" s="7">
        <v>0</v>
      </c>
      <c r="J405" s="7">
        <v>1</v>
      </c>
      <c r="K405" s="7">
        <v>75</v>
      </c>
      <c r="L405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89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2</v>
      </c>
      <c r="K406" s="7">
        <v>91</v>
      </c>
      <c r="L406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82</v>
      </c>
      <c r="D407" s="7">
        <v>0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83</v>
      </c>
      <c r="L40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179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3</v>
      </c>
      <c r="K408" s="7">
        <v>182</v>
      </c>
      <c r="L408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85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86</v>
      </c>
      <c r="L409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98</v>
      </c>
      <c r="D410" s="7">
        <v>1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2</v>
      </c>
      <c r="K410" s="7">
        <v>101</v>
      </c>
      <c r="L410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134</v>
      </c>
      <c r="D411" s="7">
        <v>0</v>
      </c>
      <c r="E411" s="7">
        <v>0</v>
      </c>
      <c r="F411" s="7">
        <v>0</v>
      </c>
      <c r="G411" s="7">
        <v>1</v>
      </c>
      <c r="H411" s="7">
        <v>0</v>
      </c>
      <c r="I411" s="7">
        <v>0</v>
      </c>
      <c r="J411" s="7">
        <v>4</v>
      </c>
      <c r="K411" s="7">
        <v>139</v>
      </c>
      <c r="L411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106</v>
      </c>
      <c r="D412" s="7">
        <v>3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7</v>
      </c>
      <c r="K412" s="7">
        <v>116</v>
      </c>
      <c r="L412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117</v>
      </c>
      <c r="D413" s="7">
        <v>1</v>
      </c>
      <c r="E413" s="7">
        <v>0</v>
      </c>
      <c r="F413" s="7">
        <v>0</v>
      </c>
      <c r="G413" s="7">
        <v>0</v>
      </c>
      <c r="H413" s="7">
        <v>0</v>
      </c>
      <c r="I413" s="7">
        <v>7</v>
      </c>
      <c r="J413" s="7">
        <v>0</v>
      </c>
      <c r="K413" s="7">
        <v>125</v>
      </c>
      <c r="L413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79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79</v>
      </c>
      <c r="L414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112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112</v>
      </c>
      <c r="L415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206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8</v>
      </c>
      <c r="J416" s="7">
        <v>5</v>
      </c>
      <c r="K416" s="7">
        <v>219</v>
      </c>
      <c r="L416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192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46</v>
      </c>
      <c r="J417" s="7">
        <v>14</v>
      </c>
      <c r="K417" s="7">
        <v>252</v>
      </c>
      <c r="L41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154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25</v>
      </c>
      <c r="J418" s="7">
        <v>0</v>
      </c>
      <c r="K418" s="7">
        <v>179</v>
      </c>
      <c r="L418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114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21</v>
      </c>
      <c r="J419" s="7">
        <v>0</v>
      </c>
      <c r="K419" s="7">
        <v>135</v>
      </c>
      <c r="L419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69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15</v>
      </c>
      <c r="J420" s="7">
        <v>1</v>
      </c>
      <c r="K420" s="7">
        <v>85</v>
      </c>
      <c r="L420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173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12</v>
      </c>
      <c r="J421" s="7">
        <v>0</v>
      </c>
      <c r="K421" s="7">
        <v>185</v>
      </c>
      <c r="L421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104</v>
      </c>
      <c r="D422" s="7">
        <v>0</v>
      </c>
      <c r="E422" s="7">
        <v>0</v>
      </c>
      <c r="F422" s="7">
        <v>1</v>
      </c>
      <c r="G422" s="7">
        <v>0</v>
      </c>
      <c r="H422" s="7">
        <v>0</v>
      </c>
      <c r="I422" s="7">
        <v>14</v>
      </c>
      <c r="J422" s="7">
        <v>0</v>
      </c>
      <c r="K422" s="7">
        <v>119</v>
      </c>
      <c r="L422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65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</v>
      </c>
      <c r="J423" s="7">
        <v>0</v>
      </c>
      <c r="K423" s="7">
        <v>67</v>
      </c>
      <c r="L423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86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14</v>
      </c>
      <c r="J424" s="7">
        <v>0</v>
      </c>
      <c r="K424" s="7">
        <v>100</v>
      </c>
      <c r="L424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174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4</v>
      </c>
      <c r="J425" s="7">
        <v>0</v>
      </c>
      <c r="K425" s="7">
        <v>182</v>
      </c>
      <c r="L425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233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8</v>
      </c>
      <c r="J426" s="7">
        <v>0</v>
      </c>
      <c r="K426" s="7">
        <v>241</v>
      </c>
      <c r="L426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134</v>
      </c>
      <c r="D427" s="7">
        <v>0</v>
      </c>
      <c r="E427" s="7">
        <v>0</v>
      </c>
      <c r="F427" s="7">
        <v>0</v>
      </c>
      <c r="G427" s="7">
        <v>2</v>
      </c>
      <c r="H427" s="7">
        <v>0</v>
      </c>
      <c r="I427" s="7">
        <v>12</v>
      </c>
      <c r="J427" s="7">
        <v>0</v>
      </c>
      <c r="K427" s="7">
        <v>148</v>
      </c>
      <c r="L42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147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8</v>
      </c>
      <c r="J428" s="7">
        <v>0</v>
      </c>
      <c r="K428" s="7">
        <v>156</v>
      </c>
      <c r="L428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14</v>
      </c>
      <c r="J429" s="7">
        <v>0</v>
      </c>
      <c r="K429" s="7">
        <v>104</v>
      </c>
      <c r="L429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74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14</v>
      </c>
      <c r="J430" s="7">
        <v>0</v>
      </c>
      <c r="K430" s="7">
        <v>88</v>
      </c>
      <c r="L430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125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23</v>
      </c>
      <c r="J431" s="7">
        <v>3</v>
      </c>
      <c r="K431" s="7">
        <v>153</v>
      </c>
      <c r="L431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150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99</v>
      </c>
      <c r="J432" s="7">
        <v>1</v>
      </c>
      <c r="K432" s="7">
        <v>251</v>
      </c>
      <c r="L432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241</v>
      </c>
      <c r="D433" s="7">
        <v>20</v>
      </c>
      <c r="E433" s="7">
        <v>0</v>
      </c>
      <c r="F433" s="7">
        <v>0</v>
      </c>
      <c r="G433" s="7">
        <v>8</v>
      </c>
      <c r="H433" s="7">
        <v>0</v>
      </c>
      <c r="I433" s="7">
        <v>42</v>
      </c>
      <c r="J433" s="7">
        <v>43</v>
      </c>
      <c r="K433" s="7">
        <v>354</v>
      </c>
      <c r="L433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111</v>
      </c>
      <c r="J434" s="7">
        <v>1</v>
      </c>
      <c r="K434" s="7">
        <v>182</v>
      </c>
      <c r="L434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178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178</v>
      </c>
      <c r="L435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110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110</v>
      </c>
      <c r="L436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180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180</v>
      </c>
      <c r="L43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16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199</v>
      </c>
      <c r="J438" s="7">
        <v>11</v>
      </c>
      <c r="K438" s="7">
        <v>229</v>
      </c>
      <c r="L438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104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0</v>
      </c>
      <c r="K439" s="7">
        <v>104</v>
      </c>
      <c r="L439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9</v>
      </c>
      <c r="D440" s="7">
        <v>0</v>
      </c>
      <c r="E440" s="7">
        <v>0</v>
      </c>
      <c r="F440" s="7">
        <v>3</v>
      </c>
      <c r="G440" s="7">
        <v>0</v>
      </c>
      <c r="H440" s="7">
        <v>0</v>
      </c>
      <c r="I440" s="7">
        <v>108</v>
      </c>
      <c r="J440" s="7">
        <v>3</v>
      </c>
      <c r="K440" s="7">
        <v>123</v>
      </c>
      <c r="L440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192</v>
      </c>
      <c r="D441" s="7">
        <v>0</v>
      </c>
      <c r="E441" s="7">
        <v>0</v>
      </c>
      <c r="F441" s="7">
        <v>0</v>
      </c>
      <c r="G441" s="7">
        <v>2</v>
      </c>
      <c r="H441" s="7">
        <v>0</v>
      </c>
      <c r="I441" s="7">
        <v>39</v>
      </c>
      <c r="J441" s="7">
        <v>6</v>
      </c>
      <c r="K441" s="7">
        <v>239</v>
      </c>
      <c r="L441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188</v>
      </c>
      <c r="D442" s="7">
        <v>0</v>
      </c>
      <c r="E442" s="7">
        <v>0</v>
      </c>
      <c r="F442" s="7">
        <v>0</v>
      </c>
      <c r="G442" s="7">
        <v>0</v>
      </c>
      <c r="H442" s="7">
        <v>0</v>
      </c>
      <c r="I442" s="7">
        <v>38</v>
      </c>
      <c r="J442" s="7">
        <v>1</v>
      </c>
      <c r="K442" s="7">
        <v>227</v>
      </c>
      <c r="L442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126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13</v>
      </c>
      <c r="J443" s="7">
        <v>6</v>
      </c>
      <c r="K443" s="7">
        <v>145</v>
      </c>
      <c r="L443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28</v>
      </c>
      <c r="D444" s="7">
        <v>2</v>
      </c>
      <c r="E444" s="7">
        <v>0</v>
      </c>
      <c r="F444" s="7">
        <v>1</v>
      </c>
      <c r="G444" s="7">
        <v>1</v>
      </c>
      <c r="H444" s="7">
        <v>0</v>
      </c>
      <c r="I444" s="7">
        <v>4</v>
      </c>
      <c r="J444" s="7">
        <v>0</v>
      </c>
      <c r="K444" s="7">
        <v>36</v>
      </c>
      <c r="L444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164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5</v>
      </c>
      <c r="J446" s="7">
        <v>1</v>
      </c>
      <c r="K446" s="7">
        <v>171</v>
      </c>
      <c r="L446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140</v>
      </c>
      <c r="L44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116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116</v>
      </c>
      <c r="L449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56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57</v>
      </c>
      <c r="L450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44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45</v>
      </c>
      <c r="L451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62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0</v>
      </c>
      <c r="K452" s="7">
        <v>63</v>
      </c>
      <c r="L452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57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57</v>
      </c>
      <c r="L453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56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2</v>
      </c>
      <c r="J454" s="7">
        <v>0</v>
      </c>
      <c r="K454" s="7">
        <v>60</v>
      </c>
      <c r="L454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42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42</v>
      </c>
      <c r="L455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50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0</v>
      </c>
      <c r="K456" s="7">
        <v>54</v>
      </c>
      <c r="L456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196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197</v>
      </c>
      <c r="L45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144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146</v>
      </c>
      <c r="L458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91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92</v>
      </c>
      <c r="L459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79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79</v>
      </c>
      <c r="L460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57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57</v>
      </c>
      <c r="L461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211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0</v>
      </c>
      <c r="K462" s="7">
        <v>211</v>
      </c>
      <c r="L462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164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3</v>
      </c>
      <c r="J463" s="7">
        <v>0</v>
      </c>
      <c r="K463" s="7">
        <v>167</v>
      </c>
      <c r="L463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62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4</v>
      </c>
      <c r="J464" s="7">
        <v>0</v>
      </c>
      <c r="K464" s="7">
        <v>66</v>
      </c>
      <c r="L464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103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103</v>
      </c>
      <c r="L465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91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1</v>
      </c>
      <c r="J466" s="7">
        <v>1</v>
      </c>
      <c r="K466" s="7">
        <v>93</v>
      </c>
      <c r="L466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152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9</v>
      </c>
      <c r="J467" s="7">
        <v>1</v>
      </c>
      <c r="K467" s="7">
        <v>162</v>
      </c>
      <c r="L46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2</v>
      </c>
      <c r="J468" s="7">
        <v>0</v>
      </c>
      <c r="K468" s="7">
        <v>35</v>
      </c>
      <c r="L468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37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4</v>
      </c>
      <c r="J469" s="7">
        <v>0</v>
      </c>
      <c r="K469" s="7">
        <v>41</v>
      </c>
      <c r="L469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55</v>
      </c>
      <c r="L470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42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59</v>
      </c>
      <c r="L471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58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4</v>
      </c>
      <c r="J472" s="7">
        <v>0</v>
      </c>
      <c r="K472" s="7">
        <v>62</v>
      </c>
      <c r="L472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27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94</v>
      </c>
      <c r="J473" s="7">
        <v>0</v>
      </c>
      <c r="K473" s="7">
        <v>121</v>
      </c>
      <c r="L473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4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59</v>
      </c>
      <c r="J474" s="7">
        <v>0</v>
      </c>
      <c r="K474" s="7">
        <v>63</v>
      </c>
      <c r="L474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56</v>
      </c>
      <c r="J475" s="7">
        <v>0</v>
      </c>
      <c r="K475" s="7">
        <v>69</v>
      </c>
      <c r="L475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74</v>
      </c>
      <c r="J476" s="7">
        <v>0</v>
      </c>
      <c r="K476" s="7">
        <v>98</v>
      </c>
      <c r="L476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66</v>
      </c>
      <c r="D477" s="7">
        <v>4</v>
      </c>
      <c r="E477" s="7">
        <v>0</v>
      </c>
      <c r="F477" s="7">
        <v>0</v>
      </c>
      <c r="G477" s="7">
        <v>5</v>
      </c>
      <c r="H477" s="7">
        <v>0</v>
      </c>
      <c r="I477" s="7">
        <v>2</v>
      </c>
      <c r="J477" s="7">
        <v>0</v>
      </c>
      <c r="K477" s="7">
        <v>77</v>
      </c>
      <c r="L47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113</v>
      </c>
      <c r="D478" s="7">
        <v>1</v>
      </c>
      <c r="E478" s="7">
        <v>0</v>
      </c>
      <c r="F478" s="7">
        <v>0</v>
      </c>
      <c r="G478" s="7">
        <v>1</v>
      </c>
      <c r="H478" s="7">
        <v>0</v>
      </c>
      <c r="I478" s="7">
        <v>5</v>
      </c>
      <c r="J478" s="7">
        <v>1</v>
      </c>
      <c r="K478" s="7">
        <v>121</v>
      </c>
      <c r="L478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0</v>
      </c>
      <c r="E479" s="7">
        <v>0</v>
      </c>
      <c r="F479" s="7">
        <v>0</v>
      </c>
      <c r="G479" s="7">
        <v>2</v>
      </c>
      <c r="H479" s="7">
        <v>0</v>
      </c>
      <c r="I479" s="7">
        <v>66</v>
      </c>
      <c r="J479" s="7">
        <v>0</v>
      </c>
      <c r="K479" s="7">
        <v>192</v>
      </c>
      <c r="L479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148</v>
      </c>
      <c r="D480" s="7">
        <v>7</v>
      </c>
      <c r="E480" s="7">
        <v>0</v>
      </c>
      <c r="F480" s="7">
        <v>0</v>
      </c>
      <c r="G480" s="7">
        <v>1</v>
      </c>
      <c r="H480" s="7">
        <v>0</v>
      </c>
      <c r="I480" s="7">
        <v>10</v>
      </c>
      <c r="J480" s="7">
        <v>4</v>
      </c>
      <c r="K480" s="7">
        <v>170</v>
      </c>
      <c r="L480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0</v>
      </c>
      <c r="E481" s="7">
        <v>0</v>
      </c>
      <c r="F481" s="7">
        <v>0</v>
      </c>
      <c r="G481" s="7">
        <v>3</v>
      </c>
      <c r="H481" s="7">
        <v>0</v>
      </c>
      <c r="I481" s="7">
        <v>6</v>
      </c>
      <c r="J481" s="7">
        <v>0</v>
      </c>
      <c r="K481" s="7">
        <v>122</v>
      </c>
      <c r="L481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3</v>
      </c>
      <c r="E482" s="7">
        <v>0</v>
      </c>
      <c r="F482" s="7">
        <v>0</v>
      </c>
      <c r="G482" s="7">
        <v>0</v>
      </c>
      <c r="H482" s="7">
        <v>0</v>
      </c>
      <c r="I482" s="7">
        <v>126</v>
      </c>
      <c r="J482" s="7">
        <v>0</v>
      </c>
      <c r="K482" s="7">
        <v>165</v>
      </c>
      <c r="L482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35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164</v>
      </c>
      <c r="J483" s="7">
        <v>0</v>
      </c>
      <c r="K483" s="7">
        <v>199</v>
      </c>
      <c r="L483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28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101</v>
      </c>
      <c r="J484" s="7">
        <v>1</v>
      </c>
      <c r="K484" s="7">
        <v>130</v>
      </c>
      <c r="L484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60</v>
      </c>
      <c r="J485" s="7">
        <v>0</v>
      </c>
      <c r="K485" s="7">
        <v>116</v>
      </c>
      <c r="L485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50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0</v>
      </c>
      <c r="K486" s="7">
        <v>51</v>
      </c>
      <c r="L486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25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92</v>
      </c>
      <c r="J487" s="7">
        <v>0</v>
      </c>
      <c r="K487" s="7">
        <v>117</v>
      </c>
      <c r="L48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79</v>
      </c>
      <c r="J488" s="7">
        <v>0</v>
      </c>
      <c r="K488" s="7">
        <v>125</v>
      </c>
      <c r="L488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51</v>
      </c>
      <c r="J490" s="7">
        <v>0</v>
      </c>
      <c r="K490" s="7">
        <v>101</v>
      </c>
      <c r="L490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74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48</v>
      </c>
      <c r="J491" s="7">
        <v>1</v>
      </c>
      <c r="K491" s="7">
        <v>126</v>
      </c>
      <c r="L491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166</v>
      </c>
      <c r="J492" s="7">
        <v>0</v>
      </c>
      <c r="K492" s="7">
        <v>189</v>
      </c>
      <c r="L492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151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</v>
      </c>
      <c r="J493" s="7">
        <v>0</v>
      </c>
      <c r="K493" s="7">
        <v>163</v>
      </c>
      <c r="L493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147</v>
      </c>
      <c r="J494" s="7">
        <v>0</v>
      </c>
      <c r="K494" s="7">
        <v>187</v>
      </c>
      <c r="L494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192</v>
      </c>
      <c r="D495" s="7">
        <v>0</v>
      </c>
      <c r="E495" s="7">
        <v>0</v>
      </c>
      <c r="F495" s="7">
        <v>0</v>
      </c>
      <c r="G495" s="7">
        <v>0</v>
      </c>
      <c r="H495" s="7">
        <v>0</v>
      </c>
      <c r="I495" s="7">
        <v>26</v>
      </c>
      <c r="J495" s="7">
        <v>0</v>
      </c>
      <c r="K495" s="7">
        <v>218</v>
      </c>
      <c r="L495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132</v>
      </c>
      <c r="D496" s="7">
        <v>0</v>
      </c>
      <c r="E496" s="7">
        <v>0</v>
      </c>
      <c r="F496" s="7">
        <v>0</v>
      </c>
      <c r="G496" s="7">
        <v>3</v>
      </c>
      <c r="H496" s="7">
        <v>0</v>
      </c>
      <c r="I496" s="7">
        <v>0</v>
      </c>
      <c r="J496" s="7">
        <v>0</v>
      </c>
      <c r="K496" s="7">
        <v>135</v>
      </c>
      <c r="L496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144</v>
      </c>
      <c r="D497" s="7">
        <v>0</v>
      </c>
      <c r="E497" s="7">
        <v>0</v>
      </c>
      <c r="F497" s="7">
        <v>0</v>
      </c>
      <c r="G497" s="7">
        <v>1</v>
      </c>
      <c r="H497" s="7">
        <v>0</v>
      </c>
      <c r="I497" s="7">
        <v>0</v>
      </c>
      <c r="J497" s="7">
        <v>0</v>
      </c>
      <c r="K497" s="7">
        <v>145</v>
      </c>
      <c r="L49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123</v>
      </c>
      <c r="D498" s="7">
        <v>0</v>
      </c>
      <c r="E498" s="7">
        <v>0</v>
      </c>
      <c r="F498" s="7">
        <v>0</v>
      </c>
      <c r="G498" s="7">
        <v>1</v>
      </c>
      <c r="H498" s="7">
        <v>0</v>
      </c>
      <c r="I498" s="7">
        <v>0</v>
      </c>
      <c r="J498" s="7">
        <v>0</v>
      </c>
      <c r="K498" s="7">
        <v>124</v>
      </c>
      <c r="L498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94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1</v>
      </c>
      <c r="J499" s="7">
        <v>4</v>
      </c>
      <c r="K499" s="7">
        <v>99</v>
      </c>
      <c r="L499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289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289</v>
      </c>
      <c r="L500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225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0</v>
      </c>
      <c r="J501" s="7">
        <v>0</v>
      </c>
      <c r="K501" s="7">
        <v>226</v>
      </c>
      <c r="L501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124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0</v>
      </c>
      <c r="J502" s="7">
        <v>51</v>
      </c>
      <c r="K502" s="7">
        <v>177</v>
      </c>
      <c r="L502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129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2</v>
      </c>
      <c r="K503" s="7">
        <v>131</v>
      </c>
      <c r="L503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97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1</v>
      </c>
      <c r="J504" s="7">
        <v>4</v>
      </c>
      <c r="K504" s="7">
        <v>104</v>
      </c>
      <c r="L504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170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1</v>
      </c>
      <c r="J505" s="7">
        <v>42</v>
      </c>
      <c r="K505" s="7">
        <v>213</v>
      </c>
      <c r="L505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57</v>
      </c>
      <c r="D506" s="7">
        <v>1</v>
      </c>
      <c r="E506" s="7">
        <v>0</v>
      </c>
      <c r="F506" s="7">
        <v>0</v>
      </c>
      <c r="G506" s="7">
        <v>0</v>
      </c>
      <c r="H506" s="7">
        <v>0</v>
      </c>
      <c r="I506" s="7">
        <v>79</v>
      </c>
      <c r="J506" s="7">
        <v>10</v>
      </c>
      <c r="K506" s="7">
        <v>147</v>
      </c>
      <c r="L506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119</v>
      </c>
      <c r="D507" s="7">
        <v>13</v>
      </c>
      <c r="E507" s="7">
        <v>0</v>
      </c>
      <c r="F507" s="7">
        <v>2</v>
      </c>
      <c r="G507" s="7">
        <v>2</v>
      </c>
      <c r="H507" s="7">
        <v>0</v>
      </c>
      <c r="I507" s="7">
        <v>42</v>
      </c>
      <c r="J507" s="7">
        <v>28</v>
      </c>
      <c r="K507" s="7">
        <v>206</v>
      </c>
      <c r="L50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71</v>
      </c>
      <c r="D508" s="7">
        <v>5</v>
      </c>
      <c r="E508" s="7">
        <v>0</v>
      </c>
      <c r="F508" s="7">
        <v>0</v>
      </c>
      <c r="G508" s="7">
        <v>0</v>
      </c>
      <c r="H508" s="7">
        <v>0</v>
      </c>
      <c r="I508" s="7">
        <v>50</v>
      </c>
      <c r="J508" s="7">
        <v>1</v>
      </c>
      <c r="K508" s="7">
        <v>127</v>
      </c>
      <c r="L508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68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29</v>
      </c>
      <c r="J509" s="7">
        <v>0</v>
      </c>
      <c r="K509" s="7">
        <v>103</v>
      </c>
      <c r="L509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78</v>
      </c>
      <c r="D510" s="7">
        <v>5</v>
      </c>
      <c r="E510" s="7">
        <v>0</v>
      </c>
      <c r="F510" s="7">
        <v>0</v>
      </c>
      <c r="G510" s="7">
        <v>0</v>
      </c>
      <c r="H510" s="7">
        <v>0</v>
      </c>
      <c r="I510" s="7">
        <v>8</v>
      </c>
      <c r="J510" s="7">
        <v>23</v>
      </c>
      <c r="K510" s="7">
        <v>114</v>
      </c>
      <c r="L510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155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4</v>
      </c>
      <c r="J511" s="7">
        <v>1</v>
      </c>
      <c r="K511" s="7">
        <v>160</v>
      </c>
      <c r="L511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144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0</v>
      </c>
      <c r="J512" s="7">
        <v>0</v>
      </c>
      <c r="K512" s="7">
        <v>146</v>
      </c>
      <c r="L512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75</v>
      </c>
      <c r="D513" s="7">
        <v>10</v>
      </c>
      <c r="E513" s="7">
        <v>0</v>
      </c>
      <c r="F513" s="7">
        <v>0</v>
      </c>
      <c r="G513" s="7">
        <v>0</v>
      </c>
      <c r="H513" s="7">
        <v>0</v>
      </c>
      <c r="I513" s="7">
        <v>9</v>
      </c>
      <c r="J513" s="7">
        <v>8</v>
      </c>
      <c r="K513" s="7">
        <v>102</v>
      </c>
      <c r="L513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127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0</v>
      </c>
      <c r="J514" s="7">
        <v>3</v>
      </c>
      <c r="K514" s="7">
        <v>131</v>
      </c>
      <c r="L514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119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122</v>
      </c>
      <c r="L515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  <c r="L51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  <c r="L518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68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0</v>
      </c>
      <c r="J520" s="7">
        <v>0</v>
      </c>
      <c r="K520" s="7">
        <v>68</v>
      </c>
      <c r="L520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90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90</v>
      </c>
      <c r="L521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89</v>
      </c>
      <c r="L522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  <c r="L523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106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106</v>
      </c>
      <c r="L524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71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0</v>
      </c>
      <c r="J525" s="7">
        <v>0</v>
      </c>
      <c r="K525" s="7">
        <v>71</v>
      </c>
      <c r="L525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128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0</v>
      </c>
      <c r="K526" s="7">
        <v>128</v>
      </c>
      <c r="L526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  <c r="L52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81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81</v>
      </c>
      <c r="L528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126</v>
      </c>
      <c r="D529" s="7">
        <v>0</v>
      </c>
      <c r="E529" s="7">
        <v>0</v>
      </c>
      <c r="F529" s="7">
        <v>0</v>
      </c>
      <c r="G529" s="7">
        <v>1</v>
      </c>
      <c r="H529" s="7">
        <v>0</v>
      </c>
      <c r="I529" s="7">
        <v>0</v>
      </c>
      <c r="J529" s="7">
        <v>0</v>
      </c>
      <c r="K529" s="7">
        <v>127</v>
      </c>
      <c r="L529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107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0</v>
      </c>
      <c r="J530" s="7">
        <v>0</v>
      </c>
      <c r="K530" s="7">
        <v>108</v>
      </c>
      <c r="L530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124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124</v>
      </c>
      <c r="L533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78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78</v>
      </c>
      <c r="L534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64</v>
      </c>
      <c r="L535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121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0</v>
      </c>
      <c r="K536" s="7">
        <v>121</v>
      </c>
      <c r="L536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79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79</v>
      </c>
      <c r="L53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81</v>
      </c>
      <c r="D541" s="7">
        <v>0</v>
      </c>
      <c r="E541" s="7">
        <v>0</v>
      </c>
      <c r="F541" s="7">
        <v>0</v>
      </c>
      <c r="G541" s="7">
        <v>1</v>
      </c>
      <c r="H541" s="7">
        <v>0</v>
      </c>
      <c r="I541" s="7">
        <v>0</v>
      </c>
      <c r="J541" s="7">
        <v>0</v>
      </c>
      <c r="K541" s="7">
        <v>82</v>
      </c>
      <c r="L541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93</v>
      </c>
      <c r="L543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86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0</v>
      </c>
      <c r="K545" s="7">
        <v>86</v>
      </c>
      <c r="L545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61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61</v>
      </c>
      <c r="L546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122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122</v>
      </c>
      <c r="L548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97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97</v>
      </c>
      <c r="L549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100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0</v>
      </c>
      <c r="J550" s="7">
        <v>0</v>
      </c>
      <c r="K550" s="7">
        <v>100</v>
      </c>
      <c r="L550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100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0</v>
      </c>
      <c r="K551" s="7">
        <v>100</v>
      </c>
      <c r="L551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56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56</v>
      </c>
      <c r="L552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47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47</v>
      </c>
      <c r="L553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43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43</v>
      </c>
      <c r="L554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68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0</v>
      </c>
      <c r="K555" s="7">
        <v>69</v>
      </c>
      <c r="L555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71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71</v>
      </c>
      <c r="L556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71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71</v>
      </c>
      <c r="L55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62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62</v>
      </c>
      <c r="L558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147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0</v>
      </c>
      <c r="J559" s="7">
        <v>0</v>
      </c>
      <c r="K559" s="7">
        <v>147</v>
      </c>
      <c r="L559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  <c r="L560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92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92</v>
      </c>
      <c r="L561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89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0</v>
      </c>
      <c r="J562" s="7">
        <v>0</v>
      </c>
      <c r="K562" s="7">
        <v>91</v>
      </c>
      <c r="L562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75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0</v>
      </c>
      <c r="J563" s="7">
        <v>0</v>
      </c>
      <c r="K563" s="7">
        <v>76</v>
      </c>
      <c r="L563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44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0</v>
      </c>
      <c r="J564" s="7">
        <v>0</v>
      </c>
      <c r="K564" s="7">
        <v>45</v>
      </c>
      <c r="L564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64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0</v>
      </c>
      <c r="K565" s="7">
        <v>64</v>
      </c>
      <c r="L565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84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0</v>
      </c>
      <c r="J566" s="7">
        <v>0</v>
      </c>
      <c r="K566" s="7">
        <v>85</v>
      </c>
      <c r="L566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60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0</v>
      </c>
      <c r="J567" s="7">
        <v>0</v>
      </c>
      <c r="K567" s="7">
        <v>61</v>
      </c>
      <c r="L56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65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0</v>
      </c>
      <c r="J568" s="7">
        <v>0</v>
      </c>
      <c r="K568" s="7">
        <v>65</v>
      </c>
      <c r="L568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89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0</v>
      </c>
      <c r="K569" s="7">
        <v>89</v>
      </c>
      <c r="L569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54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54</v>
      </c>
      <c r="L570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46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46</v>
      </c>
      <c r="L571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42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0</v>
      </c>
      <c r="J572" s="7">
        <v>0</v>
      </c>
      <c r="K572" s="7">
        <v>43</v>
      </c>
      <c r="L572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95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95</v>
      </c>
      <c r="L573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63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0</v>
      </c>
      <c r="J574" s="7">
        <v>0</v>
      </c>
      <c r="K574" s="7">
        <v>63</v>
      </c>
      <c r="L574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42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0</v>
      </c>
      <c r="K575" s="7">
        <v>42</v>
      </c>
      <c r="L575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  <c r="L578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113</v>
      </c>
      <c r="D579" s="7">
        <v>0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0</v>
      </c>
      <c r="K579" s="7">
        <v>115</v>
      </c>
      <c r="L579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76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76</v>
      </c>
      <c r="L581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72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1</v>
      </c>
      <c r="K582" s="7">
        <v>73</v>
      </c>
      <c r="L582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71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5</v>
      </c>
      <c r="K583" s="7">
        <v>76</v>
      </c>
      <c r="L583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73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2</v>
      </c>
      <c r="K584" s="7">
        <v>75</v>
      </c>
      <c r="L584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54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0</v>
      </c>
      <c r="J585" s="7">
        <v>0</v>
      </c>
      <c r="K585" s="7">
        <v>55</v>
      </c>
      <c r="L585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60</v>
      </c>
      <c r="D586" s="7">
        <v>0</v>
      </c>
      <c r="E586" s="7">
        <v>0</v>
      </c>
      <c r="F586" s="7">
        <v>0</v>
      </c>
      <c r="G586" s="7">
        <v>1</v>
      </c>
      <c r="H586" s="7">
        <v>0</v>
      </c>
      <c r="I586" s="7">
        <v>0</v>
      </c>
      <c r="J586" s="7">
        <v>1</v>
      </c>
      <c r="K586" s="7">
        <v>62</v>
      </c>
      <c r="L586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57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57</v>
      </c>
      <c r="L58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  <c r="L589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55</v>
      </c>
      <c r="L592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54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2</v>
      </c>
      <c r="K593" s="7">
        <v>56</v>
      </c>
      <c r="L593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58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1</v>
      </c>
      <c r="K594" s="7">
        <v>59</v>
      </c>
      <c r="L594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0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47</v>
      </c>
      <c r="L595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56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0</v>
      </c>
      <c r="K596" s="7">
        <v>56</v>
      </c>
      <c r="L596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116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116</v>
      </c>
      <c r="L59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61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61</v>
      </c>
      <c r="L598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72</v>
      </c>
      <c r="D599" s="7">
        <v>0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73</v>
      </c>
      <c r="L599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56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56</v>
      </c>
      <c r="L600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50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50</v>
      </c>
      <c r="L601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43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44</v>
      </c>
      <c r="L602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50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51</v>
      </c>
      <c r="L603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30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30</v>
      </c>
      <c r="L604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49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51</v>
      </c>
      <c r="L606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58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58</v>
      </c>
      <c r="L608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44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45</v>
      </c>
      <c r="L609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  <c r="L610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76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76</v>
      </c>
      <c r="L616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77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79</v>
      </c>
      <c r="L618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81</v>
      </c>
      <c r="D619" s="7">
        <v>2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83</v>
      </c>
      <c r="L619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53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54</v>
      </c>
      <c r="L621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64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64</v>
      </c>
      <c r="L622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106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106</v>
      </c>
      <c r="L623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50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50</v>
      </c>
      <c r="L624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127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127</v>
      </c>
      <c r="L625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83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83</v>
      </c>
      <c r="L626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50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51</v>
      </c>
      <c r="L62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64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64</v>
      </c>
      <c r="L628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68</v>
      </c>
      <c r="D629" s="7">
        <v>0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73</v>
      </c>
      <c r="L629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45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48</v>
      </c>
      <c r="L630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48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48</v>
      </c>
      <c r="L632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41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41</v>
      </c>
      <c r="L633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51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51</v>
      </c>
      <c r="L634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43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1</v>
      </c>
      <c r="J635" s="7">
        <v>0</v>
      </c>
      <c r="K635" s="7">
        <v>44</v>
      </c>
      <c r="L635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67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0</v>
      </c>
      <c r="K636" s="7">
        <v>67</v>
      </c>
      <c r="L636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166</v>
      </c>
      <c r="D637" s="7">
        <v>3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97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97</v>
      </c>
      <c r="L638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64</v>
      </c>
      <c r="D640" s="7">
        <v>0</v>
      </c>
      <c r="E640" s="7">
        <v>0</v>
      </c>
      <c r="F640" s="7">
        <v>0</v>
      </c>
      <c r="G640" s="7">
        <v>1</v>
      </c>
      <c r="H640" s="7">
        <v>0</v>
      </c>
      <c r="I640" s="7">
        <v>0</v>
      </c>
      <c r="J640" s="7">
        <v>0</v>
      </c>
      <c r="K640" s="7">
        <v>65</v>
      </c>
      <c r="L640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56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58</v>
      </c>
      <c r="L641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120</v>
      </c>
      <c r="D642" s="7">
        <v>1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0</v>
      </c>
      <c r="K642" s="7">
        <v>122</v>
      </c>
      <c r="L642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82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82</v>
      </c>
      <c r="L643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87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88</v>
      </c>
      <c r="L644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110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111</v>
      </c>
      <c r="L645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100</v>
      </c>
      <c r="D646" s="7">
        <v>0</v>
      </c>
      <c r="E646" s="7">
        <v>0</v>
      </c>
      <c r="F646" s="7">
        <v>0</v>
      </c>
      <c r="G646" s="7">
        <v>3</v>
      </c>
      <c r="H646" s="7">
        <v>0</v>
      </c>
      <c r="I646" s="7">
        <v>0</v>
      </c>
      <c r="J646" s="7">
        <v>0</v>
      </c>
      <c r="K646" s="7">
        <v>103</v>
      </c>
      <c r="L646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126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126</v>
      </c>
      <c r="L64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135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135</v>
      </c>
      <c r="L648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82</v>
      </c>
      <c r="D649" s="7">
        <v>0</v>
      </c>
      <c r="E649" s="7">
        <v>0</v>
      </c>
      <c r="F649" s="7">
        <v>0</v>
      </c>
      <c r="G649" s="7">
        <v>0</v>
      </c>
      <c r="H649" s="7">
        <v>0</v>
      </c>
      <c r="I649" s="7">
        <v>0</v>
      </c>
      <c r="J649" s="7">
        <v>0</v>
      </c>
      <c r="K649" s="7">
        <v>82</v>
      </c>
      <c r="L649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60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0</v>
      </c>
      <c r="J650" s="7">
        <v>0</v>
      </c>
      <c r="K650" s="7">
        <v>61</v>
      </c>
      <c r="L650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56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0</v>
      </c>
      <c r="J651" s="7">
        <v>0</v>
      </c>
      <c r="K651" s="7">
        <v>57</v>
      </c>
      <c r="L651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79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79</v>
      </c>
      <c r="L652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64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64</v>
      </c>
      <c r="L653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58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0</v>
      </c>
      <c r="J654" s="7">
        <v>0</v>
      </c>
      <c r="K654" s="7">
        <v>58</v>
      </c>
      <c r="L654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49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0</v>
      </c>
      <c r="K655" s="7">
        <v>49</v>
      </c>
      <c r="L655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55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0</v>
      </c>
      <c r="J656" s="7">
        <v>0</v>
      </c>
      <c r="K656" s="7">
        <v>61</v>
      </c>
      <c r="L656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130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23</v>
      </c>
      <c r="J657" s="7">
        <v>0</v>
      </c>
      <c r="K657" s="7">
        <v>153</v>
      </c>
      <c r="L65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57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57</v>
      </c>
      <c r="L658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218</v>
      </c>
      <c r="D659" s="7">
        <v>0</v>
      </c>
      <c r="E659" s="7">
        <v>0</v>
      </c>
      <c r="F659" s="7">
        <v>0</v>
      </c>
      <c r="G659" s="7">
        <v>0</v>
      </c>
      <c r="H659" s="7">
        <v>0</v>
      </c>
      <c r="I659" s="7">
        <v>0</v>
      </c>
      <c r="J659" s="7">
        <v>0</v>
      </c>
      <c r="K659" s="7">
        <v>218</v>
      </c>
      <c r="L659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90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  <c r="L660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42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42</v>
      </c>
      <c r="L661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78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78</v>
      </c>
      <c r="L662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97</v>
      </c>
      <c r="D663" s="7">
        <v>0</v>
      </c>
      <c r="E663" s="7">
        <v>0</v>
      </c>
      <c r="F663" s="7">
        <v>0</v>
      </c>
      <c r="G663" s="7">
        <v>1</v>
      </c>
      <c r="H663" s="7">
        <v>0</v>
      </c>
      <c r="I663" s="7">
        <v>0</v>
      </c>
      <c r="J663" s="7">
        <v>0</v>
      </c>
      <c r="K663" s="7">
        <v>98</v>
      </c>
      <c r="L663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91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56</v>
      </c>
      <c r="D667" s="7">
        <v>0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57</v>
      </c>
      <c r="L66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44</v>
      </c>
      <c r="D668" s="7">
        <v>0</v>
      </c>
      <c r="E668" s="7">
        <v>0</v>
      </c>
      <c r="F668" s="7">
        <v>0</v>
      </c>
      <c r="G668" s="7">
        <v>1</v>
      </c>
      <c r="H668" s="7">
        <v>0</v>
      </c>
      <c r="I668" s="7">
        <v>0</v>
      </c>
      <c r="J668" s="7">
        <v>0</v>
      </c>
      <c r="K668" s="7">
        <v>45</v>
      </c>
      <c r="L668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47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47</v>
      </c>
      <c r="L669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94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94</v>
      </c>
      <c r="L670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75</v>
      </c>
      <c r="D671" s="7">
        <v>0</v>
      </c>
      <c r="E671" s="7">
        <v>0</v>
      </c>
      <c r="F671" s="7">
        <v>0</v>
      </c>
      <c r="G671" s="7">
        <v>0</v>
      </c>
      <c r="H671" s="7">
        <v>0</v>
      </c>
      <c r="I671" s="7">
        <v>0</v>
      </c>
      <c r="J671" s="7">
        <v>0</v>
      </c>
      <c r="K671" s="7">
        <v>75</v>
      </c>
      <c r="L671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102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0</v>
      </c>
      <c r="K672" s="7">
        <v>102</v>
      </c>
      <c r="L672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99</v>
      </c>
      <c r="D673" s="7">
        <v>2</v>
      </c>
      <c r="E673" s="7">
        <v>0</v>
      </c>
      <c r="F673" s="7">
        <v>0</v>
      </c>
      <c r="G673" s="7">
        <v>1</v>
      </c>
      <c r="H673" s="7">
        <v>0</v>
      </c>
      <c r="I673" s="7">
        <v>1</v>
      </c>
      <c r="J673" s="7">
        <v>0</v>
      </c>
      <c r="K673" s="7">
        <v>103</v>
      </c>
      <c r="L673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105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105</v>
      </c>
      <c r="L674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77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77</v>
      </c>
      <c r="L679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54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56</v>
      </c>
      <c r="L680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  <c r="L682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54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54</v>
      </c>
      <c r="L683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149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0</v>
      </c>
      <c r="K684" s="7">
        <v>152</v>
      </c>
      <c r="L684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31</v>
      </c>
      <c r="D686" s="7">
        <v>4</v>
      </c>
      <c r="E686" s="7">
        <v>0</v>
      </c>
      <c r="F686" s="7">
        <v>0</v>
      </c>
      <c r="G686" s="7">
        <v>0</v>
      </c>
      <c r="H686" s="7">
        <v>0</v>
      </c>
      <c r="I686" s="7">
        <v>108</v>
      </c>
      <c r="J686" s="7">
        <v>0</v>
      </c>
      <c r="K686" s="7">
        <v>143</v>
      </c>
      <c r="L686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7</v>
      </c>
      <c r="D687" s="7">
        <v>25</v>
      </c>
      <c r="E687" s="7">
        <v>0</v>
      </c>
      <c r="F687" s="7">
        <v>0</v>
      </c>
      <c r="G687" s="7">
        <v>0</v>
      </c>
      <c r="H687" s="7">
        <v>0</v>
      </c>
      <c r="I687" s="7">
        <v>45</v>
      </c>
      <c r="J687" s="7">
        <v>2</v>
      </c>
      <c r="K687" s="7">
        <v>79</v>
      </c>
      <c r="L68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57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1</v>
      </c>
      <c r="J688" s="7">
        <v>0</v>
      </c>
      <c r="K688" s="7">
        <v>60</v>
      </c>
      <c r="L688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37</v>
      </c>
      <c r="J689" s="7">
        <v>0</v>
      </c>
      <c r="K689" s="7">
        <v>47</v>
      </c>
      <c r="L689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13</v>
      </c>
      <c r="E690" s="7">
        <v>0</v>
      </c>
      <c r="F690" s="7">
        <v>4</v>
      </c>
      <c r="G690" s="7">
        <v>0</v>
      </c>
      <c r="H690" s="7">
        <v>0</v>
      </c>
      <c r="I690" s="7">
        <v>49</v>
      </c>
      <c r="J690" s="7">
        <v>0</v>
      </c>
      <c r="K690" s="7">
        <v>72</v>
      </c>
      <c r="L690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16</v>
      </c>
      <c r="D692" s="7">
        <v>4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7</v>
      </c>
      <c r="K692" s="7">
        <v>27</v>
      </c>
      <c r="L692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52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52</v>
      </c>
      <c r="L693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1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1</v>
      </c>
      <c r="L694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96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96</v>
      </c>
      <c r="L695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84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61</v>
      </c>
      <c r="J696" s="7">
        <v>0</v>
      </c>
      <c r="K696" s="7">
        <v>145</v>
      </c>
      <c r="L696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88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0</v>
      </c>
      <c r="J697" s="7">
        <v>0</v>
      </c>
      <c r="K697" s="7">
        <v>91</v>
      </c>
      <c r="L69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71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1</v>
      </c>
      <c r="J698" s="7">
        <v>0</v>
      </c>
      <c r="K698" s="7">
        <v>72</v>
      </c>
      <c r="L698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98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7</v>
      </c>
      <c r="J699" s="7">
        <v>1</v>
      </c>
      <c r="K699" s="7">
        <v>106</v>
      </c>
      <c r="L699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119</v>
      </c>
      <c r="D700" s="7">
        <v>2</v>
      </c>
      <c r="E700" s="7">
        <v>0</v>
      </c>
      <c r="F700" s="7">
        <v>1</v>
      </c>
      <c r="G700" s="7">
        <v>0</v>
      </c>
      <c r="H700" s="7">
        <v>0</v>
      </c>
      <c r="I700" s="7">
        <v>0</v>
      </c>
      <c r="J700" s="7">
        <v>2</v>
      </c>
      <c r="K700" s="7">
        <v>124</v>
      </c>
      <c r="L700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114</v>
      </c>
      <c r="D701" s="7">
        <v>0</v>
      </c>
      <c r="E701" s="7">
        <v>0</v>
      </c>
      <c r="F701" s="7">
        <v>0</v>
      </c>
      <c r="G701" s="7">
        <v>3</v>
      </c>
      <c r="H701" s="7">
        <v>0</v>
      </c>
      <c r="I701" s="7">
        <v>0</v>
      </c>
      <c r="J701" s="7">
        <v>0</v>
      </c>
      <c r="K701" s="7">
        <v>117</v>
      </c>
      <c r="L701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116</v>
      </c>
      <c r="D702" s="7">
        <v>1</v>
      </c>
      <c r="E702" s="7">
        <v>0</v>
      </c>
      <c r="F702" s="7">
        <v>0</v>
      </c>
      <c r="G702" s="7">
        <v>0</v>
      </c>
      <c r="H702" s="7">
        <v>0</v>
      </c>
      <c r="I702" s="7">
        <v>2</v>
      </c>
      <c r="J702" s="7">
        <v>1</v>
      </c>
      <c r="K702" s="7">
        <v>120</v>
      </c>
      <c r="L702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104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1</v>
      </c>
      <c r="K703" s="7">
        <v>105</v>
      </c>
      <c r="L703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102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102</v>
      </c>
      <c r="L704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68</v>
      </c>
      <c r="D705" s="7">
        <v>1</v>
      </c>
      <c r="E705" s="7">
        <v>0</v>
      </c>
      <c r="F705" s="7">
        <v>0</v>
      </c>
      <c r="G705" s="7">
        <v>2</v>
      </c>
      <c r="H705" s="7">
        <v>0</v>
      </c>
      <c r="I705" s="7">
        <v>17</v>
      </c>
      <c r="J705" s="7">
        <v>1</v>
      </c>
      <c r="K705" s="7">
        <v>89</v>
      </c>
      <c r="L705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29</v>
      </c>
      <c r="D706" s="7">
        <v>2</v>
      </c>
      <c r="E706" s="7">
        <v>0</v>
      </c>
      <c r="F706" s="7">
        <v>0</v>
      </c>
      <c r="G706" s="7">
        <v>0</v>
      </c>
      <c r="H706" s="7">
        <v>0</v>
      </c>
      <c r="I706" s="7">
        <v>46</v>
      </c>
      <c r="J706" s="7">
        <v>0</v>
      </c>
      <c r="K706" s="7">
        <v>77</v>
      </c>
      <c r="L706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62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64</v>
      </c>
      <c r="J707" s="7">
        <v>0</v>
      </c>
      <c r="K707" s="7">
        <v>126</v>
      </c>
      <c r="L70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65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1</v>
      </c>
      <c r="K708" s="7">
        <v>66</v>
      </c>
      <c r="L708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61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1</v>
      </c>
      <c r="J709" s="7">
        <v>4</v>
      </c>
      <c r="K709" s="7">
        <v>66</v>
      </c>
      <c r="L709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80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0</v>
      </c>
      <c r="J710" s="7">
        <v>0</v>
      </c>
      <c r="K710" s="7">
        <v>81</v>
      </c>
      <c r="L710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74</v>
      </c>
      <c r="D711" s="7">
        <v>0</v>
      </c>
      <c r="E711" s="7">
        <v>0</v>
      </c>
      <c r="F711" s="7">
        <v>0</v>
      </c>
      <c r="G711" s="7">
        <v>0</v>
      </c>
      <c r="H711" s="7">
        <v>0</v>
      </c>
      <c r="I711" s="7">
        <v>0</v>
      </c>
      <c r="J711" s="7">
        <v>0</v>
      </c>
      <c r="K711" s="7">
        <v>74</v>
      </c>
      <c r="L711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81</v>
      </c>
      <c r="D712" s="7">
        <v>1</v>
      </c>
      <c r="E712" s="7">
        <v>0</v>
      </c>
      <c r="F712" s="7">
        <v>0</v>
      </c>
      <c r="G712" s="7">
        <v>2</v>
      </c>
      <c r="H712" s="7">
        <v>0</v>
      </c>
      <c r="I712" s="7">
        <v>0</v>
      </c>
      <c r="J712" s="7">
        <v>0</v>
      </c>
      <c r="K712" s="7">
        <v>84</v>
      </c>
      <c r="L712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22</v>
      </c>
      <c r="D713" s="7">
        <v>1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1</v>
      </c>
      <c r="K713" s="7">
        <v>54</v>
      </c>
      <c r="L713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159</v>
      </c>
      <c r="J714" s="7">
        <v>0</v>
      </c>
      <c r="K714" s="7">
        <v>186</v>
      </c>
      <c r="L714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79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0</v>
      </c>
      <c r="J715" s="7">
        <v>0</v>
      </c>
      <c r="K715" s="7">
        <v>88</v>
      </c>
      <c r="L715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27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26</v>
      </c>
      <c r="J716" s="7">
        <v>0</v>
      </c>
      <c r="K716" s="7">
        <v>53</v>
      </c>
      <c r="L716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36</v>
      </c>
      <c r="E717" s="7">
        <v>0</v>
      </c>
      <c r="F717" s="7">
        <v>19</v>
      </c>
      <c r="G717" s="7">
        <v>0</v>
      </c>
      <c r="H717" s="7">
        <v>0</v>
      </c>
      <c r="I717" s="7">
        <v>5</v>
      </c>
      <c r="J717" s="7">
        <v>4</v>
      </c>
      <c r="K717" s="7">
        <v>79</v>
      </c>
      <c r="L71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22</v>
      </c>
      <c r="E718" s="7">
        <v>0</v>
      </c>
      <c r="F718" s="7">
        <v>8</v>
      </c>
      <c r="G718" s="7">
        <v>0</v>
      </c>
      <c r="H718" s="7">
        <v>0</v>
      </c>
      <c r="I718" s="7">
        <v>55</v>
      </c>
      <c r="J718" s="7">
        <v>0</v>
      </c>
      <c r="K718" s="7">
        <v>87</v>
      </c>
      <c r="L718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106</v>
      </c>
      <c r="D719" s="7">
        <v>4</v>
      </c>
      <c r="E719" s="7">
        <v>0</v>
      </c>
      <c r="F719" s="7">
        <v>0</v>
      </c>
      <c r="G719" s="7">
        <v>0</v>
      </c>
      <c r="H719" s="7">
        <v>0</v>
      </c>
      <c r="I719" s="7">
        <v>6</v>
      </c>
      <c r="J719" s="7">
        <v>0</v>
      </c>
      <c r="K719" s="7">
        <v>116</v>
      </c>
      <c r="L719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37</v>
      </c>
      <c r="D720" s="7">
        <v>8</v>
      </c>
      <c r="E720" s="7">
        <v>0</v>
      </c>
      <c r="F720" s="7">
        <v>0</v>
      </c>
      <c r="G720" s="7">
        <v>0</v>
      </c>
      <c r="H720" s="7">
        <v>0</v>
      </c>
      <c r="I720" s="7">
        <v>16</v>
      </c>
      <c r="J720" s="7">
        <v>0</v>
      </c>
      <c r="K720" s="7">
        <v>61</v>
      </c>
      <c r="L720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41</v>
      </c>
      <c r="D721" s="7">
        <v>13</v>
      </c>
      <c r="E721" s="7">
        <v>0</v>
      </c>
      <c r="F721" s="7">
        <v>0</v>
      </c>
      <c r="G721" s="7">
        <v>1</v>
      </c>
      <c r="H721" s="7">
        <v>0</v>
      </c>
      <c r="I721" s="7">
        <v>11</v>
      </c>
      <c r="J721" s="7">
        <v>0</v>
      </c>
      <c r="K721" s="7">
        <v>66</v>
      </c>
      <c r="L721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45</v>
      </c>
      <c r="E722" s="7">
        <v>0</v>
      </c>
      <c r="F722" s="7">
        <v>0</v>
      </c>
      <c r="G722" s="7">
        <v>0</v>
      </c>
      <c r="H722" s="7">
        <v>0</v>
      </c>
      <c r="I722" s="7">
        <v>20</v>
      </c>
      <c r="J722" s="7">
        <v>2</v>
      </c>
      <c r="K722" s="7">
        <v>72</v>
      </c>
      <c r="L722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93</v>
      </c>
      <c r="D723" s="7">
        <v>19</v>
      </c>
      <c r="E723" s="7">
        <v>0</v>
      </c>
      <c r="F723" s="7">
        <v>0</v>
      </c>
      <c r="G723" s="7">
        <v>0</v>
      </c>
      <c r="H723" s="7">
        <v>0</v>
      </c>
      <c r="I723" s="7">
        <v>44</v>
      </c>
      <c r="J723" s="7">
        <v>2</v>
      </c>
      <c r="K723" s="7">
        <v>158</v>
      </c>
      <c r="L723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78</v>
      </c>
      <c r="L724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59</v>
      </c>
      <c r="D725" s="7">
        <v>12</v>
      </c>
      <c r="E725" s="7">
        <v>0</v>
      </c>
      <c r="F725" s="7">
        <v>0</v>
      </c>
      <c r="G725" s="7">
        <v>1</v>
      </c>
      <c r="H725" s="7">
        <v>0</v>
      </c>
      <c r="I725" s="7">
        <v>3</v>
      </c>
      <c r="J725" s="7">
        <v>7</v>
      </c>
      <c r="K725" s="7">
        <v>82</v>
      </c>
      <c r="L725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138</v>
      </c>
      <c r="L726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85</v>
      </c>
      <c r="L72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147</v>
      </c>
      <c r="L728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111</v>
      </c>
      <c r="L729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87</v>
      </c>
      <c r="L730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60</v>
      </c>
      <c r="L731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99</v>
      </c>
      <c r="L732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67</v>
      </c>
      <c r="L733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142</v>
      </c>
      <c r="D734" s="7">
        <v>0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144</v>
      </c>
      <c r="L734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113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0</v>
      </c>
      <c r="J735" s="7">
        <v>0</v>
      </c>
      <c r="K735" s="7">
        <v>113</v>
      </c>
      <c r="L735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111</v>
      </c>
      <c r="D736" s="7">
        <v>0</v>
      </c>
      <c r="E736" s="7">
        <v>0</v>
      </c>
      <c r="F736" s="7">
        <v>0</v>
      </c>
      <c r="G736" s="7">
        <v>1</v>
      </c>
      <c r="H736" s="7">
        <v>0</v>
      </c>
      <c r="I736" s="7">
        <v>0</v>
      </c>
      <c r="J736" s="7">
        <v>0</v>
      </c>
      <c r="K736" s="7">
        <v>112</v>
      </c>
      <c r="L736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87</v>
      </c>
      <c r="D737" s="7">
        <v>0</v>
      </c>
      <c r="E737" s="7">
        <v>0</v>
      </c>
      <c r="F737" s="7">
        <v>0</v>
      </c>
      <c r="G737" s="7">
        <v>1</v>
      </c>
      <c r="H737" s="7">
        <v>0</v>
      </c>
      <c r="I737" s="7">
        <v>0</v>
      </c>
      <c r="J737" s="7">
        <v>0</v>
      </c>
      <c r="K737" s="7">
        <v>88</v>
      </c>
      <c r="L73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139</v>
      </c>
      <c r="D738" s="7">
        <v>0</v>
      </c>
      <c r="E738" s="7">
        <v>0</v>
      </c>
      <c r="F738" s="7">
        <v>0</v>
      </c>
      <c r="G738" s="7">
        <v>2</v>
      </c>
      <c r="H738" s="7">
        <v>0</v>
      </c>
      <c r="I738" s="7">
        <v>0</v>
      </c>
      <c r="J738" s="7">
        <v>0</v>
      </c>
      <c r="K738" s="7">
        <v>141</v>
      </c>
      <c r="L738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94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0</v>
      </c>
      <c r="K745" s="7">
        <v>94</v>
      </c>
      <c r="L745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72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0</v>
      </c>
      <c r="K746" s="7">
        <v>73</v>
      </c>
      <c r="L746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53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53</v>
      </c>
      <c r="L74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64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0</v>
      </c>
      <c r="J748" s="7">
        <v>0</v>
      </c>
      <c r="K748" s="7">
        <v>65</v>
      </c>
      <c r="L748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252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0</v>
      </c>
      <c r="K749" s="7">
        <v>252</v>
      </c>
      <c r="L749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35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37</v>
      </c>
      <c r="L750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  <c r="L752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97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0</v>
      </c>
      <c r="J754" s="7">
        <v>0</v>
      </c>
      <c r="K754" s="7">
        <v>98</v>
      </c>
      <c r="L754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217</v>
      </c>
      <c r="D756" s="7">
        <v>3</v>
      </c>
      <c r="E756" s="7">
        <v>0</v>
      </c>
      <c r="F756" s="7">
        <v>0</v>
      </c>
      <c r="G756" s="7">
        <v>4</v>
      </c>
      <c r="H756" s="7">
        <v>0</v>
      </c>
      <c r="I756" s="7">
        <v>0</v>
      </c>
      <c r="J756" s="7">
        <v>0</v>
      </c>
      <c r="K756" s="7">
        <v>224</v>
      </c>
      <c r="L756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108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14</v>
      </c>
      <c r="J757" s="7">
        <v>0</v>
      </c>
      <c r="K757" s="7">
        <v>122</v>
      </c>
      <c r="L75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149</v>
      </c>
      <c r="D758" s="7">
        <v>0</v>
      </c>
      <c r="E758" s="7">
        <v>0</v>
      </c>
      <c r="F758" s="7">
        <v>0</v>
      </c>
      <c r="G758" s="7">
        <v>1</v>
      </c>
      <c r="H758" s="7">
        <v>0</v>
      </c>
      <c r="I758" s="7">
        <v>0</v>
      </c>
      <c r="J758" s="7">
        <v>0</v>
      </c>
      <c r="K758" s="7">
        <v>150</v>
      </c>
      <c r="L758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272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18</v>
      </c>
      <c r="J759" s="7">
        <v>0</v>
      </c>
      <c r="K759" s="7">
        <v>290</v>
      </c>
      <c r="L759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103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103</v>
      </c>
      <c r="L760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171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171</v>
      </c>
      <c r="L761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66</v>
      </c>
      <c r="D762" s="7">
        <v>0</v>
      </c>
      <c r="E762" s="7">
        <v>0</v>
      </c>
      <c r="F762" s="7">
        <v>0</v>
      </c>
      <c r="G762" s="7">
        <v>0</v>
      </c>
      <c r="H762" s="7">
        <v>0</v>
      </c>
      <c r="I762" s="7">
        <v>0</v>
      </c>
      <c r="J762" s="7">
        <v>0</v>
      </c>
      <c r="K762" s="7">
        <v>66</v>
      </c>
      <c r="L762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47</v>
      </c>
      <c r="D763" s="7">
        <v>0</v>
      </c>
      <c r="E763" s="7">
        <v>0</v>
      </c>
      <c r="F763" s="7">
        <v>0</v>
      </c>
      <c r="G763" s="7">
        <v>1</v>
      </c>
      <c r="H763" s="7">
        <v>0</v>
      </c>
      <c r="I763" s="7">
        <v>0</v>
      </c>
      <c r="J763" s="7">
        <v>0</v>
      </c>
      <c r="K763" s="7">
        <v>48</v>
      </c>
      <c r="L763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58</v>
      </c>
      <c r="D764" s="7">
        <v>0</v>
      </c>
      <c r="E764" s="7">
        <v>0</v>
      </c>
      <c r="F764" s="7">
        <v>0</v>
      </c>
      <c r="G764" s="7">
        <v>6</v>
      </c>
      <c r="H764" s="7">
        <v>0</v>
      </c>
      <c r="I764" s="7">
        <v>0</v>
      </c>
      <c r="J764" s="7">
        <v>0</v>
      </c>
      <c r="K764" s="7">
        <v>64</v>
      </c>
      <c r="L764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61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61</v>
      </c>
      <c r="L765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43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43</v>
      </c>
      <c r="L766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68</v>
      </c>
      <c r="D767" s="7">
        <v>0</v>
      </c>
      <c r="E767" s="7">
        <v>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68</v>
      </c>
      <c r="L76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60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60</v>
      </c>
      <c r="L768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52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52</v>
      </c>
      <c r="L769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110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110</v>
      </c>
      <c r="L770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16</v>
      </c>
      <c r="E771" s="7">
        <v>0</v>
      </c>
      <c r="F771" s="7">
        <v>3</v>
      </c>
      <c r="G771" s="7">
        <v>8</v>
      </c>
      <c r="H771" s="7">
        <v>0</v>
      </c>
      <c r="I771" s="7">
        <v>17</v>
      </c>
      <c r="J771" s="7">
        <v>0</v>
      </c>
      <c r="K771" s="7">
        <v>83</v>
      </c>
      <c r="L771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7</v>
      </c>
      <c r="E772" s="7">
        <v>0</v>
      </c>
      <c r="F772" s="7">
        <v>0</v>
      </c>
      <c r="G772" s="7">
        <v>1</v>
      </c>
      <c r="H772" s="7">
        <v>0</v>
      </c>
      <c r="I772" s="7">
        <v>16</v>
      </c>
      <c r="J772" s="7">
        <v>16</v>
      </c>
      <c r="K772" s="7">
        <v>40</v>
      </c>
      <c r="L772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5</v>
      </c>
      <c r="E773" s="7">
        <v>0</v>
      </c>
      <c r="F773" s="7">
        <v>0</v>
      </c>
      <c r="G773" s="7">
        <v>0</v>
      </c>
      <c r="H773" s="7">
        <v>0</v>
      </c>
      <c r="I773" s="7">
        <v>9</v>
      </c>
      <c r="J773" s="7">
        <v>23</v>
      </c>
      <c r="K773" s="7">
        <v>37</v>
      </c>
      <c r="L773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133</v>
      </c>
      <c r="D774" s="7">
        <v>0</v>
      </c>
      <c r="E774" s="7">
        <v>0</v>
      </c>
      <c r="F774" s="7">
        <v>0</v>
      </c>
      <c r="G774" s="7">
        <v>2</v>
      </c>
      <c r="H774" s="7">
        <v>0</v>
      </c>
      <c r="I774" s="7">
        <v>0</v>
      </c>
      <c r="J774" s="7">
        <v>0</v>
      </c>
      <c r="K774" s="7">
        <v>135</v>
      </c>
      <c r="L774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108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0</v>
      </c>
      <c r="K776" s="7">
        <v>108</v>
      </c>
      <c r="L776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121</v>
      </c>
      <c r="D777" s="7">
        <v>0</v>
      </c>
      <c r="E777" s="7">
        <v>0</v>
      </c>
      <c r="F777" s="7">
        <v>0</v>
      </c>
      <c r="G777" s="7">
        <v>2</v>
      </c>
      <c r="H777" s="7">
        <v>0</v>
      </c>
      <c r="I777" s="7">
        <v>1</v>
      </c>
      <c r="J777" s="7">
        <v>0</v>
      </c>
      <c r="K777" s="7">
        <v>124</v>
      </c>
      <c r="L77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53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56</v>
      </c>
      <c r="D779" s="7">
        <v>0</v>
      </c>
      <c r="E779" s="7">
        <v>0</v>
      </c>
      <c r="F779" s="7">
        <v>0</v>
      </c>
      <c r="G779" s="7">
        <v>0</v>
      </c>
      <c r="H779" s="7">
        <v>0</v>
      </c>
      <c r="I779" s="7">
        <v>0</v>
      </c>
      <c r="J779" s="7">
        <v>0</v>
      </c>
      <c r="K779" s="7">
        <v>56</v>
      </c>
      <c r="L779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75</v>
      </c>
      <c r="D780" s="7">
        <v>1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1</v>
      </c>
      <c r="K780" s="7">
        <v>77</v>
      </c>
      <c r="L780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49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  <c r="L781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50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50</v>
      </c>
      <c r="L782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39</v>
      </c>
      <c r="D783" s="7">
        <v>0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  <c r="L783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82</v>
      </c>
      <c r="D784" s="7">
        <v>0</v>
      </c>
      <c r="E784" s="7">
        <v>0</v>
      </c>
      <c r="F784" s="7">
        <v>0</v>
      </c>
      <c r="G784" s="7">
        <v>0</v>
      </c>
      <c r="H784" s="7">
        <v>0</v>
      </c>
      <c r="I784" s="7">
        <v>0</v>
      </c>
      <c r="J784" s="7">
        <v>0</v>
      </c>
      <c r="K784" s="7">
        <v>82</v>
      </c>
      <c r="L784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48</v>
      </c>
      <c r="L785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85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1</v>
      </c>
      <c r="J786" s="7">
        <v>0</v>
      </c>
      <c r="K786" s="7">
        <v>86</v>
      </c>
      <c r="L786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153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153</v>
      </c>
      <c r="L78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143</v>
      </c>
      <c r="D788" s="7">
        <v>0</v>
      </c>
      <c r="E788" s="7">
        <v>0</v>
      </c>
      <c r="F788" s="7">
        <v>0</v>
      </c>
      <c r="G788" s="7">
        <v>0</v>
      </c>
      <c r="H788" s="7">
        <v>0</v>
      </c>
      <c r="I788" s="7">
        <v>0</v>
      </c>
      <c r="J788" s="7">
        <v>0</v>
      </c>
      <c r="K788" s="7">
        <v>143</v>
      </c>
      <c r="L788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163</v>
      </c>
      <c r="D789" s="7">
        <v>0</v>
      </c>
      <c r="E789" s="7">
        <v>0</v>
      </c>
      <c r="F789" s="7">
        <v>0</v>
      </c>
      <c r="G789" s="7">
        <v>1</v>
      </c>
      <c r="H789" s="7">
        <v>0</v>
      </c>
      <c r="I789" s="7">
        <v>0</v>
      </c>
      <c r="J789" s="7">
        <v>0</v>
      </c>
      <c r="K789" s="7">
        <v>164</v>
      </c>
      <c r="L789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121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3</v>
      </c>
      <c r="J790" s="7">
        <v>0</v>
      </c>
      <c r="K790" s="7">
        <v>124</v>
      </c>
      <c r="L790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150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150</v>
      </c>
      <c r="L791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36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36</v>
      </c>
      <c r="L792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45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  <c r="L793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43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0</v>
      </c>
      <c r="K794" s="7">
        <v>43</v>
      </c>
      <c r="L794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53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53</v>
      </c>
      <c r="L795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54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54</v>
      </c>
      <c r="L796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52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52</v>
      </c>
      <c r="L79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109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0</v>
      </c>
      <c r="J798" s="7">
        <v>0</v>
      </c>
      <c r="K798" s="7">
        <v>109</v>
      </c>
      <c r="L798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61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0</v>
      </c>
      <c r="K799" s="7">
        <v>61</v>
      </c>
      <c r="L799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31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0</v>
      </c>
      <c r="J800" s="7">
        <v>0</v>
      </c>
      <c r="K800" s="7">
        <v>32</v>
      </c>
      <c r="L800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41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41</v>
      </c>
      <c r="L801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79</v>
      </c>
      <c r="D802" s="7">
        <v>0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79</v>
      </c>
      <c r="L802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85</v>
      </c>
      <c r="D803" s="7">
        <v>0</v>
      </c>
      <c r="E803" s="7">
        <v>0</v>
      </c>
      <c r="F803" s="7">
        <v>0</v>
      </c>
      <c r="G803" s="7">
        <v>0</v>
      </c>
      <c r="H803" s="7">
        <v>0</v>
      </c>
      <c r="I803" s="7">
        <v>0</v>
      </c>
      <c r="J803" s="7">
        <v>0</v>
      </c>
      <c r="K803" s="7">
        <v>85</v>
      </c>
      <c r="L803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46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0</v>
      </c>
      <c r="J804" s="7">
        <v>0</v>
      </c>
      <c r="K804" s="7">
        <v>47</v>
      </c>
      <c r="L804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57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57</v>
      </c>
      <c r="L805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95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0</v>
      </c>
      <c r="J806" s="7">
        <v>0</v>
      </c>
      <c r="K806" s="7">
        <v>95</v>
      </c>
      <c r="L806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233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0</v>
      </c>
      <c r="K807" s="7">
        <v>233</v>
      </c>
      <c r="L80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196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196</v>
      </c>
      <c r="L808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156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156</v>
      </c>
      <c r="L809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103</v>
      </c>
      <c r="L810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172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0</v>
      </c>
      <c r="K811" s="7">
        <v>172</v>
      </c>
      <c r="L811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97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97</v>
      </c>
      <c r="L812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112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0</v>
      </c>
      <c r="J813" s="7">
        <v>0</v>
      </c>
      <c r="K813" s="7">
        <v>113</v>
      </c>
      <c r="L813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  <c r="L816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154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154</v>
      </c>
      <c r="L81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184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184</v>
      </c>
      <c r="L818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131</v>
      </c>
      <c r="L819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94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94</v>
      </c>
      <c r="L820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67</v>
      </c>
      <c r="D821" s="7">
        <v>4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0</v>
      </c>
      <c r="K821" s="7">
        <v>71</v>
      </c>
      <c r="L821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79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79</v>
      </c>
      <c r="L822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69</v>
      </c>
      <c r="D824" s="7">
        <v>0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69</v>
      </c>
      <c r="L824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68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68</v>
      </c>
      <c r="L825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61</v>
      </c>
      <c r="D827" s="7">
        <v>0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  <c r="L82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78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47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  <c r="L829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  <c r="L830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37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  <c r="L834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62</v>
      </c>
      <c r="D837" s="7">
        <v>0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  <c r="L83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77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  <c r="L839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118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2</v>
      </c>
      <c r="K840" s="7">
        <v>142</v>
      </c>
      <c r="L840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140</v>
      </c>
      <c r="D844" s="7">
        <v>11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1</v>
      </c>
      <c r="K844" s="7">
        <v>152</v>
      </c>
      <c r="L844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78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78</v>
      </c>
      <c r="L845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54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65</v>
      </c>
      <c r="L84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107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130</v>
      </c>
      <c r="L848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144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146</v>
      </c>
      <c r="L850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57</v>
      </c>
      <c r="D851" s="7">
        <v>0</v>
      </c>
      <c r="E851" s="7">
        <v>0</v>
      </c>
      <c r="F851" s="7">
        <v>0</v>
      </c>
      <c r="G851" s="7">
        <v>2</v>
      </c>
      <c r="H851" s="7">
        <v>0</v>
      </c>
      <c r="I851" s="7">
        <v>0</v>
      </c>
      <c r="J851" s="7">
        <v>0</v>
      </c>
      <c r="K851" s="7">
        <v>59</v>
      </c>
      <c r="L851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66</v>
      </c>
      <c r="D853" s="7">
        <v>1</v>
      </c>
      <c r="E853" s="7">
        <v>0</v>
      </c>
      <c r="F853" s="7">
        <v>1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  <c r="L853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1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47</v>
      </c>
      <c r="L856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143</v>
      </c>
      <c r="D858" s="7">
        <v>7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150</v>
      </c>
      <c r="L858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62</v>
      </c>
      <c r="D859" s="7">
        <v>3</v>
      </c>
      <c r="E859" s="7">
        <v>0</v>
      </c>
      <c r="F859" s="7">
        <v>0</v>
      </c>
      <c r="G859" s="7">
        <v>14</v>
      </c>
      <c r="H859" s="7">
        <v>0</v>
      </c>
      <c r="I859" s="7">
        <v>0</v>
      </c>
      <c r="J859" s="7">
        <v>0</v>
      </c>
      <c r="K859" s="7">
        <v>79</v>
      </c>
      <c r="L859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53</v>
      </c>
      <c r="D860" s="7">
        <v>2</v>
      </c>
      <c r="E860" s="7">
        <v>0</v>
      </c>
      <c r="F860" s="7">
        <v>0</v>
      </c>
      <c r="G860" s="7">
        <v>2</v>
      </c>
      <c r="H860" s="7">
        <v>0</v>
      </c>
      <c r="I860" s="7">
        <v>1</v>
      </c>
      <c r="J860" s="7">
        <v>0</v>
      </c>
      <c r="K860" s="7">
        <v>58</v>
      </c>
      <c r="L860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135</v>
      </c>
      <c r="D864" s="7">
        <v>10</v>
      </c>
      <c r="E864" s="7">
        <v>0</v>
      </c>
      <c r="F864" s="7">
        <v>0</v>
      </c>
      <c r="G864" s="7">
        <v>6</v>
      </c>
      <c r="H864" s="7">
        <v>0</v>
      </c>
      <c r="I864" s="7">
        <v>1</v>
      </c>
      <c r="J864" s="7">
        <v>2</v>
      </c>
      <c r="K864" s="7">
        <v>154</v>
      </c>
      <c r="L864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51</v>
      </c>
      <c r="D866" s="7">
        <v>14</v>
      </c>
      <c r="E866" s="7">
        <v>0</v>
      </c>
      <c r="F866" s="7">
        <v>0</v>
      </c>
      <c r="G866" s="7">
        <v>0</v>
      </c>
      <c r="H866" s="7">
        <v>0</v>
      </c>
      <c r="I866" s="7">
        <v>5</v>
      </c>
      <c r="J866" s="7">
        <v>0</v>
      </c>
      <c r="K866" s="7">
        <v>70</v>
      </c>
      <c r="L866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170</v>
      </c>
      <c r="D867" s="7">
        <v>15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185</v>
      </c>
      <c r="L86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84</v>
      </c>
      <c r="D868" s="7">
        <v>13</v>
      </c>
      <c r="E868" s="7">
        <v>0</v>
      </c>
      <c r="F868" s="7">
        <v>0</v>
      </c>
      <c r="G868" s="7">
        <v>0</v>
      </c>
      <c r="H868" s="7">
        <v>0</v>
      </c>
      <c r="I868" s="7">
        <v>14</v>
      </c>
      <c r="J868" s="7">
        <v>1</v>
      </c>
      <c r="K868" s="7">
        <v>112</v>
      </c>
      <c r="L868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5</v>
      </c>
      <c r="E869" s="7">
        <v>0</v>
      </c>
      <c r="F869" s="7">
        <v>0</v>
      </c>
      <c r="G869" s="7">
        <v>0</v>
      </c>
      <c r="H869" s="7">
        <v>0</v>
      </c>
      <c r="I869" s="7">
        <v>3</v>
      </c>
      <c r="J869" s="7">
        <v>0</v>
      </c>
      <c r="K869" s="7">
        <v>8</v>
      </c>
      <c r="L869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43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0</v>
      </c>
      <c r="K871" s="7">
        <v>48</v>
      </c>
      <c r="L871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0</v>
      </c>
      <c r="E872" s="7">
        <v>0</v>
      </c>
      <c r="F872" s="7">
        <v>0</v>
      </c>
      <c r="G872" s="7">
        <v>10</v>
      </c>
      <c r="H872" s="7">
        <v>0</v>
      </c>
      <c r="I872" s="7">
        <v>1</v>
      </c>
      <c r="J872" s="7">
        <v>0</v>
      </c>
      <c r="K872" s="7">
        <v>53</v>
      </c>
      <c r="L872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0</v>
      </c>
      <c r="E873" s="7">
        <v>0</v>
      </c>
      <c r="F873" s="7">
        <v>0</v>
      </c>
      <c r="G873" s="7">
        <v>7</v>
      </c>
      <c r="H873" s="7">
        <v>0</v>
      </c>
      <c r="I873" s="7">
        <v>1</v>
      </c>
      <c r="J873" s="7">
        <v>0</v>
      </c>
      <c r="K873" s="7">
        <v>86</v>
      </c>
      <c r="L873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3</v>
      </c>
      <c r="E875" s="7">
        <v>0</v>
      </c>
      <c r="F875" s="7">
        <v>0</v>
      </c>
      <c r="G875" s="7">
        <v>6</v>
      </c>
      <c r="H875" s="7">
        <v>0</v>
      </c>
      <c r="I875" s="7">
        <v>1</v>
      </c>
      <c r="J875" s="7">
        <v>0</v>
      </c>
      <c r="K875" s="7">
        <v>48</v>
      </c>
      <c r="L875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59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2</v>
      </c>
      <c r="J878" s="7">
        <v>0</v>
      </c>
      <c r="K878" s="7">
        <v>61</v>
      </c>
      <c r="L878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43</v>
      </c>
      <c r="D879" s="7">
        <v>0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  <c r="L879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27</v>
      </c>
      <c r="D880" s="7">
        <v>3</v>
      </c>
      <c r="E880" s="7">
        <v>0</v>
      </c>
      <c r="F880" s="7">
        <v>0</v>
      </c>
      <c r="G880" s="7">
        <v>0</v>
      </c>
      <c r="H880" s="7">
        <v>0</v>
      </c>
      <c r="I880" s="7">
        <v>1</v>
      </c>
      <c r="J880" s="7">
        <v>0</v>
      </c>
      <c r="K880" s="7">
        <v>31</v>
      </c>
      <c r="L880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70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2</v>
      </c>
      <c r="J881" s="7">
        <v>0</v>
      </c>
      <c r="K881" s="7">
        <v>72</v>
      </c>
      <c r="L881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102</v>
      </c>
      <c r="L882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83</v>
      </c>
      <c r="L884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0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76</v>
      </c>
      <c r="L885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155</v>
      </c>
      <c r="L88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228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0</v>
      </c>
      <c r="J888" s="7">
        <v>0</v>
      </c>
      <c r="K888" s="7">
        <v>230</v>
      </c>
      <c r="L888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105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105</v>
      </c>
      <c r="L889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161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161</v>
      </c>
      <c r="L890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180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0</v>
      </c>
      <c r="J891" s="7">
        <v>0</v>
      </c>
      <c r="K891" s="7">
        <v>181</v>
      </c>
      <c r="L891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180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0</v>
      </c>
      <c r="K892" s="7">
        <v>180</v>
      </c>
      <c r="L892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242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0</v>
      </c>
      <c r="J893" s="7">
        <v>0</v>
      </c>
      <c r="K893" s="7">
        <v>243</v>
      </c>
      <c r="L893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125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0</v>
      </c>
      <c r="J894" s="7">
        <v>0</v>
      </c>
      <c r="K894" s="7">
        <v>129</v>
      </c>
      <c r="L894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94</v>
      </c>
      <c r="D895" s="7">
        <v>9</v>
      </c>
      <c r="E895" s="7">
        <v>0</v>
      </c>
      <c r="F895" s="7">
        <v>0</v>
      </c>
      <c r="G895" s="7">
        <v>0</v>
      </c>
      <c r="H895" s="7">
        <v>0</v>
      </c>
      <c r="I895" s="7">
        <v>0</v>
      </c>
      <c r="J895" s="7">
        <v>4</v>
      </c>
      <c r="K895" s="7">
        <v>107</v>
      </c>
      <c r="L895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210</v>
      </c>
      <c r="D896" s="7">
        <v>0</v>
      </c>
      <c r="E896" s="7">
        <v>0</v>
      </c>
      <c r="F896" s="7">
        <v>0</v>
      </c>
      <c r="G896" s="7">
        <v>8</v>
      </c>
      <c r="H896" s="7">
        <v>0</v>
      </c>
      <c r="I896" s="7">
        <v>1</v>
      </c>
      <c r="J896" s="7">
        <v>0</v>
      </c>
      <c r="K896" s="7">
        <v>219</v>
      </c>
      <c r="L896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214</v>
      </c>
      <c r="D897" s="7">
        <v>3</v>
      </c>
      <c r="E897" s="7">
        <v>0</v>
      </c>
      <c r="F897" s="7">
        <v>0</v>
      </c>
      <c r="G897" s="7">
        <v>0</v>
      </c>
      <c r="H897" s="7">
        <v>0</v>
      </c>
      <c r="I897" s="7">
        <v>1</v>
      </c>
      <c r="J897" s="7">
        <v>0</v>
      </c>
      <c r="K897" s="7">
        <v>218</v>
      </c>
      <c r="L89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127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1</v>
      </c>
      <c r="K898" s="7">
        <v>128</v>
      </c>
      <c r="L898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193</v>
      </c>
      <c r="D899" s="7">
        <v>0</v>
      </c>
      <c r="E899" s="7">
        <v>0</v>
      </c>
      <c r="F899" s="7">
        <v>0</v>
      </c>
      <c r="G899" s="7">
        <v>15</v>
      </c>
      <c r="H899" s="7">
        <v>0</v>
      </c>
      <c r="I899" s="7">
        <v>0</v>
      </c>
      <c r="J899" s="7">
        <v>1</v>
      </c>
      <c r="K899" s="7">
        <v>209</v>
      </c>
      <c r="L899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173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173</v>
      </c>
      <c r="L900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114</v>
      </c>
      <c r="D901" s="7">
        <v>2</v>
      </c>
      <c r="E901" s="7">
        <v>0</v>
      </c>
      <c r="F901" s="7">
        <v>0</v>
      </c>
      <c r="G901" s="7">
        <v>0</v>
      </c>
      <c r="H901" s="7">
        <v>0</v>
      </c>
      <c r="I901" s="7">
        <v>0</v>
      </c>
      <c r="J901" s="7">
        <v>0</v>
      </c>
      <c r="K901" s="7">
        <v>116</v>
      </c>
      <c r="L901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0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163</v>
      </c>
      <c r="L902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213</v>
      </c>
      <c r="L903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101</v>
      </c>
      <c r="L904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141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0</v>
      </c>
      <c r="K905" s="7">
        <v>142</v>
      </c>
      <c r="L905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0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126</v>
      </c>
      <c r="L906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246</v>
      </c>
      <c r="D907" s="7">
        <v>3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249</v>
      </c>
      <c r="L90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180</v>
      </c>
      <c r="D908" s="7">
        <v>4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184</v>
      </c>
      <c r="L908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128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0</v>
      </c>
      <c r="J909" s="7">
        <v>0</v>
      </c>
      <c r="K909" s="7">
        <v>128</v>
      </c>
      <c r="L909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125</v>
      </c>
      <c r="D910" s="7">
        <v>6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131</v>
      </c>
      <c r="L910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185</v>
      </c>
      <c r="D912" s="7">
        <v>0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125</v>
      </c>
      <c r="D913" s="7">
        <v>0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  <c r="L914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120</v>
      </c>
      <c r="D915" s="7">
        <v>3</v>
      </c>
      <c r="E915" s="7">
        <v>0</v>
      </c>
      <c r="F915" s="7">
        <v>0</v>
      </c>
      <c r="G915" s="7">
        <v>0</v>
      </c>
      <c r="H915" s="7">
        <v>0</v>
      </c>
      <c r="I915" s="7">
        <v>6</v>
      </c>
      <c r="J915" s="7">
        <v>0</v>
      </c>
      <c r="K915" s="7">
        <v>129</v>
      </c>
      <c r="L915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107</v>
      </c>
      <c r="D916" s="7">
        <v>2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0</v>
      </c>
      <c r="K916" s="7">
        <v>110</v>
      </c>
      <c r="L916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56</v>
      </c>
      <c r="D917" s="7">
        <v>0</v>
      </c>
      <c r="E917" s="7">
        <v>0</v>
      </c>
      <c r="F917" s="7">
        <v>0</v>
      </c>
      <c r="G917" s="7">
        <v>0</v>
      </c>
      <c r="H917" s="7">
        <v>0</v>
      </c>
      <c r="I917" s="7">
        <v>11</v>
      </c>
      <c r="J917" s="7">
        <v>0</v>
      </c>
      <c r="K917" s="7">
        <v>67</v>
      </c>
      <c r="L91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104</v>
      </c>
      <c r="D918" s="7">
        <v>3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108</v>
      </c>
      <c r="L918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113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113</v>
      </c>
      <c r="L919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108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19</v>
      </c>
      <c r="J920" s="7">
        <v>0</v>
      </c>
      <c r="K920" s="7">
        <v>127</v>
      </c>
      <c r="L920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142</v>
      </c>
      <c r="D922" s="7">
        <v>2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0</v>
      </c>
      <c r="K922" s="7">
        <v>144</v>
      </c>
      <c r="L922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99</v>
      </c>
      <c r="D923" s="7">
        <v>0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1</v>
      </c>
      <c r="K923" s="7">
        <v>101</v>
      </c>
      <c r="L923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110</v>
      </c>
      <c r="D924" s="7">
        <v>52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163</v>
      </c>
      <c r="L924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167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171</v>
      </c>
      <c r="L925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95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96</v>
      </c>
      <c r="L926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128</v>
      </c>
      <c r="D927" s="7">
        <v>1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129</v>
      </c>
      <c r="L92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146</v>
      </c>
      <c r="D928" s="7">
        <v>0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0</v>
      </c>
      <c r="K928" s="7">
        <v>147</v>
      </c>
      <c r="L928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84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85</v>
      </c>
      <c r="L929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111</v>
      </c>
      <c r="D930" s="7">
        <v>1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96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96</v>
      </c>
      <c r="L932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156</v>
      </c>
      <c r="D933" s="7">
        <v>0</v>
      </c>
      <c r="E933" s="7">
        <v>0</v>
      </c>
      <c r="F933" s="7">
        <v>0</v>
      </c>
      <c r="G933" s="7">
        <v>36</v>
      </c>
      <c r="H933" s="7">
        <v>0</v>
      </c>
      <c r="I933" s="7">
        <v>0</v>
      </c>
      <c r="J933" s="7">
        <v>0</v>
      </c>
      <c r="K933" s="7">
        <v>192</v>
      </c>
      <c r="L933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97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98</v>
      </c>
      <c r="L934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75</v>
      </c>
      <c r="D935" s="7">
        <v>3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0</v>
      </c>
      <c r="K935" s="7">
        <v>78</v>
      </c>
      <c r="L935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98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98</v>
      </c>
      <c r="L938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52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45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47</v>
      </c>
      <c r="L941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  <c r="L942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93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  <c r="L944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114</v>
      </c>
      <c r="D945" s="7">
        <v>3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117</v>
      </c>
      <c r="L945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81</v>
      </c>
      <c r="D946" s="7">
        <v>1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82</v>
      </c>
      <c r="L946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135</v>
      </c>
      <c r="D947" s="7">
        <v>0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136</v>
      </c>
      <c r="L94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89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89</v>
      </c>
      <c r="L948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95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95</v>
      </c>
      <c r="L949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  <c r="L950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23</v>
      </c>
      <c r="D951" s="7">
        <v>1</v>
      </c>
      <c r="E951" s="7">
        <v>0</v>
      </c>
      <c r="F951" s="7">
        <v>0</v>
      </c>
      <c r="G951" s="7">
        <v>0</v>
      </c>
      <c r="H951" s="7">
        <v>0</v>
      </c>
      <c r="I951" s="7">
        <v>0</v>
      </c>
      <c r="J951" s="7">
        <v>0</v>
      </c>
      <c r="K951" s="7">
        <v>24</v>
      </c>
      <c r="L951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80</v>
      </c>
      <c r="D952" s="7">
        <v>5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0</v>
      </c>
      <c r="K952" s="7">
        <v>85</v>
      </c>
      <c r="L952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101</v>
      </c>
      <c r="D953" s="7">
        <v>3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104</v>
      </c>
      <c r="L953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55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2</v>
      </c>
      <c r="K954" s="7">
        <v>57</v>
      </c>
      <c r="L954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108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109</v>
      </c>
      <c r="L961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188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188</v>
      </c>
      <c r="L962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111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111</v>
      </c>
      <c r="L963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191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191</v>
      </c>
      <c r="L964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77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77</v>
      </c>
      <c r="L965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260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260</v>
      </c>
      <c r="L966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228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233</v>
      </c>
      <c r="L96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111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111</v>
      </c>
      <c r="L968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92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92</v>
      </c>
      <c r="L969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140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140</v>
      </c>
      <c r="L971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192</v>
      </c>
      <c r="L975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109</v>
      </c>
      <c r="L976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128</v>
      </c>
      <c r="L97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275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276</v>
      </c>
      <c r="L978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282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283</v>
      </c>
      <c r="L979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58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59</v>
      </c>
      <c r="L980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68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68</v>
      </c>
      <c r="L981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49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49</v>
      </c>
      <c r="L982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48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48</v>
      </c>
      <c r="L983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101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101</v>
      </c>
      <c r="L984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62</v>
      </c>
      <c r="L986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51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51</v>
      </c>
      <c r="L988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118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0</v>
      </c>
      <c r="K989" s="7">
        <v>119</v>
      </c>
      <c r="L989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34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34</v>
      </c>
      <c r="L990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46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46</v>
      </c>
      <c r="L991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65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0</v>
      </c>
      <c r="J992" s="7">
        <v>0</v>
      </c>
      <c r="K992" s="7">
        <v>67</v>
      </c>
      <c r="L992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48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48</v>
      </c>
      <c r="L993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60</v>
      </c>
      <c r="L994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50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52</v>
      </c>
      <c r="L995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75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75</v>
      </c>
      <c r="L996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203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0</v>
      </c>
      <c r="K997" s="7">
        <v>203</v>
      </c>
      <c r="L99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63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63</v>
      </c>
      <c r="L998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137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137</v>
      </c>
      <c r="L999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97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99</v>
      </c>
      <c r="L1000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67</v>
      </c>
      <c r="D1001" s="7">
        <v>0</v>
      </c>
      <c r="E1001" s="7">
        <v>0</v>
      </c>
      <c r="F1001" s="7">
        <v>0</v>
      </c>
      <c r="G1001" s="7">
        <v>5</v>
      </c>
      <c r="H1001" s="7">
        <v>0</v>
      </c>
      <c r="I1001" s="7">
        <v>0</v>
      </c>
      <c r="J1001" s="7">
        <v>0</v>
      </c>
      <c r="K1001" s="7">
        <v>72</v>
      </c>
      <c r="L1001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191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191</v>
      </c>
      <c r="L1003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124</v>
      </c>
      <c r="D1004" s="7">
        <v>0</v>
      </c>
      <c r="E1004" s="7">
        <v>0</v>
      </c>
      <c r="F1004" s="7">
        <v>0</v>
      </c>
      <c r="G1004" s="7">
        <v>2</v>
      </c>
      <c r="H1004" s="7">
        <v>0</v>
      </c>
      <c r="I1004" s="7">
        <v>0</v>
      </c>
      <c r="J1004" s="7">
        <v>0</v>
      </c>
      <c r="K1004" s="7">
        <v>126</v>
      </c>
      <c r="L1004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153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157</v>
      </c>
      <c r="L1005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0</v>
      </c>
      <c r="J1006" s="7">
        <v>0</v>
      </c>
      <c r="K1006" s="7">
        <v>155</v>
      </c>
      <c r="L1006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105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105</v>
      </c>
      <c r="L100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92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0</v>
      </c>
      <c r="J1008" s="7">
        <v>1</v>
      </c>
      <c r="K1008" s="7">
        <v>95</v>
      </c>
      <c r="L1008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85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0</v>
      </c>
      <c r="K1009" s="7">
        <v>85</v>
      </c>
      <c r="L1009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81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81</v>
      </c>
      <c r="L1010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67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0</v>
      </c>
      <c r="J1011" s="7">
        <v>0</v>
      </c>
      <c r="K1011" s="7">
        <v>68</v>
      </c>
      <c r="L1011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106</v>
      </c>
      <c r="D1012" s="7">
        <v>0</v>
      </c>
      <c r="E1012" s="7">
        <v>0</v>
      </c>
      <c r="F1012" s="7">
        <v>0</v>
      </c>
      <c r="G1012" s="7">
        <v>0</v>
      </c>
      <c r="H1012" s="7">
        <v>0</v>
      </c>
      <c r="I1012" s="7">
        <v>0</v>
      </c>
      <c r="J1012" s="7">
        <v>0</v>
      </c>
      <c r="K1012" s="7">
        <v>106</v>
      </c>
      <c r="L1012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87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1</v>
      </c>
      <c r="J1013" s="7">
        <v>1</v>
      </c>
      <c r="K1013" s="7">
        <v>89</v>
      </c>
      <c r="L1013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86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86</v>
      </c>
      <c r="L1015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99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102</v>
      </c>
      <c r="L1016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40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41</v>
      </c>
      <c r="L1018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58</v>
      </c>
      <c r="D1019" s="7">
        <v>0</v>
      </c>
      <c r="E1019" s="7">
        <v>0</v>
      </c>
      <c r="F1019" s="7">
        <v>0</v>
      </c>
      <c r="G1019" s="7">
        <v>1</v>
      </c>
      <c r="H1019" s="7">
        <v>0</v>
      </c>
      <c r="I1019" s="7">
        <v>0</v>
      </c>
      <c r="J1019" s="7">
        <v>0</v>
      </c>
      <c r="K1019" s="7">
        <v>59</v>
      </c>
      <c r="L1019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59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59</v>
      </c>
      <c r="L1020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83</v>
      </c>
      <c r="D1022" s="7">
        <v>3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86</v>
      </c>
      <c r="L1022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98</v>
      </c>
      <c r="D1023" s="7">
        <v>1</v>
      </c>
      <c r="E1023" s="7">
        <v>0</v>
      </c>
      <c r="F1023" s="7">
        <v>0</v>
      </c>
      <c r="G1023" s="7">
        <v>1</v>
      </c>
      <c r="H1023" s="7">
        <v>0</v>
      </c>
      <c r="I1023" s="7">
        <v>0</v>
      </c>
      <c r="J1023" s="7">
        <v>0</v>
      </c>
      <c r="K1023" s="7">
        <v>100</v>
      </c>
      <c r="L1023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67</v>
      </c>
      <c r="D1024" s="7">
        <v>11</v>
      </c>
      <c r="E1024" s="7">
        <v>0</v>
      </c>
      <c r="F1024" s="7">
        <v>0</v>
      </c>
      <c r="G1024" s="7">
        <v>0</v>
      </c>
      <c r="H1024" s="7">
        <v>0</v>
      </c>
      <c r="I1024" s="7">
        <v>0</v>
      </c>
      <c r="J1024" s="7">
        <v>3</v>
      </c>
      <c r="K1024" s="7">
        <v>81</v>
      </c>
      <c r="L1024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67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67</v>
      </c>
      <c r="L1025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96</v>
      </c>
      <c r="D1026" s="7">
        <v>3</v>
      </c>
      <c r="E1026" s="7">
        <v>0</v>
      </c>
      <c r="F1026" s="7">
        <v>0</v>
      </c>
      <c r="G1026" s="7">
        <v>1</v>
      </c>
      <c r="H1026" s="7">
        <v>0</v>
      </c>
      <c r="I1026" s="7">
        <v>0</v>
      </c>
      <c r="J1026" s="7">
        <v>1</v>
      </c>
      <c r="K1026" s="7">
        <v>101</v>
      </c>
      <c r="L1026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85</v>
      </c>
      <c r="D1027" s="7">
        <v>6</v>
      </c>
      <c r="E1027" s="7">
        <v>0</v>
      </c>
      <c r="F1027" s="7">
        <v>0</v>
      </c>
      <c r="G1027" s="7">
        <v>1</v>
      </c>
      <c r="H1027" s="7">
        <v>0</v>
      </c>
      <c r="I1027" s="7">
        <v>1</v>
      </c>
      <c r="J1027" s="7">
        <v>0</v>
      </c>
      <c r="K1027" s="7">
        <v>93</v>
      </c>
      <c r="L102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51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1</v>
      </c>
      <c r="J1029" s="7">
        <v>0</v>
      </c>
      <c r="K1029" s="7">
        <v>52</v>
      </c>
      <c r="L1029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43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2</v>
      </c>
      <c r="J1030" s="7">
        <v>0</v>
      </c>
      <c r="K1030" s="7">
        <v>45</v>
      </c>
      <c r="L1030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11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46</v>
      </c>
      <c r="L1031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105</v>
      </c>
      <c r="D1032" s="7">
        <v>0</v>
      </c>
      <c r="E1032" s="7">
        <v>0</v>
      </c>
      <c r="F1032" s="7">
        <v>0</v>
      </c>
      <c r="G1032" s="7">
        <v>1</v>
      </c>
      <c r="H1032" s="7">
        <v>0</v>
      </c>
      <c r="I1032" s="7">
        <v>0</v>
      </c>
      <c r="J1032" s="7">
        <v>0</v>
      </c>
      <c r="K1032" s="7">
        <v>106</v>
      </c>
      <c r="L1032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6</v>
      </c>
      <c r="J1033" s="7">
        <v>0</v>
      </c>
      <c r="K1033" s="7">
        <v>106</v>
      </c>
      <c r="L1033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54</v>
      </c>
      <c r="L1034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53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9</v>
      </c>
      <c r="J1035" s="7">
        <v>0</v>
      </c>
      <c r="K1035" s="7">
        <v>62</v>
      </c>
      <c r="L1035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103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0</v>
      </c>
      <c r="K1036" s="7">
        <v>103</v>
      </c>
      <c r="L1036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91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23</v>
      </c>
      <c r="J1037" s="7">
        <v>0</v>
      </c>
      <c r="K1037" s="7">
        <v>114</v>
      </c>
      <c r="L103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90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22</v>
      </c>
      <c r="J1038" s="7">
        <v>0</v>
      </c>
      <c r="K1038" s="7">
        <v>112</v>
      </c>
      <c r="L1038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88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88</v>
      </c>
      <c r="L1039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43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5</v>
      </c>
      <c r="J1040" s="7">
        <v>0</v>
      </c>
      <c r="K1040" s="7">
        <v>48</v>
      </c>
      <c r="L1040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36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10</v>
      </c>
      <c r="J1042" s="7">
        <v>0</v>
      </c>
      <c r="K1042" s="7">
        <v>46</v>
      </c>
      <c r="L1042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16</v>
      </c>
      <c r="J1043" s="7">
        <v>0</v>
      </c>
      <c r="K1043" s="7">
        <v>50</v>
      </c>
      <c r="L1043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26</v>
      </c>
      <c r="J1044" s="7">
        <v>0</v>
      </c>
      <c r="K1044" s="7">
        <v>61</v>
      </c>
      <c r="L1044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38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11</v>
      </c>
      <c r="J1045" s="7">
        <v>0</v>
      </c>
      <c r="K1045" s="7">
        <v>49</v>
      </c>
      <c r="L1045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47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7</v>
      </c>
      <c r="J1046" s="7">
        <v>0</v>
      </c>
      <c r="K1046" s="7">
        <v>54</v>
      </c>
      <c r="L1046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91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0</v>
      </c>
      <c r="J1047" s="7">
        <v>0</v>
      </c>
      <c r="K1047" s="7">
        <v>91</v>
      </c>
      <c r="L104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65</v>
      </c>
      <c r="D1048" s="7">
        <v>0</v>
      </c>
      <c r="E1048" s="7">
        <v>0</v>
      </c>
      <c r="F1048" s="7">
        <v>1</v>
      </c>
      <c r="G1048" s="7">
        <v>0</v>
      </c>
      <c r="H1048" s="7">
        <v>0</v>
      </c>
      <c r="I1048" s="7">
        <v>4</v>
      </c>
      <c r="J1048" s="7">
        <v>0</v>
      </c>
      <c r="K1048" s="7">
        <v>70</v>
      </c>
      <c r="L1048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13</v>
      </c>
      <c r="J1049" s="7">
        <v>0</v>
      </c>
      <c r="K1049" s="7">
        <v>64</v>
      </c>
      <c r="L1049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21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45</v>
      </c>
      <c r="J1050" s="7">
        <v>0</v>
      </c>
      <c r="K1050" s="7">
        <v>66</v>
      </c>
      <c r="L1050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149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5</v>
      </c>
      <c r="J1051" s="7">
        <v>0</v>
      </c>
      <c r="K1051" s="7">
        <v>154</v>
      </c>
      <c r="L1051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103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7</v>
      </c>
      <c r="J1052" s="7">
        <v>0</v>
      </c>
      <c r="K1052" s="7">
        <v>110</v>
      </c>
      <c r="L1052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78</v>
      </c>
      <c r="D1053" s="7">
        <v>1</v>
      </c>
      <c r="E1053" s="7">
        <v>0</v>
      </c>
      <c r="F1053" s="7">
        <v>0</v>
      </c>
      <c r="G1053" s="7">
        <v>0</v>
      </c>
      <c r="H1053" s="7">
        <v>0</v>
      </c>
      <c r="I1053" s="7">
        <v>1</v>
      </c>
      <c r="J1053" s="7">
        <v>2</v>
      </c>
      <c r="K1053" s="7">
        <v>82</v>
      </c>
      <c r="L1053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73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9</v>
      </c>
      <c r="J1054" s="7">
        <v>0</v>
      </c>
      <c r="K1054" s="7">
        <v>84</v>
      </c>
      <c r="L1054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1</v>
      </c>
      <c r="E1055" s="7">
        <v>0</v>
      </c>
      <c r="F1055" s="7">
        <v>0</v>
      </c>
      <c r="G1055" s="7">
        <v>0</v>
      </c>
      <c r="H1055" s="7">
        <v>0</v>
      </c>
      <c r="I1055" s="7">
        <v>8</v>
      </c>
      <c r="J1055" s="7">
        <v>1</v>
      </c>
      <c r="K1055" s="7">
        <v>63</v>
      </c>
      <c r="L1055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128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2</v>
      </c>
      <c r="J1056" s="7">
        <v>0</v>
      </c>
      <c r="K1056" s="7">
        <v>132</v>
      </c>
      <c r="L1056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40</v>
      </c>
      <c r="D1057" s="7">
        <v>1</v>
      </c>
      <c r="E1057" s="7">
        <v>0</v>
      </c>
      <c r="F1057" s="7">
        <v>0</v>
      </c>
      <c r="G1057" s="7">
        <v>0</v>
      </c>
      <c r="H1057" s="7">
        <v>0</v>
      </c>
      <c r="I1057" s="7">
        <v>25</v>
      </c>
      <c r="J1057" s="7">
        <v>0</v>
      </c>
      <c r="K1057" s="7">
        <v>66</v>
      </c>
      <c r="L105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  <c r="L1058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59</v>
      </c>
      <c r="D1059" s="7">
        <v>0</v>
      </c>
      <c r="E1059" s="7">
        <v>0</v>
      </c>
      <c r="F1059" s="7">
        <v>0</v>
      </c>
      <c r="G1059" s="7">
        <v>0</v>
      </c>
      <c r="H1059" s="7">
        <v>0</v>
      </c>
      <c r="I1059" s="7">
        <v>11</v>
      </c>
      <c r="J1059" s="7">
        <v>2</v>
      </c>
      <c r="K1059" s="7">
        <v>72</v>
      </c>
      <c r="L1059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44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16</v>
      </c>
      <c r="J1060" s="7">
        <v>0</v>
      </c>
      <c r="K1060" s="7">
        <v>60</v>
      </c>
      <c r="L1060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62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2</v>
      </c>
      <c r="K1061" s="7">
        <v>64</v>
      </c>
      <c r="L1061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67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67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686</v>
      </c>
      <c r="F2">
        <v>686</v>
      </c>
      <c r="G2">
        <f>VLOOKUP(A2,PPL!B:N,13,0)</f>
        <v>764</v>
      </c>
      <c r="H2">
        <f>G2-F2</f>
        <v>78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790</v>
      </c>
      <c r="F5">
        <v>797</v>
      </c>
      <c r="G5">
        <f>VLOOKUP(A5,PPL!B:N,13,0)</f>
        <v>808</v>
      </c>
      <c r="H5">
        <f t="shared" si="0"/>
        <v>11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824</v>
      </c>
      <c r="F6">
        <v>833</v>
      </c>
      <c r="G6">
        <f>VLOOKUP(A6,PPL!B:N,13,0)</f>
        <v>837</v>
      </c>
      <c r="H6">
        <f t="shared" si="0"/>
        <v>4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664</v>
      </c>
      <c r="F7">
        <v>664</v>
      </c>
      <c r="G7">
        <f>VLOOKUP(A7,PPL!B:N,13,0)</f>
        <v>664</v>
      </c>
      <c r="H7">
        <f t="shared" si="0"/>
        <v>0</v>
      </c>
      <c r="I7" t="b">
        <f t="shared" si="1"/>
        <v>1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784</v>
      </c>
      <c r="F9">
        <v>785</v>
      </c>
      <c r="G9">
        <f>VLOOKUP(A9,PPL!B:N,13,0)</f>
        <v>785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819</v>
      </c>
      <c r="F11">
        <v>819</v>
      </c>
      <c r="G11">
        <f>VLOOKUP(A11,PPL!B:N,13,0)</f>
        <v>819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888</v>
      </c>
      <c r="H14">
        <f t="shared" si="0"/>
        <v>-2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893</v>
      </c>
      <c r="F16">
        <v>893</v>
      </c>
      <c r="G16">
        <f>VLOOKUP(A16,PPL!B:N,13,0)</f>
        <v>895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850</v>
      </c>
      <c r="F21">
        <v>850</v>
      </c>
      <c r="G21">
        <f>VLOOKUP(A21,PPL!B:N,13,0)</f>
        <v>849</v>
      </c>
      <c r="H21">
        <f t="shared" si="0"/>
        <v>-1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855</v>
      </c>
      <c r="F22">
        <v>864</v>
      </c>
      <c r="G22">
        <f>VLOOKUP(A22,PPL!B:N,13,0)</f>
        <v>863</v>
      </c>
      <c r="H22">
        <f t="shared" si="0"/>
        <v>-1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1028</v>
      </c>
      <c r="G23">
        <f>VLOOKUP(A23,PPL!B:N,13,0)</f>
        <v>1028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860</v>
      </c>
      <c r="F24">
        <v>860</v>
      </c>
      <c r="G24">
        <f>VLOOKUP(A24,PPL!B:N,13,0)</f>
        <v>862</v>
      </c>
      <c r="H24">
        <f t="shared" si="0"/>
        <v>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953</v>
      </c>
      <c r="F25">
        <v>964</v>
      </c>
      <c r="G25">
        <f>VLOOKUP(A25,PPL!B:N,13,0)</f>
        <v>966</v>
      </c>
      <c r="H25">
        <f t="shared" si="0"/>
        <v>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991</v>
      </c>
      <c r="F26">
        <v>991</v>
      </c>
      <c r="G26">
        <f>VLOOKUP(A26,PPL!B:N,13,0)</f>
        <v>991</v>
      </c>
      <c r="H26">
        <f t="shared" si="0"/>
        <v>0</v>
      </c>
      <c r="I26" t="b">
        <f t="shared" si="1"/>
        <v>1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831</v>
      </c>
      <c r="F27">
        <v>864</v>
      </c>
      <c r="G27">
        <f>VLOOKUP(A27,PPL!B:N,13,0)</f>
        <v>930</v>
      </c>
      <c r="H27">
        <f t="shared" si="0"/>
        <v>66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987</v>
      </c>
      <c r="F28">
        <v>987</v>
      </c>
      <c r="G28">
        <f>VLOOKUP(A28,PPL!B:N,13,0)</f>
        <v>987</v>
      </c>
      <c r="H28">
        <f t="shared" si="0"/>
        <v>0</v>
      </c>
      <c r="I28" t="b">
        <f t="shared" si="1"/>
        <v>1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705</v>
      </c>
      <c r="F29">
        <v>705</v>
      </c>
      <c r="G29">
        <f>VLOOKUP(A29,PPL!B:N,13,0)</f>
        <v>705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860</v>
      </c>
      <c r="F30">
        <v>864</v>
      </c>
      <c r="G30">
        <f>VLOOKUP(A30,PPL!B:N,13,0)</f>
        <v>880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865</v>
      </c>
      <c r="F31">
        <v>869</v>
      </c>
      <c r="G31">
        <f>VLOOKUP(A31,PPL!B:N,13,0)</f>
        <v>870</v>
      </c>
      <c r="H31">
        <f t="shared" si="0"/>
        <v>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943</v>
      </c>
      <c r="G32">
        <f>VLOOKUP(A32,PPL!B:N,13,0)</f>
        <v>943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862</v>
      </c>
      <c r="F33">
        <v>875</v>
      </c>
      <c r="G33">
        <f>VLOOKUP(A33,PPL!B:N,13,0)</f>
        <v>874</v>
      </c>
      <c r="H33">
        <f t="shared" si="0"/>
        <v>-1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774</v>
      </c>
      <c r="F34">
        <v>774</v>
      </c>
      <c r="G34">
        <f>VLOOKUP(A34,PPL!B:N,13,0)</f>
        <v>774</v>
      </c>
      <c r="H34">
        <f t="shared" si="0"/>
        <v>0</v>
      </c>
      <c r="I34" t="b">
        <f t="shared" si="1"/>
        <v>1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723</v>
      </c>
      <c r="F35">
        <v>724</v>
      </c>
      <c r="G35">
        <f>VLOOKUP(A35,PPL!B:N,13,0)</f>
        <v>724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992</v>
      </c>
      <c r="F36">
        <v>990</v>
      </c>
      <c r="G36">
        <f>VLOOKUP(A36,PPL!B:N,13,0)</f>
        <v>993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875</v>
      </c>
      <c r="F37">
        <v>875</v>
      </c>
      <c r="G37">
        <f>VLOOKUP(A37,PPL!B:N,13,0)</f>
        <v>875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1267</v>
      </c>
      <c r="F38">
        <v>1267</v>
      </c>
      <c r="G38">
        <f>VLOOKUP(A38,PPL!B:N,13,0)</f>
        <v>1267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879</v>
      </c>
      <c r="F39">
        <v>879</v>
      </c>
      <c r="G39">
        <f>VLOOKUP(A39,PPL!B:N,13,0)</f>
        <v>879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868</v>
      </c>
      <c r="F40">
        <v>868</v>
      </c>
      <c r="G40">
        <f>VLOOKUP(A40,PPL!B:N,13,0)</f>
        <v>886</v>
      </c>
      <c r="H40">
        <f t="shared" si="0"/>
        <v>18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1022</v>
      </c>
      <c r="F41">
        <v>1022</v>
      </c>
      <c r="G41">
        <f>VLOOKUP(A41,PPL!B:N,13,0)</f>
        <v>1029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816</v>
      </c>
      <c r="F42">
        <v>837</v>
      </c>
      <c r="G42">
        <f>VLOOKUP(A42,PPL!B:N,13,0)</f>
        <v>858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870</v>
      </c>
      <c r="F43">
        <v>870</v>
      </c>
      <c r="G43">
        <f>VLOOKUP(A43,PPL!B:N,13,0)</f>
        <v>875</v>
      </c>
      <c r="H43">
        <f t="shared" si="0"/>
        <v>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621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694</v>
      </c>
      <c r="F46">
        <v>699</v>
      </c>
      <c r="G46">
        <f>VLOOKUP(A46,PPL!B:N,13,0)</f>
        <v>703</v>
      </c>
      <c r="H46">
        <f t="shared" si="0"/>
        <v>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752</v>
      </c>
      <c r="F47">
        <v>752</v>
      </c>
      <c r="G47">
        <f>VLOOKUP(A47,PPL!B:N,13,0)</f>
        <v>754</v>
      </c>
      <c r="H47">
        <f t="shared" si="0"/>
        <v>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711</v>
      </c>
      <c r="F48">
        <v>711</v>
      </c>
      <c r="G48">
        <f>VLOOKUP(A48,PPL!B:N,13,0)</f>
        <v>712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827</v>
      </c>
      <c r="F49">
        <v>830</v>
      </c>
      <c r="G49">
        <f>VLOOKUP(A49,PPL!B:N,13,0)</f>
        <v>834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820</v>
      </c>
      <c r="F50">
        <v>820</v>
      </c>
      <c r="G50">
        <f>VLOOKUP(A50,PPL!B:N,13,0)</f>
        <v>841</v>
      </c>
      <c r="H50">
        <f t="shared" si="0"/>
        <v>21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706</v>
      </c>
      <c r="F51">
        <v>709</v>
      </c>
      <c r="G51">
        <f>VLOOKUP(A51,PPL!B:N,13,0)</f>
        <v>709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976</v>
      </c>
      <c r="F52">
        <v>976</v>
      </c>
      <c r="G52">
        <f>VLOOKUP(A52,PPL!B:N,13,0)</f>
        <v>989</v>
      </c>
      <c r="H52">
        <f t="shared" si="0"/>
        <v>13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667</v>
      </c>
      <c r="H53">
        <f t="shared" si="0"/>
        <v>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728</v>
      </c>
      <c r="F54">
        <v>729</v>
      </c>
      <c r="G54">
        <f>VLOOKUP(A54,PPL!B:N,13,0)</f>
        <v>738</v>
      </c>
      <c r="H54">
        <f t="shared" si="0"/>
        <v>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714</v>
      </c>
      <c r="F55">
        <v>717</v>
      </c>
      <c r="G55">
        <f>VLOOKUP(A55,PPL!B:N,13,0)</f>
        <v>717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771</v>
      </c>
      <c r="F56">
        <v>782</v>
      </c>
      <c r="G56">
        <f>VLOOKUP(A56,PPL!B:N,13,0)</f>
        <v>782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798</v>
      </c>
      <c r="F57">
        <v>840</v>
      </c>
      <c r="G57">
        <f>VLOOKUP(A57,PPL!B:N,13,0)</f>
        <v>840</v>
      </c>
      <c r="H57">
        <f t="shared" si="0"/>
        <v>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848</v>
      </c>
      <c r="F58">
        <v>850</v>
      </c>
      <c r="G58">
        <f>VLOOKUP(A58,PPL!B:N,13,0)</f>
        <v>857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863</v>
      </c>
      <c r="F59">
        <v>865</v>
      </c>
      <c r="G59">
        <f>VLOOKUP(A59,PPL!B:N,13,0)</f>
        <v>872</v>
      </c>
      <c r="H59">
        <f t="shared" si="0"/>
        <v>7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909</v>
      </c>
      <c r="F60">
        <v>909</v>
      </c>
      <c r="G60">
        <f>VLOOKUP(A60,PPL!B:N,13,0)</f>
        <v>910</v>
      </c>
      <c r="H60">
        <f t="shared" si="0"/>
        <v>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837</v>
      </c>
      <c r="F61">
        <v>837</v>
      </c>
      <c r="G61">
        <f>VLOOKUP(A61,PPL!B:N,13,0)</f>
        <v>832</v>
      </c>
      <c r="H61">
        <f t="shared" si="0"/>
        <v>-5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959</v>
      </c>
      <c r="F62">
        <v>965</v>
      </c>
      <c r="G62">
        <f>VLOOKUP(A62,PPL!B:N,13,0)</f>
        <v>965</v>
      </c>
      <c r="H62">
        <f t="shared" ref="H62:H123" si="2">G62-F62</f>
        <v>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721</v>
      </c>
      <c r="F64">
        <v>724</v>
      </c>
      <c r="G64">
        <f>VLOOKUP(A64,PPL!B:N,13,0)</f>
        <v>724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719</v>
      </c>
      <c r="F65">
        <v>721</v>
      </c>
      <c r="G65">
        <f>VLOOKUP(A65,PPL!B:N,13,0)</f>
        <v>762</v>
      </c>
      <c r="H65">
        <f t="shared" si="2"/>
        <v>41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544</v>
      </c>
      <c r="F66">
        <v>544</v>
      </c>
      <c r="G66">
        <f>VLOOKUP(A66,PPL!B:N,13,0)</f>
        <v>545</v>
      </c>
      <c r="H66">
        <f t="shared" si="2"/>
        <v>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500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612</v>
      </c>
      <c r="F72">
        <v>614</v>
      </c>
      <c r="G72">
        <f>VLOOKUP(A72,PPL!B:N,13,0)</f>
        <v>617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517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473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530</v>
      </c>
      <c r="F76">
        <v>530</v>
      </c>
      <c r="G76">
        <f>VLOOKUP(A76,PPL!B:N,13,0)</f>
        <v>530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452</v>
      </c>
      <c r="F77">
        <v>460</v>
      </c>
      <c r="G77">
        <f>VLOOKUP(A77,PPL!B:N,13,0)</f>
        <v>462</v>
      </c>
      <c r="H77">
        <f t="shared" si="2"/>
        <v>2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479</v>
      </c>
      <c r="F78">
        <v>479</v>
      </c>
      <c r="G78">
        <f>VLOOKUP(A78,PPL!B:N,13,0)</f>
        <v>479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495</v>
      </c>
      <c r="F79">
        <v>495</v>
      </c>
      <c r="G79">
        <f>VLOOKUP(A79,PPL!B:N,13,0)</f>
        <v>495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481</v>
      </c>
      <c r="F80">
        <v>481</v>
      </c>
      <c r="G80">
        <f>VLOOKUP(A80,PPL!B:N,13,0)</f>
        <v>481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842</v>
      </c>
      <c r="F81">
        <v>858</v>
      </c>
      <c r="G81">
        <f>VLOOKUP(A81,PPL!B:N,13,0)</f>
        <v>858</v>
      </c>
      <c r="H81">
        <f t="shared" si="2"/>
        <v>0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810</v>
      </c>
      <c r="F82">
        <v>810</v>
      </c>
      <c r="G82">
        <f>VLOOKUP(A82,PPL!B:N,13,0)</f>
        <v>814</v>
      </c>
      <c r="H82">
        <f t="shared" si="2"/>
        <v>4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753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1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730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1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683</v>
      </c>
      <c r="F85">
        <v>683</v>
      </c>
      <c r="G85">
        <f>VLOOKUP(A85,PPL!B:N,13,0)</f>
        <v>684</v>
      </c>
      <c r="H85">
        <f t="shared" si="2"/>
        <v>1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646</v>
      </c>
      <c r="F87">
        <v>667</v>
      </c>
      <c r="G87">
        <f>VLOOKUP(A87,PPL!B:N,13,0)</f>
        <v>684</v>
      </c>
      <c r="H87">
        <f t="shared" si="2"/>
        <v>17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759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1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717</v>
      </c>
      <c r="F89">
        <v>716</v>
      </c>
      <c r="G89">
        <f>VLOOKUP(A89,PPL!B:N,13,0)</f>
        <v>715</v>
      </c>
      <c r="H89">
        <f t="shared" si="2"/>
        <v>-1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676</v>
      </c>
      <c r="F90">
        <v>675</v>
      </c>
      <c r="G90">
        <f>VLOOKUP(A90,PPL!B:N,13,0)</f>
        <v>684</v>
      </c>
      <c r="H90">
        <f t="shared" si="2"/>
        <v>9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572</v>
      </c>
      <c r="F91">
        <v>580</v>
      </c>
      <c r="G91">
        <f>VLOOKUP(A91,PPL!B:N,13,0)</f>
        <v>647</v>
      </c>
      <c r="H91">
        <f t="shared" si="2"/>
        <v>67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844</v>
      </c>
      <c r="F95">
        <v>844</v>
      </c>
      <c r="G95">
        <f>VLOOKUP(A95,PPL!B:N,13,0)</f>
        <v>844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582</v>
      </c>
      <c r="F96">
        <v>591</v>
      </c>
      <c r="G96">
        <f>VLOOKUP(A96,PPL!B:N,13,0)</f>
        <v>591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691</v>
      </c>
      <c r="F97">
        <v>691</v>
      </c>
      <c r="G97">
        <f>VLOOKUP(A97,PPL!B:N,13,0)</f>
        <v>689</v>
      </c>
      <c r="H97">
        <f t="shared" si="2"/>
        <v>-2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882</v>
      </c>
      <c r="F98">
        <v>893</v>
      </c>
      <c r="G98">
        <f>VLOOKUP(A98,PPL!B:N,13,0)</f>
        <v>902</v>
      </c>
      <c r="H98">
        <f t="shared" si="2"/>
        <v>9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791</v>
      </c>
      <c r="F99">
        <v>792</v>
      </c>
      <c r="G99">
        <f>VLOOKUP(A99,PPL!B:N,13,0)</f>
        <v>794</v>
      </c>
      <c r="H99">
        <f t="shared" si="2"/>
        <v>2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935</v>
      </c>
      <c r="F100">
        <v>935</v>
      </c>
      <c r="G100">
        <f>VLOOKUP(A100,PPL!B:N,13,0)</f>
        <v>935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848</v>
      </c>
      <c r="F101">
        <v>848</v>
      </c>
      <c r="G101">
        <f>VLOOKUP(A101,PPL!B:N,13,0)</f>
        <v>853</v>
      </c>
      <c r="H101">
        <f t="shared" si="2"/>
        <v>5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787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580</v>
      </c>
      <c r="F105">
        <v>585</v>
      </c>
      <c r="G105">
        <f>VLOOKUP(A105,PPL!B:N,13,0)</f>
        <v>591</v>
      </c>
      <c r="H105">
        <f t="shared" si="2"/>
        <v>6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763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697</v>
      </c>
      <c r="F107">
        <v>698</v>
      </c>
      <c r="G107">
        <f>VLOOKUP(A107,PPL!B:N,13,0)</f>
        <v>698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637</v>
      </c>
      <c r="F108">
        <v>642</v>
      </c>
      <c r="G108">
        <f>VLOOKUP(A108,PPL!B:N,13,0)</f>
        <v>652</v>
      </c>
      <c r="H108">
        <f t="shared" si="2"/>
        <v>10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658</v>
      </c>
      <c r="F109">
        <v>658</v>
      </c>
      <c r="G109">
        <f>VLOOKUP(A109,PPL!B:N,13,0)</f>
        <v>665</v>
      </c>
      <c r="H109">
        <f t="shared" si="2"/>
        <v>7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677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675</v>
      </c>
      <c r="F111">
        <v>675</v>
      </c>
      <c r="G111">
        <f>VLOOKUP(A111,PPL!B:N,13,0)</f>
        <v>677</v>
      </c>
      <c r="H111">
        <f t="shared" si="2"/>
        <v>2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694</v>
      </c>
      <c r="F112">
        <v>694</v>
      </c>
      <c r="G112">
        <f>VLOOKUP(A112,PPL!B:N,13,0)</f>
        <v>728</v>
      </c>
      <c r="H112">
        <f t="shared" si="2"/>
        <v>34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853</v>
      </c>
      <c r="F113">
        <v>853</v>
      </c>
      <c r="G113">
        <f>VLOOKUP(A113,PPL!B:N,13,0)</f>
        <v>853</v>
      </c>
      <c r="H113">
        <f t="shared" si="2"/>
        <v>0</v>
      </c>
      <c r="I113" t="b">
        <f t="shared" si="3"/>
        <v>1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906</v>
      </c>
      <c r="F115">
        <v>914</v>
      </c>
      <c r="G115">
        <f>VLOOKUP(A115,PPL!B:N,13,0)</f>
        <v>918</v>
      </c>
      <c r="H115">
        <f t="shared" si="2"/>
        <v>4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649</v>
      </c>
      <c r="F116">
        <v>653</v>
      </c>
      <c r="G116">
        <f>VLOOKUP(A116,PPL!B:N,13,0)</f>
        <v>745</v>
      </c>
      <c r="H116">
        <f t="shared" si="2"/>
        <v>92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661</v>
      </c>
      <c r="F117">
        <v>663</v>
      </c>
      <c r="G117">
        <f>VLOOKUP(A117,PPL!B:N,13,0)</f>
        <v>663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723</v>
      </c>
      <c r="F118">
        <v>723</v>
      </c>
      <c r="G118">
        <f>VLOOKUP(A118,PPL!B:N,13,0)</f>
        <v>729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726</v>
      </c>
      <c r="F119">
        <v>729</v>
      </c>
      <c r="G119">
        <f>VLOOKUP(A119,PPL!B:N,13,0)</f>
        <v>759</v>
      </c>
      <c r="H119">
        <f t="shared" si="2"/>
        <v>30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719</v>
      </c>
      <c r="F120">
        <v>725</v>
      </c>
      <c r="G120">
        <f>VLOOKUP(A120,PPL!B:N,13,0)</f>
        <v>742</v>
      </c>
      <c r="H120">
        <f t="shared" si="2"/>
        <v>17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864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741</v>
      </c>
      <c r="G123">
        <f>VLOOKUP(A123,PPL!B:N,13,0)</f>
        <v>741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808</v>
      </c>
      <c r="G124">
        <f>VLOOKUP(A124,PPL!B:N,13,0)</f>
        <v>808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644</v>
      </c>
      <c r="F125">
        <v>663</v>
      </c>
      <c r="G125">
        <f>VLOOKUP(A125,PPL!B:N,13,0)</f>
        <v>663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974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1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749</v>
      </c>
      <c r="F127">
        <v>829</v>
      </c>
      <c r="G127">
        <f>VLOOKUP(A127,PPL!B:N,13,0)</f>
        <v>843</v>
      </c>
      <c r="H127">
        <f t="shared" si="4"/>
        <v>14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661</v>
      </c>
      <c r="F128">
        <v>661</v>
      </c>
      <c r="G128">
        <f>VLOOKUP(A128,PPL!B:N,13,0)</f>
        <v>671</v>
      </c>
      <c r="H128">
        <f t="shared" si="4"/>
        <v>10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892</v>
      </c>
      <c r="F129">
        <v>892</v>
      </c>
      <c r="G129">
        <f>VLOOKUP(A129,PPL!B:N,13,0)</f>
        <v>892</v>
      </c>
      <c r="H129">
        <f t="shared" si="4"/>
        <v>0</v>
      </c>
      <c r="I129" t="b">
        <f t="shared" si="5"/>
        <v>1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744</v>
      </c>
      <c r="F130">
        <v>747</v>
      </c>
      <c r="G130">
        <f>VLOOKUP(A130,PPL!B:N,13,0)</f>
        <v>749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837</v>
      </c>
      <c r="F131">
        <v>837</v>
      </c>
      <c r="G131">
        <f>VLOOKUP(A131,PPL!B:N,13,0)</f>
        <v>841</v>
      </c>
      <c r="H131">
        <f t="shared" si="4"/>
        <v>4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1085</v>
      </c>
      <c r="F132">
        <v>1085</v>
      </c>
      <c r="G132">
        <f>VLOOKUP(A132,PPL!B:N,13,0)</f>
        <v>1085</v>
      </c>
      <c r="H132">
        <f t="shared" si="4"/>
        <v>0</v>
      </c>
      <c r="I132" t="b">
        <f t="shared" si="5"/>
        <v>1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4087</v>
      </c>
      <c r="F133">
        <v>4317</v>
      </c>
      <c r="G133">
        <f>VLOOKUP(A133,PML!A:K,11,0)</f>
        <v>5486</v>
      </c>
      <c r="H133">
        <f t="shared" si="4"/>
        <v>1169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4560</v>
      </c>
      <c r="F134">
        <v>4724</v>
      </c>
      <c r="G134">
        <f>VLOOKUP(A134,PML!A:K,11,0)</f>
        <v>5189</v>
      </c>
      <c r="H134">
        <f t="shared" si="4"/>
        <v>465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5866</v>
      </c>
      <c r="F135">
        <v>6002</v>
      </c>
      <c r="G135">
        <f>VLOOKUP(A135,PML!A:K,11,0)</f>
        <v>6308</v>
      </c>
      <c r="H135">
        <f t="shared" si="4"/>
        <v>306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5955</v>
      </c>
      <c r="F136">
        <v>6074</v>
      </c>
      <c r="G136">
        <f>VLOOKUP(A136,PML!A:K,11,0)</f>
        <v>6485</v>
      </c>
      <c r="H136">
        <f t="shared" si="4"/>
        <v>411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5675</v>
      </c>
      <c r="F137">
        <v>5888</v>
      </c>
      <c r="G137">
        <f>VLOOKUP(A137,PML!A:K,11,0)</f>
        <v>6254</v>
      </c>
      <c r="H137">
        <f t="shared" si="4"/>
        <v>366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4486</v>
      </c>
      <c r="F138">
        <v>4912</v>
      </c>
      <c r="G138">
        <f>VLOOKUP(A138,PML!A:K,11,0)</f>
        <v>5742</v>
      </c>
      <c r="H138">
        <f t="shared" si="4"/>
        <v>830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3074</v>
      </c>
      <c r="F139">
        <v>3207</v>
      </c>
      <c r="G139">
        <f>VLOOKUP(A139,PML!A:K,11,0)</f>
        <v>3436</v>
      </c>
      <c r="H139">
        <f t="shared" si="4"/>
        <v>229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4912</v>
      </c>
      <c r="F140">
        <v>5016</v>
      </c>
      <c r="G140">
        <f>VLOOKUP(A140,PML!A:K,11,0)</f>
        <v>5460</v>
      </c>
      <c r="H140">
        <f t="shared" si="4"/>
        <v>444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4721</v>
      </c>
      <c r="F141">
        <v>4991</v>
      </c>
      <c r="G141">
        <f>VLOOKUP(A141,PML!A:K,11,0)</f>
        <v>5760</v>
      </c>
      <c r="H141">
        <f t="shared" si="4"/>
        <v>769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4314</v>
      </c>
      <c r="F142">
        <v>4477</v>
      </c>
      <c r="G142">
        <f>VLOOKUP(A142,PML!A:K,11,0)</f>
        <v>4665</v>
      </c>
      <c r="H142">
        <f t="shared" si="4"/>
        <v>188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3898</v>
      </c>
      <c r="F143">
        <v>3927</v>
      </c>
      <c r="G143">
        <f>VLOOKUP(A143,PML!A:K,11,0)</f>
        <v>3970</v>
      </c>
      <c r="H143">
        <f t="shared" si="4"/>
        <v>43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4643</v>
      </c>
      <c r="F144">
        <v>4675</v>
      </c>
      <c r="G144">
        <f>VLOOKUP(A144,PML!A:K,11,0)</f>
        <v>4698</v>
      </c>
      <c r="H144">
        <f t="shared" si="4"/>
        <v>23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3017</v>
      </c>
      <c r="F145">
        <v>3504</v>
      </c>
      <c r="G145">
        <f>VLOOKUP(A145,PML!A:K,11,0)</f>
        <v>4100</v>
      </c>
      <c r="H145">
        <f t="shared" si="4"/>
        <v>596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3672</v>
      </c>
      <c r="F146">
        <v>4004</v>
      </c>
      <c r="G146">
        <f>VLOOKUP(A146,PML!A:K,11,0)</f>
        <v>4243</v>
      </c>
      <c r="H146">
        <f t="shared" si="4"/>
        <v>239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4647</v>
      </c>
      <c r="F147">
        <v>4743</v>
      </c>
      <c r="G147">
        <f>VLOOKUP(A147,PML!A:K,11,0)</f>
        <v>5435</v>
      </c>
      <c r="H147">
        <f t="shared" si="4"/>
        <v>692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5108</v>
      </c>
      <c r="F148">
        <v>5160</v>
      </c>
      <c r="G148">
        <f>VLOOKUP(A148,PML!A:K,11,0)</f>
        <v>5308</v>
      </c>
      <c r="H148">
        <f t="shared" si="4"/>
        <v>148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4945</v>
      </c>
      <c r="F149">
        <v>4952</v>
      </c>
      <c r="G149">
        <f>VLOOKUP(A149,PML!A:K,11,0)</f>
        <v>4962</v>
      </c>
      <c r="H149">
        <f t="shared" si="4"/>
        <v>10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4235</v>
      </c>
      <c r="F150">
        <v>4231</v>
      </c>
      <c r="G150">
        <f>VLOOKUP(A150,PML!A:K,11,0)</f>
        <v>4531</v>
      </c>
      <c r="H150">
        <f t="shared" si="4"/>
        <v>300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6277</v>
      </c>
      <c r="F151">
        <v>6493</v>
      </c>
      <c r="G151">
        <f>VLOOKUP(A151,PML!A:K,11,0)</f>
        <v>6528</v>
      </c>
      <c r="H151">
        <f t="shared" si="4"/>
        <v>35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931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648</v>
      </c>
      <c r="F153">
        <v>648</v>
      </c>
      <c r="G153">
        <f>VLOOKUP(A153,PPL!B:N,13,0)</f>
        <v>648</v>
      </c>
      <c r="H153">
        <f t="shared" ref="H153:H155" si="8">G153-F153</f>
        <v>0</v>
      </c>
      <c r="I153" t="b">
        <f t="shared" ref="I153:I155" si="9">E153=G153</f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708</v>
      </c>
      <c r="F154">
        <v>722</v>
      </c>
      <c r="G154">
        <f>VLOOKUP(A154,PPL!B:N,13,0)</f>
        <v>739</v>
      </c>
      <c r="H154">
        <f t="shared" si="8"/>
        <v>17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855</v>
      </c>
      <c r="F155">
        <v>856</v>
      </c>
      <c r="G155">
        <f>VLOOKUP(A155,PPL!B:N,13,0)</f>
        <v>855</v>
      </c>
      <c r="H155">
        <f t="shared" si="8"/>
        <v>-1</v>
      </c>
      <c r="I155" t="b">
        <f t="shared" si="9"/>
        <v>1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1021</v>
      </c>
      <c r="F156">
        <v>1016</v>
      </c>
      <c r="G156">
        <f>VLOOKUP(A156,PPL!B:N,13,0)</f>
        <v>1024</v>
      </c>
      <c r="H156">
        <f t="shared" ref="H156:H158" si="10">G156-F156</f>
        <v>8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767</v>
      </c>
      <c r="F157">
        <v>772</v>
      </c>
      <c r="G157">
        <f>VLOOKUP(A157,PPL!B:N,13,0)</f>
        <v>786</v>
      </c>
      <c r="H157">
        <f t="shared" si="10"/>
        <v>14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660</v>
      </c>
      <c r="F158">
        <v>660</v>
      </c>
      <c r="G158">
        <f>VLOOKUP(A158,PPL!B:N,13,0)</f>
        <v>660</v>
      </c>
      <c r="H158">
        <f t="shared" si="10"/>
        <v>0</v>
      </c>
      <c r="I158" t="b">
        <f t="shared" si="11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sqref="A1:C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764</v>
      </c>
      <c r="F2">
        <f>SUMIF(DATA!$A:$A,PPL!$A2,DATA!D:D)</f>
        <v>764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507</v>
      </c>
      <c r="N2">
        <f>F2+I2+J2+K2+L2</f>
        <v>764</v>
      </c>
      <c r="O2" s="3">
        <f>(N2/E2)*100</f>
        <v>100</v>
      </c>
      <c r="P2">
        <f>CEILING((E2-N2)/1,1)</f>
        <v>0</v>
      </c>
      <c r="Q2">
        <f>SUMIF(DATA!A:A,PPL!A2,DATA!N:N)</f>
        <v>257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808</v>
      </c>
      <c r="F5">
        <f>SUMIF(DATA!$A:$A,PPL!$A5,DATA!D:D)</f>
        <v>808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0</v>
      </c>
      <c r="L5">
        <f>SUMIF(DATA!$A:$A,PPL!$A5,DATA!J:J)</f>
        <v>0</v>
      </c>
      <c r="M5">
        <f t="shared" si="0"/>
        <v>405</v>
      </c>
      <c r="N5">
        <f t="shared" si="1"/>
        <v>808</v>
      </c>
      <c r="O5" s="3">
        <f t="shared" si="2"/>
        <v>100</v>
      </c>
      <c r="P5">
        <f t="shared" si="3"/>
        <v>0</v>
      </c>
      <c r="Q5">
        <f>SUMIF(DATA!A:A,PPL!A5,DATA!N:N)</f>
        <v>403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837</v>
      </c>
      <c r="F6">
        <f>SUMIF(DATA!$A:$A,PPL!$A6,DATA!D:D)</f>
        <v>837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536</v>
      </c>
      <c r="N6">
        <f t="shared" si="1"/>
        <v>837</v>
      </c>
      <c r="O6" s="3">
        <f t="shared" si="2"/>
        <v>100</v>
      </c>
      <c r="P6">
        <f t="shared" si="3"/>
        <v>0</v>
      </c>
      <c r="Q6">
        <f>SUMIF(DATA!A:A,PPL!A6,DATA!N:N)</f>
        <v>301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664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0</v>
      </c>
      <c r="L7">
        <f>SUMIF(DATA!$A:$A,PPL!$A7,DATA!J:J)</f>
        <v>0</v>
      </c>
      <c r="M7">
        <f t="shared" si="0"/>
        <v>407</v>
      </c>
      <c r="N7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243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785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441</v>
      </c>
      <c r="N9">
        <f t="shared" si="1"/>
        <v>785</v>
      </c>
      <c r="O9" s="3">
        <f t="shared" si="2"/>
        <v>100</v>
      </c>
      <c r="P9">
        <f t="shared" si="3"/>
        <v>0</v>
      </c>
      <c r="Q9">
        <f>SUMIF(DATA!A:A,PPL!A9,DATA!N:N)</f>
        <v>344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734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0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819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435</v>
      </c>
      <c r="N11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761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850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881</v>
      </c>
      <c r="G14">
        <f>SUMIF(DATA!$A:$A,PPL!$A14,DATA!E:E)</f>
        <v>2</v>
      </c>
      <c r="H14">
        <f>SUMIF(DATA!$A:$A,PPL!$A14,DATA!F:F)</f>
        <v>0</v>
      </c>
      <c r="I14">
        <f>SUMIF(DATA!$A:$A,PPL!$A14,DATA!G:G)</f>
        <v>7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462</v>
      </c>
      <c r="N14">
        <f t="shared" si="1"/>
        <v>888</v>
      </c>
      <c r="O14" s="3">
        <f t="shared" si="2"/>
        <v>99.775280898876403</v>
      </c>
      <c r="P14">
        <f t="shared" si="3"/>
        <v>2</v>
      </c>
      <c r="Q14">
        <f>SUMIF(DATA!A:A,PPL!A14,DATA!N:N)</f>
        <v>426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989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895</v>
      </c>
      <c r="F16">
        <f>SUMIF(DATA!$A:$A,PPL!$A16,DATA!D:D)</f>
        <v>895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0</v>
      </c>
      <c r="L16">
        <f>SUMIF(DATA!$A:$A,PPL!$A16,DATA!J:J)</f>
        <v>0</v>
      </c>
      <c r="M16">
        <f t="shared" si="0"/>
        <v>441</v>
      </c>
      <c r="N16">
        <f t="shared" si="1"/>
        <v>895</v>
      </c>
      <c r="O16" s="3">
        <f t="shared" si="2"/>
        <v>100</v>
      </c>
      <c r="P16">
        <f t="shared" si="3"/>
        <v>0</v>
      </c>
      <c r="Q16">
        <f>SUMIF(DATA!A:A,PPL!A16,DATA!N:N)</f>
        <v>454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1089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758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839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849</v>
      </c>
      <c r="G21">
        <f>SUMIF(DATA!$A:$A,PPL!$A21,DATA!E:E)</f>
        <v>1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424</v>
      </c>
      <c r="N21">
        <f t="shared" si="1"/>
        <v>849</v>
      </c>
      <c r="O21" s="3">
        <f t="shared" si="2"/>
        <v>99.882352941176464</v>
      </c>
      <c r="P21">
        <f t="shared" si="3"/>
        <v>1</v>
      </c>
      <c r="Q21">
        <f>SUMIF(DATA!A:A,PPL!A21,DATA!N:N)</f>
        <v>425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894</v>
      </c>
      <c r="F22">
        <f>SUMIF(DATA!$A:$A,PPL!$A22,DATA!D:D)</f>
        <v>858</v>
      </c>
      <c r="G22">
        <f>SUMIF(DATA!$A:$A,PPL!$A22,DATA!E:E)</f>
        <v>31</v>
      </c>
      <c r="H22">
        <f>SUMIF(DATA!$A:$A,PPL!$A22,DATA!F:F)</f>
        <v>0</v>
      </c>
      <c r="I22">
        <f>SUMIF(DATA!$A:$A,PPL!$A22,DATA!G:G)</f>
        <v>5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534</v>
      </c>
      <c r="N22">
        <f t="shared" si="1"/>
        <v>863</v>
      </c>
      <c r="O22" s="3">
        <f t="shared" si="2"/>
        <v>96.53243847874721</v>
      </c>
      <c r="P22">
        <f t="shared" si="3"/>
        <v>31</v>
      </c>
      <c r="Q22">
        <f>SUMIF(DATA!A:A,PPL!A22,DATA!N:N)</f>
        <v>329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1028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613</v>
      </c>
      <c r="N23">
        <f t="shared" si="1"/>
        <v>1028</v>
      </c>
      <c r="O23" s="3">
        <f t="shared" si="2"/>
        <v>99.902818270165199</v>
      </c>
      <c r="P23">
        <f t="shared" si="3"/>
        <v>1</v>
      </c>
      <c r="Q23">
        <f>SUMIF(DATA!A:A,PPL!A23,DATA!N:N)</f>
        <v>415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872</v>
      </c>
      <c r="F24">
        <f>SUMIF(DATA!$A:$A,PPL!$A24,DATA!D:D)</f>
        <v>859</v>
      </c>
      <c r="G24">
        <f>SUMIF(DATA!$A:$A,PPL!$A24,DATA!E:E)</f>
        <v>10</v>
      </c>
      <c r="H24">
        <f>SUMIF(DATA!$A:$A,PPL!$A24,DATA!F:F)</f>
        <v>0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3</v>
      </c>
      <c r="L24">
        <f>SUMIF(DATA!$A:$A,PPL!$A24,DATA!J:J)</f>
        <v>0</v>
      </c>
      <c r="M24">
        <f t="shared" si="0"/>
        <v>495</v>
      </c>
      <c r="N24">
        <f t="shared" si="1"/>
        <v>862</v>
      </c>
      <c r="O24" s="3">
        <f t="shared" si="2"/>
        <v>98.853211009174316</v>
      </c>
      <c r="P24">
        <f t="shared" si="3"/>
        <v>10</v>
      </c>
      <c r="Q24">
        <f>SUMIF(DATA!A:A,PPL!A24,DATA!N:N)</f>
        <v>367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968</v>
      </c>
      <c r="F25">
        <f>SUMIF(DATA!$A:$A,PPL!$A25,DATA!D:D)</f>
        <v>960</v>
      </c>
      <c r="G25">
        <f>SUMIF(DATA!$A:$A,PPL!$A25,DATA!E:E)</f>
        <v>2</v>
      </c>
      <c r="H25">
        <f>SUMIF(DATA!$A:$A,PPL!$A25,DATA!F:F)</f>
        <v>0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6</v>
      </c>
      <c r="L25">
        <f>SUMIF(DATA!$A:$A,PPL!$A25,DATA!J:J)</f>
        <v>0</v>
      </c>
      <c r="M25">
        <f t="shared" si="0"/>
        <v>550</v>
      </c>
      <c r="N25">
        <f t="shared" si="1"/>
        <v>966</v>
      </c>
      <c r="O25" s="3">
        <f t="shared" si="2"/>
        <v>99.793388429752056</v>
      </c>
      <c r="P25">
        <f t="shared" si="3"/>
        <v>2</v>
      </c>
      <c r="Q25">
        <f>SUMIF(DATA!A:A,PPL!A25,DATA!N:N)</f>
        <v>416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991</v>
      </c>
      <c r="F26">
        <f>SUMIF(DATA!$A:$A,PPL!$A26,DATA!D:D)</f>
        <v>969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21</v>
      </c>
      <c r="L26">
        <f>SUMIF(DATA!$A:$A,PPL!$A26,DATA!J:J)</f>
        <v>0</v>
      </c>
      <c r="M26">
        <f t="shared" si="0"/>
        <v>496</v>
      </c>
      <c r="N26">
        <f t="shared" si="1"/>
        <v>991</v>
      </c>
      <c r="O26" s="3">
        <f t="shared" si="2"/>
        <v>100</v>
      </c>
      <c r="P26">
        <f t="shared" si="3"/>
        <v>0</v>
      </c>
      <c r="Q26">
        <f>SUMIF(DATA!A:A,PPL!A26,DATA!N:N)</f>
        <v>495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964</v>
      </c>
      <c r="F27">
        <f>SUMIF(DATA!$A:$A,PPL!$A27,DATA!D:D)</f>
        <v>587</v>
      </c>
      <c r="G27">
        <f>SUMIF(DATA!$A:$A,PPL!$A27,DATA!E:E)</f>
        <v>34</v>
      </c>
      <c r="H27">
        <f>SUMIF(DATA!$A:$A,PPL!$A27,DATA!F:F)</f>
        <v>0</v>
      </c>
      <c r="I27">
        <f>SUMIF(DATA!$A:$A,PPL!$A27,DATA!G:G)</f>
        <v>20</v>
      </c>
      <c r="J27">
        <f>SUMIF(DATA!$A:$A,PPL!$A27,DATA!H:H)</f>
        <v>0</v>
      </c>
      <c r="K27">
        <f>SUMIF(DATA!$A:$A,PPL!$A27,DATA!I:I)</f>
        <v>323</v>
      </c>
      <c r="L27">
        <f>SUMIF(DATA!$A:$A,PPL!$A27,DATA!J:J)</f>
        <v>0</v>
      </c>
      <c r="M27">
        <f t="shared" si="0"/>
        <v>629</v>
      </c>
      <c r="N27">
        <f t="shared" si="1"/>
        <v>930</v>
      </c>
      <c r="O27" s="3">
        <f t="shared" si="2"/>
        <v>96.473029045643159</v>
      </c>
      <c r="P27">
        <f t="shared" si="3"/>
        <v>34</v>
      </c>
      <c r="Q27">
        <f>SUMIF(DATA!A:A,PPL!A27,DATA!N:N)</f>
        <v>301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985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2</v>
      </c>
      <c r="L28">
        <f>SUMIF(DATA!$A:$A,PPL!$A28,DATA!J:J)</f>
        <v>0</v>
      </c>
      <c r="M28">
        <f t="shared" si="0"/>
        <v>556</v>
      </c>
      <c r="N28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3</v>
      </c>
      <c r="J29">
        <f>SUMIF(DATA!$A:$A,PPL!$A29,DATA!H:H)</f>
        <v>0</v>
      </c>
      <c r="K29">
        <f>SUMIF(DATA!$A:$A,PPL!$A29,DATA!I:I)</f>
        <v>2</v>
      </c>
      <c r="L29">
        <f>SUMIF(DATA!$A:$A,PPL!$A29,DATA!J:J)</f>
        <v>0</v>
      </c>
      <c r="M29">
        <f t="shared" si="0"/>
        <v>395</v>
      </c>
      <c r="N29">
        <f t="shared" si="1"/>
        <v>705</v>
      </c>
      <c r="O29" s="3">
        <f t="shared" si="2"/>
        <v>100</v>
      </c>
      <c r="P29">
        <f t="shared" si="3"/>
        <v>0</v>
      </c>
      <c r="Q29">
        <f>SUMIF(DATA!A:A,PPL!A29,DATA!N:N)</f>
        <v>310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889</v>
      </c>
      <c r="F30">
        <f>SUMIF(DATA!$A:$A,PPL!$A30,DATA!D:D)</f>
        <v>694</v>
      </c>
      <c r="G30">
        <f>SUMIF(DATA!$A:$A,PPL!$A30,DATA!E:E)</f>
        <v>9</v>
      </c>
      <c r="H30">
        <f>SUMIF(DATA!$A:$A,PPL!$A30,DATA!F:F)</f>
        <v>0</v>
      </c>
      <c r="I30">
        <f>SUMIF(DATA!$A:$A,PPL!$A30,DATA!G:G)</f>
        <v>36</v>
      </c>
      <c r="J30">
        <f>SUMIF(DATA!$A:$A,PPL!$A30,DATA!H:H)</f>
        <v>0</v>
      </c>
      <c r="K30">
        <f>SUMIF(DATA!$A:$A,PPL!$A30,DATA!I:I)</f>
        <v>150</v>
      </c>
      <c r="L30">
        <f>SUMIF(DATA!$A:$A,PPL!$A30,DATA!J:J)</f>
        <v>0</v>
      </c>
      <c r="M30">
        <f t="shared" si="0"/>
        <v>441</v>
      </c>
      <c r="N30">
        <f t="shared" si="1"/>
        <v>880</v>
      </c>
      <c r="O30" s="3">
        <f t="shared" si="2"/>
        <v>98.987626546681668</v>
      </c>
      <c r="P30">
        <f t="shared" si="3"/>
        <v>9</v>
      </c>
      <c r="Q30">
        <f>SUMIF(DATA!A:A,PPL!A30,DATA!N:N)</f>
        <v>439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870</v>
      </c>
      <c r="F31">
        <f>SUMIF(DATA!$A:$A,PPL!$A31,DATA!D:D)</f>
        <v>611</v>
      </c>
      <c r="G31">
        <f>SUMIF(DATA!$A:$A,PPL!$A31,DATA!E:E)</f>
        <v>0</v>
      </c>
      <c r="H31">
        <f>SUMIF(DATA!$A:$A,PPL!$A31,DATA!F:F)</f>
        <v>0</v>
      </c>
      <c r="I31">
        <f>SUMIF(DATA!$A:$A,PPL!$A31,DATA!G:G)</f>
        <v>22</v>
      </c>
      <c r="J31">
        <f>SUMIF(DATA!$A:$A,PPL!$A31,DATA!H:H)</f>
        <v>0</v>
      </c>
      <c r="K31">
        <f>SUMIF(DATA!$A:$A,PPL!$A31,DATA!I:I)</f>
        <v>237</v>
      </c>
      <c r="L31">
        <f>SUMIF(DATA!$A:$A,PPL!$A31,DATA!J:J)</f>
        <v>0</v>
      </c>
      <c r="M31">
        <f t="shared" si="0"/>
        <v>415</v>
      </c>
      <c r="N31">
        <f t="shared" si="1"/>
        <v>870</v>
      </c>
      <c r="O31" s="3">
        <f t="shared" si="2"/>
        <v>100</v>
      </c>
      <c r="P31">
        <f t="shared" si="3"/>
        <v>0</v>
      </c>
      <c r="Q31">
        <f>SUMIF(DATA!A:A,PPL!A31,DATA!N:N)</f>
        <v>455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914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18</v>
      </c>
      <c r="J32">
        <f>SUMIF(DATA!$A:$A,PPL!$A32,DATA!H:H)</f>
        <v>0</v>
      </c>
      <c r="K32">
        <f>SUMIF(DATA!$A:$A,PPL!$A32,DATA!I:I)</f>
        <v>11</v>
      </c>
      <c r="L32">
        <f>SUMIF(DATA!$A:$A,PPL!$A32,DATA!J:J)</f>
        <v>0</v>
      </c>
      <c r="M32">
        <f t="shared" si="0"/>
        <v>493</v>
      </c>
      <c r="N32">
        <f t="shared" si="1"/>
        <v>943</v>
      </c>
      <c r="O32" s="3">
        <f t="shared" si="2"/>
        <v>100</v>
      </c>
      <c r="P32">
        <f t="shared" si="3"/>
        <v>0</v>
      </c>
      <c r="Q32">
        <f>SUMIF(DATA!A:A,PPL!A32,DATA!N:N)</f>
        <v>450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875</v>
      </c>
      <c r="F33">
        <f>SUMIF(DATA!$A:$A,PPL!$A33,DATA!D:D)</f>
        <v>812</v>
      </c>
      <c r="G33">
        <f>SUMIF(DATA!$A:$A,PPL!$A33,DATA!E:E)</f>
        <v>1</v>
      </c>
      <c r="H33">
        <f>SUMIF(DATA!$A:$A,PPL!$A33,DATA!F:F)</f>
        <v>0</v>
      </c>
      <c r="I33">
        <f>SUMIF(DATA!$A:$A,PPL!$A33,DATA!G:G)</f>
        <v>35</v>
      </c>
      <c r="J33">
        <f>SUMIF(DATA!$A:$A,PPL!$A33,DATA!H:H)</f>
        <v>0</v>
      </c>
      <c r="K33">
        <f>SUMIF(DATA!$A:$A,PPL!$A33,DATA!I:I)</f>
        <v>27</v>
      </c>
      <c r="L33">
        <f>SUMIF(DATA!$A:$A,PPL!$A33,DATA!J:J)</f>
        <v>0</v>
      </c>
      <c r="M33">
        <f t="shared" si="0"/>
        <v>544</v>
      </c>
      <c r="N33">
        <f t="shared" si="1"/>
        <v>874</v>
      </c>
      <c r="O33" s="3">
        <f t="shared" si="2"/>
        <v>99.885714285714286</v>
      </c>
      <c r="P33">
        <f t="shared" si="3"/>
        <v>1</v>
      </c>
      <c r="Q33">
        <f>SUMIF(DATA!A:A,PPL!A33,DATA!N:N)</f>
        <v>330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770</v>
      </c>
      <c r="G34">
        <f>SUMIF(DATA!$A:$A,PPL!$A34,DATA!E:E)</f>
        <v>3</v>
      </c>
      <c r="H34">
        <f>SUMIF(DATA!$A:$A,PPL!$A34,DATA!F:F)</f>
        <v>0</v>
      </c>
      <c r="I34">
        <f>SUMIF(DATA!$A:$A,PPL!$A34,DATA!G:G)</f>
        <v>4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365</v>
      </c>
      <c r="N34">
        <f t="shared" si="1"/>
        <v>774</v>
      </c>
      <c r="O34" s="3">
        <f t="shared" si="2"/>
        <v>99.613899613899619</v>
      </c>
      <c r="P34">
        <f t="shared" si="3"/>
        <v>3</v>
      </c>
      <c r="Q34">
        <f>SUMIF(DATA!A:A,PPL!A34,DATA!N:N)</f>
        <v>409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725</v>
      </c>
      <c r="F35">
        <f>SUMIF(DATA!$A:$A,PPL!$A35,DATA!D:D)</f>
        <v>724</v>
      </c>
      <c r="G35">
        <f>SUMIF(DATA!$A:$A,PPL!$A35,DATA!E:E)</f>
        <v>1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0</v>
      </c>
      <c r="L35">
        <f>SUMIF(DATA!$A:$A,PPL!$A35,DATA!J:J)</f>
        <v>0</v>
      </c>
      <c r="M35">
        <f t="shared" si="4"/>
        <v>443</v>
      </c>
      <c r="N35">
        <f t="shared" si="1"/>
        <v>724</v>
      </c>
      <c r="O35" s="3">
        <f t="shared" si="2"/>
        <v>99.862068965517238</v>
      </c>
      <c r="P35">
        <f t="shared" si="3"/>
        <v>1</v>
      </c>
      <c r="Q35">
        <f>SUMIF(DATA!A:A,PPL!A35,DATA!N:N)</f>
        <v>281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992</v>
      </c>
      <c r="G36">
        <f>SUMIF(DATA!$A:$A,PPL!$A36,DATA!E:E)</f>
        <v>0</v>
      </c>
      <c r="H36">
        <f>SUMIF(DATA!$A:$A,PPL!$A36,DATA!F:F)</f>
        <v>0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4"/>
        <v>536</v>
      </c>
      <c r="N36">
        <f t="shared" si="1"/>
        <v>993</v>
      </c>
      <c r="O36" s="3">
        <f t="shared" si="2"/>
        <v>100</v>
      </c>
      <c r="P36">
        <f t="shared" si="3"/>
        <v>0</v>
      </c>
      <c r="Q36">
        <f>SUMIF(DATA!A:A,PPL!A36,DATA!N:N)</f>
        <v>457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718</v>
      </c>
      <c r="G37">
        <f>SUMIF(DATA!$A:$A,PPL!$A37,DATA!E:E)</f>
        <v>0</v>
      </c>
      <c r="H37">
        <f>SUMIF(DATA!$A:$A,PPL!$A37,DATA!F:F)</f>
        <v>0</v>
      </c>
      <c r="I37">
        <f>SUMIF(DATA!$A:$A,PPL!$A37,DATA!G:G)</f>
        <v>3</v>
      </c>
      <c r="J37">
        <f>SUMIF(DATA!$A:$A,PPL!$A37,DATA!H:H)</f>
        <v>0</v>
      </c>
      <c r="K37">
        <f>SUMIF(DATA!$A:$A,PPL!$A37,DATA!I:I)</f>
        <v>154</v>
      </c>
      <c r="L37">
        <f>SUMIF(DATA!$A:$A,PPL!$A37,DATA!J:J)</f>
        <v>0</v>
      </c>
      <c r="M37">
        <f t="shared" si="4"/>
        <v>510</v>
      </c>
      <c r="N37">
        <f t="shared" si="1"/>
        <v>875</v>
      </c>
      <c r="O37" s="3">
        <f t="shared" si="2"/>
        <v>100</v>
      </c>
      <c r="P37">
        <f t="shared" si="3"/>
        <v>0</v>
      </c>
      <c r="Q37">
        <f>SUMIF(DATA!A:A,PPL!A37,DATA!N:N)</f>
        <v>365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901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366</v>
      </c>
      <c r="L38">
        <f>SUMIF(DATA!$A:$A,PPL!$A38,DATA!J:J)</f>
        <v>0</v>
      </c>
      <c r="M38">
        <f t="shared" si="4"/>
        <v>591</v>
      </c>
      <c r="N38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878</v>
      </c>
      <c r="G39">
        <f>SUMIF(DATA!$A:$A,PPL!$A39,DATA!E:E)</f>
        <v>6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474</v>
      </c>
      <c r="N39">
        <f t="shared" si="1"/>
        <v>879</v>
      </c>
      <c r="O39" s="3">
        <f t="shared" si="2"/>
        <v>99.322033898305079</v>
      </c>
      <c r="P39">
        <f t="shared" si="3"/>
        <v>6</v>
      </c>
      <c r="Q39">
        <f>SUMIF(DATA!A:A,PPL!A39,DATA!N:N)</f>
        <v>405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900</v>
      </c>
      <c r="F40">
        <f>SUMIF(DATA!$A:$A,PPL!$A40,DATA!D:D)</f>
        <v>402</v>
      </c>
      <c r="G40">
        <f>SUMIF(DATA!$A:$A,PPL!$A40,DATA!E:E)</f>
        <v>14</v>
      </c>
      <c r="H40">
        <f>SUMIF(DATA!$A:$A,PPL!$A40,DATA!F:F)</f>
        <v>0</v>
      </c>
      <c r="I40">
        <f>SUMIF(DATA!$A:$A,PPL!$A40,DATA!G:G)</f>
        <v>42</v>
      </c>
      <c r="J40">
        <f>SUMIF(DATA!$A:$A,PPL!$A40,DATA!H:H)</f>
        <v>2</v>
      </c>
      <c r="K40">
        <f>SUMIF(DATA!$A:$A,PPL!$A40,DATA!I:I)</f>
        <v>439</v>
      </c>
      <c r="L40">
        <f>SUMIF(DATA!$A:$A,PPL!$A40,DATA!J:J)</f>
        <v>1</v>
      </c>
      <c r="M40">
        <f t="shared" si="4"/>
        <v>458</v>
      </c>
      <c r="N40">
        <f t="shared" si="1"/>
        <v>886</v>
      </c>
      <c r="O40" s="3">
        <f t="shared" si="2"/>
        <v>98.444444444444443</v>
      </c>
      <c r="P40">
        <f t="shared" si="3"/>
        <v>14</v>
      </c>
      <c r="Q40">
        <f>SUMIF(DATA!A:A,PPL!A40,DATA!N:N)</f>
        <v>428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1031</v>
      </c>
      <c r="F41">
        <f>SUMIF(DATA!$A:$A,PPL!$A41,DATA!D:D)</f>
        <v>840</v>
      </c>
      <c r="G41">
        <f>SUMIF(DATA!$A:$A,PPL!$A41,DATA!E:E)</f>
        <v>2</v>
      </c>
      <c r="H41">
        <f>SUMIF(DATA!$A:$A,PPL!$A41,DATA!F:F)</f>
        <v>0</v>
      </c>
      <c r="I41">
        <f>SUMIF(DATA!$A:$A,PPL!$A41,DATA!G:G)</f>
        <v>2</v>
      </c>
      <c r="J41">
        <f>SUMIF(DATA!$A:$A,PPL!$A41,DATA!H:H)</f>
        <v>3</v>
      </c>
      <c r="K41">
        <f>SUMIF(DATA!$A:$A,PPL!$A41,DATA!I:I)</f>
        <v>184</v>
      </c>
      <c r="L41">
        <f>SUMIF(DATA!$A:$A,PPL!$A41,DATA!J:J)</f>
        <v>0</v>
      </c>
      <c r="M41">
        <f t="shared" si="4"/>
        <v>644</v>
      </c>
      <c r="N41">
        <f t="shared" si="1"/>
        <v>1029</v>
      </c>
      <c r="O41" s="3">
        <f t="shared" si="2"/>
        <v>99.806013579049463</v>
      </c>
      <c r="P41">
        <f t="shared" si="3"/>
        <v>2</v>
      </c>
      <c r="Q41">
        <f>SUMIF(DATA!A:A,PPL!A41,DATA!N:N)</f>
        <v>385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935</v>
      </c>
      <c r="F42">
        <f>SUMIF(DATA!$A:$A,PPL!$A42,DATA!D:D)</f>
        <v>558</v>
      </c>
      <c r="G42">
        <f>SUMIF(DATA!$A:$A,PPL!$A42,DATA!E:E)</f>
        <v>77</v>
      </c>
      <c r="H42">
        <f>SUMIF(DATA!$A:$A,PPL!$A42,DATA!F:F)</f>
        <v>0</v>
      </c>
      <c r="I42">
        <f>SUMIF(DATA!$A:$A,PPL!$A42,DATA!G:G)</f>
        <v>51</v>
      </c>
      <c r="J42">
        <f>SUMIF(DATA!$A:$A,PPL!$A42,DATA!H:H)</f>
        <v>3</v>
      </c>
      <c r="K42">
        <f>SUMIF(DATA!$A:$A,PPL!$A42,DATA!I:I)</f>
        <v>246</v>
      </c>
      <c r="L42">
        <f>SUMIF(DATA!$A:$A,PPL!$A42,DATA!J:J)</f>
        <v>0</v>
      </c>
      <c r="M42">
        <f t="shared" si="4"/>
        <v>539</v>
      </c>
      <c r="N42">
        <f t="shared" si="1"/>
        <v>858</v>
      </c>
      <c r="O42" s="3">
        <f t="shared" si="2"/>
        <v>91.764705882352942</v>
      </c>
      <c r="P42">
        <f t="shared" si="3"/>
        <v>77</v>
      </c>
      <c r="Q42">
        <f>SUMIF(DATA!A:A,PPL!A42,DATA!N:N)</f>
        <v>319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875</v>
      </c>
      <c r="F43">
        <f>SUMIF(DATA!$A:$A,PPL!$A43,DATA!D:D)</f>
        <v>620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10</v>
      </c>
      <c r="J43">
        <f>SUMIF(DATA!$A:$A,PPL!$A43,DATA!H:H)</f>
        <v>1</v>
      </c>
      <c r="K43">
        <f>SUMIF(DATA!$A:$A,PPL!$A43,DATA!I:I)</f>
        <v>244</v>
      </c>
      <c r="L43">
        <f>SUMIF(DATA!$A:$A,PPL!$A43,DATA!J:J)</f>
        <v>0</v>
      </c>
      <c r="M43">
        <f t="shared" si="4"/>
        <v>517</v>
      </c>
      <c r="N43">
        <f t="shared" si="1"/>
        <v>875</v>
      </c>
      <c r="O43" s="3">
        <f t="shared" si="2"/>
        <v>100</v>
      </c>
      <c r="P43">
        <f t="shared" si="3"/>
        <v>0</v>
      </c>
      <c r="Q43">
        <f>SUMIF(DATA!A:A,PPL!A43,DATA!N:N)</f>
        <v>358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621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0</v>
      </c>
      <c r="L44">
        <f>SUMIF(DATA!$A:$A,PPL!$A44,DATA!J:J)</f>
        <v>0</v>
      </c>
      <c r="M44">
        <f t="shared" si="4"/>
        <v>350</v>
      </c>
      <c r="N44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704</v>
      </c>
      <c r="F46">
        <f>SUMIF(DATA!$A:$A,PPL!$A46,DATA!D:D)</f>
        <v>442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3</v>
      </c>
      <c r="J46">
        <f>SUMIF(DATA!$A:$A,PPL!$A46,DATA!H:H)</f>
        <v>1</v>
      </c>
      <c r="K46">
        <f>SUMIF(DATA!$A:$A,PPL!$A46,DATA!I:I)</f>
        <v>257</v>
      </c>
      <c r="L46">
        <f>SUMIF(DATA!$A:$A,PPL!$A46,DATA!J:J)</f>
        <v>0</v>
      </c>
      <c r="M46">
        <f t="shared" si="4"/>
        <v>336</v>
      </c>
      <c r="N46">
        <f t="shared" si="1"/>
        <v>703</v>
      </c>
      <c r="O46" s="3">
        <f t="shared" si="2"/>
        <v>99.857954545454547</v>
      </c>
      <c r="P46">
        <f t="shared" si="3"/>
        <v>1</v>
      </c>
      <c r="Q46">
        <f>SUMIF(DATA!A:A,PPL!A46,DATA!N:N)</f>
        <v>367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754</v>
      </c>
      <c r="F47">
        <f>SUMIF(DATA!$A:$A,PPL!$A47,DATA!D:D)</f>
        <v>484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20</v>
      </c>
      <c r="J47">
        <f>SUMIF(DATA!$A:$A,PPL!$A47,DATA!H:H)</f>
        <v>0</v>
      </c>
      <c r="K47">
        <f>SUMIF(DATA!$A:$A,PPL!$A47,DATA!I:I)</f>
        <v>250</v>
      </c>
      <c r="L47">
        <f>SUMIF(DATA!$A:$A,PPL!$A47,DATA!J:J)</f>
        <v>0</v>
      </c>
      <c r="M47">
        <f t="shared" si="4"/>
        <v>405</v>
      </c>
      <c r="N47">
        <f t="shared" si="1"/>
        <v>754</v>
      </c>
      <c r="O47" s="3">
        <f t="shared" si="2"/>
        <v>100</v>
      </c>
      <c r="P47">
        <f t="shared" si="3"/>
        <v>0</v>
      </c>
      <c r="Q47">
        <f>SUMIF(DATA!A:A,PPL!A47,DATA!N:N)</f>
        <v>349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712</v>
      </c>
      <c r="F48">
        <f>SUMIF(DATA!$A:$A,PPL!$A48,DATA!D:D)</f>
        <v>294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1</v>
      </c>
      <c r="K48">
        <f>SUMIF(DATA!$A:$A,PPL!$A48,DATA!I:I)</f>
        <v>417</v>
      </c>
      <c r="L48">
        <f>SUMIF(DATA!$A:$A,PPL!$A48,DATA!J:J)</f>
        <v>0</v>
      </c>
      <c r="M48">
        <f t="shared" si="4"/>
        <v>372</v>
      </c>
      <c r="N48">
        <f t="shared" si="1"/>
        <v>712</v>
      </c>
      <c r="O48" s="3">
        <f t="shared" si="2"/>
        <v>100</v>
      </c>
      <c r="P48">
        <f t="shared" si="3"/>
        <v>0</v>
      </c>
      <c r="Q48">
        <f>SUMIF(DATA!A:A,PPL!A48,DATA!N:N)</f>
        <v>340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842</v>
      </c>
      <c r="F49">
        <f>SUMIF(DATA!$A:$A,PPL!$A49,DATA!D:D)</f>
        <v>270</v>
      </c>
      <c r="G49">
        <f>SUMIF(DATA!$A:$A,PPL!$A49,DATA!E:E)</f>
        <v>8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564</v>
      </c>
      <c r="L49">
        <f>SUMIF(DATA!$A:$A,PPL!$A49,DATA!J:J)</f>
        <v>0</v>
      </c>
      <c r="M49">
        <f t="shared" si="4"/>
        <v>449</v>
      </c>
      <c r="N49">
        <f t="shared" si="1"/>
        <v>834</v>
      </c>
      <c r="O49" s="3">
        <f t="shared" si="2"/>
        <v>99.049881235154388</v>
      </c>
      <c r="P49">
        <f t="shared" si="3"/>
        <v>8</v>
      </c>
      <c r="Q49">
        <f>SUMIF(DATA!A:A,PPL!A49,DATA!N:N)</f>
        <v>385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846</v>
      </c>
      <c r="F50">
        <f>SUMIF(DATA!$A:$A,PPL!$A50,DATA!D:D)</f>
        <v>822</v>
      </c>
      <c r="G50">
        <f>SUMIF(DATA!$A:$A,PPL!$A50,DATA!E:E)</f>
        <v>5</v>
      </c>
      <c r="H50">
        <f>SUMIF(DATA!$A:$A,PPL!$A50,DATA!F:F)</f>
        <v>0</v>
      </c>
      <c r="I50">
        <f>SUMIF(DATA!$A:$A,PPL!$A50,DATA!G:G)</f>
        <v>19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4"/>
        <v>454</v>
      </c>
      <c r="N50">
        <f t="shared" si="1"/>
        <v>841</v>
      </c>
      <c r="O50" s="3">
        <f t="shared" si="2"/>
        <v>99.408983451536642</v>
      </c>
      <c r="P50">
        <f t="shared" si="3"/>
        <v>5</v>
      </c>
      <c r="Q50">
        <f>SUMIF(DATA!A:A,PPL!A50,DATA!N:N)</f>
        <v>387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710</v>
      </c>
      <c r="F51">
        <f>SUMIF(DATA!$A:$A,PPL!$A51,DATA!D:D)</f>
        <v>701</v>
      </c>
      <c r="G51">
        <f>SUMIF(DATA!$A:$A,PPL!$A51,DATA!E:E)</f>
        <v>1</v>
      </c>
      <c r="H51">
        <f>SUMIF(DATA!$A:$A,PPL!$A51,DATA!F:F)</f>
        <v>0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7</v>
      </c>
      <c r="L51">
        <f>SUMIF(DATA!$A:$A,PPL!$A51,DATA!J:J)</f>
        <v>0</v>
      </c>
      <c r="M51">
        <f t="shared" si="4"/>
        <v>405</v>
      </c>
      <c r="N51">
        <f t="shared" si="1"/>
        <v>709</v>
      </c>
      <c r="O51" s="3">
        <f t="shared" si="2"/>
        <v>99.859154929577471</v>
      </c>
      <c r="P51">
        <f t="shared" si="3"/>
        <v>1</v>
      </c>
      <c r="Q51">
        <f>SUMIF(DATA!A:A,PPL!A51,DATA!N:N)</f>
        <v>304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989</v>
      </c>
      <c r="F52">
        <f>SUMIF(DATA!$A:$A,PPL!$A52,DATA!D:D)</f>
        <v>839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20</v>
      </c>
      <c r="J52">
        <f>SUMIF(DATA!$A:$A,PPL!$A52,DATA!H:H)</f>
        <v>1</v>
      </c>
      <c r="K52">
        <f>SUMIF(DATA!$A:$A,PPL!$A52,DATA!I:I)</f>
        <v>129</v>
      </c>
      <c r="L52">
        <f>SUMIF(DATA!$A:$A,PPL!$A52,DATA!J:J)</f>
        <v>0</v>
      </c>
      <c r="M52">
        <f t="shared" si="4"/>
        <v>581</v>
      </c>
      <c r="N52">
        <f t="shared" si="1"/>
        <v>989</v>
      </c>
      <c r="O52" s="3">
        <f t="shared" si="2"/>
        <v>100</v>
      </c>
      <c r="P52">
        <f t="shared" si="3"/>
        <v>0</v>
      </c>
      <c r="Q52">
        <f>SUMIF(DATA!A:A,PPL!A52,DATA!N:N)</f>
        <v>408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667</v>
      </c>
      <c r="F53">
        <f>SUMIF(DATA!$A:$A,PPL!$A53,DATA!D:D)</f>
        <v>641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26</v>
      </c>
      <c r="L53">
        <f>SUMIF(DATA!$A:$A,PPL!$A53,DATA!J:J)</f>
        <v>0</v>
      </c>
      <c r="M53">
        <f t="shared" si="4"/>
        <v>312</v>
      </c>
      <c r="N53">
        <f t="shared" si="1"/>
        <v>667</v>
      </c>
      <c r="O53" s="3">
        <f t="shared" si="2"/>
        <v>100</v>
      </c>
      <c r="P53">
        <f t="shared" si="3"/>
        <v>0</v>
      </c>
      <c r="Q53">
        <f>SUMIF(DATA!A:A,PPL!A53,DATA!N:N)</f>
        <v>355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738</v>
      </c>
      <c r="F54">
        <f>SUMIF(DATA!$A:$A,PPL!$A54,DATA!D:D)</f>
        <v>699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39</v>
      </c>
      <c r="L54">
        <f>SUMIF(DATA!$A:$A,PPL!$A54,DATA!J:J)</f>
        <v>0</v>
      </c>
      <c r="M54">
        <f t="shared" si="4"/>
        <v>357</v>
      </c>
      <c r="N54">
        <f t="shared" si="1"/>
        <v>738</v>
      </c>
      <c r="O54" s="3">
        <f t="shared" si="2"/>
        <v>100</v>
      </c>
      <c r="P54">
        <f t="shared" si="3"/>
        <v>0</v>
      </c>
      <c r="Q54">
        <f>SUMIF(DATA!A:A,PPL!A54,DATA!N:N)</f>
        <v>381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303</v>
      </c>
      <c r="G55">
        <f>SUMIF(DATA!$A:$A,PPL!$A55,DATA!E:E)</f>
        <v>25</v>
      </c>
      <c r="H55">
        <f>SUMIF(DATA!$A:$A,PPL!$A55,DATA!F:F)</f>
        <v>0</v>
      </c>
      <c r="I55">
        <f>SUMIF(DATA!$A:$A,PPL!$A55,DATA!G:G)</f>
        <v>57</v>
      </c>
      <c r="J55">
        <f>SUMIF(DATA!$A:$A,PPL!$A55,DATA!H:H)</f>
        <v>4</v>
      </c>
      <c r="K55">
        <f>SUMIF(DATA!$A:$A,PPL!$A55,DATA!I:I)</f>
        <v>353</v>
      </c>
      <c r="L55">
        <f>SUMIF(DATA!$A:$A,PPL!$A55,DATA!J:J)</f>
        <v>0</v>
      </c>
      <c r="M55">
        <f t="shared" si="4"/>
        <v>319</v>
      </c>
      <c r="N55">
        <f t="shared" si="1"/>
        <v>717</v>
      </c>
      <c r="O55" s="3">
        <f t="shared" si="2"/>
        <v>96.630727762803232</v>
      </c>
      <c r="P55">
        <f t="shared" si="3"/>
        <v>25</v>
      </c>
      <c r="Q55">
        <f>SUMIF(DATA!A:A,PPL!A55,DATA!N:N)</f>
        <v>398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782</v>
      </c>
      <c r="F56">
        <f>SUMIF(DATA!$A:$A,PPL!$A56,DATA!D:D)</f>
        <v>673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14</v>
      </c>
      <c r="J56">
        <f>SUMIF(DATA!$A:$A,PPL!$A56,DATA!H:H)</f>
        <v>0</v>
      </c>
      <c r="K56">
        <f>SUMIF(DATA!$A:$A,PPL!$A56,DATA!I:I)</f>
        <v>95</v>
      </c>
      <c r="L56">
        <f>SUMIF(DATA!$A:$A,PPL!$A56,DATA!J:J)</f>
        <v>0</v>
      </c>
      <c r="M56">
        <f t="shared" si="4"/>
        <v>443</v>
      </c>
      <c r="N56">
        <f t="shared" si="1"/>
        <v>782</v>
      </c>
      <c r="O56" s="3">
        <f t="shared" si="2"/>
        <v>100</v>
      </c>
      <c r="P56">
        <f t="shared" si="3"/>
        <v>0</v>
      </c>
      <c r="Q56">
        <f>SUMIF(DATA!A:A,PPL!A56,DATA!N:N)</f>
        <v>339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840</v>
      </c>
      <c r="F57">
        <f>SUMIF(DATA!$A:$A,PPL!$A57,DATA!D:D)</f>
        <v>840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493</v>
      </c>
      <c r="N57">
        <f t="shared" si="1"/>
        <v>840</v>
      </c>
      <c r="O57" s="3">
        <f t="shared" si="2"/>
        <v>100</v>
      </c>
      <c r="P57">
        <f t="shared" si="3"/>
        <v>0</v>
      </c>
      <c r="Q57">
        <f>SUMIF(DATA!A:A,PPL!A57,DATA!N:N)</f>
        <v>347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857</v>
      </c>
      <c r="F58">
        <f>SUMIF(DATA!$A:$A,PPL!$A58,DATA!D:D)</f>
        <v>791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1</v>
      </c>
      <c r="J58">
        <f>SUMIF(DATA!$A:$A,PPL!$A58,DATA!H:H)</f>
        <v>1</v>
      </c>
      <c r="K58">
        <f>SUMIF(DATA!$A:$A,PPL!$A58,DATA!I:I)</f>
        <v>64</v>
      </c>
      <c r="L58">
        <f>SUMIF(DATA!$A:$A,PPL!$A58,DATA!J:J)</f>
        <v>0</v>
      </c>
      <c r="M58">
        <f t="shared" si="4"/>
        <v>511</v>
      </c>
      <c r="N58">
        <f t="shared" si="1"/>
        <v>857</v>
      </c>
      <c r="O58" s="3">
        <f t="shared" si="2"/>
        <v>100</v>
      </c>
      <c r="P58">
        <f t="shared" si="3"/>
        <v>0</v>
      </c>
      <c r="Q58">
        <f>SUMIF(DATA!A:A,PPL!A58,DATA!N:N)</f>
        <v>346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872</v>
      </c>
      <c r="F59">
        <f>SUMIF(DATA!$A:$A,PPL!$A59,DATA!D:D)</f>
        <v>859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1</v>
      </c>
      <c r="J59">
        <f>SUMIF(DATA!$A:$A,PPL!$A59,DATA!H:H)</f>
        <v>0</v>
      </c>
      <c r="K59">
        <f>SUMIF(DATA!$A:$A,PPL!$A59,DATA!I:I)</f>
        <v>12</v>
      </c>
      <c r="L59">
        <f>SUMIF(DATA!$A:$A,PPL!$A59,DATA!J:J)</f>
        <v>0</v>
      </c>
      <c r="M59">
        <f t="shared" si="4"/>
        <v>435</v>
      </c>
      <c r="N59">
        <f t="shared" si="1"/>
        <v>872</v>
      </c>
      <c r="O59" s="3">
        <f t="shared" si="2"/>
        <v>100</v>
      </c>
      <c r="P59">
        <f t="shared" si="3"/>
        <v>0</v>
      </c>
      <c r="Q59">
        <f>SUMIF(DATA!A:A,PPL!A59,DATA!N:N)</f>
        <v>437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617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289</v>
      </c>
      <c r="L60">
        <f>SUMIF(DATA!$A:$A,PPL!$A60,DATA!J:J)</f>
        <v>0</v>
      </c>
      <c r="M60">
        <f t="shared" si="4"/>
        <v>553</v>
      </c>
      <c r="N60">
        <f t="shared" si="1"/>
        <v>910</v>
      </c>
      <c r="O60" s="3">
        <f t="shared" si="2"/>
        <v>100</v>
      </c>
      <c r="P60">
        <f t="shared" si="3"/>
        <v>0</v>
      </c>
      <c r="Q60">
        <f>SUMIF(DATA!A:A,PPL!A60,DATA!N:N)</f>
        <v>357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847</v>
      </c>
      <c r="F61">
        <f>SUMIF(DATA!$A:$A,PPL!$A61,DATA!D:D)</f>
        <v>612</v>
      </c>
      <c r="G61">
        <f>SUMIF(DATA!$A:$A,PPL!$A61,DATA!E:E)</f>
        <v>15</v>
      </c>
      <c r="H61">
        <f>SUMIF(DATA!$A:$A,PPL!$A61,DATA!F:F)</f>
        <v>0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215</v>
      </c>
      <c r="L61">
        <f>SUMIF(DATA!$A:$A,PPL!$A61,DATA!J:J)</f>
        <v>0</v>
      </c>
      <c r="M61">
        <f t="shared" si="4"/>
        <v>371</v>
      </c>
      <c r="N61">
        <f t="shared" si="1"/>
        <v>832</v>
      </c>
      <c r="O61" s="3">
        <f t="shared" si="2"/>
        <v>98.22904368358914</v>
      </c>
      <c r="P61">
        <f t="shared" si="3"/>
        <v>15</v>
      </c>
      <c r="Q61">
        <f>SUMIF(DATA!A:A,PPL!A61,DATA!N:N)</f>
        <v>461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965</v>
      </c>
      <c r="F62">
        <f>SUMIF(DATA!$A:$A,PPL!$A62,DATA!D:D)</f>
        <v>368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2</v>
      </c>
      <c r="J62">
        <f>SUMIF(DATA!$A:$A,PPL!$A62,DATA!H:H)</f>
        <v>0</v>
      </c>
      <c r="K62">
        <f>SUMIF(DATA!$A:$A,PPL!$A62,DATA!I:I)</f>
        <v>595</v>
      </c>
      <c r="L62">
        <f>SUMIF(DATA!$A:$A,PPL!$A62,DATA!J:J)</f>
        <v>0</v>
      </c>
      <c r="M62">
        <f t="shared" si="4"/>
        <v>552</v>
      </c>
      <c r="N62">
        <f t="shared" si="1"/>
        <v>965</v>
      </c>
      <c r="O62" s="3">
        <f t="shared" si="2"/>
        <v>100</v>
      </c>
      <c r="P62">
        <f t="shared" si="3"/>
        <v>0</v>
      </c>
      <c r="Q62">
        <f>SUMIF(DATA!A:A,PPL!A62,DATA!N:N)</f>
        <v>413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919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0</v>
      </c>
      <c r="L63">
        <f>SUMIF(DATA!$A:$A,PPL!$A63,DATA!J:J)</f>
        <v>0</v>
      </c>
      <c r="M63">
        <f t="shared" si="4"/>
        <v>635</v>
      </c>
      <c r="N63">
        <f t="shared" ref="N63:N124" si="5">F63+I63+J63+K63+L63</f>
        <v>919</v>
      </c>
      <c r="O63" s="3">
        <f t="shared" ref="O63:O124" si="6">(N63/E63)*100</f>
        <v>100</v>
      </c>
      <c r="P63">
        <f t="shared" si="3"/>
        <v>0</v>
      </c>
      <c r="Q63">
        <f>SUMIF(DATA!A:A,PPL!A63,DATA!N:N)</f>
        <v>284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724</v>
      </c>
      <c r="F64">
        <f>SUMIF(DATA!$A:$A,PPL!$A64,DATA!D:D)</f>
        <v>616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103</v>
      </c>
      <c r="J64">
        <f>SUMIF(DATA!$A:$A,PPL!$A64,DATA!H:H)</f>
        <v>2</v>
      </c>
      <c r="K64">
        <f>SUMIF(DATA!$A:$A,PPL!$A64,DATA!I:I)</f>
        <v>3</v>
      </c>
      <c r="L64">
        <f>SUMIF(DATA!$A:$A,PPL!$A64,DATA!J:J)</f>
        <v>0</v>
      </c>
      <c r="M64">
        <f t="shared" si="4"/>
        <v>412</v>
      </c>
      <c r="N64">
        <f t="shared" si="5"/>
        <v>724</v>
      </c>
      <c r="O64" s="3">
        <f t="shared" si="6"/>
        <v>100</v>
      </c>
      <c r="P64">
        <f t="shared" si="3"/>
        <v>0</v>
      </c>
      <c r="Q64">
        <f>SUMIF(DATA!A:A,PPL!A64,DATA!N:N)</f>
        <v>312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799</v>
      </c>
      <c r="F65">
        <f>SUMIF(DATA!$A:$A,PPL!$A65,DATA!D:D)</f>
        <v>473</v>
      </c>
      <c r="G65">
        <f>SUMIF(DATA!$A:$A,PPL!$A65,DATA!E:E)</f>
        <v>37</v>
      </c>
      <c r="H65">
        <f>SUMIF(DATA!$A:$A,PPL!$A65,DATA!F:F)</f>
        <v>0</v>
      </c>
      <c r="I65">
        <f>SUMIF(DATA!$A:$A,PPL!$A65,DATA!G:G)</f>
        <v>70</v>
      </c>
      <c r="J65">
        <f>SUMIF(DATA!$A:$A,PPL!$A65,DATA!H:H)</f>
        <v>2</v>
      </c>
      <c r="K65">
        <f>SUMIF(DATA!$A:$A,PPL!$A65,DATA!I:I)</f>
        <v>217</v>
      </c>
      <c r="L65">
        <f>SUMIF(DATA!$A:$A,PPL!$A65,DATA!J:J)</f>
        <v>0</v>
      </c>
      <c r="M65">
        <f t="shared" si="4"/>
        <v>421</v>
      </c>
      <c r="N65">
        <f t="shared" si="5"/>
        <v>762</v>
      </c>
      <c r="O65" s="3">
        <f t="shared" si="6"/>
        <v>95.369211514392987</v>
      </c>
      <c r="P65">
        <f t="shared" si="3"/>
        <v>37</v>
      </c>
      <c r="Q65">
        <f>SUMIF(DATA!A:A,PPL!A65,DATA!N:N)</f>
        <v>341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545</v>
      </c>
      <c r="F66">
        <f>SUMIF(DATA!$A:$A,PPL!$A66,DATA!D:D)</f>
        <v>545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0</v>
      </c>
      <c r="L66">
        <f>SUMIF(DATA!$A:$A,PPL!$A66,DATA!J:J)</f>
        <v>0</v>
      </c>
      <c r="M66">
        <f t="shared" ref="M66:M97" si="7">N66-Q66</f>
        <v>354</v>
      </c>
      <c r="N66">
        <f t="shared" si="5"/>
        <v>545</v>
      </c>
      <c r="O66" s="3">
        <f t="shared" si="6"/>
        <v>100</v>
      </c>
      <c r="P66">
        <f t="shared" si="3"/>
        <v>0</v>
      </c>
      <c r="Q66">
        <f>SUMIF(DATA!A:A,PPL!A66,DATA!N:N)</f>
        <v>191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591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0</v>
      </c>
      <c r="L67">
        <f>SUMIF(DATA!$A:$A,PPL!$A67,DATA!J:J)</f>
        <v>0</v>
      </c>
      <c r="M67">
        <f t="shared" si="7"/>
        <v>431</v>
      </c>
      <c r="N67">
        <f t="shared" si="5"/>
        <v>591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160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570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0</v>
      </c>
      <c r="L68">
        <f>SUMIF(DATA!$A:$A,PPL!$A68,DATA!J:J)</f>
        <v>0</v>
      </c>
      <c r="M68">
        <f t="shared" si="7"/>
        <v>409</v>
      </c>
      <c r="N68">
        <f t="shared" si="5"/>
        <v>570</v>
      </c>
      <c r="O68" s="3">
        <f t="shared" si="6"/>
        <v>100</v>
      </c>
      <c r="P68">
        <f t="shared" si="8"/>
        <v>0</v>
      </c>
      <c r="Q68">
        <f>SUMIF(DATA!A:A,PPL!A68,DATA!N:N)</f>
        <v>161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500</v>
      </c>
      <c r="F69">
        <f>SUMIF(DATA!$A:$A,PPL!$A69,DATA!D:D)</f>
        <v>500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7"/>
        <v>359</v>
      </c>
      <c r="N69">
        <f t="shared" si="5"/>
        <v>500</v>
      </c>
      <c r="O69" s="3">
        <f t="shared" si="6"/>
        <v>100</v>
      </c>
      <c r="P69">
        <f t="shared" si="8"/>
        <v>0</v>
      </c>
      <c r="Q69">
        <f>SUMIF(DATA!A:A,PPL!A69,DATA!N:N)</f>
        <v>141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624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0</v>
      </c>
      <c r="L70">
        <f>SUMIF(DATA!$A:$A,PPL!$A70,DATA!J:J)</f>
        <v>0</v>
      </c>
      <c r="M70">
        <f t="shared" si="7"/>
        <v>471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153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570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7"/>
        <v>349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221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617</v>
      </c>
      <c r="F72">
        <f>SUMIF(DATA!$A:$A,PPL!$A72,DATA!D:D)</f>
        <v>617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7"/>
        <v>434</v>
      </c>
      <c r="N72">
        <f t="shared" si="5"/>
        <v>617</v>
      </c>
      <c r="O72" s="3">
        <f t="shared" si="6"/>
        <v>100</v>
      </c>
      <c r="P72">
        <f t="shared" si="8"/>
        <v>0</v>
      </c>
      <c r="Q72">
        <f>SUMIF(DATA!A:A,PPL!A72,DATA!N:N)</f>
        <v>183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517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418</v>
      </c>
      <c r="N73">
        <f t="shared" si="5"/>
        <v>517</v>
      </c>
      <c r="O73" s="3">
        <f t="shared" si="6"/>
        <v>100</v>
      </c>
      <c r="P73">
        <f t="shared" si="8"/>
        <v>0</v>
      </c>
      <c r="Q73">
        <f>SUMIF(DATA!A:A,PPL!A73,DATA!N:N)</f>
        <v>99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465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9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7"/>
        <v>377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97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375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170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527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3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7"/>
        <v>402</v>
      </c>
      <c r="N76">
        <f t="shared" si="5"/>
        <v>530</v>
      </c>
      <c r="O76" s="3">
        <f t="shared" si="6"/>
        <v>100</v>
      </c>
      <c r="P76">
        <f t="shared" si="8"/>
        <v>0</v>
      </c>
      <c r="Q76">
        <f>SUMIF(DATA!A:A,PPL!A76,DATA!N:N)</f>
        <v>128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462</v>
      </c>
      <c r="F77">
        <f>SUMIF(DATA!$A:$A,PPL!$A77,DATA!D:D)</f>
        <v>461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1</v>
      </c>
      <c r="L77">
        <f>SUMIF(DATA!$A:$A,PPL!$A77,DATA!J:J)</f>
        <v>0</v>
      </c>
      <c r="M77">
        <f t="shared" si="7"/>
        <v>341</v>
      </c>
      <c r="N77">
        <f t="shared" si="5"/>
        <v>462</v>
      </c>
      <c r="O77" s="3">
        <f t="shared" si="6"/>
        <v>100</v>
      </c>
      <c r="P77">
        <f t="shared" si="8"/>
        <v>0</v>
      </c>
      <c r="Q77">
        <f>SUMIF(DATA!A:A,PPL!A77,DATA!N:N)</f>
        <v>121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369</v>
      </c>
      <c r="N78">
        <f t="shared" si="5"/>
        <v>479</v>
      </c>
      <c r="O78" s="3">
        <f t="shared" si="6"/>
        <v>100</v>
      </c>
      <c r="P78">
        <f t="shared" si="8"/>
        <v>0</v>
      </c>
      <c r="Q78">
        <f>SUMIF(DATA!A:A,PPL!A78,DATA!N:N)</f>
        <v>110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497</v>
      </c>
      <c r="F79">
        <f>SUMIF(DATA!$A:$A,PPL!$A79,DATA!D:D)</f>
        <v>495</v>
      </c>
      <c r="G79">
        <f>SUMIF(DATA!$A:$A,PPL!$A79,DATA!E:E)</f>
        <v>2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388</v>
      </c>
      <c r="N79">
        <f t="shared" si="5"/>
        <v>495</v>
      </c>
      <c r="O79" s="3">
        <f t="shared" si="6"/>
        <v>99.597585513078471</v>
      </c>
      <c r="P79">
        <f t="shared" si="8"/>
        <v>2</v>
      </c>
      <c r="Q79">
        <f>SUMIF(DATA!A:A,PPL!A79,DATA!N:N)</f>
        <v>107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481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7"/>
        <v>388</v>
      </c>
      <c r="N80">
        <f t="shared" si="5"/>
        <v>481</v>
      </c>
      <c r="O80" s="3">
        <f t="shared" si="6"/>
        <v>100</v>
      </c>
      <c r="P80">
        <f t="shared" si="8"/>
        <v>0</v>
      </c>
      <c r="Q80">
        <f>SUMIF(DATA!A:A,PPL!A80,DATA!N:N)</f>
        <v>93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863</v>
      </c>
      <c r="F81">
        <f>SUMIF(DATA!$A:$A,PPL!$A81,DATA!D:D)</f>
        <v>858</v>
      </c>
      <c r="G81">
        <f>SUMIF(DATA!$A:$A,PPL!$A81,DATA!E:E)</f>
        <v>5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7"/>
        <v>474</v>
      </c>
      <c r="N81">
        <f t="shared" si="5"/>
        <v>858</v>
      </c>
      <c r="O81" s="3">
        <f t="shared" si="6"/>
        <v>99.420625724217842</v>
      </c>
      <c r="P81">
        <f t="shared" si="8"/>
        <v>5</v>
      </c>
      <c r="Q81">
        <f>SUMIF(DATA!A:A,PPL!A81,DATA!N:N)</f>
        <v>384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814</v>
      </c>
      <c r="F82">
        <f>SUMIF(DATA!$A:$A,PPL!$A82,DATA!D:D)</f>
        <v>814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7"/>
        <v>414</v>
      </c>
      <c r="N82">
        <f t="shared" si="5"/>
        <v>814</v>
      </c>
      <c r="O82" s="3">
        <f t="shared" si="6"/>
        <v>100</v>
      </c>
      <c r="P82">
        <f t="shared" si="8"/>
        <v>0</v>
      </c>
      <c r="Q82">
        <f>SUMIF(DATA!A:A,PPL!A82,DATA!N:N)</f>
        <v>400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660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92</v>
      </c>
      <c r="L83">
        <f>SUMIF(DATA!$A:$A,PPL!$A83,DATA!J:J)</f>
        <v>0</v>
      </c>
      <c r="M83">
        <f t="shared" si="7"/>
        <v>337</v>
      </c>
      <c r="N83">
        <f t="shared" si="5"/>
        <v>753</v>
      </c>
      <c r="O83" s="3">
        <f t="shared" si="6"/>
        <v>100</v>
      </c>
      <c r="P83">
        <f t="shared" si="8"/>
        <v>0</v>
      </c>
      <c r="Q83">
        <f>SUMIF(DATA!A:A,PPL!A83,DATA!N:N)</f>
        <v>416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7"/>
        <v>443</v>
      </c>
      <c r="N84">
        <f t="shared" si="5"/>
        <v>730</v>
      </c>
      <c r="O84" s="3">
        <f t="shared" si="6"/>
        <v>100</v>
      </c>
      <c r="P84">
        <f t="shared" si="8"/>
        <v>0</v>
      </c>
      <c r="Q84">
        <f>SUMIF(DATA!A:A,PPL!A84,DATA!N:N)</f>
        <v>287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686</v>
      </c>
      <c r="F85">
        <f>SUMIF(DATA!$A:$A,PPL!$A85,DATA!D:D)</f>
        <v>683</v>
      </c>
      <c r="G85">
        <f>SUMIF(DATA!$A:$A,PPL!$A85,DATA!E:E)</f>
        <v>2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</v>
      </c>
      <c r="L85">
        <f>SUMIF(DATA!$A:$A,PPL!$A85,DATA!J:J)</f>
        <v>0</v>
      </c>
      <c r="M85">
        <f t="shared" si="7"/>
        <v>481</v>
      </c>
      <c r="N85">
        <f t="shared" si="5"/>
        <v>684</v>
      </c>
      <c r="O85" s="3">
        <f t="shared" si="6"/>
        <v>99.708454810495624</v>
      </c>
      <c r="P85">
        <f t="shared" si="8"/>
        <v>2</v>
      </c>
      <c r="Q85">
        <f>SUMIF(DATA!A:A,PPL!A85,DATA!N:N)</f>
        <v>203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7"/>
        <v>530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166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778</v>
      </c>
      <c r="F87">
        <f>SUMIF(DATA!$A:$A,PPL!$A87,DATA!D:D)</f>
        <v>318</v>
      </c>
      <c r="G87">
        <f>SUMIF(DATA!$A:$A,PPL!$A87,DATA!E:E)</f>
        <v>94</v>
      </c>
      <c r="H87">
        <f>SUMIF(DATA!$A:$A,PPL!$A87,DATA!F:F)</f>
        <v>0</v>
      </c>
      <c r="I87">
        <f>SUMIF(DATA!$A:$A,PPL!$A87,DATA!G:G)</f>
        <v>49</v>
      </c>
      <c r="J87">
        <f>SUMIF(DATA!$A:$A,PPL!$A87,DATA!H:H)</f>
        <v>7</v>
      </c>
      <c r="K87">
        <f>SUMIF(DATA!$A:$A,PPL!$A87,DATA!I:I)</f>
        <v>310</v>
      </c>
      <c r="L87">
        <f>SUMIF(DATA!$A:$A,PPL!$A87,DATA!J:J)</f>
        <v>0</v>
      </c>
      <c r="M87">
        <f t="shared" si="7"/>
        <v>430</v>
      </c>
      <c r="N87">
        <f t="shared" si="5"/>
        <v>684</v>
      </c>
      <c r="O87" s="3">
        <f t="shared" si="6"/>
        <v>87.917737789203088</v>
      </c>
      <c r="P87">
        <f t="shared" si="8"/>
        <v>94</v>
      </c>
      <c r="Q87">
        <f>SUMIF(DATA!A:A,PPL!A87,DATA!N:N)</f>
        <v>254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759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7"/>
        <v>563</v>
      </c>
      <c r="N88">
        <f t="shared" si="5"/>
        <v>759</v>
      </c>
      <c r="O88" s="3">
        <f t="shared" si="6"/>
        <v>100</v>
      </c>
      <c r="P88">
        <f t="shared" si="8"/>
        <v>0</v>
      </c>
      <c r="Q88">
        <f>SUMIF(DATA!A:A,PPL!A88,DATA!N:N)</f>
        <v>196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720</v>
      </c>
      <c r="F89">
        <f>SUMIF(DATA!$A:$A,PPL!$A89,DATA!D:D)</f>
        <v>597</v>
      </c>
      <c r="G89">
        <f>SUMIF(DATA!$A:$A,PPL!$A89,DATA!E:E)</f>
        <v>5</v>
      </c>
      <c r="H89">
        <f>SUMIF(DATA!$A:$A,PPL!$A89,DATA!F:F)</f>
        <v>0</v>
      </c>
      <c r="I89">
        <f>SUMIF(DATA!$A:$A,PPL!$A89,DATA!G:G)</f>
        <v>5</v>
      </c>
      <c r="J89">
        <f>SUMIF(DATA!$A:$A,PPL!$A89,DATA!H:H)</f>
        <v>1</v>
      </c>
      <c r="K89">
        <f>SUMIF(DATA!$A:$A,PPL!$A89,DATA!I:I)</f>
        <v>112</v>
      </c>
      <c r="L89">
        <f>SUMIF(DATA!$A:$A,PPL!$A89,DATA!J:J)</f>
        <v>0</v>
      </c>
      <c r="M89">
        <f t="shared" si="7"/>
        <v>367</v>
      </c>
      <c r="N89">
        <f t="shared" si="5"/>
        <v>715</v>
      </c>
      <c r="O89" s="3">
        <f t="shared" si="6"/>
        <v>99.305555555555557</v>
      </c>
      <c r="P89">
        <f t="shared" si="8"/>
        <v>5</v>
      </c>
      <c r="Q89">
        <f>SUMIF(DATA!A:A,PPL!A89,DATA!N:N)</f>
        <v>348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687</v>
      </c>
      <c r="F90">
        <f>SUMIF(DATA!$A:$A,PPL!$A90,DATA!D:D)</f>
        <v>451</v>
      </c>
      <c r="G90">
        <f>SUMIF(DATA!$A:$A,PPL!$A90,DATA!E:E)</f>
        <v>3</v>
      </c>
      <c r="H90">
        <f>SUMIF(DATA!$A:$A,PPL!$A90,DATA!F:F)</f>
        <v>0</v>
      </c>
      <c r="I90">
        <f>SUMIF(DATA!$A:$A,PPL!$A90,DATA!G:G)</f>
        <v>6</v>
      </c>
      <c r="J90">
        <f>SUMIF(DATA!$A:$A,PPL!$A90,DATA!H:H)</f>
        <v>0</v>
      </c>
      <c r="K90">
        <f>SUMIF(DATA!$A:$A,PPL!$A90,DATA!I:I)</f>
        <v>227</v>
      </c>
      <c r="L90">
        <f>SUMIF(DATA!$A:$A,PPL!$A90,DATA!J:J)</f>
        <v>0</v>
      </c>
      <c r="M90">
        <f t="shared" si="7"/>
        <v>373</v>
      </c>
      <c r="N90">
        <f t="shared" si="5"/>
        <v>684</v>
      </c>
      <c r="O90" s="3">
        <f t="shared" si="6"/>
        <v>99.563318777292579</v>
      </c>
      <c r="P90">
        <f t="shared" si="8"/>
        <v>3</v>
      </c>
      <c r="Q90">
        <f>SUMIF(DATA!A:A,PPL!A90,DATA!N:N)</f>
        <v>311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809</v>
      </c>
      <c r="F91">
        <f>SUMIF(DATA!$A:$A,PPL!$A91,DATA!D:D)</f>
        <v>445</v>
      </c>
      <c r="G91">
        <f>SUMIF(DATA!$A:$A,PPL!$A91,DATA!E:E)</f>
        <v>162</v>
      </c>
      <c r="H91">
        <f>SUMIF(DATA!$A:$A,PPL!$A91,DATA!F:F)</f>
        <v>0</v>
      </c>
      <c r="I91">
        <f>SUMIF(DATA!$A:$A,PPL!$A91,DATA!G:G)</f>
        <v>15</v>
      </c>
      <c r="J91">
        <f>SUMIF(DATA!$A:$A,PPL!$A91,DATA!H:H)</f>
        <v>27</v>
      </c>
      <c r="K91">
        <f>SUMIF(DATA!$A:$A,PPL!$A91,DATA!I:I)</f>
        <v>160</v>
      </c>
      <c r="L91">
        <f>SUMIF(DATA!$A:$A,PPL!$A91,DATA!J:J)</f>
        <v>0</v>
      </c>
      <c r="M91">
        <f t="shared" si="7"/>
        <v>413</v>
      </c>
      <c r="N91">
        <f t="shared" si="5"/>
        <v>647</v>
      </c>
      <c r="O91" s="3">
        <f t="shared" si="6"/>
        <v>79.975278121137208</v>
      </c>
      <c r="P91">
        <f t="shared" si="8"/>
        <v>162</v>
      </c>
      <c r="Q91">
        <f>SUMIF(DATA!A:A,PPL!A91,DATA!N:N)</f>
        <v>234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399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307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7"/>
        <v>384</v>
      </c>
      <c r="N93">
        <f t="shared" si="5"/>
        <v>764</v>
      </c>
      <c r="O93" s="3">
        <f t="shared" si="6"/>
        <v>100</v>
      </c>
      <c r="P93">
        <f t="shared" si="8"/>
        <v>0</v>
      </c>
      <c r="Q93">
        <f>SUMIF(DATA!A:A,PPL!A93,DATA!N:N)</f>
        <v>380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562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272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845</v>
      </c>
      <c r="F95">
        <f>SUMIF(DATA!$A:$A,PPL!$A95,DATA!D:D)</f>
        <v>844</v>
      </c>
      <c r="G95">
        <f>SUMIF(DATA!$A:$A,PPL!$A95,DATA!E:E)</f>
        <v>1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7"/>
        <v>509</v>
      </c>
      <c r="N95">
        <f t="shared" si="5"/>
        <v>844</v>
      </c>
      <c r="O95" s="3">
        <f t="shared" si="6"/>
        <v>99.881656804733737</v>
      </c>
      <c r="P95">
        <f t="shared" si="8"/>
        <v>1</v>
      </c>
      <c r="Q95">
        <f>SUMIF(DATA!A:A,PPL!A95,DATA!N:N)</f>
        <v>335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591</v>
      </c>
      <c r="F96">
        <f>SUMIF(DATA!$A:$A,PPL!$A96,DATA!D:D)</f>
        <v>591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7"/>
        <v>353</v>
      </c>
      <c r="N96">
        <f t="shared" si="5"/>
        <v>591</v>
      </c>
      <c r="O96" s="3">
        <f t="shared" si="6"/>
        <v>100</v>
      </c>
      <c r="P96">
        <f t="shared" si="8"/>
        <v>0</v>
      </c>
      <c r="Q96">
        <f>SUMIF(DATA!A:A,PPL!A96,DATA!N:N)</f>
        <v>238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692</v>
      </c>
      <c r="F97">
        <f>SUMIF(DATA!$A:$A,PPL!$A97,DATA!D:D)</f>
        <v>657</v>
      </c>
      <c r="G97">
        <f>SUMIF(DATA!$A:$A,PPL!$A97,DATA!E:E)</f>
        <v>3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32</v>
      </c>
      <c r="L97">
        <f>SUMIF(DATA!$A:$A,PPL!$A97,DATA!J:J)</f>
        <v>0</v>
      </c>
      <c r="M97">
        <f t="shared" si="7"/>
        <v>495</v>
      </c>
      <c r="N97">
        <f t="shared" si="5"/>
        <v>689</v>
      </c>
      <c r="O97" s="3">
        <f t="shared" si="6"/>
        <v>99.566473988439313</v>
      </c>
      <c r="P97">
        <f t="shared" si="8"/>
        <v>3</v>
      </c>
      <c r="Q97">
        <f>SUMIF(DATA!A:A,PPL!A97,DATA!N:N)</f>
        <v>194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902</v>
      </c>
      <c r="F98">
        <f>SUMIF(DATA!$A:$A,PPL!$A98,DATA!D:D)</f>
        <v>898</v>
      </c>
      <c r="G98">
        <f>SUMIF(DATA!$A:$A,PPL!$A98,DATA!E:E)</f>
        <v>0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4</v>
      </c>
      <c r="L98">
        <f>SUMIF(DATA!$A:$A,PPL!$A98,DATA!J:J)</f>
        <v>0</v>
      </c>
      <c r="M98">
        <f t="shared" ref="M98:M129" si="9">N98-Q98</f>
        <v>609</v>
      </c>
      <c r="N98">
        <f t="shared" si="5"/>
        <v>902</v>
      </c>
      <c r="O98" s="3">
        <f t="shared" si="6"/>
        <v>100</v>
      </c>
      <c r="P98">
        <f t="shared" si="8"/>
        <v>0</v>
      </c>
      <c r="Q98">
        <f>SUMIF(DATA!A:A,PPL!A98,DATA!N:N)</f>
        <v>293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794</v>
      </c>
      <c r="F99">
        <f>SUMIF(DATA!$A:$A,PPL!$A99,DATA!D:D)</f>
        <v>794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9"/>
        <v>465</v>
      </c>
      <c r="N99">
        <f t="shared" si="5"/>
        <v>794</v>
      </c>
      <c r="O99" s="3">
        <f t="shared" si="6"/>
        <v>100</v>
      </c>
      <c r="P99">
        <f t="shared" si="8"/>
        <v>0</v>
      </c>
      <c r="Q99">
        <f>SUMIF(DATA!A:A,PPL!A99,DATA!N:N)</f>
        <v>329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935</v>
      </c>
      <c r="G100">
        <f>SUMIF(DATA!$A:$A,PPL!$A100,DATA!E:E)</f>
        <v>3</v>
      </c>
      <c r="H100">
        <f>SUMIF(DATA!$A:$A,PPL!$A100,DATA!F:F)</f>
        <v>0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0</v>
      </c>
      <c r="L100">
        <f>SUMIF(DATA!$A:$A,PPL!$A100,DATA!J:J)</f>
        <v>0</v>
      </c>
      <c r="M100">
        <f t="shared" si="9"/>
        <v>428</v>
      </c>
      <c r="N100">
        <f t="shared" si="5"/>
        <v>935</v>
      </c>
      <c r="O100" s="3">
        <f t="shared" si="6"/>
        <v>99.680170575692955</v>
      </c>
      <c r="P100">
        <f t="shared" si="8"/>
        <v>3</v>
      </c>
      <c r="Q100">
        <f>SUMIF(DATA!A:A,PPL!A100,DATA!N:N)</f>
        <v>507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853</v>
      </c>
      <c r="G101">
        <f>SUMIF(DATA!$A:$A,PPL!$A101,DATA!E:E)</f>
        <v>4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0</v>
      </c>
      <c r="L101">
        <f>SUMIF(DATA!$A:$A,PPL!$A101,DATA!J:J)</f>
        <v>0</v>
      </c>
      <c r="M101">
        <f t="shared" si="9"/>
        <v>428</v>
      </c>
      <c r="N101">
        <f t="shared" si="5"/>
        <v>853</v>
      </c>
      <c r="O101" s="3">
        <f t="shared" si="6"/>
        <v>99.533255542590425</v>
      </c>
      <c r="P101">
        <f t="shared" si="8"/>
        <v>4</v>
      </c>
      <c r="Q101">
        <f>SUMIF(DATA!A:A,PPL!A101,DATA!N:N)</f>
        <v>425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5"/>
        <v>778</v>
      </c>
      <c r="O102" s="3">
        <f t="shared" si="6"/>
        <v>100</v>
      </c>
      <c r="P102">
        <f t="shared" si="8"/>
        <v>0</v>
      </c>
      <c r="Q102">
        <f>SUMIF(DATA!A:A,PPL!A102,DATA!N:N)</f>
        <v>289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>
        <f t="shared" si="5"/>
        <v>787</v>
      </c>
      <c r="O103" s="3">
        <f t="shared" si="6"/>
        <v>100</v>
      </c>
      <c r="P103">
        <f t="shared" si="8"/>
        <v>0</v>
      </c>
      <c r="Q103">
        <f>SUMIF(DATA!A:A,PPL!A103,DATA!N:N)</f>
        <v>242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780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450</v>
      </c>
      <c r="N104">
        <f t="shared" si="5"/>
        <v>780</v>
      </c>
      <c r="O104" s="3">
        <f t="shared" si="6"/>
        <v>100</v>
      </c>
      <c r="P104">
        <f t="shared" si="8"/>
        <v>0</v>
      </c>
      <c r="Q104">
        <f>SUMIF(DATA!A:A,PPL!A104,DATA!N:N)</f>
        <v>330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588</v>
      </c>
      <c r="G105">
        <f>SUMIF(DATA!$A:$A,PPL!$A105,DATA!E:E)</f>
        <v>37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361</v>
      </c>
      <c r="N105">
        <f t="shared" si="5"/>
        <v>591</v>
      </c>
      <c r="O105" s="3">
        <f t="shared" si="6"/>
        <v>94.108280254777071</v>
      </c>
      <c r="P105">
        <f t="shared" si="8"/>
        <v>37</v>
      </c>
      <c r="Q105">
        <f>SUMIF(DATA!A:A,PPL!A105,DATA!N:N)</f>
        <v>230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>
        <f t="shared" si="5"/>
        <v>763</v>
      </c>
      <c r="O106" s="3">
        <f t="shared" si="6"/>
        <v>100</v>
      </c>
      <c r="P106">
        <f t="shared" si="8"/>
        <v>0</v>
      </c>
      <c r="Q106">
        <f>SUMIF(DATA!A:A,PPL!A106,DATA!N:N)</f>
        <v>286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722</v>
      </c>
      <c r="F107">
        <f>SUMIF(DATA!$A:$A,PPL!$A107,DATA!D:D)</f>
        <v>696</v>
      </c>
      <c r="G107">
        <f>SUMIF(DATA!$A:$A,PPL!$A107,DATA!E:E)</f>
        <v>24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9"/>
        <v>444</v>
      </c>
      <c r="N107">
        <f t="shared" si="5"/>
        <v>698</v>
      </c>
      <c r="O107" s="3">
        <f t="shared" si="6"/>
        <v>96.67590027700831</v>
      </c>
      <c r="P107">
        <f t="shared" si="8"/>
        <v>24</v>
      </c>
      <c r="Q107">
        <f>SUMIF(DATA!A:A,PPL!A107,DATA!N:N)</f>
        <v>254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712</v>
      </c>
      <c r="F108">
        <f>SUMIF(DATA!$A:$A,PPL!$A108,DATA!D:D)</f>
        <v>626</v>
      </c>
      <c r="G108">
        <f>SUMIF(DATA!$A:$A,PPL!$A108,DATA!E:E)</f>
        <v>60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23</v>
      </c>
      <c r="L108">
        <f>SUMIF(DATA!$A:$A,PPL!$A108,DATA!J:J)</f>
        <v>0</v>
      </c>
      <c r="M108">
        <f t="shared" si="9"/>
        <v>395</v>
      </c>
      <c r="N108">
        <f t="shared" si="5"/>
        <v>652</v>
      </c>
      <c r="O108" s="3">
        <f t="shared" si="6"/>
        <v>91.573033707865164</v>
      </c>
      <c r="P108">
        <f t="shared" si="8"/>
        <v>60</v>
      </c>
      <c r="Q108">
        <f>SUMIF(DATA!A:A,PPL!A108,DATA!N:N)</f>
        <v>257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657</v>
      </c>
      <c r="G109">
        <f>SUMIF(DATA!$A:$A,PPL!$A109,DATA!E:E)</f>
        <v>6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8</v>
      </c>
      <c r="L109">
        <f>SUMIF(DATA!$A:$A,PPL!$A109,DATA!J:J)</f>
        <v>0</v>
      </c>
      <c r="M109">
        <f t="shared" si="9"/>
        <v>438</v>
      </c>
      <c r="N109">
        <f t="shared" si="5"/>
        <v>665</v>
      </c>
      <c r="O109" s="3">
        <f t="shared" si="6"/>
        <v>99.105812220566321</v>
      </c>
      <c r="P109">
        <f t="shared" si="8"/>
        <v>6</v>
      </c>
      <c r="Q109">
        <f>SUMIF(DATA!A:A,PPL!A109,DATA!N:N)</f>
        <v>227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677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9"/>
        <v>466</v>
      </c>
      <c r="N110">
        <f t="shared" si="5"/>
        <v>677</v>
      </c>
      <c r="O110" s="3">
        <f t="shared" si="6"/>
        <v>100</v>
      </c>
      <c r="P110">
        <f t="shared" si="8"/>
        <v>0</v>
      </c>
      <c r="Q110">
        <f>SUMIF(DATA!A:A,PPL!A110,DATA!N:N)</f>
        <v>211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676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9"/>
        <v>409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268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742</v>
      </c>
      <c r="F112">
        <f>SUMIF(DATA!$A:$A,PPL!$A112,DATA!D:D)</f>
        <v>722</v>
      </c>
      <c r="G112">
        <f>SUMIF(DATA!$A:$A,PPL!$A112,DATA!E:E)</f>
        <v>14</v>
      </c>
      <c r="H112">
        <f>SUMIF(DATA!$A:$A,PPL!$A112,DATA!F:F)</f>
        <v>0</v>
      </c>
      <c r="I112">
        <f>SUMIF(DATA!$A:$A,PPL!$A112,DATA!G:G)</f>
        <v>5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9"/>
        <v>334</v>
      </c>
      <c r="N112">
        <f t="shared" si="5"/>
        <v>728</v>
      </c>
      <c r="O112" s="3">
        <f t="shared" si="6"/>
        <v>98.113207547169807</v>
      </c>
      <c r="P112">
        <f t="shared" si="8"/>
        <v>14</v>
      </c>
      <c r="Q112">
        <f>SUMIF(DATA!A:A,PPL!A112,DATA!N:N)</f>
        <v>394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>
        <f t="shared" si="5"/>
        <v>853</v>
      </c>
      <c r="O113" s="3">
        <f t="shared" si="6"/>
        <v>100</v>
      </c>
      <c r="P113">
        <f t="shared" si="8"/>
        <v>0</v>
      </c>
      <c r="Q113">
        <f>SUMIF(DATA!A:A,PPL!A113,DATA!N:N)</f>
        <v>437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745</v>
      </c>
      <c r="F114">
        <f>SUMIF(DATA!$A:$A,PPL!$A114,DATA!D:D)</f>
        <v>745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436</v>
      </c>
      <c r="N114">
        <f t="shared" si="5"/>
        <v>745</v>
      </c>
      <c r="O114" s="3">
        <f t="shared" si="6"/>
        <v>100</v>
      </c>
      <c r="P114">
        <f t="shared" si="8"/>
        <v>0</v>
      </c>
      <c r="Q114">
        <f>SUMIF(DATA!A:A,PPL!A114,DATA!N:N)</f>
        <v>309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934</v>
      </c>
      <c r="F115">
        <f>SUMIF(DATA!$A:$A,PPL!$A115,DATA!D:D)</f>
        <v>918</v>
      </c>
      <c r="G115">
        <f>SUMIF(DATA!$A:$A,PPL!$A115,DATA!E:E)</f>
        <v>16</v>
      </c>
      <c r="H115">
        <f>SUMIF(DATA!$A:$A,PPL!$A115,DATA!F:F)</f>
        <v>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511</v>
      </c>
      <c r="N115">
        <f t="shared" si="5"/>
        <v>918</v>
      </c>
      <c r="O115" s="3">
        <f t="shared" si="6"/>
        <v>98.286937901498931</v>
      </c>
      <c r="P115">
        <f t="shared" si="8"/>
        <v>16</v>
      </c>
      <c r="Q115">
        <f>SUMIF(DATA!A:A,PPL!A115,DATA!N:N)</f>
        <v>407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748</v>
      </c>
      <c r="F116">
        <f>SUMIF(DATA!$A:$A,PPL!$A116,DATA!D:D)</f>
        <v>709</v>
      </c>
      <c r="G116">
        <f>SUMIF(DATA!$A:$A,PPL!$A116,DATA!E:E)</f>
        <v>3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36</v>
      </c>
      <c r="L116">
        <f>SUMIF(DATA!$A:$A,PPL!$A116,DATA!J:J)</f>
        <v>0</v>
      </c>
      <c r="M116">
        <f t="shared" si="9"/>
        <v>469</v>
      </c>
      <c r="N116">
        <f t="shared" si="5"/>
        <v>745</v>
      </c>
      <c r="O116" s="3">
        <f t="shared" si="6"/>
        <v>99.598930481283418</v>
      </c>
      <c r="P116">
        <f t="shared" si="8"/>
        <v>3</v>
      </c>
      <c r="Q116">
        <f>SUMIF(DATA!A:A,PPL!A116,DATA!N:N)</f>
        <v>276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722</v>
      </c>
      <c r="F117">
        <f>SUMIF(DATA!$A:$A,PPL!$A117,DATA!D:D)</f>
        <v>661</v>
      </c>
      <c r="G117">
        <f>SUMIF(DATA!$A:$A,PPL!$A117,DATA!E:E)</f>
        <v>59</v>
      </c>
      <c r="H117">
        <f>SUMIF(DATA!$A:$A,PPL!$A117,DATA!F:F)</f>
        <v>0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433</v>
      </c>
      <c r="N117">
        <f t="shared" si="5"/>
        <v>663</v>
      </c>
      <c r="O117" s="3">
        <f t="shared" si="6"/>
        <v>91.828254847645425</v>
      </c>
      <c r="P117">
        <f t="shared" si="8"/>
        <v>59</v>
      </c>
      <c r="Q117">
        <f>SUMIF(DATA!A:A,PPL!A117,DATA!N:N)</f>
        <v>230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736</v>
      </c>
      <c r="F118">
        <f>SUMIF(DATA!$A:$A,PPL!$A118,DATA!D:D)</f>
        <v>729</v>
      </c>
      <c r="G118">
        <f>SUMIF(DATA!$A:$A,PPL!$A118,DATA!E:E)</f>
        <v>7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490</v>
      </c>
      <c r="N118">
        <f t="shared" si="5"/>
        <v>729</v>
      </c>
      <c r="O118" s="3">
        <f t="shared" si="6"/>
        <v>99.048913043478265</v>
      </c>
      <c r="P118">
        <f t="shared" si="8"/>
        <v>7</v>
      </c>
      <c r="Q118">
        <f>SUMIF(DATA!A:A,PPL!A118,DATA!N:N)</f>
        <v>239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764</v>
      </c>
      <c r="F119">
        <f>SUMIF(DATA!$A:$A,PPL!$A119,DATA!D:D)</f>
        <v>759</v>
      </c>
      <c r="G119">
        <f>SUMIF(DATA!$A:$A,PPL!$A119,DATA!E:E)</f>
        <v>5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461</v>
      </c>
      <c r="N119">
        <f t="shared" si="5"/>
        <v>759</v>
      </c>
      <c r="O119" s="3">
        <f t="shared" si="6"/>
        <v>99.345549738219901</v>
      </c>
      <c r="P119">
        <f t="shared" si="8"/>
        <v>5</v>
      </c>
      <c r="Q119">
        <f>SUMIF(DATA!A:A,PPL!A119,DATA!N:N)</f>
        <v>298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774</v>
      </c>
      <c r="F120">
        <f>SUMIF(DATA!$A:$A,PPL!$A120,DATA!D:D)</f>
        <v>735</v>
      </c>
      <c r="G120">
        <f>SUMIF(DATA!$A:$A,PPL!$A120,DATA!E:E)</f>
        <v>32</v>
      </c>
      <c r="H120">
        <f>SUMIF(DATA!$A:$A,PPL!$A120,DATA!F:F)</f>
        <v>0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1</v>
      </c>
      <c r="L120">
        <f>SUMIF(DATA!$A:$A,PPL!$A120,DATA!J:J)</f>
        <v>0</v>
      </c>
      <c r="M120">
        <f t="shared" si="9"/>
        <v>524</v>
      </c>
      <c r="N120">
        <f t="shared" si="5"/>
        <v>742</v>
      </c>
      <c r="O120" s="3">
        <f t="shared" si="6"/>
        <v>95.865633074935403</v>
      </c>
      <c r="P120">
        <f t="shared" si="8"/>
        <v>32</v>
      </c>
      <c r="Q120">
        <f>SUMIF(DATA!A:A,PPL!A120,DATA!N:N)</f>
        <v>218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5"/>
        <v>684</v>
      </c>
      <c r="O121" s="3">
        <f t="shared" si="6"/>
        <v>100</v>
      </c>
      <c r="P121">
        <f t="shared" si="8"/>
        <v>0</v>
      </c>
      <c r="Q121">
        <f>SUMIF(DATA!A:A,PPL!A121,DATA!N:N)</f>
        <v>251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>
        <f t="shared" si="5"/>
        <v>864</v>
      </c>
      <c r="O122" s="3">
        <f t="shared" si="6"/>
        <v>100</v>
      </c>
      <c r="P122">
        <f t="shared" si="8"/>
        <v>0</v>
      </c>
      <c r="Q122">
        <f>SUMIF(DATA!A:A,PPL!A122,DATA!N:N)</f>
        <v>405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741</v>
      </c>
      <c r="F123">
        <f>SUMIF(DATA!$A:$A,PPL!$A123,DATA!D:D)</f>
        <v>741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399</v>
      </c>
      <c r="N123">
        <f t="shared" si="5"/>
        <v>741</v>
      </c>
      <c r="O123" s="3">
        <f t="shared" si="6"/>
        <v>100</v>
      </c>
      <c r="P123">
        <f t="shared" si="8"/>
        <v>0</v>
      </c>
      <c r="Q123">
        <f>SUMIF(DATA!A:A,PPL!A123,DATA!N:N)</f>
        <v>342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808</v>
      </c>
      <c r="F124">
        <f>SUMIF(DATA!$A:$A,PPL!$A124,DATA!D:D)</f>
        <v>808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415</v>
      </c>
      <c r="N124">
        <f t="shared" si="5"/>
        <v>808</v>
      </c>
      <c r="O124" s="3">
        <f t="shared" si="6"/>
        <v>100</v>
      </c>
      <c r="P124">
        <f t="shared" si="8"/>
        <v>0</v>
      </c>
      <c r="Q124">
        <f>SUMIF(DATA!A:A,PPL!A124,DATA!N:N)</f>
        <v>393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663</v>
      </c>
      <c r="F125">
        <f>SUMIF(DATA!$A:$A,PPL!$A125,DATA!D:D)</f>
        <v>663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405</v>
      </c>
      <c r="N125">
        <f t="shared" ref="N125:N132" si="10">F125+I125+J125+K125+L125</f>
        <v>663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258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974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>
        <f t="shared" si="10"/>
        <v>974</v>
      </c>
      <c r="O126" s="3">
        <f t="shared" si="11"/>
        <v>100</v>
      </c>
      <c r="P126">
        <f t="shared" si="8"/>
        <v>0</v>
      </c>
      <c r="Q126">
        <f>SUMIF(DATA!A:A,PPL!A126,DATA!N:N)</f>
        <v>392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843</v>
      </c>
      <c r="F127">
        <f>SUMIF(DATA!$A:$A,PPL!$A127,DATA!D:D)</f>
        <v>843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521</v>
      </c>
      <c r="N127">
        <f t="shared" si="10"/>
        <v>843</v>
      </c>
      <c r="O127" s="3">
        <f t="shared" si="11"/>
        <v>100</v>
      </c>
      <c r="P127">
        <f t="shared" si="8"/>
        <v>0</v>
      </c>
      <c r="Q127">
        <f>SUMIF(DATA!A:A,PPL!A127,DATA!N:N)</f>
        <v>322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671</v>
      </c>
      <c r="F128">
        <f>SUMIF(DATA!$A:$A,PPL!$A128,DATA!D:D)</f>
        <v>665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2</v>
      </c>
      <c r="J128">
        <f>SUMIF(DATA!$A:$A,PPL!$A128,DATA!H:H)</f>
        <v>0</v>
      </c>
      <c r="K128">
        <f>SUMIF(DATA!$A:$A,PPL!$A128,DATA!I:I)</f>
        <v>4</v>
      </c>
      <c r="L128">
        <f>SUMIF(DATA!$A:$A,PPL!$A128,DATA!J:J)</f>
        <v>0</v>
      </c>
      <c r="M128">
        <f t="shared" si="9"/>
        <v>485</v>
      </c>
      <c r="N128">
        <f t="shared" si="10"/>
        <v>671</v>
      </c>
      <c r="O128" s="3">
        <f t="shared" si="11"/>
        <v>100</v>
      </c>
      <c r="P128">
        <f t="shared" si="8"/>
        <v>0</v>
      </c>
      <c r="Q128">
        <f>SUMIF(DATA!A:A,PPL!A128,DATA!N:N)</f>
        <v>186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791</v>
      </c>
      <c r="G129">
        <f>SUMIF(DATA!$A:$A,PPL!$A129,DATA!E:E)</f>
        <v>0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101</v>
      </c>
      <c r="L129">
        <f>SUMIF(DATA!$A:$A,PPL!$A129,DATA!J:J)</f>
        <v>0</v>
      </c>
      <c r="M129">
        <f t="shared" si="9"/>
        <v>503</v>
      </c>
      <c r="N129">
        <f t="shared" si="10"/>
        <v>892</v>
      </c>
      <c r="O129" s="3">
        <f t="shared" si="11"/>
        <v>100</v>
      </c>
      <c r="P129">
        <f t="shared" si="8"/>
        <v>0</v>
      </c>
      <c r="Q129">
        <f>SUMIF(DATA!A:A,PPL!A129,DATA!N:N)</f>
        <v>389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749</v>
      </c>
      <c r="F130">
        <f>SUMIF(DATA!$A:$A,PPL!$A130,DATA!D:D)</f>
        <v>649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99</v>
      </c>
      <c r="L130">
        <f>SUMIF(DATA!$A:$A,PPL!$A130,DATA!J:J)</f>
        <v>0</v>
      </c>
      <c r="M130">
        <f t="shared" ref="M130:M139" si="12">N130-Q130</f>
        <v>488</v>
      </c>
      <c r="N130">
        <f t="shared" si="10"/>
        <v>749</v>
      </c>
      <c r="O130" s="3">
        <f t="shared" si="11"/>
        <v>100</v>
      </c>
      <c r="P130">
        <f t="shared" si="8"/>
        <v>0</v>
      </c>
      <c r="Q130">
        <f>SUMIF(DATA!A:A,PPL!A130,DATA!N:N)</f>
        <v>261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846</v>
      </c>
      <c r="F131">
        <f>SUMIF(DATA!$A:$A,PPL!$A131,DATA!D:D)</f>
        <v>717</v>
      </c>
      <c r="G131">
        <f>SUMIF(DATA!$A:$A,PPL!$A131,DATA!E:E)</f>
        <v>5</v>
      </c>
      <c r="H131">
        <f>SUMIF(DATA!$A:$A,PPL!$A131,DATA!F:F)</f>
        <v>0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117</v>
      </c>
      <c r="L131">
        <f>SUMIF(DATA!$A:$A,PPL!$A131,DATA!J:J)</f>
        <v>0</v>
      </c>
      <c r="M131">
        <f t="shared" si="12"/>
        <v>607</v>
      </c>
      <c r="N131">
        <f t="shared" si="10"/>
        <v>841</v>
      </c>
      <c r="O131" s="3">
        <f t="shared" si="11"/>
        <v>99.408983451536642</v>
      </c>
      <c r="P131">
        <f t="shared" ref="P131:P139" si="13">CEILING((E131-N131)/1,1)</f>
        <v>5</v>
      </c>
      <c r="Q131">
        <f>SUMIF(DATA!A:A,PPL!A131,DATA!N:N)</f>
        <v>234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1085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2"/>
        <v>448</v>
      </c>
      <c r="N132">
        <f t="shared" si="10"/>
        <v>1085</v>
      </c>
      <c r="O132" s="3">
        <f t="shared" si="11"/>
        <v>100</v>
      </c>
      <c r="P132">
        <f t="shared" si="13"/>
        <v>0</v>
      </c>
      <c r="Q132">
        <f>SUMIF(DATA!A:A,PPL!A132,DATA!N:N)</f>
        <v>637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928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3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si="12"/>
        <v>477</v>
      </c>
      <c r="N133">
        <f t="shared" ref="N133:N136" si="14">F133+I133+J133+K133+L133</f>
        <v>931</v>
      </c>
      <c r="O133" s="3">
        <f t="shared" ref="O133:O136" si="15">(N133/E133)*100</f>
        <v>100</v>
      </c>
      <c r="P133">
        <f t="shared" si="13"/>
        <v>0</v>
      </c>
      <c r="Q133">
        <f>SUMIF(DATA!A:A,PPL!A133,DATA!N:N)</f>
        <v>454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648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0</v>
      </c>
      <c r="L134">
        <f>SUMIF(DATA!$A:$A,PPL!$A134,DATA!J:J)</f>
        <v>0</v>
      </c>
      <c r="M134">
        <f t="shared" si="12"/>
        <v>459</v>
      </c>
      <c r="N134">
        <f t="shared" si="14"/>
        <v>648</v>
      </c>
      <c r="O134" s="3">
        <f t="shared" si="15"/>
        <v>100</v>
      </c>
      <c r="P134">
        <f t="shared" si="13"/>
        <v>0</v>
      </c>
      <c r="Q134">
        <f>SUMIF(DATA!A:A,PPL!A134,DATA!N:N)</f>
        <v>189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741</v>
      </c>
      <c r="F135">
        <f>SUMIF(DATA!$A:$A,PPL!$A135,DATA!D:D)</f>
        <v>736</v>
      </c>
      <c r="G135">
        <f>SUMIF(DATA!$A:$A,PPL!$A135,DATA!E:E)</f>
        <v>2</v>
      </c>
      <c r="H135">
        <f>SUMIF(DATA!$A:$A,PPL!$A135,DATA!F:F)</f>
        <v>0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1</v>
      </c>
      <c r="L135">
        <f>SUMIF(DATA!$A:$A,PPL!$A135,DATA!J:J)</f>
        <v>0</v>
      </c>
      <c r="M135">
        <f t="shared" si="12"/>
        <v>488</v>
      </c>
      <c r="N135">
        <f t="shared" si="14"/>
        <v>739</v>
      </c>
      <c r="O135" s="3">
        <f t="shared" si="15"/>
        <v>99.730094466936563</v>
      </c>
      <c r="P135">
        <f t="shared" si="13"/>
        <v>2</v>
      </c>
      <c r="Q135">
        <f>SUMIF(DATA!A:A,PPL!A135,DATA!N:N)</f>
        <v>251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753</v>
      </c>
      <c r="G136">
        <f>SUMIF(DATA!$A:$A,PPL!$A136,DATA!E:E)</f>
        <v>1</v>
      </c>
      <c r="H136">
        <f>SUMIF(DATA!$A:$A,PPL!$A136,DATA!F:F)</f>
        <v>0</v>
      </c>
      <c r="I136">
        <f>SUMIF(DATA!$A:$A,PPL!$A136,DATA!G:G)</f>
        <v>33</v>
      </c>
      <c r="J136">
        <f>SUMIF(DATA!$A:$A,PPL!$A136,DATA!H:H)</f>
        <v>0</v>
      </c>
      <c r="K136">
        <f>SUMIF(DATA!$A:$A,PPL!$A136,DATA!I:I)</f>
        <v>69</v>
      </c>
      <c r="L136">
        <f>SUMIF(DATA!$A:$A,PPL!$A136,DATA!J:J)</f>
        <v>0</v>
      </c>
      <c r="M136">
        <f t="shared" si="12"/>
        <v>429</v>
      </c>
      <c r="N136">
        <f t="shared" si="14"/>
        <v>855</v>
      </c>
      <c r="O136" s="3">
        <f t="shared" si="15"/>
        <v>99.883177570093466</v>
      </c>
      <c r="P136">
        <f t="shared" si="13"/>
        <v>1</v>
      </c>
      <c r="Q136">
        <f>SUMIF(DATA!A:A,PPL!A136,DATA!N:N)</f>
        <v>426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1024</v>
      </c>
      <c r="F137">
        <f>SUMIF(DATA!$A:$A,PPL!$A137,DATA!D:D)</f>
        <v>764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255</v>
      </c>
      <c r="L137">
        <f>SUMIF(DATA!$A:$A,PPL!$A137,DATA!J:J)</f>
        <v>0</v>
      </c>
      <c r="M137">
        <f t="shared" si="12"/>
        <v>548</v>
      </c>
      <c r="N137">
        <f t="shared" ref="N137:N139" si="16">F137+I137+J137+K137+L137</f>
        <v>1024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476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808</v>
      </c>
      <c r="F138">
        <f>SUMIF(DATA!$A:$A,PPL!$A138,DATA!D:D)</f>
        <v>598</v>
      </c>
      <c r="G138">
        <f>SUMIF(DATA!$A:$A,PPL!$A138,DATA!E:E)</f>
        <v>22</v>
      </c>
      <c r="H138">
        <f>SUMIF(DATA!$A:$A,PPL!$A138,DATA!F:F)</f>
        <v>0</v>
      </c>
      <c r="I138">
        <f>SUMIF(DATA!$A:$A,PPL!$A138,DATA!G:G)</f>
        <v>11</v>
      </c>
      <c r="J138">
        <f>SUMIF(DATA!$A:$A,PPL!$A138,DATA!H:H)</f>
        <v>1</v>
      </c>
      <c r="K138">
        <f>SUMIF(DATA!$A:$A,PPL!$A138,DATA!I:I)</f>
        <v>176</v>
      </c>
      <c r="L138">
        <f>SUMIF(DATA!$A:$A,PPL!$A138,DATA!J:J)</f>
        <v>0</v>
      </c>
      <c r="M138">
        <f t="shared" si="12"/>
        <v>537</v>
      </c>
      <c r="N138">
        <f t="shared" si="16"/>
        <v>786</v>
      </c>
      <c r="O138" s="3">
        <f t="shared" si="17"/>
        <v>97.277227722772281</v>
      </c>
      <c r="P138">
        <f t="shared" si="13"/>
        <v>22</v>
      </c>
      <c r="Q138">
        <f>SUMIF(DATA!A:A,PPL!A138,DATA!N:N)</f>
        <v>249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660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12"/>
        <v>387</v>
      </c>
      <c r="N139">
        <f t="shared" si="16"/>
        <v>660</v>
      </c>
      <c r="O139" s="3">
        <f t="shared" si="17"/>
        <v>100</v>
      </c>
      <c r="P139">
        <f t="shared" si="13"/>
        <v>0</v>
      </c>
      <c r="Q139">
        <f>SUMIF(DATA!A:A,PPL!A139,DATA!N:N)</f>
        <v>273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5486</v>
      </c>
      <c r="D2">
        <f>SUMIF(PPL!$C:$C,PML!$A2,PPL!F:F)</f>
        <v>5486</v>
      </c>
      <c r="E2">
        <f>SUMIF(PPL!$C:$C,PML!$A2,PPL!G:G)</f>
        <v>0</v>
      </c>
      <c r="F2">
        <f>SUMIF(PPL!$C:$C,PML!$A2,PPL!H:H)</f>
        <v>0</v>
      </c>
      <c r="G2">
        <f>SUMIF(PPL!$C:$C,PML!$A2,PPL!I:I)</f>
        <v>0</v>
      </c>
      <c r="H2">
        <f>SUMIF(PPL!$C:$C,PML!$A2,PPL!J:J)</f>
        <v>0</v>
      </c>
      <c r="I2">
        <f>SUMIF(PPL!$C:$C,PML!$A2,PPL!K:K)</f>
        <v>0</v>
      </c>
      <c r="J2">
        <f>SUMIF(PPL!$C:$C,PML!$A2,PPL!L:L)</f>
        <v>0</v>
      </c>
      <c r="K2">
        <f>D2</f>
        <v>5486</v>
      </c>
      <c r="L2" s="3">
        <f>(SUM(D2)/C2)*100</f>
        <v>100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5189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0</v>
      </c>
      <c r="I3">
        <f>SUMIF(PPL!$C:$C,PML!$A3,PPL!K:K)</f>
        <v>0</v>
      </c>
      <c r="J3">
        <f>SUMIF(PPL!$C:$C,PML!$A3,PPL!L:L)</f>
        <v>0</v>
      </c>
      <c r="K3">
        <f t="shared" ref="K3:K20" si="0">D3</f>
        <v>5189</v>
      </c>
      <c r="L3" s="3">
        <f t="shared" ref="L3:L20" si="1">(SUM(D3)/C3)*100</f>
        <v>100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6308</v>
      </c>
      <c r="E4">
        <f>SUMIF(PPL!$C:$C,PML!$A4,PPL!G:G)</f>
        <v>3</v>
      </c>
      <c r="F4">
        <f>SUMIF(PPL!$C:$C,PML!$A4,PPL!H:H)</f>
        <v>0</v>
      </c>
      <c r="G4">
        <f>SUMIF(PPL!$C:$C,PML!$A4,PPL!I:I)</f>
        <v>7</v>
      </c>
      <c r="H4">
        <f>SUMIF(PPL!$C:$C,PML!$A4,PPL!J:J)</f>
        <v>0</v>
      </c>
      <c r="I4">
        <f>SUMIF(PPL!$C:$C,PML!$A4,PPL!K:K)</f>
        <v>0</v>
      </c>
      <c r="J4">
        <f>SUMIF(PPL!$C:$C,PML!$A4,PPL!L:L)</f>
        <v>1</v>
      </c>
      <c r="K4">
        <f t="shared" si="0"/>
        <v>6308</v>
      </c>
      <c r="L4" s="3">
        <f t="shared" si="1"/>
        <v>99.825921823073273</v>
      </c>
    </row>
    <row r="5" spans="1:12" x14ac:dyDescent="0.25">
      <c r="A5" t="s">
        <v>165</v>
      </c>
      <c r="B5" t="s">
        <v>181</v>
      </c>
      <c r="C5">
        <f>SUMIF(PPL!$C:$C,PML!$A5,PPL!E:E)</f>
        <v>7090</v>
      </c>
      <c r="D5">
        <f>SUMIF(PPL!$C:$C,PML!$A5,PPL!F:F)</f>
        <v>6485</v>
      </c>
      <c r="E5">
        <f>SUMIF(PPL!$C:$C,PML!$A5,PPL!G:G)</f>
        <v>59</v>
      </c>
      <c r="F5">
        <f>SUMIF(PPL!$C:$C,PML!$A5,PPL!H:H)</f>
        <v>0</v>
      </c>
      <c r="G5">
        <f>SUMIF(PPL!$C:$C,PML!$A5,PPL!I:I)</f>
        <v>26</v>
      </c>
      <c r="H5">
        <f>SUMIF(PPL!$C:$C,PML!$A5,PPL!J:J)</f>
        <v>4</v>
      </c>
      <c r="I5">
        <f>SUMIF(PPL!$C:$C,PML!$A5,PPL!K:K)</f>
        <v>516</v>
      </c>
      <c r="J5">
        <f>SUMIF(PPL!$C:$C,PML!$A5,PPL!L:L)</f>
        <v>0</v>
      </c>
      <c r="K5">
        <f t="shared" si="0"/>
        <v>6485</v>
      </c>
      <c r="L5" s="3">
        <f t="shared" si="1"/>
        <v>91.466854724964747</v>
      </c>
    </row>
    <row r="6" spans="1:12" x14ac:dyDescent="0.25">
      <c r="A6" t="s">
        <v>166</v>
      </c>
      <c r="B6" t="s">
        <v>189</v>
      </c>
      <c r="C6">
        <f>SUMIF(PPL!$C:$C,PML!$A6,PPL!E:E)</f>
        <v>6657</v>
      </c>
      <c r="D6">
        <f>SUMIF(PPL!$C:$C,PML!$A6,PPL!F:F)</f>
        <v>6254</v>
      </c>
      <c r="E6">
        <f>SUMIF(PPL!$C:$C,PML!$A6,PPL!G:G)</f>
        <v>19</v>
      </c>
      <c r="F6">
        <f>SUMIF(PPL!$C:$C,PML!$A6,PPL!H:H)</f>
        <v>0</v>
      </c>
      <c r="G6">
        <f>SUMIF(PPL!$C:$C,PML!$A6,PPL!I:I)</f>
        <v>7</v>
      </c>
      <c r="H6">
        <f>SUMIF(PPL!$C:$C,PML!$A6,PPL!J:J)</f>
        <v>0</v>
      </c>
      <c r="I6">
        <f>SUMIF(PPL!$C:$C,PML!$A6,PPL!K:K)</f>
        <v>377</v>
      </c>
      <c r="J6">
        <f>SUMIF(PPL!$C:$C,PML!$A6,PPL!L:L)</f>
        <v>0</v>
      </c>
      <c r="K6">
        <f t="shared" si="0"/>
        <v>6254</v>
      </c>
      <c r="L6" s="3">
        <f t="shared" si="1"/>
        <v>93.946222021931803</v>
      </c>
    </row>
    <row r="7" spans="1:12" x14ac:dyDescent="0.25">
      <c r="A7" t="s">
        <v>167</v>
      </c>
      <c r="B7" t="s">
        <v>182</v>
      </c>
      <c r="C7">
        <f>SUMIF(PPL!$C:$C,PML!$A7,PPL!E:E)</f>
        <v>7288</v>
      </c>
      <c r="D7">
        <f>SUMIF(PPL!$C:$C,PML!$A7,PPL!F:F)</f>
        <v>5742</v>
      </c>
      <c r="E7">
        <f>SUMIF(PPL!$C:$C,PML!$A7,PPL!G:G)</f>
        <v>59</v>
      </c>
      <c r="F7">
        <f>SUMIF(PPL!$C:$C,PML!$A7,PPL!H:H)</f>
        <v>0</v>
      </c>
      <c r="G7">
        <f>SUMIF(PPL!$C:$C,PML!$A7,PPL!I:I)</f>
        <v>207</v>
      </c>
      <c r="H7">
        <f>SUMIF(PPL!$C:$C,PML!$A7,PPL!J:J)</f>
        <v>2</v>
      </c>
      <c r="I7">
        <f>SUMIF(PPL!$C:$C,PML!$A7,PPL!K:K)</f>
        <v>1277</v>
      </c>
      <c r="J7">
        <f>SUMIF(PPL!$C:$C,PML!$A7,PPL!L:L)</f>
        <v>1</v>
      </c>
      <c r="K7">
        <f t="shared" si="0"/>
        <v>5742</v>
      </c>
      <c r="L7" s="3">
        <f t="shared" si="1"/>
        <v>78.787047200878163</v>
      </c>
    </row>
    <row r="8" spans="1:12" x14ac:dyDescent="0.25">
      <c r="A8" t="s">
        <v>168</v>
      </c>
      <c r="B8" t="s">
        <v>197</v>
      </c>
      <c r="C8">
        <f>SUMIF(PPL!$C:$C,PML!$A8,PPL!E:E)</f>
        <v>6335</v>
      </c>
      <c r="D8">
        <f>SUMIF(PPL!$C:$C,PML!$A8,PPL!F:F)</f>
        <v>3436</v>
      </c>
      <c r="E8">
        <f>SUMIF(PPL!$C:$C,PML!$A8,PPL!G:G)</f>
        <v>163</v>
      </c>
      <c r="F8">
        <f>SUMIF(PPL!$C:$C,PML!$A8,PPL!H:H)</f>
        <v>0</v>
      </c>
      <c r="G8">
        <f>SUMIF(PPL!$C:$C,PML!$A8,PPL!I:I)</f>
        <v>206</v>
      </c>
      <c r="H8">
        <f>SUMIF(PPL!$C:$C,PML!$A8,PPL!J:J)</f>
        <v>11</v>
      </c>
      <c r="I8">
        <f>SUMIF(PPL!$C:$C,PML!$A8,PPL!K:K)</f>
        <v>2519</v>
      </c>
      <c r="J8">
        <f>SUMIF(PPL!$C:$C,PML!$A8,PPL!L:L)</f>
        <v>0</v>
      </c>
      <c r="K8">
        <f t="shared" si="0"/>
        <v>3436</v>
      </c>
      <c r="L8" s="3">
        <f t="shared" si="1"/>
        <v>54.238358326756121</v>
      </c>
    </row>
    <row r="9" spans="1:12" x14ac:dyDescent="0.25">
      <c r="A9" t="s">
        <v>169</v>
      </c>
      <c r="B9" t="s">
        <v>199</v>
      </c>
      <c r="C9">
        <f>SUMIF(PPL!$C:$C,PML!$A9,PPL!E:E)</f>
        <v>6792</v>
      </c>
      <c r="D9">
        <f>SUMIF(PPL!$C:$C,PML!$A9,PPL!F:F)</f>
        <v>5460</v>
      </c>
      <c r="E9">
        <f>SUMIF(PPL!$C:$C,PML!$A9,PPL!G:G)</f>
        <v>0</v>
      </c>
      <c r="F9">
        <f>SUMIF(PPL!$C:$C,PML!$A9,PPL!H:H)</f>
        <v>0</v>
      </c>
      <c r="G9">
        <f>SUMIF(PPL!$C:$C,PML!$A9,PPL!I:I)</f>
        <v>121</v>
      </c>
      <c r="H9">
        <f>SUMIF(PPL!$C:$C,PML!$A9,PPL!J:J)</f>
        <v>4</v>
      </c>
      <c r="I9">
        <f>SUMIF(PPL!$C:$C,PML!$A9,PPL!K:K)</f>
        <v>1207</v>
      </c>
      <c r="J9">
        <f>SUMIF(PPL!$C:$C,PML!$A9,PPL!L:L)</f>
        <v>0</v>
      </c>
      <c r="K9">
        <f t="shared" si="0"/>
        <v>5460</v>
      </c>
      <c r="L9" s="3">
        <f t="shared" si="1"/>
        <v>80.388692579505303</v>
      </c>
    </row>
    <row r="10" spans="1:12" x14ac:dyDescent="0.25">
      <c r="A10" t="s">
        <v>170</v>
      </c>
      <c r="B10" t="s">
        <v>196</v>
      </c>
      <c r="C10">
        <f>SUMIF(PPL!$C:$C,PML!$A10,PPL!E:E)</f>
        <v>6377</v>
      </c>
      <c r="D10">
        <f>SUMIF(PPL!$C:$C,PML!$A10,PPL!F:F)</f>
        <v>5760</v>
      </c>
      <c r="E10">
        <f>SUMIF(PPL!$C:$C,PML!$A10,PPL!G:G)</f>
        <v>6</v>
      </c>
      <c r="F10">
        <f>SUMIF(PPL!$C:$C,PML!$A10,PPL!H:H)</f>
        <v>0</v>
      </c>
      <c r="G10">
        <f>SUMIF(PPL!$C:$C,PML!$A10,PPL!I:I)</f>
        <v>59</v>
      </c>
      <c r="H10">
        <f>SUMIF(PPL!$C:$C,PML!$A10,PPL!J:J)</f>
        <v>1</v>
      </c>
      <c r="I10">
        <f>SUMIF(PPL!$C:$C,PML!$A10,PPL!K:K)</f>
        <v>551</v>
      </c>
      <c r="J10">
        <f>SUMIF(PPL!$C:$C,PML!$A10,PPL!L:L)</f>
        <v>0</v>
      </c>
      <c r="K10">
        <f t="shared" si="0"/>
        <v>5760</v>
      </c>
      <c r="L10" s="3">
        <f t="shared" si="1"/>
        <v>90.324604045789556</v>
      </c>
    </row>
    <row r="11" spans="1:12" x14ac:dyDescent="0.25">
      <c r="A11" t="s">
        <v>171</v>
      </c>
      <c r="B11" t="s">
        <v>195</v>
      </c>
      <c r="C11">
        <f>SUMIF(PPL!$C:$C,PML!$A11,PPL!E:E)</f>
        <v>4665</v>
      </c>
      <c r="D11">
        <f>SUMIF(PPL!$C:$C,PML!$A11,PPL!F:F)</f>
        <v>4665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0</v>
      </c>
      <c r="H11">
        <f>SUMIF(PPL!$C:$C,PML!$A11,PPL!J:J)</f>
        <v>0</v>
      </c>
      <c r="I11">
        <f>SUMIF(PPL!$C:$C,PML!$A11,PPL!K:K)</f>
        <v>0</v>
      </c>
      <c r="J11">
        <f>SUMIF(PPL!$C:$C,PML!$A11,PPL!L:L)</f>
        <v>0</v>
      </c>
      <c r="K11">
        <f t="shared" si="0"/>
        <v>4665</v>
      </c>
      <c r="L11" s="3">
        <f t="shared" si="1"/>
        <v>100</v>
      </c>
    </row>
    <row r="12" spans="1:12" x14ac:dyDescent="0.25">
      <c r="A12" t="s">
        <v>172</v>
      </c>
      <c r="B12" t="s">
        <v>193</v>
      </c>
      <c r="C12">
        <f>SUMIF(PPL!$C:$C,PML!$A12,PPL!E:E)</f>
        <v>3985</v>
      </c>
      <c r="D12">
        <f>SUMIF(PPL!$C:$C,PML!$A12,PPL!F:F)</f>
        <v>3970</v>
      </c>
      <c r="E12">
        <f>SUMIF(PPL!$C:$C,PML!$A12,PPL!G:G)</f>
        <v>2</v>
      </c>
      <c r="F12">
        <f>SUMIF(PPL!$C:$C,PML!$A12,PPL!H:H)</f>
        <v>0</v>
      </c>
      <c r="G12">
        <f>SUMIF(PPL!$C:$C,PML!$A12,PPL!I:I)</f>
        <v>12</v>
      </c>
      <c r="H12">
        <f>SUMIF(PPL!$C:$C,PML!$A12,PPL!J:J)</f>
        <v>0</v>
      </c>
      <c r="I12">
        <f>SUMIF(PPL!$C:$C,PML!$A12,PPL!K:K)</f>
        <v>1</v>
      </c>
      <c r="J12">
        <f>SUMIF(PPL!$C:$C,PML!$A12,PPL!L:L)</f>
        <v>0</v>
      </c>
      <c r="K12">
        <f t="shared" si="0"/>
        <v>3970</v>
      </c>
      <c r="L12" s="3">
        <f t="shared" si="1"/>
        <v>99.623588456712682</v>
      </c>
    </row>
    <row r="13" spans="1:12" x14ac:dyDescent="0.25">
      <c r="A13" t="s">
        <v>173</v>
      </c>
      <c r="B13" t="s">
        <v>186</v>
      </c>
      <c r="C13">
        <f>SUMIF(PPL!$C:$C,PML!$A13,PPL!E:E)</f>
        <v>4709</v>
      </c>
      <c r="D13">
        <f>SUMIF(PPL!$C:$C,PML!$A13,PPL!F:F)</f>
        <v>4698</v>
      </c>
      <c r="E13">
        <f>SUMIF(PPL!$C:$C,PML!$A13,PPL!G:G)</f>
        <v>8</v>
      </c>
      <c r="F13">
        <f>SUMIF(PPL!$C:$C,PML!$A13,PPL!H:H)</f>
        <v>0</v>
      </c>
      <c r="G13">
        <f>SUMIF(PPL!$C:$C,PML!$A13,PPL!I:I)</f>
        <v>2</v>
      </c>
      <c r="H13">
        <f>SUMIF(PPL!$C:$C,PML!$A13,PPL!J:J)</f>
        <v>0</v>
      </c>
      <c r="I13">
        <f>SUMIF(PPL!$C:$C,PML!$A13,PPL!K:K)</f>
        <v>1</v>
      </c>
      <c r="J13">
        <f>SUMIF(PPL!$C:$C,PML!$A13,PPL!L:L)</f>
        <v>0</v>
      </c>
      <c r="K13">
        <f t="shared" si="0"/>
        <v>4698</v>
      </c>
      <c r="L13" s="3">
        <f t="shared" si="1"/>
        <v>99.766404756848587</v>
      </c>
    </row>
    <row r="14" spans="1:12" x14ac:dyDescent="0.25">
      <c r="A14" t="s">
        <v>174</v>
      </c>
      <c r="B14" t="s">
        <v>185</v>
      </c>
      <c r="C14">
        <f>SUMIF(PPL!$C:$C,PML!$A14,PPL!E:E)</f>
        <v>4501</v>
      </c>
      <c r="D14">
        <f>SUMIF(PPL!$C:$C,PML!$A14,PPL!F:F)</f>
        <v>4100</v>
      </c>
      <c r="E14">
        <f>SUMIF(PPL!$C:$C,PML!$A14,PPL!G:G)</f>
        <v>13</v>
      </c>
      <c r="F14">
        <f>SUMIF(PPL!$C:$C,PML!$A14,PPL!H:H)</f>
        <v>0</v>
      </c>
      <c r="G14">
        <f>SUMIF(PPL!$C:$C,PML!$A14,PPL!I:I)</f>
        <v>11</v>
      </c>
      <c r="H14">
        <f>SUMIF(PPL!$C:$C,PML!$A14,PPL!J:J)</f>
        <v>1</v>
      </c>
      <c r="I14">
        <f>SUMIF(PPL!$C:$C,PML!$A14,PPL!K:K)</f>
        <v>376</v>
      </c>
      <c r="J14">
        <f>SUMIF(PPL!$C:$C,PML!$A14,PPL!L:L)</f>
        <v>0</v>
      </c>
      <c r="K14">
        <f t="shared" si="0"/>
        <v>4100</v>
      </c>
      <c r="L14" s="3">
        <f t="shared" si="1"/>
        <v>91.090868695845373</v>
      </c>
    </row>
    <row r="15" spans="1:12" x14ac:dyDescent="0.25">
      <c r="A15" t="s">
        <v>175</v>
      </c>
      <c r="B15" t="s">
        <v>188</v>
      </c>
      <c r="C15">
        <f>SUMIF(PPL!$C:$C,PML!$A15,PPL!E:E)</f>
        <v>5160</v>
      </c>
      <c r="D15">
        <f>SUMIF(PPL!$C:$C,PML!$A15,PPL!F:F)</f>
        <v>4243</v>
      </c>
      <c r="E15">
        <f>SUMIF(PPL!$C:$C,PML!$A15,PPL!G:G)</f>
        <v>256</v>
      </c>
      <c r="F15">
        <f>SUMIF(PPL!$C:$C,PML!$A15,PPL!H:H)</f>
        <v>0</v>
      </c>
      <c r="G15">
        <f>SUMIF(PPL!$C:$C,PML!$A15,PPL!I:I)</f>
        <v>65</v>
      </c>
      <c r="H15">
        <f>SUMIF(PPL!$C:$C,PML!$A15,PPL!J:J)</f>
        <v>34</v>
      </c>
      <c r="I15">
        <f>SUMIF(PPL!$C:$C,PML!$A15,PPL!K:K)</f>
        <v>562</v>
      </c>
      <c r="J15">
        <f>SUMIF(PPL!$C:$C,PML!$A15,PPL!L:L)</f>
        <v>0</v>
      </c>
      <c r="K15">
        <f t="shared" si="0"/>
        <v>4243</v>
      </c>
      <c r="L15" s="3">
        <f t="shared" si="1"/>
        <v>82.228682170542626</v>
      </c>
    </row>
    <row r="16" spans="1:12" x14ac:dyDescent="0.25">
      <c r="A16" t="s">
        <v>176</v>
      </c>
      <c r="B16" t="s">
        <v>194</v>
      </c>
      <c r="C16">
        <f>SUMIF(PPL!$C:$C,PML!$A16,PPL!E:E)</f>
        <v>5463</v>
      </c>
      <c r="D16">
        <f>SUMIF(PPL!$C:$C,PML!$A16,PPL!F:F)</f>
        <v>5435</v>
      </c>
      <c r="E16">
        <f>SUMIF(PPL!$C:$C,PML!$A16,PPL!G:G)</f>
        <v>21</v>
      </c>
      <c r="F16">
        <f>SUMIF(PPL!$C:$C,PML!$A16,PPL!H:H)</f>
        <v>0</v>
      </c>
      <c r="G16">
        <f>SUMIF(PPL!$C:$C,PML!$A16,PPL!I:I)</f>
        <v>6</v>
      </c>
      <c r="H16">
        <f>SUMIF(PPL!$C:$C,PML!$A16,PPL!J:J)</f>
        <v>0</v>
      </c>
      <c r="I16">
        <f>SUMIF(PPL!$C:$C,PML!$A16,PPL!K:K)</f>
        <v>1</v>
      </c>
      <c r="J16">
        <f>SUMIF(PPL!$C:$C,PML!$A16,PPL!L:L)</f>
        <v>0</v>
      </c>
      <c r="K16">
        <f t="shared" si="0"/>
        <v>5435</v>
      </c>
      <c r="L16" s="3">
        <f t="shared" si="1"/>
        <v>99.48746110195863</v>
      </c>
    </row>
    <row r="17" spans="1:12" x14ac:dyDescent="0.25">
      <c r="A17" t="s">
        <v>177</v>
      </c>
      <c r="B17" t="s">
        <v>192</v>
      </c>
      <c r="C17">
        <f>SUMIF(PPL!$C:$C,PML!$A17,PPL!E:E)</f>
        <v>5436</v>
      </c>
      <c r="D17">
        <f>SUMIF(PPL!$C:$C,PML!$A17,PPL!F:F)</f>
        <v>5308</v>
      </c>
      <c r="E17">
        <f>SUMIF(PPL!$C:$C,PML!$A17,PPL!G:G)</f>
        <v>90</v>
      </c>
      <c r="F17">
        <f>SUMIF(PPL!$C:$C,PML!$A17,PPL!H:H)</f>
        <v>0</v>
      </c>
      <c r="G17">
        <f>SUMIF(PPL!$C:$C,PML!$A17,PPL!I:I)</f>
        <v>2</v>
      </c>
      <c r="H17">
        <f>SUMIF(PPL!$C:$C,PML!$A17,PPL!J:J)</f>
        <v>0</v>
      </c>
      <c r="I17">
        <f>SUMIF(PPL!$C:$C,PML!$A17,PPL!K:K)</f>
        <v>36</v>
      </c>
      <c r="J17">
        <f>SUMIF(PPL!$C:$C,PML!$A17,PPL!L:L)</f>
        <v>0</v>
      </c>
      <c r="K17">
        <f t="shared" si="0"/>
        <v>5308</v>
      </c>
      <c r="L17" s="3">
        <f t="shared" si="1"/>
        <v>97.645327446651947</v>
      </c>
    </row>
    <row r="18" spans="1:12" x14ac:dyDescent="0.25">
      <c r="A18" t="s">
        <v>178</v>
      </c>
      <c r="B18" t="s">
        <v>2066</v>
      </c>
      <c r="C18">
        <f>SUMIF(PPL!$C:$C,PML!$A18,PPL!E:E)</f>
        <v>5129</v>
      </c>
      <c r="D18">
        <f>SUMIF(PPL!$C:$C,PML!$A18,PPL!F:F)</f>
        <v>4962</v>
      </c>
      <c r="E18">
        <f>SUMIF(PPL!$C:$C,PML!$A18,PPL!G:G)</f>
        <v>127</v>
      </c>
      <c r="F18">
        <f>SUMIF(PPL!$C:$C,PML!$A18,PPL!H:H)</f>
        <v>0</v>
      </c>
      <c r="G18">
        <f>SUMIF(PPL!$C:$C,PML!$A18,PPL!I:I)</f>
        <v>6</v>
      </c>
      <c r="H18">
        <f>SUMIF(PPL!$C:$C,PML!$A18,PPL!J:J)</f>
        <v>1</v>
      </c>
      <c r="I18">
        <f>SUMIF(PPL!$C:$C,PML!$A18,PPL!K:K)</f>
        <v>33</v>
      </c>
      <c r="J18">
        <f>SUMIF(PPL!$C:$C,PML!$A18,PPL!L:L)</f>
        <v>0</v>
      </c>
      <c r="K18">
        <f t="shared" si="0"/>
        <v>4962</v>
      </c>
      <c r="L18" s="3">
        <f t="shared" si="1"/>
        <v>96.74400467927471</v>
      </c>
    </row>
    <row r="19" spans="1:12" x14ac:dyDescent="0.25">
      <c r="A19" t="s">
        <v>179</v>
      </c>
      <c r="B19" t="s">
        <v>184</v>
      </c>
      <c r="C19">
        <f>SUMIF(PPL!$C:$C,PML!$A19,PPL!E:E)</f>
        <v>4906</v>
      </c>
      <c r="D19">
        <f>SUMIF(PPL!$C:$C,PML!$A19,PPL!F:F)</f>
        <v>4531</v>
      </c>
      <c r="E19">
        <f>SUMIF(PPL!$C:$C,PML!$A19,PPL!G:G)</f>
        <v>37</v>
      </c>
      <c r="F19">
        <f>SUMIF(PPL!$C:$C,PML!$A19,PPL!H:H)</f>
        <v>0</v>
      </c>
      <c r="G19">
        <f>SUMIF(PPL!$C:$C,PML!$A19,PPL!I:I)</f>
        <v>15</v>
      </c>
      <c r="H19">
        <f>SUMIF(PPL!$C:$C,PML!$A19,PPL!J:J)</f>
        <v>1</v>
      </c>
      <c r="I19">
        <f>SUMIF(PPL!$C:$C,PML!$A19,PPL!K:K)</f>
        <v>322</v>
      </c>
      <c r="J19">
        <f>SUMIF(PPL!$C:$C,PML!$A19,PPL!L:L)</f>
        <v>0</v>
      </c>
      <c r="K19">
        <f t="shared" si="0"/>
        <v>4531</v>
      </c>
      <c r="L19" s="3">
        <f t="shared" si="1"/>
        <v>92.356298410110071</v>
      </c>
    </row>
    <row r="20" spans="1:12" x14ac:dyDescent="0.25">
      <c r="A20" t="s">
        <v>180</v>
      </c>
      <c r="B20" t="s">
        <v>183</v>
      </c>
      <c r="C20">
        <f>SUMIF(PPL!$C:$C,PML!$A20,PPL!E:E)</f>
        <v>6528</v>
      </c>
      <c r="D20">
        <f>SUMIF(PPL!$C:$C,PML!$A20,PPL!F:F)</f>
        <v>6528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6528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2026-09-14T00:56:13Z</dcterms:modified>
</cp:coreProperties>
</file>