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07396C7C-1982-4776-8518-8066B7FB99E5}" xr6:coauthVersionLast="47" xr6:coauthVersionMax="47" xr10:uidLastSave="{00000000-0000-0000-0000-000000000000}"/>
  <bookViews>
    <workbookView xWindow="0" yWindow="0" windowWidth="28800" windowHeight="15480" activeTab="2" xr2:uid="{00000000-000D-0000-FFFF-FFFF00000000}"/>
  </bookViews>
  <sheets>
    <sheet name="Sheet1" sheetId="1" r:id="rId1"/>
    <sheet name="region_summary (10)" sheetId="12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0" hidden="1">Sheet1!$A$1:$E$139</definedName>
    <definedName name="ExternalData_1" localSheetId="1" hidden="1">'region_summary (10)'!$A$1:$J$1060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l="1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M2" i="4"/>
  <c r="G2" i="9" s="1"/>
  <c r="D15" i="5"/>
  <c r="D12" i="5"/>
  <c r="H86" i="9" l="1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K2" i="5"/>
  <c r="G140" i="9" s="1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3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4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5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6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<sst xmlns="http://schemas.openxmlformats.org/spreadsheetml/2006/main" count="3654" uniqueCount="398">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</sst>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2044467-886B-413C-B68B-16A9F5A11E77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644704-2D62-45D4-A3EA-9C754EB68653}" name="region_summary__10" displayName="region_summary__10" ref="A1:J1060" tableType="queryTable" totalsRowShown="0">
  <autoFilter ref="A1:J1060" xr:uid="{11644704-2D62-45D4-A3EA-9C754EB68653}"/>
  <tableColumns count="10">
    <tableColumn id="1" xr3:uid="{65DA72AF-8FEF-4C17-9E63-8E7F02DF1091}" uniqueName="1" name="email" queryTableFieldId="1" dataDxfId="0"/>
    <tableColumn id="2" xr3:uid="{138E19D6-535C-4F62-A915-E4C19AA2C7FA}" uniqueName="2" name="regionCode" queryTableFieldId="2"/>
    <tableColumn id="3" xr3:uid="{3E772D1A-C71E-43F7-B699-D12172AA1B6E}" uniqueName="3" name="total" queryTableFieldId="3"/>
    <tableColumn id="4" xr3:uid="{E94D7A9D-F444-445B-AE80-BA8F639B9554}" uniqueName="4" name="APPROVED BY Pengawas" queryTableFieldId="4"/>
    <tableColumn id="5" xr3:uid="{45E10F6B-1E98-4ABF-A8E4-8BCE06E72420}" uniqueName="5" name="DRAFT" queryTableFieldId="5"/>
    <tableColumn id="6" xr3:uid="{0238EE2D-E23B-47EB-AFB1-4CCC0B339130}" uniqueName="6" name="OPEN" queryTableFieldId="6"/>
    <tableColumn id="7" xr3:uid="{5F0AA6B7-791C-457E-88A5-C2D0A72E0B35}" uniqueName="7" name="REJECTED BY Pengawas" queryTableFieldId="7"/>
    <tableColumn id="8" xr3:uid="{BF018D6D-587C-438B-9F81-880270086E68}" uniqueName="8" name="REVOKED BY Pengawas" queryTableFieldId="8"/>
    <tableColumn id="9" xr3:uid="{AC1D2B66-4F01-4740-8DD6-1D781E2FF768}" uniqueName="9" name="SUBMITTED BY Pencacah" queryTableFieldId="9"/>
    <tableColumn id="10" xr3:uid="{3485D738-1F67-4623-8BB5-8036698EBA68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132EB-FE17-4B92-9747-C02EA6EA6709}">
  <dimension ref="A1:J1060"/>
  <sheetViews>
    <sheetView topLeftCell="A1029" workbookViewId="0">
      <selection sqref="A1:J106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3" t="s">
        <v>10</v>
      </c>
      <c r="B2">
        <v>7172010009002800</v>
      </c>
      <c r="C2">
        <v>103</v>
      </c>
      <c r="D2">
        <v>0</v>
      </c>
      <c r="E2">
        <v>9</v>
      </c>
      <c r="F2">
        <v>15</v>
      </c>
      <c r="G2">
        <v>1</v>
      </c>
      <c r="H2">
        <v>0</v>
      </c>
      <c r="I2">
        <v>78</v>
      </c>
      <c r="J2">
        <v>0</v>
      </c>
    </row>
    <row r="3" spans="1:10" x14ac:dyDescent="0.25">
      <c r="A3" s="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s="3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s="3" t="s">
        <v>10</v>
      </c>
      <c r="B5">
        <v>7172010009002700</v>
      </c>
      <c r="C5">
        <v>82</v>
      </c>
      <c r="D5">
        <v>0</v>
      </c>
      <c r="E5">
        <v>10</v>
      </c>
      <c r="F5">
        <v>64</v>
      </c>
      <c r="G5">
        <v>0</v>
      </c>
      <c r="H5">
        <v>0</v>
      </c>
      <c r="I5">
        <v>8</v>
      </c>
      <c r="J5">
        <v>0</v>
      </c>
    </row>
    <row r="6" spans="1:10" x14ac:dyDescent="0.25">
      <c r="A6" s="3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3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3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3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3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3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3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3" t="s">
        <v>6</v>
      </c>
      <c r="B13">
        <v>7172010008000200</v>
      </c>
      <c r="C13">
        <v>71</v>
      </c>
      <c r="D13">
        <v>0</v>
      </c>
      <c r="E13">
        <v>12</v>
      </c>
      <c r="F13">
        <v>31</v>
      </c>
      <c r="G13">
        <v>0</v>
      </c>
      <c r="H13">
        <v>0</v>
      </c>
      <c r="I13">
        <v>28</v>
      </c>
      <c r="J13">
        <v>0</v>
      </c>
    </row>
    <row r="14" spans="1:10" x14ac:dyDescent="0.25">
      <c r="A14" s="3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3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3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s="3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s="3" t="s">
        <v>13</v>
      </c>
      <c r="B18">
        <v>7172010010001800</v>
      </c>
      <c r="C18">
        <v>72</v>
      </c>
      <c r="D18">
        <v>0</v>
      </c>
      <c r="E18">
        <v>5</v>
      </c>
      <c r="F18">
        <v>30</v>
      </c>
      <c r="G18">
        <v>0</v>
      </c>
      <c r="H18">
        <v>0</v>
      </c>
      <c r="I18">
        <v>37</v>
      </c>
      <c r="J18">
        <v>0</v>
      </c>
    </row>
    <row r="19" spans="1:10" x14ac:dyDescent="0.25">
      <c r="A19" s="3" t="s">
        <v>13</v>
      </c>
      <c r="B19">
        <v>7172010010001900</v>
      </c>
      <c r="C19">
        <v>70</v>
      </c>
      <c r="D19">
        <v>0</v>
      </c>
      <c r="E19">
        <v>0</v>
      </c>
      <c r="F19">
        <v>70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s="3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3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3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3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3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3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3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3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3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3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3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3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3" t="s">
        <v>16</v>
      </c>
      <c r="B33">
        <v>7172010012001700</v>
      </c>
      <c r="C33">
        <v>53</v>
      </c>
      <c r="D33">
        <v>0</v>
      </c>
      <c r="E33">
        <v>6</v>
      </c>
      <c r="F33">
        <v>32</v>
      </c>
      <c r="G33">
        <v>0</v>
      </c>
      <c r="H33">
        <v>0</v>
      </c>
      <c r="I33">
        <v>15</v>
      </c>
      <c r="J33">
        <v>0</v>
      </c>
    </row>
    <row r="34" spans="1:10" x14ac:dyDescent="0.25">
      <c r="A34" s="3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3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3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3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s="3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3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</row>
    <row r="40" spans="1:10" x14ac:dyDescent="0.25">
      <c r="A40" s="3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s="3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3" t="s">
        <v>17</v>
      </c>
      <c r="B42">
        <v>7172010015003400</v>
      </c>
      <c r="C42">
        <v>198</v>
      </c>
      <c r="D42">
        <v>4</v>
      </c>
      <c r="E42">
        <v>14</v>
      </c>
      <c r="F42">
        <v>89</v>
      </c>
      <c r="G42">
        <v>1</v>
      </c>
      <c r="H42">
        <v>0</v>
      </c>
      <c r="I42">
        <v>90</v>
      </c>
      <c r="J42">
        <v>0</v>
      </c>
    </row>
    <row r="43" spans="1:10" x14ac:dyDescent="0.25">
      <c r="A43" s="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s="3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3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3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3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3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3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s="3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3" t="s">
        <v>20</v>
      </c>
      <c r="B51">
        <v>7172010016002000</v>
      </c>
      <c r="C51">
        <v>62</v>
      </c>
      <c r="D51">
        <v>0</v>
      </c>
      <c r="E51">
        <v>6</v>
      </c>
      <c r="F51">
        <v>47</v>
      </c>
      <c r="G51">
        <v>0</v>
      </c>
      <c r="H51">
        <v>0</v>
      </c>
      <c r="I51">
        <v>9</v>
      </c>
      <c r="J51">
        <v>0</v>
      </c>
    </row>
    <row r="52" spans="1:10" x14ac:dyDescent="0.25">
      <c r="A52" s="3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3" t="s">
        <v>20</v>
      </c>
      <c r="B53">
        <v>7172010016002200</v>
      </c>
      <c r="C53">
        <v>61</v>
      </c>
      <c r="D53">
        <v>0</v>
      </c>
      <c r="E53">
        <v>9</v>
      </c>
      <c r="F53">
        <v>26</v>
      </c>
      <c r="G53">
        <v>0</v>
      </c>
      <c r="H53">
        <v>0</v>
      </c>
      <c r="I53">
        <v>26</v>
      </c>
      <c r="J53">
        <v>0</v>
      </c>
    </row>
    <row r="54" spans="1:10" x14ac:dyDescent="0.25">
      <c r="A54" s="3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3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3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3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3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s="3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</row>
    <row r="60" spans="1:10" x14ac:dyDescent="0.25">
      <c r="A60" s="3" t="s">
        <v>18</v>
      </c>
      <c r="B60">
        <v>7172010017001800</v>
      </c>
      <c r="C60">
        <v>91</v>
      </c>
      <c r="D60">
        <v>0</v>
      </c>
      <c r="E60">
        <v>9</v>
      </c>
      <c r="F60">
        <v>50</v>
      </c>
      <c r="G60">
        <v>0</v>
      </c>
      <c r="H60">
        <v>0</v>
      </c>
      <c r="I60">
        <v>32</v>
      </c>
      <c r="J60">
        <v>0</v>
      </c>
    </row>
    <row r="61" spans="1:10" x14ac:dyDescent="0.25">
      <c r="A61" s="3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s="3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3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3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3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3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3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</row>
    <row r="69" spans="1:10" x14ac:dyDescent="0.25">
      <c r="A69" s="3" t="s">
        <v>22</v>
      </c>
      <c r="B69">
        <v>7172010015002500</v>
      </c>
      <c r="C69">
        <v>107</v>
      </c>
      <c r="D69">
        <v>0</v>
      </c>
      <c r="E69">
        <v>3</v>
      </c>
      <c r="F69">
        <v>60</v>
      </c>
      <c r="G69">
        <v>0</v>
      </c>
      <c r="H69">
        <v>0</v>
      </c>
      <c r="I69">
        <v>44</v>
      </c>
      <c r="J69">
        <v>0</v>
      </c>
    </row>
    <row r="70" spans="1:10" x14ac:dyDescent="0.25">
      <c r="A70" s="3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s="3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3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s="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3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3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3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</row>
    <row r="77" spans="1:10" x14ac:dyDescent="0.25">
      <c r="A77" s="3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3" t="s">
        <v>24</v>
      </c>
      <c r="B78">
        <v>7172010016000700</v>
      </c>
      <c r="C78">
        <v>61</v>
      </c>
      <c r="D78">
        <v>0</v>
      </c>
      <c r="E78">
        <v>11</v>
      </c>
      <c r="F78">
        <v>45</v>
      </c>
      <c r="G78">
        <v>0</v>
      </c>
      <c r="H78">
        <v>0</v>
      </c>
      <c r="I78">
        <v>5</v>
      </c>
      <c r="J78">
        <v>0</v>
      </c>
    </row>
    <row r="79" spans="1:10" x14ac:dyDescent="0.25">
      <c r="A79" s="3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3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3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3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3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3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3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3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s="3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3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3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3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3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s="3" t="s">
        <v>26</v>
      </c>
      <c r="B93">
        <v>7172011001000500</v>
      </c>
      <c r="C93">
        <v>52</v>
      </c>
      <c r="D93">
        <v>0</v>
      </c>
      <c r="E93">
        <v>23</v>
      </c>
      <c r="F93">
        <v>29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s="3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3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s="3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s="3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3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s="3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s="3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s="3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s="3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3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s="3" t="s">
        <v>28</v>
      </c>
      <c r="B105">
        <v>7172011002000700</v>
      </c>
      <c r="C105">
        <v>115</v>
      </c>
      <c r="D105">
        <v>15</v>
      </c>
      <c r="E105">
        <v>6</v>
      </c>
      <c r="F105">
        <v>50</v>
      </c>
      <c r="G105">
        <v>0</v>
      </c>
      <c r="H105">
        <v>0</v>
      </c>
      <c r="I105">
        <v>44</v>
      </c>
      <c r="J105">
        <v>0</v>
      </c>
    </row>
    <row r="106" spans="1:10" x14ac:dyDescent="0.25">
      <c r="A106" s="3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s="3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3" t="s">
        <v>28</v>
      </c>
      <c r="B108">
        <v>7172011002000300</v>
      </c>
      <c r="C108">
        <v>78</v>
      </c>
      <c r="D108">
        <v>0</v>
      </c>
      <c r="E108">
        <v>10</v>
      </c>
      <c r="F108">
        <v>68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3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s="3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s="3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s="3" t="s">
        <v>42</v>
      </c>
      <c r="B112">
        <v>7172011014001600</v>
      </c>
      <c r="C112">
        <v>120</v>
      </c>
      <c r="D112">
        <v>48</v>
      </c>
      <c r="E112">
        <v>34</v>
      </c>
      <c r="F112">
        <v>16</v>
      </c>
      <c r="G112">
        <v>17</v>
      </c>
      <c r="H112">
        <v>0</v>
      </c>
      <c r="I112">
        <v>5</v>
      </c>
      <c r="J112">
        <v>0</v>
      </c>
    </row>
    <row r="113" spans="1:10" x14ac:dyDescent="0.25">
      <c r="A113" s="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3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3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3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3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3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3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s="3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3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s="3" t="s">
        <v>45</v>
      </c>
      <c r="B122">
        <v>7172011013000100</v>
      </c>
      <c r="C122">
        <v>59</v>
      </c>
      <c r="D122">
        <v>6</v>
      </c>
      <c r="E122">
        <v>0</v>
      </c>
      <c r="F122">
        <v>19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s="3" t="s">
        <v>45</v>
      </c>
      <c r="B123">
        <v>7172011013000200</v>
      </c>
      <c r="C123">
        <v>53</v>
      </c>
      <c r="D123">
        <v>7</v>
      </c>
      <c r="E123">
        <v>0</v>
      </c>
      <c r="F123">
        <v>28</v>
      </c>
      <c r="G123">
        <v>0</v>
      </c>
      <c r="H123">
        <v>0</v>
      </c>
      <c r="I123">
        <v>18</v>
      </c>
      <c r="J123">
        <v>0</v>
      </c>
    </row>
    <row r="124" spans="1:10" x14ac:dyDescent="0.25">
      <c r="A124" s="3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3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3" t="s">
        <v>35</v>
      </c>
      <c r="B126">
        <v>7172011003001900</v>
      </c>
      <c r="C126">
        <v>122</v>
      </c>
      <c r="D126">
        <v>0</v>
      </c>
      <c r="E126">
        <v>30</v>
      </c>
      <c r="F126">
        <v>67</v>
      </c>
      <c r="G126">
        <v>0</v>
      </c>
      <c r="H126">
        <v>0</v>
      </c>
      <c r="I126">
        <v>25</v>
      </c>
      <c r="J126">
        <v>0</v>
      </c>
    </row>
    <row r="127" spans="1:10" x14ac:dyDescent="0.25">
      <c r="A127" s="3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3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s="3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s="3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3" t="s">
        <v>37</v>
      </c>
      <c r="B131">
        <v>7172011003002602</v>
      </c>
      <c r="C131">
        <v>177</v>
      </c>
      <c r="D131">
        <v>20</v>
      </c>
      <c r="E131">
        <v>35</v>
      </c>
      <c r="F131">
        <v>66</v>
      </c>
      <c r="G131">
        <v>6</v>
      </c>
      <c r="H131">
        <v>0</v>
      </c>
      <c r="I131">
        <v>50</v>
      </c>
      <c r="J131">
        <v>0</v>
      </c>
    </row>
    <row r="132" spans="1:10" x14ac:dyDescent="0.25">
      <c r="A132" s="3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s="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3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3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3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s="3" t="s">
        <v>31</v>
      </c>
      <c r="B137">
        <v>7172011003003600</v>
      </c>
      <c r="C137">
        <v>232</v>
      </c>
      <c r="D137">
        <v>0</v>
      </c>
      <c r="E137">
        <v>3</v>
      </c>
      <c r="F137">
        <v>130</v>
      </c>
      <c r="G137">
        <v>0</v>
      </c>
      <c r="H137">
        <v>0</v>
      </c>
      <c r="I137">
        <v>99</v>
      </c>
      <c r="J137">
        <v>0</v>
      </c>
    </row>
    <row r="138" spans="1:10" x14ac:dyDescent="0.25">
      <c r="A138" s="3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3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3" t="s">
        <v>41</v>
      </c>
      <c r="B140">
        <v>7172011004001800</v>
      </c>
      <c r="C140">
        <v>246</v>
      </c>
      <c r="D140">
        <v>121</v>
      </c>
      <c r="E140">
        <v>25</v>
      </c>
      <c r="F140">
        <v>48</v>
      </c>
      <c r="G140">
        <v>34</v>
      </c>
      <c r="H140">
        <v>0</v>
      </c>
      <c r="I140">
        <v>18</v>
      </c>
      <c r="J140">
        <v>0</v>
      </c>
    </row>
    <row r="141" spans="1:10" x14ac:dyDescent="0.25">
      <c r="A141" s="3" t="s">
        <v>41</v>
      </c>
      <c r="B141">
        <v>7172011004001500</v>
      </c>
      <c r="C141">
        <v>121</v>
      </c>
      <c r="D141">
        <v>3</v>
      </c>
      <c r="E141">
        <v>0</v>
      </c>
      <c r="F141">
        <v>118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s="3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3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3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3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3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</row>
    <row r="148" spans="1:10" x14ac:dyDescent="0.25">
      <c r="A148" s="3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</row>
    <row r="149" spans="1:10" x14ac:dyDescent="0.25">
      <c r="A149" s="3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3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3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3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3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3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3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3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3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3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3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3" t="s">
        <v>39</v>
      </c>
      <c r="B161">
        <v>7172011004000100</v>
      </c>
      <c r="C161">
        <v>134</v>
      </c>
      <c r="D161">
        <v>12</v>
      </c>
      <c r="E161">
        <v>14</v>
      </c>
      <c r="F161">
        <v>107</v>
      </c>
      <c r="G161">
        <v>1</v>
      </c>
      <c r="H161">
        <v>0</v>
      </c>
      <c r="I161">
        <v>0</v>
      </c>
      <c r="J161">
        <v>0</v>
      </c>
    </row>
    <row r="162" spans="1:10" x14ac:dyDescent="0.25">
      <c r="A162" s="3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3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s="3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3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3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s="3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3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3" t="s">
        <v>50</v>
      </c>
      <c r="B170">
        <v>7172012001000900</v>
      </c>
      <c r="C170">
        <v>117</v>
      </c>
      <c r="D170">
        <v>0</v>
      </c>
      <c r="E170">
        <v>21</v>
      </c>
      <c r="F170">
        <v>52</v>
      </c>
      <c r="G170">
        <v>0</v>
      </c>
      <c r="H170">
        <v>0</v>
      </c>
      <c r="I170">
        <v>44</v>
      </c>
      <c r="J170">
        <v>0</v>
      </c>
    </row>
    <row r="171" spans="1:10" x14ac:dyDescent="0.25">
      <c r="A171" s="3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s="3" t="s">
        <v>44</v>
      </c>
      <c r="B172">
        <v>7172011012000700</v>
      </c>
      <c r="C172">
        <v>137</v>
      </c>
      <c r="D172">
        <v>13</v>
      </c>
      <c r="E172">
        <v>0</v>
      </c>
      <c r="F172">
        <v>79</v>
      </c>
      <c r="G172">
        <v>0</v>
      </c>
      <c r="H172">
        <v>0</v>
      </c>
      <c r="I172">
        <v>45</v>
      </c>
      <c r="J172">
        <v>0</v>
      </c>
    </row>
    <row r="173" spans="1:10" x14ac:dyDescent="0.25">
      <c r="A173" s="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3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3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3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3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3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3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3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3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s="3" t="s">
        <v>54</v>
      </c>
      <c r="B182">
        <v>7172012002000600</v>
      </c>
      <c r="C182">
        <v>111</v>
      </c>
      <c r="D182">
        <v>1</v>
      </c>
      <c r="E182">
        <v>3</v>
      </c>
      <c r="F182">
        <v>33</v>
      </c>
      <c r="G182">
        <v>0</v>
      </c>
      <c r="H182">
        <v>0</v>
      </c>
      <c r="I182">
        <v>74</v>
      </c>
      <c r="J182">
        <v>0</v>
      </c>
    </row>
    <row r="183" spans="1:10" x14ac:dyDescent="0.25">
      <c r="A183" s="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s="3" t="s">
        <v>54</v>
      </c>
      <c r="B184">
        <v>7172012002000300</v>
      </c>
      <c r="C184">
        <v>89</v>
      </c>
      <c r="D184">
        <v>6</v>
      </c>
      <c r="E184">
        <v>1</v>
      </c>
      <c r="F184">
        <v>60</v>
      </c>
      <c r="G184">
        <v>1</v>
      </c>
      <c r="H184">
        <v>0</v>
      </c>
      <c r="I184">
        <v>21</v>
      </c>
      <c r="J184">
        <v>0</v>
      </c>
    </row>
    <row r="185" spans="1:10" x14ac:dyDescent="0.25">
      <c r="A185" s="3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3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3" t="s">
        <v>229</v>
      </c>
      <c r="B187">
        <v>7172012002001301</v>
      </c>
      <c r="C187">
        <v>125</v>
      </c>
      <c r="D187">
        <v>0</v>
      </c>
      <c r="E187">
        <v>3</v>
      </c>
      <c r="F187">
        <v>115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s="3" t="s">
        <v>229</v>
      </c>
      <c r="B188">
        <v>7172012002001302</v>
      </c>
      <c r="C188">
        <v>125</v>
      </c>
      <c r="D188">
        <v>0</v>
      </c>
      <c r="E188">
        <v>21</v>
      </c>
      <c r="F188">
        <v>38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s="3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3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3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s="3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3" t="s">
        <v>38</v>
      </c>
      <c r="B193">
        <v>7172011003003100</v>
      </c>
      <c r="C193">
        <v>184</v>
      </c>
      <c r="D193">
        <v>0</v>
      </c>
      <c r="E193">
        <v>19</v>
      </c>
      <c r="F193">
        <v>69</v>
      </c>
      <c r="G193">
        <v>0</v>
      </c>
      <c r="H193">
        <v>0</v>
      </c>
      <c r="I193">
        <v>96</v>
      </c>
      <c r="J193">
        <v>0</v>
      </c>
    </row>
    <row r="194" spans="1:10" x14ac:dyDescent="0.25">
      <c r="A194" s="3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s="3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3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3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3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3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s="3" t="s">
        <v>60</v>
      </c>
      <c r="B200">
        <v>7172012004001900</v>
      </c>
      <c r="C200">
        <v>171</v>
      </c>
      <c r="D200">
        <v>9</v>
      </c>
      <c r="E200">
        <v>10</v>
      </c>
      <c r="F200">
        <v>100</v>
      </c>
      <c r="G200">
        <v>0</v>
      </c>
      <c r="H200">
        <v>0</v>
      </c>
      <c r="I200">
        <v>52</v>
      </c>
      <c r="J200">
        <v>0</v>
      </c>
    </row>
    <row r="201" spans="1:10" x14ac:dyDescent="0.25">
      <c r="A201" s="3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3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3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s="3" t="s">
        <v>63</v>
      </c>
      <c r="B205">
        <v>7172012004001701</v>
      </c>
      <c r="C205">
        <v>311</v>
      </c>
      <c r="D205">
        <v>0</v>
      </c>
      <c r="E205">
        <v>20</v>
      </c>
      <c r="F205">
        <v>242</v>
      </c>
      <c r="G205">
        <v>0</v>
      </c>
      <c r="H205">
        <v>0</v>
      </c>
      <c r="I205">
        <v>49</v>
      </c>
      <c r="J205">
        <v>0</v>
      </c>
    </row>
    <row r="206" spans="1:10" x14ac:dyDescent="0.25">
      <c r="A206" s="3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s="3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3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3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s="3" t="s">
        <v>64</v>
      </c>
      <c r="B210">
        <v>7172012004002200</v>
      </c>
      <c r="C210">
        <v>165</v>
      </c>
      <c r="D210">
        <v>14</v>
      </c>
      <c r="E210">
        <v>4</v>
      </c>
      <c r="F210">
        <v>68</v>
      </c>
      <c r="G210">
        <v>13</v>
      </c>
      <c r="H210">
        <v>0</v>
      </c>
      <c r="I210">
        <v>66</v>
      </c>
      <c r="J210">
        <v>0</v>
      </c>
    </row>
    <row r="211" spans="1:10" x14ac:dyDescent="0.25">
      <c r="A211" s="3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s="3" t="s">
        <v>64</v>
      </c>
      <c r="B212">
        <v>7172012004002401</v>
      </c>
      <c r="C212">
        <v>114</v>
      </c>
      <c r="D212">
        <v>0</v>
      </c>
      <c r="E212">
        <v>6</v>
      </c>
      <c r="F212">
        <v>107</v>
      </c>
      <c r="G212">
        <v>0</v>
      </c>
      <c r="H212">
        <v>0</v>
      </c>
      <c r="I212">
        <v>1</v>
      </c>
      <c r="J212">
        <v>0</v>
      </c>
    </row>
    <row r="213" spans="1:10" x14ac:dyDescent="0.25">
      <c r="A213" s="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s="3" t="s">
        <v>65</v>
      </c>
      <c r="B214">
        <v>7172012004002600</v>
      </c>
      <c r="C214">
        <v>121</v>
      </c>
      <c r="D214">
        <v>0</v>
      </c>
      <c r="E214">
        <v>3</v>
      </c>
      <c r="F214">
        <v>43</v>
      </c>
      <c r="G214">
        <v>0</v>
      </c>
      <c r="H214">
        <v>0</v>
      </c>
      <c r="I214">
        <v>75</v>
      </c>
      <c r="J214">
        <v>0</v>
      </c>
    </row>
    <row r="215" spans="1:10" x14ac:dyDescent="0.25">
      <c r="A215" s="3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s="3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3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3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3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s="3" t="s">
        <v>70</v>
      </c>
      <c r="B220">
        <v>7172012006001600</v>
      </c>
      <c r="C220">
        <v>93</v>
      </c>
      <c r="D220">
        <v>0</v>
      </c>
      <c r="E220">
        <v>9</v>
      </c>
      <c r="F220">
        <v>41</v>
      </c>
      <c r="G220">
        <v>0</v>
      </c>
      <c r="H220">
        <v>0</v>
      </c>
      <c r="I220">
        <v>43</v>
      </c>
      <c r="J220">
        <v>0</v>
      </c>
    </row>
    <row r="221" spans="1:10" x14ac:dyDescent="0.25">
      <c r="A221" s="3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3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3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s="3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3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s="3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s="3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3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s="3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s="3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s="3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s="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s="3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s="3" t="s">
        <v>67</v>
      </c>
      <c r="B235">
        <v>7172012005000700</v>
      </c>
      <c r="C235">
        <v>36</v>
      </c>
      <c r="D235">
        <v>0</v>
      </c>
      <c r="E235">
        <v>1</v>
      </c>
      <c r="F235">
        <v>12</v>
      </c>
      <c r="G235">
        <v>0</v>
      </c>
      <c r="H235">
        <v>0</v>
      </c>
      <c r="I235">
        <v>23</v>
      </c>
      <c r="J235">
        <v>0</v>
      </c>
    </row>
    <row r="236" spans="1:10" x14ac:dyDescent="0.25">
      <c r="A236" s="3" t="s">
        <v>67</v>
      </c>
      <c r="B236">
        <v>7172012005000800</v>
      </c>
      <c r="C236">
        <v>36</v>
      </c>
      <c r="D236">
        <v>0</v>
      </c>
      <c r="E236">
        <v>1</v>
      </c>
      <c r="F236">
        <v>35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3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3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s="3" t="s">
        <v>230</v>
      </c>
      <c r="B239">
        <v>7172012007000300</v>
      </c>
      <c r="C239">
        <v>129</v>
      </c>
      <c r="D239">
        <v>5</v>
      </c>
      <c r="E239">
        <v>9</v>
      </c>
      <c r="F239">
        <v>30</v>
      </c>
      <c r="G239">
        <v>0</v>
      </c>
      <c r="H239">
        <v>0</v>
      </c>
      <c r="I239">
        <v>85</v>
      </c>
      <c r="J239">
        <v>0</v>
      </c>
    </row>
    <row r="240" spans="1:10" x14ac:dyDescent="0.25">
      <c r="A240" s="3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3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3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s="3" t="s">
        <v>72</v>
      </c>
      <c r="B243">
        <v>7172012007000900</v>
      </c>
      <c r="C243">
        <v>117</v>
      </c>
      <c r="D243">
        <v>0</v>
      </c>
      <c r="E243">
        <v>6</v>
      </c>
      <c r="F243">
        <v>5</v>
      </c>
      <c r="G243">
        <v>0</v>
      </c>
      <c r="H243">
        <v>0</v>
      </c>
      <c r="I243">
        <v>106</v>
      </c>
      <c r="J243">
        <v>0</v>
      </c>
    </row>
    <row r="244" spans="1:10" x14ac:dyDescent="0.25">
      <c r="A244" s="3" t="s">
        <v>72</v>
      </c>
      <c r="B244">
        <v>7172012007000800</v>
      </c>
      <c r="C244">
        <v>116</v>
      </c>
      <c r="D244">
        <v>0</v>
      </c>
      <c r="E244">
        <v>3</v>
      </c>
      <c r="F244">
        <v>111</v>
      </c>
      <c r="G244">
        <v>0</v>
      </c>
      <c r="H244">
        <v>0</v>
      </c>
      <c r="I244">
        <v>2</v>
      </c>
      <c r="J244">
        <v>0</v>
      </c>
    </row>
    <row r="245" spans="1:10" x14ac:dyDescent="0.25">
      <c r="A245" s="3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3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3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3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s="3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s="3" t="s">
        <v>75</v>
      </c>
      <c r="B250">
        <v>7172021003001000</v>
      </c>
      <c r="C250">
        <v>58</v>
      </c>
      <c r="D250">
        <v>3</v>
      </c>
      <c r="E250">
        <v>20</v>
      </c>
      <c r="F250">
        <v>22</v>
      </c>
      <c r="G250">
        <v>2</v>
      </c>
      <c r="H250">
        <v>0</v>
      </c>
      <c r="I250">
        <v>11</v>
      </c>
      <c r="J250">
        <v>0</v>
      </c>
    </row>
    <row r="251" spans="1:10" x14ac:dyDescent="0.25">
      <c r="A251" s="3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s="3" t="s">
        <v>75</v>
      </c>
      <c r="B252">
        <v>7172021002000400</v>
      </c>
      <c r="C252">
        <v>35</v>
      </c>
      <c r="D252">
        <v>8</v>
      </c>
      <c r="E252">
        <v>3</v>
      </c>
      <c r="F252">
        <v>10</v>
      </c>
      <c r="G252">
        <v>3</v>
      </c>
      <c r="H252">
        <v>0</v>
      </c>
      <c r="I252">
        <v>11</v>
      </c>
      <c r="J252">
        <v>0</v>
      </c>
    </row>
    <row r="253" spans="1:10" x14ac:dyDescent="0.25">
      <c r="A253" s="3" t="s">
        <v>75</v>
      </c>
      <c r="B253">
        <v>7172021006000700</v>
      </c>
      <c r="C253">
        <v>25</v>
      </c>
      <c r="D253">
        <v>1</v>
      </c>
      <c r="E253">
        <v>0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s="3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s="3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3" t="s">
        <v>231</v>
      </c>
      <c r="B256">
        <v>7172021002000600</v>
      </c>
      <c r="C256">
        <v>67</v>
      </c>
      <c r="D256">
        <v>9</v>
      </c>
      <c r="E256">
        <v>15</v>
      </c>
      <c r="F256">
        <v>4</v>
      </c>
      <c r="G256">
        <v>3</v>
      </c>
      <c r="H256">
        <v>0</v>
      </c>
      <c r="I256">
        <v>36</v>
      </c>
      <c r="J256">
        <v>0</v>
      </c>
    </row>
    <row r="257" spans="1:10" x14ac:dyDescent="0.25">
      <c r="A257" s="3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3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s="3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3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s="3" t="s">
        <v>74</v>
      </c>
      <c r="B261">
        <v>7172021002000500</v>
      </c>
      <c r="C261">
        <v>100</v>
      </c>
      <c r="D261">
        <v>15</v>
      </c>
      <c r="E261">
        <v>9</v>
      </c>
      <c r="F261">
        <v>63</v>
      </c>
      <c r="G261">
        <v>0</v>
      </c>
      <c r="H261">
        <v>0</v>
      </c>
      <c r="I261">
        <v>13</v>
      </c>
      <c r="J261">
        <v>0</v>
      </c>
    </row>
    <row r="262" spans="1:10" x14ac:dyDescent="0.25">
      <c r="A262" s="3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s="3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s="3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s="3" t="s">
        <v>74</v>
      </c>
      <c r="B266">
        <v>7172021001000400</v>
      </c>
      <c r="C266">
        <v>41</v>
      </c>
      <c r="D266">
        <v>17</v>
      </c>
      <c r="E266">
        <v>3</v>
      </c>
      <c r="F266">
        <v>7</v>
      </c>
      <c r="G266">
        <v>0</v>
      </c>
      <c r="H266">
        <v>0</v>
      </c>
      <c r="I266">
        <v>14</v>
      </c>
      <c r="J266">
        <v>0</v>
      </c>
    </row>
    <row r="267" spans="1:10" x14ac:dyDescent="0.25">
      <c r="A267" s="3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3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s="3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3" t="s">
        <v>78</v>
      </c>
      <c r="B270">
        <v>7172021005000100</v>
      </c>
      <c r="C270">
        <v>95</v>
      </c>
      <c r="D270">
        <v>9</v>
      </c>
      <c r="E270">
        <v>22</v>
      </c>
      <c r="F270">
        <v>30</v>
      </c>
      <c r="G270">
        <v>0</v>
      </c>
      <c r="H270">
        <v>0</v>
      </c>
      <c r="I270">
        <v>34</v>
      </c>
      <c r="J270">
        <v>0</v>
      </c>
    </row>
    <row r="271" spans="1:10" x14ac:dyDescent="0.25">
      <c r="A271" s="3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3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s="3" t="s">
        <v>78</v>
      </c>
      <c r="B274">
        <v>7172021004000100</v>
      </c>
      <c r="C274">
        <v>61</v>
      </c>
      <c r="D274">
        <v>0</v>
      </c>
      <c r="E274">
        <v>0</v>
      </c>
      <c r="F274">
        <v>51</v>
      </c>
      <c r="G274">
        <v>0</v>
      </c>
      <c r="H274">
        <v>0</v>
      </c>
      <c r="I274">
        <v>10</v>
      </c>
      <c r="J274">
        <v>0</v>
      </c>
    </row>
    <row r="275" spans="1:10" x14ac:dyDescent="0.25">
      <c r="A275" s="3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s="3" t="s">
        <v>79</v>
      </c>
      <c r="B276">
        <v>7172021005000200</v>
      </c>
      <c r="C276">
        <v>82</v>
      </c>
      <c r="D276">
        <v>6</v>
      </c>
      <c r="E276">
        <v>6</v>
      </c>
      <c r="F276">
        <v>64</v>
      </c>
      <c r="G276">
        <v>3</v>
      </c>
      <c r="H276">
        <v>0</v>
      </c>
      <c r="I276">
        <v>3</v>
      </c>
      <c r="J276">
        <v>0</v>
      </c>
    </row>
    <row r="277" spans="1:10" x14ac:dyDescent="0.25">
      <c r="A277" s="3" t="s">
        <v>79</v>
      </c>
      <c r="B277">
        <v>7172021006000200</v>
      </c>
      <c r="C277">
        <v>82</v>
      </c>
      <c r="D277">
        <v>7</v>
      </c>
      <c r="E277">
        <v>10</v>
      </c>
      <c r="F277">
        <v>49</v>
      </c>
      <c r="G277">
        <v>1</v>
      </c>
      <c r="H277">
        <v>0</v>
      </c>
      <c r="I277">
        <v>15</v>
      </c>
      <c r="J277">
        <v>0</v>
      </c>
    </row>
    <row r="278" spans="1:10" x14ac:dyDescent="0.25">
      <c r="A278" s="3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s="3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3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3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s="3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s="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s="3" t="s">
        <v>232</v>
      </c>
      <c r="B284">
        <v>7172022001000800</v>
      </c>
      <c r="C284">
        <v>73</v>
      </c>
      <c r="D284">
        <v>0</v>
      </c>
      <c r="E284">
        <v>0</v>
      </c>
      <c r="F284">
        <v>71</v>
      </c>
      <c r="G284">
        <v>0</v>
      </c>
      <c r="H284">
        <v>0</v>
      </c>
      <c r="I284">
        <v>2</v>
      </c>
      <c r="J284">
        <v>0</v>
      </c>
    </row>
    <row r="285" spans="1:10" x14ac:dyDescent="0.25">
      <c r="A285" s="3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3" t="s">
        <v>232</v>
      </c>
      <c r="B286">
        <v>7172022001000600</v>
      </c>
      <c r="C286">
        <v>62</v>
      </c>
      <c r="D286">
        <v>0</v>
      </c>
      <c r="E286">
        <v>0</v>
      </c>
      <c r="F286">
        <v>57</v>
      </c>
      <c r="G286">
        <v>0</v>
      </c>
      <c r="H286">
        <v>0</v>
      </c>
      <c r="I286">
        <v>5</v>
      </c>
      <c r="J286">
        <v>0</v>
      </c>
    </row>
    <row r="287" spans="1:10" x14ac:dyDescent="0.25">
      <c r="A287" s="3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s="3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3" t="s">
        <v>232</v>
      </c>
      <c r="B289">
        <v>7172022001001000</v>
      </c>
      <c r="C289">
        <v>52</v>
      </c>
      <c r="D289">
        <v>0</v>
      </c>
      <c r="E289">
        <v>0</v>
      </c>
      <c r="F289">
        <v>51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s="3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3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s="3" t="s">
        <v>89</v>
      </c>
      <c r="B292">
        <v>7172022008000400</v>
      </c>
      <c r="C292">
        <v>89</v>
      </c>
      <c r="D292">
        <v>0</v>
      </c>
      <c r="E292">
        <v>1</v>
      </c>
      <c r="F292">
        <v>52</v>
      </c>
      <c r="G292">
        <v>0</v>
      </c>
      <c r="H292">
        <v>0</v>
      </c>
      <c r="I292">
        <v>36</v>
      </c>
      <c r="J292">
        <v>0</v>
      </c>
    </row>
    <row r="293" spans="1:10" x14ac:dyDescent="0.25">
      <c r="A293" s="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s="3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s="3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s="3" t="s">
        <v>89</v>
      </c>
      <c r="B296">
        <v>7172022009000300</v>
      </c>
      <c r="C296">
        <v>37</v>
      </c>
      <c r="D296">
        <v>0</v>
      </c>
      <c r="E296">
        <v>4</v>
      </c>
      <c r="F296">
        <v>24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s="3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s="3" t="s">
        <v>90</v>
      </c>
      <c r="B298">
        <v>7172030006000900</v>
      </c>
      <c r="C298">
        <v>85</v>
      </c>
      <c r="D298">
        <v>3</v>
      </c>
      <c r="E298">
        <v>1</v>
      </c>
      <c r="F298">
        <v>67</v>
      </c>
      <c r="G298">
        <v>0</v>
      </c>
      <c r="H298">
        <v>0</v>
      </c>
      <c r="I298">
        <v>14</v>
      </c>
      <c r="J298">
        <v>0</v>
      </c>
    </row>
    <row r="299" spans="1:10" x14ac:dyDescent="0.25">
      <c r="A299" s="3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s="3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s="3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3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s="3" t="s">
        <v>90</v>
      </c>
      <c r="B304">
        <v>7172030006000400</v>
      </c>
      <c r="C304">
        <v>57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18</v>
      </c>
      <c r="J304">
        <v>0</v>
      </c>
    </row>
    <row r="305" spans="1:10" x14ac:dyDescent="0.25">
      <c r="A305" s="3" t="s">
        <v>90</v>
      </c>
      <c r="B305">
        <v>7172030006000500</v>
      </c>
      <c r="C305">
        <v>41</v>
      </c>
      <c r="D305">
        <v>0</v>
      </c>
      <c r="E305">
        <v>0</v>
      </c>
      <c r="F305">
        <v>38</v>
      </c>
      <c r="G305">
        <v>0</v>
      </c>
      <c r="H305">
        <v>0</v>
      </c>
      <c r="I305">
        <v>3</v>
      </c>
      <c r="J305">
        <v>0</v>
      </c>
    </row>
    <row r="306" spans="1:10" x14ac:dyDescent="0.25">
      <c r="A306" s="3" t="s">
        <v>85</v>
      </c>
      <c r="B306">
        <v>7172022003000200</v>
      </c>
      <c r="C306">
        <v>111</v>
      </c>
      <c r="D306">
        <v>1</v>
      </c>
      <c r="E306">
        <v>4</v>
      </c>
      <c r="F306">
        <v>48</v>
      </c>
      <c r="G306">
        <v>0</v>
      </c>
      <c r="H306">
        <v>0</v>
      </c>
      <c r="I306">
        <v>58</v>
      </c>
      <c r="J306">
        <v>0</v>
      </c>
    </row>
    <row r="307" spans="1:10" x14ac:dyDescent="0.25">
      <c r="A307" s="3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s="3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3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3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3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3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s="3" t="s">
        <v>92</v>
      </c>
      <c r="B314">
        <v>7172030007000200</v>
      </c>
      <c r="C314">
        <v>124</v>
      </c>
      <c r="D314">
        <v>4</v>
      </c>
      <c r="E314">
        <v>23</v>
      </c>
      <c r="F314">
        <v>77</v>
      </c>
      <c r="G314">
        <v>0</v>
      </c>
      <c r="H314">
        <v>0</v>
      </c>
      <c r="I314">
        <v>20</v>
      </c>
      <c r="J314">
        <v>0</v>
      </c>
    </row>
    <row r="315" spans="1:10" x14ac:dyDescent="0.25">
      <c r="A315" s="3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3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3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s="3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</row>
    <row r="319" spans="1:10" x14ac:dyDescent="0.25">
      <c r="A319" s="3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3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3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3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s="3" t="s">
        <v>233</v>
      </c>
      <c r="B323">
        <v>7172030007001000</v>
      </c>
      <c r="C323">
        <v>140</v>
      </c>
      <c r="D323">
        <v>10</v>
      </c>
      <c r="E323">
        <v>44</v>
      </c>
      <c r="F323">
        <v>63</v>
      </c>
      <c r="G323">
        <v>0</v>
      </c>
      <c r="H323">
        <v>0</v>
      </c>
      <c r="I323">
        <v>23</v>
      </c>
      <c r="J323">
        <v>0</v>
      </c>
    </row>
    <row r="324" spans="1:10" x14ac:dyDescent="0.25">
      <c r="A324" s="3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3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3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3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3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s="3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3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s="3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</row>
    <row r="332" spans="1:10" x14ac:dyDescent="0.25">
      <c r="A332" s="3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s="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s="3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s="3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s="3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s="3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s="3" t="s">
        <v>97</v>
      </c>
      <c r="B338">
        <v>7172030012000300</v>
      </c>
      <c r="C338">
        <v>81</v>
      </c>
      <c r="D338">
        <v>19</v>
      </c>
      <c r="E338">
        <v>2</v>
      </c>
      <c r="F338">
        <v>28</v>
      </c>
      <c r="G338">
        <v>1</v>
      </c>
      <c r="H338">
        <v>0</v>
      </c>
      <c r="I338">
        <v>31</v>
      </c>
      <c r="J338">
        <v>0</v>
      </c>
    </row>
    <row r="339" spans="1:10" x14ac:dyDescent="0.25">
      <c r="A339" s="3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3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s="3" t="s">
        <v>97</v>
      </c>
      <c r="B341">
        <v>7172030012000100</v>
      </c>
      <c r="C341">
        <v>61</v>
      </c>
      <c r="D341">
        <v>8</v>
      </c>
      <c r="E341">
        <v>0</v>
      </c>
      <c r="F341">
        <v>51</v>
      </c>
      <c r="G341">
        <v>0</v>
      </c>
      <c r="H341">
        <v>0</v>
      </c>
      <c r="I341">
        <v>2</v>
      </c>
      <c r="J341">
        <v>0</v>
      </c>
    </row>
    <row r="342" spans="1:10" x14ac:dyDescent="0.25">
      <c r="A342" s="3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s="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3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3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3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3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3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3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s="3" t="s">
        <v>99</v>
      </c>
      <c r="B350">
        <v>7172030012001200</v>
      </c>
      <c r="C350">
        <v>77</v>
      </c>
      <c r="D350">
        <v>0</v>
      </c>
      <c r="E350">
        <v>9</v>
      </c>
      <c r="F350">
        <v>57</v>
      </c>
      <c r="G350">
        <v>0</v>
      </c>
      <c r="H350">
        <v>0</v>
      </c>
      <c r="I350">
        <v>11</v>
      </c>
      <c r="J350">
        <v>0</v>
      </c>
    </row>
    <row r="351" spans="1:10" x14ac:dyDescent="0.25">
      <c r="A351" s="3" t="s">
        <v>99</v>
      </c>
      <c r="B351">
        <v>7172030012001700</v>
      </c>
      <c r="C351">
        <v>73</v>
      </c>
      <c r="D351">
        <v>0</v>
      </c>
      <c r="E351">
        <v>11</v>
      </c>
      <c r="F351">
        <v>38</v>
      </c>
      <c r="G351">
        <v>0</v>
      </c>
      <c r="H351">
        <v>0</v>
      </c>
      <c r="I351">
        <v>24</v>
      </c>
      <c r="J351">
        <v>0</v>
      </c>
    </row>
    <row r="352" spans="1:10" x14ac:dyDescent="0.25">
      <c r="A352" s="3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s="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s="3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s="3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s="3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s="3" t="s">
        <v>234</v>
      </c>
      <c r="B357">
        <v>7172030008000902</v>
      </c>
      <c r="C357">
        <v>127</v>
      </c>
      <c r="D357">
        <v>16</v>
      </c>
      <c r="E357">
        <v>11</v>
      </c>
      <c r="F357">
        <v>42</v>
      </c>
      <c r="G357">
        <v>0</v>
      </c>
      <c r="H357">
        <v>0</v>
      </c>
      <c r="I357">
        <v>58</v>
      </c>
      <c r="J357">
        <v>0</v>
      </c>
    </row>
    <row r="358" spans="1:10" x14ac:dyDescent="0.25">
      <c r="A358" s="3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3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3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s="3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3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3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s="3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3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3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3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3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s="3" t="s">
        <v>235</v>
      </c>
      <c r="B369">
        <v>7172030015000300</v>
      </c>
      <c r="C369">
        <v>106</v>
      </c>
      <c r="D369">
        <v>1</v>
      </c>
      <c r="E369">
        <v>3</v>
      </c>
      <c r="F369">
        <v>57</v>
      </c>
      <c r="G369">
        <v>0</v>
      </c>
      <c r="H369">
        <v>0</v>
      </c>
      <c r="I369">
        <v>45</v>
      </c>
      <c r="J369">
        <v>0</v>
      </c>
    </row>
    <row r="370" spans="1:10" x14ac:dyDescent="0.25">
      <c r="A370" s="3" t="s">
        <v>235</v>
      </c>
      <c r="B370">
        <v>7172030015001000</v>
      </c>
      <c r="C370">
        <v>79</v>
      </c>
      <c r="D370">
        <v>0</v>
      </c>
      <c r="E370">
        <v>6</v>
      </c>
      <c r="F370">
        <v>22</v>
      </c>
      <c r="G370">
        <v>0</v>
      </c>
      <c r="H370">
        <v>0</v>
      </c>
      <c r="I370">
        <v>51</v>
      </c>
      <c r="J370">
        <v>0</v>
      </c>
    </row>
    <row r="371" spans="1:10" x14ac:dyDescent="0.25">
      <c r="A371" s="3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s="3" t="s">
        <v>235</v>
      </c>
      <c r="B372">
        <v>7172030015001100</v>
      </c>
      <c r="C372">
        <v>56</v>
      </c>
      <c r="D372">
        <v>0</v>
      </c>
      <c r="E372">
        <v>4</v>
      </c>
      <c r="F372">
        <v>31</v>
      </c>
      <c r="G372">
        <v>0</v>
      </c>
      <c r="H372">
        <v>0</v>
      </c>
      <c r="I372">
        <v>21</v>
      </c>
      <c r="J372">
        <v>0</v>
      </c>
    </row>
    <row r="373" spans="1:10" x14ac:dyDescent="0.25">
      <c r="A373" s="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3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3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3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s="3" t="s">
        <v>236</v>
      </c>
      <c r="B377">
        <v>7172030014001100</v>
      </c>
      <c r="C377">
        <v>225</v>
      </c>
      <c r="D377">
        <v>27</v>
      </c>
      <c r="E377">
        <v>6</v>
      </c>
      <c r="F377">
        <v>74</v>
      </c>
      <c r="G377">
        <v>0</v>
      </c>
      <c r="H377">
        <v>0</v>
      </c>
      <c r="I377">
        <v>118</v>
      </c>
      <c r="J377">
        <v>0</v>
      </c>
    </row>
    <row r="378" spans="1:10" x14ac:dyDescent="0.25">
      <c r="A378" s="3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3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3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3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3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s="3" t="s">
        <v>105</v>
      </c>
      <c r="B383">
        <v>7172030015001300</v>
      </c>
      <c r="C383">
        <v>85</v>
      </c>
      <c r="D383">
        <v>0</v>
      </c>
      <c r="E383">
        <v>22</v>
      </c>
      <c r="F383">
        <v>40</v>
      </c>
      <c r="G383">
        <v>0</v>
      </c>
      <c r="H383">
        <v>0</v>
      </c>
      <c r="I383">
        <v>23</v>
      </c>
      <c r="J383">
        <v>0</v>
      </c>
    </row>
    <row r="384" spans="1:10" x14ac:dyDescent="0.25">
      <c r="A384" s="3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s="3" t="s">
        <v>105</v>
      </c>
      <c r="B385">
        <v>7172030015001200</v>
      </c>
      <c r="C385">
        <v>65</v>
      </c>
      <c r="D385">
        <v>18</v>
      </c>
      <c r="E385">
        <v>4</v>
      </c>
      <c r="F385">
        <v>10</v>
      </c>
      <c r="G385">
        <v>0</v>
      </c>
      <c r="H385">
        <v>0</v>
      </c>
      <c r="I385">
        <v>33</v>
      </c>
      <c r="J385">
        <v>0</v>
      </c>
    </row>
    <row r="386" spans="1:10" x14ac:dyDescent="0.25">
      <c r="A386" s="3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3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3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3" t="s">
        <v>109</v>
      </c>
      <c r="B389">
        <v>7172031001001400</v>
      </c>
      <c r="C389">
        <v>52</v>
      </c>
      <c r="D389">
        <v>6</v>
      </c>
      <c r="E389">
        <v>28</v>
      </c>
      <c r="F389">
        <v>9</v>
      </c>
      <c r="G389">
        <v>1</v>
      </c>
      <c r="H389">
        <v>0</v>
      </c>
      <c r="I389">
        <v>8</v>
      </c>
      <c r="J389">
        <v>0</v>
      </c>
    </row>
    <row r="390" spans="1:10" x14ac:dyDescent="0.25">
      <c r="A390" s="3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3" t="s">
        <v>109</v>
      </c>
      <c r="B391">
        <v>7172031001000800</v>
      </c>
      <c r="C391">
        <v>48</v>
      </c>
      <c r="D391">
        <v>0</v>
      </c>
      <c r="E391">
        <v>11</v>
      </c>
      <c r="F391">
        <v>37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s="3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3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3</v>
      </c>
      <c r="H393">
        <v>0</v>
      </c>
      <c r="I393">
        <v>8</v>
      </c>
      <c r="J393">
        <v>0</v>
      </c>
    </row>
    <row r="394" spans="1:10" x14ac:dyDescent="0.25">
      <c r="A394" s="3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3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s="3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3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3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3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3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3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3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3" t="s">
        <v>113</v>
      </c>
      <c r="B404">
        <v>7172031005001500</v>
      </c>
      <c r="C404">
        <v>81</v>
      </c>
      <c r="D404">
        <v>33</v>
      </c>
      <c r="E404">
        <v>15</v>
      </c>
      <c r="F404">
        <v>0</v>
      </c>
      <c r="G404">
        <v>22</v>
      </c>
      <c r="H404">
        <v>0</v>
      </c>
      <c r="I404">
        <v>11</v>
      </c>
      <c r="J404">
        <v>0</v>
      </c>
    </row>
    <row r="405" spans="1:10" x14ac:dyDescent="0.25">
      <c r="A405" s="3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s="3" t="s">
        <v>113</v>
      </c>
      <c r="B406">
        <v>7172031005001400</v>
      </c>
      <c r="C406">
        <v>64</v>
      </c>
      <c r="D406">
        <v>0</v>
      </c>
      <c r="E406">
        <v>12</v>
      </c>
      <c r="F406">
        <v>38</v>
      </c>
      <c r="G406">
        <v>1</v>
      </c>
      <c r="H406">
        <v>0</v>
      </c>
      <c r="I406">
        <v>13</v>
      </c>
      <c r="J406">
        <v>0</v>
      </c>
    </row>
    <row r="407" spans="1:10" x14ac:dyDescent="0.25">
      <c r="A407" s="3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3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3" t="s">
        <v>114</v>
      </c>
      <c r="B409">
        <v>7172031003001300</v>
      </c>
      <c r="C409">
        <v>85</v>
      </c>
      <c r="D409">
        <v>74</v>
      </c>
      <c r="E409">
        <v>9</v>
      </c>
      <c r="F409">
        <v>1</v>
      </c>
      <c r="G409">
        <v>0</v>
      </c>
      <c r="H409">
        <v>0</v>
      </c>
      <c r="I409">
        <v>1</v>
      </c>
      <c r="J409">
        <v>0</v>
      </c>
    </row>
    <row r="410" spans="1:10" x14ac:dyDescent="0.25">
      <c r="A410" s="3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3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3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3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s="3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3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3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3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3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3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3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3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3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3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3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s="3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3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3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3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3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3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s="3" t="s">
        <v>121</v>
      </c>
      <c r="B434">
        <v>7172031006001100</v>
      </c>
      <c r="C434">
        <v>194</v>
      </c>
      <c r="D434">
        <v>3</v>
      </c>
      <c r="E434">
        <v>34</v>
      </c>
      <c r="F434">
        <v>104</v>
      </c>
      <c r="G434">
        <v>1</v>
      </c>
      <c r="H434">
        <v>0</v>
      </c>
      <c r="I434">
        <v>52</v>
      </c>
      <c r="J434">
        <v>0</v>
      </c>
    </row>
    <row r="435" spans="1:10" x14ac:dyDescent="0.25">
      <c r="A435" s="3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s="3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3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3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3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s="3" t="s">
        <v>125</v>
      </c>
      <c r="B440">
        <v>7172031007000800</v>
      </c>
      <c r="C440">
        <v>110</v>
      </c>
      <c r="D440">
        <v>1</v>
      </c>
      <c r="E440">
        <v>8</v>
      </c>
      <c r="F440">
        <v>95</v>
      </c>
      <c r="G440">
        <v>0</v>
      </c>
      <c r="H440">
        <v>0</v>
      </c>
      <c r="I440">
        <v>6</v>
      </c>
      <c r="J440">
        <v>0</v>
      </c>
    </row>
    <row r="441" spans="1:10" x14ac:dyDescent="0.25">
      <c r="A441" s="3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3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14</v>
      </c>
      <c r="H442">
        <v>0</v>
      </c>
      <c r="I442">
        <v>18</v>
      </c>
      <c r="J442">
        <v>0</v>
      </c>
    </row>
    <row r="443" spans="1:10" x14ac:dyDescent="0.25">
      <c r="A443" s="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3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s="3" t="s">
        <v>125</v>
      </c>
      <c r="B445">
        <v>7172031008000400</v>
      </c>
      <c r="C445">
        <v>34</v>
      </c>
      <c r="D445">
        <v>26</v>
      </c>
      <c r="E445">
        <v>3</v>
      </c>
      <c r="F445">
        <v>0</v>
      </c>
      <c r="G445">
        <v>3</v>
      </c>
      <c r="H445">
        <v>0</v>
      </c>
      <c r="I445">
        <v>2</v>
      </c>
      <c r="J445">
        <v>0</v>
      </c>
    </row>
    <row r="446" spans="1:10" x14ac:dyDescent="0.25">
      <c r="A446" s="3" t="s">
        <v>126</v>
      </c>
      <c r="B446">
        <v>7172031007000600</v>
      </c>
      <c r="C446">
        <v>169</v>
      </c>
      <c r="D446">
        <v>16</v>
      </c>
      <c r="E446">
        <v>15</v>
      </c>
      <c r="F446">
        <v>85</v>
      </c>
      <c r="G446">
        <v>0</v>
      </c>
      <c r="H446">
        <v>0</v>
      </c>
      <c r="I446">
        <v>53</v>
      </c>
      <c r="J446">
        <v>0</v>
      </c>
    </row>
    <row r="447" spans="1:10" x14ac:dyDescent="0.25">
      <c r="A447" s="3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s="3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3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s="3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s="3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s="3" t="s">
        <v>123</v>
      </c>
      <c r="B452">
        <v>7172031007002700</v>
      </c>
      <c r="C452">
        <v>174</v>
      </c>
      <c r="D452">
        <v>99</v>
      </c>
      <c r="E452">
        <v>12</v>
      </c>
      <c r="F452">
        <v>33</v>
      </c>
      <c r="G452">
        <v>28</v>
      </c>
      <c r="H452">
        <v>0</v>
      </c>
      <c r="I452">
        <v>2</v>
      </c>
      <c r="J452">
        <v>0</v>
      </c>
    </row>
    <row r="453" spans="1:10" x14ac:dyDescent="0.25">
      <c r="A453" s="3" t="s">
        <v>123</v>
      </c>
      <c r="B453">
        <v>7172031006000800</v>
      </c>
      <c r="C453">
        <v>130</v>
      </c>
      <c r="D453">
        <v>13</v>
      </c>
      <c r="E453">
        <v>0</v>
      </c>
      <c r="F453">
        <v>117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3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3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3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3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s="3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3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3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s="3" t="s">
        <v>128</v>
      </c>
      <c r="B461">
        <v>7172031007001500</v>
      </c>
      <c r="C461">
        <v>90</v>
      </c>
      <c r="D461">
        <v>6</v>
      </c>
      <c r="E461">
        <v>10</v>
      </c>
      <c r="F461">
        <v>12</v>
      </c>
      <c r="G461">
        <v>5</v>
      </c>
      <c r="H461">
        <v>0</v>
      </c>
      <c r="I461">
        <v>57</v>
      </c>
      <c r="J461">
        <v>0</v>
      </c>
    </row>
    <row r="462" spans="1:10" x14ac:dyDescent="0.25">
      <c r="A462" s="3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s="3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s="3" t="s">
        <v>134</v>
      </c>
      <c r="B465">
        <v>7172040003001000</v>
      </c>
      <c r="C465">
        <v>138</v>
      </c>
      <c r="D465">
        <v>0</v>
      </c>
      <c r="E465">
        <v>4</v>
      </c>
      <c r="F465">
        <v>65</v>
      </c>
      <c r="G465">
        <v>0</v>
      </c>
      <c r="H465">
        <v>0</v>
      </c>
      <c r="I465">
        <v>69</v>
      </c>
      <c r="J465">
        <v>0</v>
      </c>
    </row>
    <row r="466" spans="1:10" x14ac:dyDescent="0.25">
      <c r="A466" s="3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3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3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s="3" t="s">
        <v>131</v>
      </c>
      <c r="B469">
        <v>7172040007000300</v>
      </c>
      <c r="C469">
        <v>90</v>
      </c>
      <c r="D469">
        <v>0</v>
      </c>
      <c r="E469">
        <v>4</v>
      </c>
      <c r="F469">
        <v>46</v>
      </c>
      <c r="G469">
        <v>0</v>
      </c>
      <c r="H469">
        <v>0</v>
      </c>
      <c r="I469">
        <v>40</v>
      </c>
      <c r="J469">
        <v>0</v>
      </c>
    </row>
    <row r="470" spans="1:10" x14ac:dyDescent="0.25">
      <c r="A470" s="3" t="s">
        <v>131</v>
      </c>
      <c r="B470">
        <v>7172040007000200</v>
      </c>
      <c r="C470">
        <v>79</v>
      </c>
      <c r="D470">
        <v>0</v>
      </c>
      <c r="E470">
        <v>0</v>
      </c>
      <c r="F470">
        <v>78</v>
      </c>
      <c r="G470">
        <v>0</v>
      </c>
      <c r="H470">
        <v>0</v>
      </c>
      <c r="I470">
        <v>1</v>
      </c>
      <c r="J470">
        <v>0</v>
      </c>
    </row>
    <row r="471" spans="1:10" x14ac:dyDescent="0.25">
      <c r="A471" s="3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s="3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s="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3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3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s="3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</row>
    <row r="477" spans="1:10" x14ac:dyDescent="0.25">
      <c r="A477" s="3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3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s="3" t="s">
        <v>137</v>
      </c>
      <c r="B479">
        <v>7172040005000200</v>
      </c>
      <c r="C479">
        <v>96</v>
      </c>
      <c r="D479">
        <v>0</v>
      </c>
      <c r="E479">
        <v>8</v>
      </c>
      <c r="F479">
        <v>88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s="3" t="s">
        <v>137</v>
      </c>
      <c r="B480">
        <v>7172040005001200</v>
      </c>
      <c r="C480">
        <v>78</v>
      </c>
      <c r="D480">
        <v>0</v>
      </c>
      <c r="E480">
        <v>1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s="3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s="3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s="3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3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3" t="s">
        <v>137</v>
      </c>
      <c r="B486">
        <v>7172040005001000</v>
      </c>
      <c r="C486">
        <v>44</v>
      </c>
      <c r="D486">
        <v>0</v>
      </c>
      <c r="E486">
        <v>21</v>
      </c>
      <c r="F486">
        <v>10</v>
      </c>
      <c r="G486">
        <v>0</v>
      </c>
      <c r="H486">
        <v>0</v>
      </c>
      <c r="I486">
        <v>13</v>
      </c>
      <c r="J486">
        <v>0</v>
      </c>
    </row>
    <row r="487" spans="1:10" x14ac:dyDescent="0.25">
      <c r="A487" s="3" t="s">
        <v>137</v>
      </c>
      <c r="B487">
        <v>7172040005000300</v>
      </c>
      <c r="C487">
        <v>40</v>
      </c>
      <c r="D487">
        <v>0</v>
      </c>
      <c r="E487">
        <v>0</v>
      </c>
      <c r="F487">
        <v>40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s="3" t="s">
        <v>137</v>
      </c>
      <c r="B488">
        <v>7172040005000800</v>
      </c>
      <c r="C488">
        <v>39</v>
      </c>
      <c r="D488">
        <v>0</v>
      </c>
      <c r="E488">
        <v>0</v>
      </c>
      <c r="F488">
        <v>38</v>
      </c>
      <c r="G488">
        <v>0</v>
      </c>
      <c r="H488">
        <v>0</v>
      </c>
      <c r="I488">
        <v>1</v>
      </c>
      <c r="J488">
        <v>0</v>
      </c>
    </row>
    <row r="489" spans="1:10" x14ac:dyDescent="0.25">
      <c r="A489" s="3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3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s="3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3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s="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3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s="3" t="s">
        <v>138</v>
      </c>
      <c r="B495">
        <v>7172040005001300</v>
      </c>
      <c r="C495">
        <v>56</v>
      </c>
      <c r="D495">
        <v>0</v>
      </c>
      <c r="E495">
        <v>17</v>
      </c>
      <c r="F495">
        <v>11</v>
      </c>
      <c r="G495">
        <v>0</v>
      </c>
      <c r="H495">
        <v>0</v>
      </c>
      <c r="I495">
        <v>28</v>
      </c>
      <c r="J495">
        <v>0</v>
      </c>
    </row>
    <row r="496" spans="1:10" x14ac:dyDescent="0.25">
      <c r="A496" s="3" t="s">
        <v>138</v>
      </c>
      <c r="B496">
        <v>7172040005001500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s="3" t="s">
        <v>141</v>
      </c>
      <c r="B497">
        <v>7172040013000100</v>
      </c>
      <c r="C497">
        <v>125</v>
      </c>
      <c r="D497">
        <v>0</v>
      </c>
      <c r="E497">
        <v>47</v>
      </c>
      <c r="F497">
        <v>6</v>
      </c>
      <c r="G497">
        <v>1</v>
      </c>
      <c r="H497">
        <v>0</v>
      </c>
      <c r="I497">
        <v>71</v>
      </c>
      <c r="J497">
        <v>0</v>
      </c>
    </row>
    <row r="498" spans="1:10" x14ac:dyDescent="0.25">
      <c r="A498" s="3" t="s">
        <v>141</v>
      </c>
      <c r="B498">
        <v>7172040013000200</v>
      </c>
      <c r="C498">
        <v>97</v>
      </c>
      <c r="D498">
        <v>0</v>
      </c>
      <c r="E498">
        <v>49</v>
      </c>
      <c r="F498">
        <v>44</v>
      </c>
      <c r="G498">
        <v>0</v>
      </c>
      <c r="H498">
        <v>0</v>
      </c>
      <c r="I498">
        <v>4</v>
      </c>
      <c r="J498">
        <v>0</v>
      </c>
    </row>
    <row r="499" spans="1:10" x14ac:dyDescent="0.25">
      <c r="A499" s="3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s="3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s="3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3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s="3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3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3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s="3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s="3" t="s">
        <v>142</v>
      </c>
      <c r="B507">
        <v>7172040013000600</v>
      </c>
      <c r="C507">
        <v>103</v>
      </c>
      <c r="D507">
        <v>0</v>
      </c>
      <c r="E507">
        <v>6</v>
      </c>
      <c r="F507">
        <v>97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s="3" t="s">
        <v>142</v>
      </c>
      <c r="B508">
        <v>7172040013000800</v>
      </c>
      <c r="C508">
        <v>85</v>
      </c>
      <c r="D508">
        <v>0</v>
      </c>
      <c r="E508">
        <v>10</v>
      </c>
      <c r="F508">
        <v>8</v>
      </c>
      <c r="G508">
        <v>1</v>
      </c>
      <c r="H508">
        <v>0</v>
      </c>
      <c r="I508">
        <v>66</v>
      </c>
      <c r="J508">
        <v>0</v>
      </c>
    </row>
    <row r="509" spans="1:10" x14ac:dyDescent="0.25">
      <c r="A509" s="3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3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3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3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3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3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3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3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s="3" t="s">
        <v>5</v>
      </c>
      <c r="B518">
        <v>7172010008001300</v>
      </c>
      <c r="C518">
        <v>141</v>
      </c>
      <c r="D518">
        <v>0</v>
      </c>
      <c r="E518">
        <v>10</v>
      </c>
      <c r="F518">
        <v>98</v>
      </c>
      <c r="G518">
        <v>0</v>
      </c>
      <c r="H518">
        <v>0</v>
      </c>
      <c r="I518">
        <v>33</v>
      </c>
      <c r="J518">
        <v>0</v>
      </c>
    </row>
    <row r="519" spans="1:10" x14ac:dyDescent="0.25">
      <c r="A519" s="3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</row>
    <row r="520" spans="1:10" x14ac:dyDescent="0.25">
      <c r="A520" s="3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3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3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s="3" t="s">
        <v>8</v>
      </c>
      <c r="B524">
        <v>7172010009000300</v>
      </c>
      <c r="C524">
        <v>80</v>
      </c>
      <c r="D524">
        <v>17</v>
      </c>
      <c r="E524">
        <v>1</v>
      </c>
      <c r="F524">
        <v>38</v>
      </c>
      <c r="G524">
        <v>0</v>
      </c>
      <c r="H524">
        <v>0</v>
      </c>
      <c r="I524">
        <v>24</v>
      </c>
      <c r="J524">
        <v>0</v>
      </c>
    </row>
    <row r="525" spans="1:10" x14ac:dyDescent="0.25">
      <c r="A525" s="3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3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3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s="3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s="3" t="s">
        <v>8</v>
      </c>
      <c r="B529">
        <v>7172010008001800</v>
      </c>
      <c r="C529">
        <v>51</v>
      </c>
      <c r="D529">
        <v>45</v>
      </c>
      <c r="E529">
        <v>0</v>
      </c>
      <c r="F529">
        <v>1</v>
      </c>
      <c r="G529">
        <v>0</v>
      </c>
      <c r="H529">
        <v>0</v>
      </c>
      <c r="I529">
        <v>5</v>
      </c>
      <c r="J529">
        <v>0</v>
      </c>
    </row>
    <row r="530" spans="1:10" x14ac:dyDescent="0.25">
      <c r="A530" s="3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3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3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s="3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3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3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3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s="3" t="s">
        <v>9</v>
      </c>
      <c r="B538">
        <v>7172010009001100</v>
      </c>
      <c r="C538">
        <v>61</v>
      </c>
      <c r="D538">
        <v>0</v>
      </c>
      <c r="E538">
        <v>4</v>
      </c>
      <c r="F538">
        <v>16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s="3" t="s">
        <v>9</v>
      </c>
      <c r="B539">
        <v>7172010009001200</v>
      </c>
      <c r="C539">
        <v>60</v>
      </c>
      <c r="D539">
        <v>5</v>
      </c>
      <c r="E539">
        <v>8</v>
      </c>
      <c r="F539">
        <v>11</v>
      </c>
      <c r="G539">
        <v>0</v>
      </c>
      <c r="H539">
        <v>0</v>
      </c>
      <c r="I539">
        <v>36</v>
      </c>
      <c r="J539">
        <v>0</v>
      </c>
    </row>
    <row r="540" spans="1:10" x14ac:dyDescent="0.25">
      <c r="A540" s="3" t="s">
        <v>9</v>
      </c>
      <c r="B540">
        <v>7172010009001300</v>
      </c>
      <c r="C540">
        <v>60</v>
      </c>
      <c r="D540">
        <v>0</v>
      </c>
      <c r="E540">
        <v>1</v>
      </c>
      <c r="F540">
        <v>59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s="3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3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3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s="3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3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3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3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3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s="3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3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3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s="3" t="s">
        <v>11</v>
      </c>
      <c r="B552">
        <v>7172010009003100</v>
      </c>
      <c r="C552">
        <v>101</v>
      </c>
      <c r="D552">
        <v>7</v>
      </c>
      <c r="E552">
        <v>38</v>
      </c>
      <c r="F552">
        <v>8</v>
      </c>
      <c r="G552">
        <v>1</v>
      </c>
      <c r="H552">
        <v>1</v>
      </c>
      <c r="I552">
        <v>46</v>
      </c>
      <c r="J552">
        <v>0</v>
      </c>
    </row>
    <row r="553" spans="1:10" x14ac:dyDescent="0.25">
      <c r="A553" s="3" t="s">
        <v>11</v>
      </c>
      <c r="B553">
        <v>7172010010000200</v>
      </c>
      <c r="C553">
        <v>99</v>
      </c>
      <c r="D553">
        <v>0</v>
      </c>
      <c r="E553">
        <v>0</v>
      </c>
      <c r="F553">
        <v>99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3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3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3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3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3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3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s="3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s="3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</row>
    <row r="562" spans="1:10" x14ac:dyDescent="0.25">
      <c r="A562" s="3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3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s="3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</row>
    <row r="566" spans="1:10" x14ac:dyDescent="0.25">
      <c r="A566" s="3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3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3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3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3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3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s="3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s="3" t="s">
        <v>14</v>
      </c>
      <c r="B573">
        <v>7172010011000800</v>
      </c>
      <c r="C573">
        <v>55</v>
      </c>
      <c r="D573">
        <v>0</v>
      </c>
      <c r="E573">
        <v>0</v>
      </c>
      <c r="F573">
        <v>2</v>
      </c>
      <c r="G573">
        <v>0</v>
      </c>
      <c r="H573">
        <v>0</v>
      </c>
      <c r="I573">
        <v>53</v>
      </c>
      <c r="J573">
        <v>0</v>
      </c>
    </row>
    <row r="574" spans="1:10" x14ac:dyDescent="0.25">
      <c r="A574" s="3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s="3" t="s">
        <v>14</v>
      </c>
      <c r="B575">
        <v>7172010011001400</v>
      </c>
      <c r="C575">
        <v>39</v>
      </c>
      <c r="D575">
        <v>0</v>
      </c>
      <c r="E575">
        <v>1</v>
      </c>
      <c r="F575">
        <v>27</v>
      </c>
      <c r="G575">
        <v>0</v>
      </c>
      <c r="H575">
        <v>0</v>
      </c>
      <c r="I575">
        <v>11</v>
      </c>
      <c r="J575">
        <v>0</v>
      </c>
    </row>
    <row r="576" spans="1:10" x14ac:dyDescent="0.25">
      <c r="A576" s="3" t="s">
        <v>14</v>
      </c>
      <c r="B576">
        <v>7172010011002100</v>
      </c>
      <c r="C576">
        <v>39</v>
      </c>
      <c r="D576">
        <v>0</v>
      </c>
      <c r="E576">
        <v>0</v>
      </c>
      <c r="F576">
        <v>39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3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s="3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3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3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3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3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3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s="3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s="3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s="3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3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3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s="3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s="3" t="s">
        <v>15</v>
      </c>
      <c r="B591">
        <v>7172010012000100</v>
      </c>
      <c r="C591">
        <v>40</v>
      </c>
      <c r="D591">
        <v>0</v>
      </c>
      <c r="E591">
        <v>13</v>
      </c>
      <c r="F591">
        <v>26</v>
      </c>
      <c r="G591">
        <v>0</v>
      </c>
      <c r="H591">
        <v>0</v>
      </c>
      <c r="I591">
        <v>1</v>
      </c>
      <c r="J591">
        <v>0</v>
      </c>
    </row>
    <row r="592" spans="1:10" x14ac:dyDescent="0.25">
      <c r="A592" s="3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3" t="s">
        <v>15</v>
      </c>
      <c r="B594">
        <v>7172010012000200</v>
      </c>
      <c r="C594">
        <v>34</v>
      </c>
      <c r="D594">
        <v>0</v>
      </c>
      <c r="E594">
        <v>0</v>
      </c>
      <c r="F594">
        <v>34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3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3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3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3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s="3" t="s">
        <v>23</v>
      </c>
      <c r="B599">
        <v>7172010015003100</v>
      </c>
      <c r="C599">
        <v>144</v>
      </c>
      <c r="D599">
        <v>4</v>
      </c>
      <c r="E599">
        <v>22</v>
      </c>
      <c r="F599">
        <v>37</v>
      </c>
      <c r="G599">
        <v>0</v>
      </c>
      <c r="H599">
        <v>0</v>
      </c>
      <c r="I599">
        <v>81</v>
      </c>
      <c r="J599">
        <v>0</v>
      </c>
    </row>
    <row r="600" spans="1:10" x14ac:dyDescent="0.25">
      <c r="A600" s="3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s="3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s="3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s="3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3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s="3" t="s">
        <v>21</v>
      </c>
      <c r="B606">
        <v>7172010015001500</v>
      </c>
      <c r="C606">
        <v>117</v>
      </c>
      <c r="D606">
        <v>46</v>
      </c>
      <c r="E606">
        <v>0</v>
      </c>
      <c r="F606">
        <v>2</v>
      </c>
      <c r="G606">
        <v>1</v>
      </c>
      <c r="H606">
        <v>0</v>
      </c>
      <c r="I606">
        <v>68</v>
      </c>
      <c r="J606">
        <v>0</v>
      </c>
    </row>
    <row r="607" spans="1:10" x14ac:dyDescent="0.25">
      <c r="A607" s="3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3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s="3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3" t="s">
        <v>21</v>
      </c>
      <c r="B610">
        <v>7172010015001700</v>
      </c>
      <c r="C610">
        <v>55</v>
      </c>
      <c r="D610">
        <v>0</v>
      </c>
      <c r="E610">
        <v>1</v>
      </c>
      <c r="F610">
        <v>51</v>
      </c>
      <c r="G610">
        <v>0</v>
      </c>
      <c r="H610">
        <v>0</v>
      </c>
      <c r="I610">
        <v>3</v>
      </c>
      <c r="J610">
        <v>0</v>
      </c>
    </row>
    <row r="611" spans="1:10" x14ac:dyDescent="0.25">
      <c r="A611" s="3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s="3" t="s">
        <v>7</v>
      </c>
      <c r="B612">
        <v>7172010008001000</v>
      </c>
      <c r="C612">
        <v>192</v>
      </c>
      <c r="D612">
        <v>58</v>
      </c>
      <c r="E612">
        <v>4</v>
      </c>
      <c r="F612">
        <v>12</v>
      </c>
      <c r="G612">
        <v>14</v>
      </c>
      <c r="H612">
        <v>0</v>
      </c>
      <c r="I612">
        <v>104</v>
      </c>
      <c r="J612">
        <v>0</v>
      </c>
    </row>
    <row r="613" spans="1:10" x14ac:dyDescent="0.25">
      <c r="A613" s="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s="3" t="s">
        <v>7</v>
      </c>
      <c r="B614">
        <v>7172010008000800</v>
      </c>
      <c r="C614">
        <v>129</v>
      </c>
      <c r="D614">
        <v>0</v>
      </c>
      <c r="E614">
        <v>6</v>
      </c>
      <c r="F614">
        <v>110</v>
      </c>
      <c r="G614">
        <v>0</v>
      </c>
      <c r="H614">
        <v>0</v>
      </c>
      <c r="I614">
        <v>13</v>
      </c>
      <c r="J614">
        <v>0</v>
      </c>
    </row>
    <row r="615" spans="1:10" x14ac:dyDescent="0.25">
      <c r="A615" s="3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3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3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s="3" t="s">
        <v>237</v>
      </c>
      <c r="B618">
        <v>7172010017001200</v>
      </c>
      <c r="C618">
        <v>126</v>
      </c>
      <c r="D618">
        <v>0</v>
      </c>
      <c r="E618">
        <v>7</v>
      </c>
      <c r="F618">
        <v>91</v>
      </c>
      <c r="G618">
        <v>0</v>
      </c>
      <c r="H618">
        <v>0</v>
      </c>
      <c r="I618">
        <v>28</v>
      </c>
      <c r="J618">
        <v>0</v>
      </c>
    </row>
    <row r="619" spans="1:10" x14ac:dyDescent="0.25">
      <c r="A619" s="3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s="3" t="s">
        <v>237</v>
      </c>
      <c r="B620">
        <v>7172010017001100</v>
      </c>
      <c r="C620">
        <v>80</v>
      </c>
      <c r="D620">
        <v>0</v>
      </c>
      <c r="E620">
        <v>0</v>
      </c>
      <c r="F620">
        <v>74</v>
      </c>
      <c r="G620">
        <v>0</v>
      </c>
      <c r="H620">
        <v>0</v>
      </c>
      <c r="I620">
        <v>6</v>
      </c>
      <c r="J620">
        <v>0</v>
      </c>
    </row>
    <row r="621" spans="1:10" x14ac:dyDescent="0.25">
      <c r="A621" s="3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3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3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s="3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3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s="3" t="s">
        <v>27</v>
      </c>
      <c r="B627">
        <v>7172011001000700</v>
      </c>
      <c r="C627">
        <v>167</v>
      </c>
      <c r="D627">
        <v>31</v>
      </c>
      <c r="E627">
        <v>0</v>
      </c>
      <c r="F627">
        <v>53</v>
      </c>
      <c r="G627">
        <v>2</v>
      </c>
      <c r="H627">
        <v>0</v>
      </c>
      <c r="I627">
        <v>81</v>
      </c>
      <c r="J627">
        <v>0</v>
      </c>
    </row>
    <row r="628" spans="1:10" x14ac:dyDescent="0.25">
      <c r="A628" s="3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3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3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3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3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s="3" t="s">
        <v>29</v>
      </c>
      <c r="B634">
        <v>7172011011000500</v>
      </c>
      <c r="C634">
        <v>87</v>
      </c>
      <c r="D634">
        <v>30</v>
      </c>
      <c r="E634">
        <v>7</v>
      </c>
      <c r="F634">
        <v>0</v>
      </c>
      <c r="G634">
        <v>1</v>
      </c>
      <c r="H634">
        <v>0</v>
      </c>
      <c r="I634">
        <v>49</v>
      </c>
      <c r="J634">
        <v>0</v>
      </c>
    </row>
    <row r="635" spans="1:10" x14ac:dyDescent="0.25">
      <c r="A635" s="3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s="3" t="s">
        <v>29</v>
      </c>
      <c r="B636">
        <v>7172011002001200</v>
      </c>
      <c r="C636">
        <v>81</v>
      </c>
      <c r="D636">
        <v>0</v>
      </c>
      <c r="E636">
        <v>11</v>
      </c>
      <c r="F636">
        <v>56</v>
      </c>
      <c r="G636">
        <v>0</v>
      </c>
      <c r="H636">
        <v>0</v>
      </c>
      <c r="I636">
        <v>14</v>
      </c>
      <c r="J636">
        <v>0</v>
      </c>
    </row>
    <row r="637" spans="1:10" x14ac:dyDescent="0.25">
      <c r="A637" s="3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3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3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3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3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3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s="3" t="s">
        <v>30</v>
      </c>
      <c r="B644">
        <v>7172011003001803</v>
      </c>
      <c r="C644">
        <v>151</v>
      </c>
      <c r="D644">
        <v>0</v>
      </c>
      <c r="E644">
        <v>23</v>
      </c>
      <c r="F644">
        <v>61</v>
      </c>
      <c r="G644">
        <v>0</v>
      </c>
      <c r="H644">
        <v>0</v>
      </c>
      <c r="I644">
        <v>67</v>
      </c>
      <c r="J644">
        <v>0</v>
      </c>
    </row>
    <row r="645" spans="1:10" x14ac:dyDescent="0.25">
      <c r="A645" s="3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3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3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3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s="3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3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</row>
    <row r="651" spans="1:10" x14ac:dyDescent="0.25">
      <c r="A651" s="3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3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s="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s="3" t="s">
        <v>33</v>
      </c>
      <c r="B654">
        <v>7172011014001702</v>
      </c>
      <c r="C654">
        <v>117</v>
      </c>
      <c r="D654">
        <v>72</v>
      </c>
      <c r="E654">
        <v>4</v>
      </c>
      <c r="F654">
        <v>0</v>
      </c>
      <c r="G654">
        <v>0</v>
      </c>
      <c r="H654">
        <v>0</v>
      </c>
      <c r="I654">
        <v>41</v>
      </c>
      <c r="J654">
        <v>0</v>
      </c>
    </row>
    <row r="655" spans="1:10" x14ac:dyDescent="0.25">
      <c r="A655" s="3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s="3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3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3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3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3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s="3" t="s">
        <v>34</v>
      </c>
      <c r="B661">
        <v>7172011003001600</v>
      </c>
      <c r="C661">
        <v>121</v>
      </c>
      <c r="D661">
        <v>12</v>
      </c>
      <c r="E661">
        <v>15</v>
      </c>
      <c r="F661">
        <v>34</v>
      </c>
      <c r="G661">
        <v>0</v>
      </c>
      <c r="H661">
        <v>0</v>
      </c>
      <c r="I661">
        <v>60</v>
      </c>
      <c r="J661">
        <v>0</v>
      </c>
    </row>
    <row r="662" spans="1:10" x14ac:dyDescent="0.25">
      <c r="A662" s="3" t="s">
        <v>34</v>
      </c>
      <c r="B662">
        <v>7172011003001500</v>
      </c>
      <c r="C662">
        <v>101</v>
      </c>
      <c r="D662">
        <v>0</v>
      </c>
      <c r="E662">
        <v>12</v>
      </c>
      <c r="F662">
        <v>76</v>
      </c>
      <c r="G662">
        <v>0</v>
      </c>
      <c r="H662">
        <v>0</v>
      </c>
      <c r="I662">
        <v>13</v>
      </c>
      <c r="J662">
        <v>0</v>
      </c>
    </row>
    <row r="663" spans="1:10" x14ac:dyDescent="0.25">
      <c r="A663" s="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3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3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3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3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s="3" t="s">
        <v>40</v>
      </c>
      <c r="B668">
        <v>7172011004000700</v>
      </c>
      <c r="C668">
        <v>134</v>
      </c>
      <c r="D668">
        <v>16</v>
      </c>
      <c r="E668">
        <v>66</v>
      </c>
      <c r="F668">
        <v>47</v>
      </c>
      <c r="G668">
        <v>0</v>
      </c>
      <c r="H668">
        <v>0</v>
      </c>
      <c r="I668">
        <v>5</v>
      </c>
      <c r="J668">
        <v>0</v>
      </c>
    </row>
    <row r="669" spans="1:10" x14ac:dyDescent="0.25">
      <c r="A669" s="3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3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3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3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s="3" t="s">
        <v>43</v>
      </c>
      <c r="B673">
        <v>7172011011000600</v>
      </c>
      <c r="C673">
        <v>65</v>
      </c>
      <c r="D673">
        <v>15</v>
      </c>
      <c r="E673">
        <v>4</v>
      </c>
      <c r="F673">
        <v>36</v>
      </c>
      <c r="G673">
        <v>0</v>
      </c>
      <c r="H673">
        <v>0</v>
      </c>
      <c r="I673">
        <v>10</v>
      </c>
      <c r="J673">
        <v>0</v>
      </c>
    </row>
    <row r="674" spans="1:10" x14ac:dyDescent="0.25">
      <c r="A674" s="3" t="s">
        <v>43</v>
      </c>
      <c r="B674">
        <v>7172011011000900</v>
      </c>
      <c r="C674">
        <v>64</v>
      </c>
      <c r="D674">
        <v>15</v>
      </c>
      <c r="E674">
        <v>0</v>
      </c>
      <c r="F674">
        <v>13</v>
      </c>
      <c r="G674">
        <v>1</v>
      </c>
      <c r="H674">
        <v>0</v>
      </c>
      <c r="I674">
        <v>35</v>
      </c>
      <c r="J674">
        <v>0</v>
      </c>
    </row>
    <row r="675" spans="1:10" x14ac:dyDescent="0.25">
      <c r="A675" s="3" t="s">
        <v>43</v>
      </c>
      <c r="B675">
        <v>7172011011001400</v>
      </c>
      <c r="C675">
        <v>53</v>
      </c>
      <c r="D675">
        <v>0</v>
      </c>
      <c r="E675">
        <v>4</v>
      </c>
      <c r="F675">
        <v>49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3" t="s">
        <v>43</v>
      </c>
      <c r="B676">
        <v>7172011011000800</v>
      </c>
      <c r="C676">
        <v>50</v>
      </c>
      <c r="D676">
        <v>5</v>
      </c>
      <c r="E676">
        <v>1</v>
      </c>
      <c r="F676">
        <v>43</v>
      </c>
      <c r="G676">
        <v>0</v>
      </c>
      <c r="H676">
        <v>0</v>
      </c>
      <c r="I676">
        <v>1</v>
      </c>
      <c r="J676">
        <v>0</v>
      </c>
    </row>
    <row r="677" spans="1:10" x14ac:dyDescent="0.25">
      <c r="A677" s="3" t="s">
        <v>43</v>
      </c>
      <c r="B677">
        <v>7172011011001300</v>
      </c>
      <c r="C677">
        <v>45</v>
      </c>
      <c r="D677">
        <v>0</v>
      </c>
      <c r="E677">
        <v>1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3" t="s">
        <v>43</v>
      </c>
      <c r="B678">
        <v>7172011011001100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s="3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s="3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s="3" t="s">
        <v>43</v>
      </c>
      <c r="B681">
        <v>7172011011000700</v>
      </c>
      <c r="C681">
        <v>23</v>
      </c>
      <c r="D681">
        <v>2</v>
      </c>
      <c r="E681">
        <v>2</v>
      </c>
      <c r="F681">
        <v>19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3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s="3" t="s">
        <v>47</v>
      </c>
      <c r="B684">
        <v>7172011014000600</v>
      </c>
      <c r="C684">
        <v>172</v>
      </c>
      <c r="D684">
        <v>1</v>
      </c>
      <c r="E684">
        <v>5</v>
      </c>
      <c r="F684">
        <v>96</v>
      </c>
      <c r="G684">
        <v>0</v>
      </c>
      <c r="H684">
        <v>0</v>
      </c>
      <c r="I684">
        <v>70</v>
      </c>
      <c r="J684">
        <v>0</v>
      </c>
    </row>
    <row r="685" spans="1:10" x14ac:dyDescent="0.25">
      <c r="A685" s="3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3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3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3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s="3" t="s">
        <v>48</v>
      </c>
      <c r="B689">
        <v>7172011014001200</v>
      </c>
      <c r="C689">
        <v>197</v>
      </c>
      <c r="D689">
        <v>28</v>
      </c>
      <c r="E689">
        <v>34</v>
      </c>
      <c r="F689">
        <v>68</v>
      </c>
      <c r="G689">
        <v>1</v>
      </c>
      <c r="H689">
        <v>0</v>
      </c>
      <c r="I689">
        <v>66</v>
      </c>
      <c r="J689">
        <v>0</v>
      </c>
    </row>
    <row r="690" spans="1:10" x14ac:dyDescent="0.25">
      <c r="A690" s="3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3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3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3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s="3" t="s">
        <v>51</v>
      </c>
      <c r="B695">
        <v>7172012001000500</v>
      </c>
      <c r="C695">
        <v>174</v>
      </c>
      <c r="D695">
        <v>20</v>
      </c>
      <c r="E695">
        <v>28</v>
      </c>
      <c r="F695">
        <v>55</v>
      </c>
      <c r="G695">
        <v>0</v>
      </c>
      <c r="H695">
        <v>0</v>
      </c>
      <c r="I695">
        <v>71</v>
      </c>
      <c r="J695">
        <v>0</v>
      </c>
    </row>
    <row r="696" spans="1:10" x14ac:dyDescent="0.25">
      <c r="A696" s="3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3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s="3" t="s">
        <v>52</v>
      </c>
      <c r="B698">
        <v>7172012001000700</v>
      </c>
      <c r="C698">
        <v>275</v>
      </c>
      <c r="D698">
        <v>2</v>
      </c>
      <c r="E698">
        <v>18</v>
      </c>
      <c r="F698">
        <v>153</v>
      </c>
      <c r="G698">
        <v>0</v>
      </c>
      <c r="H698">
        <v>0</v>
      </c>
      <c r="I698">
        <v>102</v>
      </c>
      <c r="J698">
        <v>0</v>
      </c>
    </row>
    <row r="699" spans="1:10" x14ac:dyDescent="0.25">
      <c r="A699" s="3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3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3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s="3" t="s">
        <v>49</v>
      </c>
      <c r="B702">
        <v>7172012001000100</v>
      </c>
      <c r="C702">
        <v>117</v>
      </c>
      <c r="D702">
        <v>3</v>
      </c>
      <c r="E702">
        <v>1</v>
      </c>
      <c r="F702">
        <v>76</v>
      </c>
      <c r="G702">
        <v>5</v>
      </c>
      <c r="H702">
        <v>0</v>
      </c>
      <c r="I702">
        <v>32</v>
      </c>
      <c r="J702">
        <v>0</v>
      </c>
    </row>
    <row r="703" spans="1:10" x14ac:dyDescent="0.25">
      <c r="A703" s="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3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3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s="3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</row>
    <row r="707" spans="1:10" x14ac:dyDescent="0.25">
      <c r="A707" s="3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3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3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3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3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3" t="s">
        <v>58</v>
      </c>
      <c r="B712">
        <v>7172012003000400</v>
      </c>
      <c r="C712">
        <v>106</v>
      </c>
      <c r="D712">
        <v>0</v>
      </c>
      <c r="E712">
        <v>7</v>
      </c>
      <c r="F712">
        <v>99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3" t="s">
        <v>58</v>
      </c>
      <c r="B713">
        <v>7172012004000100</v>
      </c>
      <c r="C713">
        <v>100</v>
      </c>
      <c r="D713">
        <v>0</v>
      </c>
      <c r="E713">
        <v>0</v>
      </c>
      <c r="F713">
        <v>100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s="3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</row>
    <row r="715" spans="1:10" x14ac:dyDescent="0.25">
      <c r="A715" s="3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3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3" t="s">
        <v>58</v>
      </c>
      <c r="B717">
        <v>7172012003000200</v>
      </c>
      <c r="C717">
        <v>57</v>
      </c>
      <c r="D717">
        <v>12</v>
      </c>
      <c r="E717">
        <v>8</v>
      </c>
      <c r="F717">
        <v>8</v>
      </c>
      <c r="G717">
        <v>2</v>
      </c>
      <c r="H717">
        <v>0</v>
      </c>
      <c r="I717">
        <v>27</v>
      </c>
      <c r="J717">
        <v>0</v>
      </c>
    </row>
    <row r="718" spans="1:10" x14ac:dyDescent="0.25">
      <c r="A718" s="3" t="s">
        <v>57</v>
      </c>
      <c r="B718">
        <v>7172012003001100</v>
      </c>
      <c r="C718">
        <v>122</v>
      </c>
      <c r="D718">
        <v>33</v>
      </c>
      <c r="E718">
        <v>15</v>
      </c>
      <c r="F718">
        <v>26</v>
      </c>
      <c r="G718">
        <v>34</v>
      </c>
      <c r="H718">
        <v>0</v>
      </c>
      <c r="I718">
        <v>14</v>
      </c>
      <c r="J718">
        <v>0</v>
      </c>
    </row>
    <row r="719" spans="1:10" x14ac:dyDescent="0.25">
      <c r="A719" s="3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s="3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3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3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s="3" t="s">
        <v>57</v>
      </c>
      <c r="B723">
        <v>7172012003000500</v>
      </c>
      <c r="C723">
        <v>60</v>
      </c>
      <c r="D723">
        <v>0</v>
      </c>
      <c r="E723">
        <v>12</v>
      </c>
      <c r="F723">
        <v>37</v>
      </c>
      <c r="G723">
        <v>0</v>
      </c>
      <c r="H723">
        <v>0</v>
      </c>
      <c r="I723">
        <v>11</v>
      </c>
      <c r="J723">
        <v>0</v>
      </c>
    </row>
    <row r="724" spans="1:10" x14ac:dyDescent="0.25">
      <c r="A724" s="3" t="s">
        <v>57</v>
      </c>
      <c r="B724">
        <v>7172012003000900</v>
      </c>
      <c r="C724">
        <v>60</v>
      </c>
      <c r="D724">
        <v>0</v>
      </c>
      <c r="E724">
        <v>0</v>
      </c>
      <c r="F724">
        <v>60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s="3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s="3" t="s">
        <v>238</v>
      </c>
      <c r="B726">
        <v>7172012004000500</v>
      </c>
      <c r="C726">
        <v>167</v>
      </c>
      <c r="D726">
        <v>7</v>
      </c>
      <c r="E726">
        <v>5</v>
      </c>
      <c r="F726">
        <v>48</v>
      </c>
      <c r="G726">
        <v>3</v>
      </c>
      <c r="H726">
        <v>0</v>
      </c>
      <c r="I726">
        <v>104</v>
      </c>
      <c r="J726">
        <v>0</v>
      </c>
    </row>
    <row r="727" spans="1:10" x14ac:dyDescent="0.25">
      <c r="A727" s="3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s="3" t="s">
        <v>238</v>
      </c>
      <c r="B728">
        <v>7172012004001001</v>
      </c>
      <c r="C728">
        <v>91</v>
      </c>
      <c r="D728">
        <v>0</v>
      </c>
      <c r="E728">
        <v>1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3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3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s="3" t="s">
        <v>238</v>
      </c>
      <c r="B731">
        <v>7172012004000800</v>
      </c>
      <c r="C731">
        <v>70</v>
      </c>
      <c r="D731">
        <v>0</v>
      </c>
      <c r="E731">
        <v>12</v>
      </c>
      <c r="F731">
        <v>51</v>
      </c>
      <c r="G731">
        <v>0</v>
      </c>
      <c r="H731">
        <v>0</v>
      </c>
      <c r="I731">
        <v>7</v>
      </c>
      <c r="J731">
        <v>0</v>
      </c>
    </row>
    <row r="732" spans="1:10" x14ac:dyDescent="0.25">
      <c r="A732" s="3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3" t="s">
        <v>61</v>
      </c>
      <c r="B733">
        <v>7172012004001100</v>
      </c>
      <c r="C733">
        <v>172</v>
      </c>
      <c r="D733">
        <v>15</v>
      </c>
      <c r="E733">
        <v>13</v>
      </c>
      <c r="F733">
        <v>85</v>
      </c>
      <c r="G733">
        <v>1</v>
      </c>
      <c r="H733">
        <v>0</v>
      </c>
      <c r="I733">
        <v>58</v>
      </c>
      <c r="J733">
        <v>0</v>
      </c>
    </row>
    <row r="734" spans="1:10" x14ac:dyDescent="0.25">
      <c r="A734" s="3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3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3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3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3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s="3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s="3" t="s">
        <v>66</v>
      </c>
      <c r="B740">
        <v>7172012005000400</v>
      </c>
      <c r="C740">
        <v>55</v>
      </c>
      <c r="D740">
        <v>0</v>
      </c>
      <c r="E740">
        <v>0</v>
      </c>
      <c r="F740">
        <v>24</v>
      </c>
      <c r="G740">
        <v>0</v>
      </c>
      <c r="H740">
        <v>0</v>
      </c>
      <c r="I740">
        <v>31</v>
      </c>
      <c r="J740">
        <v>0</v>
      </c>
    </row>
    <row r="741" spans="1:10" x14ac:dyDescent="0.25">
      <c r="A741" s="3" t="s">
        <v>66</v>
      </c>
      <c r="B741">
        <v>7172012005000600</v>
      </c>
      <c r="C741">
        <v>46</v>
      </c>
      <c r="D741">
        <v>0</v>
      </c>
      <c r="E741">
        <v>0</v>
      </c>
      <c r="F741">
        <v>42</v>
      </c>
      <c r="G741">
        <v>0</v>
      </c>
      <c r="H741">
        <v>0</v>
      </c>
      <c r="I741">
        <v>4</v>
      </c>
      <c r="J741">
        <v>0</v>
      </c>
    </row>
    <row r="742" spans="1:10" x14ac:dyDescent="0.25">
      <c r="A742" s="3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3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</row>
    <row r="744" spans="1:10" x14ac:dyDescent="0.25">
      <c r="A744" s="3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3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3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3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s="3" t="s">
        <v>68</v>
      </c>
      <c r="B748">
        <v>7172012007002000</v>
      </c>
      <c r="C748">
        <v>119</v>
      </c>
      <c r="D748">
        <v>0</v>
      </c>
      <c r="E748">
        <v>5</v>
      </c>
      <c r="F748">
        <v>13</v>
      </c>
      <c r="G748">
        <v>1</v>
      </c>
      <c r="H748">
        <v>0</v>
      </c>
      <c r="I748">
        <v>100</v>
      </c>
      <c r="J748">
        <v>0</v>
      </c>
    </row>
    <row r="749" spans="1:10" x14ac:dyDescent="0.25">
      <c r="A749" s="3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s="3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3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3" t="s">
        <v>68</v>
      </c>
      <c r="B752">
        <v>7172012007002100</v>
      </c>
      <c r="C752">
        <v>61</v>
      </c>
      <c r="D752">
        <v>0</v>
      </c>
      <c r="E752">
        <v>2</v>
      </c>
      <c r="F752">
        <v>57</v>
      </c>
      <c r="G752">
        <v>0</v>
      </c>
      <c r="H752">
        <v>0</v>
      </c>
      <c r="I752">
        <v>2</v>
      </c>
      <c r="J752">
        <v>0</v>
      </c>
    </row>
    <row r="753" spans="1:10" x14ac:dyDescent="0.25">
      <c r="A753" s="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3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3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3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3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s="3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3" t="s">
        <v>69</v>
      </c>
      <c r="B759">
        <v>7172012006000802</v>
      </c>
      <c r="C759">
        <v>90</v>
      </c>
      <c r="D759">
        <v>1</v>
      </c>
      <c r="E759">
        <v>17</v>
      </c>
      <c r="F759">
        <v>39</v>
      </c>
      <c r="G759">
        <v>3</v>
      </c>
      <c r="H759">
        <v>0</v>
      </c>
      <c r="I759">
        <v>30</v>
      </c>
      <c r="J759">
        <v>0</v>
      </c>
    </row>
    <row r="760" spans="1:10" x14ac:dyDescent="0.25">
      <c r="A760" s="3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s="3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</row>
    <row r="762" spans="1:10" x14ac:dyDescent="0.25">
      <c r="A762" s="3" t="s">
        <v>55</v>
      </c>
      <c r="B762">
        <v>7172012006001800</v>
      </c>
      <c r="C762">
        <v>163</v>
      </c>
      <c r="D762">
        <v>0</v>
      </c>
      <c r="E762">
        <v>1</v>
      </c>
      <c r="F762">
        <v>63</v>
      </c>
      <c r="G762">
        <v>0</v>
      </c>
      <c r="H762">
        <v>0</v>
      </c>
      <c r="I762">
        <v>99</v>
      </c>
      <c r="J762">
        <v>0</v>
      </c>
    </row>
    <row r="763" spans="1:10" x14ac:dyDescent="0.25">
      <c r="A763" s="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3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s="3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s="3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s="3" t="s">
        <v>73</v>
      </c>
      <c r="B767">
        <v>7172012007001300</v>
      </c>
      <c r="C767">
        <v>135</v>
      </c>
      <c r="D767">
        <v>0</v>
      </c>
      <c r="E767">
        <v>2</v>
      </c>
      <c r="F767">
        <v>131</v>
      </c>
      <c r="G767">
        <v>0</v>
      </c>
      <c r="H767">
        <v>0</v>
      </c>
      <c r="I767">
        <v>2</v>
      </c>
      <c r="J767">
        <v>0</v>
      </c>
    </row>
    <row r="768" spans="1:10" x14ac:dyDescent="0.25">
      <c r="A768" s="3" t="s">
        <v>73</v>
      </c>
      <c r="B768">
        <v>7172012007001500</v>
      </c>
      <c r="C768">
        <v>102</v>
      </c>
      <c r="D768">
        <v>1</v>
      </c>
      <c r="E768">
        <v>13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s="3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3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3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3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s="3" t="s">
        <v>77</v>
      </c>
      <c r="B773">
        <v>7172021003000200</v>
      </c>
      <c r="C773">
        <v>106</v>
      </c>
      <c r="D773">
        <v>20</v>
      </c>
      <c r="E773">
        <v>16</v>
      </c>
      <c r="F773">
        <v>39</v>
      </c>
      <c r="G773">
        <v>0</v>
      </c>
      <c r="H773">
        <v>0</v>
      </c>
      <c r="I773">
        <v>31</v>
      </c>
      <c r="J773">
        <v>0</v>
      </c>
    </row>
    <row r="774" spans="1:10" x14ac:dyDescent="0.25">
      <c r="A774" s="3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s="3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3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3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3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s="3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3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3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3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s="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s="3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</row>
    <row r="785" spans="1:10" x14ac:dyDescent="0.25">
      <c r="A785" s="3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3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s="3" t="s">
        <v>239</v>
      </c>
      <c r="B787">
        <v>7172021006001600</v>
      </c>
      <c r="C787">
        <v>68</v>
      </c>
      <c r="D787">
        <v>2</v>
      </c>
      <c r="E787">
        <v>3</v>
      </c>
      <c r="F787">
        <v>41</v>
      </c>
      <c r="G787">
        <v>2</v>
      </c>
      <c r="H787">
        <v>0</v>
      </c>
      <c r="I787">
        <v>20</v>
      </c>
      <c r="J787">
        <v>0</v>
      </c>
    </row>
    <row r="788" spans="1:10" x14ac:dyDescent="0.25">
      <c r="A788" s="3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3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3" t="s">
        <v>239</v>
      </c>
      <c r="B790">
        <v>7172021007000100</v>
      </c>
      <c r="C790">
        <v>48</v>
      </c>
      <c r="D790">
        <v>0</v>
      </c>
      <c r="E790">
        <v>11</v>
      </c>
      <c r="F790">
        <v>35</v>
      </c>
      <c r="G790">
        <v>0</v>
      </c>
      <c r="H790">
        <v>0</v>
      </c>
      <c r="I790">
        <v>2</v>
      </c>
      <c r="J790">
        <v>0</v>
      </c>
    </row>
    <row r="791" spans="1:10" x14ac:dyDescent="0.25">
      <c r="A791" s="3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3" t="s">
        <v>239</v>
      </c>
      <c r="B792">
        <v>7172021006001700</v>
      </c>
      <c r="C792">
        <v>40</v>
      </c>
      <c r="D792">
        <v>0</v>
      </c>
      <c r="E792">
        <v>3</v>
      </c>
      <c r="F792">
        <v>18</v>
      </c>
      <c r="G792">
        <v>1</v>
      </c>
      <c r="H792">
        <v>0</v>
      </c>
      <c r="I792">
        <v>18</v>
      </c>
      <c r="J792">
        <v>0</v>
      </c>
    </row>
    <row r="793" spans="1:10" x14ac:dyDescent="0.25">
      <c r="A793" s="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3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3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3" t="s">
        <v>82</v>
      </c>
      <c r="B796">
        <v>7172022001000300</v>
      </c>
      <c r="C796">
        <v>93</v>
      </c>
      <c r="D796">
        <v>2</v>
      </c>
      <c r="E796">
        <v>6</v>
      </c>
      <c r="F796">
        <v>81</v>
      </c>
      <c r="G796">
        <v>0</v>
      </c>
      <c r="H796">
        <v>0</v>
      </c>
      <c r="I796">
        <v>4</v>
      </c>
      <c r="J796">
        <v>0</v>
      </c>
    </row>
    <row r="797" spans="1:10" x14ac:dyDescent="0.25">
      <c r="A797" s="3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3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s="3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1</v>
      </c>
      <c r="H799">
        <v>0</v>
      </c>
      <c r="I799">
        <v>40</v>
      </c>
      <c r="J799">
        <v>0</v>
      </c>
    </row>
    <row r="800" spans="1:10" x14ac:dyDescent="0.25">
      <c r="A800" s="3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s="3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s="3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3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3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3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3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3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3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s="3" t="s">
        <v>86</v>
      </c>
      <c r="B810">
        <v>7172022009000500</v>
      </c>
      <c r="C810">
        <v>67</v>
      </c>
      <c r="D810">
        <v>0</v>
      </c>
      <c r="E810">
        <v>6</v>
      </c>
      <c r="F810">
        <v>55</v>
      </c>
      <c r="G810">
        <v>0</v>
      </c>
      <c r="H810">
        <v>0</v>
      </c>
      <c r="I810">
        <v>6</v>
      </c>
      <c r="J810">
        <v>0</v>
      </c>
    </row>
    <row r="811" spans="1:10" x14ac:dyDescent="0.25">
      <c r="A811" s="3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s="3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</row>
    <row r="813" spans="1:10" x14ac:dyDescent="0.25">
      <c r="A813" s="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3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3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3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3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3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3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3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s="3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s="3" t="s">
        <v>87</v>
      </c>
      <c r="B822">
        <v>7172022004000200</v>
      </c>
      <c r="C822">
        <v>45</v>
      </c>
      <c r="D822">
        <v>0</v>
      </c>
      <c r="E822">
        <v>7</v>
      </c>
      <c r="F822">
        <v>17</v>
      </c>
      <c r="G822">
        <v>0</v>
      </c>
      <c r="H822">
        <v>0</v>
      </c>
      <c r="I822">
        <v>21</v>
      </c>
      <c r="J822">
        <v>0</v>
      </c>
    </row>
    <row r="823" spans="1:10" x14ac:dyDescent="0.25">
      <c r="A823" s="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3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3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3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3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3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3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s="3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</row>
    <row r="831" spans="1:10" x14ac:dyDescent="0.25">
      <c r="A831" s="3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3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3" t="s">
        <v>240</v>
      </c>
      <c r="B834">
        <v>7172022008000300</v>
      </c>
      <c r="C834">
        <v>56</v>
      </c>
      <c r="D834">
        <v>0</v>
      </c>
      <c r="E834">
        <v>4</v>
      </c>
      <c r="F834">
        <v>41</v>
      </c>
      <c r="G834">
        <v>0</v>
      </c>
      <c r="H834">
        <v>0</v>
      </c>
      <c r="I834">
        <v>11</v>
      </c>
      <c r="J834">
        <v>0</v>
      </c>
    </row>
    <row r="835" spans="1:10" x14ac:dyDescent="0.25">
      <c r="A835" s="3" t="s">
        <v>240</v>
      </c>
      <c r="B835">
        <v>7172022008000200</v>
      </c>
      <c r="C835">
        <v>49</v>
      </c>
      <c r="D835">
        <v>0</v>
      </c>
      <c r="E835">
        <v>0</v>
      </c>
      <c r="F835">
        <v>17</v>
      </c>
      <c r="G835">
        <v>0</v>
      </c>
      <c r="H835">
        <v>0</v>
      </c>
      <c r="I835">
        <v>32</v>
      </c>
      <c r="J835">
        <v>0</v>
      </c>
    </row>
    <row r="836" spans="1:10" x14ac:dyDescent="0.25">
      <c r="A836" s="3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3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3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3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s="3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</row>
    <row r="841" spans="1:10" x14ac:dyDescent="0.25">
      <c r="A841" s="3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3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s="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3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3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s="3" t="s">
        <v>96</v>
      </c>
      <c r="B846">
        <v>7172030017000500</v>
      </c>
      <c r="C846">
        <v>87</v>
      </c>
      <c r="D846">
        <v>0</v>
      </c>
      <c r="E846">
        <v>36</v>
      </c>
      <c r="F846">
        <v>3</v>
      </c>
      <c r="G846">
        <v>0</v>
      </c>
      <c r="H846">
        <v>0</v>
      </c>
      <c r="I846">
        <v>48</v>
      </c>
      <c r="J846">
        <v>0</v>
      </c>
    </row>
    <row r="847" spans="1:10" x14ac:dyDescent="0.25">
      <c r="A847" s="3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3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3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3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3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s="3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3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3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3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3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3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3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3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3" t="s">
        <v>98</v>
      </c>
      <c r="B860">
        <v>7172030012001100</v>
      </c>
      <c r="C860">
        <v>90</v>
      </c>
      <c r="D860">
        <v>0</v>
      </c>
      <c r="E860">
        <v>32</v>
      </c>
      <c r="F860">
        <v>52</v>
      </c>
      <c r="G860">
        <v>0</v>
      </c>
      <c r="H860">
        <v>0</v>
      </c>
      <c r="I860">
        <v>6</v>
      </c>
      <c r="J860">
        <v>0</v>
      </c>
    </row>
    <row r="861" spans="1:10" x14ac:dyDescent="0.25">
      <c r="A861" s="3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3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s="3" t="s">
        <v>98</v>
      </c>
      <c r="B864">
        <v>7172030012001500</v>
      </c>
      <c r="C864">
        <v>51</v>
      </c>
      <c r="D864">
        <v>22</v>
      </c>
      <c r="E864">
        <v>3</v>
      </c>
      <c r="F864">
        <v>9</v>
      </c>
      <c r="G864">
        <v>0</v>
      </c>
      <c r="H864">
        <v>0</v>
      </c>
      <c r="I864">
        <v>17</v>
      </c>
      <c r="J864">
        <v>0</v>
      </c>
    </row>
    <row r="865" spans="1:10" x14ac:dyDescent="0.25">
      <c r="A865" s="3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s="3" t="s">
        <v>241</v>
      </c>
      <c r="B866">
        <v>7172030013000200</v>
      </c>
      <c r="C866">
        <v>85</v>
      </c>
      <c r="D866">
        <v>16</v>
      </c>
      <c r="E866">
        <v>25</v>
      </c>
      <c r="F866">
        <v>24</v>
      </c>
      <c r="G866">
        <v>0</v>
      </c>
      <c r="H866">
        <v>0</v>
      </c>
      <c r="I866">
        <v>20</v>
      </c>
      <c r="J866">
        <v>0</v>
      </c>
    </row>
    <row r="867" spans="1:10" x14ac:dyDescent="0.25">
      <c r="A867" s="3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3" t="s">
        <v>241</v>
      </c>
      <c r="B868">
        <v>7172030013000600</v>
      </c>
      <c r="C868">
        <v>63</v>
      </c>
      <c r="D868">
        <v>0</v>
      </c>
      <c r="E868">
        <v>10</v>
      </c>
      <c r="F868">
        <v>51</v>
      </c>
      <c r="G868">
        <v>0</v>
      </c>
      <c r="H868">
        <v>0</v>
      </c>
      <c r="I868">
        <v>2</v>
      </c>
      <c r="J868">
        <v>0</v>
      </c>
    </row>
    <row r="869" spans="1:10" x14ac:dyDescent="0.25">
      <c r="A869" s="3" t="s">
        <v>241</v>
      </c>
      <c r="B869">
        <v>7172030013000400</v>
      </c>
      <c r="C869">
        <v>55</v>
      </c>
      <c r="D869">
        <v>20</v>
      </c>
      <c r="E869">
        <v>0</v>
      </c>
      <c r="F869">
        <v>34</v>
      </c>
      <c r="G869">
        <v>0</v>
      </c>
      <c r="H869">
        <v>0</v>
      </c>
      <c r="I869">
        <v>1</v>
      </c>
      <c r="J869">
        <v>0</v>
      </c>
    </row>
    <row r="870" spans="1:10" x14ac:dyDescent="0.25">
      <c r="A870" s="3" t="s">
        <v>241</v>
      </c>
      <c r="B870">
        <v>7172030013000500</v>
      </c>
      <c r="C870">
        <v>53</v>
      </c>
      <c r="D870">
        <v>7</v>
      </c>
      <c r="E870">
        <v>0</v>
      </c>
      <c r="F870">
        <v>41</v>
      </c>
      <c r="G870">
        <v>0</v>
      </c>
      <c r="H870">
        <v>0</v>
      </c>
      <c r="I870">
        <v>5</v>
      </c>
      <c r="J870">
        <v>0</v>
      </c>
    </row>
    <row r="871" spans="1:10" x14ac:dyDescent="0.25">
      <c r="A871" s="3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s="3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3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s="3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s="3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s="3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s="3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3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s="3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s="3" t="s">
        <v>242</v>
      </c>
      <c r="B880">
        <v>7172030014000200</v>
      </c>
      <c r="C880">
        <v>51</v>
      </c>
      <c r="D880">
        <v>4</v>
      </c>
      <c r="E880">
        <v>0</v>
      </c>
      <c r="F880">
        <v>31</v>
      </c>
      <c r="G880">
        <v>0</v>
      </c>
      <c r="H880">
        <v>0</v>
      </c>
      <c r="I880">
        <v>16</v>
      </c>
      <c r="J880">
        <v>0</v>
      </c>
    </row>
    <row r="881" spans="1:10" x14ac:dyDescent="0.25">
      <c r="A881" s="3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3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s="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3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3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</row>
    <row r="886" spans="1:10" x14ac:dyDescent="0.25">
      <c r="A886" s="3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3" t="s">
        <v>102</v>
      </c>
      <c r="B887">
        <v>7172030014000400</v>
      </c>
      <c r="C887">
        <v>48</v>
      </c>
      <c r="D887">
        <v>17</v>
      </c>
      <c r="E887">
        <v>0</v>
      </c>
      <c r="F887">
        <v>31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s="3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3" t="s">
        <v>106</v>
      </c>
      <c r="B889">
        <v>7172030015001500</v>
      </c>
      <c r="C889">
        <v>180</v>
      </c>
      <c r="D889">
        <v>0</v>
      </c>
      <c r="E889">
        <v>14</v>
      </c>
      <c r="F889">
        <v>95</v>
      </c>
      <c r="G889">
        <v>0</v>
      </c>
      <c r="H889">
        <v>0</v>
      </c>
      <c r="I889">
        <v>71</v>
      </c>
      <c r="J889">
        <v>0</v>
      </c>
    </row>
    <row r="890" spans="1:10" x14ac:dyDescent="0.25">
      <c r="A890" s="3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s="3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s="3" t="s">
        <v>107</v>
      </c>
      <c r="B892">
        <v>7172030017000400</v>
      </c>
      <c r="C892">
        <v>120</v>
      </c>
      <c r="D892">
        <v>2</v>
      </c>
      <c r="E892">
        <v>14</v>
      </c>
      <c r="F892">
        <v>96</v>
      </c>
      <c r="G892">
        <v>1</v>
      </c>
      <c r="H892">
        <v>0</v>
      </c>
      <c r="I892">
        <v>7</v>
      </c>
      <c r="J892">
        <v>0</v>
      </c>
    </row>
    <row r="893" spans="1:10" x14ac:dyDescent="0.25">
      <c r="A893" s="3" t="s">
        <v>107</v>
      </c>
      <c r="B893">
        <v>7172030017000700</v>
      </c>
      <c r="C893">
        <v>101</v>
      </c>
      <c r="D893">
        <v>0</v>
      </c>
      <c r="E893">
        <v>8</v>
      </c>
      <c r="F893">
        <v>56</v>
      </c>
      <c r="G893">
        <v>1</v>
      </c>
      <c r="H893">
        <v>0</v>
      </c>
      <c r="I893">
        <v>36</v>
      </c>
      <c r="J893">
        <v>0</v>
      </c>
    </row>
    <row r="894" spans="1:10" x14ac:dyDescent="0.25">
      <c r="A894" s="3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s="3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3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3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</row>
    <row r="898" spans="1:10" x14ac:dyDescent="0.25">
      <c r="A898" s="3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3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3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3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s="3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3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3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s="3" t="s">
        <v>108</v>
      </c>
      <c r="B906">
        <v>7172030017001400</v>
      </c>
      <c r="C906">
        <v>82</v>
      </c>
      <c r="D906">
        <v>1</v>
      </c>
      <c r="E906">
        <v>19</v>
      </c>
      <c r="F906">
        <v>4</v>
      </c>
      <c r="G906">
        <v>0</v>
      </c>
      <c r="H906">
        <v>0</v>
      </c>
      <c r="I906">
        <v>58</v>
      </c>
      <c r="J906">
        <v>0</v>
      </c>
    </row>
    <row r="907" spans="1:10" x14ac:dyDescent="0.25">
      <c r="A907" s="3" t="s">
        <v>108</v>
      </c>
      <c r="B907">
        <v>7172030017002002</v>
      </c>
      <c r="C907">
        <v>80</v>
      </c>
      <c r="D907">
        <v>0</v>
      </c>
      <c r="E907">
        <v>0</v>
      </c>
      <c r="F907">
        <v>80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s="3" t="s">
        <v>108</v>
      </c>
      <c r="B908">
        <v>7172030017001600</v>
      </c>
      <c r="C908">
        <v>57</v>
      </c>
      <c r="D908">
        <v>0</v>
      </c>
      <c r="E908">
        <v>9</v>
      </c>
      <c r="F908">
        <v>48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s="3" t="s">
        <v>110</v>
      </c>
      <c r="B909">
        <v>7172031002000100</v>
      </c>
      <c r="C909">
        <v>204</v>
      </c>
      <c r="D909">
        <v>0</v>
      </c>
      <c r="E909">
        <v>9</v>
      </c>
      <c r="F909">
        <v>168</v>
      </c>
      <c r="G909">
        <v>0</v>
      </c>
      <c r="H909">
        <v>0</v>
      </c>
      <c r="I909">
        <v>27</v>
      </c>
      <c r="J909">
        <v>0</v>
      </c>
    </row>
    <row r="910" spans="1:10" x14ac:dyDescent="0.25">
      <c r="A910" s="3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3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s="3" t="s">
        <v>110</v>
      </c>
      <c r="B912">
        <v>7172031001001500</v>
      </c>
      <c r="C912">
        <v>92</v>
      </c>
      <c r="D912">
        <v>4</v>
      </c>
      <c r="E912">
        <v>4</v>
      </c>
      <c r="F912">
        <v>15</v>
      </c>
      <c r="G912">
        <v>0</v>
      </c>
      <c r="H912">
        <v>0</v>
      </c>
      <c r="I912">
        <v>69</v>
      </c>
      <c r="J912">
        <v>0</v>
      </c>
    </row>
    <row r="913" spans="1:10" x14ac:dyDescent="0.25">
      <c r="A913" s="3" t="s">
        <v>111</v>
      </c>
      <c r="B913">
        <v>7172031002000500</v>
      </c>
      <c r="C913">
        <v>122</v>
      </c>
      <c r="D913">
        <v>0</v>
      </c>
      <c r="E913">
        <v>1</v>
      </c>
      <c r="F913">
        <v>111</v>
      </c>
      <c r="G913">
        <v>0</v>
      </c>
      <c r="H913">
        <v>0</v>
      </c>
      <c r="I913">
        <v>10</v>
      </c>
      <c r="J913">
        <v>0</v>
      </c>
    </row>
    <row r="914" spans="1:10" x14ac:dyDescent="0.25">
      <c r="A914" s="3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</row>
    <row r="915" spans="1:10" x14ac:dyDescent="0.25">
      <c r="A915" s="3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3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3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3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3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3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3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s="3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3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3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3" t="s">
        <v>112</v>
      </c>
      <c r="B926">
        <v>7172031008000800</v>
      </c>
      <c r="C926">
        <v>56</v>
      </c>
      <c r="D926">
        <v>9</v>
      </c>
      <c r="E926">
        <v>31</v>
      </c>
      <c r="F926">
        <v>4</v>
      </c>
      <c r="G926">
        <v>0</v>
      </c>
      <c r="H926">
        <v>0</v>
      </c>
      <c r="I926">
        <v>12</v>
      </c>
      <c r="J926">
        <v>0</v>
      </c>
    </row>
    <row r="927" spans="1:10" x14ac:dyDescent="0.25">
      <c r="A927" s="3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s="3" t="s">
        <v>112</v>
      </c>
      <c r="B928">
        <v>7172031008001500</v>
      </c>
      <c r="C928">
        <v>30</v>
      </c>
      <c r="D928">
        <v>16</v>
      </c>
      <c r="E928">
        <v>3</v>
      </c>
      <c r="F928">
        <v>1</v>
      </c>
      <c r="G928">
        <v>0</v>
      </c>
      <c r="H928">
        <v>0</v>
      </c>
      <c r="I928">
        <v>10</v>
      </c>
      <c r="J928">
        <v>0</v>
      </c>
    </row>
    <row r="929" spans="1:10" x14ac:dyDescent="0.25">
      <c r="A929" s="3" t="s">
        <v>115</v>
      </c>
      <c r="B929">
        <v>7172031003002000</v>
      </c>
      <c r="C929">
        <v>188</v>
      </c>
      <c r="D929">
        <v>73</v>
      </c>
      <c r="E929">
        <v>15</v>
      </c>
      <c r="F929">
        <v>85</v>
      </c>
      <c r="G929">
        <v>13</v>
      </c>
      <c r="H929">
        <v>0</v>
      </c>
      <c r="I929">
        <v>2</v>
      </c>
      <c r="J929">
        <v>0</v>
      </c>
    </row>
    <row r="930" spans="1:10" x14ac:dyDescent="0.25">
      <c r="A930" s="3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3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3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s="3" t="s">
        <v>243</v>
      </c>
      <c r="B934">
        <v>7172031003001800</v>
      </c>
      <c r="C934">
        <v>144</v>
      </c>
      <c r="D934">
        <v>127</v>
      </c>
      <c r="E934">
        <v>0</v>
      </c>
      <c r="F934">
        <v>14</v>
      </c>
      <c r="G934">
        <v>2</v>
      </c>
      <c r="H934">
        <v>0</v>
      </c>
      <c r="I934">
        <v>1</v>
      </c>
      <c r="J934">
        <v>0</v>
      </c>
    </row>
    <row r="935" spans="1:10" x14ac:dyDescent="0.25">
      <c r="A935" s="3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3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3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3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3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s="3" t="s">
        <v>243</v>
      </c>
      <c r="B940">
        <v>7172031003002400</v>
      </c>
      <c r="C940">
        <v>59</v>
      </c>
      <c r="D940">
        <v>26</v>
      </c>
      <c r="E940">
        <v>1</v>
      </c>
      <c r="F940">
        <v>32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3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s="3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</row>
    <row r="943" spans="1:10" x14ac:dyDescent="0.25">
      <c r="A943" s="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3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3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3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3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3" t="s">
        <v>117</v>
      </c>
      <c r="B948">
        <v>7172031004000500</v>
      </c>
      <c r="C948">
        <v>42</v>
      </c>
      <c r="D948">
        <v>11</v>
      </c>
      <c r="E948">
        <v>23</v>
      </c>
      <c r="F948">
        <v>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3" t="s">
        <v>117</v>
      </c>
      <c r="B949">
        <v>7172031004001000</v>
      </c>
      <c r="C949">
        <v>41</v>
      </c>
      <c r="D949">
        <v>0</v>
      </c>
      <c r="E949">
        <v>0</v>
      </c>
      <c r="F949">
        <v>41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3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3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s="3" t="s">
        <v>120</v>
      </c>
      <c r="B952">
        <v>7172031006000101</v>
      </c>
      <c r="C952">
        <v>199</v>
      </c>
      <c r="D952">
        <v>2</v>
      </c>
      <c r="E952">
        <v>33</v>
      </c>
      <c r="F952">
        <v>115</v>
      </c>
      <c r="G952">
        <v>10</v>
      </c>
      <c r="H952">
        <v>0</v>
      </c>
      <c r="I952">
        <v>39</v>
      </c>
      <c r="J952">
        <v>0</v>
      </c>
    </row>
    <row r="953" spans="1:10" x14ac:dyDescent="0.25">
      <c r="A953" s="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3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3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3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s="3" t="s">
        <v>122</v>
      </c>
      <c r="B957">
        <v>7172031006000900</v>
      </c>
      <c r="C957">
        <v>161</v>
      </c>
      <c r="D957">
        <v>0</v>
      </c>
      <c r="E957">
        <v>5</v>
      </c>
      <c r="F957">
        <v>155</v>
      </c>
      <c r="G957">
        <v>0</v>
      </c>
      <c r="H957">
        <v>0</v>
      </c>
      <c r="I957">
        <v>1</v>
      </c>
      <c r="J957">
        <v>0</v>
      </c>
    </row>
    <row r="958" spans="1:10" x14ac:dyDescent="0.25">
      <c r="A958" s="3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s="3" t="s">
        <v>122</v>
      </c>
      <c r="B959">
        <v>7172031006001300</v>
      </c>
      <c r="C959">
        <v>114</v>
      </c>
      <c r="D959">
        <v>4</v>
      </c>
      <c r="E959">
        <v>44</v>
      </c>
      <c r="F959">
        <v>32</v>
      </c>
      <c r="G959">
        <v>0</v>
      </c>
      <c r="H959">
        <v>0</v>
      </c>
      <c r="I959">
        <v>34</v>
      </c>
      <c r="J959">
        <v>0</v>
      </c>
    </row>
    <row r="960" spans="1:10" x14ac:dyDescent="0.25">
      <c r="A960" s="3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3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s="3" t="s">
        <v>124</v>
      </c>
      <c r="B962">
        <v>7172031006001400</v>
      </c>
      <c r="C962">
        <v>178</v>
      </c>
      <c r="D962">
        <v>78</v>
      </c>
      <c r="E962">
        <v>38</v>
      </c>
      <c r="F962">
        <v>1</v>
      </c>
      <c r="G962">
        <v>6</v>
      </c>
      <c r="H962">
        <v>0</v>
      </c>
      <c r="I962">
        <v>55</v>
      </c>
      <c r="J962">
        <v>0</v>
      </c>
    </row>
    <row r="963" spans="1:10" x14ac:dyDescent="0.25">
      <c r="A963" s="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3" t="s">
        <v>124</v>
      </c>
      <c r="B964">
        <v>7172031006001700</v>
      </c>
      <c r="C964">
        <v>124</v>
      </c>
      <c r="D964">
        <v>0</v>
      </c>
      <c r="E964">
        <v>10</v>
      </c>
      <c r="F964">
        <v>105</v>
      </c>
      <c r="G964">
        <v>0</v>
      </c>
      <c r="H964">
        <v>0</v>
      </c>
      <c r="I964">
        <v>9</v>
      </c>
      <c r="J964">
        <v>0</v>
      </c>
    </row>
    <row r="965" spans="1:10" x14ac:dyDescent="0.25">
      <c r="A965" s="3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3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3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3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s="3" t="s">
        <v>127</v>
      </c>
      <c r="B969">
        <v>7172031007001000</v>
      </c>
      <c r="C969">
        <v>101</v>
      </c>
      <c r="D969">
        <v>25</v>
      </c>
      <c r="E969">
        <v>4</v>
      </c>
      <c r="F969">
        <v>18</v>
      </c>
      <c r="G969">
        <v>3</v>
      </c>
      <c r="H969">
        <v>0</v>
      </c>
      <c r="I969">
        <v>51</v>
      </c>
      <c r="J969">
        <v>0</v>
      </c>
    </row>
    <row r="970" spans="1:10" x14ac:dyDescent="0.25">
      <c r="A970" s="3" t="s">
        <v>127</v>
      </c>
      <c r="B970">
        <v>7172031007001200</v>
      </c>
      <c r="C970">
        <v>98</v>
      </c>
      <c r="D970">
        <v>0</v>
      </c>
      <c r="E970">
        <v>23</v>
      </c>
      <c r="F970">
        <v>39</v>
      </c>
      <c r="G970">
        <v>0</v>
      </c>
      <c r="H970">
        <v>0</v>
      </c>
      <c r="I970">
        <v>36</v>
      </c>
      <c r="J970">
        <v>0</v>
      </c>
    </row>
    <row r="971" spans="1:10" x14ac:dyDescent="0.25">
      <c r="A971" s="3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3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3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s="3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3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s="3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3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3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5</v>
      </c>
      <c r="H979">
        <v>0</v>
      </c>
      <c r="I979">
        <v>2</v>
      </c>
      <c r="J979">
        <v>0</v>
      </c>
    </row>
    <row r="980" spans="1:10" x14ac:dyDescent="0.25">
      <c r="A980" s="3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s="3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2</v>
      </c>
      <c r="H981">
        <v>0</v>
      </c>
      <c r="I981">
        <v>0</v>
      </c>
      <c r="J981">
        <v>0</v>
      </c>
    </row>
    <row r="982" spans="1:10" x14ac:dyDescent="0.25">
      <c r="A982" s="3" t="s">
        <v>129</v>
      </c>
      <c r="B982">
        <v>7172031008500100</v>
      </c>
      <c r="C982">
        <v>18</v>
      </c>
      <c r="D982">
        <v>4</v>
      </c>
      <c r="E982">
        <v>5</v>
      </c>
      <c r="F982">
        <v>7</v>
      </c>
      <c r="G982">
        <v>1</v>
      </c>
      <c r="H982">
        <v>0</v>
      </c>
      <c r="I982">
        <v>1</v>
      </c>
      <c r="J982">
        <v>0</v>
      </c>
    </row>
    <row r="983" spans="1:10" x14ac:dyDescent="0.25">
      <c r="A983" s="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3" t="s">
        <v>130</v>
      </c>
      <c r="B984">
        <v>7172040009000600</v>
      </c>
      <c r="C984">
        <v>82</v>
      </c>
      <c r="D984">
        <v>0</v>
      </c>
      <c r="E984">
        <v>20</v>
      </c>
      <c r="F984">
        <v>21</v>
      </c>
      <c r="G984">
        <v>2</v>
      </c>
      <c r="H984">
        <v>0</v>
      </c>
      <c r="I984">
        <v>39</v>
      </c>
      <c r="J984">
        <v>0</v>
      </c>
    </row>
    <row r="985" spans="1:10" x14ac:dyDescent="0.25">
      <c r="A985" s="3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s="3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3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3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3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3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3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3" t="s">
        <v>132</v>
      </c>
      <c r="B992">
        <v>7172040003000601</v>
      </c>
      <c r="C992">
        <v>185</v>
      </c>
      <c r="D992">
        <v>54</v>
      </c>
      <c r="E992">
        <v>26</v>
      </c>
      <c r="F992">
        <v>96</v>
      </c>
      <c r="G992">
        <v>4</v>
      </c>
      <c r="H992">
        <v>0</v>
      </c>
      <c r="I992">
        <v>5</v>
      </c>
      <c r="J992">
        <v>0</v>
      </c>
    </row>
    <row r="993" spans="1:10" x14ac:dyDescent="0.25">
      <c r="A993" s="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3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3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3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3" t="s">
        <v>133</v>
      </c>
      <c r="B997">
        <v>7172040003000300</v>
      </c>
      <c r="C997">
        <v>152</v>
      </c>
      <c r="D997">
        <v>0</v>
      </c>
      <c r="E997">
        <v>0</v>
      </c>
      <c r="F997">
        <v>146</v>
      </c>
      <c r="G997">
        <v>0</v>
      </c>
      <c r="H997">
        <v>0</v>
      </c>
      <c r="I997">
        <v>6</v>
      </c>
      <c r="J997">
        <v>0</v>
      </c>
    </row>
    <row r="998" spans="1:10" x14ac:dyDescent="0.25">
      <c r="A998" s="3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s="3" t="s">
        <v>133</v>
      </c>
      <c r="B999">
        <v>7172040003000602</v>
      </c>
      <c r="C999">
        <v>98</v>
      </c>
      <c r="D999">
        <v>34</v>
      </c>
      <c r="E999">
        <v>15</v>
      </c>
      <c r="F999">
        <v>32</v>
      </c>
      <c r="G999">
        <v>7</v>
      </c>
      <c r="H999">
        <v>0</v>
      </c>
      <c r="I999">
        <v>9</v>
      </c>
      <c r="J999">
        <v>1</v>
      </c>
    </row>
    <row r="1000" spans="1:10" x14ac:dyDescent="0.25">
      <c r="A1000" s="3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s="3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3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3" t="s">
        <v>135</v>
      </c>
      <c r="B1004">
        <v>7172040003000800</v>
      </c>
      <c r="C1004">
        <v>11</v>
      </c>
      <c r="D1004">
        <v>0</v>
      </c>
      <c r="E1004">
        <v>0</v>
      </c>
      <c r="F1004">
        <v>0</v>
      </c>
      <c r="G1004">
        <v>0</v>
      </c>
      <c r="H1004">
        <v>3</v>
      </c>
      <c r="I1004">
        <v>8</v>
      </c>
      <c r="J1004">
        <v>0</v>
      </c>
    </row>
    <row r="1005" spans="1:10" x14ac:dyDescent="0.25">
      <c r="A1005" s="3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3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3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3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s="3" t="s">
        <v>136</v>
      </c>
      <c r="B1009">
        <v>7172040008000300</v>
      </c>
      <c r="C1009">
        <v>50</v>
      </c>
      <c r="D1009">
        <v>0</v>
      </c>
      <c r="E1009">
        <v>25</v>
      </c>
      <c r="F1009">
        <v>16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s="3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s="3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s="3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s="3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</row>
    <row r="1014" spans="1:10" x14ac:dyDescent="0.25">
      <c r="A1014" s="3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s="3" t="s">
        <v>139</v>
      </c>
      <c r="B1015">
        <v>7172040006000100</v>
      </c>
      <c r="C1015">
        <v>90</v>
      </c>
      <c r="D1015">
        <v>0</v>
      </c>
      <c r="E1015">
        <v>11</v>
      </c>
      <c r="F1015">
        <v>31</v>
      </c>
      <c r="G1015">
        <v>0</v>
      </c>
      <c r="H1015">
        <v>0</v>
      </c>
      <c r="I1015">
        <v>48</v>
      </c>
      <c r="J1015">
        <v>0</v>
      </c>
    </row>
    <row r="1016" spans="1:10" x14ac:dyDescent="0.25">
      <c r="A1016" s="3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3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3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s="3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3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3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3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s="3" t="s">
        <v>140</v>
      </c>
      <c r="B1024">
        <v>7172040012000300</v>
      </c>
      <c r="C1024">
        <v>80</v>
      </c>
      <c r="D1024">
        <v>0</v>
      </c>
      <c r="E1024">
        <v>34</v>
      </c>
      <c r="F1024">
        <v>35</v>
      </c>
      <c r="G1024">
        <v>0</v>
      </c>
      <c r="H1024">
        <v>0</v>
      </c>
      <c r="I1024">
        <v>11</v>
      </c>
      <c r="J1024">
        <v>0</v>
      </c>
    </row>
    <row r="1025" spans="1:10" x14ac:dyDescent="0.25">
      <c r="A1025" s="3" t="s">
        <v>140</v>
      </c>
      <c r="B1025">
        <v>7172040012000200</v>
      </c>
      <c r="C1025">
        <v>76</v>
      </c>
      <c r="D1025">
        <v>25</v>
      </c>
      <c r="E1025">
        <v>13</v>
      </c>
      <c r="F1025">
        <v>3</v>
      </c>
      <c r="G1025">
        <v>2</v>
      </c>
      <c r="H1025">
        <v>0</v>
      </c>
      <c r="I1025">
        <v>33</v>
      </c>
      <c r="J1025">
        <v>0</v>
      </c>
    </row>
    <row r="1026" spans="1:10" x14ac:dyDescent="0.25">
      <c r="A1026" s="3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3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3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3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3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3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3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3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s="3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3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3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3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3" t="s">
        <v>118</v>
      </c>
      <c r="B1039">
        <v>7172031004001200</v>
      </c>
      <c r="C1039">
        <v>58</v>
      </c>
      <c r="D1039">
        <v>48</v>
      </c>
      <c r="E1039">
        <v>1</v>
      </c>
      <c r="F1039">
        <v>7</v>
      </c>
      <c r="G1039">
        <v>0</v>
      </c>
      <c r="H1039">
        <v>0</v>
      </c>
      <c r="I1039">
        <v>2</v>
      </c>
      <c r="J1039">
        <v>0</v>
      </c>
    </row>
    <row r="1040" spans="1:10" x14ac:dyDescent="0.25">
      <c r="A1040" s="3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3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3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3" t="s">
        <v>36</v>
      </c>
      <c r="B1043">
        <v>7172011003002401</v>
      </c>
      <c r="C1043">
        <v>179</v>
      </c>
      <c r="D1043">
        <v>0</v>
      </c>
      <c r="E1043">
        <v>19</v>
      </c>
      <c r="F1043">
        <v>102</v>
      </c>
      <c r="G1043">
        <v>0</v>
      </c>
      <c r="H1043">
        <v>0</v>
      </c>
      <c r="I1043">
        <v>58</v>
      </c>
      <c r="J1043">
        <v>0</v>
      </c>
    </row>
    <row r="1044" spans="1:10" x14ac:dyDescent="0.25">
      <c r="A1044" s="3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3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s="3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3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3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3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s="3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3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3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s="3" t="s">
        <v>389</v>
      </c>
      <c r="B1053">
        <v>7172012004001300</v>
      </c>
      <c r="C1053">
        <v>76</v>
      </c>
      <c r="D1053">
        <v>0</v>
      </c>
      <c r="E1053">
        <v>3</v>
      </c>
      <c r="F1053">
        <v>61</v>
      </c>
      <c r="G1053">
        <v>0</v>
      </c>
      <c r="H1053">
        <v>0</v>
      </c>
      <c r="I1053">
        <v>12</v>
      </c>
      <c r="J1053">
        <v>0</v>
      </c>
    </row>
    <row r="1054" spans="1:10" x14ac:dyDescent="0.25">
      <c r="A1054" s="3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3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3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3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3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s="3" t="s">
        <v>390</v>
      </c>
      <c r="B1059">
        <v>7172040003000800</v>
      </c>
      <c r="C1059">
        <v>44</v>
      </c>
      <c r="D1059">
        <v>0</v>
      </c>
      <c r="E1059">
        <v>4</v>
      </c>
      <c r="F1059">
        <v>31</v>
      </c>
      <c r="G1059">
        <v>0</v>
      </c>
      <c r="H1059">
        <v>0</v>
      </c>
      <c r="I1059">
        <v>9</v>
      </c>
      <c r="J1059">
        <v>0</v>
      </c>
    </row>
    <row r="1060" spans="1:10" x14ac:dyDescent="0.25">
      <c r="A1060" s="3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60"/>
  <sheetViews>
    <sheetView tabSelected="1" workbookViewId="0">
      <selection activeCell="H12" sqref="H1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9</v>
      </c>
      <c r="F2">
        <v>15</v>
      </c>
      <c r="G2">
        <v>1</v>
      </c>
      <c r="H2">
        <v>0</v>
      </c>
      <c r="I2">
        <v>78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82</v>
      </c>
      <c r="D5">
        <v>0</v>
      </c>
      <c r="E5">
        <v>10</v>
      </c>
      <c r="F5">
        <v>64</v>
      </c>
      <c r="G5">
        <v>0</v>
      </c>
      <c r="H5">
        <v>0</v>
      </c>
      <c r="I5">
        <v>8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71</v>
      </c>
      <c r="D13">
        <v>0</v>
      </c>
      <c r="E13">
        <v>12</v>
      </c>
      <c r="F13">
        <v>31</v>
      </c>
      <c r="G13">
        <v>0</v>
      </c>
      <c r="H13">
        <v>0</v>
      </c>
      <c r="I13">
        <v>28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7172010010001800</v>
      </c>
      <c r="C18">
        <v>72</v>
      </c>
      <c r="D18">
        <v>0</v>
      </c>
      <c r="E18">
        <v>5</v>
      </c>
      <c r="F18">
        <v>30</v>
      </c>
      <c r="G18">
        <v>0</v>
      </c>
      <c r="H18">
        <v>0</v>
      </c>
      <c r="I18">
        <v>37</v>
      </c>
      <c r="J18">
        <v>0</v>
      </c>
    </row>
    <row r="19" spans="1:10" x14ac:dyDescent="0.25">
      <c r="A19" t="s">
        <v>13</v>
      </c>
      <c r="B19">
        <v>7172010010001900</v>
      </c>
      <c r="C19">
        <v>70</v>
      </c>
      <c r="D19">
        <v>0</v>
      </c>
      <c r="E19">
        <v>0</v>
      </c>
      <c r="F19">
        <v>70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0</v>
      </c>
      <c r="E33">
        <v>6</v>
      </c>
      <c r="F33">
        <v>32</v>
      </c>
      <c r="G33">
        <v>0</v>
      </c>
      <c r="H33">
        <v>0</v>
      </c>
      <c r="I33">
        <v>15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198</v>
      </c>
      <c r="D42">
        <v>4</v>
      </c>
      <c r="E42">
        <v>14</v>
      </c>
      <c r="F42">
        <v>89</v>
      </c>
      <c r="G42">
        <v>1</v>
      </c>
      <c r="H42">
        <v>0</v>
      </c>
      <c r="I42">
        <v>90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62</v>
      </c>
      <c r="D51">
        <v>0</v>
      </c>
      <c r="E51">
        <v>6</v>
      </c>
      <c r="F51">
        <v>47</v>
      </c>
      <c r="G51">
        <v>0</v>
      </c>
      <c r="H51">
        <v>0</v>
      </c>
      <c r="I51">
        <v>9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0</v>
      </c>
      <c r="E53">
        <v>9</v>
      </c>
      <c r="F53">
        <v>26</v>
      </c>
      <c r="G53">
        <v>0</v>
      </c>
      <c r="H53">
        <v>0</v>
      </c>
      <c r="I53">
        <v>26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</row>
    <row r="60" spans="1:10" x14ac:dyDescent="0.25">
      <c r="A60" t="s">
        <v>18</v>
      </c>
      <c r="B60">
        <v>7172010017001800</v>
      </c>
      <c r="C60">
        <v>91</v>
      </c>
      <c r="D60">
        <v>0</v>
      </c>
      <c r="E60">
        <v>9</v>
      </c>
      <c r="F60">
        <v>50</v>
      </c>
      <c r="G60">
        <v>0</v>
      </c>
      <c r="H60">
        <v>0</v>
      </c>
      <c r="I60">
        <v>32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</row>
    <row r="69" spans="1:10" x14ac:dyDescent="0.25">
      <c r="A69" t="s">
        <v>22</v>
      </c>
      <c r="B69">
        <v>7172010015002500</v>
      </c>
      <c r="C69">
        <v>107</v>
      </c>
      <c r="D69">
        <v>0</v>
      </c>
      <c r="E69">
        <v>3</v>
      </c>
      <c r="F69">
        <v>60</v>
      </c>
      <c r="G69">
        <v>0</v>
      </c>
      <c r="H69">
        <v>0</v>
      </c>
      <c r="I69">
        <v>44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61</v>
      </c>
      <c r="D78">
        <v>0</v>
      </c>
      <c r="E78">
        <v>11</v>
      </c>
      <c r="F78">
        <v>45</v>
      </c>
      <c r="G78">
        <v>0</v>
      </c>
      <c r="H78">
        <v>0</v>
      </c>
      <c r="I78">
        <v>5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52</v>
      </c>
      <c r="D93">
        <v>0</v>
      </c>
      <c r="E93">
        <v>23</v>
      </c>
      <c r="F93">
        <v>29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50</v>
      </c>
      <c r="G105">
        <v>0</v>
      </c>
      <c r="H105">
        <v>0</v>
      </c>
      <c r="I105">
        <v>44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78</v>
      </c>
      <c r="D108">
        <v>0</v>
      </c>
      <c r="E108">
        <v>10</v>
      </c>
      <c r="F108">
        <v>68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120</v>
      </c>
      <c r="D112">
        <v>48</v>
      </c>
      <c r="E112">
        <v>34</v>
      </c>
      <c r="F112">
        <v>16</v>
      </c>
      <c r="G112">
        <v>17</v>
      </c>
      <c r="H112">
        <v>0</v>
      </c>
      <c r="I112">
        <v>5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6</v>
      </c>
      <c r="E122">
        <v>0</v>
      </c>
      <c r="F122">
        <v>19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7172011013000200</v>
      </c>
      <c r="C123">
        <v>53</v>
      </c>
      <c r="D123">
        <v>7</v>
      </c>
      <c r="E123">
        <v>0</v>
      </c>
      <c r="F123">
        <v>28</v>
      </c>
      <c r="G123">
        <v>0</v>
      </c>
      <c r="H123">
        <v>0</v>
      </c>
      <c r="I123">
        <v>18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122</v>
      </c>
      <c r="D126">
        <v>0</v>
      </c>
      <c r="E126">
        <v>30</v>
      </c>
      <c r="F126">
        <v>67</v>
      </c>
      <c r="G126">
        <v>0</v>
      </c>
      <c r="H126">
        <v>0</v>
      </c>
      <c r="I126">
        <v>25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177</v>
      </c>
      <c r="D131">
        <v>20</v>
      </c>
      <c r="E131">
        <v>35</v>
      </c>
      <c r="F131">
        <v>66</v>
      </c>
      <c r="G131">
        <v>6</v>
      </c>
      <c r="H131">
        <v>0</v>
      </c>
      <c r="I131">
        <v>50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232</v>
      </c>
      <c r="D137">
        <v>0</v>
      </c>
      <c r="E137">
        <v>3</v>
      </c>
      <c r="F137">
        <v>130</v>
      </c>
      <c r="G137">
        <v>0</v>
      </c>
      <c r="H137">
        <v>0</v>
      </c>
      <c r="I137">
        <v>99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246</v>
      </c>
      <c r="D140">
        <v>121</v>
      </c>
      <c r="E140">
        <v>25</v>
      </c>
      <c r="F140">
        <v>48</v>
      </c>
      <c r="G140">
        <v>34</v>
      </c>
      <c r="H140">
        <v>0</v>
      </c>
      <c r="I140">
        <v>18</v>
      </c>
      <c r="J140">
        <v>0</v>
      </c>
    </row>
    <row r="141" spans="1:10" x14ac:dyDescent="0.25">
      <c r="A141" t="s">
        <v>41</v>
      </c>
      <c r="B141">
        <v>7172011004001500</v>
      </c>
      <c r="C141">
        <v>121</v>
      </c>
      <c r="D141">
        <v>3</v>
      </c>
      <c r="E141">
        <v>0</v>
      </c>
      <c r="F141">
        <v>118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</row>
    <row r="148" spans="1:10" x14ac:dyDescent="0.25">
      <c r="A148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134</v>
      </c>
      <c r="D161">
        <v>12</v>
      </c>
      <c r="E161">
        <v>14</v>
      </c>
      <c r="F161">
        <v>107</v>
      </c>
      <c r="G161">
        <v>1</v>
      </c>
      <c r="H161">
        <v>0</v>
      </c>
      <c r="I161">
        <v>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117</v>
      </c>
      <c r="D170">
        <v>0</v>
      </c>
      <c r="E170">
        <v>21</v>
      </c>
      <c r="F170">
        <v>52</v>
      </c>
      <c r="G170">
        <v>0</v>
      </c>
      <c r="H170">
        <v>0</v>
      </c>
      <c r="I170">
        <v>44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t="s">
        <v>44</v>
      </c>
      <c r="B172">
        <v>7172011012000700</v>
      </c>
      <c r="C172">
        <v>137</v>
      </c>
      <c r="D172">
        <v>13</v>
      </c>
      <c r="E172">
        <v>0</v>
      </c>
      <c r="F172">
        <v>79</v>
      </c>
      <c r="G172">
        <v>0</v>
      </c>
      <c r="H172">
        <v>0</v>
      </c>
      <c r="I172">
        <v>45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3</v>
      </c>
      <c r="F182">
        <v>33</v>
      </c>
      <c r="G182">
        <v>0</v>
      </c>
      <c r="H182">
        <v>0</v>
      </c>
      <c r="I182">
        <v>74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7172012002000300</v>
      </c>
      <c r="C184">
        <v>89</v>
      </c>
      <c r="D184">
        <v>6</v>
      </c>
      <c r="E184">
        <v>1</v>
      </c>
      <c r="F184">
        <v>60</v>
      </c>
      <c r="G184">
        <v>1</v>
      </c>
      <c r="H184">
        <v>0</v>
      </c>
      <c r="I184">
        <v>21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125</v>
      </c>
      <c r="D187">
        <v>0</v>
      </c>
      <c r="E187">
        <v>3</v>
      </c>
      <c r="F187">
        <v>115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125</v>
      </c>
      <c r="D188">
        <v>0</v>
      </c>
      <c r="E188">
        <v>21</v>
      </c>
      <c r="F188">
        <v>38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184</v>
      </c>
      <c r="D193">
        <v>0</v>
      </c>
      <c r="E193">
        <v>19</v>
      </c>
      <c r="F193">
        <v>69</v>
      </c>
      <c r="G193">
        <v>0</v>
      </c>
      <c r="H193">
        <v>0</v>
      </c>
      <c r="I193">
        <v>96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t="s">
        <v>60</v>
      </c>
      <c r="B200">
        <v>7172012004001900</v>
      </c>
      <c r="C200">
        <v>171</v>
      </c>
      <c r="D200">
        <v>9</v>
      </c>
      <c r="E200">
        <v>10</v>
      </c>
      <c r="F200">
        <v>100</v>
      </c>
      <c r="G200">
        <v>0</v>
      </c>
      <c r="H200">
        <v>0</v>
      </c>
      <c r="I200">
        <v>52</v>
      </c>
      <c r="J200">
        <v>0</v>
      </c>
    </row>
    <row r="201" spans="1:10" x14ac:dyDescent="0.25">
      <c r="A20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t="s">
        <v>63</v>
      </c>
      <c r="B205">
        <v>7172012004001701</v>
      </c>
      <c r="C205">
        <v>311</v>
      </c>
      <c r="D205">
        <v>0</v>
      </c>
      <c r="E205">
        <v>20</v>
      </c>
      <c r="F205">
        <v>242</v>
      </c>
      <c r="G205">
        <v>0</v>
      </c>
      <c r="H205">
        <v>0</v>
      </c>
      <c r="I205">
        <v>49</v>
      </c>
      <c r="J205">
        <v>0</v>
      </c>
    </row>
    <row r="206" spans="1:10" x14ac:dyDescent="0.25">
      <c r="A206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64</v>
      </c>
      <c r="B210">
        <v>7172012004002200</v>
      </c>
      <c r="C210">
        <v>165</v>
      </c>
      <c r="D210">
        <v>14</v>
      </c>
      <c r="E210">
        <v>4</v>
      </c>
      <c r="F210">
        <v>68</v>
      </c>
      <c r="G210">
        <v>13</v>
      </c>
      <c r="H210">
        <v>0</v>
      </c>
      <c r="I210">
        <v>66</v>
      </c>
      <c r="J210">
        <v>0</v>
      </c>
    </row>
    <row r="211" spans="1:10" x14ac:dyDescent="0.25">
      <c r="A21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64</v>
      </c>
      <c r="B212">
        <v>7172012004002401</v>
      </c>
      <c r="C212">
        <v>114</v>
      </c>
      <c r="D212">
        <v>0</v>
      </c>
      <c r="E212">
        <v>6</v>
      </c>
      <c r="F212">
        <v>107</v>
      </c>
      <c r="G212">
        <v>0</v>
      </c>
      <c r="H212">
        <v>0</v>
      </c>
      <c r="I212">
        <v>1</v>
      </c>
      <c r="J212">
        <v>0</v>
      </c>
    </row>
    <row r="213" spans="1:10" x14ac:dyDescent="0.25">
      <c r="A21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65</v>
      </c>
      <c r="B214">
        <v>7172012004002600</v>
      </c>
      <c r="C214">
        <v>121</v>
      </c>
      <c r="D214">
        <v>0</v>
      </c>
      <c r="E214">
        <v>3</v>
      </c>
      <c r="F214">
        <v>43</v>
      </c>
      <c r="G214">
        <v>0</v>
      </c>
      <c r="H214">
        <v>0</v>
      </c>
      <c r="I214">
        <v>75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70</v>
      </c>
      <c r="B220">
        <v>7172012006001600</v>
      </c>
      <c r="C220">
        <v>93</v>
      </c>
      <c r="D220">
        <v>0</v>
      </c>
      <c r="E220">
        <v>9</v>
      </c>
      <c r="F220">
        <v>41</v>
      </c>
      <c r="G220">
        <v>0</v>
      </c>
      <c r="H220">
        <v>0</v>
      </c>
      <c r="I220">
        <v>43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36</v>
      </c>
      <c r="D235">
        <v>0</v>
      </c>
      <c r="E235">
        <v>1</v>
      </c>
      <c r="F235">
        <v>12</v>
      </c>
      <c r="G235">
        <v>0</v>
      </c>
      <c r="H235">
        <v>0</v>
      </c>
      <c r="I235">
        <v>23</v>
      </c>
      <c r="J235">
        <v>0</v>
      </c>
    </row>
    <row r="236" spans="1:10" x14ac:dyDescent="0.25">
      <c r="A236" t="s">
        <v>67</v>
      </c>
      <c r="B236">
        <v>7172012005000800</v>
      </c>
      <c r="C236">
        <v>36</v>
      </c>
      <c r="D236">
        <v>0</v>
      </c>
      <c r="E236">
        <v>1</v>
      </c>
      <c r="F236">
        <v>35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7172012007000300</v>
      </c>
      <c r="C239">
        <v>129</v>
      </c>
      <c r="D239">
        <v>5</v>
      </c>
      <c r="E239">
        <v>9</v>
      </c>
      <c r="F239">
        <v>30</v>
      </c>
      <c r="G239">
        <v>0</v>
      </c>
      <c r="H239">
        <v>0</v>
      </c>
      <c r="I239">
        <v>85</v>
      </c>
      <c r="J239">
        <v>0</v>
      </c>
    </row>
    <row r="240" spans="1:10" x14ac:dyDescent="0.25">
      <c r="A240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7172012007000900</v>
      </c>
      <c r="C243">
        <v>117</v>
      </c>
      <c r="D243">
        <v>0</v>
      </c>
      <c r="E243">
        <v>6</v>
      </c>
      <c r="F243">
        <v>5</v>
      </c>
      <c r="G243">
        <v>0</v>
      </c>
      <c r="H243">
        <v>0</v>
      </c>
      <c r="I243">
        <v>106</v>
      </c>
      <c r="J243">
        <v>0</v>
      </c>
    </row>
    <row r="244" spans="1:10" x14ac:dyDescent="0.25">
      <c r="A244" t="s">
        <v>72</v>
      </c>
      <c r="B244">
        <v>7172012007000800</v>
      </c>
      <c r="C244">
        <v>116</v>
      </c>
      <c r="D244">
        <v>0</v>
      </c>
      <c r="E244">
        <v>3</v>
      </c>
      <c r="F244">
        <v>111</v>
      </c>
      <c r="G244">
        <v>0</v>
      </c>
      <c r="H244">
        <v>0</v>
      </c>
      <c r="I244">
        <v>2</v>
      </c>
      <c r="J244">
        <v>0</v>
      </c>
    </row>
    <row r="245" spans="1:10" x14ac:dyDescent="0.25">
      <c r="A245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7172021003001000</v>
      </c>
      <c r="C250">
        <v>58</v>
      </c>
      <c r="D250">
        <v>3</v>
      </c>
      <c r="E250">
        <v>20</v>
      </c>
      <c r="F250">
        <v>22</v>
      </c>
      <c r="G250">
        <v>2</v>
      </c>
      <c r="H250">
        <v>0</v>
      </c>
      <c r="I250">
        <v>11</v>
      </c>
      <c r="J250">
        <v>0</v>
      </c>
    </row>
    <row r="251" spans="1:10" x14ac:dyDescent="0.25">
      <c r="A25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7172021002000400</v>
      </c>
      <c r="C252">
        <v>35</v>
      </c>
      <c r="D252">
        <v>8</v>
      </c>
      <c r="E252">
        <v>3</v>
      </c>
      <c r="F252">
        <v>10</v>
      </c>
      <c r="G252">
        <v>3</v>
      </c>
      <c r="H252">
        <v>0</v>
      </c>
      <c r="I252">
        <v>11</v>
      </c>
      <c r="J252">
        <v>0</v>
      </c>
    </row>
    <row r="253" spans="1:10" x14ac:dyDescent="0.25">
      <c r="A253" t="s">
        <v>75</v>
      </c>
      <c r="B253">
        <v>7172021006000700</v>
      </c>
      <c r="C253">
        <v>25</v>
      </c>
      <c r="D253">
        <v>1</v>
      </c>
      <c r="E253">
        <v>0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7172021002000600</v>
      </c>
      <c r="C256">
        <v>67</v>
      </c>
      <c r="D256">
        <v>9</v>
      </c>
      <c r="E256">
        <v>15</v>
      </c>
      <c r="F256">
        <v>4</v>
      </c>
      <c r="G256">
        <v>3</v>
      </c>
      <c r="H256">
        <v>0</v>
      </c>
      <c r="I256">
        <v>36</v>
      </c>
      <c r="J256">
        <v>0</v>
      </c>
    </row>
    <row r="257" spans="1:10" x14ac:dyDescent="0.25">
      <c r="A257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74</v>
      </c>
      <c r="B261">
        <v>7172021002000500</v>
      </c>
      <c r="C261">
        <v>100</v>
      </c>
      <c r="D261">
        <v>15</v>
      </c>
      <c r="E261">
        <v>9</v>
      </c>
      <c r="F261">
        <v>63</v>
      </c>
      <c r="G261">
        <v>0</v>
      </c>
      <c r="H261">
        <v>0</v>
      </c>
      <c r="I261">
        <v>13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7172021001000400</v>
      </c>
      <c r="C266">
        <v>41</v>
      </c>
      <c r="D266">
        <v>17</v>
      </c>
      <c r="E266">
        <v>3</v>
      </c>
      <c r="F266">
        <v>7</v>
      </c>
      <c r="G266">
        <v>0</v>
      </c>
      <c r="H266">
        <v>0</v>
      </c>
      <c r="I266">
        <v>14</v>
      </c>
      <c r="J266">
        <v>0</v>
      </c>
    </row>
    <row r="267" spans="1:10" x14ac:dyDescent="0.25">
      <c r="A267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7172021005000100</v>
      </c>
      <c r="C270">
        <v>95</v>
      </c>
      <c r="D270">
        <v>9</v>
      </c>
      <c r="E270">
        <v>22</v>
      </c>
      <c r="F270">
        <v>30</v>
      </c>
      <c r="G270">
        <v>0</v>
      </c>
      <c r="H270">
        <v>0</v>
      </c>
      <c r="I270">
        <v>34</v>
      </c>
      <c r="J270">
        <v>0</v>
      </c>
    </row>
    <row r="271" spans="1:10" x14ac:dyDescent="0.25">
      <c r="A27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7172021004000100</v>
      </c>
      <c r="C274">
        <v>61</v>
      </c>
      <c r="D274">
        <v>0</v>
      </c>
      <c r="E274">
        <v>0</v>
      </c>
      <c r="F274">
        <v>51</v>
      </c>
      <c r="G274">
        <v>0</v>
      </c>
      <c r="H274">
        <v>0</v>
      </c>
      <c r="I274">
        <v>10</v>
      </c>
      <c r="J274">
        <v>0</v>
      </c>
    </row>
    <row r="275" spans="1:10" x14ac:dyDescent="0.25">
      <c r="A275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7172021005000200</v>
      </c>
      <c r="C276">
        <v>82</v>
      </c>
      <c r="D276">
        <v>6</v>
      </c>
      <c r="E276">
        <v>6</v>
      </c>
      <c r="F276">
        <v>64</v>
      </c>
      <c r="G276">
        <v>3</v>
      </c>
      <c r="H276">
        <v>0</v>
      </c>
      <c r="I276">
        <v>3</v>
      </c>
      <c r="J276">
        <v>0</v>
      </c>
    </row>
    <row r="277" spans="1:10" x14ac:dyDescent="0.25">
      <c r="A277" t="s">
        <v>79</v>
      </c>
      <c r="B277">
        <v>7172021006000200</v>
      </c>
      <c r="C277">
        <v>82</v>
      </c>
      <c r="D277">
        <v>7</v>
      </c>
      <c r="E277">
        <v>10</v>
      </c>
      <c r="F277">
        <v>49</v>
      </c>
      <c r="G277">
        <v>1</v>
      </c>
      <c r="H277">
        <v>0</v>
      </c>
      <c r="I277">
        <v>15</v>
      </c>
      <c r="J277">
        <v>0</v>
      </c>
    </row>
    <row r="278" spans="1:10" x14ac:dyDescent="0.25">
      <c r="A278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t="s">
        <v>232</v>
      </c>
      <c r="B284">
        <v>7172022001000800</v>
      </c>
      <c r="C284">
        <v>73</v>
      </c>
      <c r="D284">
        <v>0</v>
      </c>
      <c r="E284">
        <v>0</v>
      </c>
      <c r="F284">
        <v>71</v>
      </c>
      <c r="G284">
        <v>0</v>
      </c>
      <c r="H284">
        <v>0</v>
      </c>
      <c r="I284">
        <v>2</v>
      </c>
      <c r="J284">
        <v>0</v>
      </c>
    </row>
    <row r="285" spans="1:10" x14ac:dyDescent="0.25">
      <c r="A285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7172022001000600</v>
      </c>
      <c r="C286">
        <v>62</v>
      </c>
      <c r="D286">
        <v>0</v>
      </c>
      <c r="E286">
        <v>0</v>
      </c>
      <c r="F286">
        <v>57</v>
      </c>
      <c r="G286">
        <v>0</v>
      </c>
      <c r="H286">
        <v>0</v>
      </c>
      <c r="I286">
        <v>5</v>
      </c>
      <c r="J286">
        <v>0</v>
      </c>
    </row>
    <row r="287" spans="1:10" x14ac:dyDescent="0.25">
      <c r="A287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7172022001001000</v>
      </c>
      <c r="C289">
        <v>52</v>
      </c>
      <c r="D289">
        <v>0</v>
      </c>
      <c r="E289">
        <v>0</v>
      </c>
      <c r="F289">
        <v>51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7172022008000400</v>
      </c>
      <c r="C292">
        <v>89</v>
      </c>
      <c r="D292">
        <v>0</v>
      </c>
      <c r="E292">
        <v>1</v>
      </c>
      <c r="F292">
        <v>52</v>
      </c>
      <c r="G292">
        <v>0</v>
      </c>
      <c r="H292">
        <v>0</v>
      </c>
      <c r="I292">
        <v>36</v>
      </c>
      <c r="J292">
        <v>0</v>
      </c>
    </row>
    <row r="293" spans="1:10" x14ac:dyDescent="0.25">
      <c r="A29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89</v>
      </c>
      <c r="B296">
        <v>7172022009000300</v>
      </c>
      <c r="C296">
        <v>37</v>
      </c>
      <c r="D296">
        <v>0</v>
      </c>
      <c r="E296">
        <v>4</v>
      </c>
      <c r="F296">
        <v>24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85</v>
      </c>
      <c r="D298">
        <v>3</v>
      </c>
      <c r="E298">
        <v>1</v>
      </c>
      <c r="F298">
        <v>67</v>
      </c>
      <c r="G298">
        <v>0</v>
      </c>
      <c r="H298">
        <v>0</v>
      </c>
      <c r="I298">
        <v>14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7172030006000400</v>
      </c>
      <c r="C304">
        <v>57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18</v>
      </c>
      <c r="J304">
        <v>0</v>
      </c>
    </row>
    <row r="305" spans="1:10" x14ac:dyDescent="0.25">
      <c r="A305" t="s">
        <v>90</v>
      </c>
      <c r="B305">
        <v>7172030006000500</v>
      </c>
      <c r="C305">
        <v>41</v>
      </c>
      <c r="D305">
        <v>0</v>
      </c>
      <c r="E305">
        <v>0</v>
      </c>
      <c r="F305">
        <v>38</v>
      </c>
      <c r="G305">
        <v>0</v>
      </c>
      <c r="H305">
        <v>0</v>
      </c>
      <c r="I305">
        <v>3</v>
      </c>
      <c r="J305">
        <v>0</v>
      </c>
    </row>
    <row r="306" spans="1:10" x14ac:dyDescent="0.25">
      <c r="A306" t="s">
        <v>85</v>
      </c>
      <c r="B306">
        <v>7172022003000200</v>
      </c>
      <c r="C306">
        <v>111</v>
      </c>
      <c r="D306">
        <v>1</v>
      </c>
      <c r="E306">
        <v>4</v>
      </c>
      <c r="F306">
        <v>48</v>
      </c>
      <c r="G306">
        <v>0</v>
      </c>
      <c r="H306">
        <v>0</v>
      </c>
      <c r="I306">
        <v>58</v>
      </c>
      <c r="J306">
        <v>0</v>
      </c>
    </row>
    <row r="307" spans="1:10" x14ac:dyDescent="0.25">
      <c r="A307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7172030007000200</v>
      </c>
      <c r="C314">
        <v>124</v>
      </c>
      <c r="D314">
        <v>4</v>
      </c>
      <c r="E314">
        <v>23</v>
      </c>
      <c r="F314">
        <v>77</v>
      </c>
      <c r="G314">
        <v>0</v>
      </c>
      <c r="H314">
        <v>0</v>
      </c>
      <c r="I314">
        <v>20</v>
      </c>
      <c r="J314">
        <v>0</v>
      </c>
    </row>
    <row r="315" spans="1:10" x14ac:dyDescent="0.25">
      <c r="A315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</row>
    <row r="319" spans="1:10" x14ac:dyDescent="0.25">
      <c r="A319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233</v>
      </c>
      <c r="B323">
        <v>7172030007001000</v>
      </c>
      <c r="C323">
        <v>140</v>
      </c>
      <c r="D323">
        <v>10</v>
      </c>
      <c r="E323">
        <v>44</v>
      </c>
      <c r="F323">
        <v>63</v>
      </c>
      <c r="G323">
        <v>0</v>
      </c>
      <c r="H323">
        <v>0</v>
      </c>
      <c r="I323">
        <v>23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</row>
    <row r="332" spans="1:10" x14ac:dyDescent="0.25">
      <c r="A332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97</v>
      </c>
      <c r="B338">
        <v>7172030012000300</v>
      </c>
      <c r="C338">
        <v>81</v>
      </c>
      <c r="D338">
        <v>19</v>
      </c>
      <c r="E338">
        <v>2</v>
      </c>
      <c r="F338">
        <v>28</v>
      </c>
      <c r="G338">
        <v>1</v>
      </c>
      <c r="H338">
        <v>0</v>
      </c>
      <c r="I338">
        <v>31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7172030012000100</v>
      </c>
      <c r="C341">
        <v>61</v>
      </c>
      <c r="D341">
        <v>8</v>
      </c>
      <c r="E341">
        <v>0</v>
      </c>
      <c r="F341">
        <v>51</v>
      </c>
      <c r="G341">
        <v>0</v>
      </c>
      <c r="H341">
        <v>0</v>
      </c>
      <c r="I341">
        <v>2</v>
      </c>
      <c r="J341">
        <v>0</v>
      </c>
    </row>
    <row r="342" spans="1:10" x14ac:dyDescent="0.25">
      <c r="A342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99</v>
      </c>
      <c r="B350">
        <v>7172030012001200</v>
      </c>
      <c r="C350">
        <v>77</v>
      </c>
      <c r="D350">
        <v>0</v>
      </c>
      <c r="E350">
        <v>9</v>
      </c>
      <c r="F350">
        <v>57</v>
      </c>
      <c r="G350">
        <v>0</v>
      </c>
      <c r="H350">
        <v>0</v>
      </c>
      <c r="I350">
        <v>11</v>
      </c>
      <c r="J350">
        <v>0</v>
      </c>
    </row>
    <row r="351" spans="1:10" x14ac:dyDescent="0.25">
      <c r="A351" t="s">
        <v>99</v>
      </c>
      <c r="B351">
        <v>7172030012001700</v>
      </c>
      <c r="C351">
        <v>73</v>
      </c>
      <c r="D351">
        <v>0</v>
      </c>
      <c r="E351">
        <v>11</v>
      </c>
      <c r="F351">
        <v>38</v>
      </c>
      <c r="G351">
        <v>0</v>
      </c>
      <c r="H351">
        <v>0</v>
      </c>
      <c r="I351">
        <v>24</v>
      </c>
      <c r="J351">
        <v>0</v>
      </c>
    </row>
    <row r="352" spans="1:10" x14ac:dyDescent="0.25">
      <c r="A352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234</v>
      </c>
      <c r="B357">
        <v>7172030008000902</v>
      </c>
      <c r="C357">
        <v>127</v>
      </c>
      <c r="D357">
        <v>16</v>
      </c>
      <c r="E357">
        <v>11</v>
      </c>
      <c r="F357">
        <v>42</v>
      </c>
      <c r="G357">
        <v>0</v>
      </c>
      <c r="H357">
        <v>0</v>
      </c>
      <c r="I357">
        <v>58</v>
      </c>
      <c r="J357">
        <v>0</v>
      </c>
    </row>
    <row r="358" spans="1:10" x14ac:dyDescent="0.25">
      <c r="A358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7172030015000300</v>
      </c>
      <c r="C369">
        <v>106</v>
      </c>
      <c r="D369">
        <v>1</v>
      </c>
      <c r="E369">
        <v>3</v>
      </c>
      <c r="F369">
        <v>57</v>
      </c>
      <c r="G369">
        <v>0</v>
      </c>
      <c r="H369">
        <v>0</v>
      </c>
      <c r="I369">
        <v>45</v>
      </c>
      <c r="J369">
        <v>0</v>
      </c>
    </row>
    <row r="370" spans="1:10" x14ac:dyDescent="0.25">
      <c r="A370" t="s">
        <v>235</v>
      </c>
      <c r="B370">
        <v>7172030015001000</v>
      </c>
      <c r="C370">
        <v>79</v>
      </c>
      <c r="D370">
        <v>0</v>
      </c>
      <c r="E370">
        <v>6</v>
      </c>
      <c r="F370">
        <v>22</v>
      </c>
      <c r="G370">
        <v>0</v>
      </c>
      <c r="H370">
        <v>0</v>
      </c>
      <c r="I370">
        <v>51</v>
      </c>
      <c r="J370">
        <v>0</v>
      </c>
    </row>
    <row r="371" spans="1:10" x14ac:dyDescent="0.25">
      <c r="A37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7172030015001100</v>
      </c>
      <c r="C372">
        <v>56</v>
      </c>
      <c r="D372">
        <v>0</v>
      </c>
      <c r="E372">
        <v>4</v>
      </c>
      <c r="F372">
        <v>31</v>
      </c>
      <c r="G372">
        <v>0</v>
      </c>
      <c r="H372">
        <v>0</v>
      </c>
      <c r="I372">
        <v>21</v>
      </c>
      <c r="J372">
        <v>0</v>
      </c>
    </row>
    <row r="373" spans="1:10" x14ac:dyDescent="0.25">
      <c r="A37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236</v>
      </c>
      <c r="B377">
        <v>7172030014001100</v>
      </c>
      <c r="C377">
        <v>225</v>
      </c>
      <c r="D377">
        <v>27</v>
      </c>
      <c r="E377">
        <v>6</v>
      </c>
      <c r="F377">
        <v>74</v>
      </c>
      <c r="G377">
        <v>0</v>
      </c>
      <c r="H377">
        <v>0</v>
      </c>
      <c r="I377">
        <v>118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85</v>
      </c>
      <c r="D383">
        <v>0</v>
      </c>
      <c r="E383">
        <v>22</v>
      </c>
      <c r="F383">
        <v>40</v>
      </c>
      <c r="G383">
        <v>0</v>
      </c>
      <c r="H383">
        <v>0</v>
      </c>
      <c r="I383">
        <v>23</v>
      </c>
      <c r="J383">
        <v>0</v>
      </c>
    </row>
    <row r="384" spans="1:10" x14ac:dyDescent="0.25">
      <c r="A384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7172030015001200</v>
      </c>
      <c r="C385">
        <v>65</v>
      </c>
      <c r="D385">
        <v>18</v>
      </c>
      <c r="E385">
        <v>4</v>
      </c>
      <c r="F385">
        <v>10</v>
      </c>
      <c r="G385">
        <v>0</v>
      </c>
      <c r="H385">
        <v>0</v>
      </c>
      <c r="I385">
        <v>33</v>
      </c>
      <c r="J385">
        <v>0</v>
      </c>
    </row>
    <row r="386" spans="1:10" x14ac:dyDescent="0.25">
      <c r="A386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52</v>
      </c>
      <c r="D389">
        <v>6</v>
      </c>
      <c r="E389">
        <v>28</v>
      </c>
      <c r="F389">
        <v>9</v>
      </c>
      <c r="G389">
        <v>1</v>
      </c>
      <c r="H389">
        <v>0</v>
      </c>
      <c r="I389">
        <v>8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7172031001000800</v>
      </c>
      <c r="C391">
        <v>48</v>
      </c>
      <c r="D391">
        <v>0</v>
      </c>
      <c r="E391">
        <v>11</v>
      </c>
      <c r="F391">
        <v>37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3</v>
      </c>
      <c r="H393">
        <v>0</v>
      </c>
      <c r="I393">
        <v>8</v>
      </c>
      <c r="J393">
        <v>0</v>
      </c>
    </row>
    <row r="394" spans="1:10" x14ac:dyDescent="0.25">
      <c r="A394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7172031005001500</v>
      </c>
      <c r="C404">
        <v>81</v>
      </c>
      <c r="D404">
        <v>33</v>
      </c>
      <c r="E404">
        <v>15</v>
      </c>
      <c r="F404">
        <v>0</v>
      </c>
      <c r="G404">
        <v>22</v>
      </c>
      <c r="H404">
        <v>0</v>
      </c>
      <c r="I404">
        <v>11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64</v>
      </c>
      <c r="D406">
        <v>0</v>
      </c>
      <c r="E406">
        <v>12</v>
      </c>
      <c r="F406">
        <v>38</v>
      </c>
      <c r="G406">
        <v>1</v>
      </c>
      <c r="H406">
        <v>0</v>
      </c>
      <c r="I406">
        <v>13</v>
      </c>
      <c r="J406">
        <v>0</v>
      </c>
    </row>
    <row r="407" spans="1:10" x14ac:dyDescent="0.25">
      <c r="A407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7172031003001300</v>
      </c>
      <c r="C409">
        <v>85</v>
      </c>
      <c r="D409">
        <v>74</v>
      </c>
      <c r="E409">
        <v>9</v>
      </c>
      <c r="F409">
        <v>1</v>
      </c>
      <c r="G409">
        <v>0</v>
      </c>
      <c r="H409">
        <v>0</v>
      </c>
      <c r="I409">
        <v>1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121</v>
      </c>
      <c r="B434">
        <v>7172031006001100</v>
      </c>
      <c r="C434">
        <v>194</v>
      </c>
      <c r="D434">
        <v>3</v>
      </c>
      <c r="E434">
        <v>34</v>
      </c>
      <c r="F434">
        <v>104</v>
      </c>
      <c r="G434">
        <v>1</v>
      </c>
      <c r="H434">
        <v>0</v>
      </c>
      <c r="I434">
        <v>52</v>
      </c>
      <c r="J434">
        <v>0</v>
      </c>
    </row>
    <row r="435" spans="1:10" x14ac:dyDescent="0.25">
      <c r="A435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7172031007000800</v>
      </c>
      <c r="C440">
        <v>110</v>
      </c>
      <c r="D440">
        <v>1</v>
      </c>
      <c r="E440">
        <v>8</v>
      </c>
      <c r="F440">
        <v>95</v>
      </c>
      <c r="G440">
        <v>0</v>
      </c>
      <c r="H440">
        <v>0</v>
      </c>
      <c r="I440">
        <v>6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14</v>
      </c>
      <c r="H442">
        <v>0</v>
      </c>
      <c r="I442">
        <v>18</v>
      </c>
      <c r="J442">
        <v>0</v>
      </c>
    </row>
    <row r="443" spans="1:10" x14ac:dyDescent="0.25">
      <c r="A44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7172031008000400</v>
      </c>
      <c r="C445">
        <v>34</v>
      </c>
      <c r="D445">
        <v>26</v>
      </c>
      <c r="E445">
        <v>3</v>
      </c>
      <c r="F445">
        <v>0</v>
      </c>
      <c r="G445">
        <v>3</v>
      </c>
      <c r="H445">
        <v>0</v>
      </c>
      <c r="I445">
        <v>2</v>
      </c>
      <c r="J445">
        <v>0</v>
      </c>
    </row>
    <row r="446" spans="1:10" x14ac:dyDescent="0.25">
      <c r="A446" t="s">
        <v>126</v>
      </c>
      <c r="B446">
        <v>7172031007000600</v>
      </c>
      <c r="C446">
        <v>169</v>
      </c>
      <c r="D446">
        <v>16</v>
      </c>
      <c r="E446">
        <v>15</v>
      </c>
      <c r="F446">
        <v>85</v>
      </c>
      <c r="G446">
        <v>0</v>
      </c>
      <c r="H446">
        <v>0</v>
      </c>
      <c r="I446">
        <v>53</v>
      </c>
      <c r="J446">
        <v>0</v>
      </c>
    </row>
    <row r="447" spans="1:10" x14ac:dyDescent="0.25">
      <c r="A447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7172031007002700</v>
      </c>
      <c r="C452">
        <v>174</v>
      </c>
      <c r="D452">
        <v>99</v>
      </c>
      <c r="E452">
        <v>12</v>
      </c>
      <c r="F452">
        <v>33</v>
      </c>
      <c r="G452">
        <v>28</v>
      </c>
      <c r="H452">
        <v>0</v>
      </c>
      <c r="I452">
        <v>2</v>
      </c>
      <c r="J452">
        <v>0</v>
      </c>
    </row>
    <row r="453" spans="1:10" x14ac:dyDescent="0.25">
      <c r="A453" t="s">
        <v>123</v>
      </c>
      <c r="B453">
        <v>7172031006000800</v>
      </c>
      <c r="C453">
        <v>130</v>
      </c>
      <c r="D453">
        <v>13</v>
      </c>
      <c r="E453">
        <v>0</v>
      </c>
      <c r="F453">
        <v>117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128</v>
      </c>
      <c r="B461">
        <v>7172031007001500</v>
      </c>
      <c r="C461">
        <v>90</v>
      </c>
      <c r="D461">
        <v>6</v>
      </c>
      <c r="E461">
        <v>10</v>
      </c>
      <c r="F461">
        <v>12</v>
      </c>
      <c r="G461">
        <v>5</v>
      </c>
      <c r="H461">
        <v>0</v>
      </c>
      <c r="I461">
        <v>57</v>
      </c>
      <c r="J461">
        <v>0</v>
      </c>
    </row>
    <row r="462" spans="1:10" x14ac:dyDescent="0.25">
      <c r="A462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7172040003001000</v>
      </c>
      <c r="C465">
        <v>138</v>
      </c>
      <c r="D465">
        <v>0</v>
      </c>
      <c r="E465">
        <v>4</v>
      </c>
      <c r="F465">
        <v>65</v>
      </c>
      <c r="G465">
        <v>0</v>
      </c>
      <c r="H465">
        <v>0</v>
      </c>
      <c r="I465">
        <v>69</v>
      </c>
      <c r="J465">
        <v>0</v>
      </c>
    </row>
    <row r="466" spans="1:10" x14ac:dyDescent="0.25">
      <c r="A466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131</v>
      </c>
      <c r="B469">
        <v>7172040007000300</v>
      </c>
      <c r="C469">
        <v>90</v>
      </c>
      <c r="D469">
        <v>0</v>
      </c>
      <c r="E469">
        <v>4</v>
      </c>
      <c r="F469">
        <v>46</v>
      </c>
      <c r="G469">
        <v>0</v>
      </c>
      <c r="H469">
        <v>0</v>
      </c>
      <c r="I469">
        <v>40</v>
      </c>
      <c r="J469">
        <v>0</v>
      </c>
    </row>
    <row r="470" spans="1:10" x14ac:dyDescent="0.25">
      <c r="A470" t="s">
        <v>131</v>
      </c>
      <c r="B470">
        <v>7172040007000200</v>
      </c>
      <c r="C470">
        <v>79</v>
      </c>
      <c r="D470">
        <v>0</v>
      </c>
      <c r="E470">
        <v>0</v>
      </c>
      <c r="F470">
        <v>78</v>
      </c>
      <c r="G470">
        <v>0</v>
      </c>
      <c r="H470">
        <v>0</v>
      </c>
      <c r="I470">
        <v>1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</row>
    <row r="477" spans="1:10" x14ac:dyDescent="0.25">
      <c r="A477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137</v>
      </c>
      <c r="B479">
        <v>7172040005000200</v>
      </c>
      <c r="C479">
        <v>96</v>
      </c>
      <c r="D479">
        <v>0</v>
      </c>
      <c r="E479">
        <v>8</v>
      </c>
      <c r="F479">
        <v>88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7172040005001200</v>
      </c>
      <c r="C480">
        <v>78</v>
      </c>
      <c r="D480">
        <v>0</v>
      </c>
      <c r="E480">
        <v>1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7172040005001000</v>
      </c>
      <c r="C486">
        <v>44</v>
      </c>
      <c r="D486">
        <v>0</v>
      </c>
      <c r="E486">
        <v>21</v>
      </c>
      <c r="F486">
        <v>10</v>
      </c>
      <c r="G486">
        <v>0</v>
      </c>
      <c r="H486">
        <v>0</v>
      </c>
      <c r="I486">
        <v>13</v>
      </c>
      <c r="J486">
        <v>0</v>
      </c>
    </row>
    <row r="487" spans="1:10" x14ac:dyDescent="0.25">
      <c r="A487" t="s">
        <v>137</v>
      </c>
      <c r="B487">
        <v>7172040005000300</v>
      </c>
      <c r="C487">
        <v>40</v>
      </c>
      <c r="D487">
        <v>0</v>
      </c>
      <c r="E487">
        <v>0</v>
      </c>
      <c r="F487">
        <v>40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7172040005000800</v>
      </c>
      <c r="C488">
        <v>39</v>
      </c>
      <c r="D488">
        <v>0</v>
      </c>
      <c r="E488">
        <v>0</v>
      </c>
      <c r="F488">
        <v>38</v>
      </c>
      <c r="G488">
        <v>0</v>
      </c>
      <c r="H488">
        <v>0</v>
      </c>
      <c r="I488">
        <v>1</v>
      </c>
      <c r="J488">
        <v>0</v>
      </c>
    </row>
    <row r="489" spans="1:10" x14ac:dyDescent="0.25">
      <c r="A489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7172040005001300</v>
      </c>
      <c r="C495">
        <v>56</v>
      </c>
      <c r="D495">
        <v>0</v>
      </c>
      <c r="E495">
        <v>17</v>
      </c>
      <c r="F495">
        <v>11</v>
      </c>
      <c r="G495">
        <v>0</v>
      </c>
      <c r="H495">
        <v>0</v>
      </c>
      <c r="I495">
        <v>28</v>
      </c>
      <c r="J495">
        <v>0</v>
      </c>
    </row>
    <row r="496" spans="1:10" x14ac:dyDescent="0.25">
      <c r="A496" t="s">
        <v>138</v>
      </c>
      <c r="B496">
        <v>7172040005001500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7172040013000100</v>
      </c>
      <c r="C497">
        <v>125</v>
      </c>
      <c r="D497">
        <v>0</v>
      </c>
      <c r="E497">
        <v>47</v>
      </c>
      <c r="F497">
        <v>6</v>
      </c>
      <c r="G497">
        <v>1</v>
      </c>
      <c r="H497">
        <v>0</v>
      </c>
      <c r="I497">
        <v>71</v>
      </c>
      <c r="J497">
        <v>0</v>
      </c>
    </row>
    <row r="498" spans="1:10" x14ac:dyDescent="0.25">
      <c r="A498" t="s">
        <v>141</v>
      </c>
      <c r="B498">
        <v>7172040013000200</v>
      </c>
      <c r="C498">
        <v>97</v>
      </c>
      <c r="D498">
        <v>0</v>
      </c>
      <c r="E498">
        <v>49</v>
      </c>
      <c r="F498">
        <v>44</v>
      </c>
      <c r="G498">
        <v>0</v>
      </c>
      <c r="H498">
        <v>0</v>
      </c>
      <c r="I498">
        <v>4</v>
      </c>
      <c r="J498">
        <v>0</v>
      </c>
    </row>
    <row r="499" spans="1:10" x14ac:dyDescent="0.25">
      <c r="A499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142</v>
      </c>
      <c r="B507">
        <v>7172040013000600</v>
      </c>
      <c r="C507">
        <v>103</v>
      </c>
      <c r="D507">
        <v>0</v>
      </c>
      <c r="E507">
        <v>6</v>
      </c>
      <c r="F507">
        <v>97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7172040013000800</v>
      </c>
      <c r="C508">
        <v>85</v>
      </c>
      <c r="D508">
        <v>0</v>
      </c>
      <c r="E508">
        <v>10</v>
      </c>
      <c r="F508">
        <v>8</v>
      </c>
      <c r="G508">
        <v>1</v>
      </c>
      <c r="H508">
        <v>0</v>
      </c>
      <c r="I508">
        <v>66</v>
      </c>
      <c r="J508">
        <v>0</v>
      </c>
    </row>
    <row r="509" spans="1:10" x14ac:dyDescent="0.25">
      <c r="A509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5</v>
      </c>
      <c r="B518">
        <v>7172010008001300</v>
      </c>
      <c r="C518">
        <v>141</v>
      </c>
      <c r="D518">
        <v>0</v>
      </c>
      <c r="E518">
        <v>10</v>
      </c>
      <c r="F518">
        <v>98</v>
      </c>
      <c r="G518">
        <v>0</v>
      </c>
      <c r="H518">
        <v>0</v>
      </c>
      <c r="I518">
        <v>33</v>
      </c>
      <c r="J518">
        <v>0</v>
      </c>
    </row>
    <row r="519" spans="1:10" x14ac:dyDescent="0.25">
      <c r="A519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7172010009000300</v>
      </c>
      <c r="C524">
        <v>80</v>
      </c>
      <c r="D524">
        <v>17</v>
      </c>
      <c r="E524">
        <v>1</v>
      </c>
      <c r="F524">
        <v>38</v>
      </c>
      <c r="G524">
        <v>0</v>
      </c>
      <c r="H524">
        <v>0</v>
      </c>
      <c r="I524">
        <v>24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45</v>
      </c>
      <c r="E529">
        <v>0</v>
      </c>
      <c r="F529">
        <v>1</v>
      </c>
      <c r="G529">
        <v>0</v>
      </c>
      <c r="H529">
        <v>0</v>
      </c>
      <c r="I529">
        <v>5</v>
      </c>
      <c r="J529">
        <v>0</v>
      </c>
    </row>
    <row r="530" spans="1:10" x14ac:dyDescent="0.25">
      <c r="A530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7172010009001100</v>
      </c>
      <c r="C538">
        <v>61</v>
      </c>
      <c r="D538">
        <v>0</v>
      </c>
      <c r="E538">
        <v>4</v>
      </c>
      <c r="F538">
        <v>16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5</v>
      </c>
      <c r="E539">
        <v>8</v>
      </c>
      <c r="F539">
        <v>11</v>
      </c>
      <c r="G539">
        <v>0</v>
      </c>
      <c r="H539">
        <v>0</v>
      </c>
      <c r="I539">
        <v>36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0</v>
      </c>
      <c r="E540">
        <v>1</v>
      </c>
      <c r="F540">
        <v>59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7172010009003100</v>
      </c>
      <c r="C552">
        <v>101</v>
      </c>
      <c r="D552">
        <v>7</v>
      </c>
      <c r="E552">
        <v>38</v>
      </c>
      <c r="F552">
        <v>8</v>
      </c>
      <c r="G552">
        <v>1</v>
      </c>
      <c r="H552">
        <v>1</v>
      </c>
      <c r="I552">
        <v>46</v>
      </c>
      <c r="J552">
        <v>0</v>
      </c>
    </row>
    <row r="553" spans="1:10" x14ac:dyDescent="0.25">
      <c r="A553" t="s">
        <v>11</v>
      </c>
      <c r="B553">
        <v>7172010010000200</v>
      </c>
      <c r="C553">
        <v>99</v>
      </c>
      <c r="D553">
        <v>0</v>
      </c>
      <c r="E553">
        <v>0</v>
      </c>
      <c r="F553">
        <v>99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</row>
    <row r="562" spans="1:10" x14ac:dyDescent="0.25">
      <c r="A562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0</v>
      </c>
      <c r="E573">
        <v>0</v>
      </c>
      <c r="F573">
        <v>2</v>
      </c>
      <c r="G573">
        <v>0</v>
      </c>
      <c r="H573">
        <v>0</v>
      </c>
      <c r="I573">
        <v>53</v>
      </c>
      <c r="J573">
        <v>0</v>
      </c>
    </row>
    <row r="574" spans="1:10" x14ac:dyDescent="0.25">
      <c r="A574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7172010011001400</v>
      </c>
      <c r="C575">
        <v>39</v>
      </c>
      <c r="D575">
        <v>0</v>
      </c>
      <c r="E575">
        <v>1</v>
      </c>
      <c r="F575">
        <v>27</v>
      </c>
      <c r="G575">
        <v>0</v>
      </c>
      <c r="H575">
        <v>0</v>
      </c>
      <c r="I575">
        <v>11</v>
      </c>
      <c r="J575">
        <v>0</v>
      </c>
    </row>
    <row r="576" spans="1:10" x14ac:dyDescent="0.25">
      <c r="A576" t="s">
        <v>14</v>
      </c>
      <c r="B576">
        <v>7172010011002100</v>
      </c>
      <c r="C576">
        <v>39</v>
      </c>
      <c r="D576">
        <v>0</v>
      </c>
      <c r="E576">
        <v>0</v>
      </c>
      <c r="F576">
        <v>39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7172010012000100</v>
      </c>
      <c r="C591">
        <v>40</v>
      </c>
      <c r="D591">
        <v>0</v>
      </c>
      <c r="E591">
        <v>13</v>
      </c>
      <c r="F591">
        <v>26</v>
      </c>
      <c r="G591">
        <v>0</v>
      </c>
      <c r="H591">
        <v>0</v>
      </c>
      <c r="I591">
        <v>1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7172010012000200</v>
      </c>
      <c r="C594">
        <v>34</v>
      </c>
      <c r="D594">
        <v>0</v>
      </c>
      <c r="E594">
        <v>0</v>
      </c>
      <c r="F594">
        <v>34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7172010015003100</v>
      </c>
      <c r="C599">
        <v>144</v>
      </c>
      <c r="D599">
        <v>4</v>
      </c>
      <c r="E599">
        <v>22</v>
      </c>
      <c r="F599">
        <v>37</v>
      </c>
      <c r="G599">
        <v>0</v>
      </c>
      <c r="H599">
        <v>0</v>
      </c>
      <c r="I599">
        <v>81</v>
      </c>
      <c r="J599">
        <v>0</v>
      </c>
    </row>
    <row r="600" spans="1:10" x14ac:dyDescent="0.25">
      <c r="A600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117</v>
      </c>
      <c r="D606">
        <v>46</v>
      </c>
      <c r="E606">
        <v>0</v>
      </c>
      <c r="F606">
        <v>2</v>
      </c>
      <c r="G606">
        <v>1</v>
      </c>
      <c r="H606">
        <v>0</v>
      </c>
      <c r="I606">
        <v>68</v>
      </c>
      <c r="J606">
        <v>0</v>
      </c>
    </row>
    <row r="607" spans="1:10" x14ac:dyDescent="0.25">
      <c r="A607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7172010015001700</v>
      </c>
      <c r="C610">
        <v>55</v>
      </c>
      <c r="D610">
        <v>0</v>
      </c>
      <c r="E610">
        <v>1</v>
      </c>
      <c r="F610">
        <v>51</v>
      </c>
      <c r="G610">
        <v>0</v>
      </c>
      <c r="H610">
        <v>0</v>
      </c>
      <c r="I610">
        <v>3</v>
      </c>
      <c r="J610">
        <v>0</v>
      </c>
    </row>
    <row r="611" spans="1:10" x14ac:dyDescent="0.25">
      <c r="A61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7172010008001000</v>
      </c>
      <c r="C612">
        <v>192</v>
      </c>
      <c r="D612">
        <v>58</v>
      </c>
      <c r="E612">
        <v>4</v>
      </c>
      <c r="F612">
        <v>12</v>
      </c>
      <c r="G612">
        <v>14</v>
      </c>
      <c r="H612">
        <v>0</v>
      </c>
      <c r="I612">
        <v>104</v>
      </c>
      <c r="J612">
        <v>0</v>
      </c>
    </row>
    <row r="613" spans="1:10" x14ac:dyDescent="0.25">
      <c r="A61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7172010008000800</v>
      </c>
      <c r="C614">
        <v>129</v>
      </c>
      <c r="D614">
        <v>0</v>
      </c>
      <c r="E614">
        <v>6</v>
      </c>
      <c r="F614">
        <v>110</v>
      </c>
      <c r="G614">
        <v>0</v>
      </c>
      <c r="H614">
        <v>0</v>
      </c>
      <c r="I614">
        <v>13</v>
      </c>
      <c r="J614">
        <v>0</v>
      </c>
    </row>
    <row r="615" spans="1:10" x14ac:dyDescent="0.25">
      <c r="A615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7172010017001200</v>
      </c>
      <c r="C618">
        <v>126</v>
      </c>
      <c r="D618">
        <v>0</v>
      </c>
      <c r="E618">
        <v>7</v>
      </c>
      <c r="F618">
        <v>91</v>
      </c>
      <c r="G618">
        <v>0</v>
      </c>
      <c r="H618">
        <v>0</v>
      </c>
      <c r="I618">
        <v>28</v>
      </c>
      <c r="J618">
        <v>0</v>
      </c>
    </row>
    <row r="619" spans="1:10" x14ac:dyDescent="0.25">
      <c r="A619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t="s">
        <v>237</v>
      </c>
      <c r="B620">
        <v>7172010017001100</v>
      </c>
      <c r="C620">
        <v>80</v>
      </c>
      <c r="D620">
        <v>0</v>
      </c>
      <c r="E620">
        <v>0</v>
      </c>
      <c r="F620">
        <v>74</v>
      </c>
      <c r="G620">
        <v>0</v>
      </c>
      <c r="H620">
        <v>0</v>
      </c>
      <c r="I620">
        <v>6</v>
      </c>
      <c r="J620">
        <v>0</v>
      </c>
    </row>
    <row r="621" spans="1:10" x14ac:dyDescent="0.25">
      <c r="A62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7172011001000700</v>
      </c>
      <c r="C627">
        <v>167</v>
      </c>
      <c r="D627">
        <v>31</v>
      </c>
      <c r="E627">
        <v>0</v>
      </c>
      <c r="F627">
        <v>53</v>
      </c>
      <c r="G627">
        <v>2</v>
      </c>
      <c r="H627">
        <v>0</v>
      </c>
      <c r="I627">
        <v>81</v>
      </c>
      <c r="J627">
        <v>0</v>
      </c>
    </row>
    <row r="628" spans="1:10" x14ac:dyDescent="0.25">
      <c r="A628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7172011011000500</v>
      </c>
      <c r="C634">
        <v>87</v>
      </c>
      <c r="D634">
        <v>30</v>
      </c>
      <c r="E634">
        <v>7</v>
      </c>
      <c r="F634">
        <v>0</v>
      </c>
      <c r="G634">
        <v>1</v>
      </c>
      <c r="H634">
        <v>0</v>
      </c>
      <c r="I634">
        <v>49</v>
      </c>
      <c r="J634">
        <v>0</v>
      </c>
    </row>
    <row r="635" spans="1:10" x14ac:dyDescent="0.25">
      <c r="A635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7172011002001200</v>
      </c>
      <c r="C636">
        <v>81</v>
      </c>
      <c r="D636">
        <v>0</v>
      </c>
      <c r="E636">
        <v>11</v>
      </c>
      <c r="F636">
        <v>56</v>
      </c>
      <c r="G636">
        <v>0</v>
      </c>
      <c r="H636">
        <v>0</v>
      </c>
      <c r="I636">
        <v>14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</v>
      </c>
      <c r="B644">
        <v>7172011003001803</v>
      </c>
      <c r="C644">
        <v>151</v>
      </c>
      <c r="D644">
        <v>0</v>
      </c>
      <c r="E644">
        <v>23</v>
      </c>
      <c r="F644">
        <v>61</v>
      </c>
      <c r="G644">
        <v>0</v>
      </c>
      <c r="H644">
        <v>0</v>
      </c>
      <c r="I644">
        <v>67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</row>
    <row r="651" spans="1:10" x14ac:dyDescent="0.25">
      <c r="A65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t="s">
        <v>33</v>
      </c>
      <c r="B654">
        <v>7172011014001702</v>
      </c>
      <c r="C654">
        <v>117</v>
      </c>
      <c r="D654">
        <v>72</v>
      </c>
      <c r="E654">
        <v>4</v>
      </c>
      <c r="F654">
        <v>0</v>
      </c>
      <c r="G654">
        <v>0</v>
      </c>
      <c r="H654">
        <v>0</v>
      </c>
      <c r="I654">
        <v>41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12</v>
      </c>
      <c r="E661">
        <v>15</v>
      </c>
      <c r="F661">
        <v>34</v>
      </c>
      <c r="G661">
        <v>0</v>
      </c>
      <c r="H661">
        <v>0</v>
      </c>
      <c r="I661">
        <v>60</v>
      </c>
      <c r="J661">
        <v>0</v>
      </c>
    </row>
    <row r="662" spans="1:10" x14ac:dyDescent="0.25">
      <c r="A662" t="s">
        <v>34</v>
      </c>
      <c r="B662">
        <v>7172011003001500</v>
      </c>
      <c r="C662">
        <v>101</v>
      </c>
      <c r="D662">
        <v>0</v>
      </c>
      <c r="E662">
        <v>12</v>
      </c>
      <c r="F662">
        <v>76</v>
      </c>
      <c r="G662">
        <v>0</v>
      </c>
      <c r="H662">
        <v>0</v>
      </c>
      <c r="I662">
        <v>13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40</v>
      </c>
      <c r="B668">
        <v>7172011004000700</v>
      </c>
      <c r="C668">
        <v>134</v>
      </c>
      <c r="D668">
        <v>16</v>
      </c>
      <c r="E668">
        <v>66</v>
      </c>
      <c r="F668">
        <v>47</v>
      </c>
      <c r="G668">
        <v>0</v>
      </c>
      <c r="H668">
        <v>0</v>
      </c>
      <c r="I668">
        <v>5</v>
      </c>
      <c r="J668">
        <v>0</v>
      </c>
    </row>
    <row r="669" spans="1:10" x14ac:dyDescent="0.25">
      <c r="A669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7172011011000600</v>
      </c>
      <c r="C673">
        <v>65</v>
      </c>
      <c r="D673">
        <v>15</v>
      </c>
      <c r="E673">
        <v>4</v>
      </c>
      <c r="F673">
        <v>36</v>
      </c>
      <c r="G673">
        <v>0</v>
      </c>
      <c r="H673">
        <v>0</v>
      </c>
      <c r="I673">
        <v>10</v>
      </c>
      <c r="J673">
        <v>0</v>
      </c>
    </row>
    <row r="674" spans="1:10" x14ac:dyDescent="0.25">
      <c r="A674" t="s">
        <v>43</v>
      </c>
      <c r="B674">
        <v>7172011011000900</v>
      </c>
      <c r="C674">
        <v>64</v>
      </c>
      <c r="D674">
        <v>15</v>
      </c>
      <c r="E674">
        <v>0</v>
      </c>
      <c r="F674">
        <v>13</v>
      </c>
      <c r="G674">
        <v>1</v>
      </c>
      <c r="H674">
        <v>0</v>
      </c>
      <c r="I674">
        <v>35</v>
      </c>
      <c r="J674">
        <v>0</v>
      </c>
    </row>
    <row r="675" spans="1:10" x14ac:dyDescent="0.25">
      <c r="A675" t="s">
        <v>43</v>
      </c>
      <c r="B675">
        <v>7172011011001400</v>
      </c>
      <c r="C675">
        <v>53</v>
      </c>
      <c r="D675">
        <v>0</v>
      </c>
      <c r="E675">
        <v>4</v>
      </c>
      <c r="F675">
        <v>49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5</v>
      </c>
      <c r="E676">
        <v>1</v>
      </c>
      <c r="F676">
        <v>43</v>
      </c>
      <c r="G676">
        <v>0</v>
      </c>
      <c r="H676">
        <v>0</v>
      </c>
      <c r="I676">
        <v>1</v>
      </c>
      <c r="J676">
        <v>0</v>
      </c>
    </row>
    <row r="677" spans="1:10" x14ac:dyDescent="0.25">
      <c r="A677" t="s">
        <v>43</v>
      </c>
      <c r="B677">
        <v>7172011011001300</v>
      </c>
      <c r="C677">
        <v>45</v>
      </c>
      <c r="D677">
        <v>0</v>
      </c>
      <c r="E677">
        <v>1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7172011011001100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7172011011000700</v>
      </c>
      <c r="C681">
        <v>23</v>
      </c>
      <c r="D681">
        <v>2</v>
      </c>
      <c r="E681">
        <v>2</v>
      </c>
      <c r="F681">
        <v>19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47</v>
      </c>
      <c r="B684">
        <v>7172011014000600</v>
      </c>
      <c r="C684">
        <v>172</v>
      </c>
      <c r="D684">
        <v>1</v>
      </c>
      <c r="E684">
        <v>5</v>
      </c>
      <c r="F684">
        <v>96</v>
      </c>
      <c r="G684">
        <v>0</v>
      </c>
      <c r="H684">
        <v>0</v>
      </c>
      <c r="I684">
        <v>70</v>
      </c>
      <c r="J684">
        <v>0</v>
      </c>
    </row>
    <row r="685" spans="1:10" x14ac:dyDescent="0.25">
      <c r="A685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48</v>
      </c>
      <c r="B689">
        <v>7172011014001200</v>
      </c>
      <c r="C689">
        <v>197</v>
      </c>
      <c r="D689">
        <v>28</v>
      </c>
      <c r="E689">
        <v>34</v>
      </c>
      <c r="F689">
        <v>68</v>
      </c>
      <c r="G689">
        <v>1</v>
      </c>
      <c r="H689">
        <v>0</v>
      </c>
      <c r="I689">
        <v>66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7172012001000500</v>
      </c>
      <c r="C695">
        <v>174</v>
      </c>
      <c r="D695">
        <v>20</v>
      </c>
      <c r="E695">
        <v>28</v>
      </c>
      <c r="F695">
        <v>55</v>
      </c>
      <c r="G695">
        <v>0</v>
      </c>
      <c r="H695">
        <v>0</v>
      </c>
      <c r="I695">
        <v>71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52</v>
      </c>
      <c r="B698">
        <v>7172012001000700</v>
      </c>
      <c r="C698">
        <v>275</v>
      </c>
      <c r="D698">
        <v>2</v>
      </c>
      <c r="E698">
        <v>18</v>
      </c>
      <c r="F698">
        <v>153</v>
      </c>
      <c r="G698">
        <v>0</v>
      </c>
      <c r="H698">
        <v>0</v>
      </c>
      <c r="I698">
        <v>102</v>
      </c>
      <c r="J698">
        <v>0</v>
      </c>
    </row>
    <row r="699" spans="1:10" x14ac:dyDescent="0.25">
      <c r="A699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7172012001000100</v>
      </c>
      <c r="C702">
        <v>117</v>
      </c>
      <c r="D702">
        <v>3</v>
      </c>
      <c r="E702">
        <v>1</v>
      </c>
      <c r="F702">
        <v>76</v>
      </c>
      <c r="G702">
        <v>5</v>
      </c>
      <c r="H702">
        <v>0</v>
      </c>
      <c r="I702">
        <v>32</v>
      </c>
      <c r="J702">
        <v>0</v>
      </c>
    </row>
    <row r="703" spans="1:10" x14ac:dyDescent="0.25">
      <c r="A70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</row>
    <row r="707" spans="1:10" x14ac:dyDescent="0.25">
      <c r="A707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7172012003000400</v>
      </c>
      <c r="C712">
        <v>106</v>
      </c>
      <c r="D712">
        <v>0</v>
      </c>
      <c r="E712">
        <v>7</v>
      </c>
      <c r="F712">
        <v>99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7172012004000100</v>
      </c>
      <c r="C713">
        <v>100</v>
      </c>
      <c r="D713">
        <v>0</v>
      </c>
      <c r="E713">
        <v>0</v>
      </c>
      <c r="F713">
        <v>100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7172012003000200</v>
      </c>
      <c r="C717">
        <v>57</v>
      </c>
      <c r="D717">
        <v>12</v>
      </c>
      <c r="E717">
        <v>8</v>
      </c>
      <c r="F717">
        <v>8</v>
      </c>
      <c r="G717">
        <v>2</v>
      </c>
      <c r="H717">
        <v>0</v>
      </c>
      <c r="I717">
        <v>27</v>
      </c>
      <c r="J717">
        <v>0</v>
      </c>
    </row>
    <row r="718" spans="1:10" x14ac:dyDescent="0.25">
      <c r="A718" t="s">
        <v>57</v>
      </c>
      <c r="B718">
        <v>7172012003001100</v>
      </c>
      <c r="C718">
        <v>122</v>
      </c>
      <c r="D718">
        <v>33</v>
      </c>
      <c r="E718">
        <v>15</v>
      </c>
      <c r="F718">
        <v>26</v>
      </c>
      <c r="G718">
        <v>34</v>
      </c>
      <c r="H718">
        <v>0</v>
      </c>
      <c r="I718">
        <v>14</v>
      </c>
      <c r="J718">
        <v>0</v>
      </c>
    </row>
    <row r="719" spans="1:10" x14ac:dyDescent="0.25">
      <c r="A719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7172012003000500</v>
      </c>
      <c r="C723">
        <v>60</v>
      </c>
      <c r="D723">
        <v>0</v>
      </c>
      <c r="E723">
        <v>12</v>
      </c>
      <c r="F723">
        <v>37</v>
      </c>
      <c r="G723">
        <v>0</v>
      </c>
      <c r="H723">
        <v>0</v>
      </c>
      <c r="I723">
        <v>11</v>
      </c>
      <c r="J723">
        <v>0</v>
      </c>
    </row>
    <row r="724" spans="1:10" x14ac:dyDescent="0.25">
      <c r="A724" t="s">
        <v>57</v>
      </c>
      <c r="B724">
        <v>7172012003000900</v>
      </c>
      <c r="C724">
        <v>60</v>
      </c>
      <c r="D724">
        <v>0</v>
      </c>
      <c r="E724">
        <v>0</v>
      </c>
      <c r="F724">
        <v>60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238</v>
      </c>
      <c r="B726">
        <v>7172012004000500</v>
      </c>
      <c r="C726">
        <v>167</v>
      </c>
      <c r="D726">
        <v>7</v>
      </c>
      <c r="E726">
        <v>5</v>
      </c>
      <c r="F726">
        <v>48</v>
      </c>
      <c r="G726">
        <v>3</v>
      </c>
      <c r="H726">
        <v>0</v>
      </c>
      <c r="I726">
        <v>104</v>
      </c>
      <c r="J726">
        <v>0</v>
      </c>
    </row>
    <row r="727" spans="1:10" x14ac:dyDescent="0.25">
      <c r="A727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91</v>
      </c>
      <c r="D728">
        <v>0</v>
      </c>
      <c r="E728">
        <v>1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7172012004000800</v>
      </c>
      <c r="C731">
        <v>70</v>
      </c>
      <c r="D731">
        <v>0</v>
      </c>
      <c r="E731">
        <v>12</v>
      </c>
      <c r="F731">
        <v>51</v>
      </c>
      <c r="G731">
        <v>0</v>
      </c>
      <c r="H731">
        <v>0</v>
      </c>
      <c r="I731">
        <v>7</v>
      </c>
      <c r="J731">
        <v>0</v>
      </c>
    </row>
    <row r="732" spans="1:10" x14ac:dyDescent="0.25">
      <c r="A732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7172012004001100</v>
      </c>
      <c r="C733">
        <v>172</v>
      </c>
      <c r="D733">
        <v>15</v>
      </c>
      <c r="E733">
        <v>13</v>
      </c>
      <c r="F733">
        <v>85</v>
      </c>
      <c r="G733">
        <v>1</v>
      </c>
      <c r="H733">
        <v>0</v>
      </c>
      <c r="I733">
        <v>58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t="s">
        <v>66</v>
      </c>
      <c r="B740">
        <v>7172012005000400</v>
      </c>
      <c r="C740">
        <v>55</v>
      </c>
      <c r="D740">
        <v>0</v>
      </c>
      <c r="E740">
        <v>0</v>
      </c>
      <c r="F740">
        <v>24</v>
      </c>
      <c r="G740">
        <v>0</v>
      </c>
      <c r="H740">
        <v>0</v>
      </c>
      <c r="I740">
        <v>31</v>
      </c>
      <c r="J740">
        <v>0</v>
      </c>
    </row>
    <row r="741" spans="1:10" x14ac:dyDescent="0.25">
      <c r="A741" t="s">
        <v>66</v>
      </c>
      <c r="B741">
        <v>7172012005000600</v>
      </c>
      <c r="C741">
        <v>46</v>
      </c>
      <c r="D741">
        <v>0</v>
      </c>
      <c r="E741">
        <v>0</v>
      </c>
      <c r="F741">
        <v>42</v>
      </c>
      <c r="G741">
        <v>0</v>
      </c>
      <c r="H741">
        <v>0</v>
      </c>
      <c r="I741">
        <v>4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7172012007002000</v>
      </c>
      <c r="C748">
        <v>119</v>
      </c>
      <c r="D748">
        <v>0</v>
      </c>
      <c r="E748">
        <v>5</v>
      </c>
      <c r="F748">
        <v>13</v>
      </c>
      <c r="G748">
        <v>1</v>
      </c>
      <c r="H748">
        <v>0</v>
      </c>
      <c r="I748">
        <v>100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7172012007002100</v>
      </c>
      <c r="C752">
        <v>61</v>
      </c>
      <c r="D752">
        <v>0</v>
      </c>
      <c r="E752">
        <v>2</v>
      </c>
      <c r="F752">
        <v>57</v>
      </c>
      <c r="G752">
        <v>0</v>
      </c>
      <c r="H752">
        <v>0</v>
      </c>
      <c r="I752">
        <v>2</v>
      </c>
      <c r="J752">
        <v>0</v>
      </c>
    </row>
    <row r="753" spans="1:10" x14ac:dyDescent="0.25">
      <c r="A75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7172012006000802</v>
      </c>
      <c r="C759">
        <v>90</v>
      </c>
      <c r="D759">
        <v>1</v>
      </c>
      <c r="E759">
        <v>17</v>
      </c>
      <c r="F759">
        <v>39</v>
      </c>
      <c r="G759">
        <v>3</v>
      </c>
      <c r="H759">
        <v>0</v>
      </c>
      <c r="I759">
        <v>30</v>
      </c>
      <c r="J759">
        <v>0</v>
      </c>
    </row>
    <row r="760" spans="1:10" x14ac:dyDescent="0.25">
      <c r="A760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</row>
    <row r="762" spans="1:10" x14ac:dyDescent="0.25">
      <c r="A762" t="s">
        <v>55</v>
      </c>
      <c r="B762">
        <v>7172012006001800</v>
      </c>
      <c r="C762">
        <v>163</v>
      </c>
      <c r="D762">
        <v>0</v>
      </c>
      <c r="E762">
        <v>1</v>
      </c>
      <c r="F762">
        <v>63</v>
      </c>
      <c r="G762">
        <v>0</v>
      </c>
      <c r="H762">
        <v>0</v>
      </c>
      <c r="I762">
        <v>99</v>
      </c>
      <c r="J762">
        <v>0</v>
      </c>
    </row>
    <row r="763" spans="1:10" x14ac:dyDescent="0.25">
      <c r="A76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7172012007001300</v>
      </c>
      <c r="C767">
        <v>135</v>
      </c>
      <c r="D767">
        <v>0</v>
      </c>
      <c r="E767">
        <v>2</v>
      </c>
      <c r="F767">
        <v>131</v>
      </c>
      <c r="G767">
        <v>0</v>
      </c>
      <c r="H767">
        <v>0</v>
      </c>
      <c r="I767">
        <v>2</v>
      </c>
      <c r="J767">
        <v>0</v>
      </c>
    </row>
    <row r="768" spans="1:10" x14ac:dyDescent="0.25">
      <c r="A768" t="s">
        <v>73</v>
      </c>
      <c r="B768">
        <v>7172012007001500</v>
      </c>
      <c r="C768">
        <v>102</v>
      </c>
      <c r="D768">
        <v>1</v>
      </c>
      <c r="E768">
        <v>13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7172021003000200</v>
      </c>
      <c r="C773">
        <v>106</v>
      </c>
      <c r="D773">
        <v>20</v>
      </c>
      <c r="E773">
        <v>16</v>
      </c>
      <c r="F773">
        <v>39</v>
      </c>
      <c r="G773">
        <v>0</v>
      </c>
      <c r="H773">
        <v>0</v>
      </c>
      <c r="I773">
        <v>31</v>
      </c>
      <c r="J773">
        <v>0</v>
      </c>
    </row>
    <row r="774" spans="1:10" x14ac:dyDescent="0.25">
      <c r="A774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</row>
    <row r="785" spans="1:10" x14ac:dyDescent="0.25">
      <c r="A785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7172021006001600</v>
      </c>
      <c r="C787">
        <v>68</v>
      </c>
      <c r="D787">
        <v>2</v>
      </c>
      <c r="E787">
        <v>3</v>
      </c>
      <c r="F787">
        <v>41</v>
      </c>
      <c r="G787">
        <v>2</v>
      </c>
      <c r="H787">
        <v>0</v>
      </c>
      <c r="I787">
        <v>20</v>
      </c>
      <c r="J787">
        <v>0</v>
      </c>
    </row>
    <row r="788" spans="1:10" x14ac:dyDescent="0.25">
      <c r="A788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7172021007000100</v>
      </c>
      <c r="C790">
        <v>48</v>
      </c>
      <c r="D790">
        <v>0</v>
      </c>
      <c r="E790">
        <v>11</v>
      </c>
      <c r="F790">
        <v>35</v>
      </c>
      <c r="G790">
        <v>0</v>
      </c>
      <c r="H790">
        <v>0</v>
      </c>
      <c r="I790">
        <v>2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7172021006001700</v>
      </c>
      <c r="C792">
        <v>40</v>
      </c>
      <c r="D792">
        <v>0</v>
      </c>
      <c r="E792">
        <v>3</v>
      </c>
      <c r="F792">
        <v>18</v>
      </c>
      <c r="G792">
        <v>1</v>
      </c>
      <c r="H792">
        <v>0</v>
      </c>
      <c r="I792">
        <v>18</v>
      </c>
      <c r="J792">
        <v>0</v>
      </c>
    </row>
    <row r="793" spans="1:10" x14ac:dyDescent="0.25">
      <c r="A79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7172022001000300</v>
      </c>
      <c r="C796">
        <v>93</v>
      </c>
      <c r="D796">
        <v>2</v>
      </c>
      <c r="E796">
        <v>6</v>
      </c>
      <c r="F796">
        <v>81</v>
      </c>
      <c r="G796">
        <v>0</v>
      </c>
      <c r="H796">
        <v>0</v>
      </c>
      <c r="I796">
        <v>4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1</v>
      </c>
      <c r="H799">
        <v>0</v>
      </c>
      <c r="I799">
        <v>40</v>
      </c>
      <c r="J799">
        <v>0</v>
      </c>
    </row>
    <row r="800" spans="1:10" x14ac:dyDescent="0.25">
      <c r="A800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86</v>
      </c>
      <c r="B810">
        <v>7172022009000500</v>
      </c>
      <c r="C810">
        <v>67</v>
      </c>
      <c r="D810">
        <v>0</v>
      </c>
      <c r="E810">
        <v>6</v>
      </c>
      <c r="F810">
        <v>55</v>
      </c>
      <c r="G810">
        <v>0</v>
      </c>
      <c r="H810">
        <v>0</v>
      </c>
      <c r="I810">
        <v>6</v>
      </c>
      <c r="J810">
        <v>0</v>
      </c>
    </row>
    <row r="811" spans="1:10" x14ac:dyDescent="0.25">
      <c r="A81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</row>
    <row r="813" spans="1:10" x14ac:dyDescent="0.25">
      <c r="A81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t="s">
        <v>87</v>
      </c>
      <c r="B822">
        <v>7172022004000200</v>
      </c>
      <c r="C822">
        <v>45</v>
      </c>
      <c r="D822">
        <v>0</v>
      </c>
      <c r="E822">
        <v>7</v>
      </c>
      <c r="F822">
        <v>17</v>
      </c>
      <c r="G822">
        <v>0</v>
      </c>
      <c r="H822">
        <v>0</v>
      </c>
      <c r="I822">
        <v>21</v>
      </c>
      <c r="J822">
        <v>0</v>
      </c>
    </row>
    <row r="823" spans="1:10" x14ac:dyDescent="0.25">
      <c r="A82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</row>
    <row r="831" spans="1:10" x14ac:dyDescent="0.25">
      <c r="A83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7172022008000300</v>
      </c>
      <c r="C834">
        <v>56</v>
      </c>
      <c r="D834">
        <v>0</v>
      </c>
      <c r="E834">
        <v>4</v>
      </c>
      <c r="F834">
        <v>41</v>
      </c>
      <c r="G834">
        <v>0</v>
      </c>
      <c r="H834">
        <v>0</v>
      </c>
      <c r="I834">
        <v>11</v>
      </c>
      <c r="J834">
        <v>0</v>
      </c>
    </row>
    <row r="835" spans="1:10" x14ac:dyDescent="0.25">
      <c r="A835" t="s">
        <v>240</v>
      </c>
      <c r="B835">
        <v>7172022008000200</v>
      </c>
      <c r="C835">
        <v>49</v>
      </c>
      <c r="D835">
        <v>0</v>
      </c>
      <c r="E835">
        <v>0</v>
      </c>
      <c r="F835">
        <v>17</v>
      </c>
      <c r="G835">
        <v>0</v>
      </c>
      <c r="H835">
        <v>0</v>
      </c>
      <c r="I835">
        <v>32</v>
      </c>
      <c r="J835">
        <v>0</v>
      </c>
    </row>
    <row r="836" spans="1:10" x14ac:dyDescent="0.25">
      <c r="A836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7172030017000500</v>
      </c>
      <c r="C846">
        <v>87</v>
      </c>
      <c r="D846">
        <v>0</v>
      </c>
      <c r="E846">
        <v>36</v>
      </c>
      <c r="F846">
        <v>3</v>
      </c>
      <c r="G846">
        <v>0</v>
      </c>
      <c r="H846">
        <v>0</v>
      </c>
      <c r="I846">
        <v>48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90</v>
      </c>
      <c r="D860">
        <v>0</v>
      </c>
      <c r="E860">
        <v>32</v>
      </c>
      <c r="F860">
        <v>52</v>
      </c>
      <c r="G860">
        <v>0</v>
      </c>
      <c r="H860">
        <v>0</v>
      </c>
      <c r="I860">
        <v>6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7172030012001500</v>
      </c>
      <c r="C864">
        <v>51</v>
      </c>
      <c r="D864">
        <v>22</v>
      </c>
      <c r="E864">
        <v>3</v>
      </c>
      <c r="F864">
        <v>9</v>
      </c>
      <c r="G864">
        <v>0</v>
      </c>
      <c r="H864">
        <v>0</v>
      </c>
      <c r="I864">
        <v>17</v>
      </c>
      <c r="J864">
        <v>0</v>
      </c>
    </row>
    <row r="865" spans="1:10" x14ac:dyDescent="0.25">
      <c r="A865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241</v>
      </c>
      <c r="B866">
        <v>7172030013000200</v>
      </c>
      <c r="C866">
        <v>85</v>
      </c>
      <c r="D866">
        <v>16</v>
      </c>
      <c r="E866">
        <v>25</v>
      </c>
      <c r="F866">
        <v>24</v>
      </c>
      <c r="G866">
        <v>0</v>
      </c>
      <c r="H866">
        <v>0</v>
      </c>
      <c r="I866">
        <v>20</v>
      </c>
      <c r="J866">
        <v>0</v>
      </c>
    </row>
    <row r="867" spans="1:10" x14ac:dyDescent="0.25">
      <c r="A867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7172030013000600</v>
      </c>
      <c r="C868">
        <v>63</v>
      </c>
      <c r="D868">
        <v>0</v>
      </c>
      <c r="E868">
        <v>10</v>
      </c>
      <c r="F868">
        <v>51</v>
      </c>
      <c r="G868">
        <v>0</v>
      </c>
      <c r="H868">
        <v>0</v>
      </c>
      <c r="I868">
        <v>2</v>
      </c>
      <c r="J868">
        <v>0</v>
      </c>
    </row>
    <row r="869" spans="1:10" x14ac:dyDescent="0.25">
      <c r="A869" t="s">
        <v>241</v>
      </c>
      <c r="B869">
        <v>7172030013000400</v>
      </c>
      <c r="C869">
        <v>55</v>
      </c>
      <c r="D869">
        <v>20</v>
      </c>
      <c r="E869">
        <v>0</v>
      </c>
      <c r="F869">
        <v>34</v>
      </c>
      <c r="G869">
        <v>0</v>
      </c>
      <c r="H869">
        <v>0</v>
      </c>
      <c r="I869">
        <v>1</v>
      </c>
      <c r="J869">
        <v>0</v>
      </c>
    </row>
    <row r="870" spans="1:10" x14ac:dyDescent="0.25">
      <c r="A870" t="s">
        <v>241</v>
      </c>
      <c r="B870">
        <v>7172030013000500</v>
      </c>
      <c r="C870">
        <v>53</v>
      </c>
      <c r="D870">
        <v>7</v>
      </c>
      <c r="E870">
        <v>0</v>
      </c>
      <c r="F870">
        <v>41</v>
      </c>
      <c r="G870">
        <v>0</v>
      </c>
      <c r="H870">
        <v>0</v>
      </c>
      <c r="I870">
        <v>5</v>
      </c>
      <c r="J870">
        <v>0</v>
      </c>
    </row>
    <row r="871" spans="1:10" x14ac:dyDescent="0.25">
      <c r="A87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242</v>
      </c>
      <c r="B880">
        <v>7172030014000200</v>
      </c>
      <c r="C880">
        <v>51</v>
      </c>
      <c r="D880">
        <v>4</v>
      </c>
      <c r="E880">
        <v>0</v>
      </c>
      <c r="F880">
        <v>31</v>
      </c>
      <c r="G880">
        <v>0</v>
      </c>
      <c r="H880">
        <v>0</v>
      </c>
      <c r="I880">
        <v>16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</row>
    <row r="886" spans="1:10" x14ac:dyDescent="0.25">
      <c r="A886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7172030014000400</v>
      </c>
      <c r="C887">
        <v>48</v>
      </c>
      <c r="D887">
        <v>17</v>
      </c>
      <c r="E887">
        <v>0</v>
      </c>
      <c r="F887">
        <v>31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7172030015001500</v>
      </c>
      <c r="C889">
        <v>180</v>
      </c>
      <c r="D889">
        <v>0</v>
      </c>
      <c r="E889">
        <v>14</v>
      </c>
      <c r="F889">
        <v>95</v>
      </c>
      <c r="G889">
        <v>0</v>
      </c>
      <c r="H889">
        <v>0</v>
      </c>
      <c r="I889">
        <v>71</v>
      </c>
      <c r="J889">
        <v>0</v>
      </c>
    </row>
    <row r="890" spans="1:10" x14ac:dyDescent="0.25">
      <c r="A890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7172030017000400</v>
      </c>
      <c r="C892">
        <v>120</v>
      </c>
      <c r="D892">
        <v>2</v>
      </c>
      <c r="E892">
        <v>14</v>
      </c>
      <c r="F892">
        <v>96</v>
      </c>
      <c r="G892">
        <v>1</v>
      </c>
      <c r="H892">
        <v>0</v>
      </c>
      <c r="I892">
        <v>7</v>
      </c>
      <c r="J892">
        <v>0</v>
      </c>
    </row>
    <row r="893" spans="1:10" x14ac:dyDescent="0.25">
      <c r="A893" t="s">
        <v>107</v>
      </c>
      <c r="B893">
        <v>7172030017000700</v>
      </c>
      <c r="C893">
        <v>101</v>
      </c>
      <c r="D893">
        <v>0</v>
      </c>
      <c r="E893">
        <v>8</v>
      </c>
      <c r="F893">
        <v>56</v>
      </c>
      <c r="G893">
        <v>1</v>
      </c>
      <c r="H893">
        <v>0</v>
      </c>
      <c r="I893">
        <v>36</v>
      </c>
      <c r="J893">
        <v>0</v>
      </c>
    </row>
    <row r="894" spans="1:10" x14ac:dyDescent="0.25">
      <c r="A894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</row>
    <row r="898" spans="1:10" x14ac:dyDescent="0.25">
      <c r="A898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108</v>
      </c>
      <c r="B906">
        <v>7172030017001400</v>
      </c>
      <c r="C906">
        <v>82</v>
      </c>
      <c r="D906">
        <v>1</v>
      </c>
      <c r="E906">
        <v>19</v>
      </c>
      <c r="F906">
        <v>4</v>
      </c>
      <c r="G906">
        <v>0</v>
      </c>
      <c r="H906">
        <v>0</v>
      </c>
      <c r="I906">
        <v>58</v>
      </c>
      <c r="J906">
        <v>0</v>
      </c>
    </row>
    <row r="907" spans="1:10" x14ac:dyDescent="0.25">
      <c r="A907" t="s">
        <v>108</v>
      </c>
      <c r="B907">
        <v>7172030017002002</v>
      </c>
      <c r="C907">
        <v>80</v>
      </c>
      <c r="D907">
        <v>0</v>
      </c>
      <c r="E907">
        <v>0</v>
      </c>
      <c r="F907">
        <v>80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7172030017001600</v>
      </c>
      <c r="C908">
        <v>57</v>
      </c>
      <c r="D908">
        <v>0</v>
      </c>
      <c r="E908">
        <v>9</v>
      </c>
      <c r="F908">
        <v>48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110</v>
      </c>
      <c r="B909">
        <v>7172031002000100</v>
      </c>
      <c r="C909">
        <v>204</v>
      </c>
      <c r="D909">
        <v>0</v>
      </c>
      <c r="E909">
        <v>9</v>
      </c>
      <c r="F909">
        <v>168</v>
      </c>
      <c r="G909">
        <v>0</v>
      </c>
      <c r="H909">
        <v>0</v>
      </c>
      <c r="I909">
        <v>27</v>
      </c>
      <c r="J909">
        <v>0</v>
      </c>
    </row>
    <row r="910" spans="1:10" x14ac:dyDescent="0.25">
      <c r="A910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110</v>
      </c>
      <c r="B912">
        <v>7172031001001500</v>
      </c>
      <c r="C912">
        <v>92</v>
      </c>
      <c r="D912">
        <v>4</v>
      </c>
      <c r="E912">
        <v>4</v>
      </c>
      <c r="F912">
        <v>15</v>
      </c>
      <c r="G912">
        <v>0</v>
      </c>
      <c r="H912">
        <v>0</v>
      </c>
      <c r="I912">
        <v>69</v>
      </c>
      <c r="J912">
        <v>0</v>
      </c>
    </row>
    <row r="913" spans="1:10" x14ac:dyDescent="0.25">
      <c r="A913" t="s">
        <v>111</v>
      </c>
      <c r="B913">
        <v>7172031002000500</v>
      </c>
      <c r="C913">
        <v>122</v>
      </c>
      <c r="D913">
        <v>0</v>
      </c>
      <c r="E913">
        <v>1</v>
      </c>
      <c r="F913">
        <v>111</v>
      </c>
      <c r="G913">
        <v>0</v>
      </c>
      <c r="H913">
        <v>0</v>
      </c>
      <c r="I913">
        <v>10</v>
      </c>
      <c r="J913">
        <v>0</v>
      </c>
    </row>
    <row r="914" spans="1:10" x14ac:dyDescent="0.25">
      <c r="A914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</row>
    <row r="915" spans="1:10" x14ac:dyDescent="0.25">
      <c r="A915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7172031008000800</v>
      </c>
      <c r="C926">
        <v>56</v>
      </c>
      <c r="D926">
        <v>9</v>
      </c>
      <c r="E926">
        <v>31</v>
      </c>
      <c r="F926">
        <v>4</v>
      </c>
      <c r="G926">
        <v>0</v>
      </c>
      <c r="H926">
        <v>0</v>
      </c>
      <c r="I926">
        <v>12</v>
      </c>
      <c r="J926">
        <v>0</v>
      </c>
    </row>
    <row r="927" spans="1:10" x14ac:dyDescent="0.25">
      <c r="A927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t="s">
        <v>112</v>
      </c>
      <c r="B928">
        <v>7172031008001500</v>
      </c>
      <c r="C928">
        <v>30</v>
      </c>
      <c r="D928">
        <v>16</v>
      </c>
      <c r="E928">
        <v>3</v>
      </c>
      <c r="F928">
        <v>1</v>
      </c>
      <c r="G928">
        <v>0</v>
      </c>
      <c r="H928">
        <v>0</v>
      </c>
      <c r="I928">
        <v>10</v>
      </c>
      <c r="J928">
        <v>0</v>
      </c>
    </row>
    <row r="929" spans="1:10" x14ac:dyDescent="0.25">
      <c r="A929" t="s">
        <v>115</v>
      </c>
      <c r="B929">
        <v>7172031003002000</v>
      </c>
      <c r="C929">
        <v>188</v>
      </c>
      <c r="D929">
        <v>73</v>
      </c>
      <c r="E929">
        <v>15</v>
      </c>
      <c r="F929">
        <v>85</v>
      </c>
      <c r="G929">
        <v>13</v>
      </c>
      <c r="H929">
        <v>0</v>
      </c>
      <c r="I929">
        <v>2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7172031003001800</v>
      </c>
      <c r="C934">
        <v>144</v>
      </c>
      <c r="D934">
        <v>127</v>
      </c>
      <c r="E934">
        <v>0</v>
      </c>
      <c r="F934">
        <v>14</v>
      </c>
      <c r="G934">
        <v>2</v>
      </c>
      <c r="H934">
        <v>0</v>
      </c>
      <c r="I934">
        <v>1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243</v>
      </c>
      <c r="B940">
        <v>7172031003002400</v>
      </c>
      <c r="C940">
        <v>59</v>
      </c>
      <c r="D940">
        <v>26</v>
      </c>
      <c r="E940">
        <v>1</v>
      </c>
      <c r="F940">
        <v>32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7172031004000500</v>
      </c>
      <c r="C948">
        <v>42</v>
      </c>
      <c r="D948">
        <v>11</v>
      </c>
      <c r="E948">
        <v>23</v>
      </c>
      <c r="F948">
        <v>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7172031004001000</v>
      </c>
      <c r="C949">
        <v>41</v>
      </c>
      <c r="D949">
        <v>0</v>
      </c>
      <c r="E949">
        <v>0</v>
      </c>
      <c r="F949">
        <v>41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7172031006000101</v>
      </c>
      <c r="C952">
        <v>199</v>
      </c>
      <c r="D952">
        <v>2</v>
      </c>
      <c r="E952">
        <v>33</v>
      </c>
      <c r="F952">
        <v>115</v>
      </c>
      <c r="G952">
        <v>10</v>
      </c>
      <c r="H952">
        <v>0</v>
      </c>
      <c r="I952">
        <v>39</v>
      </c>
      <c r="J952">
        <v>0</v>
      </c>
    </row>
    <row r="953" spans="1:10" x14ac:dyDescent="0.25">
      <c r="A95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7172031006000900</v>
      </c>
      <c r="C957">
        <v>161</v>
      </c>
      <c r="D957">
        <v>0</v>
      </c>
      <c r="E957">
        <v>5</v>
      </c>
      <c r="F957">
        <v>155</v>
      </c>
      <c r="G957">
        <v>0</v>
      </c>
      <c r="H957">
        <v>0</v>
      </c>
      <c r="I957">
        <v>1</v>
      </c>
      <c r="J957">
        <v>0</v>
      </c>
    </row>
    <row r="958" spans="1:10" x14ac:dyDescent="0.25">
      <c r="A958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7172031006001300</v>
      </c>
      <c r="C959">
        <v>114</v>
      </c>
      <c r="D959">
        <v>4</v>
      </c>
      <c r="E959">
        <v>44</v>
      </c>
      <c r="F959">
        <v>32</v>
      </c>
      <c r="G959">
        <v>0</v>
      </c>
      <c r="H959">
        <v>0</v>
      </c>
      <c r="I959">
        <v>34</v>
      </c>
      <c r="J959">
        <v>0</v>
      </c>
    </row>
    <row r="960" spans="1:10" x14ac:dyDescent="0.25">
      <c r="A960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7172031006001400</v>
      </c>
      <c r="C962">
        <v>178</v>
      </c>
      <c r="D962">
        <v>78</v>
      </c>
      <c r="E962">
        <v>38</v>
      </c>
      <c r="F962">
        <v>1</v>
      </c>
      <c r="G962">
        <v>6</v>
      </c>
      <c r="H962">
        <v>0</v>
      </c>
      <c r="I962">
        <v>55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7172031006001700</v>
      </c>
      <c r="C964">
        <v>124</v>
      </c>
      <c r="D964">
        <v>0</v>
      </c>
      <c r="E964">
        <v>10</v>
      </c>
      <c r="F964">
        <v>105</v>
      </c>
      <c r="G964">
        <v>0</v>
      </c>
      <c r="H964">
        <v>0</v>
      </c>
      <c r="I964">
        <v>9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101</v>
      </c>
      <c r="D969">
        <v>25</v>
      </c>
      <c r="E969">
        <v>4</v>
      </c>
      <c r="F969">
        <v>18</v>
      </c>
      <c r="G969">
        <v>3</v>
      </c>
      <c r="H969">
        <v>0</v>
      </c>
      <c r="I969">
        <v>51</v>
      </c>
      <c r="J969">
        <v>0</v>
      </c>
    </row>
    <row r="970" spans="1:10" x14ac:dyDescent="0.25">
      <c r="A970" t="s">
        <v>127</v>
      </c>
      <c r="B970">
        <v>7172031007001200</v>
      </c>
      <c r="C970">
        <v>98</v>
      </c>
      <c r="D970">
        <v>0</v>
      </c>
      <c r="E970">
        <v>23</v>
      </c>
      <c r="F970">
        <v>39</v>
      </c>
      <c r="G970">
        <v>0</v>
      </c>
      <c r="H970">
        <v>0</v>
      </c>
      <c r="I970">
        <v>36</v>
      </c>
      <c r="J970">
        <v>0</v>
      </c>
    </row>
    <row r="971" spans="1:10" x14ac:dyDescent="0.25">
      <c r="A97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5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2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7172031008500100</v>
      </c>
      <c r="C982">
        <v>18</v>
      </c>
      <c r="D982">
        <v>4</v>
      </c>
      <c r="E982">
        <v>5</v>
      </c>
      <c r="F982">
        <v>7</v>
      </c>
      <c r="G982">
        <v>1</v>
      </c>
      <c r="H982">
        <v>0</v>
      </c>
      <c r="I982">
        <v>1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82</v>
      </c>
      <c r="D984">
        <v>0</v>
      </c>
      <c r="E984">
        <v>20</v>
      </c>
      <c r="F984">
        <v>21</v>
      </c>
      <c r="G984">
        <v>2</v>
      </c>
      <c r="H984">
        <v>0</v>
      </c>
      <c r="I984">
        <v>39</v>
      </c>
      <c r="J984">
        <v>0</v>
      </c>
    </row>
    <row r="985" spans="1:10" x14ac:dyDescent="0.25">
      <c r="A985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132</v>
      </c>
      <c r="B992">
        <v>7172040003000601</v>
      </c>
      <c r="C992">
        <v>185</v>
      </c>
      <c r="D992">
        <v>54</v>
      </c>
      <c r="E992">
        <v>26</v>
      </c>
      <c r="F992">
        <v>96</v>
      </c>
      <c r="G992">
        <v>4</v>
      </c>
      <c r="H992">
        <v>0</v>
      </c>
      <c r="I992">
        <v>5</v>
      </c>
      <c r="J992">
        <v>0</v>
      </c>
    </row>
    <row r="993" spans="1:10" x14ac:dyDescent="0.25">
      <c r="A99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133</v>
      </c>
      <c r="B997">
        <v>7172040003000300</v>
      </c>
      <c r="C997">
        <v>152</v>
      </c>
      <c r="D997">
        <v>0</v>
      </c>
      <c r="E997">
        <v>0</v>
      </c>
      <c r="F997">
        <v>146</v>
      </c>
      <c r="G997">
        <v>0</v>
      </c>
      <c r="H997">
        <v>0</v>
      </c>
      <c r="I997">
        <v>6</v>
      </c>
      <c r="J997">
        <v>0</v>
      </c>
    </row>
    <row r="998" spans="1:10" x14ac:dyDescent="0.25">
      <c r="A998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133</v>
      </c>
      <c r="B999">
        <v>7172040003000602</v>
      </c>
      <c r="C999">
        <v>98</v>
      </c>
      <c r="D999">
        <v>34</v>
      </c>
      <c r="E999">
        <v>15</v>
      </c>
      <c r="F999">
        <v>32</v>
      </c>
      <c r="G999">
        <v>7</v>
      </c>
      <c r="H999">
        <v>0</v>
      </c>
      <c r="I999">
        <v>9</v>
      </c>
      <c r="J999">
        <v>1</v>
      </c>
    </row>
    <row r="1000" spans="1:10" x14ac:dyDescent="0.25">
      <c r="A1000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135</v>
      </c>
      <c r="B1004">
        <v>7172040003000800</v>
      </c>
      <c r="C1004">
        <v>11</v>
      </c>
      <c r="D1004">
        <v>0</v>
      </c>
      <c r="E1004">
        <v>0</v>
      </c>
      <c r="F1004">
        <v>0</v>
      </c>
      <c r="G1004">
        <v>0</v>
      </c>
      <c r="H1004">
        <v>3</v>
      </c>
      <c r="I1004">
        <v>8</v>
      </c>
      <c r="J1004">
        <v>0</v>
      </c>
    </row>
    <row r="1005" spans="1:10" x14ac:dyDescent="0.25">
      <c r="A1005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7172040008000300</v>
      </c>
      <c r="C1009">
        <v>50</v>
      </c>
      <c r="D1009">
        <v>0</v>
      </c>
      <c r="E1009">
        <v>25</v>
      </c>
      <c r="F1009">
        <v>16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</row>
    <row r="1014" spans="1:10" x14ac:dyDescent="0.25">
      <c r="A1014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7172040006000100</v>
      </c>
      <c r="C1015">
        <v>90</v>
      </c>
      <c r="D1015">
        <v>0</v>
      </c>
      <c r="E1015">
        <v>11</v>
      </c>
      <c r="F1015">
        <v>31</v>
      </c>
      <c r="G1015">
        <v>0</v>
      </c>
      <c r="H1015">
        <v>0</v>
      </c>
      <c r="I1015">
        <v>48</v>
      </c>
      <c r="J1015">
        <v>0</v>
      </c>
    </row>
    <row r="1016" spans="1:10" x14ac:dyDescent="0.25">
      <c r="A1016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7172040012000300</v>
      </c>
      <c r="C1024">
        <v>80</v>
      </c>
      <c r="D1024">
        <v>0</v>
      </c>
      <c r="E1024">
        <v>34</v>
      </c>
      <c r="F1024">
        <v>35</v>
      </c>
      <c r="G1024">
        <v>0</v>
      </c>
      <c r="H1024">
        <v>0</v>
      </c>
      <c r="I1024">
        <v>11</v>
      </c>
      <c r="J1024">
        <v>0</v>
      </c>
    </row>
    <row r="1025" spans="1:10" x14ac:dyDescent="0.25">
      <c r="A1025" t="s">
        <v>140</v>
      </c>
      <c r="B1025">
        <v>7172040012000200</v>
      </c>
      <c r="C1025">
        <v>76</v>
      </c>
      <c r="D1025">
        <v>25</v>
      </c>
      <c r="E1025">
        <v>13</v>
      </c>
      <c r="F1025">
        <v>3</v>
      </c>
      <c r="G1025">
        <v>2</v>
      </c>
      <c r="H1025">
        <v>0</v>
      </c>
      <c r="I1025">
        <v>33</v>
      </c>
      <c r="J1025">
        <v>0</v>
      </c>
    </row>
    <row r="1026" spans="1:10" x14ac:dyDescent="0.25">
      <c r="A1026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7172031004001200</v>
      </c>
      <c r="C1039">
        <v>58</v>
      </c>
      <c r="D1039">
        <v>48</v>
      </c>
      <c r="E1039">
        <v>1</v>
      </c>
      <c r="F1039">
        <v>7</v>
      </c>
      <c r="G1039">
        <v>0</v>
      </c>
      <c r="H1039">
        <v>0</v>
      </c>
      <c r="I1039">
        <v>2</v>
      </c>
      <c r="J1039">
        <v>0</v>
      </c>
    </row>
    <row r="1040" spans="1:10" x14ac:dyDescent="0.25">
      <c r="A1040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7172011003002401</v>
      </c>
      <c r="C1043">
        <v>179</v>
      </c>
      <c r="D1043">
        <v>0</v>
      </c>
      <c r="E1043">
        <v>19</v>
      </c>
      <c r="F1043">
        <v>102</v>
      </c>
      <c r="G1043">
        <v>0</v>
      </c>
      <c r="H1043">
        <v>0</v>
      </c>
      <c r="I1043">
        <v>58</v>
      </c>
      <c r="J1043">
        <v>0</v>
      </c>
    </row>
    <row r="1044" spans="1:10" x14ac:dyDescent="0.25">
      <c r="A1044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t="s">
        <v>389</v>
      </c>
      <c r="B1053">
        <v>7172012004001300</v>
      </c>
      <c r="C1053">
        <v>76</v>
      </c>
      <c r="D1053">
        <v>0</v>
      </c>
      <c r="E1053">
        <v>3</v>
      </c>
      <c r="F1053">
        <v>61</v>
      </c>
      <c r="G1053">
        <v>0</v>
      </c>
      <c r="H1053">
        <v>0</v>
      </c>
      <c r="I1053">
        <v>12</v>
      </c>
      <c r="J1053">
        <v>0</v>
      </c>
    </row>
    <row r="1054" spans="1:10" x14ac:dyDescent="0.25">
      <c r="A1054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390</v>
      </c>
      <c r="B1059">
        <v>7172040003000800</v>
      </c>
      <c r="C1059">
        <v>44</v>
      </c>
      <c r="D1059">
        <v>0</v>
      </c>
      <c r="E1059">
        <v>4</v>
      </c>
      <c r="F1059">
        <v>31</v>
      </c>
      <c r="G1059">
        <v>0</v>
      </c>
      <c r="H1059">
        <v>0</v>
      </c>
      <c r="I1059">
        <v>9</v>
      </c>
      <c r="J1059">
        <v>0</v>
      </c>
    </row>
    <row r="1060" spans="1:10" x14ac:dyDescent="0.25">
      <c r="A1060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G2" sqref="G2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96</v>
      </c>
      <c r="F2">
        <v>103</v>
      </c>
      <c r="G2">
        <f>VLOOKUP(A2,PPL!B:M,12,0)</f>
        <v>114</v>
      </c>
      <c r="H2">
        <f>G2-F2</f>
        <v>11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71</v>
      </c>
      <c r="F3">
        <v>71</v>
      </c>
      <c r="G3">
        <f>VLOOKUP(A3,PPL!B:M,12,0)</f>
        <v>82</v>
      </c>
      <c r="H3">
        <f t="shared" ref="H3:H65" si="0">G3-F3</f>
        <v>11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132</v>
      </c>
      <c r="F4">
        <v>186</v>
      </c>
      <c r="G4">
        <f>VLOOKUP(A4,PPL!B:M,12,0)</f>
        <v>199</v>
      </c>
      <c r="H4">
        <f t="shared" si="0"/>
        <v>13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105</v>
      </c>
      <c r="F5">
        <v>114</v>
      </c>
      <c r="G5">
        <f>VLOOKUP(A5,PPL!B:M,12,0)</f>
        <v>122</v>
      </c>
      <c r="H5">
        <f t="shared" si="0"/>
        <v>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83</v>
      </c>
      <c r="F6">
        <v>93</v>
      </c>
      <c r="G6">
        <f>VLOOKUP(A6,PPL!B:M,12,0)</f>
        <v>97</v>
      </c>
      <c r="H6">
        <f t="shared" si="0"/>
        <v>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81</v>
      </c>
      <c r="F7">
        <v>85</v>
      </c>
      <c r="G7">
        <f>VLOOKUP(A7,PPL!B:M,12,0)</f>
        <v>106</v>
      </c>
      <c r="H7">
        <f t="shared" si="0"/>
        <v>21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</v>
      </c>
      <c r="F8">
        <v>80</v>
      </c>
      <c r="G8">
        <f>VLOOKUP(A8,PPL!B:M,12,0)</f>
        <v>93</v>
      </c>
      <c r="H8">
        <f t="shared" si="0"/>
        <v>13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82</v>
      </c>
      <c r="F9">
        <v>91</v>
      </c>
      <c r="G9">
        <f>VLOOKUP(A9,PPL!B:M,12,0)</f>
        <v>91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100</v>
      </c>
      <c r="F10">
        <v>111</v>
      </c>
      <c r="G10">
        <f>VLOOKUP(A10,PPL!B:M,12,0)</f>
        <v>121</v>
      </c>
      <c r="H10">
        <f t="shared" si="0"/>
        <v>10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86</v>
      </c>
      <c r="F11">
        <v>107</v>
      </c>
      <c r="G11">
        <f>VLOOKUP(A11,PPL!B:M,12,0)</f>
        <v>123</v>
      </c>
      <c r="H11">
        <f t="shared" si="0"/>
        <v>16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149</v>
      </c>
      <c r="F12">
        <v>162</v>
      </c>
      <c r="G12">
        <f>VLOOKUP(A12,PPL!B:M,12,0)</f>
        <v>172</v>
      </c>
      <c r="H12">
        <f t="shared" si="0"/>
        <v>10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59</v>
      </c>
      <c r="F13">
        <v>71</v>
      </c>
      <c r="G13">
        <f>VLOOKUP(A13,PPL!B:M,12,0)</f>
        <v>81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83</v>
      </c>
      <c r="F14">
        <v>94</v>
      </c>
      <c r="G14">
        <f>VLOOKUP(A14,PPL!B:M,12,0)</f>
        <v>109</v>
      </c>
      <c r="H14">
        <f t="shared" si="0"/>
        <v>15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124</v>
      </c>
      <c r="F15">
        <v>144</v>
      </c>
      <c r="G15">
        <f>VLOOKUP(A15,PPL!B:M,12,0)</f>
        <v>162</v>
      </c>
      <c r="H15">
        <f t="shared" si="0"/>
        <v>18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115</v>
      </c>
      <c r="F16">
        <v>129</v>
      </c>
      <c r="G16">
        <f>VLOOKUP(A16,PPL!B:M,12,0)</f>
        <v>129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100</v>
      </c>
      <c r="F17">
        <v>101</v>
      </c>
      <c r="G17">
        <f>VLOOKUP(A17,PPL!B:M,12,0)</f>
        <v>119</v>
      </c>
      <c r="H17">
        <f t="shared" si="0"/>
        <v>18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106</v>
      </c>
      <c r="F18">
        <v>110</v>
      </c>
      <c r="G18">
        <f>VLOOKUP(A18,PPL!B:M,12,0)</f>
        <v>119</v>
      </c>
      <c r="H18">
        <f t="shared" si="0"/>
        <v>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101</v>
      </c>
      <c r="F19">
        <v>112</v>
      </c>
      <c r="G19">
        <f>VLOOKUP(A19,PPL!B:M,12,0)</f>
        <v>125</v>
      </c>
      <c r="H19">
        <f t="shared" si="0"/>
        <v>13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91</v>
      </c>
      <c r="F20">
        <v>104</v>
      </c>
      <c r="G20">
        <f>VLOOKUP(A20,PPL!B:M,12,0)</f>
        <v>107</v>
      </c>
      <c r="H20">
        <f t="shared" si="0"/>
        <v>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73</v>
      </c>
      <c r="F21">
        <v>79</v>
      </c>
      <c r="G21">
        <f>VLOOKUP(A21,PPL!B:M,12,0)</f>
        <v>94</v>
      </c>
      <c r="H21">
        <f t="shared" si="0"/>
        <v>15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121</v>
      </c>
      <c r="F22">
        <v>121</v>
      </c>
      <c r="G22">
        <f>VLOOKUP(A22,PPL!B:M,12,0)</f>
        <v>137</v>
      </c>
      <c r="H22">
        <f t="shared" si="0"/>
        <v>16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122</v>
      </c>
      <c r="F23">
        <v>122</v>
      </c>
      <c r="G23">
        <f>VLOOKUP(A23,PPL!B:M,12,0)</f>
        <v>145</v>
      </c>
      <c r="H23">
        <f t="shared" si="0"/>
        <v>23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84</v>
      </c>
      <c r="F24">
        <v>92</v>
      </c>
      <c r="G24">
        <f>VLOOKUP(A24,PPL!B:M,12,0)</f>
        <v>114</v>
      </c>
      <c r="H24">
        <f t="shared" si="0"/>
        <v>22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80</v>
      </c>
      <c r="F25">
        <v>90</v>
      </c>
      <c r="G25">
        <f>VLOOKUP(A25,PPL!B:M,12,0)</f>
        <v>101</v>
      </c>
      <c r="H25">
        <f t="shared" si="0"/>
        <v>11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85</v>
      </c>
      <c r="F26">
        <v>95</v>
      </c>
      <c r="G26">
        <f>VLOOKUP(A26,PPL!B:M,12,0)</f>
        <v>112</v>
      </c>
      <c r="H26">
        <f t="shared" si="0"/>
        <v>17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75</v>
      </c>
      <c r="F27">
        <v>88</v>
      </c>
      <c r="G27">
        <f>VLOOKUP(A27,PPL!B:M,12,0)</f>
        <v>90</v>
      </c>
      <c r="H27">
        <f t="shared" si="0"/>
        <v>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92</v>
      </c>
      <c r="F28">
        <v>100</v>
      </c>
      <c r="G28">
        <f>VLOOKUP(A28,PPL!B:M,12,0)</f>
        <v>109</v>
      </c>
      <c r="H28">
        <f t="shared" si="0"/>
        <v>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50</v>
      </c>
      <c r="F29">
        <v>58</v>
      </c>
      <c r="G29">
        <f>VLOOKUP(A29,PPL!B:M,12,0)</f>
        <v>58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105</v>
      </c>
      <c r="F30">
        <v>111</v>
      </c>
      <c r="G30">
        <f>VLOOKUP(A30,PPL!B:M,12,0)</f>
        <v>119</v>
      </c>
      <c r="H30">
        <f t="shared" si="0"/>
        <v>8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87</v>
      </c>
      <c r="F31">
        <v>95</v>
      </c>
      <c r="G31">
        <f>VLOOKUP(A31,PPL!B:M,12,0)</f>
        <v>112</v>
      </c>
      <c r="H31">
        <f t="shared" si="0"/>
        <v>17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58</v>
      </c>
      <c r="F32">
        <v>64</v>
      </c>
      <c r="G32">
        <f>VLOOKUP(A32,PPL!B:M,12,0)</f>
        <v>66</v>
      </c>
      <c r="H32">
        <f t="shared" si="0"/>
        <v>2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58</v>
      </c>
      <c r="F33">
        <v>80</v>
      </c>
      <c r="G33">
        <f>VLOOKUP(A33,PPL!B:M,12,0)</f>
        <v>95</v>
      </c>
      <c r="H33">
        <f t="shared" si="0"/>
        <v>15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83</v>
      </c>
      <c r="F34">
        <v>98</v>
      </c>
      <c r="G34">
        <f>VLOOKUP(A34,PPL!B:M,12,0)</f>
        <v>111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98</v>
      </c>
      <c r="F35">
        <v>102</v>
      </c>
      <c r="G35">
        <f>VLOOKUP(A35,PPL!B:M,12,0)</f>
        <v>115</v>
      </c>
      <c r="H35">
        <f t="shared" si="0"/>
        <v>13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67</v>
      </c>
      <c r="F36">
        <v>74</v>
      </c>
      <c r="G36">
        <f>VLOOKUP(A36,PPL!B:M,12,0)</f>
        <v>84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68</v>
      </c>
      <c r="F37">
        <v>68</v>
      </c>
      <c r="G37">
        <f>VLOOKUP(A37,PPL!B:M,12,0)</f>
        <v>87</v>
      </c>
      <c r="H37">
        <f t="shared" si="0"/>
        <v>19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173</v>
      </c>
      <c r="F38">
        <v>189</v>
      </c>
      <c r="G38">
        <f>VLOOKUP(A38,PPL!B:M,12,0)</f>
        <v>201</v>
      </c>
      <c r="H38">
        <f t="shared" si="0"/>
        <v>12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92</v>
      </c>
      <c r="F39">
        <v>111</v>
      </c>
      <c r="G39">
        <f>VLOOKUP(A39,PPL!B:M,12,0)</f>
        <v>120</v>
      </c>
      <c r="H39">
        <f t="shared" si="0"/>
        <v>9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71</v>
      </c>
      <c r="F40">
        <v>86</v>
      </c>
      <c r="G40">
        <f>VLOOKUP(A40,PPL!B:M,12,0)</f>
        <v>99</v>
      </c>
      <c r="H40">
        <f t="shared" si="0"/>
        <v>13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46</v>
      </c>
      <c r="F41">
        <v>58</v>
      </c>
      <c r="G41">
        <f>VLOOKUP(A41,PPL!B:M,12,0)</f>
        <v>58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54</v>
      </c>
      <c r="F42">
        <v>55</v>
      </c>
      <c r="G42">
        <f>VLOOKUP(A42,PPL!B:M,12,0)</f>
        <v>65</v>
      </c>
      <c r="H42">
        <f t="shared" si="0"/>
        <v>10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56</v>
      </c>
      <c r="F43">
        <v>64</v>
      </c>
      <c r="G43">
        <f>VLOOKUP(A43,PPL!B:M,12,0)</f>
        <v>64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50</v>
      </c>
      <c r="F44">
        <v>65</v>
      </c>
      <c r="G44">
        <f>VLOOKUP(A44,PPL!B:M,12,0)</f>
        <v>76</v>
      </c>
      <c r="H44">
        <f t="shared" si="0"/>
        <v>11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113</v>
      </c>
      <c r="F45">
        <v>120</v>
      </c>
      <c r="G45">
        <f>VLOOKUP(A45,PPL!B:M,12,0)</f>
        <v>129</v>
      </c>
      <c r="H45">
        <f t="shared" si="0"/>
        <v>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37</v>
      </c>
      <c r="F46">
        <v>40</v>
      </c>
      <c r="G46">
        <f>VLOOKUP(A46,PPL!B:M,12,0)</f>
        <v>41</v>
      </c>
      <c r="H46">
        <f t="shared" si="0"/>
        <v>1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83</v>
      </c>
      <c r="F47">
        <v>104</v>
      </c>
      <c r="G47">
        <f>VLOOKUP(A47,PPL!B:M,12,0)</f>
        <v>120</v>
      </c>
      <c r="H47">
        <f t="shared" si="0"/>
        <v>16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98</v>
      </c>
      <c r="F48">
        <v>108</v>
      </c>
      <c r="G48">
        <f>VLOOKUP(A48,PPL!B:M,12,0)</f>
        <v>119</v>
      </c>
      <c r="H48">
        <f t="shared" si="0"/>
        <v>11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97</v>
      </c>
      <c r="F49">
        <v>110</v>
      </c>
      <c r="G49">
        <f>VLOOKUP(A49,PPL!B:M,12,0)</f>
        <v>122</v>
      </c>
      <c r="H49">
        <f t="shared" si="0"/>
        <v>12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61</v>
      </c>
      <c r="F50">
        <v>88</v>
      </c>
      <c r="G50">
        <f>VLOOKUP(A50,PPL!B:M,12,0)</f>
        <v>88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80</v>
      </c>
      <c r="F51">
        <v>93</v>
      </c>
      <c r="G51">
        <f>VLOOKUP(A51,PPL!B:M,12,0)</f>
        <v>107</v>
      </c>
      <c r="H51">
        <f t="shared" si="0"/>
        <v>14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73</v>
      </c>
      <c r="F52">
        <v>87</v>
      </c>
      <c r="G52">
        <f>VLOOKUP(A52,PPL!B:M,12,0)</f>
        <v>100</v>
      </c>
      <c r="H52">
        <f t="shared" si="0"/>
        <v>13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72</v>
      </c>
      <c r="F53">
        <v>85</v>
      </c>
      <c r="G53">
        <f>VLOOKUP(A53,PPL!B:M,12,0)</f>
        <v>97</v>
      </c>
      <c r="H53">
        <f t="shared" si="0"/>
        <v>12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96</v>
      </c>
      <c r="F54">
        <v>101</v>
      </c>
      <c r="G54">
        <f>VLOOKUP(A54,PPL!B:M,12,0)</f>
        <v>119</v>
      </c>
      <c r="H54">
        <f t="shared" si="0"/>
        <v>18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91</v>
      </c>
      <c r="F55">
        <v>94</v>
      </c>
      <c r="G55">
        <f>VLOOKUP(A55,PPL!B:M,12,0)</f>
        <v>101</v>
      </c>
      <c r="H55">
        <f t="shared" si="0"/>
        <v>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109</v>
      </c>
      <c r="F56">
        <v>117</v>
      </c>
      <c r="G56">
        <f>VLOOKUP(A56,PPL!B:M,12,0)</f>
        <v>139</v>
      </c>
      <c r="H56">
        <f t="shared" si="0"/>
        <v>22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77</v>
      </c>
      <c r="F57">
        <v>77</v>
      </c>
      <c r="G57">
        <f>VLOOKUP(A57,PPL!B:M,12,0)</f>
        <v>77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77</v>
      </c>
      <c r="F58">
        <v>80</v>
      </c>
      <c r="G58">
        <f>VLOOKUP(A58,PPL!B:M,12,0)</f>
        <v>87</v>
      </c>
      <c r="H58">
        <f t="shared" si="0"/>
        <v>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55</v>
      </c>
      <c r="F59">
        <v>64</v>
      </c>
      <c r="G59">
        <f>VLOOKUP(A59,PPL!B:M,12,0)</f>
        <v>75</v>
      </c>
      <c r="H59">
        <f t="shared" si="0"/>
        <v>11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91</v>
      </c>
      <c r="F60">
        <v>94</v>
      </c>
      <c r="G60">
        <f>VLOOKUP(A60,PPL!B:M,12,0)</f>
        <v>104</v>
      </c>
      <c r="H60">
        <f t="shared" si="0"/>
        <v>10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57</v>
      </c>
      <c r="F61">
        <v>73</v>
      </c>
      <c r="G61">
        <f>VLOOKUP(A61,PPL!B:M,12,0)</f>
        <v>78</v>
      </c>
      <c r="H61">
        <f t="shared" si="0"/>
        <v>5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96</v>
      </c>
      <c r="F62">
        <v>107</v>
      </c>
      <c r="G62">
        <f>VLOOKUP(A62,PPL!B:M,12,0)</f>
        <v>114</v>
      </c>
      <c r="H62">
        <f t="shared" si="0"/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121</v>
      </c>
      <c r="F63">
        <v>134</v>
      </c>
      <c r="G63">
        <f>VLOOKUP(A63,PPL!B:M,12,0)</f>
        <v>153</v>
      </c>
      <c r="H63">
        <f t="shared" si="0"/>
        <v>19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104</v>
      </c>
      <c r="F64">
        <v>104</v>
      </c>
      <c r="G64">
        <f>VLOOKUP(A64,PPL!B:M,12,0)</f>
        <v>110</v>
      </c>
      <c r="H64">
        <f t="shared" si="0"/>
        <v>6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82</v>
      </c>
      <c r="F65">
        <v>91</v>
      </c>
      <c r="G65">
        <f>VLOOKUP(A65,PPL!B:M,12,0)</f>
        <v>103</v>
      </c>
      <c r="H65">
        <f t="shared" si="0"/>
        <v>12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85</v>
      </c>
      <c r="F66">
        <v>93</v>
      </c>
      <c r="G66">
        <f>VLOOKUP(A66,PPL!B:M,12,0)</f>
        <v>106</v>
      </c>
      <c r="H66">
        <f t="shared" ref="H66:H129" si="2">G66-F66</f>
        <v>13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81</v>
      </c>
      <c r="F67">
        <v>92</v>
      </c>
      <c r="G67">
        <f>VLOOKUP(A67,PPL!B:M,12,0)</f>
        <v>99</v>
      </c>
      <c r="H67">
        <f t="shared" si="2"/>
        <v>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104</v>
      </c>
      <c r="F68">
        <v>112</v>
      </c>
      <c r="G68">
        <f>VLOOKUP(A68,PPL!B:M,12,0)</f>
        <v>117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68</v>
      </c>
      <c r="F69">
        <v>69</v>
      </c>
      <c r="G69">
        <f>VLOOKUP(A69,PPL!B:M,12,0)</f>
        <v>74</v>
      </c>
      <c r="H69">
        <f t="shared" si="2"/>
        <v>5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59</v>
      </c>
      <c r="F70">
        <v>71</v>
      </c>
      <c r="G70">
        <f>VLOOKUP(A70,PPL!B:M,12,0)</f>
        <v>71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54</v>
      </c>
      <c r="F71">
        <v>60</v>
      </c>
      <c r="G71">
        <f>VLOOKUP(A71,PPL!B:M,12,0)</f>
        <v>62</v>
      </c>
      <c r="H71">
        <f t="shared" si="2"/>
        <v>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58</v>
      </c>
      <c r="F72">
        <v>63</v>
      </c>
      <c r="G72">
        <f>VLOOKUP(A72,PPL!B:M,12,0)</f>
        <v>63</v>
      </c>
      <c r="H72">
        <f t="shared" si="2"/>
        <v>0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90</v>
      </c>
      <c r="F73">
        <v>90</v>
      </c>
      <c r="G73">
        <f>VLOOKUP(A73,PPL!B:M,12,0)</f>
        <v>92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62</v>
      </c>
      <c r="F74">
        <v>68</v>
      </c>
      <c r="G74">
        <f>VLOOKUP(A74,PPL!B:M,12,0)</f>
        <v>75</v>
      </c>
      <c r="H74">
        <f t="shared" si="2"/>
        <v>7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32</v>
      </c>
      <c r="F75">
        <v>49</v>
      </c>
      <c r="G75">
        <f>VLOOKUP(A75,PPL!B:M,12,0)</f>
        <v>52</v>
      </c>
      <c r="H75">
        <f t="shared" si="2"/>
        <v>3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52</v>
      </c>
      <c r="F76">
        <v>56</v>
      </c>
      <c r="G76">
        <f>VLOOKUP(A76,PPL!B:M,12,0)</f>
        <v>56</v>
      </c>
      <c r="H76">
        <f t="shared" si="2"/>
        <v>0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46</v>
      </c>
      <c r="F77">
        <v>56</v>
      </c>
      <c r="G77">
        <f>VLOOKUP(A77,PPL!B:M,12,0)</f>
        <v>62</v>
      </c>
      <c r="H77">
        <f t="shared" si="2"/>
        <v>6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50</v>
      </c>
      <c r="F78">
        <v>56</v>
      </c>
      <c r="G78">
        <f>VLOOKUP(A78,PPL!B:M,12,0)</f>
        <v>68</v>
      </c>
      <c r="H78">
        <f t="shared" si="2"/>
        <v>12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57</v>
      </c>
      <c r="F79">
        <v>57</v>
      </c>
      <c r="G79">
        <f>VLOOKUP(A79,PPL!B:M,12,0)</f>
        <v>65</v>
      </c>
      <c r="H79">
        <f t="shared" si="2"/>
        <v>8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42</v>
      </c>
      <c r="F80">
        <v>43</v>
      </c>
      <c r="G80">
        <f>VLOOKUP(A80,PPL!B:M,12,0)</f>
        <v>43</v>
      </c>
      <c r="H80">
        <f t="shared" si="2"/>
        <v>0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49</v>
      </c>
      <c r="F81">
        <v>49</v>
      </c>
      <c r="G81">
        <f>VLOOKUP(A81,PPL!B:M,12,0)</f>
        <v>63</v>
      </c>
      <c r="H81">
        <f t="shared" si="2"/>
        <v>14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50</v>
      </c>
      <c r="F82">
        <v>53</v>
      </c>
      <c r="G82">
        <f>VLOOKUP(A82,PPL!B:M,12,0)</f>
        <v>56</v>
      </c>
      <c r="H82">
        <f t="shared" si="2"/>
        <v>3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57</v>
      </c>
      <c r="F83">
        <v>68</v>
      </c>
      <c r="G83">
        <f>VLOOKUP(A83,PPL!B:M,12,0)</f>
        <v>75</v>
      </c>
      <c r="H83">
        <f t="shared" si="2"/>
        <v>7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65</v>
      </c>
      <c r="F84">
        <v>65</v>
      </c>
      <c r="G84">
        <f>VLOOKUP(A84,PPL!B:M,12,0)</f>
        <v>78</v>
      </c>
      <c r="H84">
        <f t="shared" si="2"/>
        <v>13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45</v>
      </c>
      <c r="F85">
        <v>49</v>
      </c>
      <c r="G85">
        <f>VLOOKUP(A85,PPL!B:M,12,0)</f>
        <v>66</v>
      </c>
      <c r="H85">
        <f t="shared" si="2"/>
        <v>17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72</v>
      </c>
      <c r="F86">
        <v>91</v>
      </c>
      <c r="G86">
        <f>VLOOKUP(A86,PPL!B:M,12,0)</f>
        <v>96</v>
      </c>
      <c r="H86">
        <f t="shared" si="2"/>
        <v>5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108</v>
      </c>
      <c r="F87">
        <v>109</v>
      </c>
      <c r="G87">
        <f>VLOOKUP(A87,PPL!B:M,12,0)</f>
        <v>109</v>
      </c>
      <c r="H87">
        <f t="shared" si="2"/>
        <v>0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99</v>
      </c>
      <c r="F88">
        <v>99</v>
      </c>
      <c r="G88">
        <f>VLOOKUP(A88,PPL!B:M,12,0)</f>
        <v>106</v>
      </c>
      <c r="H88">
        <f t="shared" si="2"/>
        <v>7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68</v>
      </c>
      <c r="F89">
        <v>75</v>
      </c>
      <c r="G89">
        <f>VLOOKUP(A89,PPL!B:M,12,0)</f>
        <v>77</v>
      </c>
      <c r="H89">
        <f t="shared" si="2"/>
        <v>2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57</v>
      </c>
      <c r="F90">
        <v>60</v>
      </c>
      <c r="G90">
        <f>VLOOKUP(A90,PPL!B:M,12,0)</f>
        <v>60</v>
      </c>
      <c r="H90">
        <f t="shared" si="2"/>
        <v>0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80</v>
      </c>
      <c r="F91">
        <v>122</v>
      </c>
      <c r="G91">
        <f>VLOOKUP(A91,PPL!B:M,12,0)</f>
        <v>137</v>
      </c>
      <c r="H91">
        <f t="shared" si="2"/>
        <v>15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</v>
      </c>
      <c r="F92">
        <v>77</v>
      </c>
      <c r="G92">
        <f>VLOOKUP(A92,PPL!B:M,12,0)</f>
        <v>84</v>
      </c>
      <c r="H92">
        <f t="shared" si="2"/>
        <v>7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86</v>
      </c>
      <c r="F93">
        <v>97</v>
      </c>
      <c r="G93">
        <f>VLOOKUP(A93,PPL!B:M,12,0)</f>
        <v>98</v>
      </c>
      <c r="H93">
        <f t="shared" si="2"/>
        <v>1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72</v>
      </c>
      <c r="F94">
        <v>75</v>
      </c>
      <c r="G94">
        <f>VLOOKUP(A94,PPL!B:M,12,0)</f>
        <v>80</v>
      </c>
      <c r="H94">
        <f t="shared" si="2"/>
        <v>5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73</v>
      </c>
      <c r="F95">
        <v>88</v>
      </c>
      <c r="G95">
        <f>VLOOKUP(A95,PPL!B:M,12,0)</f>
        <v>92</v>
      </c>
      <c r="H95">
        <f t="shared" si="2"/>
        <v>4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78</v>
      </c>
      <c r="F96">
        <v>82</v>
      </c>
      <c r="G96">
        <f>VLOOKUP(A96,PPL!B:M,12,0)</f>
        <v>106</v>
      </c>
      <c r="H96">
        <f t="shared" si="2"/>
        <v>24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116</v>
      </c>
      <c r="F97">
        <v>130</v>
      </c>
      <c r="G97">
        <f>VLOOKUP(A97,PPL!B:M,12,0)</f>
        <v>135</v>
      </c>
      <c r="H97">
        <f t="shared" si="2"/>
        <v>5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40</v>
      </c>
      <c r="F98">
        <v>76</v>
      </c>
      <c r="G98">
        <f>VLOOKUP(A98,PPL!B:M,12,0)</f>
        <v>77</v>
      </c>
      <c r="H98">
        <f t="shared" si="2"/>
        <v>1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117</v>
      </c>
      <c r="F99">
        <v>136</v>
      </c>
      <c r="G99">
        <f>VLOOKUP(A99,PPL!B:M,12,0)</f>
        <v>151</v>
      </c>
      <c r="H99">
        <f t="shared" si="2"/>
        <v>15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105</v>
      </c>
      <c r="F100">
        <v>117</v>
      </c>
      <c r="G100">
        <f>VLOOKUP(A100,PPL!B:M,12,0)</f>
        <v>132</v>
      </c>
      <c r="H100">
        <f t="shared" si="2"/>
        <v>15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91</v>
      </c>
      <c r="F101">
        <v>91</v>
      </c>
      <c r="G101">
        <f>VLOOKUP(A101,PPL!B:M,12,0)</f>
        <v>100</v>
      </c>
      <c r="H101">
        <f t="shared" si="2"/>
        <v>9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63</v>
      </c>
      <c r="F102">
        <v>71</v>
      </c>
      <c r="G102">
        <f>VLOOKUP(A102,PPL!B:M,12,0)</f>
        <v>86</v>
      </c>
      <c r="H102">
        <f t="shared" si="2"/>
        <v>15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99</v>
      </c>
      <c r="F103">
        <v>112</v>
      </c>
      <c r="G103">
        <f>VLOOKUP(A103,PPL!B:M,12,0)</f>
        <v>113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67</v>
      </c>
      <c r="F104">
        <v>73</v>
      </c>
      <c r="G104">
        <f>VLOOKUP(A104,PPL!B:M,12,0)</f>
        <v>87</v>
      </c>
      <c r="H104">
        <f t="shared" si="2"/>
        <v>14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79</v>
      </c>
      <c r="F105">
        <v>85</v>
      </c>
      <c r="G105">
        <f>VLOOKUP(A105,PPL!B:M,12,0)</f>
        <v>97</v>
      </c>
      <c r="H105">
        <f t="shared" si="2"/>
        <v>12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68</v>
      </c>
      <c r="F106">
        <v>77</v>
      </c>
      <c r="G106">
        <f>VLOOKUP(A106,PPL!B:M,12,0)</f>
        <v>113</v>
      </c>
      <c r="H106">
        <f t="shared" si="2"/>
        <v>36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90</v>
      </c>
      <c r="F107">
        <v>96</v>
      </c>
      <c r="G107">
        <f>VLOOKUP(A107,PPL!B:M,12,0)</f>
        <v>107</v>
      </c>
      <c r="H107">
        <f t="shared" si="2"/>
        <v>11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115</v>
      </c>
      <c r="F108">
        <v>119</v>
      </c>
      <c r="G108">
        <f>VLOOKUP(A108,PPL!B:M,12,0)</f>
        <v>143</v>
      </c>
      <c r="H108">
        <f t="shared" si="2"/>
        <v>24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78</v>
      </c>
      <c r="F109">
        <v>92</v>
      </c>
      <c r="G109">
        <f>VLOOKUP(A109,PPL!B:M,12,0)</f>
        <v>107</v>
      </c>
      <c r="H109">
        <f t="shared" si="2"/>
        <v>15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78</v>
      </c>
      <c r="F110">
        <v>90</v>
      </c>
      <c r="G110">
        <f>VLOOKUP(A110,PPL!B:M,12,0)</f>
        <v>99</v>
      </c>
      <c r="H110">
        <f t="shared" si="2"/>
        <v>9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84</v>
      </c>
      <c r="F111">
        <v>92</v>
      </c>
      <c r="G111">
        <f>VLOOKUP(A111,PPL!B:M,12,0)</f>
        <v>105</v>
      </c>
      <c r="H111">
        <f t="shared" si="2"/>
        <v>13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142</v>
      </c>
      <c r="F112">
        <v>143</v>
      </c>
      <c r="G112">
        <f>VLOOKUP(A112,PPL!B:M,12,0)</f>
        <v>159</v>
      </c>
      <c r="H112">
        <f t="shared" si="2"/>
        <v>16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81</v>
      </c>
      <c r="F113">
        <v>94</v>
      </c>
      <c r="G113">
        <f>VLOOKUP(A113,PPL!B:M,12,0)</f>
        <v>108</v>
      </c>
      <c r="H113">
        <f t="shared" si="2"/>
        <v>14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43</v>
      </c>
      <c r="F114">
        <v>52</v>
      </c>
      <c r="G114">
        <f>VLOOKUP(A114,PPL!B:M,12,0)</f>
        <v>60</v>
      </c>
      <c r="H114">
        <f t="shared" si="2"/>
        <v>8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v>44</v>
      </c>
      <c r="G115">
        <f>VLOOKUP(A115,PPL!B:M,12,0)</f>
        <v>44</v>
      </c>
      <c r="H115">
        <f t="shared" si="2"/>
        <v>0</v>
      </c>
      <c r="I115" t="b">
        <f t="shared" si="3"/>
        <v>1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63</v>
      </c>
      <c r="F116">
        <v>74</v>
      </c>
      <c r="G116">
        <f>VLOOKUP(A116,PPL!B:M,12,0)</f>
        <v>84</v>
      </c>
      <c r="H116">
        <f t="shared" si="2"/>
        <v>10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80</v>
      </c>
      <c r="F117">
        <v>88</v>
      </c>
      <c r="G117">
        <f>VLOOKUP(A117,PPL!B:M,12,0)</f>
        <v>90</v>
      </c>
      <c r="H117">
        <f t="shared" si="2"/>
        <v>2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57</v>
      </c>
      <c r="F118">
        <v>86</v>
      </c>
      <c r="G118">
        <f>VLOOKUP(A118,PPL!B:M,12,0)</f>
        <v>88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109</v>
      </c>
      <c r="F119">
        <v>129</v>
      </c>
      <c r="G119">
        <f>VLOOKUP(A119,PPL!B:M,12,0)</f>
        <v>154</v>
      </c>
      <c r="H119">
        <f t="shared" si="2"/>
        <v>25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178</v>
      </c>
      <c r="F120">
        <v>182</v>
      </c>
      <c r="G120">
        <f>VLOOKUP(A120,PPL!B:M,12,0)</f>
        <v>196</v>
      </c>
      <c r="H120">
        <f t="shared" si="2"/>
        <v>14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127</v>
      </c>
      <c r="F121">
        <v>137</v>
      </c>
      <c r="G121">
        <f>VLOOKUP(A121,PPL!B:M,12,0)</f>
        <v>142</v>
      </c>
      <c r="H121">
        <f t="shared" si="2"/>
        <v>5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61</v>
      </c>
      <c r="F122">
        <v>72</v>
      </c>
      <c r="G122">
        <f>VLOOKUP(A122,PPL!B:M,12,0)</f>
        <v>84</v>
      </c>
      <c r="H122">
        <f t="shared" si="2"/>
        <v>12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104</v>
      </c>
      <c r="F123">
        <v>123</v>
      </c>
      <c r="G123">
        <f>VLOOKUP(A123,PPL!B:M,12,0)</f>
        <v>142</v>
      </c>
      <c r="H123">
        <f t="shared" si="2"/>
        <v>19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49</v>
      </c>
      <c r="F124">
        <v>63</v>
      </c>
      <c r="G124">
        <f>VLOOKUP(A124,PPL!B:M,12,0)</f>
        <v>78</v>
      </c>
      <c r="H124">
        <f t="shared" si="2"/>
        <v>15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70</v>
      </c>
      <c r="F125">
        <v>74</v>
      </c>
      <c r="G125">
        <f>VLOOKUP(A125,PPL!B:M,12,0)</f>
        <v>85</v>
      </c>
      <c r="H125">
        <f t="shared" si="2"/>
        <v>11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63</v>
      </c>
      <c r="F126">
        <v>73</v>
      </c>
      <c r="G126">
        <f>VLOOKUP(A126,PPL!B:M,12,0)</f>
        <v>74</v>
      </c>
      <c r="H126">
        <f t="shared" si="2"/>
        <v>1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64</v>
      </c>
      <c r="F127">
        <v>78</v>
      </c>
      <c r="G127">
        <f>VLOOKUP(A127,PPL!B:M,12,0)</f>
        <v>89</v>
      </c>
      <c r="H127">
        <f t="shared" si="2"/>
        <v>11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73</v>
      </c>
      <c r="F128">
        <v>78</v>
      </c>
      <c r="G128">
        <f>VLOOKUP(A128,PPL!B:M,12,0)</f>
        <v>89</v>
      </c>
      <c r="H128">
        <f t="shared" si="2"/>
        <v>11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62</v>
      </c>
      <c r="F129">
        <v>72</v>
      </c>
      <c r="G129">
        <f>VLOOKUP(A129,PPL!B:M,12,0)</f>
        <v>78</v>
      </c>
      <c r="H129">
        <f t="shared" si="2"/>
        <v>6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41</v>
      </c>
      <c r="F130">
        <v>58</v>
      </c>
      <c r="G130">
        <f>VLOOKUP(A130,PPL!B:M,12,0)</f>
        <v>73</v>
      </c>
      <c r="H130">
        <f t="shared" ref="H130:H158" si="4">G130-F130</f>
        <v>15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67</v>
      </c>
      <c r="F131">
        <v>82</v>
      </c>
      <c r="G131">
        <f>VLOOKUP(A131,PPL!B:M,12,0)</f>
        <v>84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65</v>
      </c>
      <c r="F132">
        <v>86</v>
      </c>
      <c r="G132">
        <f>VLOOKUP(A132,PPL!B:M,12,0)</f>
        <v>107</v>
      </c>
      <c r="H132">
        <f t="shared" si="4"/>
        <v>21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32</v>
      </c>
      <c r="F133">
        <v>34</v>
      </c>
      <c r="G133">
        <f>VLOOKUP(A133,PPL!B:M,12,0)</f>
        <v>45</v>
      </c>
      <c r="H133">
        <f t="shared" si="4"/>
        <v>11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60</v>
      </c>
      <c r="F134">
        <v>69</v>
      </c>
      <c r="G134">
        <f>VLOOKUP(A134,PPL!B:M,12,0)</f>
        <v>81</v>
      </c>
      <c r="H134">
        <f t="shared" si="4"/>
        <v>12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90</v>
      </c>
      <c r="F135">
        <v>91</v>
      </c>
      <c r="G135">
        <f>VLOOKUP(A135,PPL!B:M,12,0)</f>
        <v>118</v>
      </c>
      <c r="H135">
        <f t="shared" si="4"/>
        <v>27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118</v>
      </c>
      <c r="F136">
        <v>133</v>
      </c>
      <c r="G136">
        <f>VLOOKUP(A136,PPL!B:M,12,0)</f>
        <v>180</v>
      </c>
      <c r="H136">
        <f t="shared" si="4"/>
        <v>47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70</v>
      </c>
      <c r="F137">
        <v>74</v>
      </c>
      <c r="G137">
        <f>VLOOKUP(A137,PPL!B:M,12,0)</f>
        <v>83</v>
      </c>
      <c r="H137">
        <f t="shared" si="4"/>
        <v>9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0</v>
      </c>
      <c r="F138">
        <v>22</v>
      </c>
      <c r="G138">
        <f>VLOOKUP(A138,PPL!B:M,12,0)</f>
        <v>37</v>
      </c>
      <c r="H138">
        <f t="shared" si="4"/>
        <v>15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0</v>
      </c>
      <c r="F139">
        <v>3</v>
      </c>
      <c r="G139">
        <f>VLOOKUP(A139,PPL!B:M,12,0)</f>
        <v>13</v>
      </c>
      <c r="H139">
        <f t="shared" si="4"/>
        <v>10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93</v>
      </c>
      <c r="F140">
        <v>143</v>
      </c>
      <c r="G140">
        <f>VLOOKUP(A140,PML!A:K,11,0)</f>
        <v>165</v>
      </c>
      <c r="H140">
        <f t="shared" si="4"/>
        <v>22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18</v>
      </c>
      <c r="F141">
        <v>52</v>
      </c>
      <c r="G141">
        <f>VLOOKUP(A141,PML!A:K,11,0)</f>
        <v>52</v>
      </c>
      <c r="H141">
        <f t="shared" si="4"/>
        <v>0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44</v>
      </c>
      <c r="F142">
        <v>102</v>
      </c>
      <c r="G142">
        <f>VLOOKUP(A142,PML!A:K,11,0)</f>
        <v>113</v>
      </c>
      <c r="H142">
        <f t="shared" si="4"/>
        <v>11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272</v>
      </c>
      <c r="F143">
        <v>483</v>
      </c>
      <c r="G143">
        <f>VLOOKUP(A143,PML!A:K,11,0)</f>
        <v>482</v>
      </c>
      <c r="H143">
        <f t="shared" si="4"/>
        <v>-1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62</v>
      </c>
      <c r="F144">
        <v>101</v>
      </c>
      <c r="G144">
        <f>VLOOKUP(A144,PML!A:K,11,0)</f>
        <v>176</v>
      </c>
      <c r="H144">
        <f t="shared" si="4"/>
        <v>75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3</v>
      </c>
      <c r="F145">
        <v>33</v>
      </c>
      <c r="G145">
        <f>VLOOKUP(A145,PML!A:K,11,0)</f>
        <v>34</v>
      </c>
      <c r="H145">
        <f t="shared" si="4"/>
        <v>1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8</v>
      </c>
      <c r="F146">
        <v>28</v>
      </c>
      <c r="G146">
        <f>VLOOKUP(A146,PML!A:K,11,0)</f>
        <v>35</v>
      </c>
      <c r="H146">
        <f t="shared" si="4"/>
        <v>7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11</v>
      </c>
      <c r="F147">
        <v>11</v>
      </c>
      <c r="G147">
        <f>VLOOKUP(A147,PML!A:K,11,0)</f>
        <v>20</v>
      </c>
      <c r="H147">
        <f t="shared" si="4"/>
        <v>9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88</v>
      </c>
      <c r="F148">
        <v>278</v>
      </c>
      <c r="G148">
        <f>VLOOKUP(A148,PML!A:K,11,0)</f>
        <v>183</v>
      </c>
      <c r="H148">
        <f t="shared" si="4"/>
        <v>-95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89</v>
      </c>
      <c r="F149">
        <v>112</v>
      </c>
      <c r="G149">
        <f>VLOOKUP(A149,PML!A:K,11,0)</f>
        <v>135</v>
      </c>
      <c r="H149">
        <f t="shared" si="4"/>
        <v>23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8</v>
      </c>
      <c r="F150">
        <v>5</v>
      </c>
      <c r="G150">
        <f>VLOOKUP(A150,PML!A:K,11,0)</f>
        <v>9</v>
      </c>
      <c r="H150">
        <f t="shared" si="4"/>
        <v>4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85</v>
      </c>
      <c r="F151">
        <v>150</v>
      </c>
      <c r="G151">
        <f>VLOOKUP(A151,PML!A:K,11,0)</f>
        <v>150</v>
      </c>
      <c r="H151">
        <f t="shared" si="4"/>
        <v>0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33</v>
      </c>
      <c r="F152">
        <v>34</v>
      </c>
      <c r="G152">
        <f>VLOOKUP(A152,PML!A:K,11,0)</f>
        <v>34</v>
      </c>
      <c r="H152">
        <f t="shared" si="4"/>
        <v>0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53</v>
      </c>
      <c r="F153">
        <v>84</v>
      </c>
      <c r="G153">
        <f>VLOOKUP(A153,PML!A:K,11,0)</f>
        <v>186</v>
      </c>
      <c r="H153">
        <f t="shared" si="4"/>
        <v>102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134</v>
      </c>
      <c r="F154">
        <v>132</v>
      </c>
      <c r="G154">
        <f>VLOOKUP(A154,PML!A:K,11,0)</f>
        <v>132</v>
      </c>
      <c r="H154">
        <f t="shared" si="4"/>
        <v>0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220</v>
      </c>
      <c r="F155">
        <v>264</v>
      </c>
      <c r="G155">
        <f>VLOOKUP(A155,PML!A:K,11,0)</f>
        <v>347</v>
      </c>
      <c r="H155">
        <f t="shared" si="4"/>
        <v>83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320</v>
      </c>
      <c r="F156">
        <v>462</v>
      </c>
      <c r="G156">
        <f>VLOOKUP(A156,PML!A:K,11,0)</f>
        <v>601</v>
      </c>
      <c r="H156">
        <f t="shared" si="4"/>
        <v>139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7</v>
      </c>
      <c r="F157">
        <v>39</v>
      </c>
      <c r="G157">
        <f>VLOOKUP(A157,PML!A:K,11,0)</f>
        <v>31</v>
      </c>
      <c r="H157">
        <f t="shared" si="4"/>
        <v>-8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79</v>
      </c>
      <c r="F158">
        <v>127</v>
      </c>
      <c r="G158">
        <f>VLOOKUP(A158,PML!A:K,11,0)</f>
        <v>109</v>
      </c>
      <c r="H158">
        <f t="shared" si="4"/>
        <v>-18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topLeftCell="A94" workbookViewId="0">
      <selection activeCell="C112" sqref="C11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</row>
    <row r="2" spans="1:13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594</v>
      </c>
      <c r="F2">
        <f>SUMIF(DATA!$A:$A,PPL!$A2,DATA!D:D)</f>
        <v>4</v>
      </c>
      <c r="G2">
        <f>SUMIF(DATA!$A:$A,PPL!$A2,DATA!E:E)</f>
        <v>15</v>
      </c>
      <c r="H2">
        <f>SUMIF(DATA!$A:$A,PPL!$A2,DATA!F:F)</f>
        <v>480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95</v>
      </c>
      <c r="L2">
        <f>SUMIF(DATA!$A:$A,PPL!$A2,DATA!J:J)</f>
        <v>0</v>
      </c>
      <c r="M2">
        <f>F2+G2+I2+J2+K2+L2</f>
        <v>114</v>
      </c>
    </row>
    <row r="3" spans="1:13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586</v>
      </c>
      <c r="F3">
        <f>SUMIF(DATA!$A:$A,PPL!$A3,DATA!D:D)</f>
        <v>3</v>
      </c>
      <c r="G3">
        <f>SUMIF(DATA!$A:$A,PPL!$A3,DATA!E:E)</f>
        <v>12</v>
      </c>
      <c r="H3">
        <f>SUMIF(DATA!$A:$A,PPL!$A3,DATA!F:F)</f>
        <v>504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67</v>
      </c>
      <c r="L3">
        <f>SUMIF(DATA!$A:$A,PPL!$A3,DATA!J:J)</f>
        <v>0</v>
      </c>
      <c r="M3">
        <f t="shared" ref="M3:M65" si="0">F3+G3+I3+J3+K3+L3</f>
        <v>82</v>
      </c>
    </row>
    <row r="4" spans="1:13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627</v>
      </c>
      <c r="F4">
        <f>SUMIF(DATA!$A:$A,PPL!$A4,DATA!D:D)</f>
        <v>58</v>
      </c>
      <c r="G4">
        <f>SUMIF(DATA!$A:$A,PPL!$A4,DATA!E:E)</f>
        <v>10</v>
      </c>
      <c r="H4">
        <f>SUMIF(DATA!$A:$A,PPL!$A4,DATA!F:F)</f>
        <v>428</v>
      </c>
      <c r="I4">
        <f>SUMIF(DATA!$A:$A,PPL!$A4,DATA!G:G)</f>
        <v>14</v>
      </c>
      <c r="J4">
        <f>SUMIF(DATA!$A:$A,PPL!$A4,DATA!H:H)</f>
        <v>0</v>
      </c>
      <c r="K4">
        <f>SUMIF(DATA!$A:$A,PPL!$A4,DATA!I:I)</f>
        <v>117</v>
      </c>
      <c r="L4">
        <f>SUMIF(DATA!$A:$A,PPL!$A4,DATA!J:J)</f>
        <v>0</v>
      </c>
      <c r="M4">
        <f t="shared" si="0"/>
        <v>199</v>
      </c>
    </row>
    <row r="5" spans="1:13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603</v>
      </c>
      <c r="F5">
        <f>SUMIF(DATA!$A:$A,PPL!$A5,DATA!D:D)</f>
        <v>64</v>
      </c>
      <c r="G5">
        <f>SUMIF(DATA!$A:$A,PPL!$A5,DATA!E:E)</f>
        <v>2</v>
      </c>
      <c r="H5">
        <f>SUMIF(DATA!$A:$A,PPL!$A5,DATA!F:F)</f>
        <v>481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56</v>
      </c>
      <c r="L5">
        <f>SUMIF(DATA!$A:$A,PPL!$A5,DATA!J:J)</f>
        <v>0</v>
      </c>
      <c r="M5">
        <f t="shared" si="0"/>
        <v>122</v>
      </c>
    </row>
    <row r="6" spans="1:13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625</v>
      </c>
      <c r="F6">
        <f>SUMIF(DATA!$A:$A,PPL!$A6,DATA!D:D)</f>
        <v>5</v>
      </c>
      <c r="G6">
        <f>SUMIF(DATA!$A:$A,PPL!$A6,DATA!E:E)</f>
        <v>14</v>
      </c>
      <c r="H6">
        <f>SUMIF(DATA!$A:$A,PPL!$A6,DATA!F:F)</f>
        <v>528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78</v>
      </c>
      <c r="L6">
        <f>SUMIF(DATA!$A:$A,PPL!$A6,DATA!J:J)</f>
        <v>0</v>
      </c>
      <c r="M6">
        <f t="shared" si="0"/>
        <v>97</v>
      </c>
    </row>
    <row r="7" spans="1:13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575</v>
      </c>
      <c r="F7">
        <f>SUMIF(DATA!$A:$A,PPL!$A7,DATA!D:D)</f>
        <v>0</v>
      </c>
      <c r="G7">
        <f>SUMIF(DATA!$A:$A,PPL!$A7,DATA!E:E)</f>
        <v>19</v>
      </c>
      <c r="H7">
        <f>SUMIF(DATA!$A:$A,PPL!$A7,DATA!F:F)</f>
        <v>469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86</v>
      </c>
      <c r="L7">
        <f>SUMIF(DATA!$A:$A,PPL!$A7,DATA!J:J)</f>
        <v>0</v>
      </c>
      <c r="M7">
        <f t="shared" si="0"/>
        <v>106</v>
      </c>
    </row>
    <row r="8" spans="1:13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602</v>
      </c>
      <c r="F8">
        <f>SUMIF(DATA!$A:$A,PPL!$A8,DATA!D:D)</f>
        <v>7</v>
      </c>
      <c r="G8">
        <f>SUMIF(DATA!$A:$A,PPL!$A8,DATA!E:E)</f>
        <v>38</v>
      </c>
      <c r="H8">
        <f>SUMIF(DATA!$A:$A,PPL!$A8,DATA!F:F)</f>
        <v>509</v>
      </c>
      <c r="I8">
        <f>SUMIF(DATA!$A:$A,PPL!$A8,DATA!G:G)</f>
        <v>1</v>
      </c>
      <c r="J8">
        <f>SUMIF(DATA!$A:$A,PPL!$A8,DATA!H:H)</f>
        <v>1</v>
      </c>
      <c r="K8">
        <f>SUMIF(DATA!$A:$A,PPL!$A8,DATA!I:I)</f>
        <v>46</v>
      </c>
      <c r="L8">
        <f>SUMIF(DATA!$A:$A,PPL!$A8,DATA!J:J)</f>
        <v>0</v>
      </c>
      <c r="M8">
        <f t="shared" si="0"/>
        <v>93</v>
      </c>
    </row>
    <row r="9" spans="1:13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559</v>
      </c>
      <c r="F9">
        <f>SUMIF(DATA!$A:$A,PPL!$A9,DATA!D:D)</f>
        <v>0</v>
      </c>
      <c r="G9">
        <f>SUMIF(DATA!$A:$A,PPL!$A9,DATA!E:E)</f>
        <v>1</v>
      </c>
      <c r="H9">
        <f>SUMIF(DATA!$A:$A,PPL!$A9,DATA!F:F)</f>
        <v>468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90</v>
      </c>
      <c r="L9">
        <f>SUMIF(DATA!$A:$A,PPL!$A9,DATA!J:J)</f>
        <v>0</v>
      </c>
      <c r="M9">
        <f t="shared" si="0"/>
        <v>91</v>
      </c>
    </row>
    <row r="10" spans="1:13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605</v>
      </c>
      <c r="F10">
        <f>SUMIF(DATA!$A:$A,PPL!$A10,DATA!D:D)</f>
        <v>8</v>
      </c>
      <c r="G10">
        <f>SUMIF(DATA!$A:$A,PPL!$A10,DATA!E:E)</f>
        <v>10</v>
      </c>
      <c r="H10">
        <f>SUMIF(DATA!$A:$A,PPL!$A10,DATA!F:F)</f>
        <v>484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102</v>
      </c>
      <c r="L10">
        <f>SUMIF(DATA!$A:$A,PPL!$A10,DATA!J:J)</f>
        <v>0</v>
      </c>
      <c r="M10">
        <f t="shared" si="0"/>
        <v>121</v>
      </c>
    </row>
    <row r="11" spans="1:13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617</v>
      </c>
      <c r="F11">
        <f>SUMIF(DATA!$A:$A,PPL!$A11,DATA!D:D)</f>
        <v>0</v>
      </c>
      <c r="G11">
        <f>SUMIF(DATA!$A:$A,PPL!$A11,DATA!E:E)</f>
        <v>1</v>
      </c>
      <c r="H11">
        <f>SUMIF(DATA!$A:$A,PPL!$A11,DATA!F:F)</f>
        <v>494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122</v>
      </c>
      <c r="L11">
        <f>SUMIF(DATA!$A:$A,PPL!$A11,DATA!J:J)</f>
        <v>0</v>
      </c>
      <c r="M11">
        <f t="shared" si="0"/>
        <v>123</v>
      </c>
    </row>
    <row r="12" spans="1:13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612</v>
      </c>
      <c r="F12">
        <f>SUMIF(DATA!$A:$A,PPL!$A12,DATA!D:D)</f>
        <v>25</v>
      </c>
      <c r="G12">
        <f>SUMIF(DATA!$A:$A,PPL!$A12,DATA!E:E)</f>
        <v>20</v>
      </c>
      <c r="H12">
        <f>SUMIF(DATA!$A:$A,PPL!$A12,DATA!F:F)</f>
        <v>440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127</v>
      </c>
      <c r="L12">
        <f>SUMIF(DATA!$A:$A,PPL!$A12,DATA!J:J)</f>
        <v>0</v>
      </c>
      <c r="M12">
        <f t="shared" si="0"/>
        <v>172</v>
      </c>
    </row>
    <row r="13" spans="1:13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582</v>
      </c>
      <c r="F13">
        <f>SUMIF(DATA!$A:$A,PPL!$A13,DATA!D:D)</f>
        <v>6</v>
      </c>
      <c r="G13">
        <f>SUMIF(DATA!$A:$A,PPL!$A13,DATA!E:E)</f>
        <v>6</v>
      </c>
      <c r="H13">
        <f>SUMIF(DATA!$A:$A,PPL!$A13,DATA!F:F)</f>
        <v>501</v>
      </c>
      <c r="I13">
        <f>SUMIF(DATA!$A:$A,PPL!$A13,DATA!G:G)</f>
        <v>3</v>
      </c>
      <c r="J13">
        <f>SUMIF(DATA!$A:$A,PPL!$A13,DATA!H:H)</f>
        <v>0</v>
      </c>
      <c r="K13">
        <f>SUMIF(DATA!$A:$A,PPL!$A13,DATA!I:I)</f>
        <v>66</v>
      </c>
      <c r="L13">
        <f>SUMIF(DATA!$A:$A,PPL!$A13,DATA!J:J)</f>
        <v>0</v>
      </c>
      <c r="M13">
        <f t="shared" si="0"/>
        <v>81</v>
      </c>
    </row>
    <row r="14" spans="1:13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633</v>
      </c>
      <c r="F14">
        <f>SUMIF(DATA!$A:$A,PPL!$A14,DATA!D:D)</f>
        <v>4</v>
      </c>
      <c r="G14">
        <f>SUMIF(DATA!$A:$A,PPL!$A14,DATA!E:E)</f>
        <v>14</v>
      </c>
      <c r="H14">
        <f>SUMIF(DATA!$A:$A,PPL!$A14,DATA!F:F)</f>
        <v>524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90</v>
      </c>
      <c r="L14">
        <f>SUMIF(DATA!$A:$A,PPL!$A14,DATA!J:J)</f>
        <v>0</v>
      </c>
      <c r="M14">
        <f t="shared" si="0"/>
        <v>109</v>
      </c>
    </row>
    <row r="15" spans="1:13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604</v>
      </c>
      <c r="F15">
        <f>SUMIF(DATA!$A:$A,PPL!$A15,DATA!D:D)</f>
        <v>4</v>
      </c>
      <c r="G15">
        <f>SUMIF(DATA!$A:$A,PPL!$A15,DATA!E:E)</f>
        <v>15</v>
      </c>
      <c r="H15">
        <f>SUMIF(DATA!$A:$A,PPL!$A15,DATA!F:F)</f>
        <v>442</v>
      </c>
      <c r="I15">
        <f>SUMIF(DATA!$A:$A,PPL!$A15,DATA!G:G)</f>
        <v>18</v>
      </c>
      <c r="J15">
        <f>SUMIF(DATA!$A:$A,PPL!$A15,DATA!H:H)</f>
        <v>0</v>
      </c>
      <c r="K15">
        <f>SUMIF(DATA!$A:$A,PPL!$A15,DATA!I:I)</f>
        <v>125</v>
      </c>
      <c r="L15">
        <f>SUMIF(DATA!$A:$A,PPL!$A15,DATA!J:J)</f>
        <v>0</v>
      </c>
      <c r="M15">
        <f t="shared" si="0"/>
        <v>162</v>
      </c>
    </row>
    <row r="16" spans="1:13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619</v>
      </c>
      <c r="F16">
        <f>SUMIF(DATA!$A:$A,PPL!$A16,DATA!D:D)</f>
        <v>7</v>
      </c>
      <c r="G16">
        <f>SUMIF(DATA!$A:$A,PPL!$A16,DATA!E:E)</f>
        <v>0</v>
      </c>
      <c r="H16">
        <f>SUMIF(DATA!$A:$A,PPL!$A16,DATA!F:F)</f>
        <v>490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119</v>
      </c>
      <c r="L16">
        <f>SUMIF(DATA!$A:$A,PPL!$A16,DATA!J:J)</f>
        <v>1</v>
      </c>
      <c r="M16">
        <f t="shared" si="0"/>
        <v>129</v>
      </c>
    </row>
    <row r="17" spans="1:13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629</v>
      </c>
      <c r="F17">
        <f>SUMIF(DATA!$A:$A,PPL!$A17,DATA!D:D)</f>
        <v>10</v>
      </c>
      <c r="G17">
        <f>SUMIF(DATA!$A:$A,PPL!$A17,DATA!E:E)</f>
        <v>16</v>
      </c>
      <c r="H17">
        <f>SUMIF(DATA!$A:$A,PPL!$A17,DATA!F:F)</f>
        <v>510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93</v>
      </c>
      <c r="L17">
        <f>SUMIF(DATA!$A:$A,PPL!$A17,DATA!J:J)</f>
        <v>0</v>
      </c>
      <c r="M17">
        <f t="shared" si="0"/>
        <v>119</v>
      </c>
    </row>
    <row r="18" spans="1:13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619</v>
      </c>
      <c r="F18">
        <f>SUMIF(DATA!$A:$A,PPL!$A18,DATA!D:D)</f>
        <v>46</v>
      </c>
      <c r="G18">
        <f>SUMIF(DATA!$A:$A,PPL!$A18,DATA!E:E)</f>
        <v>1</v>
      </c>
      <c r="H18">
        <f>SUMIF(DATA!$A:$A,PPL!$A18,DATA!F:F)</f>
        <v>500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71</v>
      </c>
      <c r="L18">
        <f>SUMIF(DATA!$A:$A,PPL!$A18,DATA!J:J)</f>
        <v>0</v>
      </c>
      <c r="M18">
        <f t="shared" si="0"/>
        <v>119</v>
      </c>
    </row>
    <row r="19" spans="1:13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617</v>
      </c>
      <c r="F19">
        <f>SUMIF(DATA!$A:$A,PPL!$A19,DATA!D:D)</f>
        <v>18</v>
      </c>
      <c r="G19">
        <f>SUMIF(DATA!$A:$A,PPL!$A19,DATA!E:E)</f>
        <v>3</v>
      </c>
      <c r="H19">
        <f>SUMIF(DATA!$A:$A,PPL!$A19,DATA!F:F)</f>
        <v>492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102</v>
      </c>
      <c r="L19">
        <f>SUMIF(DATA!$A:$A,PPL!$A19,DATA!J:J)</f>
        <v>0</v>
      </c>
      <c r="M19">
        <f t="shared" si="0"/>
        <v>125</v>
      </c>
    </row>
    <row r="20" spans="1:13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592</v>
      </c>
      <c r="F20">
        <f>SUMIF(DATA!$A:$A,PPL!$A20,DATA!D:D)</f>
        <v>4</v>
      </c>
      <c r="G20">
        <f>SUMIF(DATA!$A:$A,PPL!$A20,DATA!E:E)</f>
        <v>22</v>
      </c>
      <c r="H20">
        <f>SUMIF(DATA!$A:$A,PPL!$A20,DATA!F:F)</f>
        <v>485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81</v>
      </c>
      <c r="L20">
        <f>SUMIF(DATA!$A:$A,PPL!$A20,DATA!J:J)</f>
        <v>0</v>
      </c>
      <c r="M20">
        <f t="shared" si="0"/>
        <v>107</v>
      </c>
    </row>
    <row r="21" spans="1:13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607</v>
      </c>
      <c r="F21">
        <f>SUMIF(DATA!$A:$A,PPL!$A21,DATA!D:D)</f>
        <v>4</v>
      </c>
      <c r="G21">
        <f>SUMIF(DATA!$A:$A,PPL!$A21,DATA!E:E)</f>
        <v>33</v>
      </c>
      <c r="H21">
        <f>SUMIF(DATA!$A:$A,PPL!$A21,DATA!F:F)</f>
        <v>513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55</v>
      </c>
      <c r="L21">
        <f>SUMIF(DATA!$A:$A,PPL!$A21,DATA!J:J)</f>
        <v>0</v>
      </c>
      <c r="M21">
        <f t="shared" si="0"/>
        <v>94</v>
      </c>
    </row>
    <row r="22" spans="1:13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597</v>
      </c>
      <c r="F22">
        <f>SUMIF(DATA!$A:$A,PPL!$A22,DATA!D:D)</f>
        <v>6</v>
      </c>
      <c r="G22">
        <f>SUMIF(DATA!$A:$A,PPL!$A22,DATA!E:E)</f>
        <v>7</v>
      </c>
      <c r="H22">
        <f>SUMIF(DATA!$A:$A,PPL!$A22,DATA!F:F)</f>
        <v>460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124</v>
      </c>
      <c r="L22">
        <f>SUMIF(DATA!$A:$A,PPL!$A22,DATA!J:J)</f>
        <v>0</v>
      </c>
      <c r="M22">
        <f t="shared" si="0"/>
        <v>137</v>
      </c>
    </row>
    <row r="23" spans="1:13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625</v>
      </c>
      <c r="F23">
        <f>SUMIF(DATA!$A:$A,PPL!$A23,DATA!D:D)</f>
        <v>74</v>
      </c>
      <c r="G23">
        <f>SUMIF(DATA!$A:$A,PPL!$A23,DATA!E:E)</f>
        <v>67</v>
      </c>
      <c r="H23">
        <f>SUMIF(DATA!$A:$A,PPL!$A23,DATA!F:F)</f>
        <v>480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145</v>
      </c>
    </row>
    <row r="24" spans="1:13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633</v>
      </c>
      <c r="F24">
        <f>SUMIF(DATA!$A:$A,PPL!$A24,DATA!D:D)</f>
        <v>31</v>
      </c>
      <c r="G24">
        <f>SUMIF(DATA!$A:$A,PPL!$A24,DATA!E:E)</f>
        <v>0</v>
      </c>
      <c r="H24">
        <f>SUMIF(DATA!$A:$A,PPL!$A24,DATA!F:F)</f>
        <v>519</v>
      </c>
      <c r="I24">
        <f>SUMIF(DATA!$A:$A,PPL!$A24,DATA!G:G)</f>
        <v>2</v>
      </c>
      <c r="J24">
        <f>SUMIF(DATA!$A:$A,PPL!$A24,DATA!H:H)</f>
        <v>0</v>
      </c>
      <c r="K24">
        <f>SUMIF(DATA!$A:$A,PPL!$A24,DATA!I:I)</f>
        <v>81</v>
      </c>
      <c r="L24">
        <f>SUMIF(DATA!$A:$A,PPL!$A24,DATA!J:J)</f>
        <v>0</v>
      </c>
      <c r="M24">
        <f t="shared" si="0"/>
        <v>114</v>
      </c>
    </row>
    <row r="25" spans="1:13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625</v>
      </c>
      <c r="F25">
        <f>SUMIF(DATA!$A:$A,PPL!$A25,DATA!D:D)</f>
        <v>15</v>
      </c>
      <c r="G25">
        <f>SUMIF(DATA!$A:$A,PPL!$A25,DATA!E:E)</f>
        <v>24</v>
      </c>
      <c r="H25">
        <f>SUMIF(DATA!$A:$A,PPL!$A25,DATA!F:F)</f>
        <v>524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44</v>
      </c>
      <c r="L25">
        <f>SUMIF(DATA!$A:$A,PPL!$A25,DATA!J:J)</f>
        <v>0</v>
      </c>
      <c r="M25">
        <f t="shared" si="0"/>
        <v>101</v>
      </c>
    </row>
    <row r="26" spans="1:13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641</v>
      </c>
      <c r="F26">
        <f>SUMIF(DATA!$A:$A,PPL!$A26,DATA!D:D)</f>
        <v>30</v>
      </c>
      <c r="G26">
        <f>SUMIF(DATA!$A:$A,PPL!$A26,DATA!E:E)</f>
        <v>18</v>
      </c>
      <c r="H26">
        <f>SUMIF(DATA!$A:$A,PPL!$A26,DATA!F:F)</f>
        <v>529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63</v>
      </c>
      <c r="L26">
        <f>SUMIF(DATA!$A:$A,PPL!$A26,DATA!J:J)</f>
        <v>0</v>
      </c>
      <c r="M26">
        <f t="shared" si="0"/>
        <v>112</v>
      </c>
    </row>
    <row r="27" spans="1:13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592</v>
      </c>
      <c r="F27">
        <f>SUMIF(DATA!$A:$A,PPL!$A27,DATA!D:D)</f>
        <v>0</v>
      </c>
      <c r="G27">
        <f>SUMIF(DATA!$A:$A,PPL!$A27,DATA!E:E)</f>
        <v>23</v>
      </c>
      <c r="H27">
        <f>SUMIF(DATA!$A:$A,PPL!$A27,DATA!F:F)</f>
        <v>502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67</v>
      </c>
      <c r="L27">
        <f>SUMIF(DATA!$A:$A,PPL!$A27,DATA!J:J)</f>
        <v>0</v>
      </c>
      <c r="M27">
        <f t="shared" si="0"/>
        <v>90</v>
      </c>
    </row>
    <row r="28" spans="1:13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627</v>
      </c>
      <c r="F28">
        <f>SUMIF(DATA!$A:$A,PPL!$A28,DATA!D:D)</f>
        <v>0</v>
      </c>
      <c r="G28">
        <f>SUMIF(DATA!$A:$A,PPL!$A28,DATA!E:E)</f>
        <v>4</v>
      </c>
      <c r="H28">
        <f>SUMIF(DATA!$A:$A,PPL!$A28,DATA!F:F)</f>
        <v>518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105</v>
      </c>
      <c r="L28">
        <f>SUMIF(DATA!$A:$A,PPL!$A28,DATA!J:J)</f>
        <v>0</v>
      </c>
      <c r="M28">
        <f t="shared" si="0"/>
        <v>109</v>
      </c>
    </row>
    <row r="29" spans="1:13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582</v>
      </c>
      <c r="F29">
        <f>SUMIF(DATA!$A:$A,PPL!$A29,DATA!D:D)</f>
        <v>7</v>
      </c>
      <c r="G29">
        <f>SUMIF(DATA!$A:$A,PPL!$A29,DATA!E:E)</f>
        <v>9</v>
      </c>
      <c r="H29">
        <f>SUMIF(DATA!$A:$A,PPL!$A29,DATA!F:F)</f>
        <v>524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42</v>
      </c>
      <c r="L29">
        <f>SUMIF(DATA!$A:$A,PPL!$A29,DATA!J:J)</f>
        <v>0</v>
      </c>
      <c r="M29">
        <f t="shared" si="0"/>
        <v>58</v>
      </c>
    </row>
    <row r="30" spans="1:13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637</v>
      </c>
      <c r="F30">
        <f>SUMIF(DATA!$A:$A,PPL!$A30,DATA!D:D)</f>
        <v>72</v>
      </c>
      <c r="G30">
        <f>SUMIF(DATA!$A:$A,PPL!$A30,DATA!E:E)</f>
        <v>5</v>
      </c>
      <c r="H30">
        <f>SUMIF(DATA!$A:$A,PPL!$A30,DATA!F:F)</f>
        <v>518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42</v>
      </c>
      <c r="L30">
        <f>SUMIF(DATA!$A:$A,PPL!$A30,DATA!J:J)</f>
        <v>0</v>
      </c>
      <c r="M30">
        <f t="shared" si="0"/>
        <v>119</v>
      </c>
    </row>
    <row r="31" spans="1:13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606</v>
      </c>
      <c r="F31">
        <f>SUMIF(DATA!$A:$A,PPL!$A31,DATA!D:D)</f>
        <v>12</v>
      </c>
      <c r="G31">
        <f>SUMIF(DATA!$A:$A,PPL!$A31,DATA!E:E)</f>
        <v>27</v>
      </c>
      <c r="H31">
        <f>SUMIF(DATA!$A:$A,PPL!$A31,DATA!F:F)</f>
        <v>494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73</v>
      </c>
      <c r="L31">
        <f>SUMIF(DATA!$A:$A,PPL!$A31,DATA!J:J)</f>
        <v>0</v>
      </c>
      <c r="M31">
        <f t="shared" si="0"/>
        <v>112</v>
      </c>
    </row>
    <row r="32" spans="1:13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586</v>
      </c>
      <c r="F32">
        <f>SUMIF(DATA!$A:$A,PPL!$A32,DATA!D:D)</f>
        <v>0</v>
      </c>
      <c r="G32">
        <f>SUMIF(DATA!$A:$A,PPL!$A32,DATA!E:E)</f>
        <v>33</v>
      </c>
      <c r="H32">
        <f>SUMIF(DATA!$A:$A,PPL!$A32,DATA!F:F)</f>
        <v>520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33</v>
      </c>
      <c r="L32">
        <f>SUMIF(DATA!$A:$A,PPL!$A32,DATA!J:J)</f>
        <v>0</v>
      </c>
      <c r="M32">
        <f t="shared" si="0"/>
        <v>66</v>
      </c>
    </row>
    <row r="33" spans="1:13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599</v>
      </c>
      <c r="F33">
        <f>SUMIF(DATA!$A:$A,PPL!$A33,DATA!D:D)</f>
        <v>0</v>
      </c>
      <c r="G33">
        <f>SUMIF(DATA!$A:$A,PPL!$A33,DATA!E:E)</f>
        <v>26</v>
      </c>
      <c r="H33">
        <f>SUMIF(DATA!$A:$A,PPL!$A33,DATA!F:F)</f>
        <v>504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69</v>
      </c>
      <c r="L33">
        <f>SUMIF(DATA!$A:$A,PPL!$A33,DATA!J:J)</f>
        <v>0</v>
      </c>
      <c r="M33">
        <f t="shared" si="0"/>
        <v>95</v>
      </c>
    </row>
    <row r="34" spans="1:13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592</v>
      </c>
      <c r="F34">
        <f>SUMIF(DATA!$A:$A,PPL!$A34,DATA!D:D)</f>
        <v>20</v>
      </c>
      <c r="G34">
        <f>SUMIF(DATA!$A:$A,PPL!$A34,DATA!E:E)</f>
        <v>35</v>
      </c>
      <c r="H34">
        <f>SUMIF(DATA!$A:$A,PPL!$A34,DATA!F:F)</f>
        <v>481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50</v>
      </c>
      <c r="L34">
        <f>SUMIF(DATA!$A:$A,PPL!$A34,DATA!J:J)</f>
        <v>0</v>
      </c>
      <c r="M34">
        <f t="shared" si="0"/>
        <v>111</v>
      </c>
    </row>
    <row r="35" spans="1:13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632</v>
      </c>
      <c r="F35">
        <f>SUMIF(DATA!$A:$A,PPL!$A35,DATA!D:D)</f>
        <v>0</v>
      </c>
      <c r="G35">
        <f>SUMIF(DATA!$A:$A,PPL!$A35,DATA!E:E)</f>
        <v>19</v>
      </c>
      <c r="H35">
        <f>SUMIF(DATA!$A:$A,PPL!$A35,DATA!F:F)</f>
        <v>517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96</v>
      </c>
      <c r="L35">
        <f>SUMIF(DATA!$A:$A,PPL!$A35,DATA!J:J)</f>
        <v>0</v>
      </c>
      <c r="M35">
        <f t="shared" si="0"/>
        <v>115</v>
      </c>
    </row>
    <row r="36" spans="1:13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605</v>
      </c>
      <c r="F36">
        <f>SUMIF(DATA!$A:$A,PPL!$A36,DATA!D:D)</f>
        <v>31</v>
      </c>
      <c r="G36">
        <f>SUMIF(DATA!$A:$A,PPL!$A36,DATA!E:E)</f>
        <v>35</v>
      </c>
      <c r="H36">
        <f>SUMIF(DATA!$A:$A,PPL!$A36,DATA!F:F)</f>
        <v>521</v>
      </c>
      <c r="I36">
        <f>SUMIF(DATA!$A:$A,PPL!$A36,DATA!G:G)</f>
        <v>18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0"/>
        <v>84</v>
      </c>
    </row>
    <row r="37" spans="1:13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588</v>
      </c>
      <c r="F37">
        <f>SUMIF(DATA!$A:$A,PPL!$A37,DATA!D:D)</f>
        <v>16</v>
      </c>
      <c r="G37">
        <f>SUMIF(DATA!$A:$A,PPL!$A37,DATA!E:E)</f>
        <v>66</v>
      </c>
      <c r="H37">
        <f>SUMIF(DATA!$A:$A,PPL!$A37,DATA!F:F)</f>
        <v>501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5</v>
      </c>
      <c r="L37">
        <f>SUMIF(DATA!$A:$A,PPL!$A37,DATA!J:J)</f>
        <v>0</v>
      </c>
      <c r="M37">
        <f t="shared" si="0"/>
        <v>87</v>
      </c>
    </row>
    <row r="38" spans="1:13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735</v>
      </c>
      <c r="F38">
        <f>SUMIF(DATA!$A:$A,PPL!$A38,DATA!D:D)</f>
        <v>124</v>
      </c>
      <c r="G38">
        <f>SUMIF(DATA!$A:$A,PPL!$A38,DATA!E:E)</f>
        <v>25</v>
      </c>
      <c r="H38">
        <f>SUMIF(DATA!$A:$A,PPL!$A38,DATA!F:F)</f>
        <v>534</v>
      </c>
      <c r="I38">
        <f>SUMIF(DATA!$A:$A,PPL!$A38,DATA!G:G)</f>
        <v>34</v>
      </c>
      <c r="J38">
        <f>SUMIF(DATA!$A:$A,PPL!$A38,DATA!H:H)</f>
        <v>0</v>
      </c>
      <c r="K38">
        <f>SUMIF(DATA!$A:$A,PPL!$A38,DATA!I:I)</f>
        <v>18</v>
      </c>
      <c r="L38">
        <f>SUMIF(DATA!$A:$A,PPL!$A38,DATA!J:J)</f>
        <v>0</v>
      </c>
      <c r="M38">
        <f t="shared" si="0"/>
        <v>201</v>
      </c>
    </row>
    <row r="39" spans="1:13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599</v>
      </c>
      <c r="F39">
        <f>SUMIF(DATA!$A:$A,PPL!$A39,DATA!D:D)</f>
        <v>51</v>
      </c>
      <c r="G39">
        <f>SUMIF(DATA!$A:$A,PPL!$A39,DATA!E:E)</f>
        <v>47</v>
      </c>
      <c r="H39">
        <f>SUMIF(DATA!$A:$A,PPL!$A39,DATA!F:F)</f>
        <v>479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5</v>
      </c>
      <c r="L39">
        <f>SUMIF(DATA!$A:$A,PPL!$A39,DATA!J:J)</f>
        <v>0</v>
      </c>
      <c r="M39">
        <f t="shared" si="0"/>
        <v>120</v>
      </c>
    </row>
    <row r="40" spans="1:13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652</v>
      </c>
      <c r="F40">
        <f>SUMIF(DATA!$A:$A,PPL!$A40,DATA!D:D)</f>
        <v>40</v>
      </c>
      <c r="G40">
        <f>SUMIF(DATA!$A:$A,PPL!$A40,DATA!E:E)</f>
        <v>12</v>
      </c>
      <c r="H40">
        <f>SUMIF(DATA!$A:$A,PPL!$A40,DATA!F:F)</f>
        <v>553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46</v>
      </c>
      <c r="L40">
        <f>SUMIF(DATA!$A:$A,PPL!$A40,DATA!J:J)</f>
        <v>0</v>
      </c>
      <c r="M40">
        <f t="shared" si="0"/>
        <v>99</v>
      </c>
    </row>
    <row r="41" spans="1:13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610</v>
      </c>
      <c r="F41">
        <f>SUMIF(DATA!$A:$A,PPL!$A41,DATA!D:D)</f>
        <v>13</v>
      </c>
      <c r="G41">
        <f>SUMIF(DATA!$A:$A,PPL!$A41,DATA!E:E)</f>
        <v>0</v>
      </c>
      <c r="H41">
        <f>SUMIF(DATA!$A:$A,PPL!$A41,DATA!F:F)</f>
        <v>552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45</v>
      </c>
      <c r="L41">
        <f>SUMIF(DATA!$A:$A,PPL!$A41,DATA!J:J)</f>
        <v>0</v>
      </c>
      <c r="M41">
        <f t="shared" si="0"/>
        <v>58</v>
      </c>
    </row>
    <row r="42" spans="1:13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589</v>
      </c>
      <c r="F42">
        <f>SUMIF(DATA!$A:$A,PPL!$A42,DATA!D:D)</f>
        <v>13</v>
      </c>
      <c r="G42">
        <f>SUMIF(DATA!$A:$A,PPL!$A42,DATA!E:E)</f>
        <v>0</v>
      </c>
      <c r="H42">
        <f>SUMIF(DATA!$A:$A,PPL!$A42,DATA!F:F)</f>
        <v>524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52</v>
      </c>
      <c r="L42">
        <f>SUMIF(DATA!$A:$A,PPL!$A42,DATA!J:J)</f>
        <v>0</v>
      </c>
      <c r="M42">
        <f t="shared" si="0"/>
        <v>65</v>
      </c>
    </row>
    <row r="43" spans="1:13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592</v>
      </c>
      <c r="F43">
        <f>SUMIF(DATA!$A:$A,PPL!$A43,DATA!D:D)</f>
        <v>3</v>
      </c>
      <c r="G43">
        <f>SUMIF(DATA!$A:$A,PPL!$A43,DATA!E:E)</f>
        <v>16</v>
      </c>
      <c r="H43">
        <f>SUMIF(DATA!$A:$A,PPL!$A43,DATA!F:F)</f>
        <v>528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36</v>
      </c>
      <c r="L43">
        <f>SUMIF(DATA!$A:$A,PPL!$A43,DATA!J:J)</f>
        <v>0</v>
      </c>
      <c r="M43">
        <f t="shared" si="0"/>
        <v>64</v>
      </c>
    </row>
    <row r="44" spans="1:13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634</v>
      </c>
      <c r="F44">
        <f>SUMIF(DATA!$A:$A,PPL!$A44,DATA!D:D)</f>
        <v>1</v>
      </c>
      <c r="G44">
        <f>SUMIF(DATA!$A:$A,PPL!$A44,DATA!E:E)</f>
        <v>5</v>
      </c>
      <c r="H44">
        <f>SUMIF(DATA!$A:$A,PPL!$A44,DATA!F:F)</f>
        <v>558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70</v>
      </c>
      <c r="L44">
        <f>SUMIF(DATA!$A:$A,PPL!$A44,DATA!J:J)</f>
        <v>0</v>
      </c>
      <c r="M44">
        <f t="shared" si="0"/>
        <v>76</v>
      </c>
    </row>
    <row r="45" spans="1:13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637</v>
      </c>
      <c r="F45">
        <f>SUMIF(DATA!$A:$A,PPL!$A45,DATA!D:D)</f>
        <v>28</v>
      </c>
      <c r="G45">
        <f>SUMIF(DATA!$A:$A,PPL!$A45,DATA!E:E)</f>
        <v>34</v>
      </c>
      <c r="H45">
        <f>SUMIF(DATA!$A:$A,PPL!$A45,DATA!F:F)</f>
        <v>508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66</v>
      </c>
      <c r="L45">
        <f>SUMIF(DATA!$A:$A,PPL!$A45,DATA!J:J)</f>
        <v>0</v>
      </c>
      <c r="M45">
        <f t="shared" si="0"/>
        <v>129</v>
      </c>
    </row>
    <row r="46" spans="1:13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611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570</v>
      </c>
      <c r="I46">
        <f>SUMIF(DATA!$A:$A,PPL!$A46,DATA!G:G)</f>
        <v>5</v>
      </c>
      <c r="J46">
        <f>SUMIF(DATA!$A:$A,PPL!$A46,DATA!H:H)</f>
        <v>0</v>
      </c>
      <c r="K46">
        <f>SUMIF(DATA!$A:$A,PPL!$A46,DATA!I:I)</f>
        <v>32</v>
      </c>
      <c r="L46">
        <f>SUMIF(DATA!$A:$A,PPL!$A46,DATA!J:J)</f>
        <v>0</v>
      </c>
      <c r="M46">
        <f t="shared" si="0"/>
        <v>41</v>
      </c>
    </row>
    <row r="47" spans="1:13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614</v>
      </c>
      <c r="F47">
        <f>SUMIF(DATA!$A:$A,PPL!$A47,DATA!D:D)</f>
        <v>3</v>
      </c>
      <c r="G47">
        <f>SUMIF(DATA!$A:$A,PPL!$A47,DATA!E:E)</f>
        <v>29</v>
      </c>
      <c r="H47">
        <f>SUMIF(DATA!$A:$A,PPL!$A47,DATA!F:F)</f>
        <v>494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88</v>
      </c>
      <c r="L47">
        <f>SUMIF(DATA!$A:$A,PPL!$A47,DATA!J:J)</f>
        <v>0</v>
      </c>
      <c r="M47">
        <f t="shared" si="0"/>
        <v>120</v>
      </c>
    </row>
    <row r="48" spans="1:13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436</v>
      </c>
      <c r="F48">
        <f>SUMIF(DATA!$A:$A,PPL!$A48,DATA!D:D)</f>
        <v>20</v>
      </c>
      <c r="G48">
        <f>SUMIF(DATA!$A:$A,PPL!$A48,DATA!E:E)</f>
        <v>28</v>
      </c>
      <c r="H48">
        <f>SUMIF(DATA!$A:$A,PPL!$A48,DATA!F:F)</f>
        <v>317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71</v>
      </c>
      <c r="L48">
        <f>SUMIF(DATA!$A:$A,PPL!$A48,DATA!J:J)</f>
        <v>0</v>
      </c>
      <c r="M48">
        <f t="shared" si="0"/>
        <v>119</v>
      </c>
    </row>
    <row r="49" spans="1:13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463</v>
      </c>
      <c r="F49">
        <f>SUMIF(DATA!$A:$A,PPL!$A49,DATA!D:D)</f>
        <v>2</v>
      </c>
      <c r="G49">
        <f>SUMIF(DATA!$A:$A,PPL!$A49,DATA!E:E)</f>
        <v>18</v>
      </c>
      <c r="H49">
        <f>SUMIF(DATA!$A:$A,PPL!$A49,DATA!F:F)</f>
        <v>341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102</v>
      </c>
      <c r="L49">
        <f>SUMIF(DATA!$A:$A,PPL!$A49,DATA!J:J)</f>
        <v>0</v>
      </c>
      <c r="M49">
        <f t="shared" si="0"/>
        <v>122</v>
      </c>
    </row>
    <row r="50" spans="1:13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581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493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86</v>
      </c>
      <c r="L50">
        <f>SUMIF(DATA!$A:$A,PPL!$A50,DATA!J:J)</f>
        <v>0</v>
      </c>
      <c r="M50">
        <f t="shared" si="0"/>
        <v>88</v>
      </c>
    </row>
    <row r="51" spans="1:13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588</v>
      </c>
      <c r="F51">
        <f>SUMIF(DATA!$A:$A,PPL!$A51,DATA!D:D)</f>
        <v>7</v>
      </c>
      <c r="G51">
        <f>SUMIF(DATA!$A:$A,PPL!$A51,DATA!E:E)</f>
        <v>4</v>
      </c>
      <c r="H51">
        <f>SUMIF(DATA!$A:$A,PPL!$A51,DATA!F:F)</f>
        <v>481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95</v>
      </c>
      <c r="L51">
        <f>SUMIF(DATA!$A:$A,PPL!$A51,DATA!J:J)</f>
        <v>0</v>
      </c>
      <c r="M51">
        <f t="shared" si="0"/>
        <v>107</v>
      </c>
    </row>
    <row r="52" spans="1:13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575</v>
      </c>
      <c r="F52">
        <f>SUMIF(DATA!$A:$A,PPL!$A52,DATA!D:D)</f>
        <v>0</v>
      </c>
      <c r="G52">
        <f>SUMIF(DATA!$A:$A,PPL!$A52,DATA!E:E)</f>
        <v>1</v>
      </c>
      <c r="H52">
        <f>SUMIF(DATA!$A:$A,PPL!$A52,DATA!F:F)</f>
        <v>475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99</v>
      </c>
      <c r="L52">
        <f>SUMIF(DATA!$A:$A,PPL!$A52,DATA!J:J)</f>
        <v>0</v>
      </c>
      <c r="M52">
        <f t="shared" si="0"/>
        <v>100</v>
      </c>
    </row>
    <row r="53" spans="1:13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616</v>
      </c>
      <c r="F53">
        <f>SUMIF(DATA!$A:$A,PPL!$A53,DATA!D:D)</f>
        <v>0</v>
      </c>
      <c r="G53">
        <f>SUMIF(DATA!$A:$A,PPL!$A53,DATA!E:E)</f>
        <v>24</v>
      </c>
      <c r="H53">
        <f>SUMIF(DATA!$A:$A,PPL!$A53,DATA!F:F)</f>
        <v>519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73</v>
      </c>
      <c r="L53">
        <f>SUMIF(DATA!$A:$A,PPL!$A53,DATA!J:J)</f>
        <v>0</v>
      </c>
      <c r="M53">
        <f t="shared" si="0"/>
        <v>97</v>
      </c>
    </row>
    <row r="54" spans="1:13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636</v>
      </c>
      <c r="F54">
        <f>SUMIF(DATA!$A:$A,PPL!$A54,DATA!D:D)</f>
        <v>33</v>
      </c>
      <c r="G54">
        <f>SUMIF(DATA!$A:$A,PPL!$A54,DATA!E:E)</f>
        <v>27</v>
      </c>
      <c r="H54">
        <f>SUMIF(DATA!$A:$A,PPL!$A54,DATA!F:F)</f>
        <v>517</v>
      </c>
      <c r="I54">
        <f>SUMIF(DATA!$A:$A,PPL!$A54,DATA!G:G)</f>
        <v>34</v>
      </c>
      <c r="J54">
        <f>SUMIF(DATA!$A:$A,PPL!$A54,DATA!H:H)</f>
        <v>0</v>
      </c>
      <c r="K54">
        <f>SUMIF(DATA!$A:$A,PPL!$A54,DATA!I:I)</f>
        <v>25</v>
      </c>
      <c r="L54">
        <f>SUMIF(DATA!$A:$A,PPL!$A54,DATA!J:J)</f>
        <v>0</v>
      </c>
      <c r="M54">
        <f t="shared" si="0"/>
        <v>119</v>
      </c>
    </row>
    <row r="55" spans="1:13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574</v>
      </c>
      <c r="F55">
        <f>SUMIF(DATA!$A:$A,PPL!$A55,DATA!D:D)</f>
        <v>17</v>
      </c>
      <c r="G55">
        <f>SUMIF(DATA!$A:$A,PPL!$A55,DATA!E:E)</f>
        <v>36</v>
      </c>
      <c r="H55">
        <f>SUMIF(DATA!$A:$A,PPL!$A55,DATA!F:F)</f>
        <v>473</v>
      </c>
      <c r="I55">
        <f>SUMIF(DATA!$A:$A,PPL!$A55,DATA!G:G)</f>
        <v>4</v>
      </c>
      <c r="J55">
        <f>SUMIF(DATA!$A:$A,PPL!$A55,DATA!H:H)</f>
        <v>0</v>
      </c>
      <c r="K55">
        <f>SUMIF(DATA!$A:$A,PPL!$A55,DATA!I:I)</f>
        <v>44</v>
      </c>
      <c r="L55">
        <f>SUMIF(DATA!$A:$A,PPL!$A55,DATA!J:J)</f>
        <v>0</v>
      </c>
      <c r="M55">
        <f t="shared" si="0"/>
        <v>101</v>
      </c>
    </row>
    <row r="56" spans="1:13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607</v>
      </c>
      <c r="F56">
        <f>SUMIF(DATA!$A:$A,PPL!$A56,DATA!D:D)</f>
        <v>7</v>
      </c>
      <c r="G56">
        <f>SUMIF(DATA!$A:$A,PPL!$A56,DATA!E:E)</f>
        <v>18</v>
      </c>
      <c r="H56">
        <f>SUMIF(DATA!$A:$A,PPL!$A56,DATA!F:F)</f>
        <v>468</v>
      </c>
      <c r="I56">
        <f>SUMIF(DATA!$A:$A,PPL!$A56,DATA!G:G)</f>
        <v>3</v>
      </c>
      <c r="J56">
        <f>SUMIF(DATA!$A:$A,PPL!$A56,DATA!H:H)</f>
        <v>0</v>
      </c>
      <c r="K56">
        <f>SUMIF(DATA!$A:$A,PPL!$A56,DATA!I:I)</f>
        <v>111</v>
      </c>
      <c r="L56">
        <f>SUMIF(DATA!$A:$A,PPL!$A56,DATA!J:J)</f>
        <v>0</v>
      </c>
      <c r="M56">
        <f t="shared" si="0"/>
        <v>139</v>
      </c>
    </row>
    <row r="57" spans="1:13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604</v>
      </c>
      <c r="F57">
        <f>SUMIF(DATA!$A:$A,PPL!$A57,DATA!D:D)</f>
        <v>9</v>
      </c>
      <c r="G57">
        <f>SUMIF(DATA!$A:$A,PPL!$A57,DATA!E:E)</f>
        <v>15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53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605</v>
      </c>
      <c r="F58">
        <f>SUMIF(DATA!$A:$A,PPL!$A58,DATA!D:D)</f>
        <v>15</v>
      </c>
      <c r="G58">
        <f>SUMIF(DATA!$A:$A,PPL!$A58,DATA!E:E)</f>
        <v>13</v>
      </c>
      <c r="H58">
        <f>SUMIF(DATA!$A:$A,PPL!$A58,DATA!F:F)</f>
        <v>518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58</v>
      </c>
      <c r="L58">
        <f>SUMIF(DATA!$A:$A,PPL!$A58,DATA!J:J)</f>
        <v>0</v>
      </c>
      <c r="M58">
        <f t="shared" si="0"/>
        <v>87</v>
      </c>
    </row>
    <row r="59" spans="1:13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552</v>
      </c>
      <c r="F59">
        <f>SUMIF(DATA!$A:$A,PPL!$A59,DATA!D:D)</f>
        <v>0</v>
      </c>
      <c r="G59">
        <f>SUMIF(DATA!$A:$A,PPL!$A59,DATA!E:E)</f>
        <v>20</v>
      </c>
      <c r="H59">
        <f>SUMIF(DATA!$A:$A,PPL!$A59,DATA!F:F)</f>
        <v>477</v>
      </c>
      <c r="I59">
        <f>SUMIF(DATA!$A:$A,PPL!$A59,DATA!G:G)</f>
        <v>6</v>
      </c>
      <c r="J59">
        <f>SUMIF(DATA!$A:$A,PPL!$A59,DATA!H:H)</f>
        <v>0</v>
      </c>
      <c r="K59">
        <f>SUMIF(DATA!$A:$A,PPL!$A59,DATA!I:I)</f>
        <v>49</v>
      </c>
      <c r="L59">
        <f>SUMIF(DATA!$A:$A,PPL!$A59,DATA!J:J)</f>
        <v>0</v>
      </c>
      <c r="M59">
        <f t="shared" si="0"/>
        <v>75</v>
      </c>
    </row>
    <row r="60" spans="1:13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599</v>
      </c>
      <c r="F60">
        <f>SUMIF(DATA!$A:$A,PPL!$A60,DATA!D:D)</f>
        <v>14</v>
      </c>
      <c r="G60">
        <f>SUMIF(DATA!$A:$A,PPL!$A60,DATA!E:E)</f>
        <v>10</v>
      </c>
      <c r="H60">
        <f>SUMIF(DATA!$A:$A,PPL!$A60,DATA!F:F)</f>
        <v>495</v>
      </c>
      <c r="I60">
        <f>SUMIF(DATA!$A:$A,PPL!$A60,DATA!G:G)</f>
        <v>13</v>
      </c>
      <c r="J60">
        <f>SUMIF(DATA!$A:$A,PPL!$A60,DATA!H:H)</f>
        <v>0</v>
      </c>
      <c r="K60">
        <f>SUMIF(DATA!$A:$A,PPL!$A60,DATA!I:I)</f>
        <v>67</v>
      </c>
      <c r="L60">
        <f>SUMIF(DATA!$A:$A,PPL!$A60,DATA!J:J)</f>
        <v>0</v>
      </c>
      <c r="M60">
        <f t="shared" si="0"/>
        <v>104</v>
      </c>
    </row>
    <row r="61" spans="1:13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574</v>
      </c>
      <c r="F61">
        <f>SUMIF(DATA!$A:$A,PPL!$A61,DATA!D:D)</f>
        <v>0</v>
      </c>
      <c r="G61">
        <f>SUMIF(DATA!$A:$A,PPL!$A61,DATA!E:E)</f>
        <v>3</v>
      </c>
      <c r="H61">
        <f>SUMIF(DATA!$A:$A,PPL!$A61,DATA!F:F)</f>
        <v>496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75</v>
      </c>
      <c r="L61">
        <f>SUMIF(DATA!$A:$A,PPL!$A61,DATA!J:J)</f>
        <v>0</v>
      </c>
      <c r="M61">
        <f t="shared" si="0"/>
        <v>78</v>
      </c>
    </row>
    <row r="62" spans="1:13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604</v>
      </c>
      <c r="F62">
        <f>SUMIF(DATA!$A:$A,PPL!$A62,DATA!D:D)</f>
        <v>0</v>
      </c>
      <c r="G62">
        <f>SUMIF(DATA!$A:$A,PPL!$A62,DATA!E:E)</f>
        <v>1</v>
      </c>
      <c r="H62">
        <f>SUMIF(DATA!$A:$A,PPL!$A62,DATA!F:F)</f>
        <v>490</v>
      </c>
      <c r="I62">
        <f>SUMIF(DATA!$A:$A,PPL!$A62,DATA!G:G)</f>
        <v>8</v>
      </c>
      <c r="J62">
        <f>SUMIF(DATA!$A:$A,PPL!$A62,DATA!H:H)</f>
        <v>0</v>
      </c>
      <c r="K62">
        <f>SUMIF(DATA!$A:$A,PPL!$A62,DATA!I:I)</f>
        <v>105</v>
      </c>
      <c r="L62">
        <f>SUMIF(DATA!$A:$A,PPL!$A62,DATA!J:J)</f>
        <v>0</v>
      </c>
      <c r="M62">
        <f t="shared" si="0"/>
        <v>114</v>
      </c>
    </row>
    <row r="63" spans="1:13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600</v>
      </c>
      <c r="F63">
        <f>SUMIF(DATA!$A:$A,PPL!$A63,DATA!D:D)</f>
        <v>0</v>
      </c>
      <c r="G63">
        <f>SUMIF(DATA!$A:$A,PPL!$A63,DATA!E:E)</f>
        <v>32</v>
      </c>
      <c r="H63">
        <f>SUMIF(DATA!$A:$A,PPL!$A63,DATA!F:F)</f>
        <v>447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120</v>
      </c>
      <c r="L63">
        <f>SUMIF(DATA!$A:$A,PPL!$A63,DATA!J:J)</f>
        <v>0</v>
      </c>
      <c r="M63">
        <f t="shared" si="0"/>
        <v>153</v>
      </c>
    </row>
    <row r="64" spans="1:13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624</v>
      </c>
      <c r="F64">
        <f>SUMIF(DATA!$A:$A,PPL!$A64,DATA!D:D)</f>
        <v>0</v>
      </c>
      <c r="G64">
        <f>SUMIF(DATA!$A:$A,PPL!$A64,DATA!E:E)</f>
        <v>7</v>
      </c>
      <c r="H64">
        <f>SUMIF(DATA!$A:$A,PPL!$A64,DATA!F:F)</f>
        <v>514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102</v>
      </c>
      <c r="L64">
        <f>SUMIF(DATA!$A:$A,PPL!$A64,DATA!J:J)</f>
        <v>0</v>
      </c>
      <c r="M64">
        <f t="shared" si="0"/>
        <v>110</v>
      </c>
    </row>
    <row r="65" spans="1:13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616</v>
      </c>
      <c r="F65">
        <f>SUMIF(DATA!$A:$A,PPL!$A65,DATA!D:D)</f>
        <v>1</v>
      </c>
      <c r="G65">
        <f>SUMIF(DATA!$A:$A,PPL!$A65,DATA!E:E)</f>
        <v>20</v>
      </c>
      <c r="H65">
        <f>SUMIF(DATA!$A:$A,PPL!$A65,DATA!F:F)</f>
        <v>513</v>
      </c>
      <c r="I65">
        <f>SUMIF(DATA!$A:$A,PPL!$A65,DATA!G:G)</f>
        <v>3</v>
      </c>
      <c r="J65">
        <f>SUMIF(DATA!$A:$A,PPL!$A65,DATA!H:H)</f>
        <v>0</v>
      </c>
      <c r="K65">
        <f>SUMIF(DATA!$A:$A,PPL!$A65,DATA!I:I)</f>
        <v>79</v>
      </c>
      <c r="L65">
        <f>SUMIF(DATA!$A:$A,PPL!$A65,DATA!J:J)</f>
        <v>0</v>
      </c>
      <c r="M65">
        <f t="shared" si="0"/>
        <v>103</v>
      </c>
    </row>
    <row r="66" spans="1:13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575</v>
      </c>
      <c r="F66">
        <f>SUMIF(DATA!$A:$A,PPL!$A66,DATA!D:D)</f>
        <v>0</v>
      </c>
      <c r="G66">
        <f>SUMIF(DATA!$A:$A,PPL!$A66,DATA!E:E)</f>
        <v>9</v>
      </c>
      <c r="H66">
        <f>SUMIF(DATA!$A:$A,PPL!$A66,DATA!F:F)</f>
        <v>469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97</v>
      </c>
      <c r="L66">
        <f>SUMIF(DATA!$A:$A,PPL!$A66,DATA!J:J)</f>
        <v>0</v>
      </c>
      <c r="M66">
        <f t="shared" ref="M66:M129" si="1">F66+G66+I66+J66+K66+L66</f>
        <v>106</v>
      </c>
    </row>
    <row r="67" spans="1:13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642</v>
      </c>
      <c r="F67">
        <f>SUMIF(DATA!$A:$A,PPL!$A67,DATA!D:D)</f>
        <v>5</v>
      </c>
      <c r="G67">
        <f>SUMIF(DATA!$A:$A,PPL!$A67,DATA!E:E)</f>
        <v>9</v>
      </c>
      <c r="H67">
        <f>SUMIF(DATA!$A:$A,PPL!$A67,DATA!F:F)</f>
        <v>543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85</v>
      </c>
      <c r="L67">
        <f>SUMIF(DATA!$A:$A,PPL!$A67,DATA!J:J)</f>
        <v>0</v>
      </c>
      <c r="M67">
        <f t="shared" si="1"/>
        <v>99</v>
      </c>
    </row>
    <row r="68" spans="1:13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567</v>
      </c>
      <c r="F68">
        <f>SUMIF(DATA!$A:$A,PPL!$A68,DATA!D:D)</f>
        <v>0</v>
      </c>
      <c r="G68">
        <f>SUMIF(DATA!$A:$A,PPL!$A68,DATA!E:E)</f>
        <v>9</v>
      </c>
      <c r="H68">
        <f>SUMIF(DATA!$A:$A,PPL!$A68,DATA!F:F)</f>
        <v>450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1"/>
        <v>117</v>
      </c>
    </row>
    <row r="69" spans="1:13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576</v>
      </c>
      <c r="F69">
        <f>SUMIF(DATA!$A:$A,PPL!$A69,DATA!D:D)</f>
        <v>1</v>
      </c>
      <c r="G69">
        <f>SUMIF(DATA!$A:$A,PPL!$A69,DATA!E:E)</f>
        <v>15</v>
      </c>
      <c r="H69">
        <f>SUMIF(DATA!$A:$A,PPL!$A69,DATA!F:F)</f>
        <v>502</v>
      </c>
      <c r="I69">
        <f>SUMIF(DATA!$A:$A,PPL!$A69,DATA!G:G)</f>
        <v>8</v>
      </c>
      <c r="J69">
        <f>SUMIF(DATA!$A:$A,PPL!$A69,DATA!H:H)</f>
        <v>0</v>
      </c>
      <c r="K69">
        <f>SUMIF(DATA!$A:$A,PPL!$A69,DATA!I:I)</f>
        <v>50</v>
      </c>
      <c r="L69">
        <f>SUMIF(DATA!$A:$A,PPL!$A69,DATA!J:J)</f>
        <v>0</v>
      </c>
      <c r="M69">
        <f t="shared" si="1"/>
        <v>74</v>
      </c>
    </row>
    <row r="70" spans="1:13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472</v>
      </c>
      <c r="F70">
        <f>SUMIF(DATA!$A:$A,PPL!$A70,DATA!D:D)</f>
        <v>32</v>
      </c>
      <c r="G70">
        <f>SUMIF(DATA!$A:$A,PPL!$A70,DATA!E:E)</f>
        <v>12</v>
      </c>
      <c r="H70">
        <f>SUMIF(DATA!$A:$A,PPL!$A70,DATA!F:F)</f>
        <v>401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27</v>
      </c>
      <c r="L70">
        <f>SUMIF(DATA!$A:$A,PPL!$A70,DATA!J:J)</f>
        <v>0</v>
      </c>
      <c r="M70">
        <f t="shared" si="1"/>
        <v>71</v>
      </c>
    </row>
    <row r="71" spans="1:13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450</v>
      </c>
      <c r="F71">
        <f>SUMIF(DATA!$A:$A,PPL!$A71,DATA!D:D)</f>
        <v>12</v>
      </c>
      <c r="G71">
        <f>SUMIF(DATA!$A:$A,PPL!$A71,DATA!E:E)</f>
        <v>23</v>
      </c>
      <c r="H71">
        <f>SUMIF(DATA!$A:$A,PPL!$A71,DATA!F:F)</f>
        <v>388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22</v>
      </c>
      <c r="L71">
        <f>SUMIF(DATA!$A:$A,PPL!$A71,DATA!J:J)</f>
        <v>0</v>
      </c>
      <c r="M71">
        <f t="shared" si="1"/>
        <v>62</v>
      </c>
    </row>
    <row r="72" spans="1:13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472</v>
      </c>
      <c r="F72">
        <f>SUMIF(DATA!$A:$A,PPL!$A72,DATA!D:D)</f>
        <v>9</v>
      </c>
      <c r="G72">
        <f>SUMIF(DATA!$A:$A,PPL!$A72,DATA!E:E)</f>
        <v>15</v>
      </c>
      <c r="H72">
        <f>SUMIF(DATA!$A:$A,PPL!$A72,DATA!F:F)</f>
        <v>409</v>
      </c>
      <c r="I72">
        <f>SUMIF(DATA!$A:$A,PPL!$A72,DATA!G:G)</f>
        <v>3</v>
      </c>
      <c r="J72">
        <f>SUMIF(DATA!$A:$A,PPL!$A72,DATA!H:H)</f>
        <v>0</v>
      </c>
      <c r="K72">
        <f>SUMIF(DATA!$A:$A,PPL!$A72,DATA!I:I)</f>
        <v>36</v>
      </c>
      <c r="L72">
        <f>SUMIF(DATA!$A:$A,PPL!$A72,DATA!J:J)</f>
        <v>0</v>
      </c>
      <c r="M72">
        <f t="shared" si="1"/>
        <v>63</v>
      </c>
    </row>
    <row r="73" spans="1:13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432</v>
      </c>
      <c r="F73">
        <f>SUMIF(DATA!$A:$A,PPL!$A73,DATA!D:D)</f>
        <v>35</v>
      </c>
      <c r="G73">
        <f>SUMIF(DATA!$A:$A,PPL!$A73,DATA!E:E)</f>
        <v>16</v>
      </c>
      <c r="H73">
        <f>SUMIF(DATA!$A:$A,PPL!$A73,DATA!F:F)</f>
        <v>340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41</v>
      </c>
      <c r="L73">
        <f>SUMIF(DATA!$A:$A,PPL!$A73,DATA!J:J)</f>
        <v>0</v>
      </c>
      <c r="M73">
        <f t="shared" si="1"/>
        <v>92</v>
      </c>
    </row>
    <row r="74" spans="1:13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525</v>
      </c>
      <c r="F74">
        <f>SUMIF(DATA!$A:$A,PPL!$A74,DATA!D:D)</f>
        <v>9</v>
      </c>
      <c r="G74">
        <f>SUMIF(DATA!$A:$A,PPL!$A74,DATA!E:E)</f>
        <v>22</v>
      </c>
      <c r="H74">
        <f>SUMIF(DATA!$A:$A,PPL!$A74,DATA!F:F)</f>
        <v>450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44</v>
      </c>
      <c r="L74">
        <f>SUMIF(DATA!$A:$A,PPL!$A74,DATA!J:J)</f>
        <v>0</v>
      </c>
      <c r="M74">
        <f t="shared" si="1"/>
        <v>75</v>
      </c>
    </row>
    <row r="75" spans="1:13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475</v>
      </c>
      <c r="F75">
        <f>SUMIF(DATA!$A:$A,PPL!$A75,DATA!D:D)</f>
        <v>13</v>
      </c>
      <c r="G75">
        <f>SUMIF(DATA!$A:$A,PPL!$A75,DATA!E:E)</f>
        <v>16</v>
      </c>
      <c r="H75">
        <f>SUMIF(DATA!$A:$A,PPL!$A75,DATA!F:F)</f>
        <v>423</v>
      </c>
      <c r="I75">
        <f>SUMIF(DATA!$A:$A,PPL!$A75,DATA!G:G)</f>
        <v>4</v>
      </c>
      <c r="J75">
        <f>SUMIF(DATA!$A:$A,PPL!$A75,DATA!H:H)</f>
        <v>0</v>
      </c>
      <c r="K75">
        <f>SUMIF(DATA!$A:$A,PPL!$A75,DATA!I:I)</f>
        <v>19</v>
      </c>
      <c r="L75">
        <f>SUMIF(DATA!$A:$A,PPL!$A75,DATA!J:J)</f>
        <v>0</v>
      </c>
      <c r="M75">
        <f t="shared" si="1"/>
        <v>52</v>
      </c>
    </row>
    <row r="76" spans="1:13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467</v>
      </c>
      <c r="F76">
        <f>SUMIF(DATA!$A:$A,PPL!$A76,DATA!D:D)</f>
        <v>8</v>
      </c>
      <c r="G76">
        <f>SUMIF(DATA!$A:$A,PPL!$A76,DATA!E:E)</f>
        <v>2</v>
      </c>
      <c r="H76">
        <f>SUMIF(DATA!$A:$A,PPL!$A76,DATA!F:F)</f>
        <v>411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46</v>
      </c>
      <c r="L76">
        <f>SUMIF(DATA!$A:$A,PPL!$A76,DATA!J:J)</f>
        <v>0</v>
      </c>
      <c r="M76">
        <f t="shared" si="1"/>
        <v>56</v>
      </c>
    </row>
    <row r="77" spans="1:13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492</v>
      </c>
      <c r="F77">
        <f>SUMIF(DATA!$A:$A,PPL!$A77,DATA!D:D)</f>
        <v>2</v>
      </c>
      <c r="G77">
        <f>SUMIF(DATA!$A:$A,PPL!$A77,DATA!E:E)</f>
        <v>17</v>
      </c>
      <c r="H77">
        <f>SUMIF(DATA!$A:$A,PPL!$A77,DATA!F:F)</f>
        <v>430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40</v>
      </c>
      <c r="L77">
        <f>SUMIF(DATA!$A:$A,PPL!$A77,DATA!J:J)</f>
        <v>0</v>
      </c>
      <c r="M77">
        <f t="shared" si="1"/>
        <v>62</v>
      </c>
    </row>
    <row r="78" spans="1:13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427</v>
      </c>
      <c r="F78">
        <f>SUMIF(DATA!$A:$A,PPL!$A78,DATA!D:D)</f>
        <v>2</v>
      </c>
      <c r="G78">
        <f>SUMIF(DATA!$A:$A,PPL!$A78,DATA!E:E)</f>
        <v>21</v>
      </c>
      <c r="H78">
        <f>SUMIF(DATA!$A:$A,PPL!$A78,DATA!F:F)</f>
        <v>359</v>
      </c>
      <c r="I78">
        <f>SUMIF(DATA!$A:$A,PPL!$A78,DATA!G:G)</f>
        <v>1</v>
      </c>
      <c r="J78">
        <f>SUMIF(DATA!$A:$A,PPL!$A78,DATA!H:H)</f>
        <v>0</v>
      </c>
      <c r="K78">
        <f>SUMIF(DATA!$A:$A,PPL!$A78,DATA!I:I)</f>
        <v>44</v>
      </c>
      <c r="L78">
        <f>SUMIF(DATA!$A:$A,PPL!$A78,DATA!J:J)</f>
        <v>0</v>
      </c>
      <c r="M78">
        <f t="shared" si="1"/>
        <v>68</v>
      </c>
    </row>
    <row r="79" spans="1:13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0</v>
      </c>
      <c r="G79">
        <f>SUMIF(DATA!$A:$A,PPL!$A79,DATA!E:E)</f>
        <v>3</v>
      </c>
      <c r="H79">
        <f>SUMIF(DATA!$A:$A,PPL!$A79,DATA!F:F)</f>
        <v>355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62</v>
      </c>
      <c r="L79">
        <f>SUMIF(DATA!$A:$A,PPL!$A79,DATA!J:J)</f>
        <v>0</v>
      </c>
      <c r="M79">
        <f t="shared" si="1"/>
        <v>65</v>
      </c>
    </row>
    <row r="80" spans="1:13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1"/>
        <v>43</v>
      </c>
    </row>
    <row r="81" spans="1:13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430</v>
      </c>
      <c r="F81">
        <f>SUMIF(DATA!$A:$A,PPL!$A81,DATA!D:D)</f>
        <v>1</v>
      </c>
      <c r="G81">
        <f>SUMIF(DATA!$A:$A,PPL!$A81,DATA!E:E)</f>
        <v>4</v>
      </c>
      <c r="H81">
        <f>SUMIF(DATA!$A:$A,PPL!$A81,DATA!F:F)</f>
        <v>367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58</v>
      </c>
      <c r="L81">
        <f>SUMIF(DATA!$A:$A,PPL!$A81,DATA!J:J)</f>
        <v>0</v>
      </c>
      <c r="M81">
        <f t="shared" si="1"/>
        <v>63</v>
      </c>
    </row>
    <row r="82" spans="1:13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423</v>
      </c>
      <c r="F82">
        <f>SUMIF(DATA!$A:$A,PPL!$A82,DATA!D:D)</f>
        <v>0</v>
      </c>
      <c r="G82">
        <f>SUMIF(DATA!$A:$A,PPL!$A82,DATA!E:E)</f>
        <v>9</v>
      </c>
      <c r="H82">
        <f>SUMIF(DATA!$A:$A,PPL!$A82,DATA!F:F)</f>
        <v>367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47</v>
      </c>
      <c r="L82">
        <f>SUMIF(DATA!$A:$A,PPL!$A82,DATA!J:J)</f>
        <v>0</v>
      </c>
      <c r="M82">
        <f t="shared" si="1"/>
        <v>56</v>
      </c>
    </row>
    <row r="83" spans="1:13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395</v>
      </c>
      <c r="F83">
        <f>SUMIF(DATA!$A:$A,PPL!$A83,DATA!D:D)</f>
        <v>0</v>
      </c>
      <c r="G83">
        <f>SUMIF(DATA!$A:$A,PPL!$A83,DATA!E:E)</f>
        <v>9</v>
      </c>
      <c r="H83">
        <f>SUMIF(DATA!$A:$A,PPL!$A83,DATA!F:F)</f>
        <v>320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66</v>
      </c>
      <c r="L83">
        <f>SUMIF(DATA!$A:$A,PPL!$A83,DATA!J:J)</f>
        <v>0</v>
      </c>
      <c r="M83">
        <f t="shared" si="1"/>
        <v>75</v>
      </c>
    </row>
    <row r="84" spans="1:13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414</v>
      </c>
      <c r="F84">
        <f>SUMIF(DATA!$A:$A,PPL!$A84,DATA!D:D)</f>
        <v>0</v>
      </c>
      <c r="G84">
        <f>SUMIF(DATA!$A:$A,PPL!$A84,DATA!E:E)</f>
        <v>4</v>
      </c>
      <c r="H84">
        <f>SUMIF(DATA!$A:$A,PPL!$A84,DATA!F:F)</f>
        <v>336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74</v>
      </c>
      <c r="L84">
        <f>SUMIF(DATA!$A:$A,PPL!$A84,DATA!J:J)</f>
        <v>0</v>
      </c>
      <c r="M84">
        <f t="shared" si="1"/>
        <v>78</v>
      </c>
    </row>
    <row r="85" spans="1:13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407</v>
      </c>
      <c r="F85">
        <f>SUMIF(DATA!$A:$A,PPL!$A85,DATA!D:D)</f>
        <v>0</v>
      </c>
      <c r="G85">
        <f>SUMIF(DATA!$A:$A,PPL!$A85,DATA!E:E)</f>
        <v>5</v>
      </c>
      <c r="H85">
        <f>SUMIF(DATA!$A:$A,PPL!$A85,DATA!F:F)</f>
        <v>341</v>
      </c>
      <c r="I85">
        <f>SUMIF(DATA!$A:$A,PPL!$A85,DATA!G:G)</f>
        <v>5</v>
      </c>
      <c r="J85">
        <f>SUMIF(DATA!$A:$A,PPL!$A85,DATA!H:H)</f>
        <v>0</v>
      </c>
      <c r="K85">
        <f>SUMIF(DATA!$A:$A,PPL!$A85,DATA!I:I)</f>
        <v>56</v>
      </c>
      <c r="L85">
        <f>SUMIF(DATA!$A:$A,PPL!$A85,DATA!J:J)</f>
        <v>0</v>
      </c>
      <c r="M85">
        <f t="shared" si="1"/>
        <v>66</v>
      </c>
    </row>
    <row r="86" spans="1:13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644</v>
      </c>
      <c r="F86">
        <f>SUMIF(DATA!$A:$A,PPL!$A86,DATA!D:D)</f>
        <v>34</v>
      </c>
      <c r="G86">
        <f>SUMIF(DATA!$A:$A,PPL!$A86,DATA!E:E)</f>
        <v>2</v>
      </c>
      <c r="H86">
        <f>SUMIF(DATA!$A:$A,PPL!$A86,DATA!F:F)</f>
        <v>548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60</v>
      </c>
      <c r="L86">
        <f>SUMIF(DATA!$A:$A,PPL!$A86,DATA!J:J)</f>
        <v>0</v>
      </c>
      <c r="M86">
        <f t="shared" si="1"/>
        <v>96</v>
      </c>
    </row>
    <row r="87" spans="1:13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612</v>
      </c>
      <c r="F87">
        <f>SUMIF(DATA!$A:$A,PPL!$A87,DATA!D:D)</f>
        <v>6</v>
      </c>
      <c r="G87">
        <f>SUMIF(DATA!$A:$A,PPL!$A87,DATA!E:E)</f>
        <v>3</v>
      </c>
      <c r="H87">
        <f>SUMIF(DATA!$A:$A,PPL!$A87,DATA!F:F)</f>
        <v>503</v>
      </c>
      <c r="I87">
        <f>SUMIF(DATA!$A:$A,PPL!$A87,DATA!G:G)</f>
        <v>1</v>
      </c>
      <c r="J87">
        <f>SUMIF(DATA!$A:$A,PPL!$A87,DATA!H:H)</f>
        <v>0</v>
      </c>
      <c r="K87">
        <f>SUMIF(DATA!$A:$A,PPL!$A87,DATA!I:I)</f>
        <v>99</v>
      </c>
      <c r="L87">
        <f>SUMIF(DATA!$A:$A,PPL!$A87,DATA!J:J)</f>
        <v>0</v>
      </c>
      <c r="M87">
        <f t="shared" si="1"/>
        <v>109</v>
      </c>
    </row>
    <row r="88" spans="1:13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563</v>
      </c>
      <c r="F88">
        <f>SUMIF(DATA!$A:$A,PPL!$A88,DATA!D:D)</f>
        <v>16</v>
      </c>
      <c r="G88">
        <f>SUMIF(DATA!$A:$A,PPL!$A88,DATA!E:E)</f>
        <v>31</v>
      </c>
      <c r="H88">
        <f>SUMIF(DATA!$A:$A,PPL!$A88,DATA!F:F)</f>
        <v>457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59</v>
      </c>
      <c r="L88">
        <f>SUMIF(DATA!$A:$A,PPL!$A88,DATA!J:J)</f>
        <v>0</v>
      </c>
      <c r="M88">
        <f t="shared" si="1"/>
        <v>106</v>
      </c>
    </row>
    <row r="89" spans="1:13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581</v>
      </c>
      <c r="F89">
        <f>SUMIF(DATA!$A:$A,PPL!$A89,DATA!D:D)</f>
        <v>10</v>
      </c>
      <c r="G89">
        <f>SUMIF(DATA!$A:$A,PPL!$A89,DATA!E:E)</f>
        <v>44</v>
      </c>
      <c r="H89">
        <f>SUMIF(DATA!$A:$A,PPL!$A89,DATA!F:F)</f>
        <v>504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23</v>
      </c>
      <c r="L89">
        <f>SUMIF(DATA!$A:$A,PPL!$A89,DATA!J:J)</f>
        <v>0</v>
      </c>
      <c r="M89">
        <f t="shared" si="1"/>
        <v>77</v>
      </c>
    </row>
    <row r="90" spans="1:13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0</v>
      </c>
      <c r="G90">
        <f>SUMIF(DATA!$A:$A,PPL!$A90,DATA!E:E)</f>
        <v>24</v>
      </c>
      <c r="H90">
        <f>SUMIF(DATA!$A:$A,PPL!$A90,DATA!F:F)</f>
        <v>489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36</v>
      </c>
      <c r="L90">
        <f>SUMIF(DATA!$A:$A,PPL!$A90,DATA!J:J)</f>
        <v>0</v>
      </c>
      <c r="M90">
        <f t="shared" si="1"/>
        <v>60</v>
      </c>
    </row>
    <row r="91" spans="1:13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581</v>
      </c>
      <c r="F91">
        <f>SUMIF(DATA!$A:$A,PPL!$A91,DATA!D:D)</f>
        <v>59</v>
      </c>
      <c r="G91">
        <f>SUMIF(DATA!$A:$A,PPL!$A91,DATA!E:E)</f>
        <v>11</v>
      </c>
      <c r="H91">
        <f>SUMIF(DATA!$A:$A,PPL!$A91,DATA!F:F)</f>
        <v>444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67</v>
      </c>
      <c r="L91">
        <f>SUMIF(DATA!$A:$A,PPL!$A91,DATA!J:J)</f>
        <v>0</v>
      </c>
      <c r="M91">
        <f t="shared" si="1"/>
        <v>137</v>
      </c>
    </row>
    <row r="92" spans="1:13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577</v>
      </c>
      <c r="F92">
        <f>SUMIF(DATA!$A:$A,PPL!$A92,DATA!D:D)</f>
        <v>0</v>
      </c>
      <c r="G92">
        <f>SUMIF(DATA!$A:$A,PPL!$A92,DATA!E:E)</f>
        <v>36</v>
      </c>
      <c r="H92">
        <f>SUMIF(DATA!$A:$A,PPL!$A92,DATA!F:F)</f>
        <v>493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48</v>
      </c>
      <c r="L92">
        <f>SUMIF(DATA!$A:$A,PPL!$A92,DATA!J:J)</f>
        <v>0</v>
      </c>
      <c r="M92">
        <f t="shared" si="1"/>
        <v>84</v>
      </c>
    </row>
    <row r="93" spans="1:13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577</v>
      </c>
      <c r="F93">
        <f>SUMIF(DATA!$A:$A,PPL!$A93,DATA!D:D)</f>
        <v>28</v>
      </c>
      <c r="G93">
        <f>SUMIF(DATA!$A:$A,PPL!$A93,DATA!E:E)</f>
        <v>8</v>
      </c>
      <c r="H93">
        <f>SUMIF(DATA!$A:$A,PPL!$A93,DATA!F:F)</f>
        <v>479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60</v>
      </c>
      <c r="L93">
        <f>SUMIF(DATA!$A:$A,PPL!$A93,DATA!J:J)</f>
        <v>0</v>
      </c>
      <c r="M93">
        <f t="shared" si="1"/>
        <v>98</v>
      </c>
    </row>
    <row r="94" spans="1:13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565</v>
      </c>
      <c r="F94">
        <f>SUMIF(DATA!$A:$A,PPL!$A94,DATA!D:D)</f>
        <v>22</v>
      </c>
      <c r="G94">
        <f>SUMIF(DATA!$A:$A,PPL!$A94,DATA!E:E)</f>
        <v>35</v>
      </c>
      <c r="H94">
        <f>SUMIF(DATA!$A:$A,PPL!$A94,DATA!F:F)</f>
        <v>485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23</v>
      </c>
      <c r="L94">
        <f>SUMIF(DATA!$A:$A,PPL!$A94,DATA!J:J)</f>
        <v>0</v>
      </c>
      <c r="M94">
        <f t="shared" si="1"/>
        <v>80</v>
      </c>
    </row>
    <row r="95" spans="1:13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595</v>
      </c>
      <c r="F95">
        <f>SUMIF(DATA!$A:$A,PPL!$A95,DATA!D:D)</f>
        <v>3</v>
      </c>
      <c r="G95">
        <f>SUMIF(DATA!$A:$A,PPL!$A95,DATA!E:E)</f>
        <v>33</v>
      </c>
      <c r="H95">
        <f>SUMIF(DATA!$A:$A,PPL!$A95,DATA!F:F)</f>
        <v>503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55</v>
      </c>
      <c r="L95">
        <f>SUMIF(DATA!$A:$A,PPL!$A95,DATA!J:J)</f>
        <v>0</v>
      </c>
      <c r="M95">
        <f t="shared" si="1"/>
        <v>92</v>
      </c>
    </row>
    <row r="96" spans="1:13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43</v>
      </c>
      <c r="G96">
        <f>SUMIF(DATA!$A:$A,PPL!$A96,DATA!E:E)</f>
        <v>35</v>
      </c>
      <c r="H96">
        <f>SUMIF(DATA!$A:$A,PPL!$A96,DATA!F:F)</f>
        <v>466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28</v>
      </c>
      <c r="L96">
        <f>SUMIF(DATA!$A:$A,PPL!$A96,DATA!J:J)</f>
        <v>0</v>
      </c>
      <c r="M96">
        <f t="shared" si="1"/>
        <v>106</v>
      </c>
    </row>
    <row r="97" spans="1:13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594</v>
      </c>
      <c r="F97">
        <f>SUMIF(DATA!$A:$A,PPL!$A97,DATA!D:D)</f>
        <v>38</v>
      </c>
      <c r="G97">
        <f>SUMIF(DATA!$A:$A,PPL!$A97,DATA!E:E)</f>
        <v>0</v>
      </c>
      <c r="H97">
        <f>SUMIF(DATA!$A:$A,PPL!$A97,DATA!F:F)</f>
        <v>459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97</v>
      </c>
      <c r="L97">
        <f>SUMIF(DATA!$A:$A,PPL!$A97,DATA!J:J)</f>
        <v>0</v>
      </c>
      <c r="M97">
        <f t="shared" si="1"/>
        <v>135</v>
      </c>
    </row>
    <row r="98" spans="1:13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588</v>
      </c>
      <c r="F98">
        <f>SUMIF(DATA!$A:$A,PPL!$A98,DATA!D:D)</f>
        <v>40</v>
      </c>
      <c r="G98">
        <f>SUMIF(DATA!$A:$A,PPL!$A98,DATA!E:E)</f>
        <v>7</v>
      </c>
      <c r="H98">
        <f>SUMIF(DATA!$A:$A,PPL!$A98,DATA!F:F)</f>
        <v>511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29</v>
      </c>
      <c r="L98">
        <f>SUMIF(DATA!$A:$A,PPL!$A98,DATA!J:J)</f>
        <v>0</v>
      </c>
      <c r="M98">
        <f t="shared" si="1"/>
        <v>77</v>
      </c>
    </row>
    <row r="99" spans="1:13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572</v>
      </c>
      <c r="F99">
        <f>SUMIF(DATA!$A:$A,PPL!$A99,DATA!D:D)</f>
        <v>27</v>
      </c>
      <c r="G99">
        <f>SUMIF(DATA!$A:$A,PPL!$A99,DATA!E:E)</f>
        <v>6</v>
      </c>
      <c r="H99">
        <f>SUMIF(DATA!$A:$A,PPL!$A99,DATA!F:F)</f>
        <v>421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118</v>
      </c>
      <c r="L99">
        <f>SUMIF(DATA!$A:$A,PPL!$A99,DATA!J:J)</f>
        <v>0</v>
      </c>
      <c r="M99">
        <f t="shared" si="1"/>
        <v>151</v>
      </c>
    </row>
    <row r="100" spans="1:13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613</v>
      </c>
      <c r="F100">
        <f>SUMIF(DATA!$A:$A,PPL!$A100,DATA!D:D)</f>
        <v>2</v>
      </c>
      <c r="G100">
        <f>SUMIF(DATA!$A:$A,PPL!$A100,DATA!E:E)</f>
        <v>13</v>
      </c>
      <c r="H100">
        <f>SUMIF(DATA!$A:$A,PPL!$A100,DATA!F:F)</f>
        <v>481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117</v>
      </c>
      <c r="L100">
        <f>SUMIF(DATA!$A:$A,PPL!$A100,DATA!J:J)</f>
        <v>0</v>
      </c>
      <c r="M100">
        <f t="shared" si="1"/>
        <v>132</v>
      </c>
    </row>
    <row r="101" spans="1:13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387</v>
      </c>
      <c r="F101">
        <f>SUMIF(DATA!$A:$A,PPL!$A101,DATA!D:D)</f>
        <v>18</v>
      </c>
      <c r="G101">
        <f>SUMIF(DATA!$A:$A,PPL!$A101,DATA!E:E)</f>
        <v>26</v>
      </c>
      <c r="H101">
        <f>SUMIF(DATA!$A:$A,PPL!$A101,DATA!F:F)</f>
        <v>287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56</v>
      </c>
      <c r="L101">
        <f>SUMIF(DATA!$A:$A,PPL!$A101,DATA!J:J)</f>
        <v>0</v>
      </c>
      <c r="M101">
        <f t="shared" si="1"/>
        <v>100</v>
      </c>
    </row>
    <row r="102" spans="1:13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513</v>
      </c>
      <c r="F102">
        <f>SUMIF(DATA!$A:$A,PPL!$A102,DATA!D:D)</f>
        <v>0</v>
      </c>
      <c r="G102">
        <f>SUMIF(DATA!$A:$A,PPL!$A102,DATA!E:E)</f>
        <v>15</v>
      </c>
      <c r="H102">
        <f>SUMIF(DATA!$A:$A,PPL!$A102,DATA!F:F)</f>
        <v>427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71</v>
      </c>
      <c r="L102">
        <f>SUMIF(DATA!$A:$A,PPL!$A102,DATA!J:J)</f>
        <v>0</v>
      </c>
      <c r="M102">
        <f t="shared" si="1"/>
        <v>86</v>
      </c>
    </row>
    <row r="103" spans="1:13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592</v>
      </c>
      <c r="F103">
        <f>SUMIF(DATA!$A:$A,PPL!$A103,DATA!D:D)</f>
        <v>14</v>
      </c>
      <c r="G103">
        <f>SUMIF(DATA!$A:$A,PPL!$A103,DATA!E:E)</f>
        <v>41</v>
      </c>
      <c r="H103">
        <f>SUMIF(DATA!$A:$A,PPL!$A103,DATA!F:F)</f>
        <v>479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54</v>
      </c>
      <c r="L103">
        <f>SUMIF(DATA!$A:$A,PPL!$A103,DATA!J:J)</f>
        <v>0</v>
      </c>
      <c r="M103">
        <f t="shared" si="1"/>
        <v>113</v>
      </c>
    </row>
    <row r="104" spans="1:13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606</v>
      </c>
      <c r="F104">
        <f>SUMIF(DATA!$A:$A,PPL!$A104,DATA!D:D)</f>
        <v>1</v>
      </c>
      <c r="G104">
        <f>SUMIF(DATA!$A:$A,PPL!$A104,DATA!E:E)</f>
        <v>28</v>
      </c>
      <c r="H104">
        <f>SUMIF(DATA!$A:$A,PPL!$A104,DATA!F:F)</f>
        <v>519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58</v>
      </c>
      <c r="L104">
        <f>SUMIF(DATA!$A:$A,PPL!$A104,DATA!J:J)</f>
        <v>0</v>
      </c>
      <c r="M104">
        <f t="shared" si="1"/>
        <v>87</v>
      </c>
    </row>
    <row r="105" spans="1:13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595</v>
      </c>
      <c r="F105">
        <f>SUMIF(DATA!$A:$A,PPL!$A105,DATA!D:D)</f>
        <v>24</v>
      </c>
      <c r="G105">
        <f>SUMIF(DATA!$A:$A,PPL!$A105,DATA!E:E)</f>
        <v>53</v>
      </c>
      <c r="H105">
        <f>SUMIF(DATA!$A:$A,PPL!$A105,DATA!F:F)</f>
        <v>498</v>
      </c>
      <c r="I105">
        <f>SUMIF(DATA!$A:$A,PPL!$A105,DATA!G:G)</f>
        <v>4</v>
      </c>
      <c r="J105">
        <f>SUMIF(DATA!$A:$A,PPL!$A105,DATA!H:H)</f>
        <v>0</v>
      </c>
      <c r="K105">
        <f>SUMIF(DATA!$A:$A,PPL!$A105,DATA!I:I)</f>
        <v>16</v>
      </c>
      <c r="L105">
        <f>SUMIF(DATA!$A:$A,PPL!$A105,DATA!J:J)</f>
        <v>0</v>
      </c>
      <c r="M105">
        <f t="shared" si="1"/>
        <v>97</v>
      </c>
    </row>
    <row r="106" spans="1:13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600</v>
      </c>
      <c r="F106">
        <f>SUMIF(DATA!$A:$A,PPL!$A106,DATA!D:D)</f>
        <v>4</v>
      </c>
      <c r="G106">
        <f>SUMIF(DATA!$A:$A,PPL!$A106,DATA!E:E)</f>
        <v>13</v>
      </c>
      <c r="H106">
        <f>SUMIF(DATA!$A:$A,PPL!$A106,DATA!F:F)</f>
        <v>487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96</v>
      </c>
      <c r="L106">
        <f>SUMIF(DATA!$A:$A,PPL!$A106,DATA!J:J)</f>
        <v>0</v>
      </c>
      <c r="M106">
        <f t="shared" si="1"/>
        <v>113</v>
      </c>
    </row>
    <row r="107" spans="1:13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594</v>
      </c>
      <c r="F107">
        <f>SUMIF(DATA!$A:$A,PPL!$A107,DATA!D:D)</f>
        <v>39</v>
      </c>
      <c r="G107">
        <f>SUMIF(DATA!$A:$A,PPL!$A107,DATA!E:E)</f>
        <v>9</v>
      </c>
      <c r="H107">
        <f>SUMIF(DATA!$A:$A,PPL!$A107,DATA!F:F)</f>
        <v>487</v>
      </c>
      <c r="I107">
        <f>SUMIF(DATA!$A:$A,PPL!$A107,DATA!G:G)</f>
        <v>11</v>
      </c>
      <c r="J107">
        <f>SUMIF(DATA!$A:$A,PPL!$A107,DATA!H:H)</f>
        <v>0</v>
      </c>
      <c r="K107">
        <f>SUMIF(DATA!$A:$A,PPL!$A107,DATA!I:I)</f>
        <v>48</v>
      </c>
      <c r="L107">
        <f>SUMIF(DATA!$A:$A,PPL!$A107,DATA!J:J)</f>
        <v>0</v>
      </c>
      <c r="M107">
        <f t="shared" si="1"/>
        <v>107</v>
      </c>
    </row>
    <row r="108" spans="1:13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619</v>
      </c>
      <c r="F108">
        <f>SUMIF(DATA!$A:$A,PPL!$A108,DATA!D:D)</f>
        <v>30</v>
      </c>
      <c r="G108">
        <f>SUMIF(DATA!$A:$A,PPL!$A108,DATA!E:E)</f>
        <v>63</v>
      </c>
      <c r="H108">
        <f>SUMIF(DATA!$A:$A,PPL!$A108,DATA!F:F)</f>
        <v>476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50</v>
      </c>
      <c r="L108">
        <f>SUMIF(DATA!$A:$A,PPL!$A108,DATA!J:J)</f>
        <v>0</v>
      </c>
      <c r="M108">
        <f t="shared" si="1"/>
        <v>143</v>
      </c>
    </row>
    <row r="109" spans="1:13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616</v>
      </c>
      <c r="F109">
        <f>SUMIF(DATA!$A:$A,PPL!$A109,DATA!D:D)</f>
        <v>33</v>
      </c>
      <c r="G109">
        <f>SUMIF(DATA!$A:$A,PPL!$A109,DATA!E:E)</f>
        <v>27</v>
      </c>
      <c r="H109">
        <f>SUMIF(DATA!$A:$A,PPL!$A109,DATA!F:F)</f>
        <v>509</v>
      </c>
      <c r="I109">
        <f>SUMIF(DATA!$A:$A,PPL!$A109,DATA!G:G)</f>
        <v>23</v>
      </c>
      <c r="J109">
        <f>SUMIF(DATA!$A:$A,PPL!$A109,DATA!H:H)</f>
        <v>0</v>
      </c>
      <c r="K109">
        <f>SUMIF(DATA!$A:$A,PPL!$A109,DATA!I:I)</f>
        <v>24</v>
      </c>
      <c r="L109">
        <f>SUMIF(DATA!$A:$A,PPL!$A109,DATA!J:J)</f>
        <v>0</v>
      </c>
      <c r="M109">
        <f t="shared" si="1"/>
        <v>107</v>
      </c>
    </row>
    <row r="110" spans="1:13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611</v>
      </c>
      <c r="F110">
        <f>SUMIF(DATA!$A:$A,PPL!$A110,DATA!D:D)</f>
        <v>89</v>
      </c>
      <c r="G110">
        <f>SUMIF(DATA!$A:$A,PPL!$A110,DATA!E:E)</f>
        <v>9</v>
      </c>
      <c r="H110">
        <f>SUMIF(DATA!$A:$A,PPL!$A110,DATA!F:F)</f>
        <v>512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</v>
      </c>
      <c r="L110">
        <f>SUMIF(DATA!$A:$A,PPL!$A110,DATA!J:J)</f>
        <v>0</v>
      </c>
      <c r="M110">
        <f t="shared" si="1"/>
        <v>99</v>
      </c>
    </row>
    <row r="111" spans="1:13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575</v>
      </c>
      <c r="F111">
        <f>SUMIF(DATA!$A:$A,PPL!$A111,DATA!D:D)</f>
        <v>74</v>
      </c>
      <c r="G111">
        <f>SUMIF(DATA!$A:$A,PPL!$A111,DATA!E:E)</f>
        <v>16</v>
      </c>
      <c r="H111">
        <f>SUMIF(DATA!$A:$A,PPL!$A111,DATA!F:F)</f>
        <v>470</v>
      </c>
      <c r="I111">
        <f>SUMIF(DATA!$A:$A,PPL!$A111,DATA!G:G)</f>
        <v>13</v>
      </c>
      <c r="J111">
        <f>SUMIF(DATA!$A:$A,PPL!$A111,DATA!H:H)</f>
        <v>0</v>
      </c>
      <c r="K111">
        <f>SUMIF(DATA!$A:$A,PPL!$A111,DATA!I:I)</f>
        <v>2</v>
      </c>
      <c r="L111">
        <f>SUMIF(DATA!$A:$A,PPL!$A111,DATA!J:J)</f>
        <v>0</v>
      </c>
      <c r="M111">
        <f t="shared" si="1"/>
        <v>105</v>
      </c>
    </row>
    <row r="112" spans="1:13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588</v>
      </c>
      <c r="F112">
        <f>SUMIF(DATA!$A:$A,PPL!$A112,DATA!D:D)</f>
        <v>155</v>
      </c>
      <c r="G112">
        <f>SUMIF(DATA!$A:$A,PPL!$A112,DATA!E:E)</f>
        <v>1</v>
      </c>
      <c r="H112">
        <f>SUMIF(DATA!$A:$A,PPL!$A112,DATA!F:F)</f>
        <v>429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1"/>
        <v>159</v>
      </c>
    </row>
    <row r="113" spans="1:13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595</v>
      </c>
      <c r="F113">
        <f>SUMIF(DATA!$A:$A,PPL!$A113,DATA!D:D)</f>
        <v>42</v>
      </c>
      <c r="G113">
        <f>SUMIF(DATA!$A:$A,PPL!$A113,DATA!E:E)</f>
        <v>61</v>
      </c>
      <c r="H113">
        <f>SUMIF(DATA!$A:$A,PPL!$A113,DATA!F:F)</f>
        <v>487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1"/>
        <v>108</v>
      </c>
    </row>
    <row r="114" spans="1:13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542</v>
      </c>
      <c r="F114">
        <f>SUMIF(DATA!$A:$A,PPL!$A114,DATA!D:D)</f>
        <v>57</v>
      </c>
      <c r="G114">
        <f>SUMIF(DATA!$A:$A,PPL!$A114,DATA!E:E)</f>
        <v>1</v>
      </c>
      <c r="H114">
        <f>SUMIF(DATA!$A:$A,PPL!$A114,DATA!F:F)</f>
        <v>482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2</v>
      </c>
      <c r="L114">
        <f>SUMIF(DATA!$A:$A,PPL!$A114,DATA!J:J)</f>
        <v>0</v>
      </c>
      <c r="M114">
        <f t="shared" si="1"/>
        <v>60</v>
      </c>
    </row>
    <row r="115" spans="1:13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601</v>
      </c>
      <c r="F115">
        <f>SUMIF(DATA!$A:$A,PPL!$A115,DATA!D:D)</f>
        <v>16</v>
      </c>
      <c r="G115">
        <f>SUMIF(DATA!$A:$A,PPL!$A115,DATA!E:E)</f>
        <v>19</v>
      </c>
      <c r="H115">
        <f>SUMIF(DATA!$A:$A,PPL!$A115,DATA!F:F)</f>
        <v>557</v>
      </c>
      <c r="I115">
        <f>SUMIF(DATA!$A:$A,PPL!$A115,DATA!G:G)</f>
        <v>8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1"/>
        <v>44</v>
      </c>
    </row>
    <row r="116" spans="1:13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618</v>
      </c>
      <c r="F116">
        <f>SUMIF(DATA!$A:$A,PPL!$A116,DATA!D:D)</f>
        <v>2</v>
      </c>
      <c r="G116">
        <f>SUMIF(DATA!$A:$A,PPL!$A116,DATA!E:E)</f>
        <v>33</v>
      </c>
      <c r="H116">
        <f>SUMIF(DATA!$A:$A,PPL!$A116,DATA!F:F)</f>
        <v>534</v>
      </c>
      <c r="I116">
        <f>SUMIF(DATA!$A:$A,PPL!$A116,DATA!G:G)</f>
        <v>10</v>
      </c>
      <c r="J116">
        <f>SUMIF(DATA!$A:$A,PPL!$A116,DATA!H:H)</f>
        <v>0</v>
      </c>
      <c r="K116">
        <f>SUMIF(DATA!$A:$A,PPL!$A116,DATA!I:I)</f>
        <v>39</v>
      </c>
      <c r="L116">
        <f>SUMIF(DATA!$A:$A,PPL!$A116,DATA!J:J)</f>
        <v>0</v>
      </c>
      <c r="M116">
        <f t="shared" si="1"/>
        <v>84</v>
      </c>
    </row>
    <row r="117" spans="1:13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619</v>
      </c>
      <c r="F117">
        <f>SUMIF(DATA!$A:$A,PPL!$A117,DATA!D:D)</f>
        <v>3</v>
      </c>
      <c r="G117">
        <f>SUMIF(DATA!$A:$A,PPL!$A117,DATA!E:E)</f>
        <v>34</v>
      </c>
      <c r="H117">
        <f>SUMIF(DATA!$A:$A,PPL!$A117,DATA!F:F)</f>
        <v>529</v>
      </c>
      <c r="I117">
        <f>SUMIF(DATA!$A:$A,PPL!$A117,DATA!G:G)</f>
        <v>1</v>
      </c>
      <c r="J117">
        <f>SUMIF(DATA!$A:$A,PPL!$A117,DATA!H:H)</f>
        <v>0</v>
      </c>
      <c r="K117">
        <f>SUMIF(DATA!$A:$A,PPL!$A117,DATA!I:I)</f>
        <v>52</v>
      </c>
      <c r="L117">
        <f>SUMIF(DATA!$A:$A,PPL!$A117,DATA!J:J)</f>
        <v>0</v>
      </c>
      <c r="M117">
        <f t="shared" si="1"/>
        <v>90</v>
      </c>
    </row>
    <row r="118" spans="1:13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588</v>
      </c>
      <c r="F118">
        <f>SUMIF(DATA!$A:$A,PPL!$A118,DATA!D:D)</f>
        <v>4</v>
      </c>
      <c r="G118">
        <f>SUMIF(DATA!$A:$A,PPL!$A118,DATA!E:E)</f>
        <v>49</v>
      </c>
      <c r="H118">
        <f>SUMIF(DATA!$A:$A,PPL!$A118,DATA!F:F)</f>
        <v>500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35</v>
      </c>
      <c r="L118">
        <f>SUMIF(DATA!$A:$A,PPL!$A118,DATA!J:J)</f>
        <v>0</v>
      </c>
      <c r="M118">
        <f t="shared" si="1"/>
        <v>88</v>
      </c>
    </row>
    <row r="119" spans="1:13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599</v>
      </c>
      <c r="F119">
        <f>SUMIF(DATA!$A:$A,PPL!$A119,DATA!D:D)</f>
        <v>112</v>
      </c>
      <c r="G119">
        <f>SUMIF(DATA!$A:$A,PPL!$A119,DATA!E:E)</f>
        <v>12</v>
      </c>
      <c r="H119">
        <f>SUMIF(DATA!$A:$A,PPL!$A119,DATA!F:F)</f>
        <v>445</v>
      </c>
      <c r="I119">
        <f>SUMIF(DATA!$A:$A,PPL!$A119,DATA!G:G)</f>
        <v>28</v>
      </c>
      <c r="J119">
        <f>SUMIF(DATA!$A:$A,PPL!$A119,DATA!H:H)</f>
        <v>0</v>
      </c>
      <c r="K119">
        <f>SUMIF(DATA!$A:$A,PPL!$A119,DATA!I:I)</f>
        <v>2</v>
      </c>
      <c r="L119">
        <f>SUMIF(DATA!$A:$A,PPL!$A119,DATA!J:J)</f>
        <v>0</v>
      </c>
      <c r="M119">
        <f t="shared" si="1"/>
        <v>154</v>
      </c>
    </row>
    <row r="120" spans="1:13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605</v>
      </c>
      <c r="F120">
        <f>SUMIF(DATA!$A:$A,PPL!$A120,DATA!D:D)</f>
        <v>78</v>
      </c>
      <c r="G120">
        <f>SUMIF(DATA!$A:$A,PPL!$A120,DATA!E:E)</f>
        <v>48</v>
      </c>
      <c r="H120">
        <f>SUMIF(DATA!$A:$A,PPL!$A120,DATA!F:F)</f>
        <v>409</v>
      </c>
      <c r="I120">
        <f>SUMIF(DATA!$A:$A,PPL!$A120,DATA!G:G)</f>
        <v>6</v>
      </c>
      <c r="J120">
        <f>SUMIF(DATA!$A:$A,PPL!$A120,DATA!H:H)</f>
        <v>0</v>
      </c>
      <c r="K120">
        <f>SUMIF(DATA!$A:$A,PPL!$A120,DATA!I:I)</f>
        <v>64</v>
      </c>
      <c r="L120">
        <f>SUMIF(DATA!$A:$A,PPL!$A120,DATA!J:J)</f>
        <v>0</v>
      </c>
      <c r="M120">
        <f t="shared" si="1"/>
        <v>196</v>
      </c>
    </row>
    <row r="121" spans="1:13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617</v>
      </c>
      <c r="F121">
        <f>SUMIF(DATA!$A:$A,PPL!$A121,DATA!D:D)</f>
        <v>76</v>
      </c>
      <c r="G121">
        <f>SUMIF(DATA!$A:$A,PPL!$A121,DATA!E:E)</f>
        <v>23</v>
      </c>
      <c r="H121">
        <f>SUMIF(DATA!$A:$A,PPL!$A121,DATA!F:F)</f>
        <v>475</v>
      </c>
      <c r="I121">
        <f>SUMIF(DATA!$A:$A,PPL!$A121,DATA!G:G)</f>
        <v>17</v>
      </c>
      <c r="J121">
        <f>SUMIF(DATA!$A:$A,PPL!$A121,DATA!H:H)</f>
        <v>0</v>
      </c>
      <c r="K121">
        <f>SUMIF(DATA!$A:$A,PPL!$A121,DATA!I:I)</f>
        <v>26</v>
      </c>
      <c r="L121">
        <f>SUMIF(DATA!$A:$A,PPL!$A121,DATA!J:J)</f>
        <v>0</v>
      </c>
      <c r="M121">
        <f t="shared" si="1"/>
        <v>142</v>
      </c>
    </row>
    <row r="122" spans="1:13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612</v>
      </c>
      <c r="F122">
        <f>SUMIF(DATA!$A:$A,PPL!$A122,DATA!D:D)</f>
        <v>16</v>
      </c>
      <c r="G122">
        <f>SUMIF(DATA!$A:$A,PPL!$A122,DATA!E:E)</f>
        <v>15</v>
      </c>
      <c r="H122">
        <f>SUMIF(DATA!$A:$A,PPL!$A122,DATA!F:F)</f>
        <v>528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53</v>
      </c>
      <c r="L122">
        <f>SUMIF(DATA!$A:$A,PPL!$A122,DATA!J:J)</f>
        <v>0</v>
      </c>
      <c r="M122">
        <f t="shared" si="1"/>
        <v>84</v>
      </c>
    </row>
    <row r="123" spans="1:13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592</v>
      </c>
      <c r="F123">
        <f>SUMIF(DATA!$A:$A,PPL!$A123,DATA!D:D)</f>
        <v>25</v>
      </c>
      <c r="G123">
        <f>SUMIF(DATA!$A:$A,PPL!$A123,DATA!E:E)</f>
        <v>27</v>
      </c>
      <c r="H123">
        <f>SUMIF(DATA!$A:$A,PPL!$A123,DATA!F:F)</f>
        <v>450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87</v>
      </c>
      <c r="L123">
        <f>SUMIF(DATA!$A:$A,PPL!$A123,DATA!J:J)</f>
        <v>0</v>
      </c>
      <c r="M123">
        <f t="shared" si="1"/>
        <v>142</v>
      </c>
    </row>
    <row r="124" spans="1:13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578</v>
      </c>
      <c r="F124">
        <f>SUMIF(DATA!$A:$A,PPL!$A124,DATA!D:D)</f>
        <v>6</v>
      </c>
      <c r="G124">
        <f>SUMIF(DATA!$A:$A,PPL!$A124,DATA!E:E)</f>
        <v>10</v>
      </c>
      <c r="H124">
        <f>SUMIF(DATA!$A:$A,PPL!$A124,DATA!F:F)</f>
        <v>500</v>
      </c>
      <c r="I124">
        <f>SUMIF(DATA!$A:$A,PPL!$A124,DATA!G:G)</f>
        <v>5</v>
      </c>
      <c r="J124">
        <f>SUMIF(DATA!$A:$A,PPL!$A124,DATA!H:H)</f>
        <v>0</v>
      </c>
      <c r="K124">
        <f>SUMIF(DATA!$A:$A,PPL!$A124,DATA!I:I)</f>
        <v>57</v>
      </c>
      <c r="L124">
        <f>SUMIF(DATA!$A:$A,PPL!$A124,DATA!J:J)</f>
        <v>0</v>
      </c>
      <c r="M124">
        <f t="shared" si="1"/>
        <v>78</v>
      </c>
    </row>
    <row r="125" spans="1:13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585</v>
      </c>
      <c r="F125">
        <f>SUMIF(DATA!$A:$A,PPL!$A125,DATA!D:D)</f>
        <v>49</v>
      </c>
      <c r="G125">
        <f>SUMIF(DATA!$A:$A,PPL!$A125,DATA!E:E)</f>
        <v>21</v>
      </c>
      <c r="H125">
        <f>SUMIF(DATA!$A:$A,PPL!$A125,DATA!F:F)</f>
        <v>500</v>
      </c>
      <c r="I125">
        <f>SUMIF(DATA!$A:$A,PPL!$A125,DATA!G:G)</f>
        <v>10</v>
      </c>
      <c r="J125">
        <f>SUMIF(DATA!$A:$A,PPL!$A125,DATA!H:H)</f>
        <v>0</v>
      </c>
      <c r="K125">
        <f>SUMIF(DATA!$A:$A,PPL!$A125,DATA!I:I)</f>
        <v>5</v>
      </c>
      <c r="L125">
        <f>SUMIF(DATA!$A:$A,PPL!$A125,DATA!J:J)</f>
        <v>0</v>
      </c>
      <c r="M125">
        <f t="shared" si="1"/>
        <v>85</v>
      </c>
    </row>
    <row r="126" spans="1:13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603</v>
      </c>
      <c r="F126">
        <f>SUMIF(DATA!$A:$A,PPL!$A126,DATA!D:D)</f>
        <v>0</v>
      </c>
      <c r="G126">
        <f>SUMIF(DATA!$A:$A,PPL!$A126,DATA!E:E)</f>
        <v>27</v>
      </c>
      <c r="H126">
        <f>SUMIF(DATA!$A:$A,PPL!$A126,DATA!F:F)</f>
        <v>529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45</v>
      </c>
      <c r="L126">
        <f>SUMIF(DATA!$A:$A,PPL!$A126,DATA!J:J)</f>
        <v>0</v>
      </c>
      <c r="M126">
        <f t="shared" si="1"/>
        <v>74</v>
      </c>
    </row>
    <row r="127" spans="1:13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622</v>
      </c>
      <c r="F127">
        <f>SUMIF(DATA!$A:$A,PPL!$A127,DATA!D:D)</f>
        <v>0</v>
      </c>
      <c r="G127">
        <f>SUMIF(DATA!$A:$A,PPL!$A127,DATA!E:E)</f>
        <v>26</v>
      </c>
      <c r="H127">
        <f>SUMIF(DATA!$A:$A,PPL!$A127,DATA!F:F)</f>
        <v>533</v>
      </c>
      <c r="I127">
        <f>SUMIF(DATA!$A:$A,PPL!$A127,DATA!G:G)</f>
        <v>6</v>
      </c>
      <c r="J127">
        <f>SUMIF(DATA!$A:$A,PPL!$A127,DATA!H:H)</f>
        <v>0</v>
      </c>
      <c r="K127">
        <f>SUMIF(DATA!$A:$A,PPL!$A127,DATA!I:I)</f>
        <v>57</v>
      </c>
      <c r="L127">
        <f>SUMIF(DATA!$A:$A,PPL!$A127,DATA!J:J)</f>
        <v>0</v>
      </c>
      <c r="M127">
        <f t="shared" si="1"/>
        <v>89</v>
      </c>
    </row>
    <row r="128" spans="1:13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567</v>
      </c>
      <c r="F128">
        <f>SUMIF(DATA!$A:$A,PPL!$A128,DATA!D:D)</f>
        <v>54</v>
      </c>
      <c r="G128">
        <f>SUMIF(DATA!$A:$A,PPL!$A128,DATA!E:E)</f>
        <v>26</v>
      </c>
      <c r="H128">
        <f>SUMIF(DATA!$A:$A,PPL!$A128,DATA!F:F)</f>
        <v>478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5</v>
      </c>
      <c r="L128">
        <f>SUMIF(DATA!$A:$A,PPL!$A128,DATA!J:J)</f>
        <v>0</v>
      </c>
      <c r="M128">
        <f t="shared" si="1"/>
        <v>89</v>
      </c>
    </row>
    <row r="129" spans="1:13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584</v>
      </c>
      <c r="F129">
        <f>SUMIF(DATA!$A:$A,PPL!$A129,DATA!D:D)</f>
        <v>34</v>
      </c>
      <c r="G129">
        <f>SUMIF(DATA!$A:$A,PPL!$A129,DATA!E:E)</f>
        <v>15</v>
      </c>
      <c r="H129">
        <f>SUMIF(DATA!$A:$A,PPL!$A129,DATA!F:F)</f>
        <v>506</v>
      </c>
      <c r="I129">
        <f>SUMIF(DATA!$A:$A,PPL!$A129,DATA!G:G)</f>
        <v>7</v>
      </c>
      <c r="J129">
        <f>SUMIF(DATA!$A:$A,PPL!$A129,DATA!H:H)</f>
        <v>0</v>
      </c>
      <c r="K129">
        <f>SUMIF(DATA!$A:$A,PPL!$A129,DATA!I:I)</f>
        <v>21</v>
      </c>
      <c r="L129">
        <f>SUMIF(DATA!$A:$A,PPL!$A129,DATA!J:J)</f>
        <v>1</v>
      </c>
      <c r="M129">
        <f t="shared" si="1"/>
        <v>78</v>
      </c>
    </row>
    <row r="130" spans="1:13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583</v>
      </c>
      <c r="F130">
        <f>SUMIF(DATA!$A:$A,PPL!$A130,DATA!D:D)</f>
        <v>0</v>
      </c>
      <c r="G130">
        <f>SUMIF(DATA!$A:$A,PPL!$A130,DATA!E:E)</f>
        <v>4</v>
      </c>
      <c r="H130">
        <f>SUMIF(DATA!$A:$A,PPL!$A130,DATA!F:F)</f>
        <v>510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69</v>
      </c>
      <c r="L130">
        <f>SUMIF(DATA!$A:$A,PPL!$A130,DATA!J:J)</f>
        <v>0</v>
      </c>
      <c r="M130">
        <f t="shared" ref="M130:M137" si="2">F130+G130+I130+J130+K130+L130</f>
        <v>73</v>
      </c>
    </row>
    <row r="131" spans="1:13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598</v>
      </c>
      <c r="F131">
        <f>SUMIF(DATA!$A:$A,PPL!$A131,DATA!D:D)</f>
        <v>0</v>
      </c>
      <c r="G131">
        <f>SUMIF(DATA!$A:$A,PPL!$A131,DATA!E:E)</f>
        <v>45</v>
      </c>
      <c r="H131">
        <f>SUMIF(DATA!$A:$A,PPL!$A131,DATA!F:F)</f>
        <v>514</v>
      </c>
      <c r="I131">
        <f>SUMIF(DATA!$A:$A,PPL!$A131,DATA!G:G)</f>
        <v>4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si="2"/>
        <v>84</v>
      </c>
    </row>
    <row r="132" spans="1:13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586</v>
      </c>
      <c r="F132">
        <f>SUMIF(DATA!$A:$A,PPL!$A132,DATA!D:D)</f>
        <v>0</v>
      </c>
      <c r="G132">
        <f>SUMIF(DATA!$A:$A,PPL!$A132,DATA!E:E)</f>
        <v>30</v>
      </c>
      <c r="H132">
        <f>SUMIF(DATA!$A:$A,PPL!$A132,DATA!F:F)</f>
        <v>479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77</v>
      </c>
      <c r="L132">
        <f>SUMIF(DATA!$A:$A,PPL!$A132,DATA!J:J)</f>
        <v>0</v>
      </c>
      <c r="M132">
        <f t="shared" si="2"/>
        <v>107</v>
      </c>
    </row>
    <row r="133" spans="1:13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579</v>
      </c>
      <c r="F133">
        <f>SUMIF(DATA!$A:$A,PPL!$A133,DATA!D:D)</f>
        <v>0</v>
      </c>
      <c r="G133">
        <f>SUMIF(DATA!$A:$A,PPL!$A133,DATA!E:E)</f>
        <v>17</v>
      </c>
      <c r="H133">
        <f>SUMIF(DATA!$A:$A,PPL!$A133,DATA!F:F)</f>
        <v>534</v>
      </c>
      <c r="I133">
        <f>SUMIF(DATA!$A:$A,PPL!$A133,DATA!G:G)</f>
        <v>0</v>
      </c>
      <c r="J133">
        <f>SUMIF(DATA!$A:$A,PPL!$A133,DATA!H:H)</f>
        <v>0</v>
      </c>
      <c r="K133">
        <f>SUMIF(DATA!$A:$A,PPL!$A133,DATA!I:I)</f>
        <v>28</v>
      </c>
      <c r="L133">
        <f>SUMIF(DATA!$A:$A,PPL!$A133,DATA!J:J)</f>
        <v>0</v>
      </c>
      <c r="M133">
        <f t="shared" si="2"/>
        <v>45</v>
      </c>
    </row>
    <row r="134" spans="1:13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513</v>
      </c>
      <c r="F134">
        <f>SUMIF(DATA!$A:$A,PPL!$A134,DATA!D:D)</f>
        <v>0</v>
      </c>
      <c r="G134">
        <f>SUMIF(DATA!$A:$A,PPL!$A134,DATA!E:E)</f>
        <v>31</v>
      </c>
      <c r="H134">
        <f>SUMIF(DATA!$A:$A,PPL!$A134,DATA!F:F)</f>
        <v>432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50</v>
      </c>
      <c r="L134">
        <f>SUMIF(DATA!$A:$A,PPL!$A134,DATA!J:J)</f>
        <v>0</v>
      </c>
      <c r="M134">
        <f t="shared" si="2"/>
        <v>81</v>
      </c>
    </row>
    <row r="135" spans="1:13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567</v>
      </c>
      <c r="F135">
        <f>SUMIF(DATA!$A:$A,PPL!$A135,DATA!D:D)</f>
        <v>25</v>
      </c>
      <c r="G135">
        <f>SUMIF(DATA!$A:$A,PPL!$A135,DATA!E:E)</f>
        <v>47</v>
      </c>
      <c r="H135">
        <f>SUMIF(DATA!$A:$A,PPL!$A135,DATA!F:F)</f>
        <v>449</v>
      </c>
      <c r="I135">
        <f>SUMIF(DATA!$A:$A,PPL!$A135,DATA!G:G)</f>
        <v>2</v>
      </c>
      <c r="J135">
        <f>SUMIF(DATA!$A:$A,PPL!$A135,DATA!H:H)</f>
        <v>0</v>
      </c>
      <c r="K135">
        <f>SUMIF(DATA!$A:$A,PPL!$A135,DATA!I:I)</f>
        <v>44</v>
      </c>
      <c r="L135">
        <f>SUMIF(DATA!$A:$A,PPL!$A135,DATA!J:J)</f>
        <v>0</v>
      </c>
      <c r="M135">
        <f t="shared" si="2"/>
        <v>118</v>
      </c>
    </row>
    <row r="136" spans="1:13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589</v>
      </c>
      <c r="F136">
        <f>SUMIF(DATA!$A:$A,PPL!$A136,DATA!D:D)</f>
        <v>0</v>
      </c>
      <c r="G136">
        <f>SUMIF(DATA!$A:$A,PPL!$A136,DATA!E:E)</f>
        <v>96</v>
      </c>
      <c r="H136">
        <f>SUMIF(DATA!$A:$A,PPL!$A136,DATA!F:F)</f>
        <v>409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83</v>
      </c>
      <c r="L136">
        <f>SUMIF(DATA!$A:$A,PPL!$A136,DATA!J:J)</f>
        <v>0</v>
      </c>
      <c r="M136">
        <f t="shared" si="2"/>
        <v>180</v>
      </c>
    </row>
    <row r="137" spans="1:13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674</v>
      </c>
      <c r="F137">
        <f>SUMIF(DATA!$A:$A,PPL!$A137,DATA!D:D)</f>
        <v>0</v>
      </c>
      <c r="G137">
        <f>SUMIF(DATA!$A:$A,PPL!$A137,DATA!E:E)</f>
        <v>16</v>
      </c>
      <c r="H137">
        <f>SUMIF(DATA!$A:$A,PPL!$A137,DATA!F:F)</f>
        <v>591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66</v>
      </c>
      <c r="L137">
        <f>SUMIF(DATA!$A:$A,PPL!$A137,DATA!J:J)</f>
        <v>0</v>
      </c>
      <c r="M137">
        <f t="shared" si="2"/>
        <v>83</v>
      </c>
    </row>
    <row r="138" spans="1:13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623</v>
      </c>
      <c r="F138">
        <f>SUMIF(DATA!$A:$A,PPL!$A138,DATA!D:D)</f>
        <v>0</v>
      </c>
      <c r="G138">
        <f>SUMIF(DATA!$A:$A,PPL!$A138,DATA!E:E)</f>
        <v>12</v>
      </c>
      <c r="H138">
        <f>SUMIF(DATA!$A:$A,PPL!$A138,DATA!F:F)</f>
        <v>586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12</v>
      </c>
      <c r="L138">
        <f>SUMIF(DATA!$A:$A,PPL!$A138,DATA!J:J)</f>
        <v>0</v>
      </c>
      <c r="M138">
        <f t="shared" ref="M138:M139" si="3">F138+G138+I138+J138+K138+L138</f>
        <v>37</v>
      </c>
    </row>
    <row r="139" spans="1:13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533</v>
      </c>
      <c r="F139">
        <f>SUMIF(DATA!$A:$A,PPL!$A139,DATA!D:D)</f>
        <v>0</v>
      </c>
      <c r="G139">
        <f>SUMIF(DATA!$A:$A,PPL!$A139,DATA!E:E)</f>
        <v>4</v>
      </c>
      <c r="H139">
        <f>SUMIF(DATA!$A:$A,PPL!$A139,DATA!F:F)</f>
        <v>520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9</v>
      </c>
      <c r="L139">
        <f>SUMIF(DATA!$A:$A,PPL!$A139,DATA!J:J)</f>
        <v>0</v>
      </c>
      <c r="M139">
        <f t="shared" si="3"/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E24" sqref="E24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</row>
    <row r="2" spans="1:11" x14ac:dyDescent="0.25">
      <c r="A2" t="s">
        <v>162</v>
      </c>
      <c r="B2" t="s">
        <v>198</v>
      </c>
      <c r="C2">
        <f>SUMIF(PPL!$C:$C,PML!$A2,PPL!E:E)</f>
        <v>4258</v>
      </c>
      <c r="D2">
        <f>SUMIF(PPL!$C:$C,PML!$A2,PPL!F:F)</f>
        <v>149</v>
      </c>
      <c r="E2">
        <f>SUMIF(PPL!$C:$C,PML!$A2,PPL!G:G)</f>
        <v>86</v>
      </c>
      <c r="F2">
        <f>SUMIF(PPL!$C:$C,PML!$A2,PPL!H:H)</f>
        <v>3380</v>
      </c>
      <c r="G2">
        <f>SUMIF(PPL!$C:$C,PML!$A2,PPL!I:I)</f>
        <v>15</v>
      </c>
      <c r="H2">
        <f>SUMIF(PPL!$C:$C,PML!$A2,PPL!J:J)</f>
        <v>1</v>
      </c>
      <c r="I2">
        <f>SUMIF(PPL!$C:$C,PML!$A2,PPL!K:K)</f>
        <v>627</v>
      </c>
      <c r="J2">
        <f>SUMIF(PPL!$C:$C,PML!$A2,PPL!L:L)</f>
        <v>0</v>
      </c>
      <c r="K2">
        <f>D2+G2+H2</f>
        <v>165</v>
      </c>
    </row>
    <row r="3" spans="1:11" x14ac:dyDescent="0.25">
      <c r="A3" t="s">
        <v>163</v>
      </c>
      <c r="B3" t="s">
        <v>187</v>
      </c>
      <c r="C3">
        <f>SUMIF(PPL!$C:$C,PML!$A3,PPL!E:E)</f>
        <v>4165</v>
      </c>
      <c r="D3">
        <f>SUMIF(PPL!$C:$C,PML!$A3,PPL!F:F)</f>
        <v>45</v>
      </c>
      <c r="E3">
        <f>SUMIF(PPL!$C:$C,PML!$A3,PPL!G:G)</f>
        <v>111</v>
      </c>
      <c r="F3">
        <f>SUMIF(PPL!$C:$C,PML!$A3,PPL!H:H)</f>
        <v>3429</v>
      </c>
      <c r="G3">
        <f>SUMIF(PPL!$C:$C,PML!$A3,PPL!I:I)</f>
        <v>6</v>
      </c>
      <c r="H3">
        <f>SUMIF(PPL!$C:$C,PML!$A3,PPL!J:J)</f>
        <v>1</v>
      </c>
      <c r="I3">
        <f>SUMIF(PPL!$C:$C,PML!$A3,PPL!K:K)</f>
        <v>573</v>
      </c>
      <c r="J3">
        <f>SUMIF(PPL!$C:$C,PML!$A3,PPL!L:L)</f>
        <v>0</v>
      </c>
      <c r="K3">
        <f t="shared" ref="K3:K20" si="0">D3+G3+H3</f>
        <v>52</v>
      </c>
    </row>
    <row r="4" spans="1:11" x14ac:dyDescent="0.25">
      <c r="A4" t="s">
        <v>164</v>
      </c>
      <c r="B4" t="s">
        <v>190</v>
      </c>
      <c r="C4">
        <f>SUMIF(PPL!$C:$C,PML!$A4,PPL!E:E)</f>
        <v>4281</v>
      </c>
      <c r="D4">
        <f>SUMIF(PPL!$C:$C,PML!$A4,PPL!F:F)</f>
        <v>89</v>
      </c>
      <c r="E4">
        <f>SUMIF(PPL!$C:$C,PML!$A4,PPL!G:G)</f>
        <v>62</v>
      </c>
      <c r="F4">
        <f>SUMIF(PPL!$C:$C,PML!$A4,PPL!H:H)</f>
        <v>3393</v>
      </c>
      <c r="G4">
        <f>SUMIF(PPL!$C:$C,PML!$A4,PPL!I:I)</f>
        <v>24</v>
      </c>
      <c r="H4">
        <f>SUMIF(PPL!$C:$C,PML!$A4,PPL!J:J)</f>
        <v>0</v>
      </c>
      <c r="I4">
        <f>SUMIF(PPL!$C:$C,PML!$A4,PPL!K:K)</f>
        <v>712</v>
      </c>
      <c r="J4">
        <f>SUMIF(PPL!$C:$C,PML!$A4,PPL!L:L)</f>
        <v>1</v>
      </c>
      <c r="K4">
        <f t="shared" si="0"/>
        <v>113</v>
      </c>
    </row>
    <row r="5" spans="1:11" x14ac:dyDescent="0.25">
      <c r="A5" t="s">
        <v>165</v>
      </c>
      <c r="B5" t="s">
        <v>181</v>
      </c>
      <c r="C5">
        <f>SUMIF(PPL!$C:$C,PML!$A5,PPL!E:E)</f>
        <v>5018</v>
      </c>
      <c r="D5">
        <f>SUMIF(PPL!$C:$C,PML!$A5,PPL!F:F)</f>
        <v>399</v>
      </c>
      <c r="E5">
        <f>SUMIF(PPL!$C:$C,PML!$A5,PPL!G:G)</f>
        <v>295</v>
      </c>
      <c r="F5">
        <f>SUMIF(PPL!$C:$C,PML!$A5,PPL!H:H)</f>
        <v>4069</v>
      </c>
      <c r="G5">
        <f>SUMIF(PPL!$C:$C,PML!$A5,PPL!I:I)</f>
        <v>83</v>
      </c>
      <c r="H5">
        <f>SUMIF(PPL!$C:$C,PML!$A5,PPL!J:J)</f>
        <v>0</v>
      </c>
      <c r="I5">
        <f>SUMIF(PPL!$C:$C,PML!$A5,PPL!K:K)</f>
        <v>172</v>
      </c>
      <c r="J5">
        <f>SUMIF(PPL!$C:$C,PML!$A5,PPL!L:L)</f>
        <v>0</v>
      </c>
      <c r="K5">
        <f t="shared" si="0"/>
        <v>482</v>
      </c>
    </row>
    <row r="6" spans="1:11" x14ac:dyDescent="0.25">
      <c r="A6" t="s">
        <v>166</v>
      </c>
      <c r="B6" t="s">
        <v>189</v>
      </c>
      <c r="C6">
        <f>SUMIF(PPL!$C:$C,PML!$A6,PPL!E:E)</f>
        <v>4356</v>
      </c>
      <c r="D6">
        <f>SUMIF(PPL!$C:$C,PML!$A6,PPL!F:F)</f>
        <v>154</v>
      </c>
      <c r="E6">
        <f>SUMIF(PPL!$C:$C,PML!$A6,PPL!G:G)</f>
        <v>81</v>
      </c>
      <c r="F6">
        <f>SUMIF(PPL!$C:$C,PML!$A6,PPL!H:H)</f>
        <v>3695</v>
      </c>
      <c r="G6">
        <f>SUMIF(PPL!$C:$C,PML!$A6,PPL!I:I)</f>
        <v>22</v>
      </c>
      <c r="H6">
        <f>SUMIF(PPL!$C:$C,PML!$A6,PPL!J:J)</f>
        <v>0</v>
      </c>
      <c r="I6">
        <f>SUMIF(PPL!$C:$C,PML!$A6,PPL!K:K)</f>
        <v>404</v>
      </c>
      <c r="J6">
        <f>SUMIF(PPL!$C:$C,PML!$A6,PPL!L:L)</f>
        <v>0</v>
      </c>
      <c r="K6">
        <f t="shared" si="0"/>
        <v>176</v>
      </c>
    </row>
    <row r="7" spans="1:11" x14ac:dyDescent="0.25">
      <c r="A7" t="s">
        <v>167</v>
      </c>
      <c r="B7" t="s">
        <v>182</v>
      </c>
      <c r="C7">
        <f>SUMIF(PPL!$C:$C,PML!$A7,PPL!E:E)</f>
        <v>4844</v>
      </c>
      <c r="D7">
        <f>SUMIF(PPL!$C:$C,PML!$A7,PPL!F:F)</f>
        <v>28</v>
      </c>
      <c r="E7">
        <f>SUMIF(PPL!$C:$C,PML!$A7,PPL!G:G)</f>
        <v>154</v>
      </c>
      <c r="F7">
        <f>SUMIF(PPL!$C:$C,PML!$A7,PPL!H:H)</f>
        <v>4124</v>
      </c>
      <c r="G7">
        <f>SUMIF(PPL!$C:$C,PML!$A7,PPL!I:I)</f>
        <v>6</v>
      </c>
      <c r="H7">
        <f>SUMIF(PPL!$C:$C,PML!$A7,PPL!J:J)</f>
        <v>0</v>
      </c>
      <c r="I7">
        <f>SUMIF(PPL!$C:$C,PML!$A7,PPL!K:K)</f>
        <v>532</v>
      </c>
      <c r="J7">
        <f>SUMIF(PPL!$C:$C,PML!$A7,PPL!L:L)</f>
        <v>0</v>
      </c>
      <c r="K7">
        <f t="shared" si="0"/>
        <v>34</v>
      </c>
    </row>
    <row r="8" spans="1:11" x14ac:dyDescent="0.25">
      <c r="A8" t="s">
        <v>168</v>
      </c>
      <c r="B8" t="s">
        <v>197</v>
      </c>
      <c r="C8">
        <f>SUMIF(PPL!$C:$C,PML!$A8,PPL!E:E)</f>
        <v>4715</v>
      </c>
      <c r="D8">
        <f>SUMIF(PPL!$C:$C,PML!$A8,PPL!F:F)</f>
        <v>12</v>
      </c>
      <c r="E8">
        <f>SUMIF(PPL!$C:$C,PML!$A8,PPL!G:G)</f>
        <v>87</v>
      </c>
      <c r="F8">
        <f>SUMIF(PPL!$C:$C,PML!$A8,PPL!H:H)</f>
        <v>4030</v>
      </c>
      <c r="G8">
        <f>SUMIF(PPL!$C:$C,PML!$A8,PPL!I:I)</f>
        <v>23</v>
      </c>
      <c r="H8">
        <f>SUMIF(PPL!$C:$C,PML!$A8,PPL!J:J)</f>
        <v>0</v>
      </c>
      <c r="I8">
        <f>SUMIF(PPL!$C:$C,PML!$A8,PPL!K:K)</f>
        <v>563</v>
      </c>
      <c r="J8">
        <f>SUMIF(PPL!$C:$C,PML!$A8,PPL!L:L)</f>
        <v>0</v>
      </c>
      <c r="K8">
        <f t="shared" si="0"/>
        <v>35</v>
      </c>
    </row>
    <row r="9" spans="1:11" x14ac:dyDescent="0.25">
      <c r="A9" t="s">
        <v>169</v>
      </c>
      <c r="B9" t="s">
        <v>199</v>
      </c>
      <c r="C9">
        <f>SUMIF(PPL!$C:$C,PML!$A9,PPL!E:E)</f>
        <v>4689</v>
      </c>
      <c r="D9">
        <f>SUMIF(PPL!$C:$C,PML!$A9,PPL!F:F)</f>
        <v>10</v>
      </c>
      <c r="E9">
        <f>SUMIF(PPL!$C:$C,PML!$A9,PPL!G:G)</f>
        <v>114</v>
      </c>
      <c r="F9">
        <f>SUMIF(PPL!$C:$C,PML!$A9,PPL!H:H)</f>
        <v>3748</v>
      </c>
      <c r="G9">
        <f>SUMIF(PPL!$C:$C,PML!$A9,PPL!I:I)</f>
        <v>10</v>
      </c>
      <c r="H9">
        <f>SUMIF(PPL!$C:$C,PML!$A9,PPL!J:J)</f>
        <v>0</v>
      </c>
      <c r="I9">
        <f>SUMIF(PPL!$C:$C,PML!$A9,PPL!K:K)</f>
        <v>807</v>
      </c>
      <c r="J9">
        <f>SUMIF(PPL!$C:$C,PML!$A9,PPL!L:L)</f>
        <v>0</v>
      </c>
      <c r="K9">
        <f t="shared" si="0"/>
        <v>20</v>
      </c>
    </row>
    <row r="10" spans="1:11" x14ac:dyDescent="0.25">
      <c r="A10" t="s">
        <v>170</v>
      </c>
      <c r="B10" t="s">
        <v>196</v>
      </c>
      <c r="C10">
        <f>SUMIF(PPL!$C:$C,PML!$A10,PPL!E:E)</f>
        <v>4684</v>
      </c>
      <c r="D10">
        <f>SUMIF(PPL!$C:$C,PML!$A10,PPL!F:F)</f>
        <v>115</v>
      </c>
      <c r="E10">
        <f>SUMIF(PPL!$C:$C,PML!$A10,PPL!G:G)</f>
        <v>159</v>
      </c>
      <c r="F10">
        <f>SUMIF(PPL!$C:$C,PML!$A10,PPL!H:H)</f>
        <v>3901</v>
      </c>
      <c r="G10">
        <f>SUMIF(PPL!$C:$C,PML!$A10,PPL!I:I)</f>
        <v>68</v>
      </c>
      <c r="H10">
        <f>SUMIF(PPL!$C:$C,PML!$A10,PPL!J:J)</f>
        <v>0</v>
      </c>
      <c r="I10">
        <f>SUMIF(PPL!$C:$C,PML!$A10,PPL!K:K)</f>
        <v>441</v>
      </c>
      <c r="J10">
        <f>SUMIF(PPL!$C:$C,PML!$A10,PPL!L:L)</f>
        <v>0</v>
      </c>
      <c r="K10">
        <f t="shared" si="0"/>
        <v>183</v>
      </c>
    </row>
    <row r="11" spans="1:11" x14ac:dyDescent="0.25">
      <c r="A11" t="s">
        <v>171</v>
      </c>
      <c r="B11" t="s">
        <v>195</v>
      </c>
      <c r="C11">
        <f>SUMIF(PPL!$C:$C,PML!$A11,PPL!E:E)</f>
        <v>3785</v>
      </c>
      <c r="D11">
        <f>SUMIF(PPL!$C:$C,PML!$A11,PPL!F:F)</f>
        <v>120</v>
      </c>
      <c r="E11">
        <f>SUMIF(PPL!$C:$C,PML!$A11,PPL!G:G)</f>
        <v>123</v>
      </c>
      <c r="F11">
        <f>SUMIF(PPL!$C:$C,PML!$A11,PPL!H:H)</f>
        <v>3252</v>
      </c>
      <c r="G11">
        <f>SUMIF(PPL!$C:$C,PML!$A11,PPL!I:I)</f>
        <v>15</v>
      </c>
      <c r="H11">
        <f>SUMIF(PPL!$C:$C,PML!$A11,PPL!J:J)</f>
        <v>0</v>
      </c>
      <c r="I11">
        <f>SUMIF(PPL!$C:$C,PML!$A11,PPL!K:K)</f>
        <v>275</v>
      </c>
      <c r="J11">
        <f>SUMIF(PPL!$C:$C,PML!$A11,PPL!L:L)</f>
        <v>0</v>
      </c>
      <c r="K11">
        <f t="shared" si="0"/>
        <v>135</v>
      </c>
    </row>
    <row r="12" spans="1:11" x14ac:dyDescent="0.25">
      <c r="A12" t="s">
        <v>172</v>
      </c>
      <c r="B12" t="s">
        <v>193</v>
      </c>
      <c r="C12">
        <f>SUMIF(PPL!$C:$C,PML!$A12,PPL!E:E)</f>
        <v>3366</v>
      </c>
      <c r="D12">
        <f>SUMIF(PPL!$C:$C,PML!$A12,PPL!F:F)</f>
        <v>3</v>
      </c>
      <c r="E12">
        <f>SUMIF(PPL!$C:$C,PML!$A12,PPL!G:G)</f>
        <v>58</v>
      </c>
      <c r="F12">
        <f>SUMIF(PPL!$C:$C,PML!$A12,PPL!H:H)</f>
        <v>2852</v>
      </c>
      <c r="G12">
        <f>SUMIF(PPL!$C:$C,PML!$A12,PPL!I:I)</f>
        <v>6</v>
      </c>
      <c r="H12">
        <f>SUMIF(PPL!$C:$C,PML!$A12,PPL!J:J)</f>
        <v>0</v>
      </c>
      <c r="I12">
        <f>SUMIF(PPL!$C:$C,PML!$A12,PPL!K:K)</f>
        <v>447</v>
      </c>
      <c r="J12">
        <f>SUMIF(PPL!$C:$C,PML!$A12,PPL!L:L)</f>
        <v>0</v>
      </c>
      <c r="K12">
        <f t="shared" si="0"/>
        <v>9</v>
      </c>
    </row>
    <row r="13" spans="1:11" x14ac:dyDescent="0.25">
      <c r="A13" t="s">
        <v>173</v>
      </c>
      <c r="B13" t="s">
        <v>186</v>
      </c>
      <c r="C13">
        <f>SUMIF(PPL!$C:$C,PML!$A13,PPL!E:E)</f>
        <v>3583</v>
      </c>
      <c r="D13">
        <f>SUMIF(PPL!$C:$C,PML!$A13,PPL!F:F)</f>
        <v>146</v>
      </c>
      <c r="E13">
        <f>SUMIF(PPL!$C:$C,PML!$A13,PPL!G:G)</f>
        <v>117</v>
      </c>
      <c r="F13">
        <f>SUMIF(PPL!$C:$C,PML!$A13,PPL!H:H)</f>
        <v>2877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439</v>
      </c>
      <c r="J13">
        <f>SUMIF(PPL!$C:$C,PML!$A13,PPL!L:L)</f>
        <v>0</v>
      </c>
      <c r="K13">
        <f t="shared" si="0"/>
        <v>150</v>
      </c>
    </row>
    <row r="14" spans="1:11" x14ac:dyDescent="0.25">
      <c r="A14" t="s">
        <v>174</v>
      </c>
      <c r="B14" t="s">
        <v>185</v>
      </c>
      <c r="C14">
        <f>SUMIF(PPL!$C:$C,PML!$A14,PPL!E:E)</f>
        <v>3440</v>
      </c>
      <c r="D14">
        <f>SUMIF(PPL!$C:$C,PML!$A14,PPL!F:F)</f>
        <v>32</v>
      </c>
      <c r="E14">
        <f>SUMIF(PPL!$C:$C,PML!$A14,PPL!G:G)</f>
        <v>138</v>
      </c>
      <c r="F14">
        <f>SUMIF(PPL!$C:$C,PML!$A14,PPL!H:H)</f>
        <v>2926</v>
      </c>
      <c r="G14">
        <f>SUMIF(PPL!$C:$C,PML!$A14,PPL!I:I)</f>
        <v>2</v>
      </c>
      <c r="H14">
        <f>SUMIF(PPL!$C:$C,PML!$A14,PPL!J:J)</f>
        <v>0</v>
      </c>
      <c r="I14">
        <f>SUMIF(PPL!$C:$C,PML!$A14,PPL!K:K)</f>
        <v>342</v>
      </c>
      <c r="J14">
        <f>SUMIF(PPL!$C:$C,PML!$A14,PPL!L:L)</f>
        <v>0</v>
      </c>
      <c r="K14">
        <f t="shared" si="0"/>
        <v>34</v>
      </c>
    </row>
    <row r="15" spans="1:11" x14ac:dyDescent="0.25">
      <c r="A15" t="s">
        <v>175</v>
      </c>
      <c r="B15" t="s">
        <v>188</v>
      </c>
      <c r="C15">
        <f>SUMIF(PPL!$C:$C,PML!$A15,PPL!E:E)</f>
        <v>3858</v>
      </c>
      <c r="D15">
        <f>SUMIF(PPL!$C:$C,PML!$A15,PPL!F:F)</f>
        <v>183</v>
      </c>
      <c r="E15">
        <f>SUMIF(PPL!$C:$C,PML!$A15,PPL!G:G)</f>
        <v>143</v>
      </c>
      <c r="F15">
        <f>SUMIF(PPL!$C:$C,PML!$A15,PPL!H:H)</f>
        <v>3152</v>
      </c>
      <c r="G15">
        <f>SUMIF(PPL!$C:$C,PML!$A15,PPL!I:I)</f>
        <v>3</v>
      </c>
      <c r="H15">
        <f>SUMIF(PPL!$C:$C,PML!$A15,PPL!J:J)</f>
        <v>0</v>
      </c>
      <c r="I15">
        <f>SUMIF(PPL!$C:$C,PML!$A15,PPL!K:K)</f>
        <v>377</v>
      </c>
      <c r="J15">
        <f>SUMIF(PPL!$C:$C,PML!$A15,PPL!L:L)</f>
        <v>0</v>
      </c>
      <c r="K15">
        <f t="shared" si="0"/>
        <v>186</v>
      </c>
    </row>
    <row r="16" spans="1:11" x14ac:dyDescent="0.25">
      <c r="A16" t="s">
        <v>176</v>
      </c>
      <c r="B16" t="s">
        <v>194</v>
      </c>
      <c r="C16">
        <f>SUMIF(PPL!$C:$C,PML!$A16,PPL!E:E)</f>
        <v>4233</v>
      </c>
      <c r="D16">
        <f>SUMIF(PPL!$C:$C,PML!$A16,PPL!F:F)</f>
        <v>106</v>
      </c>
      <c r="E16">
        <f>SUMIF(PPL!$C:$C,PML!$A16,PPL!G:G)</f>
        <v>254</v>
      </c>
      <c r="F16">
        <f>SUMIF(PPL!$C:$C,PML!$A16,PPL!H:H)</f>
        <v>3511</v>
      </c>
      <c r="G16">
        <f>SUMIF(PPL!$C:$C,PML!$A16,PPL!I:I)</f>
        <v>26</v>
      </c>
      <c r="H16">
        <f>SUMIF(PPL!$C:$C,PML!$A16,PPL!J:J)</f>
        <v>0</v>
      </c>
      <c r="I16">
        <f>SUMIF(PPL!$C:$C,PML!$A16,PPL!K:K)</f>
        <v>336</v>
      </c>
      <c r="J16">
        <f>SUMIF(PPL!$C:$C,PML!$A16,PPL!L:L)</f>
        <v>0</v>
      </c>
      <c r="K16">
        <f t="shared" si="0"/>
        <v>132</v>
      </c>
    </row>
    <row r="17" spans="1:11" x14ac:dyDescent="0.25">
      <c r="A17" t="s">
        <v>177</v>
      </c>
      <c r="B17" t="s">
        <v>192</v>
      </c>
      <c r="C17">
        <f>SUMIF(PPL!$C:$C,PML!$A17,PPL!E:E)</f>
        <v>4205</v>
      </c>
      <c r="D17">
        <f>SUMIF(PPL!$C:$C,PML!$A17,PPL!F:F)</f>
        <v>283</v>
      </c>
      <c r="E17">
        <f>SUMIF(PPL!$C:$C,PML!$A17,PPL!G:G)</f>
        <v>171</v>
      </c>
      <c r="F17">
        <f>SUMIF(PPL!$C:$C,PML!$A17,PPL!H:H)</f>
        <v>3371</v>
      </c>
      <c r="G17">
        <f>SUMIF(PPL!$C:$C,PML!$A17,PPL!I:I)</f>
        <v>64</v>
      </c>
      <c r="H17">
        <f>SUMIF(PPL!$C:$C,PML!$A17,PPL!J:J)</f>
        <v>0</v>
      </c>
      <c r="I17">
        <f>SUMIF(PPL!$C:$C,PML!$A17,PPL!K:K)</f>
        <v>316</v>
      </c>
      <c r="J17">
        <f>SUMIF(PPL!$C:$C,PML!$A17,PPL!L:L)</f>
        <v>0</v>
      </c>
      <c r="K17">
        <f t="shared" si="0"/>
        <v>347</v>
      </c>
    </row>
    <row r="18" spans="1:11" x14ac:dyDescent="0.25">
      <c r="A18" t="s">
        <v>178</v>
      </c>
      <c r="B18" t="s">
        <v>191</v>
      </c>
      <c r="C18">
        <f>SUMIF(PPL!$C:$C,PML!$A18,PPL!E:E)</f>
        <v>4111</v>
      </c>
      <c r="D18">
        <f>SUMIF(PPL!$C:$C,PML!$A18,PPL!F:F)</f>
        <v>545</v>
      </c>
      <c r="E18">
        <f>SUMIF(PPL!$C:$C,PML!$A18,PPL!G:G)</f>
        <v>119</v>
      </c>
      <c r="F18">
        <f>SUMIF(PPL!$C:$C,PML!$A18,PPL!H:H)</f>
        <v>3382</v>
      </c>
      <c r="G18">
        <f>SUMIF(PPL!$C:$C,PML!$A18,PPL!I:I)</f>
        <v>56</v>
      </c>
      <c r="H18">
        <f>SUMIF(PPL!$C:$C,PML!$A18,PPL!J:J)</f>
        <v>0</v>
      </c>
      <c r="I18">
        <f>SUMIF(PPL!$C:$C,PML!$A18,PPL!K:K)</f>
        <v>9</v>
      </c>
      <c r="J18">
        <f>SUMIF(PPL!$C:$C,PML!$A18,PPL!L:L)</f>
        <v>0</v>
      </c>
      <c r="K18">
        <f t="shared" si="0"/>
        <v>601</v>
      </c>
    </row>
    <row r="19" spans="1:11" x14ac:dyDescent="0.25">
      <c r="A19" t="s">
        <v>179</v>
      </c>
      <c r="B19" t="s">
        <v>184</v>
      </c>
      <c r="C19">
        <f>SUMIF(PPL!$C:$C,PML!$A19,PPL!E:E)</f>
        <v>3532</v>
      </c>
      <c r="D19">
        <f>SUMIF(PPL!$C:$C,PML!$A19,PPL!F:F)</f>
        <v>25</v>
      </c>
      <c r="E19">
        <f>SUMIF(PPL!$C:$C,PML!$A19,PPL!G:G)</f>
        <v>247</v>
      </c>
      <c r="F19">
        <f>SUMIF(PPL!$C:$C,PML!$A19,PPL!H:H)</f>
        <v>2889</v>
      </c>
      <c r="G19">
        <f>SUMIF(PPL!$C:$C,PML!$A19,PPL!I:I)</f>
        <v>6</v>
      </c>
      <c r="H19">
        <f>SUMIF(PPL!$C:$C,PML!$A19,PPL!J:J)</f>
        <v>0</v>
      </c>
      <c r="I19">
        <f>SUMIF(PPL!$C:$C,PML!$A19,PPL!K:K)</f>
        <v>365</v>
      </c>
      <c r="J19">
        <f>SUMIF(PPL!$C:$C,PML!$A19,PPL!L:L)</f>
        <v>0</v>
      </c>
      <c r="K19">
        <f t="shared" si="0"/>
        <v>31</v>
      </c>
    </row>
    <row r="20" spans="1:11" x14ac:dyDescent="0.25">
      <c r="A20" t="s">
        <v>180</v>
      </c>
      <c r="B20" t="s">
        <v>183</v>
      </c>
      <c r="C20">
        <f>SUMIF(PPL!$C:$C,PML!$A20,PPL!E:E)</f>
        <v>4640</v>
      </c>
      <c r="D20">
        <f>SUMIF(PPL!$C:$C,PML!$A20,PPL!F:F)</f>
        <v>88</v>
      </c>
      <c r="E20">
        <f>SUMIF(PPL!$C:$C,PML!$A20,PPL!G:G)</f>
        <v>140</v>
      </c>
      <c r="F20">
        <f>SUMIF(PPL!$C:$C,PML!$A20,PPL!H:H)</f>
        <v>4091</v>
      </c>
      <c r="G20">
        <f>SUMIF(PPL!$C:$C,PML!$A20,PPL!I:I)</f>
        <v>21</v>
      </c>
      <c r="H20">
        <f>SUMIF(PPL!$C:$C,PML!$A20,PPL!J:J)</f>
        <v>0</v>
      </c>
      <c r="I20">
        <f>SUMIF(PPL!$C:$C,PML!$A20,PPL!K:K)</f>
        <v>299</v>
      </c>
      <c r="J20">
        <f>SUMIF(PPL!$C:$C,PML!$A20,PPL!L:L)</f>
        <v>1</v>
      </c>
      <c r="K20">
        <f t="shared" si="0"/>
        <v>109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11" sqref="F11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(10)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2026-06-25T23:50:49Z</dcterms:modified>
</cp:coreProperties>
</file>